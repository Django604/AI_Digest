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charts/chart1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Relationship Type="http://schemas.openxmlformats.org/officeDocument/2006/relationships/custom-properties" Target="docProps/custom.xml" Id="rId4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28920" yWindow="-120" windowWidth="29040" windowHeight="15720" tabRatio="858" firstSheet="0" activeTab="3" autoFilterDateGrouping="1"/>
  </bookViews>
  <sheets>
    <sheet xmlns:r="http://schemas.openxmlformats.org/officeDocument/2006/relationships" name="参数" sheetId="1" state="visible" r:id="rId1"/>
    <sheet xmlns:r="http://schemas.openxmlformats.org/officeDocument/2006/relationships" name="目标竖版" sheetId="2" state="visible" r:id="rId2"/>
    <sheet xmlns:r="http://schemas.openxmlformats.org/officeDocument/2006/relationships" name="全车有效线索管控" sheetId="3" state="visible" r:id="rId3"/>
    <sheet xmlns:r="http://schemas.openxmlformats.org/officeDocument/2006/relationships" name="全国按日NEV" sheetId="4" state="visible" r:id="rId4"/>
    <sheet xmlns:r="http://schemas.openxmlformats.org/officeDocument/2006/relationships" name="全国按日NEV-同期" sheetId="5" state="visible" r:id="rId5"/>
    <sheet xmlns:r="http://schemas.openxmlformats.org/officeDocument/2006/relationships" name="全国按日ICE" sheetId="6" state="visible" r:id="rId6"/>
    <sheet xmlns:r="http://schemas.openxmlformats.org/officeDocument/2006/relationships" name="全国按日ICE-同期" sheetId="7" state="visible" r:id="rId7"/>
    <sheet xmlns:r="http://schemas.openxmlformats.org/officeDocument/2006/relationships" name="十五代轩逸按日" sheetId="8" state="visible" r:id="rId8"/>
    <sheet xmlns:r="http://schemas.openxmlformats.org/officeDocument/2006/relationships" name="每日NEV早报模板" sheetId="9" state="visible" r:id="rId9"/>
  </sheets>
  <definedNames>
    <definedName name="_xleta.FILTER" hidden="1" xlm="1">#NAME?</definedName>
    <definedName name="_xleta.IF" hidden="1" xlm="1">#NAME?</definedName>
    <definedName name="_xleta.IFS" hidden="1" xlm="1">#NAME?</definedName>
    <definedName name="_xleta.LEFT" hidden="1" xlm="1">#NAME?</definedName>
    <definedName name="_xleta.MONTH" hidden="1" xlm="1">#NAME?</definedName>
    <definedName name="_xleta.N" hidden="1" xlm="1">#NAME?</definedName>
    <definedName name="_xleta.RIGHT" hidden="1" xlm="1">#NAME?</definedName>
    <definedName name="_xleta.T" hidden="1" xlm="1">#NAME?</definedName>
    <definedName name="_xlnm._FilterDatabase" localSheetId="1" hidden="1">'目标竖版'!$A$2:$BP$1226</definedName>
    <definedName name="_xlnm._FilterDatabase" localSheetId="3" hidden="1">'全国按日NEV'!$A$3:$BH$287</definedName>
    <definedName name="_xlnm._FilterDatabase" localSheetId="5" hidden="1">'全国按日ICE'!$A$1:$U$1</definedName>
  </definedNames>
  <calcPr calcId="191029" calcMode="manual" fullCalcOnLoad="1"/>
</workbook>
</file>

<file path=xl/styles.xml><?xml version="1.0" encoding="utf-8"?>
<styleSheet xmlns="http://schemas.openxmlformats.org/spreadsheetml/2006/main">
  <numFmts count="8">
    <numFmt numFmtId="164" formatCode="m/d;@"/>
    <numFmt numFmtId="165" formatCode="0.0%"/>
    <numFmt numFmtId="166" formatCode="[$-F800]dddd\,\ mmmm\ dd\,\ yyyy"/>
    <numFmt numFmtId="167" formatCode="0_ "/>
    <numFmt numFmtId="168" formatCode="0.0_ "/>
    <numFmt numFmtId="169" formatCode="#0.0%"/>
    <numFmt numFmtId="170" formatCode="#0.00%"/>
    <numFmt numFmtId="171" formatCode="#0"/>
  </numFmts>
  <fonts count="33">
    <font>
      <name val="等线"/>
      <charset val="134"/>
      <color theme="1"/>
      <sz val="11"/>
      <scheme val="minor"/>
    </font>
    <font>
      <name val="微软雅黑"/>
      <charset val="134"/>
      <family val="2"/>
      <color theme="1"/>
      <sz val="10"/>
    </font>
    <font>
      <name val="等线"/>
      <charset val="134"/>
      <family val="3"/>
      <color theme="1"/>
      <sz val="11"/>
      <scheme val="minor"/>
    </font>
    <font>
      <name val="宋体"/>
      <charset val="134"/>
      <family val="3"/>
      <sz val="12"/>
    </font>
    <font>
      <name val="等线"/>
      <charset val="134"/>
      <family val="3"/>
      <color indexed="8"/>
      <sz val="11"/>
      <scheme val="minor"/>
    </font>
    <font>
      <name val="等线"/>
      <charset val="134"/>
      <family val="3"/>
      <sz val="9"/>
      <scheme val="minor"/>
    </font>
    <font>
      <name val="等线"/>
      <charset val="134"/>
      <family val="3"/>
      <color theme="1"/>
      <sz val="11"/>
      <scheme val="minor"/>
    </font>
    <font>
      <name val="等线"/>
      <charset val="134"/>
      <family val="3"/>
      <b val="1"/>
      <i val="1"/>
      <color rgb="FFFF0000"/>
      <sz val="11"/>
      <u val="single"/>
      <scheme val="minor"/>
    </font>
    <font>
      <name val="Arial"/>
      <family val="2"/>
      <color theme="1" tint="0.3499862666707358"/>
      <sz val="11"/>
    </font>
    <font>
      <name val="等线"/>
      <charset val="134"/>
      <family val="3"/>
      <color rgb="FF000000"/>
      <sz val="11"/>
      <scheme val="minor"/>
    </font>
    <font>
      <name val="等线"/>
      <family val="2"/>
      <color indexed="8"/>
      <sz val="11"/>
      <scheme val="minor"/>
    </font>
    <font>
      <name val="simsun"/>
      <charset val="134"/>
      <color indexed="8"/>
      <sz val="11"/>
    </font>
    <font>
      <name val="simsun"/>
      <charset val="134"/>
      <b val="1"/>
      <color indexed="8"/>
      <sz val="11"/>
    </font>
    <font>
      <name val="simsun"/>
      <charset val="134"/>
      <color indexed="8"/>
      <sz val="11"/>
    </font>
    <font>
      <name val="微软雅黑"/>
      <charset val="134"/>
      <family val="2"/>
      <color rgb="FF333333"/>
      <sz val="9"/>
    </font>
    <font>
      <name val="微软雅黑"/>
      <charset val="134"/>
      <family val="2"/>
      <color rgb="FF000000"/>
      <sz val="9"/>
    </font>
    <font>
      <name val="simsun"/>
      <charset val="134"/>
      <color indexed="8"/>
      <sz val="11"/>
    </font>
    <font>
      <name val="微软雅黑"/>
      <charset val="134"/>
      <family val="2"/>
      <b val="1"/>
      <color rgb="FF000333"/>
      <sz val="10"/>
    </font>
    <font>
      <name val="微软雅黑"/>
      <charset val="134"/>
      <family val="2"/>
      <b val="1"/>
      <color rgb="FF000000"/>
      <sz val="10"/>
    </font>
    <font>
      <name val="微软雅黑"/>
      <charset val="134"/>
      <family val="2"/>
      <b val="1"/>
      <color rgb="FF000000"/>
      <sz val="9"/>
    </font>
    <font>
      <name val="微软雅黑"/>
      <charset val="134"/>
      <family val="2"/>
      <color rgb="FF333333"/>
      <sz val="9"/>
    </font>
    <font>
      <name val="微软雅黑"/>
      <charset val="134"/>
      <family val="2"/>
      <color rgb="FF000000"/>
      <sz val="9"/>
    </font>
    <font>
      <name val="simsun"/>
      <charset val="134"/>
      <b val="1"/>
      <color indexed="8"/>
      <sz val="11"/>
    </font>
    <font>
      <name val="simsun"/>
      <charset val="134"/>
      <color indexed="8"/>
      <sz val="11"/>
    </font>
    <font>
      <name val="等线"/>
      <charset val="134"/>
      <sz val="9"/>
      <scheme val="minor"/>
    </font>
    <font>
      <name val="微软雅黑"/>
      <b val="1"/>
      <color rgb="00000333"/>
      <sz val="10"/>
    </font>
    <font>
      <name val="宋体"/>
      <charset val="1"/>
      <family val="2"/>
      <color indexed="8"/>
      <sz val="11"/>
      <scheme val="minor"/>
    </font>
    <font>
      <name val="微软雅黑"/>
      <b val="1"/>
      <color rgb="00000000"/>
      <sz val="10"/>
    </font>
    <font>
      <name val="微软雅黑"/>
      <b val="1"/>
      <color rgb="00000000"/>
      <sz val="9"/>
    </font>
    <font>
      <name val="微软雅黑"/>
      <color rgb="00333333"/>
      <sz val="9"/>
    </font>
    <font>
      <name val="微软雅黑"/>
      <color rgb="00000000"/>
      <sz val="9"/>
    </font>
    <font>
      <name val="simsun"/>
      <b val="1"/>
      <color indexed="8"/>
      <sz val="11"/>
    </font>
    <font>
      <name val="simsun"/>
      <color indexed="8"/>
      <sz val="11"/>
    </font>
  </fonts>
  <fills count="12">
    <fill>
      <patternFill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indexed="22"/>
      </patternFill>
    </fill>
    <fill>
      <patternFill patternType="solid">
        <fgColor theme="7" tint="0.399975585192419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 tint="0.5999938962981048"/>
        <bgColor indexed="64"/>
      </patternFill>
    </fill>
    <fill>
      <patternFill patternType="solid">
        <fgColor rgb="FFF9FCFF"/>
        <bgColor rgb="FFF9FCFF"/>
      </patternFill>
    </fill>
    <fill>
      <patternFill patternType="solid">
        <fgColor rgb="FFB1D1EB"/>
        <bgColor rgb="FFB1D1EB"/>
      </patternFill>
    </fill>
    <fill>
      <patternFill patternType="solid">
        <fgColor rgb="FFF9FCFF"/>
        <bgColor rgb="FFF9FCFF"/>
      </patternFill>
    </fill>
    <fill>
      <patternFill patternType="solid">
        <fgColor rgb="00B1D1EB"/>
        <bgColor rgb="00B1D1EB"/>
      </patternFill>
    </fill>
    <fill>
      <patternFill patternType="solid">
        <fgColor rgb="00F9FCFF"/>
        <bgColor rgb="00F9FCFF"/>
      </patternFill>
    </fill>
  </fills>
  <borders count="32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rgb="FF1F2329"/>
      </left>
      <right style="thin">
        <color rgb="FF1F2329"/>
      </right>
      <top style="thin">
        <color rgb="FF1F2329"/>
      </top>
      <bottom style="thin">
        <color rgb="FF1F2329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/>
      <right/>
      <top style="thin">
        <color rgb="FFD9D9D9"/>
      </top>
      <bottom style="thin">
        <color rgb="FFD9D9D9"/>
      </bottom>
      <diagonal/>
    </border>
    <border>
      <left/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D9D9D9"/>
      </left>
      <right style="thin">
        <color rgb="FFD9D9D9"/>
      </right>
      <top/>
      <bottom style="thin">
        <color rgb="FFD9D9D9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rgb="FFD9D9D9"/>
      </top>
      <bottom/>
      <diagonal/>
    </border>
    <border>
      <left/>
      <right style="thin">
        <color rgb="FFD9D9D9"/>
      </right>
      <top style="thin">
        <color rgb="FFD9D9D9"/>
      </top>
      <bottom/>
      <diagonal/>
    </border>
    <border>
      <left style="thin">
        <color rgb="FFD9D9D9"/>
      </left>
      <right/>
      <top/>
      <bottom/>
      <diagonal/>
    </border>
    <border>
      <left style="thin">
        <color rgb="FFD9D9D9"/>
      </left>
      <right style="thin">
        <color rgb="FFD9D9D9"/>
      </right>
      <top/>
      <bottom/>
      <diagonal/>
    </border>
    <border>
      <left style="thin">
        <color rgb="00D9D9D9"/>
      </left>
      <right style="thin">
        <color rgb="00D9D9D9"/>
      </right>
      <top style="thin">
        <color rgb="00D9D9D9"/>
      </top>
      <bottom style="thin">
        <color rgb="00D9D9D9"/>
      </bottom>
    </border>
    <border>
      <left/>
      <right/>
      <top style="thin">
        <color rgb="00D9D9D9"/>
      </top>
      <bottom style="thin">
        <color rgb="00D9D9D9"/>
      </bottom>
      <diagonal/>
    </border>
    <border>
      <left/>
      <right style="thin">
        <color rgb="00D9D9D9"/>
      </right>
      <top style="thin">
        <color rgb="00D9D9D9"/>
      </top>
      <bottom style="thin">
        <color rgb="00D9D9D9"/>
      </bottom>
      <diagonal/>
    </border>
    <border>
      <left style="thin">
        <color rgb="00D9D9D9"/>
      </left>
      <right style="thin">
        <color rgb="00D9D9D9"/>
      </right>
      <top/>
      <bottom style="thin">
        <color rgb="00D9D9D9"/>
      </bottom>
      <diagonal/>
    </border>
    <border>
      <left/>
      <right/>
      <top style="thin">
        <color rgb="00D9D9D9"/>
      </top>
      <bottom/>
      <diagonal/>
    </border>
    <border>
      <left/>
      <right style="thin">
        <color rgb="00D9D9D9"/>
      </right>
      <top style="thin">
        <color rgb="00D9D9D9"/>
      </top>
      <bottom/>
      <diagonal/>
    </border>
    <border>
      <left style="thin">
        <color rgb="00D9D9D9"/>
      </left>
      <right/>
      <top/>
      <bottom/>
      <diagonal/>
    </border>
    <border>
      <left style="thin">
        <color rgb="00D9D9D9"/>
      </left>
      <right style="thin">
        <color rgb="00D9D9D9"/>
      </right>
      <top/>
      <bottom/>
      <diagonal/>
    </border>
    <border>
      <left style="thin"/>
      <right style="thin"/>
      <top style="thin"/>
      <bottom style="thin"/>
    </border>
  </borders>
  <cellStyleXfs count="17">
    <xf numFmtId="0" fontId="0" fillId="0" borderId="0"/>
    <xf numFmtId="9" fontId="6" fillId="0" borderId="0" applyAlignment="1">
      <alignment vertical="center"/>
    </xf>
    <xf numFmtId="9" fontId="4" fillId="0" borderId="0" applyAlignment="1">
      <alignment vertical="center"/>
    </xf>
    <xf numFmtId="9" fontId="6" fillId="0" borderId="0" applyAlignment="1">
      <alignment vertical="center"/>
    </xf>
    <xf numFmtId="9" fontId="6" fillId="0" borderId="0" applyAlignment="1">
      <alignment vertical="center"/>
    </xf>
    <xf numFmtId="9" fontId="1" fillId="0" borderId="0" applyAlignment="1">
      <alignment vertical="center"/>
    </xf>
    <xf numFmtId="0" fontId="4" fillId="0" borderId="0" applyAlignment="1">
      <alignment vertical="center"/>
    </xf>
    <xf numFmtId="0" fontId="4" fillId="0" borderId="0" applyAlignment="1">
      <alignment vertical="center"/>
    </xf>
    <xf numFmtId="0" fontId="6" fillId="0" borderId="0"/>
    <xf numFmtId="0" fontId="6" fillId="0" borderId="0"/>
    <xf numFmtId="0" fontId="6" fillId="0" borderId="0" applyAlignment="1">
      <alignment vertical="center"/>
    </xf>
    <xf numFmtId="166" fontId="6" fillId="0" borderId="0" applyAlignment="1">
      <alignment vertical="center"/>
    </xf>
    <xf numFmtId="0" fontId="3" fillId="0" borderId="0"/>
    <xf numFmtId="0" fontId="4" fillId="0" borderId="0" applyAlignment="1">
      <alignment vertical="center"/>
    </xf>
    <xf numFmtId="0" fontId="1" fillId="0" borderId="0" applyAlignment="1">
      <alignment vertical="center"/>
    </xf>
    <xf numFmtId="0" fontId="4" fillId="0" borderId="0" applyAlignment="1">
      <alignment vertical="center"/>
    </xf>
    <xf numFmtId="0" fontId="10" fillId="0" borderId="0" applyAlignment="1">
      <alignment vertical="center"/>
    </xf>
  </cellStyleXfs>
  <cellXfs count="113">
    <xf numFmtId="0" fontId="0" fillId="0" borderId="0" pivotButton="0" quotePrefix="0" xfId="0"/>
    <xf numFmtId="0" fontId="6" fillId="2" borderId="1" pivotButton="0" quotePrefix="0" xfId="0"/>
    <xf numFmtId="31" fontId="0" fillId="2" borderId="2" pivotButton="0" quotePrefix="0" xfId="0"/>
    <xf numFmtId="0" fontId="6" fillId="2" borderId="3" pivotButton="0" quotePrefix="0" xfId="0"/>
    <xf numFmtId="10" fontId="0" fillId="2" borderId="4" pivotButton="0" quotePrefix="0" xfId="1"/>
    <xf numFmtId="0" fontId="0" fillId="2" borderId="4" pivotButton="0" quotePrefix="0" xfId="0"/>
    <xf numFmtId="0" fontId="6" fillId="2" borderId="5" pivotButton="0" quotePrefix="0" xfId="0"/>
    <xf numFmtId="0" fontId="0" fillId="2" borderId="6" pivotButton="0" quotePrefix="0" xfId="0"/>
    <xf numFmtId="31" fontId="7" fillId="2" borderId="2" pivotButton="0" quotePrefix="0" xfId="0"/>
    <xf numFmtId="0" fontId="9" fillId="0" borderId="8" applyAlignment="1" pivotButton="0" quotePrefix="0" xfId="0">
      <alignment horizontal="center" vertical="center"/>
    </xf>
    <xf numFmtId="0" fontId="2" fillId="0" borderId="0" pivotButton="0" quotePrefix="0" xfId="0"/>
    <xf numFmtId="31" fontId="7" fillId="2" borderId="9" pivotButton="0" quotePrefix="0" xfId="0"/>
    <xf numFmtId="0" fontId="2" fillId="2" borderId="5" pivotButton="0" quotePrefix="0" xfId="0"/>
    <xf numFmtId="14" fontId="0" fillId="0" borderId="6" pivotButton="0" quotePrefix="0" xfId="0"/>
    <xf numFmtId="0" fontId="2" fillId="0" borderId="0" applyAlignment="1" pivotButton="0" quotePrefix="0" xfId="8">
      <alignment vertical="top" wrapText="1"/>
    </xf>
    <xf numFmtId="164" fontId="0" fillId="0" borderId="0" pivotButton="0" quotePrefix="0" xfId="0"/>
    <xf numFmtId="165" fontId="0" fillId="0" borderId="0" pivotButton="0" quotePrefix="0" xfId="1"/>
    <xf numFmtId="0" fontId="6" fillId="0" borderId="0" applyAlignment="1" pivotButton="0" quotePrefix="0" xfId="8">
      <alignment horizontal="center"/>
    </xf>
    <xf numFmtId="0" fontId="9" fillId="0" borderId="7" applyAlignment="1" pivotButton="0" quotePrefix="0" xfId="0">
      <alignment horizontal="center" vertical="center"/>
    </xf>
    <xf numFmtId="166" fontId="6" fillId="0" borderId="0" applyAlignment="1" pivotButton="0" quotePrefix="0" xfId="8">
      <alignment horizontal="center"/>
    </xf>
    <xf numFmtId="0" fontId="11" fillId="0" borderId="10" applyAlignment="1" pivotButton="0" quotePrefix="0" xfId="0">
      <alignment horizontal="center" vertical="center"/>
    </xf>
    <xf numFmtId="167" fontId="11" fillId="0" borderId="10" applyAlignment="1" pivotButton="0" quotePrefix="0" xfId="0">
      <alignment horizontal="center" vertical="center"/>
    </xf>
    <xf numFmtId="168" fontId="11" fillId="0" borderId="10" applyAlignment="1" pivotButton="0" quotePrefix="0" xfId="0">
      <alignment horizontal="center" vertical="center"/>
    </xf>
    <xf numFmtId="14" fontId="11" fillId="0" borderId="10" applyAlignment="1" pivotButton="0" quotePrefix="0" xfId="0">
      <alignment horizontal="center" vertical="center"/>
    </xf>
    <xf numFmtId="0" fontId="12" fillId="3" borderId="11" applyAlignment="1" pivotButton="0" quotePrefix="0" xfId="0">
      <alignment horizontal="center" vertical="center"/>
    </xf>
    <xf numFmtId="0" fontId="13" fillId="0" borderId="11" applyAlignment="1" pivotButton="0" quotePrefix="0" xfId="0">
      <alignment horizontal="center" vertical="center"/>
    </xf>
    <xf numFmtId="167" fontId="13" fillId="0" borderId="11" applyAlignment="1" pivotButton="0" quotePrefix="0" xfId="0">
      <alignment horizontal="center" vertical="center"/>
    </xf>
    <xf numFmtId="168" fontId="13" fillId="0" borderId="11" applyAlignment="1" pivotButton="0" quotePrefix="0" xfId="0">
      <alignment horizontal="center" vertical="center"/>
    </xf>
    <xf numFmtId="14" fontId="13" fillId="0" borderId="11" applyAlignment="1" pivotButton="0" quotePrefix="0" xfId="0">
      <alignment horizontal="center" vertical="center"/>
    </xf>
    <xf numFmtId="0" fontId="14" fillId="7" borderId="12" applyAlignment="1" pivotButton="0" quotePrefix="0" xfId="0">
      <alignment horizontal="center" vertical="center" wrapText="1"/>
    </xf>
    <xf numFmtId="169" fontId="14" fillId="7" borderId="12" applyAlignment="1" pivotButton="0" quotePrefix="0" xfId="0">
      <alignment horizontal="center" vertical="center" wrapText="1"/>
    </xf>
    <xf numFmtId="169" fontId="15" fillId="0" borderId="12" applyAlignment="1" pivotButton="0" quotePrefix="0" xfId="0">
      <alignment horizontal="center" vertical="center" wrapText="1"/>
    </xf>
    <xf numFmtId="170" fontId="14" fillId="7" borderId="12" applyAlignment="1" pivotButton="0" quotePrefix="0" xfId="0">
      <alignment horizontal="center" vertical="center" wrapText="1"/>
    </xf>
    <xf numFmtId="0" fontId="15" fillId="0" borderId="12" applyAlignment="1" pivotButton="0" quotePrefix="0" xfId="0">
      <alignment horizontal="center" vertical="center" wrapText="1"/>
    </xf>
    <xf numFmtId="171" fontId="14" fillId="7" borderId="12" applyAlignment="1" pivotButton="0" quotePrefix="0" xfId="0">
      <alignment horizontal="center" vertical="center" wrapText="1"/>
    </xf>
    <xf numFmtId="14" fontId="15" fillId="0" borderId="12" applyAlignment="1" pivotButton="0" quotePrefix="0" xfId="0">
      <alignment horizontal="center" vertical="center" wrapText="1"/>
    </xf>
    <xf numFmtId="0" fontId="16" fillId="0" borderId="13" applyAlignment="1" pivotButton="0" quotePrefix="0" xfId="0">
      <alignment horizontal="center" vertical="center"/>
    </xf>
    <xf numFmtId="167" fontId="16" fillId="0" borderId="13" applyAlignment="1" pivotButton="0" quotePrefix="0" xfId="0">
      <alignment horizontal="center" vertical="center"/>
    </xf>
    <xf numFmtId="168" fontId="16" fillId="0" borderId="13" applyAlignment="1" pivotButton="0" quotePrefix="0" xfId="0">
      <alignment horizontal="center" vertical="center"/>
    </xf>
    <xf numFmtId="14" fontId="16" fillId="0" borderId="13" applyAlignment="1" pivotButton="0" quotePrefix="0" xfId="0">
      <alignment horizontal="center" vertical="center"/>
    </xf>
    <xf numFmtId="166" fontId="6" fillId="5" borderId="13" applyAlignment="1" pivotButton="0" quotePrefix="0" xfId="8">
      <alignment horizontal="center" vertical="center"/>
    </xf>
    <xf numFmtId="0" fontId="6" fillId="5" borderId="13" applyAlignment="1" pivotButton="0" quotePrefix="0" xfId="8">
      <alignment horizontal="center" vertical="center"/>
    </xf>
    <xf numFmtId="0" fontId="6" fillId="0" borderId="13" applyAlignment="1" pivotButton="0" quotePrefix="0" xfId="8">
      <alignment horizontal="center" vertical="center"/>
    </xf>
    <xf numFmtId="0" fontId="6" fillId="4" borderId="13" applyAlignment="1" pivotButton="0" quotePrefix="0" xfId="8">
      <alignment horizontal="center" vertical="center"/>
    </xf>
    <xf numFmtId="166" fontId="6" fillId="0" borderId="13" applyAlignment="1" pivotButton="0" quotePrefix="0" xfId="8">
      <alignment horizontal="center"/>
    </xf>
    <xf numFmtId="31" fontId="6" fillId="0" borderId="13" applyAlignment="1" pivotButton="0" quotePrefix="0" xfId="8">
      <alignment horizontal="center"/>
    </xf>
    <xf numFmtId="1" fontId="8" fillId="0" borderId="13" applyAlignment="1" pivotButton="0" quotePrefix="0" xfId="3">
      <alignment horizontal="center" vertical="center" wrapText="1"/>
    </xf>
    <xf numFmtId="1" fontId="8" fillId="4" borderId="13" applyAlignment="1" pivotButton="0" quotePrefix="0" xfId="3">
      <alignment horizontal="center" vertical="center" wrapText="1"/>
    </xf>
    <xf numFmtId="1" fontId="6" fillId="0" borderId="13" applyAlignment="1" pivotButton="0" quotePrefix="0" xfId="8">
      <alignment horizontal="center"/>
    </xf>
    <xf numFmtId="1" fontId="6" fillId="4" borderId="13" applyAlignment="1" pivotButton="0" quotePrefix="0" xfId="8">
      <alignment horizontal="center"/>
    </xf>
    <xf numFmtId="0" fontId="6" fillId="0" borderId="13" applyAlignment="1" pivotButton="0" quotePrefix="0" xfId="8">
      <alignment horizontal="center"/>
    </xf>
    <xf numFmtId="0" fontId="6" fillId="0" borderId="13" applyAlignment="1" pivotButton="0" quotePrefix="0" xfId="9">
      <alignment horizontal="center" vertical="center"/>
    </xf>
    <xf numFmtId="1" fontId="2" fillId="0" borderId="13" applyAlignment="1" pivotButton="0" quotePrefix="0" xfId="0">
      <alignment horizontal="center" vertical="center"/>
    </xf>
    <xf numFmtId="31" fontId="6" fillId="6" borderId="13" applyAlignment="1" pivotButton="0" quotePrefix="0" xfId="8">
      <alignment horizontal="center"/>
    </xf>
    <xf numFmtId="0" fontId="17" fillId="8" borderId="14" applyAlignment="1" pivotButton="0" quotePrefix="0" xfId="0">
      <alignment horizontal="center" vertical="center" wrapText="1"/>
    </xf>
    <xf numFmtId="0" fontId="0" fillId="0" borderId="15" pivotButton="0" quotePrefix="0" xfId="0"/>
    <xf numFmtId="0" fontId="0" fillId="0" borderId="16" pivotButton="0" quotePrefix="0" xfId="0"/>
    <xf numFmtId="0" fontId="18" fillId="8" borderId="14" applyAlignment="1" pivotButton="0" quotePrefix="0" xfId="0">
      <alignment horizontal="center" vertical="center" wrapText="1"/>
    </xf>
    <xf numFmtId="0" fontId="19" fillId="0" borderId="14" applyAlignment="1" pivotButton="0" quotePrefix="0" xfId="0">
      <alignment horizontal="center" vertical="center" wrapText="1"/>
    </xf>
    <xf numFmtId="0" fontId="20" fillId="9" borderId="14" applyAlignment="1" pivotButton="0" quotePrefix="0" xfId="0">
      <alignment horizontal="center" vertical="center" wrapText="1"/>
    </xf>
    <xf numFmtId="169" fontId="20" fillId="9" borderId="14" applyAlignment="1" pivotButton="0" quotePrefix="0" xfId="0">
      <alignment horizontal="center" vertical="center" wrapText="1"/>
    </xf>
    <xf numFmtId="169" fontId="21" fillId="0" borderId="14" applyAlignment="1" pivotButton="0" quotePrefix="0" xfId="0">
      <alignment horizontal="center" vertical="center" wrapText="1"/>
    </xf>
    <xf numFmtId="170" fontId="20" fillId="9" borderId="14" applyAlignment="1" pivotButton="0" quotePrefix="0" xfId="0">
      <alignment horizontal="center" vertical="center" wrapText="1"/>
    </xf>
    <xf numFmtId="0" fontId="21" fillId="0" borderId="14" applyAlignment="1" pivotButton="0" quotePrefix="0" xfId="0">
      <alignment horizontal="center" vertical="center" wrapText="1"/>
    </xf>
    <xf numFmtId="171" fontId="20" fillId="9" borderId="14" applyAlignment="1" pivotButton="0" quotePrefix="0" xfId="0">
      <alignment horizontal="center" vertical="center" wrapText="1"/>
    </xf>
    <xf numFmtId="14" fontId="21" fillId="0" borderId="14" applyAlignment="1" pivotButton="0" quotePrefix="0" xfId="0">
      <alignment horizontal="center" vertical="center" wrapText="1"/>
    </xf>
    <xf numFmtId="0" fontId="22" fillId="3" borderId="18" applyAlignment="1" pivotButton="0" quotePrefix="0" xfId="0">
      <alignment horizontal="center" vertical="center"/>
    </xf>
    <xf numFmtId="0" fontId="23" fillId="0" borderId="18" applyAlignment="1" pivotButton="0" quotePrefix="0" xfId="0">
      <alignment horizontal="center" vertical="center"/>
    </xf>
    <xf numFmtId="167" fontId="23" fillId="0" borderId="18" applyAlignment="1" pivotButton="0" quotePrefix="0" xfId="0">
      <alignment horizontal="center" vertical="center"/>
    </xf>
    <xf numFmtId="168" fontId="23" fillId="0" borderId="18" applyAlignment="1" pivotButton="0" quotePrefix="0" xfId="0">
      <alignment horizontal="center" vertical="center"/>
    </xf>
    <xf numFmtId="14" fontId="23" fillId="0" borderId="18" applyAlignment="1" pivotButton="0" quotePrefix="0" xfId="0">
      <alignment horizontal="center" vertical="center"/>
    </xf>
    <xf numFmtId="0" fontId="17" fillId="8" borderId="14" applyAlignment="1" pivotButton="0" quotePrefix="0" xfId="0">
      <alignment horizontal="center" vertical="center" wrapText="1"/>
    </xf>
    <xf numFmtId="0" fontId="0" fillId="0" borderId="15" pivotButton="0" quotePrefix="0" xfId="0"/>
    <xf numFmtId="0" fontId="0" fillId="0" borderId="16" pivotButton="0" quotePrefix="0" xfId="0"/>
    <xf numFmtId="0" fontId="19" fillId="0" borderId="14" applyAlignment="1" pivotButton="0" quotePrefix="0" xfId="0">
      <alignment horizontal="center" vertical="center" wrapText="1"/>
    </xf>
    <xf numFmtId="0" fontId="0" fillId="0" borderId="17" pivotButton="0" quotePrefix="0" xfId="0"/>
    <xf numFmtId="166" fontId="6" fillId="0" borderId="0" applyAlignment="1" pivotButton="0" quotePrefix="0" xfId="8">
      <alignment horizontal="center"/>
    </xf>
    <xf numFmtId="166" fontId="6" fillId="5" borderId="13" applyAlignment="1" pivotButton="0" quotePrefix="0" xfId="8">
      <alignment horizontal="center" vertical="center"/>
    </xf>
    <xf numFmtId="166" fontId="6" fillId="0" borderId="13" applyAlignment="1" pivotButton="0" quotePrefix="0" xfId="8">
      <alignment horizontal="center"/>
    </xf>
    <xf numFmtId="164" fontId="0" fillId="0" borderId="0" pivotButton="0" quotePrefix="0" xfId="0"/>
    <xf numFmtId="165" fontId="0" fillId="0" borderId="0" pivotButton="0" quotePrefix="0" xfId="1"/>
    <xf numFmtId="0" fontId="25" fillId="10" borderId="23" applyAlignment="1" pivotButton="0" quotePrefix="0" xfId="0">
      <alignment horizontal="center" vertical="center" wrapText="1"/>
    </xf>
    <xf numFmtId="0" fontId="0" fillId="0" borderId="24" pivotButton="0" quotePrefix="0" xfId="0"/>
    <xf numFmtId="0" fontId="0" fillId="0" borderId="25" pivotButton="0" quotePrefix="0" xfId="0"/>
    <xf numFmtId="0" fontId="0" fillId="0" borderId="26" pivotButton="0" quotePrefix="0" xfId="0"/>
    <xf numFmtId="0" fontId="27" fillId="10" borderId="23" applyAlignment="1" pivotButton="0" quotePrefix="0" xfId="0">
      <alignment horizontal="center" vertical="center" wrapText="1"/>
    </xf>
    <xf numFmtId="0" fontId="28" fillId="0" borderId="23" applyAlignment="1" pivotButton="0" quotePrefix="0" xfId="0">
      <alignment horizontal="center" vertical="center" wrapText="1"/>
    </xf>
    <xf numFmtId="0" fontId="29" fillId="11" borderId="23" applyAlignment="1" pivotButton="0" quotePrefix="0" xfId="0">
      <alignment horizontal="center" vertical="center" wrapText="1"/>
    </xf>
    <xf numFmtId="169" fontId="29" fillId="11" borderId="23" applyAlignment="1" pivotButton="0" quotePrefix="0" xfId="0">
      <alignment horizontal="center" vertical="center" wrapText="1"/>
    </xf>
    <xf numFmtId="169" fontId="30" fillId="0" borderId="23" applyAlignment="1" pivotButton="0" quotePrefix="0" xfId="0">
      <alignment horizontal="center" vertical="center" wrapText="1"/>
    </xf>
    <xf numFmtId="170" fontId="29" fillId="11" borderId="23" applyAlignment="1" pivotButton="0" quotePrefix="0" xfId="0">
      <alignment horizontal="center" vertical="center" wrapText="1"/>
    </xf>
    <xf numFmtId="0" fontId="30" fillId="0" borderId="23" applyAlignment="1" pivotButton="0" quotePrefix="0" xfId="0">
      <alignment horizontal="center" vertical="center" wrapText="1"/>
    </xf>
    <xf numFmtId="171" fontId="29" fillId="11" borderId="23" applyAlignment="1" pivotButton="0" quotePrefix="0" xfId="0">
      <alignment horizontal="center" vertical="center" wrapText="1"/>
    </xf>
    <xf numFmtId="14" fontId="30" fillId="0" borderId="23" applyAlignment="1" pivotButton="0" quotePrefix="0" xfId="0">
      <alignment horizontal="center" vertical="center" wrapText="1"/>
    </xf>
    <xf numFmtId="171" fontId="14" fillId="7" borderId="12" applyAlignment="1" pivotButton="0" quotePrefix="0" xfId="0">
      <alignment horizontal="center" vertical="center" wrapText="1"/>
    </xf>
    <xf numFmtId="169" fontId="14" fillId="7" borderId="12" applyAlignment="1" pivotButton="0" quotePrefix="0" xfId="0">
      <alignment horizontal="center" vertical="center" wrapText="1"/>
    </xf>
    <xf numFmtId="169" fontId="15" fillId="0" borderId="12" applyAlignment="1" pivotButton="0" quotePrefix="0" xfId="0">
      <alignment horizontal="center" vertical="center" wrapText="1"/>
    </xf>
    <xf numFmtId="170" fontId="14" fillId="7" borderId="12" applyAlignment="1" pivotButton="0" quotePrefix="0" xfId="0">
      <alignment horizontal="center" vertical="center" wrapText="1"/>
    </xf>
    <xf numFmtId="171" fontId="20" fillId="9" borderId="14" applyAlignment="1" pivotButton="0" quotePrefix="0" xfId="0">
      <alignment horizontal="center" vertical="center" wrapText="1"/>
    </xf>
    <xf numFmtId="169" fontId="20" fillId="9" borderId="14" applyAlignment="1" pivotButton="0" quotePrefix="0" xfId="0">
      <alignment horizontal="center" vertical="center" wrapText="1"/>
    </xf>
    <xf numFmtId="169" fontId="21" fillId="0" borderId="14" applyAlignment="1" pivotButton="0" quotePrefix="0" xfId="0">
      <alignment horizontal="center" vertical="center" wrapText="1"/>
    </xf>
    <xf numFmtId="170" fontId="20" fillId="9" borderId="14" applyAlignment="1" pivotButton="0" quotePrefix="0" xfId="0">
      <alignment horizontal="center" vertical="center" wrapText="1"/>
    </xf>
    <xf numFmtId="0" fontId="31" fillId="3" borderId="31" applyAlignment="1" pivotButton="0" quotePrefix="0" xfId="0">
      <alignment horizontal="center" vertical="center"/>
    </xf>
    <xf numFmtId="0" fontId="32" fillId="0" borderId="31" applyAlignment="1" pivotButton="0" quotePrefix="0" xfId="0">
      <alignment horizontal="center" vertical="center"/>
    </xf>
    <xf numFmtId="167" fontId="32" fillId="0" borderId="31" applyAlignment="1" pivotButton="0" quotePrefix="0" xfId="0">
      <alignment horizontal="center" vertical="center"/>
    </xf>
    <xf numFmtId="168" fontId="32" fillId="0" borderId="31" applyAlignment="1" pivotButton="0" quotePrefix="0" xfId="0">
      <alignment horizontal="center" vertical="center"/>
    </xf>
    <xf numFmtId="14" fontId="32" fillId="0" borderId="31" applyAlignment="1" pivotButton="0" quotePrefix="0" xfId="0">
      <alignment horizontal="center" vertical="center"/>
    </xf>
    <xf numFmtId="167" fontId="16" fillId="0" borderId="13" applyAlignment="1" pivotButton="0" quotePrefix="0" xfId="0">
      <alignment horizontal="center" vertical="center"/>
    </xf>
    <xf numFmtId="168" fontId="16" fillId="0" borderId="13" applyAlignment="1" pivotButton="0" quotePrefix="0" xfId="0">
      <alignment horizontal="center" vertical="center"/>
    </xf>
    <xf numFmtId="167" fontId="13" fillId="0" borderId="11" applyAlignment="1" pivotButton="0" quotePrefix="0" xfId="0">
      <alignment horizontal="center" vertical="center"/>
    </xf>
    <xf numFmtId="168" fontId="13" fillId="0" borderId="11" applyAlignment="1" pivotButton="0" quotePrefix="0" xfId="0">
      <alignment horizontal="center" vertical="center"/>
    </xf>
    <xf numFmtId="167" fontId="11" fillId="0" borderId="10" applyAlignment="1" pivotButton="0" quotePrefix="0" xfId="0">
      <alignment horizontal="center" vertical="center"/>
    </xf>
    <xf numFmtId="168" fontId="11" fillId="0" borderId="10" applyAlignment="1" pivotButton="0" quotePrefix="0" xfId="0">
      <alignment horizontal="center" vertical="center"/>
    </xf>
  </cellXfs>
  <cellStyles count="17">
    <cellStyle name="常规" xfId="0" builtinId="0"/>
    <cellStyle name="百分比" xfId="1" builtinId="5"/>
    <cellStyle name="百分比 2" xfId="2"/>
    <cellStyle name="百分比 2 2" xfId="3"/>
    <cellStyle name="百分比 4" xfId="4"/>
    <cellStyle name="百分比 5" xfId="5"/>
    <cellStyle name="常规 2" xfId="6"/>
    <cellStyle name="常规 2 2 2" xfId="7"/>
    <cellStyle name="常规 2 3" xfId="8"/>
    <cellStyle name="常规 3" xfId="9"/>
    <cellStyle name="常规 4" xfId="10"/>
    <cellStyle name="常规 4 2" xfId="11"/>
    <cellStyle name="常规 5" xfId="12"/>
    <cellStyle name="常规 7" xfId="13"/>
    <cellStyle name="常规 8" xfId="14"/>
    <cellStyle name="常规 7 2" xfId="15"/>
    <cellStyle name="常规 6" xfId="16"/>
  </cellStyles>
  <dxfs count="4">
    <dxf>
      <fill>
        <patternFill>
          <bgColor theme="5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9" tint="0.7999816888943144"/>
        </patternFill>
      </fill>
    </dxf>
    <dxf>
      <fill>
        <patternFill>
          <bgColor theme="4" tint="0.7999816888943144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styles" Target="styles.xml" Id="rId10"/><Relationship Type="http://schemas.openxmlformats.org/officeDocument/2006/relationships/theme" Target="theme/theme1.xml" Id="rId11"/><Relationship Type="http://schemas.microsoft.com/office/2006/relationships/vbaProject" Target="vbaProject.bin" Id="rId12"/></Relationships>
</file>

<file path=xl/charts/chart1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CN" altLang="en-US"/>
              <a:t>全车系有效线索趋势</a:t>
            </a:r>
            <a:endParaRPr lang="en-US" altLang="zh-CN"/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"/>
          <order val="0"/>
          <tx>
            <strRef>
              <f>全车有效线索管控!$A$5</f>
              <strCache>
                <ptCount val="1"/>
                <pt idx="0">
                  <v>上期实绩</v>
                </pt>
              </strCache>
            </strRef>
          </tx>
          <spPr>
            <a:solidFill xmlns:a="http://schemas.openxmlformats.org/drawingml/2006/main">
              <a:srgbClr val="C00000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全车有效线索管控!$B$4:$AE$4</f>
              <numCache>
                <formatCode>m/d;@</formatCode>
                <ptCount val="30"/>
                <pt idx="0">
                  <v>46113</v>
                </pt>
                <pt idx="1">
                  <v>46114</v>
                </pt>
                <pt idx="2">
                  <v>46115</v>
                </pt>
                <pt idx="3">
                  <v>46116</v>
                </pt>
                <pt idx="4">
                  <v>46117</v>
                </pt>
                <pt idx="5">
                  <v>46118</v>
                </pt>
                <pt idx="6">
                  <v>46119</v>
                </pt>
                <pt idx="7">
                  <v>46120</v>
                </pt>
                <pt idx="8">
                  <v>46121</v>
                </pt>
                <pt idx="9">
                  <v>46122</v>
                </pt>
                <pt idx="10">
                  <v>46123</v>
                </pt>
                <pt idx="11">
                  <v>46124</v>
                </pt>
                <pt idx="12">
                  <v>46125</v>
                </pt>
                <pt idx="13">
                  <v>46126</v>
                </pt>
                <pt idx="14">
                  <v>46127</v>
                </pt>
                <pt idx="15">
                  <v>46128</v>
                </pt>
                <pt idx="16">
                  <v>46129</v>
                </pt>
                <pt idx="17">
                  <v>46130</v>
                </pt>
                <pt idx="18">
                  <v>46131</v>
                </pt>
                <pt idx="19">
                  <v>46132</v>
                </pt>
                <pt idx="20">
                  <v>46133</v>
                </pt>
                <pt idx="21">
                  <v>46134</v>
                </pt>
                <pt idx="22">
                  <v>46135</v>
                </pt>
                <pt idx="23">
                  <v>46136</v>
                </pt>
                <pt idx="24">
                  <v>46137</v>
                </pt>
                <pt idx="25">
                  <v>46138</v>
                </pt>
                <pt idx="26">
                  <v>46139</v>
                </pt>
                <pt idx="27">
                  <v>46140</v>
                </pt>
                <pt idx="28">
                  <v>46141</v>
                </pt>
                <pt idx="29">
                  <v>46142</v>
                </pt>
              </numCache>
            </numRef>
          </cat>
          <val>
            <numRef>
              <f>全车有效线索管控!$B$5:$AF$5</f>
              <numCache>
                <formatCode>General</formatCode>
                <ptCount val="31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</numCache>
            </numRef>
          </val>
        </ser>
        <ser>
          <idx val="2"/>
          <order val="1"/>
          <tx>
            <strRef>
              <f>全车有效线索管控!$A$6</f>
              <strCache>
                <ptCount val="1"/>
                <pt idx="0">
                  <v>本期实绩</v>
                </pt>
              </strCache>
            </strRef>
          </tx>
          <spPr>
            <a:solidFill xmlns:a="http://schemas.openxmlformats.org/drawingml/2006/main">
              <a:schemeClr val="bg2">
                <a:lumMod val="9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全车有效线索管控!$B$4:$AE$4</f>
              <numCache>
                <formatCode>m/d;@</formatCode>
                <ptCount val="30"/>
                <pt idx="0">
                  <v>46113</v>
                </pt>
                <pt idx="1">
                  <v>46114</v>
                </pt>
                <pt idx="2">
                  <v>46115</v>
                </pt>
                <pt idx="3">
                  <v>46116</v>
                </pt>
                <pt idx="4">
                  <v>46117</v>
                </pt>
                <pt idx="5">
                  <v>46118</v>
                </pt>
                <pt idx="6">
                  <v>46119</v>
                </pt>
                <pt idx="7">
                  <v>46120</v>
                </pt>
                <pt idx="8">
                  <v>46121</v>
                </pt>
                <pt idx="9">
                  <v>46122</v>
                </pt>
                <pt idx="10">
                  <v>46123</v>
                </pt>
                <pt idx="11">
                  <v>46124</v>
                </pt>
                <pt idx="12">
                  <v>46125</v>
                </pt>
                <pt idx="13">
                  <v>46126</v>
                </pt>
                <pt idx="14">
                  <v>46127</v>
                </pt>
                <pt idx="15">
                  <v>46128</v>
                </pt>
                <pt idx="16">
                  <v>46129</v>
                </pt>
                <pt idx="17">
                  <v>46130</v>
                </pt>
                <pt idx="18">
                  <v>46131</v>
                </pt>
                <pt idx="19">
                  <v>46132</v>
                </pt>
                <pt idx="20">
                  <v>46133</v>
                </pt>
                <pt idx="21">
                  <v>46134</v>
                </pt>
                <pt idx="22">
                  <v>46135</v>
                </pt>
                <pt idx="23">
                  <v>46136</v>
                </pt>
                <pt idx="24">
                  <v>46137</v>
                </pt>
                <pt idx="25">
                  <v>46138</v>
                </pt>
                <pt idx="26">
                  <v>46139</v>
                </pt>
                <pt idx="27">
                  <v>46140</v>
                </pt>
                <pt idx="28">
                  <v>46141</v>
                </pt>
                <pt idx="29">
                  <v>46142</v>
                </pt>
              </numCache>
            </numRef>
          </cat>
          <val>
            <numRef>
              <f>全车有效线索管控!$B$6:$AF$6</f>
              <numCache>
                <formatCode>General</formatCode>
                <ptCount val="31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2114336288"/>
        <axId val="20596112"/>
      </barChart>
      <lineChart>
        <grouping val="standard"/>
        <varyColors val="0"/>
        <ser>
          <idx val="3"/>
          <order val="2"/>
          <tx>
            <strRef>
              <f>全车有效线索管控!$A$7</f>
              <strCache>
                <ptCount val="1"/>
                <pt idx="0">
                  <v>上期累计实绩</v>
                </pt>
              </strCache>
            </strRef>
          </tx>
          <spPr>
            <a:ln xmlns:a="http://schemas.openxmlformats.org/drawingml/2006/main" w="28575" cap="rnd">
              <a:solidFill>
                <a:schemeClr val="accent4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全车有效线索管控!$B$7:$AF$7</f>
              <numCache>
                <formatCode>General</formatCode>
                <ptCount val="31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</numCache>
            </numRef>
          </val>
          <smooth val="0"/>
        </ser>
        <ser>
          <idx val="4"/>
          <order val="3"/>
          <tx>
            <strRef>
              <f>全车有效线索管控!$A$8</f>
              <strCache>
                <ptCount val="1"/>
                <pt idx="0">
                  <v>本期累计实绩</v>
                </pt>
              </strCache>
            </strRef>
          </tx>
          <spPr>
            <a:ln xmlns:a="http://schemas.openxmlformats.org/drawingml/2006/main" w="28575" cap="rnd">
              <a:solidFill>
                <a:schemeClr val="accent5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全车有效线索管控!$B$8:$AF$8</f>
              <numCache>
                <formatCode>General</formatCode>
                <ptCount val="31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marker val="1"/>
        <smooth val="0"/>
        <axId val="2115134048"/>
        <axId val="2115135008"/>
      </lineChart>
      <dateAx>
        <axId val="2114336288"/>
        <scaling>
          <orientation val="minMax"/>
        </scaling>
        <delete val="1"/>
        <axPos val="b"/>
        <numFmt formatCode="m/d;@" sourceLinked="1"/>
        <majorTickMark val="out"/>
        <minorTickMark val="none"/>
        <tickLblPos val="nextTo"/>
        <crossAx val="20596112"/>
        <crosses val="autoZero"/>
        <lblOffset val="100"/>
        <baseTimeUnit val="days"/>
      </dateAx>
      <valAx>
        <axId val="20596112"/>
        <scaling>
          <orientation val="minMax"/>
        </scaling>
        <delete val="0"/>
        <axPos val="r"/>
        <numFmt formatCode="General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2114336288"/>
        <crosses val="max"/>
        <crossBetween val="between"/>
      </valAx>
      <catAx>
        <axId val="2115134048"/>
        <scaling>
          <orientation val="minMax"/>
        </scaling>
        <delete val="0"/>
        <axPos val="b"/>
        <numFmt formatCode="m/d;@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2115135008"/>
        <crosses val="autoZero"/>
        <auto val="1"/>
        <lblAlgn val="ctr"/>
        <lblOffset val="100"/>
        <noMultiLvlLbl val="0"/>
      </catAx>
      <valAx>
        <axId val="2115135008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2115134048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zh-CN"/>
        </a:p>
      </txPr>
    </legend>
    <plotVisOnly val="1"/>
    <dispBlanksAs val="gap"/>
  </chart>
  <spPr>
    <a:solidFill xmlns:a="http://schemas.openxmlformats.org/drawingml/2006/main">
      <a:schemeClr val="bg1"/>
    </a:solidFill>
    <a:ln xmlns:a="http://schemas.openxmlformats.org/drawingml/2006/main"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/></Relationships>
</file>

<file path=xl/drawings/drawing1.xml><?xml version="1.0" encoding="utf-8"?>
<wsDr xmlns="http://schemas.openxmlformats.org/drawingml/2006/spreadsheetDrawing">
  <twoCellAnchor>
    <from>
      <col>0</col>
      <colOff>783167</colOff>
      <row>14</row>
      <rowOff>14817</rowOff>
    </from>
    <to>
      <col>32</col>
      <colOff>328084</colOff>
      <row>36</row>
      <rowOff>63500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3.xml.rels><Relationships xmlns="http://schemas.openxmlformats.org/package/2006/relationships"><Relationship Type="http://schemas.openxmlformats.org/officeDocument/2006/relationships/drawing" Target="/xl/drawings/drawing1.xml" Id="rId1"/></Relationships>
</file>

<file path=xl/worksheets/sheet1.xml><?xml version="1.0" encoding="utf-8"?>
<worksheet xmlns="http://schemas.openxmlformats.org/spreadsheetml/2006/main">
  <sheetPr>
    <tabColor rgb="FFE54C5E"/>
    <outlinePr summaryBelow="1" summaryRight="1"/>
    <pageSetUpPr/>
  </sheetPr>
  <dimension ref="B1:I7"/>
  <sheetViews>
    <sheetView workbookViewId="0">
      <selection activeCell="I13" sqref="I13"/>
    </sheetView>
  </sheetViews>
  <sheetFormatPr baseColWidth="8" defaultRowHeight="14.25"/>
  <cols>
    <col width="11" bestFit="1" customWidth="1" min="1" max="1"/>
    <col width="15" bestFit="1" customWidth="1" min="3" max="3"/>
    <col width="15" bestFit="1" customWidth="1" min="6" max="6"/>
    <col width="13.875" bestFit="1" customWidth="1" min="9" max="9"/>
  </cols>
  <sheetData>
    <row r="1" ht="15" customHeight="1" thickBot="1">
      <c r="B1" s="10" t="inlineStr">
        <is>
          <t>今日</t>
        </is>
      </c>
      <c r="C1" s="11">
        <f>TODAY()</f>
        <v/>
      </c>
    </row>
    <row r="2">
      <c r="B2" s="1" t="inlineStr">
        <is>
          <t>日报日期</t>
        </is>
      </c>
      <c r="C2" s="8">
        <f>C1-1</f>
        <v/>
      </c>
      <c r="E2" s="1" t="inlineStr">
        <is>
          <t>上期</t>
        </is>
      </c>
      <c r="F2" s="2">
        <f>EDATE(C2,-1)</f>
        <v/>
      </c>
      <c r="H2" s="1" t="inlineStr">
        <is>
          <t>去年同期</t>
        </is>
      </c>
      <c r="I2" s="2">
        <f>EDATE(C2,-12)</f>
        <v/>
      </c>
    </row>
    <row r="3">
      <c r="B3" s="3" t="inlineStr">
        <is>
          <t>时间进度</t>
        </is>
      </c>
      <c r="C3" s="4">
        <f>DAY(C2)/DAY(EOMONTH(C2,0))</f>
        <v/>
      </c>
      <c r="E3" s="3" t="inlineStr">
        <is>
          <t>时间进度</t>
        </is>
      </c>
      <c r="F3" s="4">
        <f>DAY(F2)/DAY(EOMONTH(F2,0))</f>
        <v/>
      </c>
      <c r="H3" s="3" t="inlineStr">
        <is>
          <t>时间进度</t>
        </is>
      </c>
      <c r="I3" s="4">
        <f>DAY(I2)/DAY(EOMONTH(I2,0))</f>
        <v/>
      </c>
    </row>
    <row r="4">
      <c r="B4" s="3" t="inlineStr">
        <is>
          <t>年份</t>
        </is>
      </c>
      <c r="C4" s="5">
        <f>YEAR(C2)</f>
        <v/>
      </c>
      <c r="E4" s="3" t="inlineStr">
        <is>
          <t>年份</t>
        </is>
      </c>
      <c r="F4" s="5">
        <f>YEAR(F2)</f>
        <v/>
      </c>
      <c r="H4" s="3" t="inlineStr">
        <is>
          <t>年份</t>
        </is>
      </c>
      <c r="I4" s="5">
        <f>YEAR(I2)</f>
        <v/>
      </c>
    </row>
    <row r="5">
      <c r="B5" s="3" t="inlineStr">
        <is>
          <t>月份</t>
        </is>
      </c>
      <c r="C5" s="5">
        <f>MONTH(C2)</f>
        <v/>
      </c>
      <c r="E5" s="3" t="inlineStr">
        <is>
          <t>月份</t>
        </is>
      </c>
      <c r="F5" s="5">
        <f>MONTH(F2)</f>
        <v/>
      </c>
      <c r="H5" s="3" t="inlineStr">
        <is>
          <t>月份</t>
        </is>
      </c>
      <c r="I5" s="5">
        <f>MONTH(I2)</f>
        <v/>
      </c>
    </row>
    <row r="6" ht="15" customHeight="1" thickBot="1">
      <c r="B6" s="3" t="inlineStr">
        <is>
          <t>日</t>
        </is>
      </c>
      <c r="C6" s="5">
        <f>DAY(C2)</f>
        <v/>
      </c>
      <c r="E6" s="6" t="inlineStr">
        <is>
          <t>日</t>
        </is>
      </c>
      <c r="F6" s="7">
        <f>DAY(F2)</f>
        <v/>
      </c>
      <c r="H6" s="6" t="inlineStr">
        <is>
          <t>日</t>
        </is>
      </c>
      <c r="I6" s="7">
        <f>DAY(I2)</f>
        <v/>
      </c>
    </row>
    <row r="7" ht="15" customHeight="1" thickBot="1">
      <c r="B7" s="12" t="inlineStr">
        <is>
          <t>当月首日</t>
        </is>
      </c>
      <c r="C7" s="13">
        <f>TODAY() - DAY(TODAY()) + 1</f>
        <v/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>
  <sheetPr>
    <tabColor theme="7" tint="0.7999816888943144"/>
    <outlinePr summaryBelow="1" summaryRight="1"/>
    <pageSetUpPr/>
  </sheetPr>
  <dimension ref="A2:Y1395"/>
  <sheetViews>
    <sheetView zoomScale="70" zoomScaleNormal="70" workbookViewId="0">
      <pane ySplit="2" topLeftCell="A132" activePane="bottomLeft" state="frozen"/>
      <selection activeCell="K9" sqref="K9"/>
      <selection pane="bottomLeft" activeCell="S156" sqref="S156"/>
    </sheetView>
  </sheetViews>
  <sheetFormatPr baseColWidth="8" defaultRowHeight="14.25"/>
  <cols>
    <col width="15.625" bestFit="1" customWidth="1" style="76" min="1" max="1"/>
    <col width="15" customWidth="1" style="17" min="2" max="2"/>
    <col width="9" customWidth="1" style="17" min="3" max="14"/>
    <col width="16.625" bestFit="1" customWidth="1" style="17" min="15" max="18"/>
    <col width="18.625" bestFit="1" customWidth="1" style="17" min="19" max="19"/>
    <col width="19.625" bestFit="1" customWidth="1" style="17" min="20" max="20"/>
    <col width="16.625" bestFit="1" customWidth="1" style="17" min="21" max="21"/>
    <col width="16.625" customWidth="1" style="17" min="22" max="22"/>
    <col width="16.625" bestFit="1" customWidth="1" style="17" min="23" max="23"/>
    <col width="21.75" bestFit="1" customWidth="1" style="17" min="24" max="24"/>
    <col width="19.625" bestFit="1" customWidth="1" style="17" min="25" max="25"/>
    <col width="9" customWidth="1" style="17" min="26" max="26"/>
    <col width="9" customWidth="1" style="17" min="27" max="16384"/>
  </cols>
  <sheetData>
    <row r="2">
      <c r="A2" s="77" t="inlineStr">
        <is>
          <t>日期</t>
        </is>
      </c>
      <c r="B2" s="41" t="inlineStr">
        <is>
          <t>车型</t>
        </is>
      </c>
      <c r="C2" s="42" t="inlineStr">
        <is>
          <t>华东一区</t>
        </is>
      </c>
      <c r="D2" s="42" t="inlineStr">
        <is>
          <t>华东二区</t>
        </is>
      </c>
      <c r="E2" s="42" t="inlineStr">
        <is>
          <t>华东三区</t>
        </is>
      </c>
      <c r="F2" s="42" t="inlineStr">
        <is>
          <t>华南区</t>
        </is>
      </c>
      <c r="G2" s="42" t="inlineStr">
        <is>
          <t>华中一区</t>
        </is>
      </c>
      <c r="H2" s="42" t="inlineStr">
        <is>
          <t>华中二区</t>
        </is>
      </c>
      <c r="I2" s="42" t="inlineStr">
        <is>
          <t>西南区</t>
        </is>
      </c>
      <c r="J2" s="42" t="inlineStr">
        <is>
          <t>西北区</t>
        </is>
      </c>
      <c r="K2" s="42" t="inlineStr">
        <is>
          <t>华北区</t>
        </is>
      </c>
      <c r="L2" s="42" t="inlineStr">
        <is>
          <t>东北区</t>
        </is>
      </c>
      <c r="M2" s="42" t="inlineStr">
        <is>
          <t>其它</t>
        </is>
      </c>
      <c r="N2" s="43" t="inlineStr">
        <is>
          <t>合计</t>
        </is>
      </c>
      <c r="O2" s="42" t="inlineStr">
        <is>
          <t>R1自有平台</t>
        </is>
      </c>
      <c r="P2" s="42" t="inlineStr">
        <is>
          <t>R2总部客服</t>
        </is>
      </c>
      <c r="Q2" s="42" t="inlineStr">
        <is>
          <t>R3天网行动</t>
        </is>
      </c>
      <c r="R2" s="42" t="inlineStr">
        <is>
          <t>R4媒体专案</t>
        </is>
      </c>
      <c r="S2" s="42" t="inlineStr">
        <is>
          <t>R5专营店自建</t>
        </is>
      </c>
      <c r="T2" s="42" t="inlineStr">
        <is>
          <t>R6总部新媒体</t>
        </is>
      </c>
      <c r="U2" s="42" t="inlineStr">
        <is>
          <t>R8车巡展</t>
        </is>
      </c>
      <c r="V2" s="42" t="inlineStr">
        <is>
          <t>R8商超</t>
        </is>
      </c>
      <c r="W2" s="42" t="inlineStr">
        <is>
          <t>R9保客推荐</t>
        </is>
      </c>
      <c r="X2" s="42" t="inlineStr">
        <is>
          <t>R10经销商新媒体</t>
        </is>
      </c>
      <c r="Y2" s="42" t="inlineStr">
        <is>
          <t>R11总部自媒体</t>
        </is>
      </c>
    </row>
    <row r="3">
      <c r="A3" s="78" t="n">
        <v>46082</v>
      </c>
      <c r="B3" s="45" t="inlineStr">
        <is>
          <t>N7</t>
        </is>
      </c>
      <c r="C3" s="46" t="n">
        <v>322</v>
      </c>
      <c r="D3" s="46" t="n">
        <v>297</v>
      </c>
      <c r="E3" s="46" t="n">
        <v>148</v>
      </c>
      <c r="F3" s="46" t="n">
        <v>495</v>
      </c>
      <c r="G3" s="46" t="n">
        <v>297</v>
      </c>
      <c r="H3" s="46" t="n">
        <v>223</v>
      </c>
      <c r="I3" s="46" t="n">
        <v>247</v>
      </c>
      <c r="J3" s="46" t="n">
        <v>99</v>
      </c>
      <c r="K3" s="46" t="n">
        <v>247</v>
      </c>
      <c r="L3" s="46" t="n">
        <v>99</v>
      </c>
      <c r="M3" s="46">
        <f>N3-SUM(C3:L3)</f>
        <v/>
      </c>
      <c r="N3" s="47" t="n">
        <v>3534</v>
      </c>
      <c r="O3" s="46" t="n">
        <v>134</v>
      </c>
      <c r="P3" s="46" t="n">
        <v>6</v>
      </c>
      <c r="Q3" s="46" t="n">
        <v>550</v>
      </c>
      <c r="R3" s="46" t="n">
        <v>1000</v>
      </c>
      <c r="S3" s="46" t="n">
        <v>500</v>
      </c>
      <c r="T3" s="46" t="n">
        <v>300</v>
      </c>
      <c r="U3" s="46" t="n">
        <v>0</v>
      </c>
      <c r="V3" s="46" t="n"/>
      <c r="W3" s="46" t="n">
        <v>435</v>
      </c>
      <c r="X3" s="46" t="n">
        <v>609</v>
      </c>
      <c r="Y3" s="46" t="n">
        <v>0</v>
      </c>
    </row>
    <row r="4">
      <c r="A4" s="78" t="n">
        <v>46083</v>
      </c>
      <c r="B4" s="45" t="inlineStr">
        <is>
          <t>N7</t>
        </is>
      </c>
      <c r="C4" s="46" t="n">
        <v>318</v>
      </c>
      <c r="D4" s="46" t="n">
        <v>294</v>
      </c>
      <c r="E4" s="46" t="n">
        <v>147</v>
      </c>
      <c r="F4" s="46" t="n">
        <v>490</v>
      </c>
      <c r="G4" s="46" t="n">
        <v>294</v>
      </c>
      <c r="H4" s="46" t="n">
        <v>220</v>
      </c>
      <c r="I4" s="46" t="n">
        <v>245</v>
      </c>
      <c r="J4" s="46" t="n">
        <v>98</v>
      </c>
      <c r="K4" s="46" t="n">
        <v>245</v>
      </c>
      <c r="L4" s="46" t="n">
        <v>98</v>
      </c>
      <c r="M4" s="46">
        <f>N4-SUM(C4:L4)</f>
        <v/>
      </c>
      <c r="N4" s="47" t="n">
        <v>3499</v>
      </c>
      <c r="O4" s="46" t="n">
        <v>134</v>
      </c>
      <c r="P4" s="46" t="n">
        <v>6</v>
      </c>
      <c r="Q4" s="46" t="n">
        <v>422</v>
      </c>
      <c r="R4" s="46" t="n">
        <v>1000</v>
      </c>
      <c r="S4" s="46" t="n">
        <v>450</v>
      </c>
      <c r="T4" s="46" t="n">
        <v>300</v>
      </c>
      <c r="U4" s="46" t="n">
        <v>0</v>
      </c>
      <c r="V4" s="46" t="n"/>
      <c r="W4" s="46" t="n">
        <v>435</v>
      </c>
      <c r="X4" s="46" t="n">
        <v>729</v>
      </c>
      <c r="Y4" s="46" t="n">
        <v>23</v>
      </c>
    </row>
    <row r="5">
      <c r="A5" s="78" t="n">
        <v>46084</v>
      </c>
      <c r="B5" s="45" t="inlineStr">
        <is>
          <t>N7</t>
        </is>
      </c>
      <c r="C5" s="46" t="n">
        <v>321</v>
      </c>
      <c r="D5" s="46" t="n">
        <v>297</v>
      </c>
      <c r="E5" s="46" t="n">
        <v>148</v>
      </c>
      <c r="F5" s="46" t="n">
        <v>494</v>
      </c>
      <c r="G5" s="46" t="n">
        <v>297</v>
      </c>
      <c r="H5" s="46" t="n">
        <v>222</v>
      </c>
      <c r="I5" s="46" t="n">
        <v>247</v>
      </c>
      <c r="J5" s="46" t="n">
        <v>99</v>
      </c>
      <c r="K5" s="46" t="n">
        <v>247</v>
      </c>
      <c r="L5" s="46" t="n">
        <v>99</v>
      </c>
      <c r="M5" s="46">
        <f>N5-SUM(C5:L5)</f>
        <v/>
      </c>
      <c r="N5" s="47" t="n">
        <v>3531</v>
      </c>
      <c r="O5" s="46" t="n">
        <v>134</v>
      </c>
      <c r="P5" s="46" t="n">
        <v>6</v>
      </c>
      <c r="Q5" s="46" t="n">
        <v>422</v>
      </c>
      <c r="R5" s="46" t="n">
        <v>1000</v>
      </c>
      <c r="S5" s="46" t="n">
        <v>450</v>
      </c>
      <c r="T5" s="46" t="n">
        <v>300</v>
      </c>
      <c r="U5" s="46" t="n">
        <v>0</v>
      </c>
      <c r="V5" s="46" t="n"/>
      <c r="W5" s="46" t="n">
        <v>435</v>
      </c>
      <c r="X5" s="46" t="n">
        <v>761</v>
      </c>
      <c r="Y5" s="46" t="n">
        <v>23</v>
      </c>
    </row>
    <row r="6">
      <c r="A6" s="78" t="n">
        <v>46085</v>
      </c>
      <c r="B6" s="45" t="inlineStr">
        <is>
          <t>N7</t>
        </is>
      </c>
      <c r="C6" s="46" t="n">
        <v>320</v>
      </c>
      <c r="D6" s="46" t="n">
        <v>295</v>
      </c>
      <c r="E6" s="46" t="n">
        <v>148</v>
      </c>
      <c r="F6" s="46" t="n">
        <v>492</v>
      </c>
      <c r="G6" s="46" t="n">
        <v>295</v>
      </c>
      <c r="H6" s="46" t="n">
        <v>222</v>
      </c>
      <c r="I6" s="46" t="n">
        <v>246</v>
      </c>
      <c r="J6" s="46" t="n">
        <v>98</v>
      </c>
      <c r="K6" s="46" t="n">
        <v>246</v>
      </c>
      <c r="L6" s="46" t="n">
        <v>98</v>
      </c>
      <c r="M6" s="46">
        <f>N6-SUM(C6:L6)</f>
        <v/>
      </c>
      <c r="N6" s="47" t="n">
        <v>3517</v>
      </c>
      <c r="O6" s="46" t="n">
        <v>134</v>
      </c>
      <c r="P6" s="46" t="n">
        <v>6</v>
      </c>
      <c r="Q6" s="46" t="n">
        <v>422</v>
      </c>
      <c r="R6" s="46" t="n">
        <v>1000</v>
      </c>
      <c r="S6" s="46" t="n">
        <v>450</v>
      </c>
      <c r="T6" s="46" t="n">
        <v>300</v>
      </c>
      <c r="U6" s="46" t="n">
        <v>0</v>
      </c>
      <c r="V6" s="46" t="n"/>
      <c r="W6" s="46" t="n">
        <v>435</v>
      </c>
      <c r="X6" s="46" t="n">
        <v>747</v>
      </c>
      <c r="Y6" s="46" t="n">
        <v>23</v>
      </c>
    </row>
    <row r="7">
      <c r="A7" s="78" t="n">
        <v>46086</v>
      </c>
      <c r="B7" s="45" t="inlineStr">
        <is>
          <t>N7</t>
        </is>
      </c>
      <c r="C7" s="46" t="n">
        <v>328</v>
      </c>
      <c r="D7" s="46" t="n">
        <v>302</v>
      </c>
      <c r="E7" s="46" t="n">
        <v>151</v>
      </c>
      <c r="F7" s="46" t="n">
        <v>504</v>
      </c>
      <c r="G7" s="46" t="n">
        <v>302</v>
      </c>
      <c r="H7" s="46" t="n">
        <v>227</v>
      </c>
      <c r="I7" s="46" t="n">
        <v>252</v>
      </c>
      <c r="J7" s="46" t="n">
        <v>101</v>
      </c>
      <c r="K7" s="46" t="n">
        <v>252</v>
      </c>
      <c r="L7" s="46" t="n">
        <v>101</v>
      </c>
      <c r="M7" s="46">
        <f>N7-SUM(C7:L7)</f>
        <v/>
      </c>
      <c r="N7" s="47" t="n">
        <v>3599</v>
      </c>
      <c r="O7" s="46" t="n">
        <v>134</v>
      </c>
      <c r="P7" s="46" t="n">
        <v>6</v>
      </c>
      <c r="Q7" s="46" t="n">
        <v>422</v>
      </c>
      <c r="R7" s="46" t="n">
        <v>1000</v>
      </c>
      <c r="S7" s="46" t="n">
        <v>450</v>
      </c>
      <c r="T7" s="46" t="n">
        <v>300</v>
      </c>
      <c r="U7" s="46" t="n">
        <v>0</v>
      </c>
      <c r="V7" s="46" t="n"/>
      <c r="W7" s="46" t="n">
        <v>435</v>
      </c>
      <c r="X7" s="46" t="n">
        <v>829</v>
      </c>
      <c r="Y7" s="46" t="n">
        <v>23</v>
      </c>
    </row>
    <row r="8">
      <c r="A8" s="78" t="n">
        <v>46087</v>
      </c>
      <c r="B8" s="45" t="inlineStr">
        <is>
          <t>N7</t>
        </is>
      </c>
      <c r="C8" s="46" t="n">
        <v>336</v>
      </c>
      <c r="D8" s="46" t="n">
        <v>310</v>
      </c>
      <c r="E8" s="46" t="n">
        <v>155</v>
      </c>
      <c r="F8" s="46" t="n">
        <v>517</v>
      </c>
      <c r="G8" s="46" t="n">
        <v>310</v>
      </c>
      <c r="H8" s="46" t="n">
        <v>233</v>
      </c>
      <c r="I8" s="46" t="n">
        <v>259</v>
      </c>
      <c r="J8" s="46" t="n">
        <v>103</v>
      </c>
      <c r="K8" s="46" t="n">
        <v>259</v>
      </c>
      <c r="L8" s="46" t="n">
        <v>103</v>
      </c>
      <c r="M8" s="46">
        <f>N8-SUM(C8:L8)</f>
        <v/>
      </c>
      <c r="N8" s="47" t="n">
        <v>3695</v>
      </c>
      <c r="O8" s="46" t="n">
        <v>134</v>
      </c>
      <c r="P8" s="46" t="n">
        <v>6</v>
      </c>
      <c r="Q8" s="46" t="n">
        <v>422</v>
      </c>
      <c r="R8" s="46" t="n">
        <v>1000</v>
      </c>
      <c r="S8" s="46" t="n">
        <v>450</v>
      </c>
      <c r="T8" s="46" t="n">
        <v>300</v>
      </c>
      <c r="U8" s="46" t="n">
        <v>118</v>
      </c>
      <c r="V8" s="46" t="n"/>
      <c r="W8" s="46" t="n">
        <v>435</v>
      </c>
      <c r="X8" s="46" t="n">
        <v>807</v>
      </c>
      <c r="Y8" s="46" t="n">
        <v>23</v>
      </c>
    </row>
    <row r="9">
      <c r="A9" s="78" t="n">
        <v>46088</v>
      </c>
      <c r="B9" s="45" t="inlineStr">
        <is>
          <t>N7</t>
        </is>
      </c>
      <c r="C9" s="46" t="n">
        <v>361</v>
      </c>
      <c r="D9" s="46" t="n">
        <v>333</v>
      </c>
      <c r="E9" s="46" t="n">
        <v>167</v>
      </c>
      <c r="F9" s="46" t="n">
        <v>556</v>
      </c>
      <c r="G9" s="46" t="n">
        <v>333</v>
      </c>
      <c r="H9" s="46" t="n">
        <v>250</v>
      </c>
      <c r="I9" s="46" t="n">
        <v>278</v>
      </c>
      <c r="J9" s="46" t="n">
        <v>111</v>
      </c>
      <c r="K9" s="46" t="n">
        <v>278</v>
      </c>
      <c r="L9" s="46" t="n">
        <v>111</v>
      </c>
      <c r="M9" s="46">
        <f>N9-SUM(C9:L9)</f>
        <v/>
      </c>
      <c r="N9" s="47" t="n">
        <v>3969</v>
      </c>
      <c r="O9" s="46" t="n">
        <v>134</v>
      </c>
      <c r="P9" s="46" t="n">
        <v>6</v>
      </c>
      <c r="Q9" s="46" t="n">
        <v>549</v>
      </c>
      <c r="R9" s="46" t="n">
        <v>1000</v>
      </c>
      <c r="S9" s="46" t="n">
        <v>500</v>
      </c>
      <c r="T9" s="46" t="n">
        <v>350</v>
      </c>
      <c r="U9" s="46" t="n">
        <v>118</v>
      </c>
      <c r="V9" s="46" t="n"/>
      <c r="W9" s="46" t="n">
        <v>435</v>
      </c>
      <c r="X9" s="46" t="n">
        <v>877</v>
      </c>
      <c r="Y9" s="46" t="n">
        <v>0</v>
      </c>
    </row>
    <row r="10">
      <c r="A10" s="78" t="n">
        <v>46089</v>
      </c>
      <c r="B10" s="45" t="inlineStr">
        <is>
          <t>N7</t>
        </is>
      </c>
      <c r="C10" s="46" t="n">
        <v>455</v>
      </c>
      <c r="D10" s="46" t="n">
        <v>420</v>
      </c>
      <c r="E10" s="46" t="n">
        <v>210</v>
      </c>
      <c r="F10" s="46" t="n">
        <v>700</v>
      </c>
      <c r="G10" s="46" t="n">
        <v>420</v>
      </c>
      <c r="H10" s="46" t="n">
        <v>315</v>
      </c>
      <c r="I10" s="46" t="n">
        <v>350</v>
      </c>
      <c r="J10" s="46" t="n">
        <v>140</v>
      </c>
      <c r="K10" s="46" t="n">
        <v>350</v>
      </c>
      <c r="L10" s="46" t="n">
        <v>140</v>
      </c>
      <c r="M10" s="46">
        <f>N10-SUM(C10:L10)</f>
        <v/>
      </c>
      <c r="N10" s="47" t="n">
        <v>4999</v>
      </c>
      <c r="O10" s="46" t="n">
        <v>134</v>
      </c>
      <c r="P10" s="46" t="n">
        <v>6</v>
      </c>
      <c r="Q10" s="46" t="n">
        <v>549</v>
      </c>
      <c r="R10" s="46" t="n">
        <v>1941</v>
      </c>
      <c r="S10" s="46" t="n">
        <v>550</v>
      </c>
      <c r="T10" s="46" t="n">
        <v>350</v>
      </c>
      <c r="U10" s="46" t="n">
        <v>118</v>
      </c>
      <c r="V10" s="46" t="n"/>
      <c r="W10" s="46" t="n">
        <v>435</v>
      </c>
      <c r="X10" s="46" t="n">
        <v>916</v>
      </c>
      <c r="Y10" s="46" t="n">
        <v>0</v>
      </c>
    </row>
    <row r="11">
      <c r="A11" s="78" t="n">
        <v>46090</v>
      </c>
      <c r="B11" s="45" t="inlineStr">
        <is>
          <t>N7</t>
        </is>
      </c>
      <c r="C11" s="46" t="n">
        <v>432</v>
      </c>
      <c r="D11" s="46" t="n">
        <v>399</v>
      </c>
      <c r="E11" s="46" t="n">
        <v>200</v>
      </c>
      <c r="F11" s="46" t="n">
        <v>665</v>
      </c>
      <c r="G11" s="46" t="n">
        <v>399</v>
      </c>
      <c r="H11" s="46" t="n">
        <v>299</v>
      </c>
      <c r="I11" s="46" t="n">
        <v>333</v>
      </c>
      <c r="J11" s="46" t="n">
        <v>133</v>
      </c>
      <c r="K11" s="46" t="n">
        <v>333</v>
      </c>
      <c r="L11" s="46" t="n">
        <v>133</v>
      </c>
      <c r="M11" s="46">
        <f>N11-SUM(C11:L11)</f>
        <v/>
      </c>
      <c r="N11" s="47" t="n">
        <v>4751</v>
      </c>
      <c r="O11" s="46" t="n">
        <v>134</v>
      </c>
      <c r="P11" s="46" t="n">
        <v>6</v>
      </c>
      <c r="Q11" s="46" t="n">
        <v>422</v>
      </c>
      <c r="R11" s="46" t="n">
        <v>1941</v>
      </c>
      <c r="S11" s="46" t="n">
        <v>450</v>
      </c>
      <c r="T11" s="46" t="n">
        <v>300</v>
      </c>
      <c r="U11" s="46" t="n">
        <v>118</v>
      </c>
      <c r="V11" s="46" t="n"/>
      <c r="W11" s="46" t="n">
        <v>435</v>
      </c>
      <c r="X11" s="46" t="n">
        <v>922</v>
      </c>
      <c r="Y11" s="46" t="n">
        <v>23</v>
      </c>
    </row>
    <row r="12">
      <c r="A12" s="78" t="n">
        <v>46091</v>
      </c>
      <c r="B12" s="45" t="inlineStr">
        <is>
          <t>N7</t>
        </is>
      </c>
      <c r="C12" s="46" t="n">
        <v>429</v>
      </c>
      <c r="D12" s="46" t="n">
        <v>396</v>
      </c>
      <c r="E12" s="46" t="n">
        <v>198</v>
      </c>
      <c r="F12" s="46" t="n">
        <v>661</v>
      </c>
      <c r="G12" s="46" t="n">
        <v>396</v>
      </c>
      <c r="H12" s="46" t="n">
        <v>297</v>
      </c>
      <c r="I12" s="46" t="n">
        <v>330</v>
      </c>
      <c r="J12" s="46" t="n">
        <v>132</v>
      </c>
      <c r="K12" s="46" t="n">
        <v>330</v>
      </c>
      <c r="L12" s="46" t="n">
        <v>132</v>
      </c>
      <c r="M12" s="46">
        <f>N12-SUM(C12:L12)</f>
        <v/>
      </c>
      <c r="N12" s="47" t="n">
        <v>4719</v>
      </c>
      <c r="O12" s="46" t="n">
        <v>134</v>
      </c>
      <c r="P12" s="46" t="n">
        <v>6</v>
      </c>
      <c r="Q12" s="46" t="n">
        <v>422</v>
      </c>
      <c r="R12" s="46" t="n">
        <v>1941</v>
      </c>
      <c r="S12" s="46" t="n">
        <v>450</v>
      </c>
      <c r="T12" s="46" t="n">
        <v>400</v>
      </c>
      <c r="U12" s="46" t="n">
        <v>0</v>
      </c>
      <c r="V12" s="46" t="n"/>
      <c r="W12" s="46" t="n">
        <v>435</v>
      </c>
      <c r="X12" s="46" t="n">
        <v>907</v>
      </c>
      <c r="Y12" s="46" t="n">
        <v>24</v>
      </c>
    </row>
    <row r="13">
      <c r="A13" s="78" t="n">
        <v>46092</v>
      </c>
      <c r="B13" s="45" t="inlineStr">
        <is>
          <t>N7</t>
        </is>
      </c>
      <c r="C13" s="46" t="n">
        <v>448</v>
      </c>
      <c r="D13" s="46" t="n">
        <v>413</v>
      </c>
      <c r="E13" s="46" t="n">
        <v>207</v>
      </c>
      <c r="F13" s="46" t="n">
        <v>689</v>
      </c>
      <c r="G13" s="46" t="n">
        <v>413</v>
      </c>
      <c r="H13" s="46" t="n">
        <v>310</v>
      </c>
      <c r="I13" s="46" t="n">
        <v>344</v>
      </c>
      <c r="J13" s="46" t="n">
        <v>138</v>
      </c>
      <c r="K13" s="46" t="n">
        <v>344</v>
      </c>
      <c r="L13" s="46" t="n">
        <v>138</v>
      </c>
      <c r="M13" s="46">
        <f>N13-SUM(C13:L13)</f>
        <v/>
      </c>
      <c r="N13" s="47" t="n">
        <v>4918</v>
      </c>
      <c r="O13" s="46" t="n">
        <v>134</v>
      </c>
      <c r="P13" s="46" t="n">
        <v>6</v>
      </c>
      <c r="Q13" s="46" t="n">
        <v>465</v>
      </c>
      <c r="R13" s="46" t="n">
        <v>1941</v>
      </c>
      <c r="S13" s="46" t="n">
        <v>450</v>
      </c>
      <c r="T13" s="46" t="n">
        <v>400</v>
      </c>
      <c r="U13" s="46" t="n">
        <v>226</v>
      </c>
      <c r="V13" s="46" t="n"/>
      <c r="W13" s="46" t="n">
        <v>435</v>
      </c>
      <c r="X13" s="46" t="n">
        <v>837</v>
      </c>
      <c r="Y13" s="46" t="n">
        <v>24</v>
      </c>
    </row>
    <row r="14">
      <c r="A14" s="78" t="n">
        <v>46093</v>
      </c>
      <c r="B14" s="45" t="inlineStr">
        <is>
          <t>N7</t>
        </is>
      </c>
      <c r="C14" s="46" t="n">
        <v>596</v>
      </c>
      <c r="D14" s="46" t="n">
        <v>550</v>
      </c>
      <c r="E14" s="46" t="n">
        <v>275</v>
      </c>
      <c r="F14" s="46" t="n">
        <v>917</v>
      </c>
      <c r="G14" s="46" t="n">
        <v>550</v>
      </c>
      <c r="H14" s="46" t="n">
        <v>412</v>
      </c>
      <c r="I14" s="46" t="n">
        <v>458</v>
      </c>
      <c r="J14" s="46" t="n">
        <v>183</v>
      </c>
      <c r="K14" s="46" t="n">
        <v>458</v>
      </c>
      <c r="L14" s="46" t="n">
        <v>183</v>
      </c>
      <c r="M14" s="46">
        <f>N14-SUM(C14:L14)</f>
        <v/>
      </c>
      <c r="N14" s="47" t="n">
        <v>6547</v>
      </c>
      <c r="O14" s="46" t="n">
        <v>134</v>
      </c>
      <c r="P14" s="46" t="n">
        <v>6</v>
      </c>
      <c r="Q14" s="46" t="n">
        <v>465</v>
      </c>
      <c r="R14" s="46" t="n">
        <v>3600</v>
      </c>
      <c r="S14" s="46" t="n">
        <v>450</v>
      </c>
      <c r="T14" s="46" t="n">
        <v>400</v>
      </c>
      <c r="U14" s="46" t="n">
        <v>226</v>
      </c>
      <c r="V14" s="46" t="n"/>
      <c r="W14" s="46" t="n">
        <v>435</v>
      </c>
      <c r="X14" s="46" t="n">
        <v>807</v>
      </c>
      <c r="Y14" s="46" t="n">
        <v>24</v>
      </c>
    </row>
    <row r="15">
      <c r="A15" s="78" t="n">
        <v>46094</v>
      </c>
      <c r="B15" s="45" t="inlineStr">
        <is>
          <t>N7</t>
        </is>
      </c>
      <c r="C15" s="46" t="n">
        <v>606</v>
      </c>
      <c r="D15" s="46" t="n">
        <v>559</v>
      </c>
      <c r="E15" s="46" t="n">
        <v>280</v>
      </c>
      <c r="F15" s="46" t="n">
        <v>932</v>
      </c>
      <c r="G15" s="46" t="n">
        <v>559</v>
      </c>
      <c r="H15" s="46" t="n">
        <v>419</v>
      </c>
      <c r="I15" s="46" t="n">
        <v>466</v>
      </c>
      <c r="J15" s="46" t="n">
        <v>186</v>
      </c>
      <c r="K15" s="46" t="n">
        <v>466</v>
      </c>
      <c r="L15" s="46" t="n">
        <v>186</v>
      </c>
      <c r="M15" s="46">
        <f>N15-SUM(C15:L15)</f>
        <v/>
      </c>
      <c r="N15" s="47" t="n">
        <v>6657</v>
      </c>
      <c r="O15" s="46" t="n">
        <v>134</v>
      </c>
      <c r="P15" s="46" t="n">
        <v>6</v>
      </c>
      <c r="Q15" s="46" t="n">
        <v>465</v>
      </c>
      <c r="R15" s="46" t="n">
        <v>3600</v>
      </c>
      <c r="S15" s="46" t="n">
        <v>450</v>
      </c>
      <c r="T15" s="46" t="n">
        <v>400</v>
      </c>
      <c r="U15" s="46" t="n">
        <v>226</v>
      </c>
      <c r="V15" s="46" t="n"/>
      <c r="W15" s="46" t="n">
        <v>435</v>
      </c>
      <c r="X15" s="46" t="n">
        <v>917</v>
      </c>
      <c r="Y15" s="46" t="n">
        <v>24</v>
      </c>
    </row>
    <row r="16">
      <c r="A16" s="78" t="n">
        <v>46095</v>
      </c>
      <c r="B16" s="45" t="inlineStr">
        <is>
          <t>N7</t>
        </is>
      </c>
      <c r="C16" s="46" t="n">
        <v>625</v>
      </c>
      <c r="D16" s="46" t="n">
        <v>577</v>
      </c>
      <c r="E16" s="46" t="n">
        <v>288</v>
      </c>
      <c r="F16" s="46" t="n">
        <v>961</v>
      </c>
      <c r="G16" s="46" t="n">
        <v>577</v>
      </c>
      <c r="H16" s="46" t="n">
        <v>433</v>
      </c>
      <c r="I16" s="46" t="n">
        <v>481</v>
      </c>
      <c r="J16" s="46" t="n">
        <v>192</v>
      </c>
      <c r="K16" s="46" t="n">
        <v>481</v>
      </c>
      <c r="L16" s="46" t="n">
        <v>192</v>
      </c>
      <c r="M16" s="46">
        <f>N16-SUM(C16:L16)</f>
        <v/>
      </c>
      <c r="N16" s="47" t="n">
        <v>6866</v>
      </c>
      <c r="O16" s="46" t="n">
        <v>134</v>
      </c>
      <c r="P16" s="46" t="n">
        <v>6</v>
      </c>
      <c r="Q16" s="46" t="n">
        <v>604</v>
      </c>
      <c r="R16" s="46" t="n">
        <v>3600</v>
      </c>
      <c r="S16" s="46" t="n">
        <v>500</v>
      </c>
      <c r="T16" s="46" t="n">
        <v>400</v>
      </c>
      <c r="U16" s="46" t="n">
        <v>226</v>
      </c>
      <c r="V16" s="46" t="n"/>
      <c r="W16" s="46" t="n">
        <v>435</v>
      </c>
      <c r="X16" s="46" t="n">
        <v>961</v>
      </c>
      <c r="Y16" s="46" t="n">
        <v>0</v>
      </c>
    </row>
    <row r="17">
      <c r="A17" s="78" t="n">
        <v>46096</v>
      </c>
      <c r="B17" s="45" t="inlineStr">
        <is>
          <t>N7</t>
        </is>
      </c>
      <c r="C17" s="46" t="n">
        <v>637</v>
      </c>
      <c r="D17" s="46" t="n">
        <v>588</v>
      </c>
      <c r="E17" s="46" t="n">
        <v>294</v>
      </c>
      <c r="F17" s="46" t="n">
        <v>980</v>
      </c>
      <c r="G17" s="46" t="n">
        <v>588</v>
      </c>
      <c r="H17" s="46" t="n">
        <v>441</v>
      </c>
      <c r="I17" s="46" t="n">
        <v>490</v>
      </c>
      <c r="J17" s="46" t="n">
        <v>196</v>
      </c>
      <c r="K17" s="46" t="n">
        <v>490</v>
      </c>
      <c r="L17" s="46" t="n">
        <v>196</v>
      </c>
      <c r="M17" s="46">
        <f>N17-SUM(C17:L17)</f>
        <v/>
      </c>
      <c r="N17" s="47" t="n">
        <v>6997</v>
      </c>
      <c r="O17" s="46" t="n">
        <v>134</v>
      </c>
      <c r="P17" s="46" t="n">
        <v>6</v>
      </c>
      <c r="Q17" s="46" t="n">
        <v>604</v>
      </c>
      <c r="R17" s="46" t="n">
        <v>3600</v>
      </c>
      <c r="S17" s="46" t="n">
        <v>500</v>
      </c>
      <c r="T17" s="46" t="n">
        <v>400</v>
      </c>
      <c r="U17" s="46" t="n">
        <v>226</v>
      </c>
      <c r="V17" s="46" t="n"/>
      <c r="W17" s="46" t="n">
        <v>435</v>
      </c>
      <c r="X17" s="46" t="n">
        <v>1092</v>
      </c>
      <c r="Y17" s="46" t="n">
        <v>0</v>
      </c>
    </row>
    <row r="18">
      <c r="A18" s="78" t="n">
        <v>46097</v>
      </c>
      <c r="B18" s="45" t="inlineStr">
        <is>
          <t>N7</t>
        </is>
      </c>
      <c r="C18" s="46" t="n">
        <v>625</v>
      </c>
      <c r="D18" s="46" t="n">
        <v>577</v>
      </c>
      <c r="E18" s="46" t="n">
        <v>289</v>
      </c>
      <c r="F18" s="46" t="n">
        <v>962</v>
      </c>
      <c r="G18" s="46" t="n">
        <v>577</v>
      </c>
      <c r="H18" s="46" t="n">
        <v>433</v>
      </c>
      <c r="I18" s="46" t="n">
        <v>481</v>
      </c>
      <c r="J18" s="46" t="n">
        <v>192</v>
      </c>
      <c r="K18" s="46" t="n">
        <v>481</v>
      </c>
      <c r="L18" s="46" t="n">
        <v>192</v>
      </c>
      <c r="M18" s="46">
        <f>N18-SUM(C18:L18)</f>
        <v/>
      </c>
      <c r="N18" s="47" t="n">
        <v>6871</v>
      </c>
      <c r="O18" s="46" t="n">
        <v>133</v>
      </c>
      <c r="P18" s="46" t="n">
        <v>6</v>
      </c>
      <c r="Q18" s="46" t="n">
        <v>465</v>
      </c>
      <c r="R18" s="46" t="n">
        <v>3600</v>
      </c>
      <c r="S18" s="46" t="n">
        <v>450</v>
      </c>
      <c r="T18" s="46" t="n">
        <v>400</v>
      </c>
      <c r="U18" s="46" t="n">
        <v>226</v>
      </c>
      <c r="V18" s="46" t="n"/>
      <c r="W18" s="46" t="n">
        <v>435</v>
      </c>
      <c r="X18" s="46" t="n">
        <v>1132</v>
      </c>
      <c r="Y18" s="46" t="n">
        <v>24</v>
      </c>
    </row>
    <row r="19">
      <c r="A19" s="78" t="n">
        <v>46098</v>
      </c>
      <c r="B19" s="45" t="inlineStr">
        <is>
          <t>N7</t>
        </is>
      </c>
      <c r="C19" s="46" t="n">
        <v>615</v>
      </c>
      <c r="D19" s="46" t="n">
        <v>568</v>
      </c>
      <c r="E19" s="46" t="n">
        <v>284</v>
      </c>
      <c r="F19" s="46" t="n">
        <v>946</v>
      </c>
      <c r="G19" s="46" t="n">
        <v>568</v>
      </c>
      <c r="H19" s="46" t="n">
        <v>426</v>
      </c>
      <c r="I19" s="46" t="n">
        <v>473</v>
      </c>
      <c r="J19" s="46" t="n">
        <v>189</v>
      </c>
      <c r="K19" s="46" t="n">
        <v>473</v>
      </c>
      <c r="L19" s="46" t="n">
        <v>189</v>
      </c>
      <c r="M19" s="46">
        <f>N19-SUM(C19:L19)</f>
        <v/>
      </c>
      <c r="N19" s="47" t="n">
        <v>6757</v>
      </c>
      <c r="O19" s="46" t="n">
        <v>133</v>
      </c>
      <c r="P19" s="46" t="n">
        <v>6</v>
      </c>
      <c r="Q19" s="46" t="n">
        <v>465</v>
      </c>
      <c r="R19" s="46" t="n">
        <v>3600</v>
      </c>
      <c r="S19" s="46" t="n">
        <v>450</v>
      </c>
      <c r="T19" s="46" t="n">
        <v>600</v>
      </c>
      <c r="U19" s="46" t="n">
        <v>0</v>
      </c>
      <c r="V19" s="46" t="n"/>
      <c r="W19" s="46" t="n">
        <v>435</v>
      </c>
      <c r="X19" s="46" t="n">
        <v>1044</v>
      </c>
      <c r="Y19" s="46" t="n">
        <v>24</v>
      </c>
    </row>
    <row r="20">
      <c r="A20" s="78" t="n">
        <v>46099</v>
      </c>
      <c r="B20" s="45" t="inlineStr">
        <is>
          <t>N7</t>
        </is>
      </c>
      <c r="C20" s="46" t="n">
        <v>520</v>
      </c>
      <c r="D20" s="46" t="n">
        <v>480</v>
      </c>
      <c r="E20" s="46" t="n">
        <v>240</v>
      </c>
      <c r="F20" s="46" t="n">
        <v>800</v>
      </c>
      <c r="G20" s="46" t="n">
        <v>480</v>
      </c>
      <c r="H20" s="46" t="n">
        <v>360</v>
      </c>
      <c r="I20" s="46" t="n">
        <v>400</v>
      </c>
      <c r="J20" s="46" t="n">
        <v>160</v>
      </c>
      <c r="K20" s="46" t="n">
        <v>400</v>
      </c>
      <c r="L20" s="46" t="n">
        <v>160</v>
      </c>
      <c r="M20" s="46">
        <f>N20-SUM(C20:L20)</f>
        <v/>
      </c>
      <c r="N20" s="47" t="n">
        <v>5711</v>
      </c>
      <c r="O20" s="46" t="n">
        <v>133</v>
      </c>
      <c r="P20" s="46" t="n">
        <v>6</v>
      </c>
      <c r="Q20" s="46" t="n">
        <v>465</v>
      </c>
      <c r="R20" s="46" t="n">
        <v>2556</v>
      </c>
      <c r="S20" s="46" t="n">
        <v>450</v>
      </c>
      <c r="T20" s="46" t="n">
        <v>600</v>
      </c>
      <c r="U20" s="46" t="n">
        <v>0</v>
      </c>
      <c r="V20" s="46" t="n"/>
      <c r="W20" s="46" t="n">
        <v>435</v>
      </c>
      <c r="X20" s="46" t="n">
        <v>1042</v>
      </c>
      <c r="Y20" s="46" t="n">
        <v>24</v>
      </c>
    </row>
    <row r="21">
      <c r="A21" s="78" t="n">
        <v>46100</v>
      </c>
      <c r="B21" s="45" t="inlineStr">
        <is>
          <t>N7</t>
        </is>
      </c>
      <c r="C21" s="46" t="n">
        <v>469</v>
      </c>
      <c r="D21" s="46" t="n">
        <v>433</v>
      </c>
      <c r="E21" s="46" t="n">
        <v>216</v>
      </c>
      <c r="F21" s="46" t="n">
        <v>721</v>
      </c>
      <c r="G21" s="46" t="n">
        <v>433</v>
      </c>
      <c r="H21" s="46" t="n">
        <v>325</v>
      </c>
      <c r="I21" s="46" t="n">
        <v>361</v>
      </c>
      <c r="J21" s="46" t="n">
        <v>144</v>
      </c>
      <c r="K21" s="46" t="n">
        <v>361</v>
      </c>
      <c r="L21" s="46" t="n">
        <v>144</v>
      </c>
      <c r="M21" s="46">
        <f>N21-SUM(C21:L21)</f>
        <v/>
      </c>
      <c r="N21" s="47" t="n">
        <v>5151</v>
      </c>
      <c r="O21" s="46" t="n">
        <v>133</v>
      </c>
      <c r="P21" s="46" t="n">
        <v>6</v>
      </c>
      <c r="Q21" s="46" t="n">
        <v>465</v>
      </c>
      <c r="R21" s="46" t="n">
        <v>1941</v>
      </c>
      <c r="S21" s="46" t="n">
        <v>450</v>
      </c>
      <c r="T21" s="46" t="n">
        <v>600</v>
      </c>
      <c r="U21" s="46" t="n">
        <v>0</v>
      </c>
      <c r="V21" s="46" t="n"/>
      <c r="W21" s="46" t="n">
        <v>435</v>
      </c>
      <c r="X21" s="46" t="n">
        <v>1097</v>
      </c>
      <c r="Y21" s="46" t="n">
        <v>24</v>
      </c>
    </row>
    <row r="22">
      <c r="A22" s="78" t="n">
        <v>46101</v>
      </c>
      <c r="B22" s="45" t="inlineStr">
        <is>
          <t>N7</t>
        </is>
      </c>
      <c r="C22" s="46" t="n">
        <v>464</v>
      </c>
      <c r="D22" s="46" t="n">
        <v>428</v>
      </c>
      <c r="E22" s="46" t="n">
        <v>214</v>
      </c>
      <c r="F22" s="46" t="n">
        <v>714</v>
      </c>
      <c r="G22" s="46" t="n">
        <v>428</v>
      </c>
      <c r="H22" s="46" t="n">
        <v>321</v>
      </c>
      <c r="I22" s="46" t="n">
        <v>357</v>
      </c>
      <c r="J22" s="46" t="n">
        <v>143</v>
      </c>
      <c r="K22" s="46" t="n">
        <v>357</v>
      </c>
      <c r="L22" s="46" t="n">
        <v>143</v>
      </c>
      <c r="M22" s="46">
        <f>N22-SUM(C22:L22)</f>
        <v/>
      </c>
      <c r="N22" s="47" t="n">
        <v>5098</v>
      </c>
      <c r="O22" s="46" t="n">
        <v>133</v>
      </c>
      <c r="P22" s="46" t="n">
        <v>6</v>
      </c>
      <c r="Q22" s="46" t="n">
        <v>465</v>
      </c>
      <c r="R22" s="46" t="n">
        <v>1941</v>
      </c>
      <c r="S22" s="46" t="n">
        <v>450</v>
      </c>
      <c r="T22" s="46" t="n">
        <v>600</v>
      </c>
      <c r="U22" s="46" t="n">
        <v>0</v>
      </c>
      <c r="V22" s="46" t="n"/>
      <c r="W22" s="46" t="n">
        <v>435</v>
      </c>
      <c r="X22" s="46" t="n">
        <v>1044</v>
      </c>
      <c r="Y22" s="46" t="n">
        <v>24</v>
      </c>
    </row>
    <row r="23">
      <c r="A23" s="78" t="n">
        <v>46102</v>
      </c>
      <c r="B23" s="45" t="inlineStr">
        <is>
          <t>N7</t>
        </is>
      </c>
      <c r="C23" s="46" t="n">
        <v>494</v>
      </c>
      <c r="D23" s="46" t="n">
        <v>456</v>
      </c>
      <c r="E23" s="46" t="n">
        <v>228</v>
      </c>
      <c r="F23" s="46" t="n">
        <v>760</v>
      </c>
      <c r="G23" s="46" t="n">
        <v>456</v>
      </c>
      <c r="H23" s="46" t="n">
        <v>342</v>
      </c>
      <c r="I23" s="46" t="n">
        <v>380</v>
      </c>
      <c r="J23" s="46" t="n">
        <v>152</v>
      </c>
      <c r="K23" s="46" t="n">
        <v>380</v>
      </c>
      <c r="L23" s="46" t="n">
        <v>152</v>
      </c>
      <c r="M23" s="46">
        <f>N23-SUM(C23:L23)</f>
        <v/>
      </c>
      <c r="N23" s="47" t="n">
        <v>5427</v>
      </c>
      <c r="O23" s="46" t="n">
        <v>133</v>
      </c>
      <c r="P23" s="46" t="n">
        <v>6</v>
      </c>
      <c r="Q23" s="46" t="n">
        <v>659</v>
      </c>
      <c r="R23" s="46" t="n">
        <v>1941</v>
      </c>
      <c r="S23" s="46" t="n">
        <v>500</v>
      </c>
      <c r="T23" s="46" t="n">
        <v>700</v>
      </c>
      <c r="U23" s="46" t="n">
        <v>0</v>
      </c>
      <c r="V23" s="46" t="n"/>
      <c r="W23" s="46" t="n">
        <v>435</v>
      </c>
      <c r="X23" s="46" t="n">
        <v>1053</v>
      </c>
      <c r="Y23" s="46" t="n">
        <v>0</v>
      </c>
    </row>
    <row r="24">
      <c r="A24" s="78" t="n">
        <v>46103</v>
      </c>
      <c r="B24" s="45" t="inlineStr">
        <is>
          <t>N7</t>
        </is>
      </c>
      <c r="C24" s="46" t="n">
        <v>652</v>
      </c>
      <c r="D24" s="46" t="n">
        <v>602</v>
      </c>
      <c r="E24" s="46" t="n">
        <v>301</v>
      </c>
      <c r="F24" s="46" t="n">
        <v>1004</v>
      </c>
      <c r="G24" s="46" t="n">
        <v>602</v>
      </c>
      <c r="H24" s="46" t="n">
        <v>452</v>
      </c>
      <c r="I24" s="46" t="n">
        <v>502</v>
      </c>
      <c r="J24" s="46" t="n">
        <v>201</v>
      </c>
      <c r="K24" s="46" t="n">
        <v>502</v>
      </c>
      <c r="L24" s="46" t="n">
        <v>201</v>
      </c>
      <c r="M24" s="46">
        <f>N24-SUM(C24:L24)</f>
        <v/>
      </c>
      <c r="N24" s="47" t="n">
        <v>7168</v>
      </c>
      <c r="O24" s="46" t="n">
        <v>133</v>
      </c>
      <c r="P24" s="46" t="n">
        <v>6</v>
      </c>
      <c r="Q24" s="46" t="n">
        <v>659</v>
      </c>
      <c r="R24" s="46" t="n">
        <v>3600</v>
      </c>
      <c r="S24" s="46" t="n">
        <v>500</v>
      </c>
      <c r="T24" s="46" t="n">
        <v>700</v>
      </c>
      <c r="U24" s="46" t="n">
        <v>0</v>
      </c>
      <c r="V24" s="46" t="n"/>
      <c r="W24" s="46" t="n">
        <v>435</v>
      </c>
      <c r="X24" s="46" t="n">
        <v>1135</v>
      </c>
      <c r="Y24" s="46" t="n">
        <v>0</v>
      </c>
    </row>
    <row r="25">
      <c r="A25" s="78" t="n">
        <v>46104</v>
      </c>
      <c r="B25" s="45" t="inlineStr">
        <is>
          <t>N7</t>
        </is>
      </c>
      <c r="C25" s="46" t="n">
        <v>488</v>
      </c>
      <c r="D25" s="46" t="n">
        <v>451</v>
      </c>
      <c r="E25" s="46" t="n">
        <v>225</v>
      </c>
      <c r="F25" s="46" t="n">
        <v>751</v>
      </c>
      <c r="G25" s="46" t="n">
        <v>451</v>
      </c>
      <c r="H25" s="46" t="n">
        <v>338</v>
      </c>
      <c r="I25" s="46" t="n">
        <v>376</v>
      </c>
      <c r="J25" s="46" t="n">
        <v>150</v>
      </c>
      <c r="K25" s="46" t="n">
        <v>376</v>
      </c>
      <c r="L25" s="46" t="n">
        <v>150</v>
      </c>
      <c r="M25" s="46">
        <f>N25-SUM(C25:L25)</f>
        <v/>
      </c>
      <c r="N25" s="47" t="n">
        <v>5367</v>
      </c>
      <c r="O25" s="46" t="n">
        <v>133</v>
      </c>
      <c r="P25" s="46" t="n">
        <v>6</v>
      </c>
      <c r="Q25" s="46" t="n">
        <v>507</v>
      </c>
      <c r="R25" s="46" t="n">
        <v>1941</v>
      </c>
      <c r="S25" s="46" t="n">
        <v>450</v>
      </c>
      <c r="T25" s="46" t="n">
        <v>700</v>
      </c>
      <c r="U25" s="46" t="n">
        <v>0</v>
      </c>
      <c r="V25" s="46" t="n"/>
      <c r="W25" s="46" t="n">
        <v>435</v>
      </c>
      <c r="X25" s="46" t="n">
        <v>1171</v>
      </c>
      <c r="Y25" s="46" t="n">
        <v>24</v>
      </c>
    </row>
    <row r="26">
      <c r="A26" s="78" t="n">
        <v>46105</v>
      </c>
      <c r="B26" s="45" t="inlineStr">
        <is>
          <t>N7</t>
        </is>
      </c>
      <c r="C26" s="46" t="n">
        <v>479</v>
      </c>
      <c r="D26" s="46" t="n">
        <v>442</v>
      </c>
      <c r="E26" s="46" t="n">
        <v>221</v>
      </c>
      <c r="F26" s="46" t="n">
        <v>737</v>
      </c>
      <c r="G26" s="46" t="n">
        <v>442</v>
      </c>
      <c r="H26" s="46" t="n">
        <v>332</v>
      </c>
      <c r="I26" s="46" t="n">
        <v>368</v>
      </c>
      <c r="J26" s="46" t="n">
        <v>147</v>
      </c>
      <c r="K26" s="46" t="n">
        <v>368</v>
      </c>
      <c r="L26" s="46" t="n">
        <v>147</v>
      </c>
      <c r="M26" s="46">
        <f>N26-SUM(C26:L26)</f>
        <v/>
      </c>
      <c r="N26" s="47" t="n">
        <v>5262</v>
      </c>
      <c r="O26" s="46" t="n">
        <v>133</v>
      </c>
      <c r="P26" s="46" t="n">
        <v>6</v>
      </c>
      <c r="Q26" s="46" t="n">
        <v>507</v>
      </c>
      <c r="R26" s="46" t="n">
        <v>1941</v>
      </c>
      <c r="S26" s="46" t="n">
        <v>450</v>
      </c>
      <c r="T26" s="46" t="n">
        <v>700</v>
      </c>
      <c r="U26" s="46" t="n">
        <v>0</v>
      </c>
      <c r="V26" s="46" t="n"/>
      <c r="W26" s="46" t="n">
        <v>435</v>
      </c>
      <c r="X26" s="46" t="n">
        <v>1066</v>
      </c>
      <c r="Y26" s="46" t="n">
        <v>24</v>
      </c>
    </row>
    <row r="27">
      <c r="A27" s="78" t="n">
        <v>46106</v>
      </c>
      <c r="B27" s="45" t="inlineStr">
        <is>
          <t>N7</t>
        </is>
      </c>
      <c r="C27" s="46" t="n">
        <v>479</v>
      </c>
      <c r="D27" s="46" t="n">
        <v>442</v>
      </c>
      <c r="E27" s="46" t="n">
        <v>221</v>
      </c>
      <c r="F27" s="46" t="n">
        <v>737</v>
      </c>
      <c r="G27" s="46" t="n">
        <v>442</v>
      </c>
      <c r="H27" s="46" t="n">
        <v>332</v>
      </c>
      <c r="I27" s="46" t="n">
        <v>368</v>
      </c>
      <c r="J27" s="46" t="n">
        <v>147</v>
      </c>
      <c r="K27" s="46" t="n">
        <v>368</v>
      </c>
      <c r="L27" s="46" t="n">
        <v>147</v>
      </c>
      <c r="M27" s="46">
        <f>N27-SUM(C27:L27)</f>
        <v/>
      </c>
      <c r="N27" s="47" t="n">
        <v>5263</v>
      </c>
      <c r="O27" s="46" t="n">
        <v>133</v>
      </c>
      <c r="P27" s="46" t="n">
        <v>6</v>
      </c>
      <c r="Q27" s="46" t="n">
        <v>507</v>
      </c>
      <c r="R27" s="46" t="n">
        <v>1941</v>
      </c>
      <c r="S27" s="46" t="n">
        <v>450</v>
      </c>
      <c r="T27" s="46" t="n">
        <v>700</v>
      </c>
      <c r="U27" s="46" t="n">
        <v>0</v>
      </c>
      <c r="V27" s="46" t="n"/>
      <c r="W27" s="46" t="n">
        <v>435</v>
      </c>
      <c r="X27" s="46" t="n">
        <v>1067</v>
      </c>
      <c r="Y27" s="46" t="n">
        <v>24</v>
      </c>
    </row>
    <row r="28">
      <c r="A28" s="78" t="n">
        <v>46107</v>
      </c>
      <c r="B28" s="45" t="inlineStr">
        <is>
          <t>N7</t>
        </is>
      </c>
      <c r="C28" s="46" t="n">
        <v>415</v>
      </c>
      <c r="D28" s="46" t="n">
        <v>383</v>
      </c>
      <c r="E28" s="46" t="n">
        <v>192</v>
      </c>
      <c r="F28" s="46" t="n">
        <v>639</v>
      </c>
      <c r="G28" s="46" t="n">
        <v>383</v>
      </c>
      <c r="H28" s="46" t="n">
        <v>288</v>
      </c>
      <c r="I28" s="46" t="n">
        <v>320</v>
      </c>
      <c r="J28" s="46" t="n">
        <v>128</v>
      </c>
      <c r="K28" s="46" t="n">
        <v>320</v>
      </c>
      <c r="L28" s="46" t="n">
        <v>128</v>
      </c>
      <c r="M28" s="46">
        <f>N28-SUM(C28:L28)</f>
        <v/>
      </c>
      <c r="N28" s="47" t="n">
        <v>4565</v>
      </c>
      <c r="O28" s="46" t="n">
        <v>133</v>
      </c>
      <c r="P28" s="46" t="n">
        <v>6</v>
      </c>
      <c r="Q28" s="46" t="n">
        <v>507</v>
      </c>
      <c r="R28" s="46" t="n">
        <v>1000</v>
      </c>
      <c r="S28" s="46" t="n">
        <v>450</v>
      </c>
      <c r="T28" s="46" t="n">
        <v>700</v>
      </c>
      <c r="U28" s="46" t="n">
        <v>240</v>
      </c>
      <c r="V28" s="46" t="n"/>
      <c r="W28" s="46" t="n">
        <v>438</v>
      </c>
      <c r="X28" s="46" t="n">
        <v>1067</v>
      </c>
      <c r="Y28" s="46" t="n">
        <v>24</v>
      </c>
    </row>
    <row r="29">
      <c r="A29" s="78" t="n">
        <v>46108</v>
      </c>
      <c r="B29" s="45" t="inlineStr">
        <is>
          <t>N7</t>
        </is>
      </c>
      <c r="C29" s="46" t="n">
        <v>427</v>
      </c>
      <c r="D29" s="46" t="n">
        <v>394</v>
      </c>
      <c r="E29" s="46" t="n">
        <v>197</v>
      </c>
      <c r="F29" s="46" t="n">
        <v>656</v>
      </c>
      <c r="G29" s="46" t="n">
        <v>394</v>
      </c>
      <c r="H29" s="46" t="n">
        <v>295</v>
      </c>
      <c r="I29" s="46" t="n">
        <v>328</v>
      </c>
      <c r="J29" s="46" t="n">
        <v>131</v>
      </c>
      <c r="K29" s="46" t="n">
        <v>328</v>
      </c>
      <c r="L29" s="46" t="n">
        <v>131</v>
      </c>
      <c r="M29" s="46">
        <f>N29-SUM(C29:L29)</f>
        <v/>
      </c>
      <c r="N29" s="47" t="n">
        <v>4687</v>
      </c>
      <c r="O29" s="46" t="n">
        <v>133</v>
      </c>
      <c r="P29" s="46" t="n">
        <v>6</v>
      </c>
      <c r="Q29" s="46" t="n">
        <v>507</v>
      </c>
      <c r="R29" s="46" t="n">
        <v>1000</v>
      </c>
      <c r="S29" s="46" t="n">
        <v>450</v>
      </c>
      <c r="T29" s="46" t="n">
        <v>700</v>
      </c>
      <c r="U29" s="46" t="n">
        <v>353</v>
      </c>
      <c r="V29" s="46" t="n"/>
      <c r="W29" s="46" t="n">
        <v>435</v>
      </c>
      <c r="X29" s="46" t="n">
        <v>1079</v>
      </c>
      <c r="Y29" s="46" t="n">
        <v>24</v>
      </c>
    </row>
    <row r="30">
      <c r="A30" s="78" t="n">
        <v>46109</v>
      </c>
      <c r="B30" s="45" t="inlineStr">
        <is>
          <t>N7</t>
        </is>
      </c>
      <c r="C30" s="46" t="n">
        <v>450</v>
      </c>
      <c r="D30" s="46" t="n">
        <v>415</v>
      </c>
      <c r="E30" s="46" t="n">
        <v>208</v>
      </c>
      <c r="F30" s="46" t="n">
        <v>692</v>
      </c>
      <c r="G30" s="46" t="n">
        <v>415</v>
      </c>
      <c r="H30" s="46" t="n">
        <v>312</v>
      </c>
      <c r="I30" s="46" t="n">
        <v>346</v>
      </c>
      <c r="J30" s="46" t="n">
        <v>138</v>
      </c>
      <c r="K30" s="46" t="n">
        <v>346</v>
      </c>
      <c r="L30" s="46" t="n">
        <v>138</v>
      </c>
      <c r="M30" s="46">
        <f>N30-SUM(C30:L30)</f>
        <v/>
      </c>
      <c r="N30" s="47" t="n">
        <v>4945</v>
      </c>
      <c r="O30" s="46" t="n">
        <v>133</v>
      </c>
      <c r="P30" s="46" t="n">
        <v>6</v>
      </c>
      <c r="Q30" s="46" t="n">
        <v>659</v>
      </c>
      <c r="R30" s="46" t="n">
        <v>1000</v>
      </c>
      <c r="S30" s="46" t="n">
        <v>500</v>
      </c>
      <c r="T30" s="46" t="n">
        <v>700</v>
      </c>
      <c r="U30" s="46" t="n">
        <v>353</v>
      </c>
      <c r="V30" s="46" t="n"/>
      <c r="W30" s="46" t="n">
        <v>440</v>
      </c>
      <c r="X30" s="46" t="n">
        <v>1154</v>
      </c>
      <c r="Y30" s="46" t="n">
        <v>0</v>
      </c>
    </row>
    <row r="31">
      <c r="A31" s="78" t="n">
        <v>46110</v>
      </c>
      <c r="B31" s="45" t="inlineStr">
        <is>
          <t>N7</t>
        </is>
      </c>
      <c r="C31" s="46" t="n">
        <v>453</v>
      </c>
      <c r="D31" s="46" t="n">
        <v>418</v>
      </c>
      <c r="E31" s="46" t="n">
        <v>209</v>
      </c>
      <c r="F31" s="46" t="n">
        <v>697</v>
      </c>
      <c r="G31" s="46" t="n">
        <v>418</v>
      </c>
      <c r="H31" s="46" t="n">
        <v>313</v>
      </c>
      <c r="I31" s="46" t="n">
        <v>348</v>
      </c>
      <c r="J31" s="46" t="n">
        <v>139</v>
      </c>
      <c r="K31" s="46" t="n">
        <v>348</v>
      </c>
      <c r="L31" s="46" t="n">
        <v>139</v>
      </c>
      <c r="M31" s="46">
        <f>N31-SUM(C31:L31)</f>
        <v/>
      </c>
      <c r="N31" s="47" t="n">
        <v>4975</v>
      </c>
      <c r="O31" s="46" t="n">
        <v>133</v>
      </c>
      <c r="P31" s="46" t="n">
        <v>6</v>
      </c>
      <c r="Q31" s="46" t="n">
        <v>659</v>
      </c>
      <c r="R31" s="46" t="n">
        <v>1000</v>
      </c>
      <c r="S31" s="46" t="n">
        <v>500</v>
      </c>
      <c r="T31" s="46" t="n">
        <v>700</v>
      </c>
      <c r="U31" s="46" t="n">
        <v>347</v>
      </c>
      <c r="V31" s="46" t="n"/>
      <c r="W31" s="46" t="n">
        <v>440</v>
      </c>
      <c r="X31" s="46" t="n">
        <v>1190</v>
      </c>
      <c r="Y31" s="46" t="n">
        <v>0</v>
      </c>
    </row>
    <row r="32">
      <c r="A32" s="78" t="n">
        <v>46111</v>
      </c>
      <c r="B32" s="45" t="inlineStr">
        <is>
          <t>N7</t>
        </is>
      </c>
      <c r="C32" s="46" t="n">
        <v>390</v>
      </c>
      <c r="D32" s="46" t="n">
        <v>360</v>
      </c>
      <c r="E32" s="46" t="n">
        <v>180</v>
      </c>
      <c r="F32" s="46" t="n">
        <v>600</v>
      </c>
      <c r="G32" s="46" t="n">
        <v>360</v>
      </c>
      <c r="H32" s="46" t="n">
        <v>270</v>
      </c>
      <c r="I32" s="46" t="n">
        <v>300</v>
      </c>
      <c r="J32" s="46" t="n">
        <v>120</v>
      </c>
      <c r="K32" s="46" t="n">
        <v>300</v>
      </c>
      <c r="L32" s="46" t="n">
        <v>120</v>
      </c>
      <c r="M32" s="46">
        <f>N32-SUM(C32:L32)</f>
        <v/>
      </c>
      <c r="N32" s="47" t="n">
        <v>4288</v>
      </c>
      <c r="O32" s="46" t="n">
        <v>133</v>
      </c>
      <c r="P32" s="46" t="n">
        <v>6</v>
      </c>
      <c r="Q32" s="46" t="n">
        <v>507</v>
      </c>
      <c r="R32" s="46" t="n">
        <v>1000</v>
      </c>
      <c r="S32" s="46" t="n">
        <v>400</v>
      </c>
      <c r="T32" s="46" t="n">
        <v>700</v>
      </c>
      <c r="U32" s="46" t="n">
        <v>0</v>
      </c>
      <c r="V32" s="46" t="n"/>
      <c r="W32" s="46" t="n">
        <v>440</v>
      </c>
      <c r="X32" s="46" t="n">
        <v>1079</v>
      </c>
      <c r="Y32" s="46" t="n">
        <v>23</v>
      </c>
    </row>
    <row r="33">
      <c r="A33" s="78" t="n">
        <v>46112</v>
      </c>
      <c r="B33" s="45" t="inlineStr">
        <is>
          <t>N7</t>
        </is>
      </c>
      <c r="C33" s="46" t="n">
        <v>397</v>
      </c>
      <c r="D33" s="46" t="n">
        <v>366</v>
      </c>
      <c r="E33" s="46" t="n">
        <v>183</v>
      </c>
      <c r="F33" s="46" t="n">
        <v>610</v>
      </c>
      <c r="G33" s="46" t="n">
        <v>366</v>
      </c>
      <c r="H33" s="46" t="n">
        <v>275</v>
      </c>
      <c r="I33" s="46" t="n">
        <v>305</v>
      </c>
      <c r="J33" s="46" t="n">
        <v>122</v>
      </c>
      <c r="K33" s="46" t="n">
        <v>305</v>
      </c>
      <c r="L33" s="46" t="n">
        <v>122</v>
      </c>
      <c r="M33" s="46">
        <f>N33-SUM(C33:L33)</f>
        <v/>
      </c>
      <c r="N33" s="47" t="n">
        <v>4359</v>
      </c>
      <c r="O33" s="46" t="n">
        <v>133</v>
      </c>
      <c r="P33" s="46" t="n">
        <v>6</v>
      </c>
      <c r="Q33" s="46" t="n">
        <v>507</v>
      </c>
      <c r="R33" s="46" t="n">
        <v>1000</v>
      </c>
      <c r="S33" s="46" t="n">
        <v>410</v>
      </c>
      <c r="T33" s="46" t="n">
        <v>827</v>
      </c>
      <c r="U33" s="46" t="n">
        <v>0</v>
      </c>
      <c r="V33" s="46" t="n"/>
      <c r="W33" s="46" t="n">
        <v>440</v>
      </c>
      <c r="X33" s="46" t="n">
        <v>1013</v>
      </c>
      <c r="Y33" s="46" t="n">
        <v>23</v>
      </c>
    </row>
    <row r="34">
      <c r="A34" s="78" t="n">
        <v>46113</v>
      </c>
      <c r="B34" s="45" t="inlineStr">
        <is>
          <t>N7</t>
        </is>
      </c>
      <c r="C34" s="48" t="n">
        <v>234.1124096888525</v>
      </c>
      <c r="D34" s="48" t="n">
        <v>229.7891877583777</v>
      </c>
      <c r="E34" s="48" t="n">
        <v>174.5381789356677</v>
      </c>
      <c r="F34" s="48" t="n">
        <v>438.3065122030088</v>
      </c>
      <c r="G34" s="48" t="n">
        <v>250.3104272747496</v>
      </c>
      <c r="H34" s="48" t="n">
        <v>202.6109921769889</v>
      </c>
      <c r="I34" s="48" t="n">
        <v>223.1316444426958</v>
      </c>
      <c r="J34" s="48" t="n">
        <v>125.6213732136208</v>
      </c>
      <c r="K34" s="48" t="n">
        <v>247.0820754802724</v>
      </c>
      <c r="L34" s="48" t="n">
        <v>84.39719882576443</v>
      </c>
      <c r="M34" s="46">
        <f>N34-SUM(C34:L34)</f>
        <v/>
      </c>
      <c r="N34" s="49" t="n">
        <v>3157</v>
      </c>
      <c r="O34" s="48" t="n">
        <v>158</v>
      </c>
      <c r="P34" s="48" t="n">
        <v>3</v>
      </c>
      <c r="Q34" s="48" t="n">
        <v>391</v>
      </c>
      <c r="R34" s="48" t="n">
        <v>813</v>
      </c>
      <c r="S34" s="48" t="n">
        <v>260</v>
      </c>
      <c r="T34" s="48" t="n">
        <v>261</v>
      </c>
      <c r="U34" s="48" t="n">
        <v>182</v>
      </c>
      <c r="V34" s="48" t="n"/>
      <c r="W34" s="48" t="n">
        <v>477</v>
      </c>
      <c r="X34" s="48" t="n">
        <v>548</v>
      </c>
      <c r="Y34" s="48" t="n">
        <v>64</v>
      </c>
    </row>
    <row r="35">
      <c r="A35" s="78" t="n">
        <v>46114</v>
      </c>
      <c r="B35" s="45" t="inlineStr">
        <is>
          <t>N7</t>
        </is>
      </c>
      <c r="C35" s="48" t="n">
        <v>236.2629513046196</v>
      </c>
      <c r="D35" s="48" t="n">
        <v>231.9000165341119</v>
      </c>
      <c r="E35" s="48" t="n">
        <v>176.141475479581</v>
      </c>
      <c r="F35" s="48" t="n">
        <v>442.3327677791531</v>
      </c>
      <c r="G35" s="48" t="n">
        <v>252.6097628436339</v>
      </c>
      <c r="H35" s="48" t="n">
        <v>204.4721637871038</v>
      </c>
      <c r="I35" s="48" t="n">
        <v>225.1813174515137</v>
      </c>
      <c r="J35" s="48" t="n">
        <v>126.7753231101033</v>
      </c>
      <c r="K35" s="48" t="n">
        <v>249.3517556161381</v>
      </c>
      <c r="L35" s="48" t="n">
        <v>85.17246609404039</v>
      </c>
      <c r="M35" s="46">
        <f>N35-SUM(C35:L35)</f>
        <v/>
      </c>
      <c r="N35" s="49" t="n">
        <v>3186</v>
      </c>
      <c r="O35" s="48" t="n">
        <v>164</v>
      </c>
      <c r="P35" s="48" t="n">
        <v>6</v>
      </c>
      <c r="Q35" s="48" t="n">
        <v>391</v>
      </c>
      <c r="R35" s="48" t="n">
        <v>820</v>
      </c>
      <c r="S35" s="48" t="n">
        <v>268</v>
      </c>
      <c r="T35" s="48" t="n">
        <v>268</v>
      </c>
      <c r="U35" s="48" t="n">
        <v>182</v>
      </c>
      <c r="V35" s="48" t="n"/>
      <c r="W35" s="48" t="n">
        <v>477</v>
      </c>
      <c r="X35" s="48" t="n">
        <v>546</v>
      </c>
      <c r="Y35" s="48" t="n">
        <v>64</v>
      </c>
    </row>
    <row r="36">
      <c r="A36" s="78" t="n">
        <v>46115</v>
      </c>
      <c r="B36" s="45" t="inlineStr">
        <is>
          <t>N7</t>
        </is>
      </c>
      <c r="C36" s="48" t="n">
        <v>236.1146380897391</v>
      </c>
      <c r="D36" s="48" t="n">
        <v>231.7544421357854</v>
      </c>
      <c r="E36" s="48" t="n">
        <v>176.0309033041387</v>
      </c>
      <c r="F36" s="48" t="n">
        <v>442.0550949807983</v>
      </c>
      <c r="G36" s="48" t="n">
        <v>252.4511879768143</v>
      </c>
      <c r="H36" s="48" t="n">
        <v>204.3438071243373</v>
      </c>
      <c r="I36" s="48" t="n">
        <v>225.0399606922849</v>
      </c>
      <c r="J36" s="48" t="n">
        <v>126.6957403586217</v>
      </c>
      <c r="K36" s="48" t="n">
        <v>249.1952259515956</v>
      </c>
      <c r="L36" s="48" t="n">
        <v>85.11899938588343</v>
      </c>
      <c r="M36" s="46">
        <f>N36-SUM(C36:L36)</f>
        <v/>
      </c>
      <c r="N36" s="49" t="n">
        <v>3184</v>
      </c>
      <c r="O36" s="48" t="n">
        <v>164</v>
      </c>
      <c r="P36" s="48" t="n">
        <v>6</v>
      </c>
      <c r="Q36" s="48" t="n">
        <v>391</v>
      </c>
      <c r="R36" s="48" t="n">
        <v>820</v>
      </c>
      <c r="S36" s="48" t="n">
        <v>268</v>
      </c>
      <c r="T36" s="48" t="n">
        <v>268</v>
      </c>
      <c r="U36" s="48" t="n">
        <v>182</v>
      </c>
      <c r="V36" s="48" t="n"/>
      <c r="W36" s="48" t="n">
        <v>477</v>
      </c>
      <c r="X36" s="48" t="n">
        <v>544</v>
      </c>
      <c r="Y36" s="48" t="n">
        <v>64</v>
      </c>
    </row>
    <row r="37">
      <c r="A37" s="78" t="n">
        <v>46116</v>
      </c>
      <c r="B37" s="45" t="inlineStr">
        <is>
          <t>N7</t>
        </is>
      </c>
      <c r="C37" s="48" t="n">
        <v>252.0583086893917</v>
      </c>
      <c r="D37" s="48" t="n">
        <v>247.403689955884</v>
      </c>
      <c r="E37" s="48" t="n">
        <v>187.9174121641858</v>
      </c>
      <c r="F37" s="48" t="n">
        <v>471.9049208039364</v>
      </c>
      <c r="G37" s="48" t="n">
        <v>269.497986159922</v>
      </c>
      <c r="H37" s="48" t="n">
        <v>218.1421483717407</v>
      </c>
      <c r="I37" s="48" t="n">
        <v>240.2358123093833</v>
      </c>
      <c r="J37" s="48" t="n">
        <v>135.2508861428879</v>
      </c>
      <c r="K37" s="48" t="n">
        <v>266.0221648899101</v>
      </c>
      <c r="L37" s="48" t="n">
        <v>90.86667051275684</v>
      </c>
      <c r="M37" s="46">
        <f>N37-SUM(C37:L37)</f>
        <v/>
      </c>
      <c r="N37" s="49" t="n">
        <v>3399</v>
      </c>
      <c r="O37" s="48" t="n">
        <v>188</v>
      </c>
      <c r="P37" s="48" t="n">
        <v>7</v>
      </c>
      <c r="Q37" s="48" t="n">
        <v>450</v>
      </c>
      <c r="R37" s="48" t="n">
        <v>820</v>
      </c>
      <c r="S37" s="48" t="n">
        <v>308</v>
      </c>
      <c r="T37" s="48" t="n">
        <v>308</v>
      </c>
      <c r="U37" s="48" t="n">
        <v>209</v>
      </c>
      <c r="V37" s="48" t="n"/>
      <c r="W37" s="48" t="n">
        <v>549</v>
      </c>
      <c r="X37" s="48" t="n">
        <v>560</v>
      </c>
      <c r="Y37" s="48" t="n">
        <v>0</v>
      </c>
    </row>
    <row r="38">
      <c r="A38" s="78" t="n">
        <v>46117</v>
      </c>
      <c r="B38" s="45" t="inlineStr">
        <is>
          <t>N7</t>
        </is>
      </c>
      <c r="C38" s="48" t="n">
        <v>251.9841520819515</v>
      </c>
      <c r="D38" s="48" t="n">
        <v>247.3309027567208</v>
      </c>
      <c r="E38" s="48" t="n">
        <v>187.8621260764646</v>
      </c>
      <c r="F38" s="48" t="n">
        <v>471.766084404759</v>
      </c>
      <c r="G38" s="48" t="n">
        <v>269.4186987265123</v>
      </c>
      <c r="H38" s="48" t="n">
        <v>218.0779700403575</v>
      </c>
      <c r="I38" s="48" t="n">
        <v>240.1651339297689</v>
      </c>
      <c r="J38" s="48" t="n">
        <v>135.2110947671472</v>
      </c>
      <c r="K38" s="48" t="n">
        <v>265.9439000576388</v>
      </c>
      <c r="L38" s="48" t="n">
        <v>90.83993715867837</v>
      </c>
      <c r="M38" s="46">
        <f>N38-SUM(C38:L38)</f>
        <v/>
      </c>
      <c r="N38" s="49" t="n">
        <v>3398</v>
      </c>
      <c r="O38" s="48" t="n">
        <v>188</v>
      </c>
      <c r="P38" s="48" t="n">
        <v>7</v>
      </c>
      <c r="Q38" s="48" t="n">
        <v>450</v>
      </c>
      <c r="R38" s="48" t="n">
        <v>820</v>
      </c>
      <c r="S38" s="48" t="n">
        <v>308</v>
      </c>
      <c r="T38" s="48" t="n">
        <v>308</v>
      </c>
      <c r="U38" s="48" t="n">
        <v>209</v>
      </c>
      <c r="V38" s="48" t="n"/>
      <c r="W38" s="48" t="n">
        <v>549</v>
      </c>
      <c r="X38" s="48" t="n">
        <v>559</v>
      </c>
      <c r="Y38" s="48" t="n">
        <v>0</v>
      </c>
    </row>
    <row r="39">
      <c r="A39" s="78" t="n">
        <v>46118</v>
      </c>
      <c r="B39" s="45" t="inlineStr">
        <is>
          <t>N7</t>
        </is>
      </c>
      <c r="C39" s="48" t="n">
        <v>250.0560802885051</v>
      </c>
      <c r="D39" s="48" t="n">
        <v>245.4384355784763</v>
      </c>
      <c r="E39" s="48" t="n">
        <v>186.4246877957148</v>
      </c>
      <c r="F39" s="48" t="n">
        <v>468.1563380261469</v>
      </c>
      <c r="G39" s="48" t="n">
        <v>267.3572254578573</v>
      </c>
      <c r="H39" s="48" t="n">
        <v>216.4093334243924</v>
      </c>
      <c r="I39" s="48" t="n">
        <v>238.3274960597942</v>
      </c>
      <c r="J39" s="48" t="n">
        <v>134.1765189978871</v>
      </c>
      <c r="K39" s="48" t="n">
        <v>263.9090144185868</v>
      </c>
      <c r="L39" s="48" t="n">
        <v>90.14486995263785</v>
      </c>
      <c r="M39" s="46">
        <f>N39-SUM(C39:L39)</f>
        <v/>
      </c>
      <c r="N39" s="49" t="n">
        <v>3372</v>
      </c>
      <c r="O39" s="48" t="n">
        <v>188</v>
      </c>
      <c r="P39" s="48" t="n">
        <v>7</v>
      </c>
      <c r="Q39" s="48" t="n">
        <v>450</v>
      </c>
      <c r="R39" s="48" t="n">
        <v>820</v>
      </c>
      <c r="S39" s="48" t="n">
        <v>308</v>
      </c>
      <c r="T39" s="48" t="n">
        <v>308</v>
      </c>
      <c r="U39" s="48" t="n">
        <v>209</v>
      </c>
      <c r="V39" s="48" t="n"/>
      <c r="W39" s="48" t="n">
        <v>549</v>
      </c>
      <c r="X39" s="48" t="n">
        <v>533</v>
      </c>
      <c r="Y39" s="48" t="n">
        <v>0</v>
      </c>
    </row>
    <row r="40">
      <c r="A40" s="78" t="n">
        <v>46119</v>
      </c>
      <c r="B40" s="45" t="inlineStr">
        <is>
          <t>N7</t>
        </is>
      </c>
      <c r="C40" s="48" t="n">
        <v>234.260722903733</v>
      </c>
      <c r="D40" s="48" t="n">
        <v>229.9347621567042</v>
      </c>
      <c r="E40" s="48" t="n">
        <v>174.64875111111</v>
      </c>
      <c r="F40" s="48" t="n">
        <v>438.5841850013636</v>
      </c>
      <c r="G40" s="48" t="n">
        <v>250.4690021415692</v>
      </c>
      <c r="H40" s="48" t="n">
        <v>202.7393488397555</v>
      </c>
      <c r="I40" s="48" t="n">
        <v>223.2730012019246</v>
      </c>
      <c r="J40" s="48" t="n">
        <v>125.7009559651024</v>
      </c>
      <c r="K40" s="48" t="n">
        <v>247.2386051448149</v>
      </c>
      <c r="L40" s="48" t="n">
        <v>84.45066553392139</v>
      </c>
      <c r="M40" s="46">
        <f>N40-SUM(C40:L40)</f>
        <v/>
      </c>
      <c r="N40" s="49" t="n">
        <v>3159</v>
      </c>
      <c r="O40" s="48" t="n">
        <v>164</v>
      </c>
      <c r="P40" s="48" t="n">
        <v>6</v>
      </c>
      <c r="Q40" s="48" t="n">
        <v>391</v>
      </c>
      <c r="R40" s="48" t="n">
        <v>820</v>
      </c>
      <c r="S40" s="48" t="n">
        <v>268</v>
      </c>
      <c r="T40" s="48" t="n">
        <v>268</v>
      </c>
      <c r="U40" s="48" t="n">
        <v>182</v>
      </c>
      <c r="V40" s="48" t="n"/>
      <c r="W40" s="48" t="n">
        <v>477</v>
      </c>
      <c r="X40" s="48" t="n">
        <v>519</v>
      </c>
      <c r="Y40" s="48" t="n">
        <v>64</v>
      </c>
    </row>
    <row r="41">
      <c r="A41" s="78" t="n">
        <v>46120</v>
      </c>
      <c r="B41" s="45" t="inlineStr">
        <is>
          <t>N7</t>
        </is>
      </c>
      <c r="C41" s="48" t="n">
        <v>218.7619919487219</v>
      </c>
      <c r="D41" s="48" t="n">
        <v>214.7222375315851</v>
      </c>
      <c r="E41" s="48" t="n">
        <v>163.0939587773899</v>
      </c>
      <c r="F41" s="48" t="n">
        <v>409.5673775732899</v>
      </c>
      <c r="G41" s="48" t="n">
        <v>233.8979285589203</v>
      </c>
      <c r="H41" s="48" t="n">
        <v>189.3260775806517</v>
      </c>
      <c r="I41" s="48" t="n">
        <v>208.5012198625127</v>
      </c>
      <c r="J41" s="48" t="n">
        <v>117.3845584352808</v>
      </c>
      <c r="K41" s="48" t="n">
        <v>230.8812552001279</v>
      </c>
      <c r="L41" s="48" t="n">
        <v>78.86339453151889</v>
      </c>
      <c r="M41" s="46">
        <f>N41-SUM(C41:L41)</f>
        <v/>
      </c>
      <c r="N41" s="49" t="n">
        <v>2950</v>
      </c>
      <c r="O41" s="48" t="n">
        <v>164</v>
      </c>
      <c r="P41" s="48" t="n">
        <v>6</v>
      </c>
      <c r="Q41" s="48" t="n">
        <v>391</v>
      </c>
      <c r="R41" s="48" t="n">
        <v>820</v>
      </c>
      <c r="S41" s="48" t="n">
        <v>268</v>
      </c>
      <c r="T41" s="48" t="n">
        <v>100</v>
      </c>
      <c r="U41" s="48" t="n">
        <v>182</v>
      </c>
      <c r="V41" s="48" t="n"/>
      <c r="W41" s="48" t="n">
        <v>477</v>
      </c>
      <c r="X41" s="48" t="n">
        <v>478</v>
      </c>
      <c r="Y41" s="48" t="n">
        <v>64</v>
      </c>
    </row>
    <row r="42">
      <c r="A42" s="78" t="n">
        <v>46121</v>
      </c>
      <c r="B42" s="45" t="inlineStr">
        <is>
          <t>N7</t>
        </is>
      </c>
      <c r="C42" s="48" t="n">
        <v>233.0000605772488</v>
      </c>
      <c r="D42" s="48" t="n">
        <v>228.697379770929</v>
      </c>
      <c r="E42" s="48" t="n">
        <v>173.7088876198505</v>
      </c>
      <c r="F42" s="48" t="n">
        <v>436.223966215348</v>
      </c>
      <c r="G42" s="48" t="n">
        <v>249.1211157736026</v>
      </c>
      <c r="H42" s="48" t="n">
        <v>201.6483172062399</v>
      </c>
      <c r="I42" s="48" t="n">
        <v>222.0714687484796</v>
      </c>
      <c r="J42" s="48" t="n">
        <v>125.0245025775092</v>
      </c>
      <c r="K42" s="48" t="n">
        <v>245.908102996204</v>
      </c>
      <c r="L42" s="48" t="n">
        <v>83.99619851458722</v>
      </c>
      <c r="M42" s="46">
        <f>N42-SUM(C42:L42)</f>
        <v/>
      </c>
      <c r="N42" s="49" t="n">
        <v>3142</v>
      </c>
      <c r="O42" s="48" t="n">
        <v>164</v>
      </c>
      <c r="P42" s="48" t="n">
        <v>6</v>
      </c>
      <c r="Q42" s="48" t="n">
        <v>391</v>
      </c>
      <c r="R42" s="48" t="n">
        <v>820</v>
      </c>
      <c r="S42" s="48" t="n">
        <v>268</v>
      </c>
      <c r="T42" s="48" t="n">
        <v>268</v>
      </c>
      <c r="U42" s="48" t="n">
        <v>182</v>
      </c>
      <c r="V42" s="48" t="n"/>
      <c r="W42" s="48" t="n">
        <v>477</v>
      </c>
      <c r="X42" s="48" t="n">
        <v>502</v>
      </c>
      <c r="Y42" s="48" t="n">
        <v>64</v>
      </c>
    </row>
    <row r="43">
      <c r="A43" s="78" t="n">
        <v>46122</v>
      </c>
      <c r="B43" s="45" t="inlineStr">
        <is>
          <t>N7</t>
        </is>
      </c>
      <c r="C43" s="48" t="n">
        <v>233.37084361445</v>
      </c>
      <c r="D43" s="48" t="n">
        <v>229.0613157667452</v>
      </c>
      <c r="E43" s="48" t="n">
        <v>173.9853180584562</v>
      </c>
      <c r="F43" s="48" t="n">
        <v>436.9181482112349</v>
      </c>
      <c r="G43" s="48" t="n">
        <v>249.5175529406516</v>
      </c>
      <c r="H43" s="48" t="n">
        <v>201.9692088631562</v>
      </c>
      <c r="I43" s="48" t="n">
        <v>222.4248606465517</v>
      </c>
      <c r="J43" s="48" t="n">
        <v>125.2234594562131</v>
      </c>
      <c r="K43" s="48" t="n">
        <v>246.2994271575601</v>
      </c>
      <c r="L43" s="48" t="n">
        <v>84.12986528497963</v>
      </c>
      <c r="M43" s="46">
        <f>N43-SUM(C43:L43)</f>
        <v/>
      </c>
      <c r="N43" s="49" t="n">
        <v>3147</v>
      </c>
      <c r="O43" s="48" t="n">
        <v>164</v>
      </c>
      <c r="P43" s="48" t="n">
        <v>6</v>
      </c>
      <c r="Q43" s="48" t="n">
        <v>391</v>
      </c>
      <c r="R43" s="48" t="n">
        <v>820</v>
      </c>
      <c r="S43" s="48" t="n">
        <v>268</v>
      </c>
      <c r="T43" s="48" t="n">
        <v>268</v>
      </c>
      <c r="U43" s="48" t="n">
        <v>182</v>
      </c>
      <c r="V43" s="48" t="n"/>
      <c r="W43" s="48" t="n">
        <v>477</v>
      </c>
      <c r="X43" s="48" t="n">
        <v>507</v>
      </c>
      <c r="Y43" s="48" t="n">
        <v>64</v>
      </c>
    </row>
    <row r="44">
      <c r="A44" s="78" t="n">
        <v>46123</v>
      </c>
      <c r="B44" s="45" t="inlineStr">
        <is>
          <t>N7</t>
        </is>
      </c>
      <c r="C44" s="48" t="n">
        <v>259.9189090780577</v>
      </c>
      <c r="D44" s="48" t="n">
        <v>255.1191330671884</v>
      </c>
      <c r="E44" s="48" t="n">
        <v>193.7777374626276</v>
      </c>
      <c r="F44" s="48" t="n">
        <v>486.6215791167394</v>
      </c>
      <c r="G44" s="48" t="n">
        <v>277.9024541013613</v>
      </c>
      <c r="H44" s="48" t="n">
        <v>224.9450514983675</v>
      </c>
      <c r="I44" s="48" t="n">
        <v>247.7277205485109</v>
      </c>
      <c r="J44" s="48" t="n">
        <v>139.4687719714099</v>
      </c>
      <c r="K44" s="48" t="n">
        <v>274.3182371106604</v>
      </c>
      <c r="L44" s="48" t="n">
        <v>93.70040604507584</v>
      </c>
      <c r="M44" s="46">
        <f>N44-SUM(C44:L44)</f>
        <v/>
      </c>
      <c r="N44" s="49" t="n">
        <v>3505</v>
      </c>
      <c r="O44" s="48" t="n">
        <v>188</v>
      </c>
      <c r="P44" s="48" t="n">
        <v>7</v>
      </c>
      <c r="Q44" s="48" t="n">
        <v>450</v>
      </c>
      <c r="R44" s="48" t="n">
        <v>960</v>
      </c>
      <c r="S44" s="48" t="n">
        <v>308</v>
      </c>
      <c r="T44" s="48" t="n">
        <v>308</v>
      </c>
      <c r="U44" s="48" t="n">
        <v>209</v>
      </c>
      <c r="V44" s="48" t="n"/>
      <c r="W44" s="48" t="n">
        <v>549</v>
      </c>
      <c r="X44" s="48" t="n">
        <v>526</v>
      </c>
      <c r="Y44" s="48" t="n">
        <v>0</v>
      </c>
    </row>
    <row r="45">
      <c r="A45" s="78" t="n">
        <v>46124</v>
      </c>
      <c r="B45" s="45" t="inlineStr">
        <is>
          <t>N7</t>
        </is>
      </c>
      <c r="C45" s="48" t="n">
        <v>260.5121619375796</v>
      </c>
      <c r="D45" s="48" t="n">
        <v>255.7014306604945</v>
      </c>
      <c r="E45" s="48" t="n">
        <v>194.2200261643968</v>
      </c>
      <c r="F45" s="48" t="n">
        <v>487.7322703101584</v>
      </c>
      <c r="G45" s="48" t="n">
        <v>278.5367535686397</v>
      </c>
      <c r="H45" s="48" t="n">
        <v>225.4584781494337</v>
      </c>
      <c r="I45" s="48" t="n">
        <v>248.2931475854262</v>
      </c>
      <c r="J45" s="48" t="n">
        <v>139.7871029773361</v>
      </c>
      <c r="K45" s="48" t="n">
        <v>274.9443557688303</v>
      </c>
      <c r="L45" s="48" t="n">
        <v>93.91427287770368</v>
      </c>
      <c r="M45" s="46">
        <f>N45-SUM(C45:L45)</f>
        <v/>
      </c>
      <c r="N45" s="49" t="n">
        <v>3513</v>
      </c>
      <c r="O45" s="48" t="n">
        <v>188</v>
      </c>
      <c r="P45" s="48" t="n">
        <v>7</v>
      </c>
      <c r="Q45" s="48" t="n">
        <v>450</v>
      </c>
      <c r="R45" s="48" t="n">
        <v>960</v>
      </c>
      <c r="S45" s="48" t="n">
        <v>308</v>
      </c>
      <c r="T45" s="48" t="n">
        <v>308</v>
      </c>
      <c r="U45" s="48" t="n">
        <v>209</v>
      </c>
      <c r="V45" s="48" t="n"/>
      <c r="W45" s="48" t="n">
        <v>549</v>
      </c>
      <c r="X45" s="48" t="n">
        <v>534</v>
      </c>
      <c r="Y45" s="48" t="n">
        <v>0</v>
      </c>
    </row>
    <row r="46">
      <c r="A46" s="78" t="n">
        <v>46125</v>
      </c>
      <c r="B46" s="45" t="inlineStr">
        <is>
          <t>N7</t>
        </is>
      </c>
      <c r="C46" s="48" t="n">
        <v>244.0493950858453</v>
      </c>
      <c r="D46" s="48" t="n">
        <v>239.5426724462531</v>
      </c>
      <c r="E46" s="48" t="n">
        <v>181.9465146903017</v>
      </c>
      <c r="F46" s="48" t="n">
        <v>456.9105896927786</v>
      </c>
      <c r="G46" s="48" t="n">
        <v>260.9349433516633</v>
      </c>
      <c r="H46" s="48" t="n">
        <v>211.2108885823474</v>
      </c>
      <c r="I46" s="48" t="n">
        <v>232.6025473110269</v>
      </c>
      <c r="J46" s="48" t="n">
        <v>130.9534175628845</v>
      </c>
      <c r="K46" s="48" t="n">
        <v>257.5695630046172</v>
      </c>
      <c r="L46" s="48" t="n">
        <v>87.9794682722809</v>
      </c>
      <c r="M46" s="46">
        <f>N46-SUM(C46:L46)</f>
        <v/>
      </c>
      <c r="N46" s="49" t="n">
        <v>3291</v>
      </c>
      <c r="O46" s="48" t="n">
        <v>164</v>
      </c>
      <c r="P46" s="48" t="n">
        <v>6</v>
      </c>
      <c r="Q46" s="48" t="n">
        <v>391</v>
      </c>
      <c r="R46" s="48" t="n">
        <v>960</v>
      </c>
      <c r="S46" s="48" t="n">
        <v>268</v>
      </c>
      <c r="T46" s="48" t="n">
        <v>268</v>
      </c>
      <c r="U46" s="48" t="n">
        <v>182</v>
      </c>
      <c r="V46" s="48" t="n"/>
      <c r="W46" s="48" t="n">
        <v>477</v>
      </c>
      <c r="X46" s="48" t="n">
        <v>511</v>
      </c>
      <c r="Y46" s="48" t="n">
        <v>64</v>
      </c>
    </row>
    <row r="47">
      <c r="A47" s="78" t="n">
        <v>46126</v>
      </c>
      <c r="B47" s="45" t="inlineStr">
        <is>
          <t>N7</t>
        </is>
      </c>
      <c r="C47" s="48" t="n">
        <v>244.865117767688</v>
      </c>
      <c r="D47" s="48" t="n">
        <v>240.3433316370488</v>
      </c>
      <c r="E47" s="48" t="n">
        <v>182.5546616552343</v>
      </c>
      <c r="F47" s="48" t="n">
        <v>458.4377900837299</v>
      </c>
      <c r="G47" s="48" t="n">
        <v>261.8071051191711</v>
      </c>
      <c r="H47" s="48" t="n">
        <v>211.9168502275633</v>
      </c>
      <c r="I47" s="48" t="n">
        <v>233.3800094867854</v>
      </c>
      <c r="J47" s="48" t="n">
        <v>131.3911226960329</v>
      </c>
      <c r="K47" s="48" t="n">
        <v>258.4304761596007</v>
      </c>
      <c r="L47" s="48" t="n">
        <v>88.27353516714417</v>
      </c>
      <c r="M47" s="46">
        <f>N47-SUM(C47:L47)</f>
        <v/>
      </c>
      <c r="N47" s="49" t="n">
        <v>3302</v>
      </c>
      <c r="O47" s="48" t="n">
        <v>164</v>
      </c>
      <c r="P47" s="48" t="n">
        <v>6</v>
      </c>
      <c r="Q47" s="48" t="n">
        <v>391</v>
      </c>
      <c r="R47" s="48" t="n">
        <v>960</v>
      </c>
      <c r="S47" s="48" t="n">
        <v>268</v>
      </c>
      <c r="T47" s="48" t="n">
        <v>268</v>
      </c>
      <c r="U47" s="48" t="n">
        <v>182</v>
      </c>
      <c r="V47" s="48" t="n"/>
      <c r="W47" s="48" t="n">
        <v>477</v>
      </c>
      <c r="X47" s="48" t="n">
        <v>522</v>
      </c>
      <c r="Y47" s="48" t="n">
        <v>64</v>
      </c>
    </row>
    <row r="48">
      <c r="A48" s="78" t="n">
        <v>46127</v>
      </c>
      <c r="B48" s="45" t="inlineStr">
        <is>
          <t>N7</t>
        </is>
      </c>
      <c r="C48" s="48" t="n">
        <v>245.0134309825685</v>
      </c>
      <c r="D48" s="48" t="n">
        <v>240.4889060353754</v>
      </c>
      <c r="E48" s="48" t="n">
        <v>182.6652338306766</v>
      </c>
      <c r="F48" s="48" t="n">
        <v>458.7154628820846</v>
      </c>
      <c r="G48" s="48" t="n">
        <v>261.9656799859907</v>
      </c>
      <c r="H48" s="48" t="n">
        <v>212.0452068903299</v>
      </c>
      <c r="I48" s="48" t="n">
        <v>233.5213662460142</v>
      </c>
      <c r="J48" s="48" t="n">
        <v>131.4707054475145</v>
      </c>
      <c r="K48" s="48" t="n">
        <v>258.5870058241432</v>
      </c>
      <c r="L48" s="48" t="n">
        <v>88.32700187530115</v>
      </c>
      <c r="M48" s="46">
        <f>N48-SUM(C48:L48)</f>
        <v/>
      </c>
      <c r="N48" s="49" t="n">
        <v>3304</v>
      </c>
      <c r="O48" s="48" t="n">
        <v>164</v>
      </c>
      <c r="P48" s="48" t="n">
        <v>6</v>
      </c>
      <c r="Q48" s="48" t="n">
        <v>391</v>
      </c>
      <c r="R48" s="48" t="n">
        <v>960</v>
      </c>
      <c r="S48" s="48" t="n">
        <v>268</v>
      </c>
      <c r="T48" s="48" t="n">
        <v>268</v>
      </c>
      <c r="U48" s="48" t="n">
        <v>182</v>
      </c>
      <c r="V48" s="48" t="n"/>
      <c r="W48" s="48" t="n">
        <v>477</v>
      </c>
      <c r="X48" s="48" t="n">
        <v>524</v>
      </c>
      <c r="Y48" s="48" t="n">
        <v>64</v>
      </c>
    </row>
    <row r="49">
      <c r="A49" s="78" t="n">
        <v>46128</v>
      </c>
      <c r="B49" s="45" t="inlineStr">
        <is>
          <t>N7</t>
        </is>
      </c>
      <c r="C49" s="48" t="n">
        <v>244.865117767688</v>
      </c>
      <c r="D49" s="48" t="n">
        <v>240.3433316370488</v>
      </c>
      <c r="E49" s="48" t="n">
        <v>182.5546616552343</v>
      </c>
      <c r="F49" s="48" t="n">
        <v>458.4377900837299</v>
      </c>
      <c r="G49" s="48" t="n">
        <v>261.8071051191711</v>
      </c>
      <c r="H49" s="48" t="n">
        <v>211.9168502275633</v>
      </c>
      <c r="I49" s="48" t="n">
        <v>233.3800094867854</v>
      </c>
      <c r="J49" s="48" t="n">
        <v>131.3911226960329</v>
      </c>
      <c r="K49" s="48" t="n">
        <v>258.4304761596007</v>
      </c>
      <c r="L49" s="48" t="n">
        <v>88.27353516714417</v>
      </c>
      <c r="M49" s="46">
        <f>N49-SUM(C49:L49)</f>
        <v/>
      </c>
      <c r="N49" s="49" t="n">
        <v>3302</v>
      </c>
      <c r="O49" s="48" t="n">
        <v>164</v>
      </c>
      <c r="P49" s="48" t="n">
        <v>6</v>
      </c>
      <c r="Q49" s="48" t="n">
        <v>391</v>
      </c>
      <c r="R49" s="48" t="n">
        <v>960</v>
      </c>
      <c r="S49" s="48" t="n">
        <v>268</v>
      </c>
      <c r="T49" s="48" t="n">
        <v>268</v>
      </c>
      <c r="U49" s="48" t="n">
        <v>182</v>
      </c>
      <c r="V49" s="48" t="n"/>
      <c r="W49" s="48" t="n">
        <v>477</v>
      </c>
      <c r="X49" s="48" t="n">
        <v>522</v>
      </c>
      <c r="Y49" s="48" t="n">
        <v>64</v>
      </c>
    </row>
    <row r="50">
      <c r="A50" s="78" t="n">
        <v>46129</v>
      </c>
      <c r="B50" s="45" t="inlineStr">
        <is>
          <t>N7</t>
        </is>
      </c>
      <c r="C50" s="48" t="n">
        <v>246.1257800941721</v>
      </c>
      <c r="D50" s="48" t="n">
        <v>241.5807140228241</v>
      </c>
      <c r="E50" s="48" t="n">
        <v>183.4945251464939</v>
      </c>
      <c r="F50" s="48" t="n">
        <v>460.7980088697454</v>
      </c>
      <c r="G50" s="48" t="n">
        <v>263.1549914871378</v>
      </c>
      <c r="H50" s="48" t="n">
        <v>213.007881861079</v>
      </c>
      <c r="I50" s="48" t="n">
        <v>234.5815419402304</v>
      </c>
      <c r="J50" s="48" t="n">
        <v>132.0675760836261</v>
      </c>
      <c r="K50" s="48" t="n">
        <v>259.7609783082117</v>
      </c>
      <c r="L50" s="48" t="n">
        <v>88.72800218647836</v>
      </c>
      <c r="M50" s="46">
        <f>N50-SUM(C50:L50)</f>
        <v/>
      </c>
      <c r="N50" s="49" t="n">
        <v>3319</v>
      </c>
      <c r="O50" s="48" t="n">
        <v>164</v>
      </c>
      <c r="P50" s="48" t="n">
        <v>6</v>
      </c>
      <c r="Q50" s="48" t="n">
        <v>391</v>
      </c>
      <c r="R50" s="48" t="n">
        <v>960</v>
      </c>
      <c r="S50" s="48" t="n">
        <v>268</v>
      </c>
      <c r="T50" s="48" t="n">
        <v>268</v>
      </c>
      <c r="U50" s="48" t="n">
        <v>182</v>
      </c>
      <c r="V50" s="48" t="n"/>
      <c r="W50" s="48" t="n">
        <v>477</v>
      </c>
      <c r="X50" s="48" t="n">
        <v>539</v>
      </c>
      <c r="Y50" s="48" t="n">
        <v>64</v>
      </c>
    </row>
    <row r="51">
      <c r="A51" s="78" t="n">
        <v>46130</v>
      </c>
      <c r="B51" s="45" t="inlineStr">
        <is>
          <t>N7</t>
        </is>
      </c>
      <c r="C51" s="48" t="n">
        <v>263.1817998054284</v>
      </c>
      <c r="D51" s="48" t="n">
        <v>258.3217698303714</v>
      </c>
      <c r="E51" s="48" t="n">
        <v>196.2103253223582</v>
      </c>
      <c r="F51" s="48" t="n">
        <v>492.7303806805443</v>
      </c>
      <c r="G51" s="48" t="n">
        <v>281.3911011713926</v>
      </c>
      <c r="H51" s="48" t="n">
        <v>227.7688980792315</v>
      </c>
      <c r="I51" s="48" t="n">
        <v>250.8375692515449</v>
      </c>
      <c r="J51" s="48" t="n">
        <v>141.2195925040039</v>
      </c>
      <c r="K51" s="48" t="n">
        <v>277.7618897305945</v>
      </c>
      <c r="L51" s="48" t="n">
        <v>94.87667362452898</v>
      </c>
      <c r="M51" s="46">
        <f>N51-SUM(C51:L51)</f>
        <v/>
      </c>
      <c r="N51" s="49" t="n">
        <v>3549</v>
      </c>
      <c r="O51" s="48" t="n">
        <v>188</v>
      </c>
      <c r="P51" s="48" t="n">
        <v>7</v>
      </c>
      <c r="Q51" s="48" t="n">
        <v>450</v>
      </c>
      <c r="R51" s="48" t="n">
        <v>960</v>
      </c>
      <c r="S51" s="48" t="n">
        <v>308</v>
      </c>
      <c r="T51" s="48" t="n">
        <v>308</v>
      </c>
      <c r="U51" s="48" t="n">
        <v>209</v>
      </c>
      <c r="V51" s="48" t="n"/>
      <c r="W51" s="48" t="n">
        <v>549</v>
      </c>
      <c r="X51" s="48" t="n">
        <v>570</v>
      </c>
      <c r="Y51" s="48" t="n">
        <v>0</v>
      </c>
    </row>
    <row r="52">
      <c r="A52" s="78" t="n">
        <v>46131</v>
      </c>
      <c r="B52" s="45" t="inlineStr">
        <is>
          <t>N7</t>
        </is>
      </c>
      <c r="C52" s="48" t="n">
        <v>263.4784262351894</v>
      </c>
      <c r="D52" s="48" t="n">
        <v>258.6129186270244</v>
      </c>
      <c r="E52" s="48" t="n">
        <v>196.4314696732428</v>
      </c>
      <c r="F52" s="48" t="n">
        <v>493.2857262772539</v>
      </c>
      <c r="G52" s="48" t="n">
        <v>281.7082509050318</v>
      </c>
      <c r="H52" s="48" t="n">
        <v>228.0256114047646</v>
      </c>
      <c r="I52" s="48" t="n">
        <v>251.1202827700026</v>
      </c>
      <c r="J52" s="48" t="n">
        <v>141.378758006967</v>
      </c>
      <c r="K52" s="48" t="n">
        <v>278.0749490596795</v>
      </c>
      <c r="L52" s="48" t="n">
        <v>94.98360704084291</v>
      </c>
      <c r="M52" s="46">
        <f>N52-SUM(C52:L52)</f>
        <v/>
      </c>
      <c r="N52" s="49" t="n">
        <v>3553</v>
      </c>
      <c r="O52" s="48" t="n">
        <v>188</v>
      </c>
      <c r="P52" s="48" t="n">
        <v>7</v>
      </c>
      <c r="Q52" s="48" t="n">
        <v>450</v>
      </c>
      <c r="R52" s="48" t="n">
        <v>960</v>
      </c>
      <c r="S52" s="48" t="n">
        <v>308</v>
      </c>
      <c r="T52" s="48" t="n">
        <v>308</v>
      </c>
      <c r="U52" s="48" t="n">
        <v>209</v>
      </c>
      <c r="V52" s="48" t="n"/>
      <c r="W52" s="48" t="n">
        <v>549</v>
      </c>
      <c r="X52" s="48" t="n">
        <v>574</v>
      </c>
      <c r="Y52" s="48" t="n">
        <v>0</v>
      </c>
    </row>
    <row r="53">
      <c r="A53" s="78" t="n">
        <v>46132</v>
      </c>
      <c r="B53" s="45" t="inlineStr">
        <is>
          <t>N7</t>
        </is>
      </c>
      <c r="C53" s="48" t="n">
        <v>248.49879153226</v>
      </c>
      <c r="D53" s="48" t="n">
        <v>243.9099043960481</v>
      </c>
      <c r="E53" s="48" t="n">
        <v>185.2636799535707</v>
      </c>
      <c r="F53" s="48" t="n">
        <v>465.2407736434218</v>
      </c>
      <c r="G53" s="48" t="n">
        <v>265.6921893562515</v>
      </c>
      <c r="H53" s="48" t="n">
        <v>215.0615884653437</v>
      </c>
      <c r="I53" s="48" t="n">
        <v>236.8432500878916</v>
      </c>
      <c r="J53" s="48" t="n">
        <v>133.3409001073308</v>
      </c>
      <c r="K53" s="48" t="n">
        <v>262.265452940891</v>
      </c>
      <c r="L53" s="48" t="n">
        <v>89.58346951698975</v>
      </c>
      <c r="M53" s="46">
        <f>N53-SUM(C53:L53)</f>
        <v/>
      </c>
      <c r="N53" s="49" t="n">
        <v>3351</v>
      </c>
      <c r="O53" s="48" t="n">
        <v>164</v>
      </c>
      <c r="P53" s="48" t="n">
        <v>6</v>
      </c>
      <c r="Q53" s="48" t="n">
        <v>391</v>
      </c>
      <c r="R53" s="48" t="n">
        <v>960</v>
      </c>
      <c r="S53" s="48" t="n">
        <v>268</v>
      </c>
      <c r="T53" s="48" t="n">
        <v>268</v>
      </c>
      <c r="U53" s="48" t="n">
        <v>182</v>
      </c>
      <c r="V53" s="48" t="n"/>
      <c r="W53" s="48" t="n">
        <v>477</v>
      </c>
      <c r="X53" s="48" t="n">
        <v>571</v>
      </c>
      <c r="Y53" s="48" t="n">
        <v>64</v>
      </c>
    </row>
    <row r="54">
      <c r="A54" s="78" t="n">
        <v>46133</v>
      </c>
      <c r="B54" s="45" t="inlineStr">
        <is>
          <t>N7</t>
        </is>
      </c>
      <c r="C54" s="48" t="n">
        <v>262.8851733756675</v>
      </c>
      <c r="D54" s="48" t="n">
        <v>258.0306210337184</v>
      </c>
      <c r="E54" s="48" t="n">
        <v>195.9891809714736</v>
      </c>
      <c r="F54" s="48" t="n">
        <v>492.1750350838348</v>
      </c>
      <c r="G54" s="48" t="n">
        <v>281.0739514377534</v>
      </c>
      <c r="H54" s="48" t="n">
        <v>227.5121847536984</v>
      </c>
      <c r="I54" s="48" t="n">
        <v>250.5548557330874</v>
      </c>
      <c r="J54" s="48" t="n">
        <v>141.0604270010408</v>
      </c>
      <c r="K54" s="48" t="n">
        <v>277.4488304015096</v>
      </c>
      <c r="L54" s="48" t="n">
        <v>94.76974020821507</v>
      </c>
      <c r="M54" s="46">
        <f>N54-SUM(C54:L54)</f>
        <v/>
      </c>
      <c r="N54" s="49" t="n">
        <v>3545</v>
      </c>
      <c r="O54" s="48" t="n">
        <v>164</v>
      </c>
      <c r="P54" s="48" t="n">
        <v>7</v>
      </c>
      <c r="Q54" s="48" t="n">
        <v>391</v>
      </c>
      <c r="R54" s="48" t="n">
        <v>1136</v>
      </c>
      <c r="S54" s="48" t="n">
        <v>268</v>
      </c>
      <c r="T54" s="48" t="n">
        <v>268</v>
      </c>
      <c r="U54" s="48" t="n">
        <v>182</v>
      </c>
      <c r="V54" s="48" t="n"/>
      <c r="W54" s="48" t="n">
        <v>477</v>
      </c>
      <c r="X54" s="48" t="n">
        <v>588</v>
      </c>
      <c r="Y54" s="48" t="n">
        <v>64</v>
      </c>
    </row>
    <row r="55">
      <c r="A55" s="78" t="n">
        <v>46134</v>
      </c>
      <c r="B55" s="45" t="inlineStr">
        <is>
          <t>N7</t>
        </is>
      </c>
      <c r="C55" s="48" t="n">
        <v>265.1098715988748</v>
      </c>
      <c r="D55" s="48" t="n">
        <v>260.2142370086159</v>
      </c>
      <c r="E55" s="48" t="n">
        <v>197.647763603108</v>
      </c>
      <c r="F55" s="48" t="n">
        <v>496.3401270591564</v>
      </c>
      <c r="G55" s="48" t="n">
        <v>283.4525744400475</v>
      </c>
      <c r="H55" s="48" t="n">
        <v>229.4375346951966</v>
      </c>
      <c r="I55" s="48" t="n">
        <v>252.6752071215197</v>
      </c>
      <c r="J55" s="48" t="n">
        <v>142.254168273264</v>
      </c>
      <c r="K55" s="48" t="n">
        <v>279.7967753696465</v>
      </c>
      <c r="L55" s="48" t="n">
        <v>95.5717408305695</v>
      </c>
      <c r="M55" s="46">
        <f>N55-SUM(C55:L55)</f>
        <v/>
      </c>
      <c r="N55" s="49" t="n">
        <v>3575</v>
      </c>
      <c r="O55" s="48" t="n">
        <v>164</v>
      </c>
      <c r="P55" s="48" t="n">
        <v>7</v>
      </c>
      <c r="Q55" s="48" t="n">
        <v>391</v>
      </c>
      <c r="R55" s="48" t="n">
        <v>1136</v>
      </c>
      <c r="S55" s="48" t="n">
        <v>268</v>
      </c>
      <c r="T55" s="48" t="n">
        <v>268</v>
      </c>
      <c r="U55" s="48" t="n">
        <v>182</v>
      </c>
      <c r="V55" s="48" t="n"/>
      <c r="W55" s="48" t="n">
        <v>477</v>
      </c>
      <c r="X55" s="48" t="n">
        <v>618</v>
      </c>
      <c r="Y55" s="48" t="n">
        <v>64</v>
      </c>
    </row>
    <row r="56">
      <c r="A56" s="78" t="n">
        <v>46135</v>
      </c>
      <c r="B56" s="45" t="inlineStr">
        <is>
          <t>N7</t>
        </is>
      </c>
      <c r="C56" s="48" t="n">
        <v>265.9255942807175</v>
      </c>
      <c r="D56" s="48" t="n">
        <v>261.0148961994116</v>
      </c>
      <c r="E56" s="48" t="n">
        <v>198.2559105680407</v>
      </c>
      <c r="F56" s="48" t="n">
        <v>497.8673274501076</v>
      </c>
      <c r="G56" s="48" t="n">
        <v>284.3247362075553</v>
      </c>
      <c r="H56" s="48" t="n">
        <v>230.1434963404126</v>
      </c>
      <c r="I56" s="48" t="n">
        <v>253.4526692972782</v>
      </c>
      <c r="J56" s="48" t="n">
        <v>142.6918734064125</v>
      </c>
      <c r="K56" s="48" t="n">
        <v>280.65768852463</v>
      </c>
      <c r="L56" s="48" t="n">
        <v>95.86580772543279</v>
      </c>
      <c r="M56" s="46">
        <f>N56-SUM(C56:L56)</f>
        <v/>
      </c>
      <c r="N56" s="49" t="n">
        <v>3586</v>
      </c>
      <c r="O56" s="48" t="n">
        <v>164</v>
      </c>
      <c r="P56" s="48" t="n">
        <v>7</v>
      </c>
      <c r="Q56" s="48" t="n">
        <v>391</v>
      </c>
      <c r="R56" s="48" t="n">
        <v>1136</v>
      </c>
      <c r="S56" s="48" t="n">
        <v>268</v>
      </c>
      <c r="T56" s="48" t="n">
        <v>268</v>
      </c>
      <c r="U56" s="48" t="n">
        <v>182</v>
      </c>
      <c r="V56" s="48" t="n"/>
      <c r="W56" s="48" t="n">
        <v>477</v>
      </c>
      <c r="X56" s="48" t="n">
        <v>629</v>
      </c>
      <c r="Y56" s="48" t="n">
        <v>64</v>
      </c>
    </row>
    <row r="57">
      <c r="A57" s="78" t="n">
        <v>46136</v>
      </c>
      <c r="B57" s="45" t="inlineStr">
        <is>
          <t>N7</t>
        </is>
      </c>
      <c r="C57" s="48" t="n">
        <v>266.6671603551199</v>
      </c>
      <c r="D57" s="48" t="n">
        <v>261.7427681910441</v>
      </c>
      <c r="E57" s="48" t="n">
        <v>198.8087714452522</v>
      </c>
      <c r="F57" s="48" t="n">
        <v>499.2556914418815</v>
      </c>
      <c r="G57" s="48" t="n">
        <v>285.1176105416534</v>
      </c>
      <c r="H57" s="48" t="n">
        <v>230.7852796542453</v>
      </c>
      <c r="I57" s="48" t="n">
        <v>254.1594530934223</v>
      </c>
      <c r="J57" s="48" t="n">
        <v>143.0897871638203</v>
      </c>
      <c r="K57" s="48" t="n">
        <v>281.4403368473423</v>
      </c>
      <c r="L57" s="48" t="n">
        <v>96.13314126621759</v>
      </c>
      <c r="M57" s="46">
        <f>N57-SUM(C57:L57)</f>
        <v/>
      </c>
      <c r="N57" s="49" t="n">
        <v>3596</v>
      </c>
      <c r="O57" s="48" t="n">
        <v>164</v>
      </c>
      <c r="P57" s="48" t="n">
        <v>7</v>
      </c>
      <c r="Q57" s="48" t="n">
        <v>391</v>
      </c>
      <c r="R57" s="48" t="n">
        <v>1136</v>
      </c>
      <c r="S57" s="48" t="n">
        <v>268</v>
      </c>
      <c r="T57" s="48" t="n">
        <v>268</v>
      </c>
      <c r="U57" s="48" t="n">
        <v>182</v>
      </c>
      <c r="V57" s="48" t="n"/>
      <c r="W57" s="48" t="n">
        <v>477</v>
      </c>
      <c r="X57" s="48" t="n">
        <v>639</v>
      </c>
      <c r="Y57" s="48" t="n">
        <v>64</v>
      </c>
    </row>
    <row r="58">
      <c r="A58" s="78" t="n">
        <v>46137</v>
      </c>
      <c r="B58" s="45" t="inlineStr">
        <is>
          <t>N7</t>
        </is>
      </c>
      <c r="C58" s="48" t="n">
        <v>287.4310104383885</v>
      </c>
      <c r="D58" s="48" t="n">
        <v>282.1231839567539</v>
      </c>
      <c r="E58" s="48" t="n">
        <v>214.2888760071739</v>
      </c>
      <c r="F58" s="48" t="n">
        <v>538.1298832115497</v>
      </c>
      <c r="G58" s="48" t="n">
        <v>307.3180918963984</v>
      </c>
      <c r="H58" s="48" t="n">
        <v>248.7552124415614</v>
      </c>
      <c r="I58" s="48" t="n">
        <v>273.9493993854574</v>
      </c>
      <c r="J58" s="48" t="n">
        <v>154.2313723712367</v>
      </c>
      <c r="K58" s="48" t="n">
        <v>303.3544898832866</v>
      </c>
      <c r="L58" s="48" t="n">
        <v>103.6184804081923</v>
      </c>
      <c r="M58" s="46">
        <f>N58-SUM(C58:L58)</f>
        <v/>
      </c>
      <c r="N58" s="49" t="n">
        <v>3876</v>
      </c>
      <c r="O58" s="48" t="n">
        <v>188</v>
      </c>
      <c r="P58" s="48" t="n">
        <v>7</v>
      </c>
      <c r="Q58" s="48" t="n">
        <v>450</v>
      </c>
      <c r="R58" s="48" t="n">
        <v>1136</v>
      </c>
      <c r="S58" s="48" t="n">
        <v>308</v>
      </c>
      <c r="T58" s="48" t="n">
        <v>308</v>
      </c>
      <c r="U58" s="48" t="n">
        <v>209</v>
      </c>
      <c r="V58" s="48" t="n"/>
      <c r="W58" s="48" t="n">
        <v>549</v>
      </c>
      <c r="X58" s="48" t="n">
        <v>721</v>
      </c>
      <c r="Y58" s="48" t="n">
        <v>0</v>
      </c>
    </row>
    <row r="59">
      <c r="A59" s="78" t="n">
        <v>46138</v>
      </c>
      <c r="B59" s="45" t="inlineStr">
        <is>
          <t>N7</t>
        </is>
      </c>
      <c r="C59" s="48" t="n">
        <v>278.8288439753201</v>
      </c>
      <c r="D59" s="48" t="n">
        <v>273.679868853817</v>
      </c>
      <c r="E59" s="48" t="n">
        <v>207.8756898315206</v>
      </c>
      <c r="F59" s="48" t="n">
        <v>522.0248609069729</v>
      </c>
      <c r="G59" s="48" t="n">
        <v>298.1207496208611</v>
      </c>
      <c r="H59" s="48" t="n">
        <v>241.3105260011018</v>
      </c>
      <c r="I59" s="48" t="n">
        <v>265.7507073501857</v>
      </c>
      <c r="J59" s="48" t="n">
        <v>149.6155727853071</v>
      </c>
      <c r="K59" s="48" t="n">
        <v>294.275769339824</v>
      </c>
      <c r="L59" s="48" t="n">
        <v>100.5174113350885</v>
      </c>
      <c r="M59" s="46">
        <f>N59-SUM(C59:L59)</f>
        <v/>
      </c>
      <c r="N59" s="49" t="n">
        <v>3760</v>
      </c>
      <c r="O59" s="48" t="n">
        <v>188</v>
      </c>
      <c r="P59" s="48" t="n">
        <v>7</v>
      </c>
      <c r="Q59" s="48" t="n">
        <v>450</v>
      </c>
      <c r="R59" s="48" t="n">
        <v>1136</v>
      </c>
      <c r="S59" s="48" t="n">
        <v>308</v>
      </c>
      <c r="T59" s="48" t="n">
        <v>308</v>
      </c>
      <c r="U59" s="48" t="n">
        <v>209</v>
      </c>
      <c r="V59" s="48" t="n"/>
      <c r="W59" s="48" t="n">
        <v>549</v>
      </c>
      <c r="X59" s="48" t="n">
        <v>605</v>
      </c>
      <c r="Y59" s="48" t="n">
        <v>0</v>
      </c>
    </row>
    <row r="60">
      <c r="A60" s="78" t="n">
        <v>46139</v>
      </c>
      <c r="B60" s="45" t="inlineStr">
        <is>
          <t>N7</t>
        </is>
      </c>
      <c r="C60" s="48" t="n">
        <v>276.3816759297919</v>
      </c>
      <c r="D60" s="48" t="n">
        <v>271.2778912814297</v>
      </c>
      <c r="E60" s="48" t="n">
        <v>206.0512489367227</v>
      </c>
      <c r="F60" s="48" t="n">
        <v>517.4432597341191</v>
      </c>
      <c r="G60" s="48" t="n">
        <v>295.5042643183376</v>
      </c>
      <c r="H60" s="48" t="n">
        <v>239.1926410654538</v>
      </c>
      <c r="I60" s="48" t="n">
        <v>263.4183208229101</v>
      </c>
      <c r="J60" s="48" t="n">
        <v>148.3024573858615</v>
      </c>
      <c r="K60" s="48" t="n">
        <v>291.6930298748734</v>
      </c>
      <c r="L60" s="48" t="n">
        <v>99.63521065049859</v>
      </c>
      <c r="M60" s="46">
        <f>N60-SUM(C60:L60)</f>
        <v/>
      </c>
      <c r="N60" s="49" t="n">
        <v>3727</v>
      </c>
      <c r="O60" s="48" t="n">
        <v>164</v>
      </c>
      <c r="P60" s="48" t="n">
        <v>6</v>
      </c>
      <c r="Q60" s="48" t="n">
        <v>391</v>
      </c>
      <c r="R60" s="48" t="n">
        <v>1136</v>
      </c>
      <c r="S60" s="48" t="n">
        <v>268</v>
      </c>
      <c r="T60" s="48" t="n">
        <v>436</v>
      </c>
      <c r="U60" s="48" t="n">
        <v>182</v>
      </c>
      <c r="V60" s="48" t="n"/>
      <c r="W60" s="48" t="n">
        <v>477</v>
      </c>
      <c r="X60" s="48" t="n">
        <v>603</v>
      </c>
      <c r="Y60" s="48" t="n">
        <v>64</v>
      </c>
    </row>
    <row r="61">
      <c r="A61" s="78" t="n">
        <v>46140</v>
      </c>
      <c r="B61" s="45" t="inlineStr">
        <is>
          <t>N7</t>
        </is>
      </c>
      <c r="C61" s="48" t="n">
        <v>264.887401776554</v>
      </c>
      <c r="D61" s="48" t="n">
        <v>259.9958754111261</v>
      </c>
      <c r="E61" s="48" t="n">
        <v>197.4819053399446</v>
      </c>
      <c r="F61" s="48" t="n">
        <v>495.9236178616242</v>
      </c>
      <c r="G61" s="48" t="n">
        <v>283.2147121398181</v>
      </c>
      <c r="H61" s="48" t="n">
        <v>229.2449997010467</v>
      </c>
      <c r="I61" s="48" t="n">
        <v>252.4631719826764</v>
      </c>
      <c r="J61" s="48" t="n">
        <v>142.1347941460417</v>
      </c>
      <c r="K61" s="48" t="n">
        <v>279.5619808728328</v>
      </c>
      <c r="L61" s="48" t="n">
        <v>95.49154076833405</v>
      </c>
      <c r="M61" s="46">
        <f>N61-SUM(C61:L61)</f>
        <v/>
      </c>
      <c r="N61" s="49" t="n">
        <v>3572</v>
      </c>
      <c r="O61" s="48" t="n">
        <v>164</v>
      </c>
      <c r="P61" s="48" t="n">
        <v>6</v>
      </c>
      <c r="Q61" s="48" t="n">
        <v>391</v>
      </c>
      <c r="R61" s="48" t="n">
        <v>1136</v>
      </c>
      <c r="S61" s="48" t="n">
        <v>268</v>
      </c>
      <c r="T61" s="48" t="n">
        <v>268</v>
      </c>
      <c r="U61" s="48" t="n">
        <v>182</v>
      </c>
      <c r="V61" s="48" t="n"/>
      <c r="W61" s="48" t="n">
        <v>477</v>
      </c>
      <c r="X61" s="48" t="n">
        <v>616</v>
      </c>
      <c r="Y61" s="48" t="n">
        <v>64</v>
      </c>
    </row>
    <row r="62">
      <c r="A62" s="78" t="n">
        <v>46141</v>
      </c>
      <c r="B62" s="45" t="inlineStr">
        <is>
          <t>N7</t>
        </is>
      </c>
      <c r="C62" s="48" t="n">
        <v>264.7390885616736</v>
      </c>
      <c r="D62" s="48" t="n">
        <v>259.8503010127997</v>
      </c>
      <c r="E62" s="48" t="n">
        <v>197.3713331645023</v>
      </c>
      <c r="F62" s="48" t="n">
        <v>495.6459450632695</v>
      </c>
      <c r="G62" s="48" t="n">
        <v>283.0561372729985</v>
      </c>
      <c r="H62" s="48" t="n">
        <v>229.1166430382802</v>
      </c>
      <c r="I62" s="48" t="n">
        <v>252.3218152234476</v>
      </c>
      <c r="J62" s="48" t="n">
        <v>142.0552113945602</v>
      </c>
      <c r="K62" s="48" t="n">
        <v>279.4054512082904</v>
      </c>
      <c r="L62" s="48" t="n">
        <v>95.4380740601771</v>
      </c>
      <c r="M62" s="46">
        <f>N62-SUM(C62:L62)</f>
        <v/>
      </c>
      <c r="N62" s="49" t="n">
        <v>3570</v>
      </c>
      <c r="O62" s="48" t="n">
        <v>164</v>
      </c>
      <c r="P62" s="48" t="n">
        <v>6</v>
      </c>
      <c r="Q62" s="48" t="n">
        <v>391</v>
      </c>
      <c r="R62" s="48" t="n">
        <v>1136</v>
      </c>
      <c r="S62" s="48" t="n">
        <v>268</v>
      </c>
      <c r="T62" s="48" t="n">
        <v>268</v>
      </c>
      <c r="U62" s="48" t="n">
        <v>182</v>
      </c>
      <c r="V62" s="48" t="n"/>
      <c r="W62" s="48" t="n">
        <v>477</v>
      </c>
      <c r="X62" s="48" t="n">
        <v>614</v>
      </c>
      <c r="Y62" s="48" t="n">
        <v>64</v>
      </c>
    </row>
    <row r="63">
      <c r="A63" s="78" t="n">
        <v>46142</v>
      </c>
      <c r="B63" s="45" t="inlineStr">
        <is>
          <t>N7</t>
        </is>
      </c>
      <c r="C63" s="48" t="n">
        <v>267.7053528592834</v>
      </c>
      <c r="D63" s="48" t="n">
        <v>262.7617889793296</v>
      </c>
      <c r="E63" s="48" t="n">
        <v>199.5827766733483</v>
      </c>
      <c r="F63" s="48" t="n">
        <v>501.1994010303649</v>
      </c>
      <c r="G63" s="48" t="n">
        <v>286.2276346093906</v>
      </c>
      <c r="H63" s="48" t="n">
        <v>231.6837762936111</v>
      </c>
      <c r="I63" s="48" t="n">
        <v>255.1489504080241</v>
      </c>
      <c r="J63" s="48" t="n">
        <v>143.6468664241911</v>
      </c>
      <c r="K63" s="48" t="n">
        <v>282.5360444991396</v>
      </c>
      <c r="L63" s="48" t="n">
        <v>96.50740822331633</v>
      </c>
      <c r="M63" s="46">
        <f>N63-SUM(C63:L63)</f>
        <v/>
      </c>
      <c r="N63" s="49" t="n">
        <v>3610</v>
      </c>
      <c r="O63" s="48" t="n">
        <v>164</v>
      </c>
      <c r="P63" s="48" t="n">
        <v>6</v>
      </c>
      <c r="Q63" s="48" t="n">
        <v>400</v>
      </c>
      <c r="R63" s="48" t="n">
        <v>1136</v>
      </c>
      <c r="S63" s="48" t="n">
        <v>268</v>
      </c>
      <c r="T63" s="48" t="n">
        <v>268</v>
      </c>
      <c r="U63" s="48" t="n">
        <v>190</v>
      </c>
      <c r="V63" s="48" t="n"/>
      <c r="W63" s="48" t="n">
        <v>482</v>
      </c>
      <c r="X63" s="48" t="n">
        <v>629</v>
      </c>
      <c r="Y63" s="48" t="n">
        <v>67</v>
      </c>
    </row>
    <row r="64">
      <c r="A64" s="78" t="n">
        <v>46143</v>
      </c>
      <c r="B64" s="45" t="inlineStr">
        <is>
          <t>N7</t>
        </is>
      </c>
      <c r="C64" s="48" t="n">
        <v>354.1437391304348</v>
      </c>
      <c r="D64" s="48" t="n">
        <v>401.0602173913043</v>
      </c>
      <c r="E64" s="48" t="n">
        <v>286.0391739130434</v>
      </c>
      <c r="F64" s="48" t="n">
        <v>632.6157391304347</v>
      </c>
      <c r="G64" s="48" t="n">
        <v>354.1437391304348</v>
      </c>
      <c r="H64" s="48" t="n">
        <v>308.7406956521739</v>
      </c>
      <c r="I64" s="48" t="n">
        <v>348.09</v>
      </c>
      <c r="J64" s="48" t="n">
        <v>217.9346086956522</v>
      </c>
      <c r="K64" s="48" t="n">
        <v>422.248304347826</v>
      </c>
      <c r="L64" s="48" t="n">
        <v>155.8837826086956</v>
      </c>
      <c r="M64" s="46">
        <f>N64-SUM(C64:L64)</f>
        <v/>
      </c>
      <c r="N64" s="49" t="n">
        <v>4245</v>
      </c>
      <c r="O64" s="48" t="n">
        <v>204</v>
      </c>
      <c r="P64" s="48" t="n">
        <v>15</v>
      </c>
      <c r="Q64" s="48" t="n">
        <v>645</v>
      </c>
      <c r="R64" s="48" t="n">
        <v>62</v>
      </c>
      <c r="S64" s="48" t="n">
        <v>350</v>
      </c>
      <c r="T64" s="48" t="n">
        <v>150</v>
      </c>
      <c r="U64" s="48" t="n">
        <v>1162</v>
      </c>
      <c r="V64" s="48" t="n"/>
      <c r="W64" s="48" t="n">
        <v>553</v>
      </c>
      <c r="X64" s="48" t="n">
        <v>1104</v>
      </c>
      <c r="Y64" s="48" t="n">
        <v>0</v>
      </c>
    </row>
    <row r="65">
      <c r="A65" s="78" t="n">
        <v>46144</v>
      </c>
      <c r="B65" s="45" t="inlineStr">
        <is>
          <t>N7</t>
        </is>
      </c>
      <c r="C65" s="48" t="n">
        <v>353.5597565217391</v>
      </c>
      <c r="D65" s="48" t="n">
        <v>400.3988695652174</v>
      </c>
      <c r="E65" s="48" t="n">
        <v>285.5674956521739</v>
      </c>
      <c r="F65" s="48" t="n">
        <v>631.5725565217391</v>
      </c>
      <c r="G65" s="48" t="n">
        <v>353.5597565217391</v>
      </c>
      <c r="H65" s="48" t="n">
        <v>308.2315826086956</v>
      </c>
      <c r="I65" s="48" t="n">
        <v>347.516</v>
      </c>
      <c r="J65" s="48" t="n">
        <v>217.5752347826087</v>
      </c>
      <c r="K65" s="48" t="n">
        <v>421.5520173913043</v>
      </c>
      <c r="L65" s="48" t="n">
        <v>155.6267304347826</v>
      </c>
      <c r="M65" s="46">
        <f>N65-SUM(C65:L65)</f>
        <v/>
      </c>
      <c r="N65" s="49" t="n">
        <v>4238</v>
      </c>
      <c r="O65" s="48" t="n">
        <v>204</v>
      </c>
      <c r="P65" s="48" t="n">
        <v>15</v>
      </c>
      <c r="Q65" s="48" t="n">
        <v>645</v>
      </c>
      <c r="R65" s="48" t="n">
        <v>102</v>
      </c>
      <c r="S65" s="48" t="n">
        <v>350</v>
      </c>
      <c r="T65" s="48" t="n">
        <v>150</v>
      </c>
      <c r="U65" s="48" t="n">
        <v>1160</v>
      </c>
      <c r="V65" s="48" t="n"/>
      <c r="W65" s="48" t="n">
        <v>553</v>
      </c>
      <c r="X65" s="48" t="n">
        <v>1059</v>
      </c>
      <c r="Y65" s="48" t="n">
        <v>0</v>
      </c>
    </row>
    <row r="66">
      <c r="A66" s="78" t="n">
        <v>46145</v>
      </c>
      <c r="B66" s="45" t="inlineStr">
        <is>
          <t>N7</t>
        </is>
      </c>
      <c r="C66" s="48" t="n">
        <v>364.0714434782608</v>
      </c>
      <c r="D66" s="48" t="n">
        <v>412.3031304347826</v>
      </c>
      <c r="E66" s="48" t="n">
        <v>294.0577043478261</v>
      </c>
      <c r="F66" s="48" t="n">
        <v>650.3498434782607</v>
      </c>
      <c r="G66" s="48" t="n">
        <v>364.0714434782608</v>
      </c>
      <c r="H66" s="48" t="n">
        <v>317.3956173913043</v>
      </c>
      <c r="I66" s="48" t="n">
        <v>357.848</v>
      </c>
      <c r="J66" s="48" t="n">
        <v>224.0439652173913</v>
      </c>
      <c r="K66" s="48" t="n">
        <v>434.0851826086956</v>
      </c>
      <c r="L66" s="48" t="n">
        <v>160.2536695652174</v>
      </c>
      <c r="M66" s="46">
        <f>N66-SUM(C66:L66)</f>
        <v/>
      </c>
      <c r="N66" s="49" t="n">
        <v>4364</v>
      </c>
      <c r="O66" s="48" t="n">
        <v>204</v>
      </c>
      <c r="P66" s="48" t="n">
        <v>15</v>
      </c>
      <c r="Q66" s="48" t="n">
        <v>645</v>
      </c>
      <c r="R66" s="48" t="n">
        <v>223</v>
      </c>
      <c r="S66" s="48" t="n">
        <v>350</v>
      </c>
      <c r="T66" s="48" t="n">
        <v>150</v>
      </c>
      <c r="U66" s="48" t="n">
        <v>1149</v>
      </c>
      <c r="V66" s="48" t="n"/>
      <c r="W66" s="48" t="n">
        <v>553</v>
      </c>
      <c r="X66" s="48" t="n">
        <v>1075</v>
      </c>
      <c r="Y66" s="48" t="n">
        <v>0</v>
      </c>
    </row>
    <row r="67">
      <c r="A67" s="78" t="n">
        <v>46146</v>
      </c>
      <c r="B67" s="45" t="inlineStr">
        <is>
          <t>N7</t>
        </is>
      </c>
      <c r="C67" s="48" t="n">
        <v>353.1426260869565</v>
      </c>
      <c r="D67" s="48" t="n">
        <v>399.9264782608695</v>
      </c>
      <c r="E67" s="48" t="n">
        <v>285.2305826086957</v>
      </c>
      <c r="F67" s="48" t="n">
        <v>630.8274260869565</v>
      </c>
      <c r="G67" s="48" t="n">
        <v>353.1426260869565</v>
      </c>
      <c r="H67" s="48" t="n">
        <v>307.8679304347826</v>
      </c>
      <c r="I67" s="48" t="n">
        <v>347.106</v>
      </c>
      <c r="J67" s="48" t="n">
        <v>217.3185391304348</v>
      </c>
      <c r="K67" s="48" t="n">
        <v>421.0546695652174</v>
      </c>
      <c r="L67" s="48" t="n">
        <v>155.4431217391304</v>
      </c>
      <c r="M67" s="46">
        <f>N67-SUM(C67:L67)</f>
        <v/>
      </c>
      <c r="N67" s="49" t="n">
        <v>4233</v>
      </c>
      <c r="O67" s="48" t="n">
        <v>204</v>
      </c>
      <c r="P67" s="48" t="n">
        <v>15</v>
      </c>
      <c r="Q67" s="48" t="n">
        <v>645</v>
      </c>
      <c r="R67" s="48" t="n">
        <v>300</v>
      </c>
      <c r="S67" s="48" t="n">
        <v>350</v>
      </c>
      <c r="T67" s="48" t="n">
        <v>150</v>
      </c>
      <c r="U67" s="48" t="n">
        <v>966</v>
      </c>
      <c r="V67" s="48" t="n"/>
      <c r="W67" s="48" t="n">
        <v>553</v>
      </c>
      <c r="X67" s="48" t="n">
        <v>1050</v>
      </c>
      <c r="Y67" s="48" t="n">
        <v>0</v>
      </c>
    </row>
    <row r="68">
      <c r="A68" s="78" t="n">
        <v>46147</v>
      </c>
      <c r="B68" s="45" t="inlineStr">
        <is>
          <t>N7</t>
        </is>
      </c>
      <c r="C68" s="48" t="n">
        <v>315.7677391304348</v>
      </c>
      <c r="D68" s="48" t="n">
        <v>357.6002173913043</v>
      </c>
      <c r="E68" s="48" t="n">
        <v>255.0431739130435</v>
      </c>
      <c r="F68" s="48" t="n">
        <v>564.0637391304347</v>
      </c>
      <c r="G68" s="48" t="n">
        <v>315.7677391304348</v>
      </c>
      <c r="H68" s="48" t="n">
        <v>275.2846956521739</v>
      </c>
      <c r="I68" s="48" t="n">
        <v>310.37</v>
      </c>
      <c r="J68" s="48" t="n">
        <v>194.3186086956522</v>
      </c>
      <c r="K68" s="48" t="n">
        <v>376.4923043478261</v>
      </c>
      <c r="L68" s="48" t="n">
        <v>138.9917826086956</v>
      </c>
      <c r="M68" s="46">
        <f>N68-SUM(C68:L68)</f>
        <v/>
      </c>
      <c r="N68" s="49" t="n">
        <v>3785</v>
      </c>
      <c r="O68" s="48" t="n">
        <v>204</v>
      </c>
      <c r="P68" s="48" t="n">
        <v>15</v>
      </c>
      <c r="Q68" s="48" t="n">
        <v>645</v>
      </c>
      <c r="R68" s="48" t="n">
        <v>300</v>
      </c>
      <c r="S68" s="48" t="n">
        <v>350</v>
      </c>
      <c r="T68" s="48" t="n">
        <v>150</v>
      </c>
      <c r="U68" s="48" t="n">
        <v>588</v>
      </c>
      <c r="V68" s="48" t="n"/>
      <c r="W68" s="48" t="n">
        <v>553</v>
      </c>
      <c r="X68" s="48" t="n">
        <v>980</v>
      </c>
      <c r="Y68" s="48" t="n">
        <v>0</v>
      </c>
    </row>
    <row r="69">
      <c r="A69" s="78" t="n">
        <v>46148</v>
      </c>
      <c r="B69" s="45" t="inlineStr">
        <is>
          <t>N7</t>
        </is>
      </c>
      <c r="C69" s="48" t="n">
        <v>234.0936</v>
      </c>
      <c r="D69" s="48" t="n">
        <v>265.106</v>
      </c>
      <c r="E69" s="48" t="n">
        <v>189.0756</v>
      </c>
      <c r="F69" s="48" t="n">
        <v>418.1672</v>
      </c>
      <c r="G69" s="48" t="n">
        <v>234.0936</v>
      </c>
      <c r="H69" s="48" t="n">
        <v>204.0816</v>
      </c>
      <c r="I69" s="48" t="n">
        <v>230.092</v>
      </c>
      <c r="J69" s="48" t="n">
        <v>144.0576</v>
      </c>
      <c r="K69" s="48" t="n">
        <v>279.1116</v>
      </c>
      <c r="L69" s="48" t="n">
        <v>103.0412</v>
      </c>
      <c r="M69" s="46">
        <f>N69-SUM(C69:L69)</f>
        <v/>
      </c>
      <c r="N69" s="49" t="n">
        <v>2806</v>
      </c>
      <c r="O69" s="48" t="n">
        <v>106</v>
      </c>
      <c r="P69" s="48" t="n">
        <v>9</v>
      </c>
      <c r="Q69" s="48" t="n">
        <v>430</v>
      </c>
      <c r="R69" s="48" t="n">
        <v>300</v>
      </c>
      <c r="S69" s="48" t="n">
        <v>200</v>
      </c>
      <c r="T69" s="48" t="n">
        <v>160</v>
      </c>
      <c r="U69" s="48" t="n">
        <v>35</v>
      </c>
      <c r="V69" s="48" t="n"/>
      <c r="W69" s="48" t="n">
        <v>553</v>
      </c>
      <c r="X69" s="48" t="n">
        <v>928</v>
      </c>
      <c r="Y69" s="48" t="n">
        <v>85</v>
      </c>
    </row>
    <row r="70">
      <c r="A70" s="78" t="n">
        <v>46149</v>
      </c>
      <c r="B70" s="45" t="inlineStr">
        <is>
          <t>N7</t>
        </is>
      </c>
      <c r="C70" s="48" t="n">
        <v>229.0046086956522</v>
      </c>
      <c r="D70" s="48" t="n">
        <v>259.3428260869565</v>
      </c>
      <c r="E70" s="48" t="n">
        <v>184.9652608695652</v>
      </c>
      <c r="F70" s="48" t="n">
        <v>409.0766086956522</v>
      </c>
      <c r="G70" s="48" t="n">
        <v>229.0046086956522</v>
      </c>
      <c r="H70" s="48" t="n">
        <v>199.6450434782609</v>
      </c>
      <c r="I70" s="48" t="n">
        <v>225.09</v>
      </c>
      <c r="J70" s="48" t="n">
        <v>140.9259130434783</v>
      </c>
      <c r="K70" s="48" t="n">
        <v>273.0439565217391</v>
      </c>
      <c r="L70" s="48" t="n">
        <v>100.8011739130435</v>
      </c>
      <c r="M70" s="46">
        <f>N70-SUM(C70:L70)</f>
        <v/>
      </c>
      <c r="N70" s="49" t="n">
        <v>2745</v>
      </c>
      <c r="O70" s="48" t="n">
        <v>105</v>
      </c>
      <c r="P70" s="48" t="n">
        <v>9</v>
      </c>
      <c r="Q70" s="48" t="n">
        <v>430</v>
      </c>
      <c r="R70" s="48" t="n">
        <v>300</v>
      </c>
      <c r="S70" s="48" t="n">
        <v>200</v>
      </c>
      <c r="T70" s="48" t="n">
        <v>162</v>
      </c>
      <c r="U70" s="48" t="n">
        <v>0</v>
      </c>
      <c r="V70" s="48" t="n"/>
      <c r="W70" s="48" t="n">
        <v>553</v>
      </c>
      <c r="X70" s="48" t="n">
        <v>901</v>
      </c>
      <c r="Y70" s="48" t="n">
        <v>85</v>
      </c>
    </row>
    <row r="71">
      <c r="A71" s="78" t="n">
        <v>46150</v>
      </c>
      <c r="B71" s="45" t="inlineStr">
        <is>
          <t>N7</t>
        </is>
      </c>
      <c r="C71" s="48" t="n">
        <v>233.9267478260869</v>
      </c>
      <c r="D71" s="48" t="n">
        <v>264.9170434782608</v>
      </c>
      <c r="E71" s="48" t="n">
        <v>188.9408347826087</v>
      </c>
      <c r="F71" s="48" t="n">
        <v>417.8691478260869</v>
      </c>
      <c r="G71" s="48" t="n">
        <v>233.9267478260869</v>
      </c>
      <c r="H71" s="48" t="n">
        <v>203.9361391304348</v>
      </c>
      <c r="I71" s="48" t="n">
        <v>229.928</v>
      </c>
      <c r="J71" s="48" t="n">
        <v>143.9549217391304</v>
      </c>
      <c r="K71" s="48" t="n">
        <v>278.9126608695652</v>
      </c>
      <c r="L71" s="48" t="n">
        <v>102.9677565217391</v>
      </c>
      <c r="M71" s="46">
        <f>N71-SUM(C71:L71)</f>
        <v/>
      </c>
      <c r="N71" s="49" t="n">
        <v>2804</v>
      </c>
      <c r="O71" s="48" t="n">
        <v>105</v>
      </c>
      <c r="P71" s="48" t="n">
        <v>7</v>
      </c>
      <c r="Q71" s="48" t="n">
        <v>430</v>
      </c>
      <c r="R71" s="48" t="n">
        <v>300</v>
      </c>
      <c r="S71" s="48" t="n">
        <v>241</v>
      </c>
      <c r="T71" s="48" t="n">
        <v>200</v>
      </c>
      <c r="U71" s="48" t="n">
        <v>0</v>
      </c>
      <c r="V71" s="48" t="n"/>
      <c r="W71" s="48" t="n">
        <v>553</v>
      </c>
      <c r="X71" s="48" t="n">
        <v>883</v>
      </c>
      <c r="Y71" s="48" t="n">
        <v>85</v>
      </c>
    </row>
    <row r="72">
      <c r="A72" s="78" t="n">
        <v>46151</v>
      </c>
      <c r="B72" s="45" t="inlineStr">
        <is>
          <t>N7</t>
        </is>
      </c>
      <c r="C72" s="48" t="n">
        <v>242.5196347826087</v>
      </c>
      <c r="D72" s="48" t="n">
        <v>274.6483043478261</v>
      </c>
      <c r="E72" s="48" t="n">
        <v>195.8812434782609</v>
      </c>
      <c r="F72" s="48" t="n">
        <v>433.2188347826086</v>
      </c>
      <c r="G72" s="48" t="n">
        <v>242.5196347826087</v>
      </c>
      <c r="H72" s="48" t="n">
        <v>211.4273739130435</v>
      </c>
      <c r="I72" s="48" t="n">
        <v>238.374</v>
      </c>
      <c r="J72" s="48" t="n">
        <v>149.242852173913</v>
      </c>
      <c r="K72" s="48" t="n">
        <v>289.1580260869565</v>
      </c>
      <c r="L72" s="48" t="n">
        <v>106.7500956521739</v>
      </c>
      <c r="M72" s="46">
        <f>N72-SUM(C72:L72)</f>
        <v/>
      </c>
      <c r="N72" s="49" t="n">
        <v>2907</v>
      </c>
      <c r="O72" s="48" t="n">
        <v>105</v>
      </c>
      <c r="P72" s="48" t="n">
        <v>7</v>
      </c>
      <c r="Q72" s="48" t="n">
        <v>430</v>
      </c>
      <c r="R72" s="48" t="n">
        <v>300</v>
      </c>
      <c r="S72" s="48" t="n">
        <v>250</v>
      </c>
      <c r="T72" s="48" t="n">
        <v>200</v>
      </c>
      <c r="U72" s="48" t="n">
        <v>37</v>
      </c>
      <c r="V72" s="48" t="n"/>
      <c r="W72" s="48" t="n">
        <v>553</v>
      </c>
      <c r="X72" s="48" t="n">
        <v>940</v>
      </c>
      <c r="Y72" s="48" t="n">
        <v>85</v>
      </c>
    </row>
    <row r="73">
      <c r="A73" s="78" t="n">
        <v>46152</v>
      </c>
      <c r="B73" s="45" t="inlineStr">
        <is>
          <t>N7</t>
        </is>
      </c>
      <c r="C73" s="48" t="n">
        <v>265.9623652173913</v>
      </c>
      <c r="D73" s="48" t="n">
        <v>301.1966956521739</v>
      </c>
      <c r="E73" s="48" t="n">
        <v>214.8157565217391</v>
      </c>
      <c r="F73" s="48" t="n">
        <v>475.0951652173912</v>
      </c>
      <c r="G73" s="48" t="n">
        <v>265.9623652173913</v>
      </c>
      <c r="H73" s="48" t="n">
        <v>231.8646260869565</v>
      </c>
      <c r="I73" s="48" t="n">
        <v>261.416</v>
      </c>
      <c r="J73" s="48" t="n">
        <v>163.669147826087</v>
      </c>
      <c r="K73" s="48" t="n">
        <v>317.1089739130435</v>
      </c>
      <c r="L73" s="48" t="n">
        <v>117.0689043478261</v>
      </c>
      <c r="M73" s="46">
        <f>N73-SUM(C73:L73)</f>
        <v/>
      </c>
      <c r="N73" s="49" t="n">
        <v>3188</v>
      </c>
      <c r="O73" s="48" t="n">
        <v>151</v>
      </c>
      <c r="P73" s="48" t="n">
        <v>10</v>
      </c>
      <c r="Q73" s="48" t="n">
        <v>645</v>
      </c>
      <c r="R73" s="48" t="n">
        <v>300</v>
      </c>
      <c r="S73" s="48" t="n">
        <v>350</v>
      </c>
      <c r="T73" s="48" t="n">
        <v>200</v>
      </c>
      <c r="U73" s="48" t="n">
        <v>37</v>
      </c>
      <c r="V73" s="48" t="n"/>
      <c r="W73" s="48" t="n">
        <v>553</v>
      </c>
      <c r="X73" s="48" t="n">
        <v>942</v>
      </c>
      <c r="Y73" s="48" t="n">
        <v>0</v>
      </c>
    </row>
    <row r="74">
      <c r="A74" s="78" t="n">
        <v>46153</v>
      </c>
      <c r="B74" s="45" t="inlineStr">
        <is>
          <t>N7</t>
        </is>
      </c>
      <c r="C74" s="48" t="n">
        <v>241.935652173913</v>
      </c>
      <c r="D74" s="48" t="n">
        <v>273.9869565217392</v>
      </c>
      <c r="E74" s="48" t="n">
        <v>195.4095652173913</v>
      </c>
      <c r="F74" s="48" t="n">
        <v>432.175652173913</v>
      </c>
      <c r="G74" s="48" t="n">
        <v>241.935652173913</v>
      </c>
      <c r="H74" s="48" t="n">
        <v>210.9182608695652</v>
      </c>
      <c r="I74" s="48" t="n">
        <v>237.8</v>
      </c>
      <c r="J74" s="48" t="n">
        <v>148.8834782608696</v>
      </c>
      <c r="K74" s="48" t="n">
        <v>288.4617391304348</v>
      </c>
      <c r="L74" s="48" t="n">
        <v>106.4930434782609</v>
      </c>
      <c r="M74" s="46">
        <f>N74-SUM(C74:L74)</f>
        <v/>
      </c>
      <c r="N74" s="49" t="n">
        <v>2900</v>
      </c>
      <c r="O74" s="48" t="n">
        <v>105</v>
      </c>
      <c r="P74" s="48" t="n">
        <v>7</v>
      </c>
      <c r="Q74" s="48" t="n">
        <v>430</v>
      </c>
      <c r="R74" s="48" t="n">
        <v>300</v>
      </c>
      <c r="S74" s="48" t="n">
        <v>250</v>
      </c>
      <c r="T74" s="48" t="n">
        <v>200</v>
      </c>
      <c r="U74" s="48" t="n">
        <v>26</v>
      </c>
      <c r="V74" s="48" t="n"/>
      <c r="W74" s="48" t="n">
        <v>553</v>
      </c>
      <c r="X74" s="48" t="n">
        <v>943</v>
      </c>
      <c r="Y74" s="48" t="n">
        <v>86</v>
      </c>
    </row>
    <row r="75">
      <c r="A75" s="78" t="n">
        <v>46154</v>
      </c>
      <c r="B75" s="45" t="inlineStr">
        <is>
          <t>N7</t>
        </is>
      </c>
      <c r="C75" s="48" t="n">
        <v>237.0135130434782</v>
      </c>
      <c r="D75" s="48" t="n">
        <v>268.4127391304348</v>
      </c>
      <c r="E75" s="48" t="n">
        <v>191.4339913043478</v>
      </c>
      <c r="F75" s="48" t="n">
        <v>423.3831130434782</v>
      </c>
      <c r="G75" s="48" t="n">
        <v>237.0135130434782</v>
      </c>
      <c r="H75" s="48" t="n">
        <v>206.6271652173913</v>
      </c>
      <c r="I75" s="48" t="n">
        <v>232.962</v>
      </c>
      <c r="J75" s="48" t="n">
        <v>145.8544695652174</v>
      </c>
      <c r="K75" s="48" t="n">
        <v>282.5930347826087</v>
      </c>
      <c r="L75" s="48" t="n">
        <v>104.3264608695652</v>
      </c>
      <c r="M75" s="46">
        <f>N75-SUM(C75:L75)</f>
        <v/>
      </c>
      <c r="N75" s="49" t="n">
        <v>2841</v>
      </c>
      <c r="O75" s="48" t="n">
        <v>105</v>
      </c>
      <c r="P75" s="48" t="n">
        <v>7</v>
      </c>
      <c r="Q75" s="48" t="n">
        <v>430</v>
      </c>
      <c r="R75" s="48" t="n">
        <v>308</v>
      </c>
      <c r="S75" s="48" t="n">
        <v>250</v>
      </c>
      <c r="T75" s="48" t="n">
        <v>200</v>
      </c>
      <c r="U75" s="48" t="n">
        <v>0</v>
      </c>
      <c r="V75" s="48" t="n"/>
      <c r="W75" s="48" t="n">
        <v>553</v>
      </c>
      <c r="X75" s="48" t="n">
        <v>902</v>
      </c>
      <c r="Y75" s="48" t="n">
        <v>86</v>
      </c>
    </row>
    <row r="76">
      <c r="A76" s="78" t="n">
        <v>46155</v>
      </c>
      <c r="B76" s="45" t="inlineStr">
        <is>
          <t>N7</t>
        </is>
      </c>
      <c r="C76" s="48" t="n">
        <v>238.098052173913</v>
      </c>
      <c r="D76" s="48" t="n">
        <v>269.6409565217391</v>
      </c>
      <c r="E76" s="48" t="n">
        <v>192.3099652173913</v>
      </c>
      <c r="F76" s="48" t="n">
        <v>425.320452173913</v>
      </c>
      <c r="G76" s="48" t="n">
        <v>238.098052173913</v>
      </c>
      <c r="H76" s="48" t="n">
        <v>207.5726608695652</v>
      </c>
      <c r="I76" s="48" t="n">
        <v>234.028</v>
      </c>
      <c r="J76" s="48" t="n">
        <v>146.5218782608696</v>
      </c>
      <c r="K76" s="48" t="n">
        <v>283.8861391304347</v>
      </c>
      <c r="L76" s="48" t="n">
        <v>104.8038434782609</v>
      </c>
      <c r="M76" s="46">
        <f>N76-SUM(C76:L76)</f>
        <v/>
      </c>
      <c r="N76" s="49" t="n">
        <v>2854</v>
      </c>
      <c r="O76" s="48" t="n">
        <v>105</v>
      </c>
      <c r="P76" s="48" t="n">
        <v>7</v>
      </c>
      <c r="Q76" s="48" t="n">
        <v>430</v>
      </c>
      <c r="R76" s="48" t="n">
        <v>319</v>
      </c>
      <c r="S76" s="48" t="n">
        <v>250</v>
      </c>
      <c r="T76" s="48" t="n">
        <v>200</v>
      </c>
      <c r="U76" s="48" t="n">
        <v>0</v>
      </c>
      <c r="V76" s="48" t="n"/>
      <c r="W76" s="48" t="n">
        <v>553</v>
      </c>
      <c r="X76" s="48" t="n">
        <v>904</v>
      </c>
      <c r="Y76" s="48" t="n">
        <v>86</v>
      </c>
    </row>
    <row r="77">
      <c r="A77" s="78" t="n">
        <v>46156</v>
      </c>
      <c r="B77" s="45" t="inlineStr">
        <is>
          <t>N7</t>
        </is>
      </c>
      <c r="C77" s="48" t="n">
        <v>249.5274260869565</v>
      </c>
      <c r="D77" s="48" t="n">
        <v>282.5844782608696</v>
      </c>
      <c r="E77" s="48" t="n">
        <v>201.5413826086956</v>
      </c>
      <c r="F77" s="48" t="n">
        <v>445.7370260869565</v>
      </c>
      <c r="G77" s="48" t="n">
        <v>249.5274260869565</v>
      </c>
      <c r="H77" s="48" t="n">
        <v>217.5367304347826</v>
      </c>
      <c r="I77" s="48" t="n">
        <v>245.262</v>
      </c>
      <c r="J77" s="48" t="n">
        <v>153.5553391304348</v>
      </c>
      <c r="K77" s="48" t="n">
        <v>297.5134695652173</v>
      </c>
      <c r="L77" s="48" t="n">
        <v>109.8347217391304</v>
      </c>
      <c r="M77" s="46">
        <f>N77-SUM(C77:L77)</f>
        <v/>
      </c>
      <c r="N77" s="49" t="n">
        <v>2991</v>
      </c>
      <c r="O77" s="48" t="n">
        <v>105</v>
      </c>
      <c r="P77" s="48" t="n">
        <v>7</v>
      </c>
      <c r="Q77" s="48" t="n">
        <v>430</v>
      </c>
      <c r="R77" s="48" t="n">
        <v>330</v>
      </c>
      <c r="S77" s="48" t="n">
        <v>250</v>
      </c>
      <c r="T77" s="48" t="n">
        <v>250</v>
      </c>
      <c r="U77" s="48" t="n">
        <v>48</v>
      </c>
      <c r="V77" s="48" t="n"/>
      <c r="W77" s="48" t="n">
        <v>553</v>
      </c>
      <c r="X77" s="48" t="n">
        <v>933</v>
      </c>
      <c r="Y77" s="48" t="n">
        <v>85</v>
      </c>
    </row>
    <row r="78">
      <c r="A78" s="78" t="n">
        <v>46157</v>
      </c>
      <c r="B78" s="45" t="inlineStr">
        <is>
          <t>N7</t>
        </is>
      </c>
      <c r="C78" s="48" t="n">
        <v>251.0290956521739</v>
      </c>
      <c r="D78" s="48" t="n">
        <v>284.2850869565217</v>
      </c>
      <c r="E78" s="48" t="n">
        <v>202.7542695652174</v>
      </c>
      <c r="F78" s="48" t="n">
        <v>448.4194956521739</v>
      </c>
      <c r="G78" s="48" t="n">
        <v>251.0290956521739</v>
      </c>
      <c r="H78" s="48" t="n">
        <v>218.8458782608695</v>
      </c>
      <c r="I78" s="48" t="n">
        <v>246.738</v>
      </c>
      <c r="J78" s="48" t="n">
        <v>154.4794434782609</v>
      </c>
      <c r="K78" s="48" t="n">
        <v>299.3039217391304</v>
      </c>
      <c r="L78" s="48" t="n">
        <v>110.4957130434782</v>
      </c>
      <c r="M78" s="46">
        <f>N78-SUM(C78:L78)</f>
        <v/>
      </c>
      <c r="N78" s="49" t="n">
        <v>3009</v>
      </c>
      <c r="O78" s="48" t="n">
        <v>105</v>
      </c>
      <c r="P78" s="48" t="n">
        <v>7</v>
      </c>
      <c r="Q78" s="48" t="n">
        <v>430</v>
      </c>
      <c r="R78" s="48" t="n">
        <v>311</v>
      </c>
      <c r="S78" s="48" t="n">
        <v>250</v>
      </c>
      <c r="T78" s="48" t="n">
        <v>250</v>
      </c>
      <c r="U78" s="48" t="n">
        <v>64</v>
      </c>
      <c r="V78" s="48" t="n"/>
      <c r="W78" s="48" t="n">
        <v>553</v>
      </c>
      <c r="X78" s="48" t="n">
        <v>954</v>
      </c>
      <c r="Y78" s="48" t="n">
        <v>85</v>
      </c>
    </row>
    <row r="79">
      <c r="A79" s="78" t="n">
        <v>46158</v>
      </c>
      <c r="B79" s="45" t="inlineStr">
        <is>
          <t>N7</t>
        </is>
      </c>
      <c r="C79" s="48" t="n">
        <v>294.2438086956521</v>
      </c>
      <c r="D79" s="48" t="n">
        <v>333.2248260869565</v>
      </c>
      <c r="E79" s="48" t="n">
        <v>237.6584608695652</v>
      </c>
      <c r="F79" s="48" t="n">
        <v>525.6150086956521</v>
      </c>
      <c r="G79" s="48" t="n">
        <v>294.2438086956521</v>
      </c>
      <c r="H79" s="48" t="n">
        <v>256.5202434782609</v>
      </c>
      <c r="I79" s="48" t="n">
        <v>289.214</v>
      </c>
      <c r="J79" s="48" t="n">
        <v>181.0731130434783</v>
      </c>
      <c r="K79" s="48" t="n">
        <v>350.8291565217391</v>
      </c>
      <c r="L79" s="48" t="n">
        <v>129.5175739130435</v>
      </c>
      <c r="M79" s="46">
        <f>N79-SUM(C79:L79)</f>
        <v/>
      </c>
      <c r="N79" s="49" t="n">
        <v>3527</v>
      </c>
      <c r="O79" s="48" t="n">
        <v>151</v>
      </c>
      <c r="P79" s="48" t="n">
        <v>10</v>
      </c>
      <c r="Q79" s="48" t="n">
        <v>645</v>
      </c>
      <c r="R79" s="48" t="n">
        <v>410</v>
      </c>
      <c r="S79" s="48" t="n">
        <v>350</v>
      </c>
      <c r="T79" s="48" t="n">
        <v>250</v>
      </c>
      <c r="U79" s="48" t="n">
        <v>97</v>
      </c>
      <c r="V79" s="48" t="n"/>
      <c r="W79" s="48" t="n">
        <v>553</v>
      </c>
      <c r="X79" s="48" t="n">
        <v>1061</v>
      </c>
      <c r="Y79" s="48" t="n">
        <v>0</v>
      </c>
    </row>
    <row r="80">
      <c r="A80" s="78" t="n">
        <v>46159</v>
      </c>
      <c r="B80" s="45" t="inlineStr">
        <is>
          <t>N7</t>
        </is>
      </c>
      <c r="C80" s="48" t="n">
        <v>299.9167826086956</v>
      </c>
      <c r="D80" s="48" t="n">
        <v>339.6493478260869</v>
      </c>
      <c r="E80" s="48" t="n">
        <v>242.2404782608695</v>
      </c>
      <c r="F80" s="48" t="n">
        <v>535.7487826086956</v>
      </c>
      <c r="G80" s="48" t="n">
        <v>299.9167826086956</v>
      </c>
      <c r="H80" s="48" t="n">
        <v>261.4659130434782</v>
      </c>
      <c r="I80" s="48" t="n">
        <v>294.79</v>
      </c>
      <c r="J80" s="48" t="n">
        <v>184.5641739130435</v>
      </c>
      <c r="K80" s="48" t="n">
        <v>357.5930869565217</v>
      </c>
      <c r="L80" s="48" t="n">
        <v>132.014652173913</v>
      </c>
      <c r="M80" s="46">
        <f>N80-SUM(C80:L80)</f>
        <v/>
      </c>
      <c r="N80" s="49" t="n">
        <v>3595</v>
      </c>
      <c r="O80" s="48" t="n">
        <v>151</v>
      </c>
      <c r="P80" s="48" t="n">
        <v>10</v>
      </c>
      <c r="Q80" s="48" t="n">
        <v>645</v>
      </c>
      <c r="R80" s="48" t="n">
        <v>410</v>
      </c>
      <c r="S80" s="48" t="n">
        <v>350</v>
      </c>
      <c r="T80" s="48" t="n">
        <v>250</v>
      </c>
      <c r="U80" s="48" t="n">
        <v>97</v>
      </c>
      <c r="V80" s="48" t="n"/>
      <c r="W80" s="48" t="n">
        <v>553</v>
      </c>
      <c r="X80" s="48" t="n">
        <v>1129</v>
      </c>
      <c r="Y80" s="48" t="n">
        <v>0</v>
      </c>
    </row>
    <row r="81">
      <c r="A81" s="78" t="n">
        <v>46160</v>
      </c>
      <c r="B81" s="45" t="inlineStr">
        <is>
          <t>N7</t>
        </is>
      </c>
      <c r="C81" s="48" t="n">
        <v>265.0446782608695</v>
      </c>
      <c r="D81" s="48" t="n">
        <v>300.1574347826087</v>
      </c>
      <c r="E81" s="48" t="n">
        <v>214.074547826087</v>
      </c>
      <c r="F81" s="48" t="n">
        <v>473.4558782608695</v>
      </c>
      <c r="G81" s="48" t="n">
        <v>265.0446782608695</v>
      </c>
      <c r="H81" s="48" t="n">
        <v>231.0645913043478</v>
      </c>
      <c r="I81" s="48" t="n">
        <v>260.514</v>
      </c>
      <c r="J81" s="48" t="n">
        <v>163.1044173913044</v>
      </c>
      <c r="K81" s="48" t="n">
        <v>316.0148086956522</v>
      </c>
      <c r="L81" s="48" t="n">
        <v>116.6649652173913</v>
      </c>
      <c r="M81" s="46">
        <f>N81-SUM(C81:L81)</f>
        <v/>
      </c>
      <c r="N81" s="49" t="n">
        <v>3177</v>
      </c>
      <c r="O81" s="48" t="n">
        <v>105</v>
      </c>
      <c r="P81" s="48" t="n">
        <v>7</v>
      </c>
      <c r="Q81" s="48" t="n">
        <v>430</v>
      </c>
      <c r="R81" s="48" t="n">
        <v>333</v>
      </c>
      <c r="S81" s="48" t="n">
        <v>250</v>
      </c>
      <c r="T81" s="48" t="n">
        <v>250</v>
      </c>
      <c r="U81" s="48" t="n">
        <v>58</v>
      </c>
      <c r="V81" s="48" t="n"/>
      <c r="W81" s="48" t="n">
        <v>553</v>
      </c>
      <c r="X81" s="48" t="n">
        <v>1106</v>
      </c>
      <c r="Y81" s="48" t="n">
        <v>85</v>
      </c>
    </row>
    <row r="82">
      <c r="A82" s="78" t="n">
        <v>46161</v>
      </c>
      <c r="B82" s="45" t="inlineStr">
        <is>
          <t>N7</t>
        </is>
      </c>
      <c r="C82" s="48" t="n">
        <v>267.2971826086956</v>
      </c>
      <c r="D82" s="48" t="n">
        <v>302.7083478260869</v>
      </c>
      <c r="E82" s="48" t="n">
        <v>215.8938782608695</v>
      </c>
      <c r="F82" s="48" t="n">
        <v>477.4795826086956</v>
      </c>
      <c r="G82" s="48" t="n">
        <v>267.2971826086956</v>
      </c>
      <c r="H82" s="48" t="n">
        <v>233.0283130434782</v>
      </c>
      <c r="I82" s="48" t="n">
        <v>262.728</v>
      </c>
      <c r="J82" s="48" t="n">
        <v>164.4905739130435</v>
      </c>
      <c r="K82" s="48" t="n">
        <v>318.7004869565217</v>
      </c>
      <c r="L82" s="48" t="n">
        <v>117.656452173913</v>
      </c>
      <c r="M82" s="46">
        <f>N82-SUM(C82:L82)</f>
        <v/>
      </c>
      <c r="N82" s="49" t="n">
        <v>3204</v>
      </c>
      <c r="O82" s="48" t="n">
        <v>105</v>
      </c>
      <c r="P82" s="48" t="n">
        <v>7</v>
      </c>
      <c r="Q82" s="48" t="n">
        <v>430</v>
      </c>
      <c r="R82" s="48" t="n">
        <v>333</v>
      </c>
      <c r="S82" s="48" t="n">
        <v>250</v>
      </c>
      <c r="T82" s="48" t="n">
        <v>300</v>
      </c>
      <c r="U82" s="48" t="n">
        <v>15</v>
      </c>
      <c r="V82" s="48" t="n"/>
      <c r="W82" s="48" t="n">
        <v>553</v>
      </c>
      <c r="X82" s="48" t="n">
        <v>1126</v>
      </c>
      <c r="Y82" s="48" t="n">
        <v>85</v>
      </c>
    </row>
    <row r="83">
      <c r="A83" s="78" t="n">
        <v>46162</v>
      </c>
      <c r="B83" s="45" t="inlineStr">
        <is>
          <t>N7</t>
        </is>
      </c>
      <c r="C83" s="48" t="n">
        <v>267.3806086956521</v>
      </c>
      <c r="D83" s="48" t="n">
        <v>302.8028260869565</v>
      </c>
      <c r="E83" s="48" t="n">
        <v>215.9612608695652</v>
      </c>
      <c r="F83" s="48" t="n">
        <v>477.6286086956521</v>
      </c>
      <c r="G83" s="48" t="n">
        <v>267.3806086956521</v>
      </c>
      <c r="H83" s="48" t="n">
        <v>233.1010434782608</v>
      </c>
      <c r="I83" s="48" t="n">
        <v>262.81</v>
      </c>
      <c r="J83" s="48" t="n">
        <v>164.5419130434783</v>
      </c>
      <c r="K83" s="48" t="n">
        <v>318.7999565217391</v>
      </c>
      <c r="L83" s="48" t="n">
        <v>117.6931739130435</v>
      </c>
      <c r="M83" s="46">
        <f>N83-SUM(C83:L83)</f>
        <v/>
      </c>
      <c r="N83" s="49" t="n">
        <v>3205</v>
      </c>
      <c r="O83" s="48" t="n">
        <v>105</v>
      </c>
      <c r="P83" s="48" t="n">
        <v>7</v>
      </c>
      <c r="Q83" s="48" t="n">
        <v>430</v>
      </c>
      <c r="R83" s="48" t="n">
        <v>333</v>
      </c>
      <c r="S83" s="48" t="n">
        <v>250</v>
      </c>
      <c r="T83" s="48" t="n">
        <v>300</v>
      </c>
      <c r="U83" s="48" t="n">
        <v>0</v>
      </c>
      <c r="V83" s="48" t="n"/>
      <c r="W83" s="48" t="n">
        <v>553</v>
      </c>
      <c r="X83" s="48" t="n">
        <v>1142</v>
      </c>
      <c r="Y83" s="48" t="n">
        <v>85</v>
      </c>
    </row>
    <row r="84">
      <c r="A84" s="78" t="n">
        <v>46163</v>
      </c>
      <c r="B84" s="45" t="inlineStr">
        <is>
          <t>N7</t>
        </is>
      </c>
      <c r="C84" s="48" t="n">
        <v>270.6342260869565</v>
      </c>
      <c r="D84" s="48" t="n">
        <v>306.4874782608696</v>
      </c>
      <c r="E84" s="48" t="n">
        <v>218.5891826086957</v>
      </c>
      <c r="F84" s="48" t="n">
        <v>483.4406260869565</v>
      </c>
      <c r="G84" s="48" t="n">
        <v>270.6342260869565</v>
      </c>
      <c r="H84" s="48" t="n">
        <v>235.9375304347826</v>
      </c>
      <c r="I84" s="48" t="n">
        <v>266.008</v>
      </c>
      <c r="J84" s="48" t="n">
        <v>166.5441391304348</v>
      </c>
      <c r="K84" s="48" t="n">
        <v>322.6792695652174</v>
      </c>
      <c r="L84" s="48" t="n">
        <v>119.1253217391304</v>
      </c>
      <c r="M84" s="46">
        <f>N84-SUM(C84:L84)</f>
        <v/>
      </c>
      <c r="N84" s="49" t="n">
        <v>3244</v>
      </c>
      <c r="O84" s="48" t="n">
        <v>105</v>
      </c>
      <c r="P84" s="48" t="n">
        <v>7</v>
      </c>
      <c r="Q84" s="48" t="n">
        <v>430</v>
      </c>
      <c r="R84" s="48" t="n">
        <v>333</v>
      </c>
      <c r="S84" s="48" t="n">
        <v>250</v>
      </c>
      <c r="T84" s="48" t="n">
        <v>300</v>
      </c>
      <c r="U84" s="48" t="n">
        <v>0</v>
      </c>
      <c r="V84" s="48" t="n"/>
      <c r="W84" s="48" t="n">
        <v>553</v>
      </c>
      <c r="X84" s="48" t="n">
        <v>1181</v>
      </c>
      <c r="Y84" s="48" t="n">
        <v>85</v>
      </c>
    </row>
    <row r="85">
      <c r="A85" s="78" t="n">
        <v>46164</v>
      </c>
      <c r="B85" s="45" t="inlineStr">
        <is>
          <t>N7</t>
        </is>
      </c>
      <c r="C85" s="48" t="n">
        <v>271.3850608695652</v>
      </c>
      <c r="D85" s="48" t="n">
        <v>307.3377826086956</v>
      </c>
      <c r="E85" s="48" t="n">
        <v>219.1956260869565</v>
      </c>
      <c r="F85" s="48" t="n">
        <v>484.7818608695652</v>
      </c>
      <c r="G85" s="48" t="n">
        <v>271.3850608695652</v>
      </c>
      <c r="H85" s="48" t="n">
        <v>236.5921043478261</v>
      </c>
      <c r="I85" s="48" t="n">
        <v>266.746</v>
      </c>
      <c r="J85" s="48" t="n">
        <v>167.0061913043479</v>
      </c>
      <c r="K85" s="48" t="n">
        <v>323.5744956521739</v>
      </c>
      <c r="L85" s="48" t="n">
        <v>119.4558173913044</v>
      </c>
      <c r="M85" s="46">
        <f>N85-SUM(C85:L85)</f>
        <v/>
      </c>
      <c r="N85" s="49" t="n">
        <v>3253</v>
      </c>
      <c r="O85" s="48" t="n">
        <v>105</v>
      </c>
      <c r="P85" s="48" t="n">
        <v>7</v>
      </c>
      <c r="Q85" s="48" t="n">
        <v>430</v>
      </c>
      <c r="R85" s="48" t="n">
        <v>333</v>
      </c>
      <c r="S85" s="48" t="n">
        <v>250</v>
      </c>
      <c r="T85" s="48" t="n">
        <v>300</v>
      </c>
      <c r="U85" s="48" t="n">
        <v>8</v>
      </c>
      <c r="V85" s="48" t="n"/>
      <c r="W85" s="48" t="n">
        <v>553</v>
      </c>
      <c r="X85" s="48" t="n">
        <v>1182</v>
      </c>
      <c r="Y85" s="48" t="n">
        <v>85</v>
      </c>
    </row>
    <row r="86">
      <c r="A86" s="78" t="n">
        <v>46165</v>
      </c>
      <c r="B86" s="45" t="inlineStr">
        <is>
          <t>N7</t>
        </is>
      </c>
      <c r="C86" s="48" t="n">
        <v>312.7644</v>
      </c>
      <c r="D86" s="48" t="n">
        <v>354.199</v>
      </c>
      <c r="E86" s="48" t="n">
        <v>252.6174</v>
      </c>
      <c r="F86" s="48" t="n">
        <v>558.6987999999999</v>
      </c>
      <c r="G86" s="48" t="n">
        <v>312.7644</v>
      </c>
      <c r="H86" s="48" t="n">
        <v>272.6664</v>
      </c>
      <c r="I86" s="48" t="n">
        <v>307.418</v>
      </c>
      <c r="J86" s="48" t="n">
        <v>192.4704</v>
      </c>
      <c r="K86" s="48" t="n">
        <v>372.9114</v>
      </c>
      <c r="L86" s="48" t="n">
        <v>137.6698</v>
      </c>
      <c r="M86" s="46">
        <f>N86-SUM(C86:L86)</f>
        <v/>
      </c>
      <c r="N86" s="49" t="n">
        <v>3749</v>
      </c>
      <c r="O86" s="48" t="n">
        <v>151</v>
      </c>
      <c r="P86" s="48" t="n">
        <v>10</v>
      </c>
      <c r="Q86" s="48" t="n">
        <v>645</v>
      </c>
      <c r="R86" s="48" t="n">
        <v>431</v>
      </c>
      <c r="S86" s="48" t="n">
        <v>350</v>
      </c>
      <c r="T86" s="48" t="n">
        <v>300</v>
      </c>
      <c r="U86" s="48" t="n">
        <v>79</v>
      </c>
      <c r="V86" s="48" t="n"/>
      <c r="W86" s="48" t="n">
        <v>553</v>
      </c>
      <c r="X86" s="48" t="n">
        <v>1230</v>
      </c>
      <c r="Y86" s="48" t="n">
        <v>0</v>
      </c>
    </row>
    <row r="87">
      <c r="A87" s="78" t="n">
        <v>46166</v>
      </c>
      <c r="B87" s="45" t="inlineStr">
        <is>
          <t>N7</t>
        </is>
      </c>
      <c r="C87" s="48" t="n">
        <v>313.8489391304348</v>
      </c>
      <c r="D87" s="48" t="n">
        <v>355.4272173913043</v>
      </c>
      <c r="E87" s="48" t="n">
        <v>253.4933739130435</v>
      </c>
      <c r="F87" s="48" t="n">
        <v>560.6361391304347</v>
      </c>
      <c r="G87" s="48" t="n">
        <v>313.8489391304348</v>
      </c>
      <c r="H87" s="48" t="n">
        <v>273.6118956521739</v>
      </c>
      <c r="I87" s="48" t="n">
        <v>308.484</v>
      </c>
      <c r="J87" s="48" t="n">
        <v>193.1378086956522</v>
      </c>
      <c r="K87" s="48" t="n">
        <v>374.2045043478261</v>
      </c>
      <c r="L87" s="48" t="n">
        <v>138.1471826086957</v>
      </c>
      <c r="M87" s="46">
        <f>N87-SUM(C87:L87)</f>
        <v/>
      </c>
      <c r="N87" s="49" t="n">
        <v>3762</v>
      </c>
      <c r="O87" s="48" t="n">
        <v>151</v>
      </c>
      <c r="P87" s="48" t="n">
        <v>10</v>
      </c>
      <c r="Q87" s="48" t="n">
        <v>645</v>
      </c>
      <c r="R87" s="48" t="n">
        <v>431</v>
      </c>
      <c r="S87" s="48" t="n">
        <v>350</v>
      </c>
      <c r="T87" s="48" t="n">
        <v>300</v>
      </c>
      <c r="U87" s="48" t="n">
        <v>79</v>
      </c>
      <c r="V87" s="48" t="n"/>
      <c r="W87" s="48" t="n">
        <v>553</v>
      </c>
      <c r="X87" s="48" t="n">
        <v>1243</v>
      </c>
      <c r="Y87" s="48" t="n">
        <v>0</v>
      </c>
    </row>
    <row r="88">
      <c r="A88" s="78" t="n">
        <v>46167</v>
      </c>
      <c r="B88" s="45" t="inlineStr">
        <is>
          <t>N7</t>
        </is>
      </c>
      <c r="C88" s="48" t="n">
        <v>278.3094260869565</v>
      </c>
      <c r="D88" s="48" t="n">
        <v>315.1794782608696</v>
      </c>
      <c r="E88" s="48" t="n">
        <v>224.7883826086957</v>
      </c>
      <c r="F88" s="48" t="n">
        <v>497.1510260869565</v>
      </c>
      <c r="G88" s="48" t="n">
        <v>278.3094260869565</v>
      </c>
      <c r="H88" s="48" t="n">
        <v>242.6287304347826</v>
      </c>
      <c r="I88" s="48" t="n">
        <v>273.552</v>
      </c>
      <c r="J88" s="48" t="n">
        <v>171.2673391304348</v>
      </c>
      <c r="K88" s="48" t="n">
        <v>331.8304695652174</v>
      </c>
      <c r="L88" s="48" t="n">
        <v>122.5037217391304</v>
      </c>
      <c r="M88" s="46">
        <f>N88-SUM(C88:L88)</f>
        <v/>
      </c>
      <c r="N88" s="49" t="n">
        <v>3336</v>
      </c>
      <c r="O88" s="48" t="n">
        <v>105</v>
      </c>
      <c r="P88" s="48" t="n">
        <v>7</v>
      </c>
      <c r="Q88" s="48" t="n">
        <v>430</v>
      </c>
      <c r="R88" s="48" t="n">
        <v>354</v>
      </c>
      <c r="S88" s="48" t="n">
        <v>250</v>
      </c>
      <c r="T88" s="48" t="n">
        <v>350</v>
      </c>
      <c r="U88" s="48" t="n">
        <v>26</v>
      </c>
      <c r="V88" s="48" t="n"/>
      <c r="W88" s="48" t="n">
        <v>553</v>
      </c>
      <c r="X88" s="48" t="n">
        <v>1176</v>
      </c>
      <c r="Y88" s="48" t="n">
        <v>85</v>
      </c>
    </row>
    <row r="89">
      <c r="A89" s="78" t="n">
        <v>46168</v>
      </c>
      <c r="B89" s="45" t="inlineStr">
        <is>
          <t>N7</t>
        </is>
      </c>
      <c r="C89" s="48" t="n">
        <v>274.1381217391304</v>
      </c>
      <c r="D89" s="48" t="n">
        <v>310.4555652173913</v>
      </c>
      <c r="E89" s="48" t="n">
        <v>221.419252173913</v>
      </c>
      <c r="F89" s="48" t="n">
        <v>489.6997217391304</v>
      </c>
      <c r="G89" s="48" t="n">
        <v>274.1381217391304</v>
      </c>
      <c r="H89" s="48" t="n">
        <v>238.9922086956522</v>
      </c>
      <c r="I89" s="48" t="n">
        <v>269.452</v>
      </c>
      <c r="J89" s="48" t="n">
        <v>168.7003826086957</v>
      </c>
      <c r="K89" s="48" t="n">
        <v>326.8569913043478</v>
      </c>
      <c r="L89" s="48" t="n">
        <v>120.6676347826087</v>
      </c>
      <c r="M89" s="46">
        <f>N89-SUM(C89:L89)</f>
        <v/>
      </c>
      <c r="N89" s="49" t="n">
        <v>3286</v>
      </c>
      <c r="O89" s="48" t="n">
        <v>105</v>
      </c>
      <c r="P89" s="48" t="n">
        <v>7</v>
      </c>
      <c r="Q89" s="48" t="n">
        <v>430</v>
      </c>
      <c r="R89" s="48" t="n">
        <v>343</v>
      </c>
      <c r="S89" s="48" t="n">
        <v>250</v>
      </c>
      <c r="T89" s="48" t="n">
        <v>350</v>
      </c>
      <c r="U89" s="48" t="n">
        <v>0</v>
      </c>
      <c r="V89" s="48" t="n"/>
      <c r="W89" s="48" t="n">
        <v>553</v>
      </c>
      <c r="X89" s="48" t="n">
        <v>1163</v>
      </c>
      <c r="Y89" s="48" t="n">
        <v>85</v>
      </c>
    </row>
    <row r="90">
      <c r="A90" s="78" t="n">
        <v>46169</v>
      </c>
      <c r="B90" s="45" t="inlineStr">
        <is>
          <t>N7</t>
        </is>
      </c>
      <c r="C90" s="48" t="n">
        <v>272.4696</v>
      </c>
      <c r="D90" s="48" t="n">
        <v>308.566</v>
      </c>
      <c r="E90" s="48" t="n">
        <v>220.0716</v>
      </c>
      <c r="F90" s="48" t="n">
        <v>486.7191999999999</v>
      </c>
      <c r="G90" s="48" t="n">
        <v>272.4696</v>
      </c>
      <c r="H90" s="48" t="n">
        <v>237.5376</v>
      </c>
      <c r="I90" s="48" t="n">
        <v>267.812</v>
      </c>
      <c r="J90" s="48" t="n">
        <v>167.6736</v>
      </c>
      <c r="K90" s="48" t="n">
        <v>324.8676</v>
      </c>
      <c r="L90" s="48" t="n">
        <v>119.9332</v>
      </c>
      <c r="M90" s="46">
        <f>N90-SUM(C90:L90)</f>
        <v/>
      </c>
      <c r="N90" s="49" t="n">
        <v>3266</v>
      </c>
      <c r="O90" s="48" t="n">
        <v>105</v>
      </c>
      <c r="P90" s="48" t="n">
        <v>7</v>
      </c>
      <c r="Q90" s="48" t="n">
        <v>430</v>
      </c>
      <c r="R90" s="48" t="n">
        <v>343</v>
      </c>
      <c r="S90" s="48" t="n">
        <v>250</v>
      </c>
      <c r="T90" s="48" t="n">
        <v>350</v>
      </c>
      <c r="U90" s="48" t="n">
        <v>0</v>
      </c>
      <c r="V90" s="48" t="n"/>
      <c r="W90" s="48" t="n">
        <v>553</v>
      </c>
      <c r="X90" s="48" t="n">
        <v>1143</v>
      </c>
      <c r="Y90" s="48" t="n">
        <v>85</v>
      </c>
    </row>
    <row r="91">
      <c r="A91" s="78" t="n">
        <v>46170</v>
      </c>
      <c r="B91" s="45" t="inlineStr">
        <is>
          <t>N7</t>
        </is>
      </c>
      <c r="C91" s="48" t="n">
        <v>275.4729391304348</v>
      </c>
      <c r="D91" s="48" t="n">
        <v>311.9672173913044</v>
      </c>
      <c r="E91" s="48" t="n">
        <v>222.4973739130435</v>
      </c>
      <c r="F91" s="48" t="n">
        <v>492.0841391304347</v>
      </c>
      <c r="G91" s="48" t="n">
        <v>275.4729391304348</v>
      </c>
      <c r="H91" s="48" t="n">
        <v>240.1558956521739</v>
      </c>
      <c r="I91" s="48" t="n">
        <v>270.764</v>
      </c>
      <c r="J91" s="48" t="n">
        <v>169.5218086956522</v>
      </c>
      <c r="K91" s="48" t="n">
        <v>328.4485043478261</v>
      </c>
      <c r="L91" s="48" t="n">
        <v>121.2551826086956</v>
      </c>
      <c r="M91" s="46">
        <f>N91-SUM(C91:L91)</f>
        <v/>
      </c>
      <c r="N91" s="49" t="n">
        <v>3302</v>
      </c>
      <c r="O91" s="48" t="n">
        <v>105</v>
      </c>
      <c r="P91" s="48" t="n">
        <v>7</v>
      </c>
      <c r="Q91" s="48" t="n">
        <v>430</v>
      </c>
      <c r="R91" s="48" t="n">
        <v>343</v>
      </c>
      <c r="S91" s="48" t="n">
        <v>250</v>
      </c>
      <c r="T91" s="48" t="n">
        <v>350</v>
      </c>
      <c r="U91" s="48" t="n">
        <v>0</v>
      </c>
      <c r="V91" s="48" t="n"/>
      <c r="W91" s="48" t="n">
        <v>553</v>
      </c>
      <c r="X91" s="48" t="n">
        <v>1179</v>
      </c>
      <c r="Y91" s="48" t="n">
        <v>85</v>
      </c>
    </row>
    <row r="92">
      <c r="A92" s="78" t="n">
        <v>46171</v>
      </c>
      <c r="B92" s="45" t="inlineStr">
        <is>
          <t>N7</t>
        </is>
      </c>
      <c r="C92" s="48" t="n">
        <v>275.9734956521739</v>
      </c>
      <c r="D92" s="48" t="n">
        <v>312.5340869565217</v>
      </c>
      <c r="E92" s="48" t="n">
        <v>222.9016695652174</v>
      </c>
      <c r="F92" s="48" t="n">
        <v>492.9782956521739</v>
      </c>
      <c r="G92" s="48" t="n">
        <v>275.9734956521739</v>
      </c>
      <c r="H92" s="48" t="n">
        <v>240.5922782608695</v>
      </c>
      <c r="I92" s="48" t="n">
        <v>271.256</v>
      </c>
      <c r="J92" s="48" t="n">
        <v>169.8298434782609</v>
      </c>
      <c r="K92" s="48" t="n">
        <v>329.0453217391304</v>
      </c>
      <c r="L92" s="48" t="n">
        <v>121.4755130434783</v>
      </c>
      <c r="M92" s="46">
        <f>N92-SUM(C92:L92)</f>
        <v/>
      </c>
      <c r="N92" s="49" t="n">
        <v>3308</v>
      </c>
      <c r="O92" s="48" t="n">
        <v>105</v>
      </c>
      <c r="P92" s="48" t="n">
        <v>7</v>
      </c>
      <c r="Q92" s="48" t="n">
        <v>430</v>
      </c>
      <c r="R92" s="48" t="n">
        <v>343</v>
      </c>
      <c r="S92" s="48" t="n">
        <v>250</v>
      </c>
      <c r="T92" s="48" t="n">
        <v>350</v>
      </c>
      <c r="U92" s="48" t="n">
        <v>0</v>
      </c>
      <c r="V92" s="48" t="n"/>
      <c r="W92" s="48" t="n">
        <v>553</v>
      </c>
      <c r="X92" s="48" t="n">
        <v>1185</v>
      </c>
      <c r="Y92" s="48" t="n">
        <v>85</v>
      </c>
    </row>
    <row r="93">
      <c r="A93" s="78" t="n">
        <v>46172</v>
      </c>
      <c r="B93" s="45" t="inlineStr">
        <is>
          <t>N7</t>
        </is>
      </c>
      <c r="C93" s="48" t="n">
        <v>309.6776347826087</v>
      </c>
      <c r="D93" s="48" t="n">
        <v>350.7033043478261</v>
      </c>
      <c r="E93" s="48" t="n">
        <v>250.1242434782609</v>
      </c>
      <c r="F93" s="48" t="n">
        <v>553.1848347826086</v>
      </c>
      <c r="G93" s="48" t="n">
        <v>309.6776347826087</v>
      </c>
      <c r="H93" s="48" t="n">
        <v>269.9753739130434</v>
      </c>
      <c r="I93" s="48" t="n">
        <v>304.384</v>
      </c>
      <c r="J93" s="48" t="n">
        <v>190.570852173913</v>
      </c>
      <c r="K93" s="48" t="n">
        <v>369.2310260869565</v>
      </c>
      <c r="L93" s="48" t="n">
        <v>136.3110956521739</v>
      </c>
      <c r="M93" s="46">
        <f>N93-SUM(C93:L93)</f>
        <v/>
      </c>
      <c r="N93" s="49" t="n">
        <v>3712</v>
      </c>
      <c r="O93" s="48" t="n">
        <v>151</v>
      </c>
      <c r="P93" s="48" t="n">
        <v>10</v>
      </c>
      <c r="Q93" s="48" t="n">
        <v>645</v>
      </c>
      <c r="R93" s="48" t="n">
        <v>420</v>
      </c>
      <c r="S93" s="48" t="n">
        <v>350</v>
      </c>
      <c r="T93" s="48" t="n">
        <v>350</v>
      </c>
      <c r="U93" s="48" t="n">
        <v>34</v>
      </c>
      <c r="V93" s="48" t="n"/>
      <c r="W93" s="48" t="n">
        <v>553</v>
      </c>
      <c r="X93" s="48" t="n">
        <v>1199</v>
      </c>
      <c r="Y93" s="48" t="n">
        <v>0</v>
      </c>
    </row>
    <row r="94">
      <c r="A94" s="78" t="n">
        <v>46173</v>
      </c>
      <c r="B94" s="45" t="inlineStr">
        <is>
          <t>N7</t>
        </is>
      </c>
      <c r="C94" s="48" t="n">
        <v>309.4273565217391</v>
      </c>
      <c r="D94" s="48" t="n">
        <v>350.4198695652174</v>
      </c>
      <c r="E94" s="48" t="n">
        <v>249.9220956521739</v>
      </c>
      <c r="F94" s="48" t="n">
        <v>552.737756521739</v>
      </c>
      <c r="G94" s="48" t="n">
        <v>309.4273565217391</v>
      </c>
      <c r="H94" s="48" t="n">
        <v>269.7571826086956</v>
      </c>
      <c r="I94" s="48" t="n">
        <v>304.138</v>
      </c>
      <c r="J94" s="48" t="n">
        <v>190.4168347826087</v>
      </c>
      <c r="K94" s="48" t="n">
        <v>368.9326173913043</v>
      </c>
      <c r="L94" s="48" t="n">
        <v>136.2009304347826</v>
      </c>
      <c r="M94" s="46">
        <f>N94-SUM(C94:L94)</f>
        <v/>
      </c>
      <c r="N94" s="49" t="n">
        <v>3709</v>
      </c>
      <c r="O94" s="48" t="n">
        <v>151</v>
      </c>
      <c r="P94" s="48" t="n">
        <v>10</v>
      </c>
      <c r="Q94" s="48" t="n">
        <v>655</v>
      </c>
      <c r="R94" s="48" t="n">
        <v>420</v>
      </c>
      <c r="S94" s="48" t="n">
        <v>350</v>
      </c>
      <c r="T94" s="48" t="n">
        <v>350</v>
      </c>
      <c r="U94" s="48" t="n">
        <v>34</v>
      </c>
      <c r="V94" s="48" t="n"/>
      <c r="W94" s="48" t="n">
        <v>552</v>
      </c>
      <c r="X94" s="48" t="n">
        <v>1187</v>
      </c>
      <c r="Y94" s="48" t="n">
        <v>0</v>
      </c>
    </row>
    <row r="95">
      <c r="A95" s="78" t="n">
        <v>46174</v>
      </c>
      <c r="B95" s="45" t="inlineStr">
        <is>
          <t>N7</t>
        </is>
      </c>
      <c r="C95" s="48" t="n">
        <v>105</v>
      </c>
      <c r="D95" s="48" t="n">
        <v>126</v>
      </c>
      <c r="E95" s="48" t="n">
        <v>126</v>
      </c>
      <c r="F95" s="48" t="n">
        <v>209</v>
      </c>
      <c r="G95" s="48" t="n">
        <v>126</v>
      </c>
      <c r="H95" s="48" t="n">
        <v>104</v>
      </c>
      <c r="I95" s="48" t="n">
        <v>104</v>
      </c>
      <c r="J95" s="48" t="n">
        <v>85</v>
      </c>
      <c r="K95" s="48" t="n">
        <v>197</v>
      </c>
      <c r="L95" s="48" t="n">
        <v>59</v>
      </c>
      <c r="M95" s="46">
        <f>N95-SUM(C95:L95)</f>
        <v/>
      </c>
      <c r="N95" s="49" t="n">
        <v>1496</v>
      </c>
      <c r="O95" s="48" t="n">
        <v>49</v>
      </c>
      <c r="P95" s="48" t="n">
        <v>3</v>
      </c>
      <c r="Q95" s="48" t="n">
        <v>177</v>
      </c>
      <c r="R95" s="48" t="n">
        <v>287</v>
      </c>
      <c r="S95" s="48" t="n">
        <v>120</v>
      </c>
      <c r="T95" s="48" t="n">
        <v>105</v>
      </c>
      <c r="U95" s="48" t="n">
        <v>157</v>
      </c>
      <c r="V95" s="48" t="n"/>
      <c r="W95" s="48" t="n">
        <v>230</v>
      </c>
      <c r="X95" s="48" t="n">
        <v>341</v>
      </c>
      <c r="Y95" s="48" t="n">
        <v>27</v>
      </c>
    </row>
    <row r="96">
      <c r="A96" s="78" t="n">
        <v>46175</v>
      </c>
      <c r="B96" s="45" t="inlineStr">
        <is>
          <t>N7</t>
        </is>
      </c>
      <c r="C96" s="48" t="n">
        <v>105</v>
      </c>
      <c r="D96" s="48" t="n">
        <v>126</v>
      </c>
      <c r="E96" s="48" t="n">
        <v>126</v>
      </c>
      <c r="F96" s="48" t="n">
        <v>209</v>
      </c>
      <c r="G96" s="48" t="n">
        <v>126</v>
      </c>
      <c r="H96" s="48" t="n">
        <v>104</v>
      </c>
      <c r="I96" s="48" t="n">
        <v>104</v>
      </c>
      <c r="J96" s="48" t="n">
        <v>85</v>
      </c>
      <c r="K96" s="48" t="n">
        <v>197</v>
      </c>
      <c r="L96" s="48" t="n">
        <v>59</v>
      </c>
      <c r="M96" s="46">
        <f>N96-SUM(C96:L96)</f>
        <v/>
      </c>
      <c r="N96" s="49" t="n">
        <v>1496</v>
      </c>
      <c r="O96" s="48" t="n">
        <v>49</v>
      </c>
      <c r="P96" s="48" t="n">
        <v>3</v>
      </c>
      <c r="Q96" s="48" t="n">
        <v>177</v>
      </c>
      <c r="R96" s="48" t="n">
        <v>287</v>
      </c>
      <c r="S96" s="48" t="n">
        <v>120</v>
      </c>
      <c r="T96" s="48" t="n">
        <v>105</v>
      </c>
      <c r="U96" s="48" t="n">
        <v>157</v>
      </c>
      <c r="V96" s="48" t="n"/>
      <c r="W96" s="48" t="n">
        <v>230</v>
      </c>
      <c r="X96" s="48" t="n">
        <v>341</v>
      </c>
      <c r="Y96" s="48" t="n">
        <v>27</v>
      </c>
    </row>
    <row r="97">
      <c r="A97" s="78" t="n">
        <v>46176</v>
      </c>
      <c r="B97" s="45" t="inlineStr">
        <is>
          <t>N7</t>
        </is>
      </c>
      <c r="C97" s="48" t="n">
        <v>105</v>
      </c>
      <c r="D97" s="48" t="n">
        <v>126</v>
      </c>
      <c r="E97" s="48" t="n">
        <v>126</v>
      </c>
      <c r="F97" s="48" t="n">
        <v>210</v>
      </c>
      <c r="G97" s="48" t="n">
        <v>126</v>
      </c>
      <c r="H97" s="48" t="n">
        <v>104</v>
      </c>
      <c r="I97" s="48" t="n">
        <v>104</v>
      </c>
      <c r="J97" s="48" t="n">
        <v>85</v>
      </c>
      <c r="K97" s="48" t="n">
        <v>197</v>
      </c>
      <c r="L97" s="48" t="n">
        <v>59</v>
      </c>
      <c r="M97" s="46">
        <f>N97-SUM(C97:L97)</f>
        <v/>
      </c>
      <c r="N97" s="49" t="n">
        <v>1498</v>
      </c>
      <c r="O97" s="48" t="n">
        <v>49</v>
      </c>
      <c r="P97" s="48" t="n">
        <v>3</v>
      </c>
      <c r="Q97" s="48" t="n">
        <v>177</v>
      </c>
      <c r="R97" s="48" t="n">
        <v>287</v>
      </c>
      <c r="S97" s="48" t="n">
        <v>121</v>
      </c>
      <c r="T97" s="48" t="n">
        <v>105</v>
      </c>
      <c r="U97" s="48" t="n">
        <v>157</v>
      </c>
      <c r="V97" s="48" t="n"/>
      <c r="W97" s="48" t="n">
        <v>230</v>
      </c>
      <c r="X97" s="48" t="n">
        <v>341</v>
      </c>
      <c r="Y97" s="48" t="n">
        <v>28</v>
      </c>
    </row>
    <row r="98">
      <c r="A98" s="78" t="n">
        <v>46177</v>
      </c>
      <c r="B98" s="45" t="inlineStr">
        <is>
          <t>N7</t>
        </is>
      </c>
      <c r="C98" s="48" t="n">
        <v>105</v>
      </c>
      <c r="D98" s="48" t="n">
        <v>126</v>
      </c>
      <c r="E98" s="48" t="n">
        <v>126</v>
      </c>
      <c r="F98" s="48" t="n">
        <v>210</v>
      </c>
      <c r="G98" s="48" t="n">
        <v>126</v>
      </c>
      <c r="H98" s="48" t="n">
        <v>104</v>
      </c>
      <c r="I98" s="48" t="n">
        <v>104</v>
      </c>
      <c r="J98" s="48" t="n">
        <v>85</v>
      </c>
      <c r="K98" s="48" t="n">
        <v>197</v>
      </c>
      <c r="L98" s="48" t="n">
        <v>59</v>
      </c>
      <c r="M98" s="46">
        <f>N98-SUM(C98:L98)</f>
        <v/>
      </c>
      <c r="N98" s="49" t="n">
        <v>1498</v>
      </c>
      <c r="O98" s="48" t="n">
        <v>49</v>
      </c>
      <c r="P98" s="48" t="n">
        <v>3</v>
      </c>
      <c r="Q98" s="48" t="n">
        <v>177</v>
      </c>
      <c r="R98" s="48" t="n">
        <v>287</v>
      </c>
      <c r="S98" s="48" t="n">
        <v>121</v>
      </c>
      <c r="T98" s="48" t="n">
        <v>105</v>
      </c>
      <c r="U98" s="48" t="n">
        <v>157</v>
      </c>
      <c r="V98" s="48" t="n"/>
      <c r="W98" s="48" t="n">
        <v>230</v>
      </c>
      <c r="X98" s="48" t="n">
        <v>341</v>
      </c>
      <c r="Y98" s="48" t="n">
        <v>28</v>
      </c>
    </row>
    <row r="99">
      <c r="A99" s="78" t="n">
        <v>46178</v>
      </c>
      <c r="B99" s="45" t="inlineStr">
        <is>
          <t>N7</t>
        </is>
      </c>
      <c r="C99" s="48" t="n">
        <v>105</v>
      </c>
      <c r="D99" s="48" t="n">
        <v>126</v>
      </c>
      <c r="E99" s="48" t="n">
        <v>126</v>
      </c>
      <c r="F99" s="48" t="n">
        <v>210</v>
      </c>
      <c r="G99" s="48" t="n">
        <v>126</v>
      </c>
      <c r="H99" s="48" t="n">
        <v>104</v>
      </c>
      <c r="I99" s="48" t="n">
        <v>104</v>
      </c>
      <c r="J99" s="48" t="n">
        <v>85</v>
      </c>
      <c r="K99" s="48" t="n">
        <v>197</v>
      </c>
      <c r="L99" s="48" t="n">
        <v>59</v>
      </c>
      <c r="M99" s="46">
        <f>N99-SUM(C99:L99)</f>
        <v/>
      </c>
      <c r="N99" s="49" t="n">
        <v>1498</v>
      </c>
      <c r="O99" s="48" t="n">
        <v>49</v>
      </c>
      <c r="P99" s="48" t="n">
        <v>3</v>
      </c>
      <c r="Q99" s="48" t="n">
        <v>177</v>
      </c>
      <c r="R99" s="48" t="n">
        <v>287</v>
      </c>
      <c r="S99" s="48" t="n">
        <v>121</v>
      </c>
      <c r="T99" s="48" t="n">
        <v>105</v>
      </c>
      <c r="U99" s="48" t="n">
        <v>157</v>
      </c>
      <c r="V99" s="48" t="n"/>
      <c r="W99" s="48" t="n">
        <v>230</v>
      </c>
      <c r="X99" s="48" t="n">
        <v>341</v>
      </c>
      <c r="Y99" s="48" t="n">
        <v>28</v>
      </c>
    </row>
    <row r="100">
      <c r="A100" s="78" t="n">
        <v>46179</v>
      </c>
      <c r="B100" s="45" t="inlineStr">
        <is>
          <t>N7</t>
        </is>
      </c>
      <c r="C100" s="48" t="n">
        <v>246</v>
      </c>
      <c r="D100" s="48" t="n">
        <v>294</v>
      </c>
      <c r="E100" s="48" t="n">
        <v>294</v>
      </c>
      <c r="F100" s="48" t="n">
        <v>490</v>
      </c>
      <c r="G100" s="48" t="n">
        <v>294</v>
      </c>
      <c r="H100" s="48" t="n">
        <v>244</v>
      </c>
      <c r="I100" s="48" t="n">
        <v>244</v>
      </c>
      <c r="J100" s="48" t="n">
        <v>200</v>
      </c>
      <c r="K100" s="48" t="n">
        <v>460</v>
      </c>
      <c r="L100" s="48" t="n">
        <v>139</v>
      </c>
      <c r="M100" s="46">
        <f>N100-SUM(C100:L100)</f>
        <v/>
      </c>
      <c r="N100" s="49" t="n">
        <v>3500</v>
      </c>
      <c r="O100" s="48" t="n">
        <v>115</v>
      </c>
      <c r="P100" s="48" t="n">
        <v>6</v>
      </c>
      <c r="Q100" s="48" t="n">
        <v>414</v>
      </c>
      <c r="R100" s="48" t="n">
        <v>671</v>
      </c>
      <c r="S100" s="48" t="n">
        <v>282</v>
      </c>
      <c r="T100" s="48" t="n">
        <v>246</v>
      </c>
      <c r="U100" s="48" t="n">
        <v>367</v>
      </c>
      <c r="V100" s="48" t="n"/>
      <c r="W100" s="48" t="n">
        <v>537</v>
      </c>
      <c r="X100" s="48" t="n">
        <v>797</v>
      </c>
      <c r="Y100" s="48" t="n">
        <v>65</v>
      </c>
    </row>
    <row r="101">
      <c r="A101" s="78" t="n">
        <v>46180</v>
      </c>
      <c r="B101" s="45" t="inlineStr">
        <is>
          <t>N7</t>
        </is>
      </c>
      <c r="C101" s="48" t="n">
        <v>246</v>
      </c>
      <c r="D101" s="48" t="n">
        <v>294</v>
      </c>
      <c r="E101" s="48" t="n">
        <v>294</v>
      </c>
      <c r="F101" s="48" t="n">
        <v>490</v>
      </c>
      <c r="G101" s="48" t="n">
        <v>294</v>
      </c>
      <c r="H101" s="48" t="n">
        <v>244</v>
      </c>
      <c r="I101" s="48" t="n">
        <v>244</v>
      </c>
      <c r="J101" s="48" t="n">
        <v>200</v>
      </c>
      <c r="K101" s="48" t="n">
        <v>460</v>
      </c>
      <c r="L101" s="48" t="n">
        <v>139</v>
      </c>
      <c r="M101" s="46">
        <f>N101-SUM(C101:L101)</f>
        <v/>
      </c>
      <c r="N101" s="49" t="n">
        <v>3500</v>
      </c>
      <c r="O101" s="48" t="n">
        <v>115</v>
      </c>
      <c r="P101" s="48" t="n">
        <v>6</v>
      </c>
      <c r="Q101" s="48" t="n">
        <v>414</v>
      </c>
      <c r="R101" s="48" t="n">
        <v>671</v>
      </c>
      <c r="S101" s="48" t="n">
        <v>282</v>
      </c>
      <c r="T101" s="48" t="n">
        <v>246</v>
      </c>
      <c r="U101" s="48" t="n">
        <v>367</v>
      </c>
      <c r="V101" s="48" t="n"/>
      <c r="W101" s="48" t="n">
        <v>537</v>
      </c>
      <c r="X101" s="48" t="n">
        <v>797</v>
      </c>
      <c r="Y101" s="48" t="n">
        <v>65</v>
      </c>
    </row>
    <row r="102">
      <c r="A102" s="78" t="n">
        <v>46181</v>
      </c>
      <c r="B102" s="45" t="inlineStr">
        <is>
          <t>N7</t>
        </is>
      </c>
      <c r="C102" s="48" t="n">
        <v>137</v>
      </c>
      <c r="D102" s="48" t="n">
        <v>164</v>
      </c>
      <c r="E102" s="48" t="n">
        <v>164</v>
      </c>
      <c r="F102" s="48" t="n">
        <v>273</v>
      </c>
      <c r="G102" s="48" t="n">
        <v>164</v>
      </c>
      <c r="H102" s="48" t="n">
        <v>136</v>
      </c>
      <c r="I102" s="48" t="n">
        <v>136</v>
      </c>
      <c r="J102" s="48" t="n">
        <v>111</v>
      </c>
      <c r="K102" s="48" t="n">
        <v>256</v>
      </c>
      <c r="L102" s="48" t="n">
        <v>77</v>
      </c>
      <c r="M102" s="46">
        <f>N102-SUM(C102:L102)</f>
        <v/>
      </c>
      <c r="N102" s="49" t="n">
        <v>1950</v>
      </c>
      <c r="O102" s="48" t="n">
        <v>64</v>
      </c>
      <c r="P102" s="48" t="n">
        <v>3</v>
      </c>
      <c r="Q102" s="48" t="n">
        <v>231</v>
      </c>
      <c r="R102" s="48" t="n">
        <v>374</v>
      </c>
      <c r="S102" s="48" t="n">
        <v>157</v>
      </c>
      <c r="T102" s="48" t="n">
        <v>137</v>
      </c>
      <c r="U102" s="48" t="n">
        <v>205</v>
      </c>
      <c r="V102" s="48" t="n"/>
      <c r="W102" s="48" t="n">
        <v>299</v>
      </c>
      <c r="X102" s="48" t="n">
        <v>444</v>
      </c>
      <c r="Y102" s="48" t="n">
        <v>36</v>
      </c>
    </row>
    <row r="103">
      <c r="A103" s="78" t="n">
        <v>46182</v>
      </c>
      <c r="B103" s="45" t="inlineStr">
        <is>
          <t>N7</t>
        </is>
      </c>
      <c r="C103" s="48" t="n">
        <v>137</v>
      </c>
      <c r="D103" s="48" t="n">
        <v>164</v>
      </c>
      <c r="E103" s="48" t="n">
        <v>164</v>
      </c>
      <c r="F103" s="48" t="n">
        <v>273</v>
      </c>
      <c r="G103" s="48" t="n">
        <v>164</v>
      </c>
      <c r="H103" s="48" t="n">
        <v>136</v>
      </c>
      <c r="I103" s="48" t="n">
        <v>136</v>
      </c>
      <c r="J103" s="48" t="n">
        <v>111</v>
      </c>
      <c r="K103" s="48" t="n">
        <v>256</v>
      </c>
      <c r="L103" s="48" t="n">
        <v>77</v>
      </c>
      <c r="M103" s="46">
        <f>N103-SUM(C103:L103)</f>
        <v/>
      </c>
      <c r="N103" s="49" t="n">
        <v>1950</v>
      </c>
      <c r="O103" s="48" t="n">
        <v>64</v>
      </c>
      <c r="P103" s="48" t="n">
        <v>3</v>
      </c>
      <c r="Q103" s="48" t="n">
        <v>231</v>
      </c>
      <c r="R103" s="48" t="n">
        <v>374</v>
      </c>
      <c r="S103" s="48" t="n">
        <v>157</v>
      </c>
      <c r="T103" s="48" t="n">
        <v>137</v>
      </c>
      <c r="U103" s="48" t="n">
        <v>205</v>
      </c>
      <c r="V103" s="48" t="n"/>
      <c r="W103" s="48" t="n">
        <v>299</v>
      </c>
      <c r="X103" s="48" t="n">
        <v>444</v>
      </c>
      <c r="Y103" s="48" t="n">
        <v>36</v>
      </c>
    </row>
    <row r="104">
      <c r="A104" s="78" t="n">
        <v>46183</v>
      </c>
      <c r="B104" s="45" t="inlineStr">
        <is>
          <t>N7</t>
        </is>
      </c>
      <c r="C104" s="48" t="n">
        <v>137</v>
      </c>
      <c r="D104" s="48" t="n">
        <v>164</v>
      </c>
      <c r="E104" s="48" t="n">
        <v>164</v>
      </c>
      <c r="F104" s="48" t="n">
        <v>273</v>
      </c>
      <c r="G104" s="48" t="n">
        <v>164</v>
      </c>
      <c r="H104" s="48" t="n">
        <v>136</v>
      </c>
      <c r="I104" s="48" t="n">
        <v>136</v>
      </c>
      <c r="J104" s="48" t="n">
        <v>111</v>
      </c>
      <c r="K104" s="48" t="n">
        <v>256</v>
      </c>
      <c r="L104" s="48" t="n">
        <v>77</v>
      </c>
      <c r="M104" s="46">
        <f>N104-SUM(C104:L104)</f>
        <v/>
      </c>
      <c r="N104" s="49" t="n">
        <v>1950</v>
      </c>
      <c r="O104" s="48" t="n">
        <v>64</v>
      </c>
      <c r="P104" s="48" t="n">
        <v>3</v>
      </c>
      <c r="Q104" s="48" t="n">
        <v>231</v>
      </c>
      <c r="R104" s="48" t="n">
        <v>374</v>
      </c>
      <c r="S104" s="48" t="n">
        <v>157</v>
      </c>
      <c r="T104" s="48" t="n">
        <v>137</v>
      </c>
      <c r="U104" s="48" t="n">
        <v>205</v>
      </c>
      <c r="V104" s="48" t="n"/>
      <c r="W104" s="48" t="n">
        <v>299</v>
      </c>
      <c r="X104" s="48" t="n">
        <v>444</v>
      </c>
      <c r="Y104" s="48" t="n">
        <v>36</v>
      </c>
    </row>
    <row r="105">
      <c r="A105" s="78" t="n">
        <v>46184</v>
      </c>
      <c r="B105" s="45" t="inlineStr">
        <is>
          <t>N7</t>
        </is>
      </c>
      <c r="C105" s="48" t="n">
        <v>137</v>
      </c>
      <c r="D105" s="48" t="n">
        <v>164</v>
      </c>
      <c r="E105" s="48" t="n">
        <v>164</v>
      </c>
      <c r="F105" s="48" t="n">
        <v>273</v>
      </c>
      <c r="G105" s="48" t="n">
        <v>164</v>
      </c>
      <c r="H105" s="48" t="n">
        <v>136</v>
      </c>
      <c r="I105" s="48" t="n">
        <v>136</v>
      </c>
      <c r="J105" s="48" t="n">
        <v>111</v>
      </c>
      <c r="K105" s="48" t="n">
        <v>256</v>
      </c>
      <c r="L105" s="48" t="n">
        <v>77</v>
      </c>
      <c r="M105" s="46">
        <f>N105-SUM(C105:L105)</f>
        <v/>
      </c>
      <c r="N105" s="49" t="n">
        <v>1950</v>
      </c>
      <c r="O105" s="48" t="n">
        <v>64</v>
      </c>
      <c r="P105" s="48" t="n">
        <v>3</v>
      </c>
      <c r="Q105" s="48" t="n">
        <v>231</v>
      </c>
      <c r="R105" s="48" t="n">
        <v>374</v>
      </c>
      <c r="S105" s="48" t="n">
        <v>157</v>
      </c>
      <c r="T105" s="48" t="n">
        <v>137</v>
      </c>
      <c r="U105" s="48" t="n">
        <v>205</v>
      </c>
      <c r="V105" s="48" t="n"/>
      <c r="W105" s="48" t="n">
        <v>299</v>
      </c>
      <c r="X105" s="48" t="n">
        <v>444</v>
      </c>
      <c r="Y105" s="48" t="n">
        <v>36</v>
      </c>
    </row>
    <row r="106">
      <c r="A106" s="78" t="n">
        <v>46185</v>
      </c>
      <c r="B106" s="45" t="inlineStr">
        <is>
          <t>N7</t>
        </is>
      </c>
      <c r="C106" s="48" t="n">
        <v>137</v>
      </c>
      <c r="D106" s="48" t="n">
        <v>164</v>
      </c>
      <c r="E106" s="48" t="n">
        <v>164</v>
      </c>
      <c r="F106" s="48" t="n">
        <v>273</v>
      </c>
      <c r="G106" s="48" t="n">
        <v>164</v>
      </c>
      <c r="H106" s="48" t="n">
        <v>136</v>
      </c>
      <c r="I106" s="48" t="n">
        <v>136</v>
      </c>
      <c r="J106" s="48" t="n">
        <v>111</v>
      </c>
      <c r="K106" s="48" t="n">
        <v>256</v>
      </c>
      <c r="L106" s="48" t="n">
        <v>77</v>
      </c>
      <c r="M106" s="46">
        <f>N106-SUM(C106:L106)</f>
        <v/>
      </c>
      <c r="N106" s="49" t="n">
        <v>1950</v>
      </c>
      <c r="O106" s="48" t="n">
        <v>64</v>
      </c>
      <c r="P106" s="48" t="n">
        <v>3</v>
      </c>
      <c r="Q106" s="48" t="n">
        <v>231</v>
      </c>
      <c r="R106" s="48" t="n">
        <v>374</v>
      </c>
      <c r="S106" s="48" t="n">
        <v>157</v>
      </c>
      <c r="T106" s="48" t="n">
        <v>137</v>
      </c>
      <c r="U106" s="48" t="n">
        <v>205</v>
      </c>
      <c r="V106" s="48" t="n"/>
      <c r="W106" s="48" t="n">
        <v>299</v>
      </c>
      <c r="X106" s="48" t="n">
        <v>444</v>
      </c>
      <c r="Y106" s="48" t="n">
        <v>36</v>
      </c>
    </row>
    <row r="107">
      <c r="A107" s="78" t="n">
        <v>46186</v>
      </c>
      <c r="B107" s="45" t="inlineStr">
        <is>
          <t>N7</t>
        </is>
      </c>
      <c r="C107" s="48" t="n">
        <v>285</v>
      </c>
      <c r="D107" s="48" t="n">
        <v>341</v>
      </c>
      <c r="E107" s="48" t="n">
        <v>341</v>
      </c>
      <c r="F107" s="48" t="n">
        <v>567</v>
      </c>
      <c r="G107" s="48" t="n">
        <v>341</v>
      </c>
      <c r="H107" s="48" t="n">
        <v>282</v>
      </c>
      <c r="I107" s="48" t="n">
        <v>282</v>
      </c>
      <c r="J107" s="48" t="n">
        <v>231</v>
      </c>
      <c r="K107" s="48" t="n">
        <v>532</v>
      </c>
      <c r="L107" s="48" t="n">
        <v>161</v>
      </c>
      <c r="M107" s="46">
        <f>N107-SUM(C107:L107)</f>
        <v/>
      </c>
      <c r="N107" s="49" t="n">
        <v>4050</v>
      </c>
      <c r="O107" s="48" t="n">
        <v>133</v>
      </c>
      <c r="P107" s="48" t="n">
        <v>7</v>
      </c>
      <c r="Q107" s="48" t="n">
        <v>479</v>
      </c>
      <c r="R107" s="48" t="n">
        <v>776</v>
      </c>
      <c r="S107" s="48" t="n">
        <v>327</v>
      </c>
      <c r="T107" s="48" t="n">
        <v>285</v>
      </c>
      <c r="U107" s="48" t="n">
        <v>425</v>
      </c>
      <c r="V107" s="48" t="n"/>
      <c r="W107" s="48" t="n">
        <v>621</v>
      </c>
      <c r="X107" s="48" t="n">
        <v>922</v>
      </c>
      <c r="Y107" s="48" t="n">
        <v>75</v>
      </c>
    </row>
    <row r="108">
      <c r="A108" s="78" t="n">
        <v>46187</v>
      </c>
      <c r="B108" s="45" t="inlineStr">
        <is>
          <t>N7</t>
        </is>
      </c>
      <c r="C108" s="48" t="n">
        <v>285</v>
      </c>
      <c r="D108" s="48" t="n">
        <v>341</v>
      </c>
      <c r="E108" s="48" t="n">
        <v>341</v>
      </c>
      <c r="F108" s="48" t="n">
        <v>567</v>
      </c>
      <c r="G108" s="48" t="n">
        <v>341</v>
      </c>
      <c r="H108" s="48" t="n">
        <v>282</v>
      </c>
      <c r="I108" s="48" t="n">
        <v>282</v>
      </c>
      <c r="J108" s="48" t="n">
        <v>231</v>
      </c>
      <c r="K108" s="48" t="n">
        <v>532</v>
      </c>
      <c r="L108" s="48" t="n">
        <v>161</v>
      </c>
      <c r="M108" s="46">
        <f>N108-SUM(C108:L108)</f>
        <v/>
      </c>
      <c r="N108" s="49" t="n">
        <v>4050</v>
      </c>
      <c r="O108" s="48" t="n">
        <v>133</v>
      </c>
      <c r="P108" s="48" t="n">
        <v>7</v>
      </c>
      <c r="Q108" s="48" t="n">
        <v>479</v>
      </c>
      <c r="R108" s="48" t="n">
        <v>776</v>
      </c>
      <c r="S108" s="48" t="n">
        <v>327</v>
      </c>
      <c r="T108" s="48" t="n">
        <v>285</v>
      </c>
      <c r="U108" s="48" t="n">
        <v>425</v>
      </c>
      <c r="V108" s="48" t="n"/>
      <c r="W108" s="48" t="n">
        <v>621</v>
      </c>
      <c r="X108" s="48" t="n">
        <v>922</v>
      </c>
      <c r="Y108" s="48" t="n">
        <v>75</v>
      </c>
    </row>
    <row r="109">
      <c r="A109" s="78" t="n">
        <v>46188</v>
      </c>
      <c r="B109" s="45" t="inlineStr">
        <is>
          <t>N7</t>
        </is>
      </c>
      <c r="C109" s="48" t="n">
        <v>137</v>
      </c>
      <c r="D109" s="48" t="n">
        <v>164</v>
      </c>
      <c r="E109" s="48" t="n">
        <v>164</v>
      </c>
      <c r="F109" s="48" t="n">
        <v>273</v>
      </c>
      <c r="G109" s="48" t="n">
        <v>164</v>
      </c>
      <c r="H109" s="48" t="n">
        <v>136</v>
      </c>
      <c r="I109" s="48" t="n">
        <v>136</v>
      </c>
      <c r="J109" s="48" t="n">
        <v>111</v>
      </c>
      <c r="K109" s="48" t="n">
        <v>256</v>
      </c>
      <c r="L109" s="48" t="n">
        <v>77</v>
      </c>
      <c r="M109" s="46">
        <f>N109-SUM(C109:L109)</f>
        <v/>
      </c>
      <c r="N109" s="49" t="n">
        <v>1950</v>
      </c>
      <c r="O109" s="48" t="n">
        <v>64</v>
      </c>
      <c r="P109" s="48" t="n">
        <v>3</v>
      </c>
      <c r="Q109" s="48" t="n">
        <v>231</v>
      </c>
      <c r="R109" s="48" t="n">
        <v>374</v>
      </c>
      <c r="S109" s="48" t="n">
        <v>157</v>
      </c>
      <c r="T109" s="48" t="n">
        <v>137</v>
      </c>
      <c r="U109" s="48" t="n">
        <v>205</v>
      </c>
      <c r="V109" s="48" t="n"/>
      <c r="W109" s="48" t="n">
        <v>299</v>
      </c>
      <c r="X109" s="48" t="n">
        <v>444</v>
      </c>
      <c r="Y109" s="48" t="n">
        <v>36</v>
      </c>
    </row>
    <row r="110">
      <c r="A110" s="78" t="n">
        <v>46189</v>
      </c>
      <c r="B110" s="45" t="inlineStr">
        <is>
          <t>N7</t>
        </is>
      </c>
      <c r="C110" s="48" t="n">
        <v>285</v>
      </c>
      <c r="D110" s="48" t="n">
        <v>341</v>
      </c>
      <c r="E110" s="48" t="n">
        <v>341</v>
      </c>
      <c r="F110" s="48" t="n">
        <v>567</v>
      </c>
      <c r="G110" s="48" t="n">
        <v>341</v>
      </c>
      <c r="H110" s="48" t="n">
        <v>282</v>
      </c>
      <c r="I110" s="48" t="n">
        <v>282</v>
      </c>
      <c r="J110" s="48" t="n">
        <v>231</v>
      </c>
      <c r="K110" s="48" t="n">
        <v>532</v>
      </c>
      <c r="L110" s="48" t="n">
        <v>161</v>
      </c>
      <c r="M110" s="46">
        <f>N110-SUM(C110:L110)</f>
        <v/>
      </c>
      <c r="N110" s="49" t="n">
        <v>4050</v>
      </c>
      <c r="O110" s="48" t="n">
        <v>133</v>
      </c>
      <c r="P110" s="48" t="n">
        <v>7</v>
      </c>
      <c r="Q110" s="48" t="n">
        <v>479</v>
      </c>
      <c r="R110" s="48" t="n">
        <v>776</v>
      </c>
      <c r="S110" s="48" t="n">
        <v>327</v>
      </c>
      <c r="T110" s="48" t="n">
        <v>285</v>
      </c>
      <c r="U110" s="48" t="n">
        <v>425</v>
      </c>
      <c r="V110" s="48" t="n"/>
      <c r="W110" s="48" t="n">
        <v>621</v>
      </c>
      <c r="X110" s="48" t="n">
        <v>922</v>
      </c>
      <c r="Y110" s="48" t="n">
        <v>75</v>
      </c>
    </row>
    <row r="111">
      <c r="A111" s="78" t="n">
        <v>46190</v>
      </c>
      <c r="B111" s="45" t="inlineStr">
        <is>
          <t>N7</t>
        </is>
      </c>
      <c r="C111" s="48" t="n">
        <v>137</v>
      </c>
      <c r="D111" s="48" t="n">
        <v>164</v>
      </c>
      <c r="E111" s="48" t="n">
        <v>164</v>
      </c>
      <c r="F111" s="48" t="n">
        <v>273</v>
      </c>
      <c r="G111" s="48" t="n">
        <v>164</v>
      </c>
      <c r="H111" s="48" t="n">
        <v>136</v>
      </c>
      <c r="I111" s="48" t="n">
        <v>136</v>
      </c>
      <c r="J111" s="48" t="n">
        <v>111</v>
      </c>
      <c r="K111" s="48" t="n">
        <v>256</v>
      </c>
      <c r="L111" s="48" t="n">
        <v>77</v>
      </c>
      <c r="M111" s="46">
        <f>N111-SUM(C111:L111)</f>
        <v/>
      </c>
      <c r="N111" s="49" t="n">
        <v>1950</v>
      </c>
      <c r="O111" s="48" t="n">
        <v>64</v>
      </c>
      <c r="P111" s="48" t="n">
        <v>3</v>
      </c>
      <c r="Q111" s="48" t="n">
        <v>231</v>
      </c>
      <c r="R111" s="48" t="n">
        <v>374</v>
      </c>
      <c r="S111" s="48" t="n">
        <v>157</v>
      </c>
      <c r="T111" s="48" t="n">
        <v>137</v>
      </c>
      <c r="U111" s="48" t="n">
        <v>205</v>
      </c>
      <c r="V111" s="48" t="n"/>
      <c r="W111" s="48" t="n">
        <v>299</v>
      </c>
      <c r="X111" s="48" t="n">
        <v>444</v>
      </c>
      <c r="Y111" s="48" t="n">
        <v>36</v>
      </c>
    </row>
    <row r="112">
      <c r="A112" s="78" t="n">
        <v>46191</v>
      </c>
      <c r="B112" s="45" t="inlineStr">
        <is>
          <t>N7</t>
        </is>
      </c>
      <c r="C112" s="48" t="n">
        <v>137</v>
      </c>
      <c r="D112" s="48" t="n">
        <v>164</v>
      </c>
      <c r="E112" s="48" t="n">
        <v>164</v>
      </c>
      <c r="F112" s="48" t="n">
        <v>273</v>
      </c>
      <c r="G112" s="48" t="n">
        <v>164</v>
      </c>
      <c r="H112" s="48" t="n">
        <v>136</v>
      </c>
      <c r="I112" s="48" t="n">
        <v>136</v>
      </c>
      <c r="J112" s="48" t="n">
        <v>111</v>
      </c>
      <c r="K112" s="48" t="n">
        <v>256</v>
      </c>
      <c r="L112" s="48" t="n">
        <v>77</v>
      </c>
      <c r="M112" s="46">
        <f>N112-SUM(C112:L112)</f>
        <v/>
      </c>
      <c r="N112" s="49" t="n">
        <v>1950</v>
      </c>
      <c r="O112" s="48" t="n">
        <v>64</v>
      </c>
      <c r="P112" s="48" t="n">
        <v>3</v>
      </c>
      <c r="Q112" s="48" t="n">
        <v>231</v>
      </c>
      <c r="R112" s="48" t="n">
        <v>374</v>
      </c>
      <c r="S112" s="48" t="n">
        <v>157</v>
      </c>
      <c r="T112" s="48" t="n">
        <v>137</v>
      </c>
      <c r="U112" s="48" t="n">
        <v>205</v>
      </c>
      <c r="V112" s="48" t="n"/>
      <c r="W112" s="48" t="n">
        <v>299</v>
      </c>
      <c r="X112" s="48" t="n">
        <v>444</v>
      </c>
      <c r="Y112" s="48" t="n">
        <v>36</v>
      </c>
    </row>
    <row r="113">
      <c r="A113" s="78" t="n">
        <v>46192</v>
      </c>
      <c r="B113" s="45" t="inlineStr">
        <is>
          <t>N7</t>
        </is>
      </c>
      <c r="C113" s="48" t="n">
        <v>285</v>
      </c>
      <c r="D113" s="48" t="n">
        <v>341</v>
      </c>
      <c r="E113" s="48" t="n">
        <v>341</v>
      </c>
      <c r="F113" s="48" t="n">
        <v>567</v>
      </c>
      <c r="G113" s="48" t="n">
        <v>341</v>
      </c>
      <c r="H113" s="48" t="n">
        <v>282</v>
      </c>
      <c r="I113" s="48" t="n">
        <v>282</v>
      </c>
      <c r="J113" s="48" t="n">
        <v>231</v>
      </c>
      <c r="K113" s="48" t="n">
        <v>532</v>
      </c>
      <c r="L113" s="48" t="n">
        <v>161</v>
      </c>
      <c r="M113" s="46">
        <f>N113-SUM(C113:L113)</f>
        <v/>
      </c>
      <c r="N113" s="49" t="n">
        <v>4050</v>
      </c>
      <c r="O113" s="48" t="n">
        <v>133</v>
      </c>
      <c r="P113" s="48" t="n">
        <v>7</v>
      </c>
      <c r="Q113" s="48" t="n">
        <v>479</v>
      </c>
      <c r="R113" s="48" t="n">
        <v>776</v>
      </c>
      <c r="S113" s="48" t="n">
        <v>327</v>
      </c>
      <c r="T113" s="48" t="n">
        <v>285</v>
      </c>
      <c r="U113" s="48" t="n">
        <v>425</v>
      </c>
      <c r="V113" s="48" t="n"/>
      <c r="W113" s="48" t="n">
        <v>621</v>
      </c>
      <c r="X113" s="48" t="n">
        <v>922</v>
      </c>
      <c r="Y113" s="48" t="n">
        <v>75</v>
      </c>
    </row>
    <row r="114">
      <c r="A114" s="78" t="n">
        <v>46193</v>
      </c>
      <c r="B114" s="45" t="inlineStr">
        <is>
          <t>N7</t>
        </is>
      </c>
      <c r="C114" s="48" t="n">
        <v>285</v>
      </c>
      <c r="D114" s="48" t="n">
        <v>341</v>
      </c>
      <c r="E114" s="48" t="n">
        <v>341</v>
      </c>
      <c r="F114" s="48" t="n">
        <v>567</v>
      </c>
      <c r="G114" s="48" t="n">
        <v>341</v>
      </c>
      <c r="H114" s="48" t="n">
        <v>282</v>
      </c>
      <c r="I114" s="48" t="n">
        <v>282</v>
      </c>
      <c r="J114" s="48" t="n">
        <v>231</v>
      </c>
      <c r="K114" s="48" t="n">
        <v>532</v>
      </c>
      <c r="L114" s="48" t="n">
        <v>161</v>
      </c>
      <c r="M114" s="46">
        <f>N114-SUM(C114:L114)</f>
        <v/>
      </c>
      <c r="N114" s="49" t="n">
        <v>4050</v>
      </c>
      <c r="O114" s="48" t="n">
        <v>133</v>
      </c>
      <c r="P114" s="48" t="n">
        <v>7</v>
      </c>
      <c r="Q114" s="48" t="n">
        <v>479</v>
      </c>
      <c r="R114" s="48" t="n">
        <v>776</v>
      </c>
      <c r="S114" s="48" t="n">
        <v>327</v>
      </c>
      <c r="T114" s="48" t="n">
        <v>285</v>
      </c>
      <c r="U114" s="48" t="n">
        <v>425</v>
      </c>
      <c r="V114" s="48" t="n"/>
      <c r="W114" s="48" t="n">
        <v>621</v>
      </c>
      <c r="X114" s="48" t="n">
        <v>922</v>
      </c>
      <c r="Y114" s="48" t="n">
        <v>75</v>
      </c>
    </row>
    <row r="115">
      <c r="A115" s="78" t="n">
        <v>46194</v>
      </c>
      <c r="B115" s="45" t="inlineStr">
        <is>
          <t>N7</t>
        </is>
      </c>
      <c r="C115" s="48" t="n">
        <v>285</v>
      </c>
      <c r="D115" s="48" t="n">
        <v>341</v>
      </c>
      <c r="E115" s="48" t="n">
        <v>341</v>
      </c>
      <c r="F115" s="48" t="n">
        <v>567</v>
      </c>
      <c r="G115" s="48" t="n">
        <v>341</v>
      </c>
      <c r="H115" s="48" t="n">
        <v>282</v>
      </c>
      <c r="I115" s="48" t="n">
        <v>282</v>
      </c>
      <c r="J115" s="48" t="n">
        <v>231</v>
      </c>
      <c r="K115" s="48" t="n">
        <v>532</v>
      </c>
      <c r="L115" s="48" t="n">
        <v>161</v>
      </c>
      <c r="M115" s="46">
        <f>N115-SUM(C115:L115)</f>
        <v/>
      </c>
      <c r="N115" s="49" t="n">
        <v>4050</v>
      </c>
      <c r="O115" s="48" t="n">
        <v>133</v>
      </c>
      <c r="P115" s="48" t="n">
        <v>7</v>
      </c>
      <c r="Q115" s="48" t="n">
        <v>479</v>
      </c>
      <c r="R115" s="48" t="n">
        <v>776</v>
      </c>
      <c r="S115" s="48" t="n">
        <v>327</v>
      </c>
      <c r="T115" s="48" t="n">
        <v>285</v>
      </c>
      <c r="U115" s="48" t="n">
        <v>425</v>
      </c>
      <c r="V115" s="48" t="n"/>
      <c r="W115" s="48" t="n">
        <v>621</v>
      </c>
      <c r="X115" s="48" t="n">
        <v>922</v>
      </c>
      <c r="Y115" s="48" t="n">
        <v>75</v>
      </c>
    </row>
    <row r="116">
      <c r="A116" s="78" t="n">
        <v>46195</v>
      </c>
      <c r="B116" s="45" t="inlineStr">
        <is>
          <t>N7</t>
        </is>
      </c>
      <c r="C116" s="48" t="n">
        <v>105</v>
      </c>
      <c r="D116" s="48" t="n">
        <v>126</v>
      </c>
      <c r="E116" s="48" t="n">
        <v>126</v>
      </c>
      <c r="F116" s="48" t="n">
        <v>210</v>
      </c>
      <c r="G116" s="48" t="n">
        <v>126</v>
      </c>
      <c r="H116" s="48" t="n">
        <v>104</v>
      </c>
      <c r="I116" s="48" t="n">
        <v>104</v>
      </c>
      <c r="J116" s="48" t="n">
        <v>85</v>
      </c>
      <c r="K116" s="48" t="n">
        <v>197</v>
      </c>
      <c r="L116" s="48" t="n">
        <v>59</v>
      </c>
      <c r="M116" s="46">
        <f>N116-SUM(C116:L116)</f>
        <v/>
      </c>
      <c r="N116" s="49" t="n">
        <v>1498</v>
      </c>
      <c r="O116" s="48" t="n">
        <v>49</v>
      </c>
      <c r="P116" s="48" t="n">
        <v>3</v>
      </c>
      <c r="Q116" s="48" t="n">
        <v>177</v>
      </c>
      <c r="R116" s="48" t="n">
        <v>287</v>
      </c>
      <c r="S116" s="48" t="n">
        <v>121</v>
      </c>
      <c r="T116" s="48" t="n">
        <v>105</v>
      </c>
      <c r="U116" s="48" t="n">
        <v>157</v>
      </c>
      <c r="V116" s="48" t="n"/>
      <c r="W116" s="48" t="n">
        <v>230</v>
      </c>
      <c r="X116" s="48" t="n">
        <v>341</v>
      </c>
      <c r="Y116" s="48" t="n">
        <v>28</v>
      </c>
    </row>
    <row r="117">
      <c r="A117" s="78" t="n">
        <v>46196</v>
      </c>
      <c r="B117" s="45" t="inlineStr">
        <is>
          <t>N7</t>
        </is>
      </c>
      <c r="C117" s="48" t="n">
        <v>105</v>
      </c>
      <c r="D117" s="48" t="n">
        <v>126</v>
      </c>
      <c r="E117" s="48" t="n">
        <v>126</v>
      </c>
      <c r="F117" s="48" t="n">
        <v>210</v>
      </c>
      <c r="G117" s="48" t="n">
        <v>126</v>
      </c>
      <c r="H117" s="48" t="n">
        <v>104</v>
      </c>
      <c r="I117" s="48" t="n">
        <v>104</v>
      </c>
      <c r="J117" s="48" t="n">
        <v>85</v>
      </c>
      <c r="K117" s="48" t="n">
        <v>197</v>
      </c>
      <c r="L117" s="48" t="n">
        <v>59</v>
      </c>
      <c r="M117" s="46">
        <f>N117-SUM(C117:L117)</f>
        <v/>
      </c>
      <c r="N117" s="49" t="n">
        <v>1498</v>
      </c>
      <c r="O117" s="48" t="n">
        <v>49</v>
      </c>
      <c r="P117" s="48" t="n">
        <v>3</v>
      </c>
      <c r="Q117" s="48" t="n">
        <v>177</v>
      </c>
      <c r="R117" s="48" t="n">
        <v>287</v>
      </c>
      <c r="S117" s="48" t="n">
        <v>121</v>
      </c>
      <c r="T117" s="48" t="n">
        <v>105</v>
      </c>
      <c r="U117" s="48" t="n">
        <v>157</v>
      </c>
      <c r="V117" s="48" t="n"/>
      <c r="W117" s="48" t="n">
        <v>230</v>
      </c>
      <c r="X117" s="48" t="n">
        <v>341</v>
      </c>
      <c r="Y117" s="48" t="n">
        <v>28</v>
      </c>
    </row>
    <row r="118">
      <c r="A118" s="78" t="n">
        <v>46197</v>
      </c>
      <c r="B118" s="45" t="inlineStr">
        <is>
          <t>N7</t>
        </is>
      </c>
      <c r="C118" s="48" t="n">
        <v>105</v>
      </c>
      <c r="D118" s="48" t="n">
        <v>126</v>
      </c>
      <c r="E118" s="48" t="n">
        <v>126</v>
      </c>
      <c r="F118" s="48" t="n">
        <v>210</v>
      </c>
      <c r="G118" s="48" t="n">
        <v>126</v>
      </c>
      <c r="H118" s="48" t="n">
        <v>104</v>
      </c>
      <c r="I118" s="48" t="n">
        <v>104</v>
      </c>
      <c r="J118" s="48" t="n">
        <v>85</v>
      </c>
      <c r="K118" s="48" t="n">
        <v>197</v>
      </c>
      <c r="L118" s="48" t="n">
        <v>60</v>
      </c>
      <c r="M118" s="46">
        <f>N118-SUM(C118:L118)</f>
        <v/>
      </c>
      <c r="N118" s="49" t="n">
        <v>1499</v>
      </c>
      <c r="O118" s="48" t="n">
        <v>49</v>
      </c>
      <c r="P118" s="48" t="n">
        <v>3</v>
      </c>
      <c r="Q118" s="48" t="n">
        <v>177</v>
      </c>
      <c r="R118" s="48" t="n">
        <v>287</v>
      </c>
      <c r="S118" s="48" t="n">
        <v>121</v>
      </c>
      <c r="T118" s="48" t="n">
        <v>105</v>
      </c>
      <c r="U118" s="48" t="n">
        <v>157</v>
      </c>
      <c r="V118" s="48" t="n"/>
      <c r="W118" s="48" t="n">
        <v>231</v>
      </c>
      <c r="X118" s="48" t="n">
        <v>341</v>
      </c>
      <c r="Y118" s="48" t="n">
        <v>28</v>
      </c>
    </row>
    <row r="119">
      <c r="A119" s="78" t="n">
        <v>46198</v>
      </c>
      <c r="B119" s="45" t="inlineStr">
        <is>
          <t>N7</t>
        </is>
      </c>
      <c r="C119" s="48" t="n">
        <v>105</v>
      </c>
      <c r="D119" s="48" t="n">
        <v>126</v>
      </c>
      <c r="E119" s="48" t="n">
        <v>126</v>
      </c>
      <c r="F119" s="48" t="n">
        <v>210</v>
      </c>
      <c r="G119" s="48" t="n">
        <v>126</v>
      </c>
      <c r="H119" s="48" t="n">
        <v>104</v>
      </c>
      <c r="I119" s="48" t="n">
        <v>104</v>
      </c>
      <c r="J119" s="48" t="n">
        <v>85</v>
      </c>
      <c r="K119" s="48" t="n">
        <v>197</v>
      </c>
      <c r="L119" s="48" t="n">
        <v>60</v>
      </c>
      <c r="M119" s="46">
        <f>N119-SUM(C119:L119)</f>
        <v/>
      </c>
      <c r="N119" s="49" t="n">
        <v>1499</v>
      </c>
      <c r="O119" s="48" t="n">
        <v>49</v>
      </c>
      <c r="P119" s="48" t="n">
        <v>3</v>
      </c>
      <c r="Q119" s="48" t="n">
        <v>177</v>
      </c>
      <c r="R119" s="48" t="n">
        <v>287</v>
      </c>
      <c r="S119" s="48" t="n">
        <v>121</v>
      </c>
      <c r="T119" s="48" t="n">
        <v>105</v>
      </c>
      <c r="U119" s="48" t="n">
        <v>157</v>
      </c>
      <c r="V119" s="48" t="n"/>
      <c r="W119" s="48" t="n">
        <v>231</v>
      </c>
      <c r="X119" s="48" t="n">
        <v>341</v>
      </c>
      <c r="Y119" s="48" t="n">
        <v>28</v>
      </c>
    </row>
    <row r="120">
      <c r="A120" s="78" t="n">
        <v>46199</v>
      </c>
      <c r="B120" s="45" t="inlineStr">
        <is>
          <t>N7</t>
        </is>
      </c>
      <c r="C120" s="48" t="n">
        <v>137</v>
      </c>
      <c r="D120" s="48" t="n">
        <v>164</v>
      </c>
      <c r="E120" s="48" t="n">
        <v>164</v>
      </c>
      <c r="F120" s="48" t="n">
        <v>273</v>
      </c>
      <c r="G120" s="48" t="n">
        <v>164</v>
      </c>
      <c r="H120" s="48" t="n">
        <v>137</v>
      </c>
      <c r="I120" s="48" t="n">
        <v>136</v>
      </c>
      <c r="J120" s="48" t="n">
        <v>111</v>
      </c>
      <c r="K120" s="48" t="n">
        <v>256</v>
      </c>
      <c r="L120" s="48" t="n">
        <v>77</v>
      </c>
      <c r="M120" s="46">
        <f>N120-SUM(C120:L120)</f>
        <v/>
      </c>
      <c r="N120" s="49" t="n">
        <v>1951</v>
      </c>
      <c r="O120" s="48" t="n">
        <v>64</v>
      </c>
      <c r="P120" s="48" t="n">
        <v>3</v>
      </c>
      <c r="Q120" s="48" t="n">
        <v>231</v>
      </c>
      <c r="R120" s="48" t="n">
        <v>374</v>
      </c>
      <c r="S120" s="48" t="n">
        <v>157</v>
      </c>
      <c r="T120" s="48" t="n">
        <v>137</v>
      </c>
      <c r="U120" s="48" t="n">
        <v>205</v>
      </c>
      <c r="V120" s="48" t="n"/>
      <c r="W120" s="48" t="n">
        <v>300</v>
      </c>
      <c r="X120" s="48" t="n">
        <v>444</v>
      </c>
      <c r="Y120" s="48" t="n">
        <v>36</v>
      </c>
    </row>
    <row r="121">
      <c r="A121" s="78" t="n">
        <v>46200</v>
      </c>
      <c r="B121" s="45" t="inlineStr">
        <is>
          <t>N7</t>
        </is>
      </c>
      <c r="C121" s="48" t="n">
        <v>285</v>
      </c>
      <c r="D121" s="48" t="n">
        <v>341</v>
      </c>
      <c r="E121" s="48" t="n">
        <v>341</v>
      </c>
      <c r="F121" s="48" t="n">
        <v>567</v>
      </c>
      <c r="G121" s="48" t="n">
        <v>341</v>
      </c>
      <c r="H121" s="48" t="n">
        <v>282</v>
      </c>
      <c r="I121" s="48" t="n">
        <v>283</v>
      </c>
      <c r="J121" s="48" t="n">
        <v>231</v>
      </c>
      <c r="K121" s="48" t="n">
        <v>532</v>
      </c>
      <c r="L121" s="48" t="n">
        <v>161</v>
      </c>
      <c r="M121" s="46">
        <f>N121-SUM(C121:L121)</f>
        <v/>
      </c>
      <c r="N121" s="49" t="n">
        <v>4052</v>
      </c>
      <c r="O121" s="48" t="n">
        <v>133</v>
      </c>
      <c r="P121" s="48" t="n">
        <v>7</v>
      </c>
      <c r="Q121" s="48" t="n">
        <v>479</v>
      </c>
      <c r="R121" s="48" t="n">
        <v>776</v>
      </c>
      <c r="S121" s="48" t="n">
        <v>327</v>
      </c>
      <c r="T121" s="48" t="n">
        <v>286</v>
      </c>
      <c r="U121" s="48" t="n">
        <v>425</v>
      </c>
      <c r="V121" s="48" t="n"/>
      <c r="W121" s="48" t="n">
        <v>622</v>
      </c>
      <c r="X121" s="48" t="n">
        <v>922</v>
      </c>
      <c r="Y121" s="48" t="n">
        <v>75</v>
      </c>
    </row>
    <row r="122">
      <c r="A122" s="78" t="n">
        <v>46201</v>
      </c>
      <c r="B122" s="45" t="inlineStr">
        <is>
          <t>N7</t>
        </is>
      </c>
      <c r="C122" s="48" t="n">
        <v>285</v>
      </c>
      <c r="D122" s="48" t="n">
        <v>341</v>
      </c>
      <c r="E122" s="48" t="n">
        <v>341</v>
      </c>
      <c r="F122" s="48" t="n">
        <v>568</v>
      </c>
      <c r="G122" s="48" t="n">
        <v>341</v>
      </c>
      <c r="H122" s="48" t="n">
        <v>282</v>
      </c>
      <c r="I122" s="48" t="n">
        <v>282</v>
      </c>
      <c r="J122" s="48" t="n">
        <v>232</v>
      </c>
      <c r="K122" s="48" t="n">
        <v>533</v>
      </c>
      <c r="L122" s="48" t="n">
        <v>161</v>
      </c>
      <c r="M122" s="46">
        <f>N122-SUM(C122:L122)</f>
        <v/>
      </c>
      <c r="N122" s="49" t="n">
        <v>4055</v>
      </c>
      <c r="O122" s="48" t="n">
        <v>133</v>
      </c>
      <c r="P122" s="48" t="n">
        <v>7</v>
      </c>
      <c r="Q122" s="48" t="n">
        <v>480</v>
      </c>
      <c r="R122" s="48" t="n">
        <v>777</v>
      </c>
      <c r="S122" s="48" t="n">
        <v>327</v>
      </c>
      <c r="T122" s="48" t="n">
        <v>286</v>
      </c>
      <c r="U122" s="48" t="n">
        <v>426</v>
      </c>
      <c r="V122" s="48" t="n"/>
      <c r="W122" s="48" t="n">
        <v>622</v>
      </c>
      <c r="X122" s="48" t="n">
        <v>922</v>
      </c>
      <c r="Y122" s="48" t="n">
        <v>75</v>
      </c>
    </row>
    <row r="123">
      <c r="A123" s="78" t="n">
        <v>46202</v>
      </c>
      <c r="B123" s="45" t="inlineStr">
        <is>
          <t>N7</t>
        </is>
      </c>
      <c r="C123" s="48" t="n">
        <v>141</v>
      </c>
      <c r="D123" s="48" t="n">
        <v>169</v>
      </c>
      <c r="E123" s="48" t="n">
        <v>169</v>
      </c>
      <c r="F123" s="48" t="n">
        <v>281</v>
      </c>
      <c r="G123" s="48" t="n">
        <v>169</v>
      </c>
      <c r="H123" s="48" t="n">
        <v>140</v>
      </c>
      <c r="I123" s="48" t="n">
        <v>140</v>
      </c>
      <c r="J123" s="48" t="n">
        <v>114</v>
      </c>
      <c r="K123" s="48" t="n">
        <v>264</v>
      </c>
      <c r="L123" s="48" t="n">
        <v>80</v>
      </c>
      <c r="M123" s="46">
        <f>N123-SUM(C123:L123)</f>
        <v/>
      </c>
      <c r="N123" s="49" t="n">
        <v>2005</v>
      </c>
      <c r="O123" s="48" t="n">
        <v>66</v>
      </c>
      <c r="P123" s="48" t="n">
        <v>3</v>
      </c>
      <c r="Q123" s="48" t="n">
        <v>238</v>
      </c>
      <c r="R123" s="48" t="n">
        <v>384</v>
      </c>
      <c r="S123" s="48" t="n">
        <v>161</v>
      </c>
      <c r="T123" s="48" t="n">
        <v>142</v>
      </c>
      <c r="U123" s="48" t="n">
        <v>211</v>
      </c>
      <c r="V123" s="48" t="n"/>
      <c r="W123" s="48" t="n">
        <v>308</v>
      </c>
      <c r="X123" s="48" t="n">
        <v>455</v>
      </c>
      <c r="Y123" s="48" t="n">
        <v>37</v>
      </c>
    </row>
    <row r="124">
      <c r="A124" s="78" t="n">
        <v>46203</v>
      </c>
      <c r="B124" s="45" t="inlineStr">
        <is>
          <t>N7</t>
        </is>
      </c>
      <c r="C124" s="48" t="n">
        <v>180</v>
      </c>
      <c r="D124" s="48" t="n">
        <v>215</v>
      </c>
      <c r="E124" s="48" t="n">
        <v>215</v>
      </c>
      <c r="F124" s="48" t="n">
        <v>358</v>
      </c>
      <c r="G124" s="48" t="n">
        <v>215</v>
      </c>
      <c r="H124" s="48" t="n">
        <v>178</v>
      </c>
      <c r="I124" s="48" t="n">
        <v>178</v>
      </c>
      <c r="J124" s="48" t="n">
        <v>146</v>
      </c>
      <c r="K124" s="48" t="n">
        <v>336</v>
      </c>
      <c r="L124" s="48" t="n">
        <v>103</v>
      </c>
      <c r="M124" s="46">
        <f>N124-SUM(C124:L124)</f>
        <v/>
      </c>
      <c r="N124" s="49" t="n">
        <v>2557</v>
      </c>
      <c r="O124" s="48" t="n">
        <v>84</v>
      </c>
      <c r="P124" s="48" t="n">
        <v>5</v>
      </c>
      <c r="Q124" s="48" t="n">
        <v>303</v>
      </c>
      <c r="R124" s="48" t="n">
        <v>490</v>
      </c>
      <c r="S124" s="48" t="n">
        <v>206</v>
      </c>
      <c r="T124" s="48" t="n">
        <v>180</v>
      </c>
      <c r="U124" s="48" t="n">
        <v>269</v>
      </c>
      <c r="V124" s="48" t="n"/>
      <c r="W124" s="48" t="n">
        <v>392</v>
      </c>
      <c r="X124" s="48" t="n">
        <v>581</v>
      </c>
      <c r="Y124" s="48" t="n">
        <v>47</v>
      </c>
    </row>
    <row r="125">
      <c r="A125" s="78" t="n">
        <v>46204</v>
      </c>
      <c r="B125" s="45" t="inlineStr">
        <is>
          <t>N7</t>
        </is>
      </c>
      <c r="C125" s="48" t="n">
        <v>137</v>
      </c>
      <c r="D125" s="48" t="n">
        <v>187</v>
      </c>
      <c r="E125" s="48" t="n">
        <v>172</v>
      </c>
      <c r="F125" s="48" t="n">
        <v>273</v>
      </c>
      <c r="G125" s="48" t="n">
        <v>172</v>
      </c>
      <c r="H125" s="48" t="n">
        <v>164</v>
      </c>
      <c r="I125" s="48" t="n">
        <v>157</v>
      </c>
      <c r="J125" s="48" t="n">
        <v>114</v>
      </c>
      <c r="K125" s="48" t="n">
        <v>548</v>
      </c>
      <c r="L125" s="48" t="n">
        <v>87</v>
      </c>
      <c r="M125" s="46">
        <f>N125-SUM(C125:L125)</f>
        <v/>
      </c>
      <c r="N125" s="49" t="n">
        <v>2140</v>
      </c>
      <c r="O125" s="48" t="n">
        <v>77</v>
      </c>
      <c r="P125" s="48" t="n">
        <v>4</v>
      </c>
      <c r="Q125" s="48" t="n">
        <v>295</v>
      </c>
      <c r="R125" s="48" t="n">
        <v>300</v>
      </c>
      <c r="S125" s="48" t="n">
        <v>116</v>
      </c>
      <c r="T125" s="48" t="n">
        <v>116</v>
      </c>
      <c r="U125" s="48" t="n">
        <v>70</v>
      </c>
      <c r="V125" s="48" t="n"/>
      <c r="W125" s="48" t="n">
        <v>500</v>
      </c>
      <c r="X125" s="48" t="n">
        <v>629</v>
      </c>
      <c r="Y125" s="48" t="n">
        <v>33</v>
      </c>
    </row>
    <row r="126">
      <c r="A126" s="78" t="n">
        <v>46205</v>
      </c>
      <c r="B126" s="45" t="inlineStr">
        <is>
          <t>N7</t>
        </is>
      </c>
      <c r="C126" s="48" t="n">
        <v>137</v>
      </c>
      <c r="D126" s="48" t="n">
        <v>187</v>
      </c>
      <c r="E126" s="48" t="n">
        <v>172</v>
      </c>
      <c r="F126" s="48" t="n">
        <v>273</v>
      </c>
      <c r="G126" s="48" t="n">
        <v>172</v>
      </c>
      <c r="H126" s="48" t="n">
        <v>164</v>
      </c>
      <c r="I126" s="48" t="n">
        <v>157</v>
      </c>
      <c r="J126" s="48" t="n">
        <v>114</v>
      </c>
      <c r="K126" s="48" t="n">
        <v>548</v>
      </c>
      <c r="L126" s="48" t="n">
        <v>87</v>
      </c>
      <c r="M126" s="46">
        <f>N126-SUM(C126:L126)</f>
        <v/>
      </c>
      <c r="N126" s="49" t="n">
        <v>2140</v>
      </c>
      <c r="O126" s="48" t="n">
        <v>77</v>
      </c>
      <c r="P126" s="48" t="n">
        <v>4</v>
      </c>
      <c r="Q126" s="48" t="n">
        <v>295</v>
      </c>
      <c r="R126" s="48" t="n">
        <v>300</v>
      </c>
      <c r="S126" s="48" t="n">
        <v>116</v>
      </c>
      <c r="T126" s="48" t="n">
        <v>116</v>
      </c>
      <c r="U126" s="48" t="n">
        <v>70</v>
      </c>
      <c r="V126" s="48" t="n"/>
      <c r="W126" s="48" t="n">
        <v>500</v>
      </c>
      <c r="X126" s="48" t="n">
        <v>629</v>
      </c>
      <c r="Y126" s="48" t="n">
        <v>33</v>
      </c>
    </row>
    <row r="127">
      <c r="A127" s="78" t="n">
        <v>46206</v>
      </c>
      <c r="B127" s="45" t="inlineStr">
        <is>
          <t>N7</t>
        </is>
      </c>
      <c r="C127" s="48" t="n">
        <v>137</v>
      </c>
      <c r="D127" s="48" t="n">
        <v>187</v>
      </c>
      <c r="E127" s="48" t="n">
        <v>172</v>
      </c>
      <c r="F127" s="48" t="n">
        <v>273</v>
      </c>
      <c r="G127" s="48" t="n">
        <v>172</v>
      </c>
      <c r="H127" s="48" t="n">
        <v>164</v>
      </c>
      <c r="I127" s="48" t="n">
        <v>157</v>
      </c>
      <c r="J127" s="48" t="n">
        <v>114</v>
      </c>
      <c r="K127" s="48" t="n">
        <v>548</v>
      </c>
      <c r="L127" s="48" t="n">
        <v>87</v>
      </c>
      <c r="M127" s="46">
        <f>N127-SUM(C127:L127)</f>
        <v/>
      </c>
      <c r="N127" s="49" t="n">
        <v>2140</v>
      </c>
      <c r="O127" s="48" t="n">
        <v>77</v>
      </c>
      <c r="P127" s="48" t="n">
        <v>4</v>
      </c>
      <c r="Q127" s="48" t="n">
        <v>295</v>
      </c>
      <c r="R127" s="48" t="n">
        <v>300</v>
      </c>
      <c r="S127" s="48" t="n">
        <v>116</v>
      </c>
      <c r="T127" s="48" t="n">
        <v>116</v>
      </c>
      <c r="U127" s="48" t="n">
        <v>70</v>
      </c>
      <c r="V127" s="48" t="n"/>
      <c r="W127" s="48" t="n">
        <v>500</v>
      </c>
      <c r="X127" s="48" t="n">
        <v>629</v>
      </c>
      <c r="Y127" s="48" t="n">
        <v>33</v>
      </c>
    </row>
    <row r="128">
      <c r="A128" s="78" t="n">
        <v>46207</v>
      </c>
      <c r="B128" s="45" t="inlineStr">
        <is>
          <t>N7</t>
        </is>
      </c>
      <c r="C128" s="48" t="n">
        <v>158</v>
      </c>
      <c r="D128" s="48" t="n">
        <v>215</v>
      </c>
      <c r="E128" s="48" t="n">
        <v>198</v>
      </c>
      <c r="F128" s="48" t="n">
        <v>314</v>
      </c>
      <c r="G128" s="48" t="n">
        <v>198</v>
      </c>
      <c r="H128" s="48" t="n">
        <v>188</v>
      </c>
      <c r="I128" s="48" t="n">
        <v>180</v>
      </c>
      <c r="J128" s="48" t="n">
        <v>131</v>
      </c>
      <c r="K128" s="48" t="n">
        <v>630</v>
      </c>
      <c r="L128" s="48" t="n">
        <v>101</v>
      </c>
      <c r="M128" s="46">
        <f>N128-SUM(C128:L128)</f>
        <v/>
      </c>
      <c r="N128" s="49" t="n">
        <v>2461</v>
      </c>
      <c r="O128" s="48" t="n">
        <v>89</v>
      </c>
      <c r="P128" s="48" t="n">
        <v>5</v>
      </c>
      <c r="Q128" s="48" t="n">
        <v>339</v>
      </c>
      <c r="R128" s="48" t="n">
        <v>345</v>
      </c>
      <c r="S128" s="48" t="n">
        <v>134</v>
      </c>
      <c r="T128" s="48" t="n">
        <v>133</v>
      </c>
      <c r="U128" s="48" t="n">
        <v>80</v>
      </c>
      <c r="V128" s="48" t="n"/>
      <c r="W128" s="48" t="n">
        <v>575</v>
      </c>
      <c r="X128" s="48" t="n">
        <v>723</v>
      </c>
      <c r="Y128" s="48" t="n">
        <v>38</v>
      </c>
    </row>
    <row r="129">
      <c r="A129" s="78" t="n">
        <v>46208</v>
      </c>
      <c r="B129" s="45" t="inlineStr">
        <is>
          <t>N7</t>
        </is>
      </c>
      <c r="C129" s="48" t="n">
        <v>158</v>
      </c>
      <c r="D129" s="48" t="n">
        <v>215</v>
      </c>
      <c r="E129" s="48" t="n">
        <v>198</v>
      </c>
      <c r="F129" s="48" t="n">
        <v>314</v>
      </c>
      <c r="G129" s="48" t="n">
        <v>198</v>
      </c>
      <c r="H129" s="48" t="n">
        <v>188</v>
      </c>
      <c r="I129" s="48" t="n">
        <v>180</v>
      </c>
      <c r="J129" s="48" t="n">
        <v>131</v>
      </c>
      <c r="K129" s="48" t="n">
        <v>630</v>
      </c>
      <c r="L129" s="48" t="n">
        <v>101</v>
      </c>
      <c r="M129" s="46">
        <f>N129-SUM(C129:L129)</f>
        <v/>
      </c>
      <c r="N129" s="49" t="n">
        <v>2461</v>
      </c>
      <c r="O129" s="48" t="n">
        <v>89</v>
      </c>
      <c r="P129" s="48" t="n">
        <v>5</v>
      </c>
      <c r="Q129" s="48" t="n">
        <v>339</v>
      </c>
      <c r="R129" s="48" t="n">
        <v>345</v>
      </c>
      <c r="S129" s="48" t="n">
        <v>134</v>
      </c>
      <c r="T129" s="48" t="n">
        <v>133</v>
      </c>
      <c r="U129" s="48" t="n">
        <v>80</v>
      </c>
      <c r="V129" s="48" t="n"/>
      <c r="W129" s="48" t="n">
        <v>575</v>
      </c>
      <c r="X129" s="48" t="n">
        <v>723</v>
      </c>
      <c r="Y129" s="48" t="n">
        <v>38</v>
      </c>
    </row>
    <row r="130">
      <c r="A130" s="78" t="n">
        <v>46209</v>
      </c>
      <c r="B130" s="45" t="inlineStr">
        <is>
          <t>N7</t>
        </is>
      </c>
      <c r="C130" s="48" t="n">
        <v>137</v>
      </c>
      <c r="D130" s="48" t="n">
        <v>187</v>
      </c>
      <c r="E130" s="48" t="n">
        <v>172</v>
      </c>
      <c r="F130" s="48" t="n">
        <v>273</v>
      </c>
      <c r="G130" s="48" t="n">
        <v>172</v>
      </c>
      <c r="H130" s="48" t="n">
        <v>164</v>
      </c>
      <c r="I130" s="48" t="n">
        <v>157</v>
      </c>
      <c r="J130" s="48" t="n">
        <v>114</v>
      </c>
      <c r="K130" s="48" t="n">
        <v>548</v>
      </c>
      <c r="L130" s="48" t="n">
        <v>87</v>
      </c>
      <c r="M130" s="46">
        <f>N130-SUM(C130:L130)</f>
        <v/>
      </c>
      <c r="N130" s="49" t="n">
        <v>2141</v>
      </c>
      <c r="O130" s="48" t="n">
        <v>77</v>
      </c>
      <c r="P130" s="48" t="n">
        <v>4</v>
      </c>
      <c r="Q130" s="48" t="n">
        <v>295</v>
      </c>
      <c r="R130" s="48" t="n">
        <v>300</v>
      </c>
      <c r="S130" s="48" t="n">
        <v>116</v>
      </c>
      <c r="T130" s="48" t="n">
        <v>116</v>
      </c>
      <c r="U130" s="48" t="n">
        <v>70</v>
      </c>
      <c r="V130" s="48" t="n"/>
      <c r="W130" s="48" t="n">
        <v>501</v>
      </c>
      <c r="X130" s="48" t="n">
        <v>629</v>
      </c>
      <c r="Y130" s="48" t="n">
        <v>33</v>
      </c>
    </row>
    <row r="131">
      <c r="A131" s="78" t="n">
        <v>46210</v>
      </c>
      <c r="B131" s="45" t="inlineStr">
        <is>
          <t>N7</t>
        </is>
      </c>
      <c r="C131" s="48" t="n">
        <v>137</v>
      </c>
      <c r="D131" s="48" t="n">
        <v>187</v>
      </c>
      <c r="E131" s="48" t="n">
        <v>172</v>
      </c>
      <c r="F131" s="48" t="n">
        <v>274</v>
      </c>
      <c r="G131" s="48" t="n">
        <v>172</v>
      </c>
      <c r="H131" s="48" t="n">
        <v>164</v>
      </c>
      <c r="I131" s="48" t="n">
        <v>157</v>
      </c>
      <c r="J131" s="48" t="n">
        <v>114</v>
      </c>
      <c r="K131" s="48" t="n">
        <v>548</v>
      </c>
      <c r="L131" s="48" t="n">
        <v>87</v>
      </c>
      <c r="M131" s="46">
        <f>N131-SUM(C131:L131)</f>
        <v/>
      </c>
      <c r="N131" s="49" t="n">
        <v>2142</v>
      </c>
      <c r="O131" s="48" t="n">
        <v>78</v>
      </c>
      <c r="P131" s="48" t="n">
        <v>4</v>
      </c>
      <c r="Q131" s="48" t="n">
        <v>295</v>
      </c>
      <c r="R131" s="48" t="n">
        <v>300</v>
      </c>
      <c r="S131" s="48" t="n">
        <v>116</v>
      </c>
      <c r="T131" s="48" t="n">
        <v>116</v>
      </c>
      <c r="U131" s="48" t="n">
        <v>70</v>
      </c>
      <c r="V131" s="48" t="n"/>
      <c r="W131" s="48" t="n">
        <v>501</v>
      </c>
      <c r="X131" s="48" t="n">
        <v>629</v>
      </c>
      <c r="Y131" s="48" t="n">
        <v>33</v>
      </c>
    </row>
    <row r="132">
      <c r="A132" s="78" t="n">
        <v>46211</v>
      </c>
      <c r="B132" s="45" t="inlineStr">
        <is>
          <t>N7</t>
        </is>
      </c>
      <c r="C132" s="48" t="n">
        <v>137</v>
      </c>
      <c r="D132" s="48" t="n">
        <v>187</v>
      </c>
      <c r="E132" s="48" t="n">
        <v>172</v>
      </c>
      <c r="F132" s="48" t="n">
        <v>274</v>
      </c>
      <c r="G132" s="48" t="n">
        <v>172</v>
      </c>
      <c r="H132" s="48" t="n">
        <v>164</v>
      </c>
      <c r="I132" s="48" t="n">
        <v>157</v>
      </c>
      <c r="J132" s="48" t="n">
        <v>114</v>
      </c>
      <c r="K132" s="48" t="n">
        <v>548</v>
      </c>
      <c r="L132" s="48" t="n">
        <v>87</v>
      </c>
      <c r="M132" s="46">
        <f>N132-SUM(C132:L132)</f>
        <v/>
      </c>
      <c r="N132" s="49" t="n">
        <v>2142</v>
      </c>
      <c r="O132" s="48" t="n">
        <v>78</v>
      </c>
      <c r="P132" s="48" t="n">
        <v>4</v>
      </c>
      <c r="Q132" s="48" t="n">
        <v>295</v>
      </c>
      <c r="R132" s="48" t="n">
        <v>300</v>
      </c>
      <c r="S132" s="48" t="n">
        <v>116</v>
      </c>
      <c r="T132" s="48" t="n">
        <v>116</v>
      </c>
      <c r="U132" s="48" t="n">
        <v>70</v>
      </c>
      <c r="V132" s="48" t="n"/>
      <c r="W132" s="48" t="n">
        <v>501</v>
      </c>
      <c r="X132" s="48" t="n">
        <v>629</v>
      </c>
      <c r="Y132" s="48" t="n">
        <v>33</v>
      </c>
    </row>
    <row r="133">
      <c r="A133" s="78" t="n">
        <v>46212</v>
      </c>
      <c r="B133" s="45" t="inlineStr">
        <is>
          <t>N7</t>
        </is>
      </c>
      <c r="C133" s="48" t="n">
        <v>138</v>
      </c>
      <c r="D133" s="48" t="n">
        <v>188</v>
      </c>
      <c r="E133" s="48" t="n">
        <v>172</v>
      </c>
      <c r="F133" s="48" t="n">
        <v>274</v>
      </c>
      <c r="G133" s="48" t="n">
        <v>172</v>
      </c>
      <c r="H133" s="48" t="n">
        <v>164</v>
      </c>
      <c r="I133" s="48" t="n">
        <v>157</v>
      </c>
      <c r="J133" s="48" t="n">
        <v>114</v>
      </c>
      <c r="K133" s="48" t="n">
        <v>549</v>
      </c>
      <c r="L133" s="48" t="n">
        <v>88</v>
      </c>
      <c r="M133" s="46">
        <f>N133-SUM(C133:L133)</f>
        <v/>
      </c>
      <c r="N133" s="49" t="n">
        <v>2143</v>
      </c>
      <c r="O133" s="48" t="n">
        <v>78</v>
      </c>
      <c r="P133" s="48" t="n">
        <v>4</v>
      </c>
      <c r="Q133" s="48" t="n">
        <v>295</v>
      </c>
      <c r="R133" s="48" t="n">
        <v>300</v>
      </c>
      <c r="S133" s="48" t="n">
        <v>116</v>
      </c>
      <c r="T133" s="48" t="n">
        <v>117</v>
      </c>
      <c r="U133" s="48" t="n">
        <v>70</v>
      </c>
      <c r="V133" s="48" t="n"/>
      <c r="W133" s="48" t="n">
        <v>501</v>
      </c>
      <c r="X133" s="48" t="n">
        <v>629</v>
      </c>
      <c r="Y133" s="48" t="n">
        <v>33</v>
      </c>
    </row>
    <row r="134">
      <c r="A134" s="78" t="n">
        <v>46213</v>
      </c>
      <c r="B134" s="45" t="inlineStr">
        <is>
          <t>N7</t>
        </is>
      </c>
      <c r="C134" s="48" t="n">
        <v>138</v>
      </c>
      <c r="D134" s="48" t="n">
        <v>188</v>
      </c>
      <c r="E134" s="48" t="n">
        <v>172</v>
      </c>
      <c r="F134" s="48" t="n">
        <v>274</v>
      </c>
      <c r="G134" s="48" t="n">
        <v>172</v>
      </c>
      <c r="H134" s="48" t="n">
        <v>164</v>
      </c>
      <c r="I134" s="48" t="n">
        <v>157</v>
      </c>
      <c r="J134" s="48" t="n">
        <v>114</v>
      </c>
      <c r="K134" s="48" t="n">
        <v>549</v>
      </c>
      <c r="L134" s="48" t="n">
        <v>88</v>
      </c>
      <c r="M134" s="46">
        <f>N134-SUM(C134:L134)</f>
        <v/>
      </c>
      <c r="N134" s="49" t="n">
        <v>2143</v>
      </c>
      <c r="O134" s="48" t="n">
        <v>78</v>
      </c>
      <c r="P134" s="48" t="n">
        <v>4</v>
      </c>
      <c r="Q134" s="48" t="n">
        <v>295</v>
      </c>
      <c r="R134" s="48" t="n">
        <v>300</v>
      </c>
      <c r="S134" s="48" t="n">
        <v>116</v>
      </c>
      <c r="T134" s="48" t="n">
        <v>117</v>
      </c>
      <c r="U134" s="48" t="n">
        <v>70</v>
      </c>
      <c r="V134" s="48" t="n"/>
      <c r="W134" s="48" t="n">
        <v>501</v>
      </c>
      <c r="X134" s="48" t="n">
        <v>629</v>
      </c>
      <c r="Y134" s="48" t="n">
        <v>33</v>
      </c>
    </row>
    <row r="135">
      <c r="A135" s="78" t="n">
        <v>46214</v>
      </c>
      <c r="B135" s="45" t="inlineStr">
        <is>
          <t>N7</t>
        </is>
      </c>
      <c r="C135" s="48" t="n">
        <v>158</v>
      </c>
      <c r="D135" s="48" t="n">
        <v>216</v>
      </c>
      <c r="E135" s="48" t="n">
        <v>198</v>
      </c>
      <c r="F135" s="48" t="n">
        <v>315</v>
      </c>
      <c r="G135" s="48" t="n">
        <v>198</v>
      </c>
      <c r="H135" s="48" t="n">
        <v>189</v>
      </c>
      <c r="I135" s="48" t="n">
        <v>181</v>
      </c>
      <c r="J135" s="48" t="n">
        <v>131</v>
      </c>
      <c r="K135" s="48" t="n">
        <v>631</v>
      </c>
      <c r="L135" s="48" t="n">
        <v>101</v>
      </c>
      <c r="M135" s="46">
        <f>N135-SUM(C135:L135)</f>
        <v/>
      </c>
      <c r="N135" s="49" t="n">
        <v>2465</v>
      </c>
      <c r="O135" s="48" t="n">
        <v>90</v>
      </c>
      <c r="P135" s="48" t="n">
        <v>5</v>
      </c>
      <c r="Q135" s="48" t="n">
        <v>339</v>
      </c>
      <c r="R135" s="48" t="n">
        <v>345</v>
      </c>
      <c r="S135" s="48" t="n">
        <v>134</v>
      </c>
      <c r="T135" s="48" t="n">
        <v>134</v>
      </c>
      <c r="U135" s="48" t="n">
        <v>81</v>
      </c>
      <c r="V135" s="48" t="n"/>
      <c r="W135" s="48" t="n">
        <v>576</v>
      </c>
      <c r="X135" s="48" t="n">
        <v>723</v>
      </c>
      <c r="Y135" s="48" t="n">
        <v>38</v>
      </c>
    </row>
    <row r="136">
      <c r="A136" s="78" t="n">
        <v>46215</v>
      </c>
      <c r="B136" s="45" t="inlineStr">
        <is>
          <t>N7</t>
        </is>
      </c>
      <c r="C136" s="48" t="n">
        <v>158</v>
      </c>
      <c r="D136" s="48" t="n">
        <v>216</v>
      </c>
      <c r="E136" s="48" t="n">
        <v>198</v>
      </c>
      <c r="F136" s="48" t="n">
        <v>315</v>
      </c>
      <c r="G136" s="48" t="n">
        <v>198</v>
      </c>
      <c r="H136" s="48" t="n">
        <v>189</v>
      </c>
      <c r="I136" s="48" t="n">
        <v>181</v>
      </c>
      <c r="J136" s="48" t="n">
        <v>131</v>
      </c>
      <c r="K136" s="48" t="n">
        <v>631</v>
      </c>
      <c r="L136" s="48" t="n">
        <v>101</v>
      </c>
      <c r="M136" s="46">
        <f>N136-SUM(C136:L136)</f>
        <v/>
      </c>
      <c r="N136" s="49" t="n">
        <v>2466</v>
      </c>
      <c r="O136" s="48" t="n">
        <v>90</v>
      </c>
      <c r="P136" s="48" t="n">
        <v>5</v>
      </c>
      <c r="Q136" s="48" t="n">
        <v>340</v>
      </c>
      <c r="R136" s="48" t="n">
        <v>345</v>
      </c>
      <c r="S136" s="48" t="n">
        <v>134</v>
      </c>
      <c r="T136" s="48" t="n">
        <v>134</v>
      </c>
      <c r="U136" s="48" t="n">
        <v>81</v>
      </c>
      <c r="V136" s="48" t="n"/>
      <c r="W136" s="48" t="n">
        <v>576</v>
      </c>
      <c r="X136" s="48" t="n">
        <v>723</v>
      </c>
      <c r="Y136" s="48" t="n">
        <v>38</v>
      </c>
    </row>
    <row r="137">
      <c r="A137" s="78" t="n">
        <v>46216</v>
      </c>
      <c r="B137" s="45" t="inlineStr">
        <is>
          <t>N7</t>
        </is>
      </c>
      <c r="C137" s="48" t="n">
        <v>138</v>
      </c>
      <c r="D137" s="48" t="n">
        <v>188</v>
      </c>
      <c r="E137" s="48" t="n">
        <v>172</v>
      </c>
      <c r="F137" s="48" t="n">
        <v>274</v>
      </c>
      <c r="G137" s="48" t="n">
        <v>172</v>
      </c>
      <c r="H137" s="48" t="n">
        <v>164</v>
      </c>
      <c r="I137" s="48" t="n">
        <v>157</v>
      </c>
      <c r="J137" s="48" t="n">
        <v>114</v>
      </c>
      <c r="K137" s="48" t="n">
        <v>549</v>
      </c>
      <c r="L137" s="48" t="n">
        <v>88</v>
      </c>
      <c r="M137" s="46">
        <f>N137-SUM(C137:L137)</f>
        <v/>
      </c>
      <c r="N137" s="49" t="n">
        <v>2145</v>
      </c>
      <c r="O137" s="48" t="n">
        <v>78</v>
      </c>
      <c r="P137" s="48" t="n">
        <v>4</v>
      </c>
      <c r="Q137" s="48" t="n">
        <v>296</v>
      </c>
      <c r="R137" s="48" t="n">
        <v>300</v>
      </c>
      <c r="S137" s="48" t="n">
        <v>116</v>
      </c>
      <c r="T137" s="48" t="n">
        <v>117</v>
      </c>
      <c r="U137" s="48" t="n">
        <v>71</v>
      </c>
      <c r="V137" s="48" t="n"/>
      <c r="W137" s="48" t="n">
        <v>501</v>
      </c>
      <c r="X137" s="48" t="n">
        <v>629</v>
      </c>
      <c r="Y137" s="48" t="n">
        <v>33</v>
      </c>
    </row>
    <row r="138">
      <c r="A138" s="78" t="n">
        <v>46217</v>
      </c>
      <c r="B138" s="45" t="inlineStr">
        <is>
          <t>N7</t>
        </is>
      </c>
      <c r="C138" s="48" t="n">
        <v>138</v>
      </c>
      <c r="D138" s="48" t="n">
        <v>188</v>
      </c>
      <c r="E138" s="48" t="n">
        <v>172</v>
      </c>
      <c r="F138" s="48" t="n">
        <v>274</v>
      </c>
      <c r="G138" s="48" t="n">
        <v>172</v>
      </c>
      <c r="H138" s="48" t="n">
        <v>164</v>
      </c>
      <c r="I138" s="48" t="n">
        <v>157</v>
      </c>
      <c r="J138" s="48" t="n">
        <v>114</v>
      </c>
      <c r="K138" s="48" t="n">
        <v>549</v>
      </c>
      <c r="L138" s="48" t="n">
        <v>88</v>
      </c>
      <c r="M138" s="46">
        <f>N138-SUM(C138:L138)</f>
        <v/>
      </c>
      <c r="N138" s="49" t="n">
        <v>2145</v>
      </c>
      <c r="O138" s="48" t="n">
        <v>78</v>
      </c>
      <c r="P138" s="48" t="n">
        <v>4</v>
      </c>
      <c r="Q138" s="48" t="n">
        <v>296</v>
      </c>
      <c r="R138" s="48" t="n">
        <v>300</v>
      </c>
      <c r="S138" s="48" t="n">
        <v>116</v>
      </c>
      <c r="T138" s="48" t="n">
        <v>117</v>
      </c>
      <c r="U138" s="48" t="n">
        <v>71</v>
      </c>
      <c r="V138" s="48" t="n"/>
      <c r="W138" s="48" t="n">
        <v>501</v>
      </c>
      <c r="X138" s="48" t="n">
        <v>629</v>
      </c>
      <c r="Y138" s="48" t="n">
        <v>33</v>
      </c>
    </row>
    <row r="139">
      <c r="A139" s="78" t="n">
        <v>46218</v>
      </c>
      <c r="B139" s="45" t="inlineStr">
        <is>
          <t>N7</t>
        </is>
      </c>
      <c r="C139" s="48" t="n">
        <v>138</v>
      </c>
      <c r="D139" s="48" t="n">
        <v>188</v>
      </c>
      <c r="E139" s="48" t="n">
        <v>172</v>
      </c>
      <c r="F139" s="48" t="n">
        <v>274</v>
      </c>
      <c r="G139" s="48" t="n">
        <v>172</v>
      </c>
      <c r="H139" s="48" t="n">
        <v>164</v>
      </c>
      <c r="I139" s="48" t="n">
        <v>157</v>
      </c>
      <c r="J139" s="48" t="n">
        <v>114</v>
      </c>
      <c r="K139" s="48" t="n">
        <v>549</v>
      </c>
      <c r="L139" s="48" t="n">
        <v>88</v>
      </c>
      <c r="M139" s="46">
        <f>N139-SUM(C139:L139)</f>
        <v/>
      </c>
      <c r="N139" s="49" t="n">
        <v>2145</v>
      </c>
      <c r="O139" s="48" t="n">
        <v>78</v>
      </c>
      <c r="P139" s="48" t="n">
        <v>4</v>
      </c>
      <c r="Q139" s="48" t="n">
        <v>296</v>
      </c>
      <c r="R139" s="48" t="n">
        <v>300</v>
      </c>
      <c r="S139" s="48" t="n">
        <v>116</v>
      </c>
      <c r="T139" s="48" t="n">
        <v>117</v>
      </c>
      <c r="U139" s="48" t="n">
        <v>71</v>
      </c>
      <c r="V139" s="48" t="n"/>
      <c r="W139" s="48" t="n">
        <v>501</v>
      </c>
      <c r="X139" s="48" t="n">
        <v>629</v>
      </c>
      <c r="Y139" s="48" t="n">
        <v>33</v>
      </c>
    </row>
    <row r="140">
      <c r="A140" s="78" t="n">
        <v>46219</v>
      </c>
      <c r="B140" s="45" t="inlineStr">
        <is>
          <t>N7</t>
        </is>
      </c>
      <c r="C140" s="48" t="n">
        <v>138</v>
      </c>
      <c r="D140" s="48" t="n">
        <v>188</v>
      </c>
      <c r="E140" s="48" t="n">
        <v>172</v>
      </c>
      <c r="F140" s="48" t="n">
        <v>274</v>
      </c>
      <c r="G140" s="48" t="n">
        <v>172</v>
      </c>
      <c r="H140" s="48" t="n">
        <v>164</v>
      </c>
      <c r="I140" s="48" t="n">
        <v>157</v>
      </c>
      <c r="J140" s="48" t="n">
        <v>114</v>
      </c>
      <c r="K140" s="48" t="n">
        <v>549</v>
      </c>
      <c r="L140" s="48" t="n">
        <v>88</v>
      </c>
      <c r="M140" s="46">
        <f>N140-SUM(C140:L140)</f>
        <v/>
      </c>
      <c r="N140" s="49" t="n">
        <v>2145</v>
      </c>
      <c r="O140" s="48" t="n">
        <v>78</v>
      </c>
      <c r="P140" s="48" t="n">
        <v>4</v>
      </c>
      <c r="Q140" s="48" t="n">
        <v>296</v>
      </c>
      <c r="R140" s="48" t="n">
        <v>300</v>
      </c>
      <c r="S140" s="48" t="n">
        <v>116</v>
      </c>
      <c r="T140" s="48" t="n">
        <v>117</v>
      </c>
      <c r="U140" s="48" t="n">
        <v>71</v>
      </c>
      <c r="V140" s="48" t="n"/>
      <c r="W140" s="48" t="n">
        <v>501</v>
      </c>
      <c r="X140" s="48" t="n">
        <v>629</v>
      </c>
      <c r="Y140" s="48" t="n">
        <v>33</v>
      </c>
    </row>
    <row r="141">
      <c r="A141" s="78" t="n">
        <v>46220</v>
      </c>
      <c r="B141" s="45" t="inlineStr">
        <is>
          <t>N7</t>
        </is>
      </c>
      <c r="C141" s="48" t="n">
        <v>138</v>
      </c>
      <c r="D141" s="48" t="n">
        <v>188</v>
      </c>
      <c r="E141" s="48" t="n">
        <v>172</v>
      </c>
      <c r="F141" s="48" t="n">
        <v>274</v>
      </c>
      <c r="G141" s="48" t="n">
        <v>172</v>
      </c>
      <c r="H141" s="48" t="n">
        <v>164</v>
      </c>
      <c r="I141" s="48" t="n">
        <v>157</v>
      </c>
      <c r="J141" s="48" t="n">
        <v>114</v>
      </c>
      <c r="K141" s="48" t="n">
        <v>549</v>
      </c>
      <c r="L141" s="48" t="n">
        <v>89</v>
      </c>
      <c r="M141" s="46">
        <f>N141-SUM(C141:L141)</f>
        <v/>
      </c>
      <c r="N141" s="49" t="n">
        <v>2145</v>
      </c>
      <c r="O141" s="48" t="n">
        <v>78</v>
      </c>
      <c r="P141" s="48" t="n">
        <v>4</v>
      </c>
      <c r="Q141" s="48" t="n">
        <v>296</v>
      </c>
      <c r="R141" s="48" t="n">
        <v>300</v>
      </c>
      <c r="S141" s="48" t="n">
        <v>116</v>
      </c>
      <c r="T141" s="48" t="n">
        <v>117</v>
      </c>
      <c r="U141" s="48" t="n">
        <v>71</v>
      </c>
      <c r="V141" s="48" t="n"/>
      <c r="W141" s="48" t="n">
        <v>501</v>
      </c>
      <c r="X141" s="48" t="n">
        <v>629</v>
      </c>
      <c r="Y141" s="48" t="n">
        <v>33</v>
      </c>
    </row>
    <row r="142">
      <c r="A142" s="78" t="n">
        <v>46221</v>
      </c>
      <c r="B142" s="45" t="inlineStr">
        <is>
          <t>N7</t>
        </is>
      </c>
      <c r="C142" s="48" t="n">
        <v>158</v>
      </c>
      <c r="D142" s="48" t="n">
        <v>216</v>
      </c>
      <c r="E142" s="48" t="n">
        <v>198</v>
      </c>
      <c r="F142" s="48" t="n">
        <v>315</v>
      </c>
      <c r="G142" s="48" t="n">
        <v>198</v>
      </c>
      <c r="H142" s="48" t="n">
        <v>189</v>
      </c>
      <c r="I142" s="48" t="n">
        <v>181</v>
      </c>
      <c r="J142" s="48" t="n">
        <v>131</v>
      </c>
      <c r="K142" s="48" t="n">
        <v>631</v>
      </c>
      <c r="L142" s="48" t="n">
        <v>101</v>
      </c>
      <c r="M142" s="46">
        <f>N142-SUM(C142:L142)</f>
        <v/>
      </c>
      <c r="N142" s="49" t="n">
        <v>2466</v>
      </c>
      <c r="O142" s="48" t="n">
        <v>90</v>
      </c>
      <c r="P142" s="48" t="n">
        <v>5</v>
      </c>
      <c r="Q142" s="48" t="n">
        <v>340</v>
      </c>
      <c r="R142" s="48" t="n">
        <v>345</v>
      </c>
      <c r="S142" s="48" t="n">
        <v>134</v>
      </c>
      <c r="T142" s="48" t="n">
        <v>134</v>
      </c>
      <c r="U142" s="48" t="n">
        <v>81</v>
      </c>
      <c r="V142" s="48" t="n"/>
      <c r="W142" s="48" t="n">
        <v>576</v>
      </c>
      <c r="X142" s="48" t="n">
        <v>723</v>
      </c>
      <c r="Y142" s="48" t="n">
        <v>38</v>
      </c>
    </row>
    <row r="143">
      <c r="A143" s="78" t="n">
        <v>46222</v>
      </c>
      <c r="B143" s="45" t="inlineStr">
        <is>
          <t>N7</t>
        </is>
      </c>
      <c r="C143" s="48" t="n">
        <v>158</v>
      </c>
      <c r="D143" s="48" t="n">
        <v>216</v>
      </c>
      <c r="E143" s="48" t="n">
        <v>198</v>
      </c>
      <c r="F143" s="48" t="n">
        <v>315</v>
      </c>
      <c r="G143" s="48" t="n">
        <v>198</v>
      </c>
      <c r="H143" s="48" t="n">
        <v>189</v>
      </c>
      <c r="I143" s="48" t="n">
        <v>181</v>
      </c>
      <c r="J143" s="48" t="n">
        <v>131</v>
      </c>
      <c r="K143" s="48" t="n">
        <v>631</v>
      </c>
      <c r="L143" s="48" t="n">
        <v>101</v>
      </c>
      <c r="M143" s="46">
        <f>N143-SUM(C143:L143)</f>
        <v/>
      </c>
      <c r="N143" s="49" t="n">
        <v>2466</v>
      </c>
      <c r="O143" s="48" t="n">
        <v>90</v>
      </c>
      <c r="P143" s="48" t="n">
        <v>5</v>
      </c>
      <c r="Q143" s="48" t="n">
        <v>340</v>
      </c>
      <c r="R143" s="48" t="n">
        <v>345</v>
      </c>
      <c r="S143" s="48" t="n">
        <v>134</v>
      </c>
      <c r="T143" s="48" t="n">
        <v>134</v>
      </c>
      <c r="U143" s="48" t="n">
        <v>81</v>
      </c>
      <c r="V143" s="48" t="n"/>
      <c r="W143" s="48" t="n">
        <v>576</v>
      </c>
      <c r="X143" s="48" t="n">
        <v>723</v>
      </c>
      <c r="Y143" s="48" t="n">
        <v>38</v>
      </c>
    </row>
    <row r="144">
      <c r="A144" s="78" t="n">
        <v>46223</v>
      </c>
      <c r="B144" s="45" t="inlineStr">
        <is>
          <t>N7</t>
        </is>
      </c>
      <c r="C144" s="48" t="n">
        <v>138</v>
      </c>
      <c r="D144" s="48" t="n">
        <v>188</v>
      </c>
      <c r="E144" s="48" t="n">
        <v>172</v>
      </c>
      <c r="F144" s="48" t="n">
        <v>274</v>
      </c>
      <c r="G144" s="48" t="n">
        <v>172</v>
      </c>
      <c r="H144" s="48" t="n">
        <v>164</v>
      </c>
      <c r="I144" s="48" t="n">
        <v>157</v>
      </c>
      <c r="J144" s="48" t="n">
        <v>114</v>
      </c>
      <c r="K144" s="48" t="n">
        <v>549</v>
      </c>
      <c r="L144" s="48" t="n">
        <v>89</v>
      </c>
      <c r="M144" s="46">
        <f>N144-SUM(C144:L144)</f>
        <v/>
      </c>
      <c r="N144" s="49" t="n">
        <v>2145</v>
      </c>
      <c r="O144" s="48" t="n">
        <v>78</v>
      </c>
      <c r="P144" s="48" t="n">
        <v>4</v>
      </c>
      <c r="Q144" s="48" t="n">
        <v>296</v>
      </c>
      <c r="R144" s="48" t="n">
        <v>300</v>
      </c>
      <c r="S144" s="48" t="n">
        <v>116</v>
      </c>
      <c r="T144" s="48" t="n">
        <v>117</v>
      </c>
      <c r="U144" s="48" t="n">
        <v>71</v>
      </c>
      <c r="V144" s="48" t="n"/>
      <c r="W144" s="48" t="n">
        <v>501</v>
      </c>
      <c r="X144" s="48" t="n">
        <v>629</v>
      </c>
      <c r="Y144" s="48" t="n">
        <v>33</v>
      </c>
    </row>
    <row r="145">
      <c r="A145" s="78" t="n">
        <v>46224</v>
      </c>
      <c r="B145" s="45" t="inlineStr">
        <is>
          <t>N7</t>
        </is>
      </c>
      <c r="C145" s="48" t="n">
        <v>138</v>
      </c>
      <c r="D145" s="48" t="n">
        <v>188</v>
      </c>
      <c r="E145" s="48" t="n">
        <v>172</v>
      </c>
      <c r="F145" s="48" t="n">
        <v>274</v>
      </c>
      <c r="G145" s="48" t="n">
        <v>172</v>
      </c>
      <c r="H145" s="48" t="n">
        <v>164</v>
      </c>
      <c r="I145" s="48" t="n">
        <v>157</v>
      </c>
      <c r="J145" s="48" t="n">
        <v>114</v>
      </c>
      <c r="K145" s="48" t="n">
        <v>549</v>
      </c>
      <c r="L145" s="48" t="n">
        <v>89</v>
      </c>
      <c r="M145" s="46">
        <f>N145-SUM(C145:L145)</f>
        <v/>
      </c>
      <c r="N145" s="49" t="n">
        <v>2145</v>
      </c>
      <c r="O145" s="48" t="n">
        <v>78</v>
      </c>
      <c r="P145" s="48" t="n">
        <v>4</v>
      </c>
      <c r="Q145" s="48" t="n">
        <v>296</v>
      </c>
      <c r="R145" s="48" t="n">
        <v>300</v>
      </c>
      <c r="S145" s="48" t="n">
        <v>116</v>
      </c>
      <c r="T145" s="48" t="n">
        <v>117</v>
      </c>
      <c r="U145" s="48" t="n">
        <v>71</v>
      </c>
      <c r="V145" s="48" t="n"/>
      <c r="W145" s="48" t="n">
        <v>501</v>
      </c>
      <c r="X145" s="48" t="n">
        <v>629</v>
      </c>
      <c r="Y145" s="48" t="n">
        <v>33</v>
      </c>
    </row>
    <row r="146">
      <c r="A146" s="78" t="n">
        <v>46225</v>
      </c>
      <c r="B146" s="45" t="inlineStr">
        <is>
          <t>N7</t>
        </is>
      </c>
      <c r="C146" s="48" t="n">
        <v>138</v>
      </c>
      <c r="D146" s="48" t="n">
        <v>188</v>
      </c>
      <c r="E146" s="48" t="n">
        <v>172</v>
      </c>
      <c r="F146" s="48" t="n">
        <v>274</v>
      </c>
      <c r="G146" s="48" t="n">
        <v>172</v>
      </c>
      <c r="H146" s="48" t="n">
        <v>164</v>
      </c>
      <c r="I146" s="48" t="n">
        <v>157</v>
      </c>
      <c r="J146" s="48" t="n">
        <v>114</v>
      </c>
      <c r="K146" s="48" t="n">
        <v>549</v>
      </c>
      <c r="L146" s="48" t="n">
        <v>89</v>
      </c>
      <c r="M146" s="46">
        <f>N146-SUM(C146:L146)</f>
        <v/>
      </c>
      <c r="N146" s="49" t="n">
        <v>2145</v>
      </c>
      <c r="O146" s="48" t="n">
        <v>78</v>
      </c>
      <c r="P146" s="48" t="n">
        <v>4</v>
      </c>
      <c r="Q146" s="48" t="n">
        <v>296</v>
      </c>
      <c r="R146" s="48" t="n">
        <v>300</v>
      </c>
      <c r="S146" s="48" t="n">
        <v>116</v>
      </c>
      <c r="T146" s="48" t="n">
        <v>117</v>
      </c>
      <c r="U146" s="48" t="n">
        <v>71</v>
      </c>
      <c r="V146" s="48" t="n"/>
      <c r="W146" s="48" t="n">
        <v>501</v>
      </c>
      <c r="X146" s="48" t="n">
        <v>629</v>
      </c>
      <c r="Y146" s="48" t="n">
        <v>33</v>
      </c>
    </row>
    <row r="147">
      <c r="A147" s="78" t="n">
        <v>46226</v>
      </c>
      <c r="B147" s="45" t="inlineStr">
        <is>
          <t>N7</t>
        </is>
      </c>
      <c r="C147" s="48" t="n">
        <v>138</v>
      </c>
      <c r="D147" s="48" t="n">
        <v>188</v>
      </c>
      <c r="E147" s="48" t="n">
        <v>172</v>
      </c>
      <c r="F147" s="48" t="n">
        <v>274</v>
      </c>
      <c r="G147" s="48" t="n">
        <v>172</v>
      </c>
      <c r="H147" s="48" t="n">
        <v>164</v>
      </c>
      <c r="I147" s="48" t="n">
        <v>157</v>
      </c>
      <c r="J147" s="48" t="n">
        <v>114</v>
      </c>
      <c r="K147" s="48" t="n">
        <v>549</v>
      </c>
      <c r="L147" s="48" t="n">
        <v>89</v>
      </c>
      <c r="M147" s="46">
        <f>N147-SUM(C147:L147)</f>
        <v/>
      </c>
      <c r="N147" s="49" t="n">
        <v>2145</v>
      </c>
      <c r="O147" s="48" t="n">
        <v>78</v>
      </c>
      <c r="P147" s="48" t="n">
        <v>4</v>
      </c>
      <c r="Q147" s="48" t="n">
        <v>296</v>
      </c>
      <c r="R147" s="48" t="n">
        <v>300</v>
      </c>
      <c r="S147" s="48" t="n">
        <v>116</v>
      </c>
      <c r="T147" s="48" t="n">
        <v>117</v>
      </c>
      <c r="U147" s="48" t="n">
        <v>71</v>
      </c>
      <c r="V147" s="48" t="n"/>
      <c r="W147" s="48" t="n">
        <v>501</v>
      </c>
      <c r="X147" s="48" t="n">
        <v>629</v>
      </c>
      <c r="Y147" s="48" t="n">
        <v>33</v>
      </c>
    </row>
    <row r="148">
      <c r="A148" s="78" t="n">
        <v>46227</v>
      </c>
      <c r="B148" s="45" t="inlineStr">
        <is>
          <t>N7</t>
        </is>
      </c>
      <c r="C148" s="48" t="n">
        <v>138</v>
      </c>
      <c r="D148" s="48" t="n">
        <v>188</v>
      </c>
      <c r="E148" s="48" t="n">
        <v>173</v>
      </c>
      <c r="F148" s="48" t="n">
        <v>274</v>
      </c>
      <c r="G148" s="48" t="n">
        <v>173</v>
      </c>
      <c r="H148" s="48" t="n">
        <v>164</v>
      </c>
      <c r="I148" s="48" t="n">
        <v>157</v>
      </c>
      <c r="J148" s="48" t="n">
        <v>114</v>
      </c>
      <c r="K148" s="48" t="n">
        <v>550</v>
      </c>
      <c r="L148" s="48" t="n">
        <v>89</v>
      </c>
      <c r="M148" s="46">
        <f>N148-SUM(C148:L148)</f>
        <v/>
      </c>
      <c r="N148" s="49" t="n">
        <v>2146</v>
      </c>
      <c r="O148" s="48" t="n">
        <v>78</v>
      </c>
      <c r="P148" s="48" t="n">
        <v>4</v>
      </c>
      <c r="Q148" s="48" t="n">
        <v>296</v>
      </c>
      <c r="R148" s="48" t="n">
        <v>301</v>
      </c>
      <c r="S148" s="48" t="n">
        <v>116</v>
      </c>
      <c r="T148" s="48" t="n">
        <v>117</v>
      </c>
      <c r="U148" s="48" t="n">
        <v>71</v>
      </c>
      <c r="V148" s="48" t="n"/>
      <c r="W148" s="48" t="n">
        <v>501</v>
      </c>
      <c r="X148" s="48" t="n">
        <v>629</v>
      </c>
      <c r="Y148" s="48" t="n">
        <v>33</v>
      </c>
    </row>
    <row r="149">
      <c r="A149" s="78" t="n">
        <v>46228</v>
      </c>
      <c r="B149" s="45" t="inlineStr">
        <is>
          <t>N7</t>
        </is>
      </c>
      <c r="C149" s="48" t="n">
        <v>158</v>
      </c>
      <c r="D149" s="48" t="n">
        <v>216</v>
      </c>
      <c r="E149" s="48" t="n">
        <v>198</v>
      </c>
      <c r="F149" s="48" t="n">
        <v>315</v>
      </c>
      <c r="G149" s="48" t="n">
        <v>198</v>
      </c>
      <c r="H149" s="48" t="n">
        <v>189</v>
      </c>
      <c r="I149" s="48" t="n">
        <v>181</v>
      </c>
      <c r="J149" s="48" t="n">
        <v>131</v>
      </c>
      <c r="K149" s="48" t="n">
        <v>632</v>
      </c>
      <c r="L149" s="48" t="n">
        <v>101</v>
      </c>
      <c r="M149" s="46">
        <f>N149-SUM(C149:L149)</f>
        <v/>
      </c>
      <c r="N149" s="49" t="n">
        <v>2469</v>
      </c>
      <c r="O149" s="48" t="n">
        <v>90</v>
      </c>
      <c r="P149" s="48" t="n">
        <v>5</v>
      </c>
      <c r="Q149" s="48" t="n">
        <v>340</v>
      </c>
      <c r="R149" s="48" t="n">
        <v>346</v>
      </c>
      <c r="S149" s="48" t="n">
        <v>135</v>
      </c>
      <c r="T149" s="48" t="n">
        <v>134</v>
      </c>
      <c r="U149" s="48" t="n">
        <v>81</v>
      </c>
      <c r="V149" s="48" t="n"/>
      <c r="W149" s="48" t="n">
        <v>576</v>
      </c>
      <c r="X149" s="48" t="n">
        <v>723</v>
      </c>
      <c r="Y149" s="48" t="n">
        <v>39</v>
      </c>
    </row>
    <row r="150">
      <c r="A150" s="78" t="n">
        <v>46229</v>
      </c>
      <c r="B150" s="45" t="inlineStr">
        <is>
          <t>N7</t>
        </is>
      </c>
      <c r="C150" s="48" t="n">
        <v>158</v>
      </c>
      <c r="D150" s="48" t="n">
        <v>216</v>
      </c>
      <c r="E150" s="48" t="n">
        <v>198</v>
      </c>
      <c r="F150" s="48" t="n">
        <v>315</v>
      </c>
      <c r="G150" s="48" t="n">
        <v>198</v>
      </c>
      <c r="H150" s="48" t="n">
        <v>189</v>
      </c>
      <c r="I150" s="48" t="n">
        <v>181</v>
      </c>
      <c r="J150" s="48" t="n">
        <v>131</v>
      </c>
      <c r="K150" s="48" t="n">
        <v>632</v>
      </c>
      <c r="L150" s="48" t="n">
        <v>101</v>
      </c>
      <c r="M150" s="46">
        <f>N150-SUM(C150:L150)</f>
        <v/>
      </c>
      <c r="N150" s="49" t="n">
        <v>2469</v>
      </c>
      <c r="O150" s="48" t="n">
        <v>90</v>
      </c>
      <c r="P150" s="48" t="n">
        <v>5</v>
      </c>
      <c r="Q150" s="48" t="n">
        <v>340</v>
      </c>
      <c r="R150" s="48" t="n">
        <v>346</v>
      </c>
      <c r="S150" s="48" t="n">
        <v>135</v>
      </c>
      <c r="T150" s="48" t="n">
        <v>134</v>
      </c>
      <c r="U150" s="48" t="n">
        <v>81</v>
      </c>
      <c r="V150" s="48" t="n"/>
      <c r="W150" s="48" t="n">
        <v>576</v>
      </c>
      <c r="X150" s="48" t="n">
        <v>723</v>
      </c>
      <c r="Y150" s="48" t="n">
        <v>39</v>
      </c>
    </row>
    <row r="151">
      <c r="A151" s="78" t="n">
        <v>46230</v>
      </c>
      <c r="B151" s="45" t="inlineStr">
        <is>
          <t>N7</t>
        </is>
      </c>
      <c r="C151" s="48" t="n">
        <v>138</v>
      </c>
      <c r="D151" s="48" t="n">
        <v>188</v>
      </c>
      <c r="E151" s="48" t="n">
        <v>173</v>
      </c>
      <c r="F151" s="48" t="n">
        <v>274</v>
      </c>
      <c r="G151" s="48" t="n">
        <v>173</v>
      </c>
      <c r="H151" s="48" t="n">
        <v>164</v>
      </c>
      <c r="I151" s="48" t="n">
        <v>157</v>
      </c>
      <c r="J151" s="48" t="n">
        <v>114</v>
      </c>
      <c r="K151" s="48" t="n">
        <v>550</v>
      </c>
      <c r="L151" s="48" t="n">
        <v>89</v>
      </c>
      <c r="M151" s="46">
        <f>N151-SUM(C151:L151)</f>
        <v/>
      </c>
      <c r="N151" s="49" t="n">
        <v>2148</v>
      </c>
      <c r="O151" s="48" t="n">
        <v>78</v>
      </c>
      <c r="P151" s="48" t="n">
        <v>4</v>
      </c>
      <c r="Q151" s="48" t="n">
        <v>296</v>
      </c>
      <c r="R151" s="48" t="n">
        <v>301</v>
      </c>
      <c r="S151" s="48" t="n">
        <v>117</v>
      </c>
      <c r="T151" s="48" t="n">
        <v>117</v>
      </c>
      <c r="U151" s="48" t="n">
        <v>71</v>
      </c>
      <c r="V151" s="48" t="n"/>
      <c r="W151" s="48" t="n">
        <v>501</v>
      </c>
      <c r="X151" s="48" t="n">
        <v>629</v>
      </c>
      <c r="Y151" s="48" t="n">
        <v>34</v>
      </c>
    </row>
    <row r="152">
      <c r="A152" s="78" t="n">
        <v>46231</v>
      </c>
      <c r="B152" s="45" t="inlineStr">
        <is>
          <t>N7</t>
        </is>
      </c>
      <c r="C152" s="48" t="n">
        <v>138</v>
      </c>
      <c r="D152" s="48" t="n">
        <v>188</v>
      </c>
      <c r="E152" s="48" t="n">
        <v>173</v>
      </c>
      <c r="F152" s="48" t="n">
        <v>274</v>
      </c>
      <c r="G152" s="48" t="n">
        <v>173</v>
      </c>
      <c r="H152" s="48" t="n">
        <v>164</v>
      </c>
      <c r="I152" s="48" t="n">
        <v>157</v>
      </c>
      <c r="J152" s="48" t="n">
        <v>114</v>
      </c>
      <c r="K152" s="48" t="n">
        <v>550</v>
      </c>
      <c r="L152" s="48" t="n">
        <v>89</v>
      </c>
      <c r="M152" s="46">
        <f>N152-SUM(C152:L152)</f>
        <v/>
      </c>
      <c r="N152" s="49" t="n">
        <v>2148</v>
      </c>
      <c r="O152" s="48" t="n">
        <v>78</v>
      </c>
      <c r="P152" s="48" t="n">
        <v>4</v>
      </c>
      <c r="Q152" s="48" t="n">
        <v>296</v>
      </c>
      <c r="R152" s="48" t="n">
        <v>301</v>
      </c>
      <c r="S152" s="48" t="n">
        <v>117</v>
      </c>
      <c r="T152" s="48" t="n">
        <v>117</v>
      </c>
      <c r="U152" s="48" t="n">
        <v>71</v>
      </c>
      <c r="V152" s="48" t="n"/>
      <c r="W152" s="48" t="n">
        <v>501</v>
      </c>
      <c r="X152" s="48" t="n">
        <v>629</v>
      </c>
      <c r="Y152" s="48" t="n">
        <v>34</v>
      </c>
    </row>
    <row r="153">
      <c r="A153" s="78" t="n">
        <v>46232</v>
      </c>
      <c r="B153" s="45" t="inlineStr">
        <is>
          <t>N7</t>
        </is>
      </c>
      <c r="C153" s="48" t="n">
        <v>138</v>
      </c>
      <c r="D153" s="48" t="n">
        <v>188</v>
      </c>
      <c r="E153" s="48" t="n">
        <v>173</v>
      </c>
      <c r="F153" s="48" t="n">
        <v>274</v>
      </c>
      <c r="G153" s="48" t="n">
        <v>173</v>
      </c>
      <c r="H153" s="48" t="n">
        <v>164</v>
      </c>
      <c r="I153" s="48" t="n">
        <v>157</v>
      </c>
      <c r="J153" s="48" t="n">
        <v>114</v>
      </c>
      <c r="K153" s="48" t="n">
        <v>550</v>
      </c>
      <c r="L153" s="48" t="n">
        <v>89</v>
      </c>
      <c r="M153" s="46">
        <f>N153-SUM(C153:L153)</f>
        <v/>
      </c>
      <c r="N153" s="49" t="n">
        <v>2149</v>
      </c>
      <c r="O153" s="48" t="n">
        <v>78</v>
      </c>
      <c r="P153" s="48" t="n">
        <v>4</v>
      </c>
      <c r="Q153" s="48" t="n">
        <v>296</v>
      </c>
      <c r="R153" s="48" t="n">
        <v>301</v>
      </c>
      <c r="S153" s="48" t="n">
        <v>117</v>
      </c>
      <c r="T153" s="48" t="n">
        <v>117</v>
      </c>
      <c r="U153" s="48" t="n">
        <v>71</v>
      </c>
      <c r="V153" s="48" t="n"/>
      <c r="W153" s="48" t="n">
        <v>501</v>
      </c>
      <c r="X153" s="48" t="n">
        <v>630</v>
      </c>
      <c r="Y153" s="48" t="n">
        <v>34</v>
      </c>
    </row>
    <row r="154">
      <c r="A154" s="78" t="n">
        <v>46233</v>
      </c>
      <c r="B154" s="45" t="inlineStr">
        <is>
          <t>N7</t>
        </is>
      </c>
      <c r="C154" s="48" t="n">
        <v>138</v>
      </c>
      <c r="D154" s="48" t="n">
        <v>188</v>
      </c>
      <c r="E154" s="48" t="n">
        <v>173</v>
      </c>
      <c r="F154" s="48" t="n">
        <v>274</v>
      </c>
      <c r="G154" s="48" t="n">
        <v>173</v>
      </c>
      <c r="H154" s="48" t="n">
        <v>164</v>
      </c>
      <c r="I154" s="48" t="n">
        <v>157</v>
      </c>
      <c r="J154" s="48" t="n">
        <v>114</v>
      </c>
      <c r="K154" s="48" t="n">
        <v>550</v>
      </c>
      <c r="L154" s="48" t="n">
        <v>89</v>
      </c>
      <c r="M154" s="46">
        <f>N154-SUM(C154:L154)</f>
        <v/>
      </c>
      <c r="N154" s="49" t="n">
        <v>2149</v>
      </c>
      <c r="O154" s="48" t="n">
        <v>78</v>
      </c>
      <c r="P154" s="48" t="n">
        <v>4</v>
      </c>
      <c r="Q154" s="48" t="n">
        <v>296</v>
      </c>
      <c r="R154" s="48" t="n">
        <v>301</v>
      </c>
      <c r="S154" s="48" t="n">
        <v>117</v>
      </c>
      <c r="T154" s="48" t="n">
        <v>117</v>
      </c>
      <c r="U154" s="48" t="n">
        <v>71</v>
      </c>
      <c r="V154" s="48" t="n"/>
      <c r="W154" s="48" t="n">
        <v>501</v>
      </c>
      <c r="X154" s="48" t="n">
        <v>630</v>
      </c>
      <c r="Y154" s="48" t="n">
        <v>34</v>
      </c>
    </row>
    <row r="155">
      <c r="A155" s="78" t="n">
        <v>46234</v>
      </c>
      <c r="B155" s="45" t="inlineStr">
        <is>
          <t>N7</t>
        </is>
      </c>
      <c r="C155" s="48" t="n">
        <v>138</v>
      </c>
      <c r="D155" s="48" t="n">
        <v>188</v>
      </c>
      <c r="E155" s="48" t="n">
        <v>173</v>
      </c>
      <c r="F155" s="48" t="n">
        <v>274</v>
      </c>
      <c r="G155" s="48" t="n">
        <v>173</v>
      </c>
      <c r="H155" s="48" t="n">
        <v>164</v>
      </c>
      <c r="I155" s="48" t="n">
        <v>157</v>
      </c>
      <c r="J155" s="48" t="n">
        <v>114</v>
      </c>
      <c r="K155" s="48" t="n">
        <v>550</v>
      </c>
      <c r="L155" s="48" t="n">
        <v>89</v>
      </c>
      <c r="M155" s="46">
        <f>N155-SUM(C155:L155)</f>
        <v/>
      </c>
      <c r="N155" s="49" t="n">
        <v>2149</v>
      </c>
      <c r="O155" s="48" t="n">
        <v>78</v>
      </c>
      <c r="P155" s="48" t="n">
        <v>4</v>
      </c>
      <c r="Q155" s="48" t="n">
        <v>296</v>
      </c>
      <c r="R155" s="48" t="n">
        <v>301</v>
      </c>
      <c r="S155" s="48" t="n">
        <v>117</v>
      </c>
      <c r="T155" s="48" t="n">
        <v>117</v>
      </c>
      <c r="U155" s="48" t="n">
        <v>71</v>
      </c>
      <c r="V155" s="48" t="n"/>
      <c r="W155" s="48" t="n">
        <v>501</v>
      </c>
      <c r="X155" s="48" t="n">
        <v>630</v>
      </c>
      <c r="Y155" s="48" t="n">
        <v>34</v>
      </c>
    </row>
    <row r="156">
      <c r="A156" s="78" t="n">
        <v>46235</v>
      </c>
      <c r="B156" s="45" t="inlineStr">
        <is>
          <t>N7</t>
        </is>
      </c>
      <c r="C156" s="48" t="n">
        <v>147</v>
      </c>
      <c r="D156" s="48" t="n">
        <v>207</v>
      </c>
      <c r="E156" s="48" t="n">
        <v>221</v>
      </c>
      <c r="F156" s="48" t="n">
        <v>311</v>
      </c>
      <c r="G156" s="48" t="n">
        <v>210</v>
      </c>
      <c r="H156" s="48" t="n">
        <v>137</v>
      </c>
      <c r="I156" s="48" t="n">
        <v>153</v>
      </c>
      <c r="J156" s="48" t="n">
        <v>150</v>
      </c>
      <c r="K156" s="48" t="n">
        <v>427</v>
      </c>
      <c r="L156" s="48" t="n">
        <v>108</v>
      </c>
      <c r="M156" s="46">
        <f>N156-SUM(C156:L156)</f>
        <v/>
      </c>
      <c r="N156" s="49" t="n">
        <v>2276</v>
      </c>
      <c r="O156" s="48" t="n">
        <v>113</v>
      </c>
      <c r="P156" s="48" t="n">
        <v>3</v>
      </c>
      <c r="Q156" s="48" t="n">
        <v>339</v>
      </c>
      <c r="R156" s="48" t="n">
        <v>401</v>
      </c>
      <c r="S156" s="48" t="n">
        <v>129</v>
      </c>
      <c r="T156" s="48" t="n">
        <v>175</v>
      </c>
      <c r="U156" s="48" t="n">
        <v>109</v>
      </c>
      <c r="V156" s="48" t="n"/>
      <c r="W156" s="48" t="n">
        <v>578</v>
      </c>
      <c r="X156" s="48" t="n">
        <v>429</v>
      </c>
      <c r="Y156" s="48" t="n">
        <v>0</v>
      </c>
    </row>
    <row r="157">
      <c r="A157" s="78" t="n">
        <v>46236</v>
      </c>
      <c r="B157" s="45" t="inlineStr">
        <is>
          <t>N7</t>
        </is>
      </c>
      <c r="C157" s="48" t="n">
        <v>148</v>
      </c>
      <c r="D157" s="48" t="n">
        <v>208</v>
      </c>
      <c r="E157" s="48" t="n">
        <v>221</v>
      </c>
      <c r="F157" s="48" t="n">
        <v>312</v>
      </c>
      <c r="G157" s="48" t="n">
        <v>211</v>
      </c>
      <c r="H157" s="48" t="n">
        <v>137</v>
      </c>
      <c r="I157" s="48" t="n">
        <v>154</v>
      </c>
      <c r="J157" s="48" t="n">
        <v>151</v>
      </c>
      <c r="K157" s="48" t="n">
        <v>428</v>
      </c>
      <c r="L157" s="48" t="n">
        <v>108</v>
      </c>
      <c r="M157" s="46">
        <f>N157-SUM(C157:L157)</f>
        <v/>
      </c>
      <c r="N157" s="49" t="n">
        <v>2282</v>
      </c>
      <c r="O157" s="48" t="n">
        <v>113</v>
      </c>
      <c r="P157" s="48" t="n">
        <v>3</v>
      </c>
      <c r="Q157" s="48" t="n">
        <v>339</v>
      </c>
      <c r="R157" s="48" t="n">
        <v>401</v>
      </c>
      <c r="S157" s="48" t="n">
        <v>129</v>
      </c>
      <c r="T157" s="48" t="n">
        <v>175</v>
      </c>
      <c r="U157" s="48" t="n">
        <v>109</v>
      </c>
      <c r="V157" s="48" t="n"/>
      <c r="W157" s="48" t="n">
        <v>578</v>
      </c>
      <c r="X157" s="48" t="n">
        <v>435</v>
      </c>
      <c r="Y157" s="48" t="n">
        <v>0</v>
      </c>
    </row>
    <row r="158">
      <c r="A158" s="78" t="n">
        <v>46237</v>
      </c>
      <c r="B158" s="45" t="inlineStr">
        <is>
          <t>N7</t>
        </is>
      </c>
      <c r="C158" s="48" t="n">
        <v>131</v>
      </c>
      <c r="D158" s="48" t="n">
        <v>184</v>
      </c>
      <c r="E158" s="48" t="n">
        <v>196</v>
      </c>
      <c r="F158" s="48" t="n">
        <v>276</v>
      </c>
      <c r="G158" s="48" t="n">
        <v>187</v>
      </c>
      <c r="H158" s="48" t="n">
        <v>122</v>
      </c>
      <c r="I158" s="48" t="n">
        <v>136</v>
      </c>
      <c r="J158" s="48" t="n">
        <v>134</v>
      </c>
      <c r="K158" s="48" t="n">
        <v>379</v>
      </c>
      <c r="L158" s="48" t="n">
        <v>96</v>
      </c>
      <c r="M158" s="46">
        <f>N158-SUM(C158:L158)</f>
        <v/>
      </c>
      <c r="N158" s="49" t="n">
        <v>2024</v>
      </c>
      <c r="O158" s="48" t="n">
        <v>98</v>
      </c>
      <c r="P158" s="48" t="n">
        <v>3</v>
      </c>
      <c r="Q158" s="48" t="n">
        <v>295</v>
      </c>
      <c r="R158" s="48" t="n">
        <v>348</v>
      </c>
      <c r="S158" s="48" t="n">
        <v>112</v>
      </c>
      <c r="T158" s="48" t="n">
        <v>152</v>
      </c>
      <c r="U158" s="48" t="n">
        <v>95</v>
      </c>
      <c r="V158" s="48" t="n"/>
      <c r="W158" s="48" t="n">
        <v>503</v>
      </c>
      <c r="X158" s="48" t="n">
        <v>418</v>
      </c>
      <c r="Y158" s="48" t="n">
        <v>0</v>
      </c>
    </row>
    <row r="159">
      <c r="A159" s="78" t="n">
        <v>46238</v>
      </c>
      <c r="B159" s="45" t="inlineStr">
        <is>
          <t>N7</t>
        </is>
      </c>
      <c r="C159" s="48" t="n">
        <v>132</v>
      </c>
      <c r="D159" s="48" t="n">
        <v>185</v>
      </c>
      <c r="E159" s="48" t="n">
        <v>197</v>
      </c>
      <c r="F159" s="48" t="n">
        <v>278</v>
      </c>
      <c r="G159" s="48" t="n">
        <v>188</v>
      </c>
      <c r="H159" s="48" t="n">
        <v>122</v>
      </c>
      <c r="I159" s="48" t="n">
        <v>137</v>
      </c>
      <c r="J159" s="48" t="n">
        <v>134</v>
      </c>
      <c r="K159" s="48" t="n">
        <v>381</v>
      </c>
      <c r="L159" s="48" t="n">
        <v>97</v>
      </c>
      <c r="M159" s="46">
        <f>N159-SUM(C159:L159)</f>
        <v/>
      </c>
      <c r="N159" s="49" t="n">
        <v>2035</v>
      </c>
      <c r="O159" s="48" t="n">
        <v>98</v>
      </c>
      <c r="P159" s="48" t="n">
        <v>3</v>
      </c>
      <c r="Q159" s="48" t="n">
        <v>296</v>
      </c>
      <c r="R159" s="48" t="n">
        <v>348</v>
      </c>
      <c r="S159" s="48" t="n">
        <v>112</v>
      </c>
      <c r="T159" s="48" t="n">
        <v>152</v>
      </c>
      <c r="U159" s="48" t="n">
        <v>95</v>
      </c>
      <c r="V159" s="48" t="n"/>
      <c r="W159" s="48" t="n">
        <v>503</v>
      </c>
      <c r="X159" s="48" t="n">
        <v>428</v>
      </c>
      <c r="Y159" s="48" t="n">
        <v>0</v>
      </c>
    </row>
    <row r="160">
      <c r="A160" s="78" t="n">
        <v>46239</v>
      </c>
      <c r="B160" s="45" t="inlineStr">
        <is>
          <t>N7</t>
        </is>
      </c>
      <c r="C160" s="48" t="n">
        <v>132</v>
      </c>
      <c r="D160" s="48" t="n">
        <v>186</v>
      </c>
      <c r="E160" s="48" t="n">
        <v>198</v>
      </c>
      <c r="F160" s="48" t="n">
        <v>279</v>
      </c>
      <c r="G160" s="48" t="n">
        <v>189</v>
      </c>
      <c r="H160" s="48" t="n">
        <v>123</v>
      </c>
      <c r="I160" s="48" t="n">
        <v>137</v>
      </c>
      <c r="J160" s="48" t="n">
        <v>135</v>
      </c>
      <c r="K160" s="48" t="n">
        <v>383</v>
      </c>
      <c r="L160" s="48" t="n">
        <v>97</v>
      </c>
      <c r="M160" s="46">
        <f>N160-SUM(C160:L160)</f>
        <v/>
      </c>
      <c r="N160" s="49" t="n">
        <v>2041</v>
      </c>
      <c r="O160" s="48" t="n">
        <v>98</v>
      </c>
      <c r="P160" s="48" t="n">
        <v>3</v>
      </c>
      <c r="Q160" s="48" t="n">
        <v>296</v>
      </c>
      <c r="R160" s="48" t="n">
        <v>348</v>
      </c>
      <c r="S160" s="48" t="n">
        <v>112</v>
      </c>
      <c r="T160" s="48" t="n">
        <v>152</v>
      </c>
      <c r="U160" s="48" t="n">
        <v>95</v>
      </c>
      <c r="V160" s="48" t="n"/>
      <c r="W160" s="48" t="n">
        <v>503</v>
      </c>
      <c r="X160" s="48" t="n">
        <v>434</v>
      </c>
      <c r="Y160" s="48" t="n">
        <v>0</v>
      </c>
    </row>
    <row r="161">
      <c r="A161" s="78" t="n">
        <v>46240</v>
      </c>
      <c r="B161" s="45" t="inlineStr">
        <is>
          <t>N7</t>
        </is>
      </c>
      <c r="C161" s="48" t="n">
        <v>132</v>
      </c>
      <c r="D161" s="48" t="n">
        <v>185</v>
      </c>
      <c r="E161" s="48" t="n">
        <v>197</v>
      </c>
      <c r="F161" s="48" t="n">
        <v>278</v>
      </c>
      <c r="G161" s="48" t="n">
        <v>188</v>
      </c>
      <c r="H161" s="48" t="n">
        <v>122</v>
      </c>
      <c r="I161" s="48" t="n">
        <v>137</v>
      </c>
      <c r="J161" s="48" t="n">
        <v>134</v>
      </c>
      <c r="K161" s="48" t="n">
        <v>381</v>
      </c>
      <c r="L161" s="48" t="n">
        <v>97</v>
      </c>
      <c r="M161" s="46">
        <f>N161-SUM(C161:L161)</f>
        <v/>
      </c>
      <c r="N161" s="49" t="n">
        <v>2035</v>
      </c>
      <c r="O161" s="48" t="n">
        <v>98</v>
      </c>
      <c r="P161" s="48" t="n">
        <v>3</v>
      </c>
      <c r="Q161" s="48" t="n">
        <v>296</v>
      </c>
      <c r="R161" s="48" t="n">
        <v>348</v>
      </c>
      <c r="S161" s="48" t="n">
        <v>112</v>
      </c>
      <c r="T161" s="48" t="n">
        <v>152</v>
      </c>
      <c r="U161" s="48" t="n">
        <v>95</v>
      </c>
      <c r="V161" s="48" t="n"/>
      <c r="W161" s="48" t="n">
        <v>504</v>
      </c>
      <c r="X161" s="48" t="n">
        <v>427</v>
      </c>
      <c r="Y161" s="48" t="n">
        <v>0</v>
      </c>
    </row>
    <row r="162">
      <c r="A162" s="78" t="n">
        <v>46241</v>
      </c>
      <c r="B162" s="45" t="inlineStr">
        <is>
          <t>N7</t>
        </is>
      </c>
      <c r="C162" s="48" t="n">
        <v>132</v>
      </c>
      <c r="D162" s="48" t="n">
        <v>186</v>
      </c>
      <c r="E162" s="48" t="n">
        <v>199</v>
      </c>
      <c r="F162" s="48" t="n">
        <v>280</v>
      </c>
      <c r="G162" s="48" t="n">
        <v>189</v>
      </c>
      <c r="H162" s="48" t="n">
        <v>123</v>
      </c>
      <c r="I162" s="48" t="n">
        <v>138</v>
      </c>
      <c r="J162" s="48" t="n">
        <v>135</v>
      </c>
      <c r="K162" s="48" t="n">
        <v>384</v>
      </c>
      <c r="L162" s="48" t="n">
        <v>97</v>
      </c>
      <c r="M162" s="46">
        <f>N162-SUM(C162:L162)</f>
        <v/>
      </c>
      <c r="N162" s="49" t="n">
        <v>2047</v>
      </c>
      <c r="O162" s="48" t="n">
        <v>98</v>
      </c>
      <c r="P162" s="48" t="n">
        <v>3</v>
      </c>
      <c r="Q162" s="48" t="n">
        <v>296</v>
      </c>
      <c r="R162" s="48" t="n">
        <v>348</v>
      </c>
      <c r="S162" s="48" t="n">
        <v>112</v>
      </c>
      <c r="T162" s="48" t="n">
        <v>152</v>
      </c>
      <c r="U162" s="48" t="n">
        <v>95</v>
      </c>
      <c r="V162" s="48" t="n"/>
      <c r="W162" s="48" t="n">
        <v>504</v>
      </c>
      <c r="X162" s="48" t="n">
        <v>439</v>
      </c>
      <c r="Y162" s="48" t="n">
        <v>0</v>
      </c>
    </row>
    <row r="163">
      <c r="A163" s="78" t="n">
        <v>46242</v>
      </c>
      <c r="B163" s="45" t="inlineStr">
        <is>
          <t>N7</t>
        </is>
      </c>
      <c r="C163" s="48" t="n">
        <v>151</v>
      </c>
      <c r="D163" s="48" t="n">
        <v>213</v>
      </c>
      <c r="E163" s="48" t="n">
        <v>227</v>
      </c>
      <c r="F163" s="48" t="n">
        <v>320</v>
      </c>
      <c r="G163" s="48" t="n">
        <v>216</v>
      </c>
      <c r="H163" s="48" t="n">
        <v>140</v>
      </c>
      <c r="I163" s="48" t="n">
        <v>157</v>
      </c>
      <c r="J163" s="48" t="n">
        <v>154</v>
      </c>
      <c r="K163" s="48" t="n">
        <v>438</v>
      </c>
      <c r="L163" s="48" t="n">
        <v>111</v>
      </c>
      <c r="M163" s="46">
        <f>N163-SUM(C163:L163)</f>
        <v/>
      </c>
      <c r="N163" s="49" t="n">
        <v>2339</v>
      </c>
      <c r="O163" s="48" t="n">
        <v>113</v>
      </c>
      <c r="P163" s="48" t="n">
        <v>4</v>
      </c>
      <c r="Q163" s="48" t="n">
        <v>340</v>
      </c>
      <c r="R163" s="48" t="n">
        <v>401</v>
      </c>
      <c r="S163" s="48" t="n">
        <v>129</v>
      </c>
      <c r="T163" s="48" t="n">
        <v>175</v>
      </c>
      <c r="U163" s="48" t="n">
        <v>109</v>
      </c>
      <c r="V163" s="48" t="n"/>
      <c r="W163" s="48" t="n">
        <v>579</v>
      </c>
      <c r="X163" s="48" t="n">
        <v>489</v>
      </c>
      <c r="Y163" s="48" t="n">
        <v>0</v>
      </c>
    </row>
    <row r="164">
      <c r="A164" s="78" t="n">
        <v>46243</v>
      </c>
      <c r="B164" s="45" t="inlineStr">
        <is>
          <t>N7</t>
        </is>
      </c>
      <c r="C164" s="48" t="n">
        <v>151</v>
      </c>
      <c r="D164" s="48" t="n">
        <v>213</v>
      </c>
      <c r="E164" s="48" t="n">
        <v>227</v>
      </c>
      <c r="F164" s="48" t="n">
        <v>319</v>
      </c>
      <c r="G164" s="48" t="n">
        <v>216</v>
      </c>
      <c r="H164" s="48" t="n">
        <v>140</v>
      </c>
      <c r="I164" s="48" t="n">
        <v>157</v>
      </c>
      <c r="J164" s="48" t="n">
        <v>154</v>
      </c>
      <c r="K164" s="48" t="n">
        <v>438</v>
      </c>
      <c r="L164" s="48" t="n">
        <v>111</v>
      </c>
      <c r="M164" s="46">
        <f>N164-SUM(C164:L164)</f>
        <v/>
      </c>
      <c r="N164" s="49" t="n">
        <v>2338</v>
      </c>
      <c r="O164" s="48" t="n">
        <v>113</v>
      </c>
      <c r="P164" s="48" t="n">
        <v>4</v>
      </c>
      <c r="Q164" s="48" t="n">
        <v>340</v>
      </c>
      <c r="R164" s="48" t="n">
        <v>401</v>
      </c>
      <c r="S164" s="48" t="n">
        <v>129</v>
      </c>
      <c r="T164" s="48" t="n">
        <v>175</v>
      </c>
      <c r="U164" s="48" t="n">
        <v>109</v>
      </c>
      <c r="V164" s="48" t="n"/>
      <c r="W164" s="48" t="n">
        <v>579</v>
      </c>
      <c r="X164" s="48" t="n">
        <v>488</v>
      </c>
      <c r="Y164" s="48" t="n">
        <v>0</v>
      </c>
    </row>
    <row r="165">
      <c r="A165" s="78" t="n">
        <v>46244</v>
      </c>
      <c r="B165" s="45" t="inlineStr">
        <is>
          <t>N7</t>
        </is>
      </c>
      <c r="C165" s="48" t="n">
        <v>139</v>
      </c>
      <c r="D165" s="48" t="n">
        <v>196</v>
      </c>
      <c r="E165" s="48" t="n">
        <v>209</v>
      </c>
      <c r="F165" s="48" t="n">
        <v>294</v>
      </c>
      <c r="G165" s="48" t="n">
        <v>199</v>
      </c>
      <c r="H165" s="48" t="n">
        <v>129</v>
      </c>
      <c r="I165" s="48" t="n">
        <v>145</v>
      </c>
      <c r="J165" s="48" t="n">
        <v>142</v>
      </c>
      <c r="K165" s="48" t="n">
        <v>404</v>
      </c>
      <c r="L165" s="48" t="n">
        <v>102</v>
      </c>
      <c r="M165" s="46">
        <f>N165-SUM(C165:L165)</f>
        <v/>
      </c>
      <c r="N165" s="49" t="n">
        <v>2154</v>
      </c>
      <c r="O165" s="48" t="n">
        <v>98</v>
      </c>
      <c r="P165" s="48" t="n">
        <v>3</v>
      </c>
      <c r="Q165" s="48" t="n">
        <v>296</v>
      </c>
      <c r="R165" s="48" t="n">
        <v>348</v>
      </c>
      <c r="S165" s="48" t="n">
        <v>112</v>
      </c>
      <c r="T165" s="48" t="n">
        <v>152</v>
      </c>
      <c r="U165" s="48" t="n">
        <v>95</v>
      </c>
      <c r="V165" s="48" t="n"/>
      <c r="W165" s="48" t="n">
        <v>504</v>
      </c>
      <c r="X165" s="48" t="n">
        <v>458</v>
      </c>
      <c r="Y165" s="48" t="n">
        <v>88</v>
      </c>
    </row>
    <row r="166">
      <c r="A166" s="78" t="n">
        <v>46245</v>
      </c>
      <c r="B166" s="45" t="inlineStr">
        <is>
          <t>N7</t>
        </is>
      </c>
      <c r="C166" s="48" t="n">
        <v>139</v>
      </c>
      <c r="D166" s="48" t="n">
        <v>196</v>
      </c>
      <c r="E166" s="48" t="n">
        <v>208</v>
      </c>
      <c r="F166" s="48" t="n">
        <v>293</v>
      </c>
      <c r="G166" s="48" t="n">
        <v>198</v>
      </c>
      <c r="H166" s="48" t="n">
        <v>129</v>
      </c>
      <c r="I166" s="48" t="n">
        <v>145</v>
      </c>
      <c r="J166" s="48" t="n">
        <v>142</v>
      </c>
      <c r="K166" s="48" t="n">
        <v>402</v>
      </c>
      <c r="L166" s="48" t="n">
        <v>102</v>
      </c>
      <c r="M166" s="46">
        <f>N166-SUM(C166:L166)</f>
        <v/>
      </c>
      <c r="N166" s="49" t="n">
        <v>2147</v>
      </c>
      <c r="O166" s="48" t="n">
        <v>98</v>
      </c>
      <c r="P166" s="48" t="n">
        <v>3</v>
      </c>
      <c r="Q166" s="48" t="n">
        <v>296</v>
      </c>
      <c r="R166" s="48" t="n">
        <v>348</v>
      </c>
      <c r="S166" s="48" t="n">
        <v>112</v>
      </c>
      <c r="T166" s="48" t="n">
        <v>152</v>
      </c>
      <c r="U166" s="48" t="n">
        <v>95</v>
      </c>
      <c r="V166" s="48" t="n"/>
      <c r="W166" s="48" t="n">
        <v>504</v>
      </c>
      <c r="X166" s="48" t="n">
        <v>451</v>
      </c>
      <c r="Y166" s="48" t="n">
        <v>88</v>
      </c>
    </row>
    <row r="167">
      <c r="A167" s="78" t="n">
        <v>46246</v>
      </c>
      <c r="B167" s="45" t="inlineStr">
        <is>
          <t>N7</t>
        </is>
      </c>
      <c r="C167" s="48" t="n">
        <v>139</v>
      </c>
      <c r="D167" s="48" t="n">
        <v>196</v>
      </c>
      <c r="E167" s="48" t="n">
        <v>209</v>
      </c>
      <c r="F167" s="48" t="n">
        <v>295</v>
      </c>
      <c r="G167" s="48" t="n">
        <v>199</v>
      </c>
      <c r="H167" s="48" t="n">
        <v>129</v>
      </c>
      <c r="I167" s="48" t="n">
        <v>145</v>
      </c>
      <c r="J167" s="48" t="n">
        <v>142</v>
      </c>
      <c r="K167" s="48" t="n">
        <v>404</v>
      </c>
      <c r="L167" s="48" t="n">
        <v>102</v>
      </c>
      <c r="M167" s="46">
        <f>N167-SUM(C167:L167)</f>
        <v/>
      </c>
      <c r="N167" s="49" t="n">
        <v>2156</v>
      </c>
      <c r="O167" s="48" t="n">
        <v>99</v>
      </c>
      <c r="P167" s="48" t="n">
        <v>3</v>
      </c>
      <c r="Q167" s="48" t="n">
        <v>296</v>
      </c>
      <c r="R167" s="48" t="n">
        <v>348</v>
      </c>
      <c r="S167" s="48" t="n">
        <v>112</v>
      </c>
      <c r="T167" s="48" t="n">
        <v>152</v>
      </c>
      <c r="U167" s="48" t="n">
        <v>95</v>
      </c>
      <c r="V167" s="48" t="n"/>
      <c r="W167" s="48" t="n">
        <v>504</v>
      </c>
      <c r="X167" s="48" t="n">
        <v>459</v>
      </c>
      <c r="Y167" s="48" t="n">
        <v>88</v>
      </c>
    </row>
    <row r="168">
      <c r="A168" s="78" t="n">
        <v>46247</v>
      </c>
      <c r="B168" s="45" t="inlineStr">
        <is>
          <t>N7</t>
        </is>
      </c>
      <c r="C168" s="48" t="n">
        <v>138</v>
      </c>
      <c r="D168" s="48" t="n">
        <v>195</v>
      </c>
      <c r="E168" s="48" t="n">
        <v>208</v>
      </c>
      <c r="F168" s="48" t="n">
        <v>292</v>
      </c>
      <c r="G168" s="48" t="n">
        <v>198</v>
      </c>
      <c r="H168" s="48" t="n">
        <v>129</v>
      </c>
      <c r="I168" s="48" t="n">
        <v>144</v>
      </c>
      <c r="J168" s="48" t="n">
        <v>141</v>
      </c>
      <c r="K168" s="48" t="n">
        <v>401</v>
      </c>
      <c r="L168" s="48" t="n">
        <v>102</v>
      </c>
      <c r="M168" s="46">
        <f>N168-SUM(C168:L168)</f>
        <v/>
      </c>
      <c r="N168" s="49" t="n">
        <v>2140</v>
      </c>
      <c r="O168" s="48" t="n">
        <v>99</v>
      </c>
      <c r="P168" s="48" t="n">
        <v>3</v>
      </c>
      <c r="Q168" s="48" t="n">
        <v>296</v>
      </c>
      <c r="R168" s="48" t="n">
        <v>348</v>
      </c>
      <c r="S168" s="48" t="n">
        <v>112</v>
      </c>
      <c r="T168" s="48" t="n">
        <v>152</v>
      </c>
      <c r="U168" s="48" t="n">
        <v>96</v>
      </c>
      <c r="V168" s="48" t="n"/>
      <c r="W168" s="48" t="n">
        <v>504</v>
      </c>
      <c r="X168" s="48" t="n">
        <v>442</v>
      </c>
      <c r="Y168" s="48" t="n">
        <v>88</v>
      </c>
    </row>
    <row r="169">
      <c r="A169" s="78" t="n">
        <v>46248</v>
      </c>
      <c r="B169" s="45" t="inlineStr">
        <is>
          <t>N7</t>
        </is>
      </c>
      <c r="C169" s="48" t="n">
        <v>134</v>
      </c>
      <c r="D169" s="48" t="n">
        <v>189</v>
      </c>
      <c r="E169" s="48" t="n">
        <v>202</v>
      </c>
      <c r="F169" s="48" t="n">
        <v>284</v>
      </c>
      <c r="G169" s="48" t="n">
        <v>192</v>
      </c>
      <c r="H169" s="48" t="n">
        <v>125</v>
      </c>
      <c r="I169" s="48" t="n">
        <v>140</v>
      </c>
      <c r="J169" s="48" t="n">
        <v>137</v>
      </c>
      <c r="K169" s="48" t="n">
        <v>390</v>
      </c>
      <c r="L169" s="48" t="n">
        <v>99</v>
      </c>
      <c r="M169" s="46">
        <f>N169-SUM(C169:L169)</f>
        <v/>
      </c>
      <c r="N169" s="49" t="n">
        <v>2079</v>
      </c>
      <c r="O169" s="48" t="n">
        <v>99</v>
      </c>
      <c r="P169" s="48" t="n">
        <v>3</v>
      </c>
      <c r="Q169" s="48" t="n">
        <v>296</v>
      </c>
      <c r="R169" s="48" t="n">
        <v>348</v>
      </c>
      <c r="S169" s="48" t="n">
        <v>112</v>
      </c>
      <c r="T169" s="48" t="n">
        <v>152</v>
      </c>
      <c r="U169" s="48" t="n">
        <v>96</v>
      </c>
      <c r="V169" s="48" t="n"/>
      <c r="W169" s="48" t="n">
        <v>504</v>
      </c>
      <c r="X169" s="48" t="n">
        <v>469</v>
      </c>
      <c r="Y169" s="48" t="n">
        <v>0</v>
      </c>
    </row>
    <row r="170">
      <c r="A170" s="78" t="n">
        <v>46249</v>
      </c>
      <c r="B170" s="45" t="inlineStr">
        <is>
          <t>N7</t>
        </is>
      </c>
      <c r="C170" s="48" t="n">
        <v>154</v>
      </c>
      <c r="D170" s="48" t="n">
        <v>217</v>
      </c>
      <c r="E170" s="48" t="n">
        <v>231</v>
      </c>
      <c r="F170" s="48" t="n">
        <v>325</v>
      </c>
      <c r="G170" s="48" t="n">
        <v>220</v>
      </c>
      <c r="H170" s="48" t="n">
        <v>143</v>
      </c>
      <c r="I170" s="48" t="n">
        <v>160</v>
      </c>
      <c r="J170" s="48" t="n">
        <v>157</v>
      </c>
      <c r="K170" s="48" t="n">
        <v>446</v>
      </c>
      <c r="L170" s="48" t="n">
        <v>113</v>
      </c>
      <c r="M170" s="46">
        <f>N170-SUM(C170:L170)</f>
        <v/>
      </c>
      <c r="N170" s="49" t="n">
        <v>2382</v>
      </c>
      <c r="O170" s="48" t="n">
        <v>114</v>
      </c>
      <c r="P170" s="48" t="n">
        <v>4</v>
      </c>
      <c r="Q170" s="48" t="n">
        <v>340</v>
      </c>
      <c r="R170" s="48" t="n">
        <v>401</v>
      </c>
      <c r="S170" s="48" t="n">
        <v>129</v>
      </c>
      <c r="T170" s="48" t="n">
        <v>175</v>
      </c>
      <c r="U170" s="48" t="n">
        <v>110</v>
      </c>
      <c r="V170" s="48" t="n"/>
      <c r="W170" s="48" t="n">
        <v>579</v>
      </c>
      <c r="X170" s="48" t="n">
        <v>530</v>
      </c>
      <c r="Y170" s="48" t="n">
        <v>0</v>
      </c>
    </row>
    <row r="171">
      <c r="A171" s="78" t="n">
        <v>46250</v>
      </c>
      <c r="B171" s="45" t="inlineStr">
        <is>
          <t>N7</t>
        </is>
      </c>
      <c r="C171" s="48" t="n">
        <v>161</v>
      </c>
      <c r="D171" s="48" t="n">
        <v>226</v>
      </c>
      <c r="E171" s="48" t="n">
        <v>241</v>
      </c>
      <c r="F171" s="48" t="n">
        <v>339</v>
      </c>
      <c r="G171" s="48" t="n">
        <v>229</v>
      </c>
      <c r="H171" s="48" t="n">
        <v>149</v>
      </c>
      <c r="I171" s="48" t="n">
        <v>167</v>
      </c>
      <c r="J171" s="48" t="n">
        <v>164</v>
      </c>
      <c r="K171" s="48" t="n">
        <v>465</v>
      </c>
      <c r="L171" s="48" t="n">
        <v>118</v>
      </c>
      <c r="M171" s="46">
        <f>N171-SUM(C171:L171)</f>
        <v/>
      </c>
      <c r="N171" s="49" t="n">
        <v>2483</v>
      </c>
      <c r="O171" s="48" t="n">
        <v>114</v>
      </c>
      <c r="P171" s="48" t="n">
        <v>4</v>
      </c>
      <c r="Q171" s="48" t="n">
        <v>340</v>
      </c>
      <c r="R171" s="48" t="n">
        <v>401</v>
      </c>
      <c r="S171" s="48" t="n">
        <v>129</v>
      </c>
      <c r="T171" s="48" t="n">
        <v>175</v>
      </c>
      <c r="U171" s="48" t="n">
        <v>110</v>
      </c>
      <c r="V171" s="48" t="n"/>
      <c r="W171" s="48" t="n">
        <v>579</v>
      </c>
      <c r="X171" s="48" t="n">
        <v>543</v>
      </c>
      <c r="Y171" s="48" t="n">
        <v>88</v>
      </c>
    </row>
    <row r="172">
      <c r="A172" s="78" t="n">
        <v>46251</v>
      </c>
      <c r="B172" s="45" t="inlineStr">
        <is>
          <t>N7</t>
        </is>
      </c>
      <c r="C172" s="48" t="n">
        <v>142</v>
      </c>
      <c r="D172" s="48" t="n">
        <v>199</v>
      </c>
      <c r="E172" s="48" t="n">
        <v>212</v>
      </c>
      <c r="F172" s="48" t="n">
        <v>300</v>
      </c>
      <c r="G172" s="48" t="n">
        <v>202</v>
      </c>
      <c r="H172" s="48" t="n">
        <v>132</v>
      </c>
      <c r="I172" s="48" t="n">
        <v>147</v>
      </c>
      <c r="J172" s="48" t="n">
        <v>145</v>
      </c>
      <c r="K172" s="48" t="n">
        <v>410</v>
      </c>
      <c r="L172" s="48" t="n">
        <v>104</v>
      </c>
      <c r="M172" s="46">
        <f>N172-SUM(C172:L172)</f>
        <v/>
      </c>
      <c r="N172" s="49" t="n">
        <v>2190</v>
      </c>
      <c r="O172" s="48" t="n">
        <v>99</v>
      </c>
      <c r="P172" s="48" t="n">
        <v>3</v>
      </c>
      <c r="Q172" s="48" t="n">
        <v>296</v>
      </c>
      <c r="R172" s="48" t="n">
        <v>348</v>
      </c>
      <c r="S172" s="48" t="n">
        <v>112</v>
      </c>
      <c r="T172" s="48" t="n">
        <v>152</v>
      </c>
      <c r="U172" s="48" t="n">
        <v>96</v>
      </c>
      <c r="V172" s="48" t="n"/>
      <c r="W172" s="48" t="n">
        <v>504</v>
      </c>
      <c r="X172" s="48" t="n">
        <v>492</v>
      </c>
      <c r="Y172" s="48" t="n">
        <v>88</v>
      </c>
    </row>
    <row r="173">
      <c r="A173" s="78" t="n">
        <v>46252</v>
      </c>
      <c r="B173" s="45" t="inlineStr">
        <is>
          <t>N7</t>
        </is>
      </c>
      <c r="C173" s="48" t="n">
        <v>141</v>
      </c>
      <c r="D173" s="48" t="n">
        <v>198</v>
      </c>
      <c r="E173" s="48" t="n">
        <v>211</v>
      </c>
      <c r="F173" s="48" t="n">
        <v>297</v>
      </c>
      <c r="G173" s="48" t="n">
        <v>201</v>
      </c>
      <c r="H173" s="48" t="n">
        <v>130</v>
      </c>
      <c r="I173" s="48" t="n">
        <v>146</v>
      </c>
      <c r="J173" s="48" t="n">
        <v>143</v>
      </c>
      <c r="K173" s="48" t="n">
        <v>407</v>
      </c>
      <c r="L173" s="48" t="n">
        <v>103</v>
      </c>
      <c r="M173" s="46">
        <f>N173-SUM(C173:L173)</f>
        <v/>
      </c>
      <c r="N173" s="49" t="n">
        <v>2173</v>
      </c>
      <c r="O173" s="48" t="n">
        <v>99</v>
      </c>
      <c r="P173" s="48" t="n">
        <v>3</v>
      </c>
      <c r="Q173" s="48" t="n">
        <v>296</v>
      </c>
      <c r="R173" s="48" t="n">
        <v>348</v>
      </c>
      <c r="S173" s="48" t="n">
        <v>112</v>
      </c>
      <c r="T173" s="48" t="n">
        <v>152</v>
      </c>
      <c r="U173" s="48" t="n">
        <v>96</v>
      </c>
      <c r="V173" s="48" t="n"/>
      <c r="W173" s="48" t="n">
        <v>504</v>
      </c>
      <c r="X173" s="48" t="n">
        <v>475</v>
      </c>
      <c r="Y173" s="48" t="n">
        <v>88</v>
      </c>
    </row>
    <row r="174">
      <c r="A174" s="78" t="n">
        <v>46253</v>
      </c>
      <c r="B174" s="45" t="inlineStr">
        <is>
          <t>N7</t>
        </is>
      </c>
      <c r="C174" s="48" t="n">
        <v>140</v>
      </c>
      <c r="D174" s="48" t="n">
        <v>197</v>
      </c>
      <c r="E174" s="48" t="n">
        <v>210</v>
      </c>
      <c r="F174" s="48" t="n">
        <v>296</v>
      </c>
      <c r="G174" s="48" t="n">
        <v>200</v>
      </c>
      <c r="H174" s="48" t="n">
        <v>130</v>
      </c>
      <c r="I174" s="48" t="n">
        <v>146</v>
      </c>
      <c r="J174" s="48" t="n">
        <v>143</v>
      </c>
      <c r="K174" s="48" t="n">
        <v>406</v>
      </c>
      <c r="L174" s="48" t="n">
        <v>103</v>
      </c>
      <c r="M174" s="46">
        <f>N174-SUM(C174:L174)</f>
        <v/>
      </c>
      <c r="N174" s="49" t="n">
        <v>2165</v>
      </c>
      <c r="O174" s="48" t="n">
        <v>99</v>
      </c>
      <c r="P174" s="48" t="n">
        <v>3</v>
      </c>
      <c r="Q174" s="48" t="n">
        <v>296</v>
      </c>
      <c r="R174" s="48" t="n">
        <v>348</v>
      </c>
      <c r="S174" s="48" t="n">
        <v>112</v>
      </c>
      <c r="T174" s="48" t="n">
        <v>152</v>
      </c>
      <c r="U174" s="48" t="n">
        <v>96</v>
      </c>
      <c r="V174" s="48" t="n"/>
      <c r="W174" s="48" t="n">
        <v>504</v>
      </c>
      <c r="X174" s="48" t="n">
        <v>467</v>
      </c>
      <c r="Y174" s="48" t="n">
        <v>88</v>
      </c>
    </row>
    <row r="175">
      <c r="A175" s="78" t="n">
        <v>46254</v>
      </c>
      <c r="B175" s="45" t="inlineStr">
        <is>
          <t>N7</t>
        </is>
      </c>
      <c r="C175" s="48" t="n">
        <v>143</v>
      </c>
      <c r="D175" s="48" t="n">
        <v>201</v>
      </c>
      <c r="E175" s="48" t="n">
        <v>214</v>
      </c>
      <c r="F175" s="48" t="n">
        <v>301</v>
      </c>
      <c r="G175" s="48" t="n">
        <v>204</v>
      </c>
      <c r="H175" s="48" t="n">
        <v>132</v>
      </c>
      <c r="I175" s="48" t="n">
        <v>148</v>
      </c>
      <c r="J175" s="48" t="n">
        <v>146</v>
      </c>
      <c r="K175" s="48" t="n">
        <v>413</v>
      </c>
      <c r="L175" s="48" t="n">
        <v>105</v>
      </c>
      <c r="M175" s="46">
        <f>N175-SUM(C175:L175)</f>
        <v/>
      </c>
      <c r="N175" s="49" t="n">
        <v>2205</v>
      </c>
      <c r="O175" s="48" t="n">
        <v>99</v>
      </c>
      <c r="P175" s="48" t="n">
        <v>3</v>
      </c>
      <c r="Q175" s="48" t="n">
        <v>296</v>
      </c>
      <c r="R175" s="48" t="n">
        <v>348</v>
      </c>
      <c r="S175" s="48" t="n">
        <v>112</v>
      </c>
      <c r="T175" s="48" t="n">
        <v>152</v>
      </c>
      <c r="U175" s="48" t="n">
        <v>96</v>
      </c>
      <c r="V175" s="48" t="n"/>
      <c r="W175" s="48" t="n">
        <v>504</v>
      </c>
      <c r="X175" s="48" t="n">
        <v>507</v>
      </c>
      <c r="Y175" s="48" t="n">
        <v>88</v>
      </c>
    </row>
    <row r="176">
      <c r="A176" s="78" t="n">
        <v>46255</v>
      </c>
      <c r="B176" s="45" t="inlineStr">
        <is>
          <t>N7</t>
        </is>
      </c>
      <c r="C176" s="48" t="n">
        <v>140</v>
      </c>
      <c r="D176" s="48" t="n">
        <v>198</v>
      </c>
      <c r="E176" s="48" t="n">
        <v>210</v>
      </c>
      <c r="F176" s="48" t="n">
        <v>296</v>
      </c>
      <c r="G176" s="48" t="n">
        <v>200</v>
      </c>
      <c r="H176" s="48" t="n">
        <v>130</v>
      </c>
      <c r="I176" s="48" t="n">
        <v>146</v>
      </c>
      <c r="J176" s="48" t="n">
        <v>143</v>
      </c>
      <c r="K176" s="48" t="n">
        <v>406</v>
      </c>
      <c r="L176" s="48" t="n">
        <v>103</v>
      </c>
      <c r="M176" s="46">
        <f>N176-SUM(C176:L176)</f>
        <v/>
      </c>
      <c r="N176" s="49" t="n">
        <v>2169</v>
      </c>
      <c r="O176" s="48" t="n">
        <v>99</v>
      </c>
      <c r="P176" s="48" t="n">
        <v>3</v>
      </c>
      <c r="Q176" s="48" t="n">
        <v>296</v>
      </c>
      <c r="R176" s="48" t="n">
        <v>348</v>
      </c>
      <c r="S176" s="48" t="n">
        <v>112</v>
      </c>
      <c r="T176" s="48" t="n">
        <v>152</v>
      </c>
      <c r="U176" s="48" t="n">
        <v>96</v>
      </c>
      <c r="V176" s="48" t="n"/>
      <c r="W176" s="48" t="n">
        <v>504</v>
      </c>
      <c r="X176" s="48" t="n">
        <v>559</v>
      </c>
      <c r="Y176" s="48" t="n">
        <v>0</v>
      </c>
    </row>
    <row r="177">
      <c r="A177" s="78" t="n">
        <v>46256</v>
      </c>
      <c r="B177" s="45" t="inlineStr">
        <is>
          <t>N7</t>
        </is>
      </c>
      <c r="C177" s="48" t="n">
        <v>157</v>
      </c>
      <c r="D177" s="48" t="n">
        <v>221</v>
      </c>
      <c r="E177" s="48" t="n">
        <v>236</v>
      </c>
      <c r="F177" s="48" t="n">
        <v>332</v>
      </c>
      <c r="G177" s="48" t="n">
        <v>224</v>
      </c>
      <c r="H177" s="48" t="n">
        <v>146</v>
      </c>
      <c r="I177" s="48" t="n">
        <v>163</v>
      </c>
      <c r="J177" s="48" t="n">
        <v>160</v>
      </c>
      <c r="K177" s="48" t="n">
        <v>455</v>
      </c>
      <c r="L177" s="48" t="n">
        <v>115</v>
      </c>
      <c r="M177" s="46">
        <f>N177-SUM(C177:L177)</f>
        <v/>
      </c>
      <c r="N177" s="49" t="n">
        <v>2428</v>
      </c>
      <c r="O177" s="48" t="n">
        <v>114</v>
      </c>
      <c r="P177" s="48" t="n">
        <v>4</v>
      </c>
      <c r="Q177" s="48" t="n">
        <v>340</v>
      </c>
      <c r="R177" s="48" t="n">
        <v>401</v>
      </c>
      <c r="S177" s="48" t="n">
        <v>129</v>
      </c>
      <c r="T177" s="48" t="n">
        <v>175</v>
      </c>
      <c r="U177" s="48" t="n">
        <v>110</v>
      </c>
      <c r="V177" s="48" t="n"/>
      <c r="W177" s="48" t="n">
        <v>579</v>
      </c>
      <c r="X177" s="48" t="n">
        <v>576</v>
      </c>
      <c r="Y177" s="48" t="n">
        <v>0</v>
      </c>
    </row>
    <row r="178">
      <c r="A178" s="78" t="n">
        <v>46257</v>
      </c>
      <c r="B178" s="45" t="inlineStr">
        <is>
          <t>N7</t>
        </is>
      </c>
      <c r="C178" s="48" t="n">
        <v>167</v>
      </c>
      <c r="D178" s="48" t="n">
        <v>235</v>
      </c>
      <c r="E178" s="48" t="n">
        <v>250</v>
      </c>
      <c r="F178" s="48" t="n">
        <v>353</v>
      </c>
      <c r="G178" s="48" t="n">
        <v>240</v>
      </c>
      <c r="H178" s="48" t="n">
        <v>155</v>
      </c>
      <c r="I178" s="48" t="n">
        <v>174</v>
      </c>
      <c r="J178" s="48" t="n">
        <v>170</v>
      </c>
      <c r="K178" s="48" t="n">
        <v>484</v>
      </c>
      <c r="L178" s="48" t="n">
        <v>123</v>
      </c>
      <c r="M178" s="46">
        <f>N178-SUM(C178:L178)</f>
        <v/>
      </c>
      <c r="N178" s="49" t="n">
        <v>2582</v>
      </c>
      <c r="O178" s="48" t="n">
        <v>114</v>
      </c>
      <c r="P178" s="48" t="n">
        <v>4</v>
      </c>
      <c r="Q178" s="48" t="n">
        <v>340</v>
      </c>
      <c r="R178" s="48" t="n">
        <v>401</v>
      </c>
      <c r="S178" s="48" t="n">
        <v>129</v>
      </c>
      <c r="T178" s="48" t="n">
        <v>175</v>
      </c>
      <c r="U178" s="48" t="n">
        <v>110</v>
      </c>
      <c r="V178" s="48" t="n"/>
      <c r="W178" s="48" t="n">
        <v>579</v>
      </c>
      <c r="X178" s="48" t="n">
        <v>642</v>
      </c>
      <c r="Y178" s="48" t="n">
        <v>88</v>
      </c>
    </row>
    <row r="179">
      <c r="A179" s="78" t="n">
        <v>46258</v>
      </c>
      <c r="B179" s="45" t="inlineStr">
        <is>
          <t>N7</t>
        </is>
      </c>
      <c r="C179" s="48" t="n">
        <v>152</v>
      </c>
      <c r="D179" s="48" t="n">
        <v>215</v>
      </c>
      <c r="E179" s="48" t="n">
        <v>229</v>
      </c>
      <c r="F179" s="48" t="n">
        <v>322</v>
      </c>
      <c r="G179" s="48" t="n">
        <v>218</v>
      </c>
      <c r="H179" s="48" t="n">
        <v>142</v>
      </c>
      <c r="I179" s="48" t="n">
        <v>159</v>
      </c>
      <c r="J179" s="48" t="n">
        <v>156</v>
      </c>
      <c r="K179" s="48" t="n">
        <v>442</v>
      </c>
      <c r="L179" s="48" t="n">
        <v>112</v>
      </c>
      <c r="M179" s="46">
        <f>N179-SUM(C179:L179)</f>
        <v/>
      </c>
      <c r="N179" s="49" t="n">
        <v>2358</v>
      </c>
      <c r="O179" s="48" t="n">
        <v>99</v>
      </c>
      <c r="P179" s="48" t="n">
        <v>3</v>
      </c>
      <c r="Q179" s="48" t="n">
        <v>296</v>
      </c>
      <c r="R179" s="48" t="n">
        <v>348</v>
      </c>
      <c r="S179" s="48" t="n">
        <v>112</v>
      </c>
      <c r="T179" s="48" t="n">
        <v>152</v>
      </c>
      <c r="U179" s="48" t="n">
        <v>96</v>
      </c>
      <c r="V179" s="48" t="n"/>
      <c r="W179" s="48" t="n">
        <v>504</v>
      </c>
      <c r="X179" s="48" t="n">
        <v>660</v>
      </c>
      <c r="Y179" s="48" t="n">
        <v>88</v>
      </c>
    </row>
    <row r="180">
      <c r="A180" s="78" t="n">
        <v>46259</v>
      </c>
      <c r="B180" s="45" t="inlineStr">
        <is>
          <t>N7</t>
        </is>
      </c>
      <c r="C180" s="48" t="n">
        <v>153</v>
      </c>
      <c r="D180" s="48" t="n">
        <v>215</v>
      </c>
      <c r="E180" s="48" t="n">
        <v>230</v>
      </c>
      <c r="F180" s="48" t="n">
        <v>323</v>
      </c>
      <c r="G180" s="48" t="n">
        <v>220</v>
      </c>
      <c r="H180" s="48" t="n">
        <v>142</v>
      </c>
      <c r="I180" s="48" t="n">
        <v>159</v>
      </c>
      <c r="J180" s="48" t="n">
        <v>156</v>
      </c>
      <c r="K180" s="48" t="n">
        <v>443</v>
      </c>
      <c r="L180" s="48" t="n">
        <v>112</v>
      </c>
      <c r="M180" s="46">
        <f>N180-SUM(C180:L180)</f>
        <v/>
      </c>
      <c r="N180" s="49" t="n">
        <v>2366</v>
      </c>
      <c r="O180" s="48" t="n">
        <v>99</v>
      </c>
      <c r="P180" s="48" t="n">
        <v>3</v>
      </c>
      <c r="Q180" s="48" t="n">
        <v>296</v>
      </c>
      <c r="R180" s="48" t="n">
        <v>348</v>
      </c>
      <c r="S180" s="48" t="n">
        <v>112</v>
      </c>
      <c r="T180" s="48" t="n">
        <v>152</v>
      </c>
      <c r="U180" s="48" t="n">
        <v>96</v>
      </c>
      <c r="V180" s="48" t="n"/>
      <c r="W180" s="48" t="n">
        <v>504</v>
      </c>
      <c r="X180" s="48" t="n">
        <v>669</v>
      </c>
      <c r="Y180" s="48" t="n">
        <v>87</v>
      </c>
    </row>
    <row r="181">
      <c r="A181" s="78" t="n">
        <v>46260</v>
      </c>
      <c r="B181" s="45" t="inlineStr">
        <is>
          <t>N7</t>
        </is>
      </c>
      <c r="C181" s="48" t="n">
        <v>143</v>
      </c>
      <c r="D181" s="48" t="n">
        <v>202</v>
      </c>
      <c r="E181" s="48" t="n">
        <v>215</v>
      </c>
      <c r="F181" s="48" t="n">
        <v>302</v>
      </c>
      <c r="G181" s="48" t="n">
        <v>204</v>
      </c>
      <c r="H181" s="48" t="n">
        <v>133</v>
      </c>
      <c r="I181" s="48" t="n">
        <v>150</v>
      </c>
      <c r="J181" s="48" t="n">
        <v>146</v>
      </c>
      <c r="K181" s="48" t="n">
        <v>415</v>
      </c>
      <c r="L181" s="48" t="n">
        <v>105</v>
      </c>
      <c r="M181" s="46">
        <f>N181-SUM(C181:L181)</f>
        <v/>
      </c>
      <c r="N181" s="49" t="n">
        <v>2212</v>
      </c>
      <c r="O181" s="48" t="n">
        <v>99</v>
      </c>
      <c r="P181" s="48" t="n">
        <v>3</v>
      </c>
      <c r="Q181" s="48" t="n">
        <v>296</v>
      </c>
      <c r="R181" s="48" t="n">
        <v>349</v>
      </c>
      <c r="S181" s="48" t="n">
        <v>112</v>
      </c>
      <c r="T181" s="48" t="n">
        <v>153</v>
      </c>
      <c r="U181" s="48" t="n">
        <v>96</v>
      </c>
      <c r="V181" s="48" t="n"/>
      <c r="W181" s="48" t="n">
        <v>504</v>
      </c>
      <c r="X181" s="48" t="n">
        <v>513</v>
      </c>
      <c r="Y181" s="48" t="n">
        <v>87</v>
      </c>
    </row>
    <row r="182">
      <c r="A182" s="78" t="n">
        <v>46261</v>
      </c>
      <c r="B182" s="45" t="inlineStr">
        <is>
          <t>N7</t>
        </is>
      </c>
      <c r="C182" s="48" t="n">
        <v>144</v>
      </c>
      <c r="D182" s="48" t="n">
        <v>202</v>
      </c>
      <c r="E182" s="48" t="n">
        <v>215</v>
      </c>
      <c r="F182" s="48" t="n">
        <v>303</v>
      </c>
      <c r="G182" s="48" t="n">
        <v>205</v>
      </c>
      <c r="H182" s="48" t="n">
        <v>133</v>
      </c>
      <c r="I182" s="48" t="n">
        <v>149</v>
      </c>
      <c r="J182" s="48" t="n">
        <v>146</v>
      </c>
      <c r="K182" s="48" t="n">
        <v>416</v>
      </c>
      <c r="L182" s="48" t="n">
        <v>105</v>
      </c>
      <c r="M182" s="46">
        <f>N182-SUM(C182:L182)</f>
        <v/>
      </c>
      <c r="N182" s="49" t="n">
        <v>2219</v>
      </c>
      <c r="O182" s="48" t="n">
        <v>99</v>
      </c>
      <c r="P182" s="48" t="n">
        <v>3</v>
      </c>
      <c r="Q182" s="48" t="n">
        <v>296</v>
      </c>
      <c r="R182" s="48" t="n">
        <v>349</v>
      </c>
      <c r="S182" s="48" t="n">
        <v>113</v>
      </c>
      <c r="T182" s="48" t="n">
        <v>153</v>
      </c>
      <c r="U182" s="48" t="n">
        <v>96</v>
      </c>
      <c r="V182" s="48" t="n"/>
      <c r="W182" s="48" t="n">
        <v>504</v>
      </c>
      <c r="X182" s="48" t="n">
        <v>519</v>
      </c>
      <c r="Y182" s="48" t="n">
        <v>87</v>
      </c>
    </row>
    <row r="183">
      <c r="A183" s="78" t="n">
        <v>46262</v>
      </c>
      <c r="B183" s="45" t="inlineStr">
        <is>
          <t>N7</t>
        </is>
      </c>
      <c r="C183" s="48" t="n">
        <v>135</v>
      </c>
      <c r="D183" s="48" t="n">
        <v>191</v>
      </c>
      <c r="E183" s="48" t="n">
        <v>203</v>
      </c>
      <c r="F183" s="48" t="n">
        <v>286</v>
      </c>
      <c r="G183" s="48" t="n">
        <v>193</v>
      </c>
      <c r="H183" s="48" t="n">
        <v>126</v>
      </c>
      <c r="I183" s="48" t="n">
        <v>141</v>
      </c>
      <c r="J183" s="48" t="n">
        <v>138</v>
      </c>
      <c r="K183" s="48" t="n">
        <v>392</v>
      </c>
      <c r="L183" s="48" t="n">
        <v>100</v>
      </c>
      <c r="M183" s="46">
        <f>N183-SUM(C183:L183)</f>
        <v/>
      </c>
      <c r="N183" s="49" t="n">
        <v>2093</v>
      </c>
      <c r="O183" s="48" t="n">
        <v>99</v>
      </c>
      <c r="P183" s="48" t="n">
        <v>3</v>
      </c>
      <c r="Q183" s="48" t="n">
        <v>296</v>
      </c>
      <c r="R183" s="48" t="n">
        <v>349</v>
      </c>
      <c r="S183" s="48" t="n">
        <v>113</v>
      </c>
      <c r="T183" s="48" t="n">
        <v>153</v>
      </c>
      <c r="U183" s="48" t="n">
        <v>96</v>
      </c>
      <c r="V183" s="48" t="n"/>
      <c r="W183" s="48" t="n">
        <v>504</v>
      </c>
      <c r="X183" s="48" t="n">
        <v>480</v>
      </c>
      <c r="Y183" s="48" t="n">
        <v>0</v>
      </c>
    </row>
    <row r="184">
      <c r="A184" s="78" t="n">
        <v>46263</v>
      </c>
      <c r="B184" s="45" t="inlineStr">
        <is>
          <t>N7</t>
        </is>
      </c>
      <c r="C184" s="48" t="n">
        <v>152</v>
      </c>
      <c r="D184" s="48" t="n">
        <v>215</v>
      </c>
      <c r="E184" s="48" t="n">
        <v>230</v>
      </c>
      <c r="F184" s="48" t="n">
        <v>322</v>
      </c>
      <c r="G184" s="48" t="n">
        <v>218</v>
      </c>
      <c r="H184" s="48" t="n">
        <v>142</v>
      </c>
      <c r="I184" s="48" t="n">
        <v>159</v>
      </c>
      <c r="J184" s="48" t="n">
        <v>156</v>
      </c>
      <c r="K184" s="48" t="n">
        <v>442</v>
      </c>
      <c r="L184" s="48" t="n">
        <v>112</v>
      </c>
      <c r="M184" s="46">
        <f>N184-SUM(C184:L184)</f>
        <v/>
      </c>
      <c r="N184" s="49" t="n">
        <v>2357</v>
      </c>
      <c r="O184" s="48" t="n">
        <v>114</v>
      </c>
      <c r="P184" s="48" t="n">
        <v>4</v>
      </c>
      <c r="Q184" s="48" t="n">
        <v>340</v>
      </c>
      <c r="R184" s="48" t="n">
        <v>402</v>
      </c>
      <c r="S184" s="48" t="n">
        <v>130</v>
      </c>
      <c r="T184" s="48" t="n">
        <v>176</v>
      </c>
      <c r="U184" s="48" t="n">
        <v>110</v>
      </c>
      <c r="V184" s="48" t="n"/>
      <c r="W184" s="48" t="n">
        <v>579</v>
      </c>
      <c r="X184" s="48" t="n">
        <v>502</v>
      </c>
      <c r="Y184" s="48" t="n">
        <v>0</v>
      </c>
    </row>
    <row r="185">
      <c r="A185" s="78" t="n">
        <v>46264</v>
      </c>
      <c r="B185" s="45" t="inlineStr">
        <is>
          <t>N7</t>
        </is>
      </c>
      <c r="C185" s="48" t="n">
        <v>154</v>
      </c>
      <c r="D185" s="48" t="n">
        <v>217</v>
      </c>
      <c r="E185" s="48" t="n">
        <v>232</v>
      </c>
      <c r="F185" s="48" t="n">
        <v>326</v>
      </c>
      <c r="G185" s="48" t="n">
        <v>220</v>
      </c>
      <c r="H185" s="48" t="n">
        <v>143</v>
      </c>
      <c r="I185" s="48" t="n">
        <v>160</v>
      </c>
      <c r="J185" s="48" t="n">
        <v>157</v>
      </c>
      <c r="K185" s="48" t="n">
        <v>447</v>
      </c>
      <c r="L185" s="48" t="n">
        <v>113</v>
      </c>
      <c r="M185" s="46">
        <f>N185-SUM(C185:L185)</f>
        <v/>
      </c>
      <c r="N185" s="49" t="n">
        <v>2383</v>
      </c>
      <c r="O185" s="48" t="n">
        <v>114</v>
      </c>
      <c r="P185" s="48" t="n">
        <v>4</v>
      </c>
      <c r="Q185" s="48" t="n">
        <v>340</v>
      </c>
      <c r="R185" s="48" t="n">
        <v>402</v>
      </c>
      <c r="S185" s="48" t="n">
        <v>130</v>
      </c>
      <c r="T185" s="48" t="n">
        <v>176</v>
      </c>
      <c r="U185" s="48" t="n">
        <v>111</v>
      </c>
      <c r="V185" s="48" t="n"/>
      <c r="W185" s="48" t="n">
        <v>579</v>
      </c>
      <c r="X185" s="48" t="n">
        <v>440</v>
      </c>
      <c r="Y185" s="48" t="n">
        <v>87</v>
      </c>
    </row>
    <row r="186">
      <c r="A186" s="78" t="n">
        <v>46265</v>
      </c>
      <c r="B186" s="45" t="inlineStr">
        <is>
          <t>N7</t>
        </is>
      </c>
      <c r="C186" s="48" t="n">
        <v>135</v>
      </c>
      <c r="D186" s="48" t="n">
        <v>191</v>
      </c>
      <c r="E186" s="48" t="n">
        <v>203</v>
      </c>
      <c r="F186" s="48" t="n">
        <v>286</v>
      </c>
      <c r="G186" s="48" t="n">
        <v>193</v>
      </c>
      <c r="H186" s="48" t="n">
        <v>126</v>
      </c>
      <c r="I186" s="48" t="n">
        <v>141</v>
      </c>
      <c r="J186" s="48" t="n">
        <v>138</v>
      </c>
      <c r="K186" s="48" t="n">
        <v>392</v>
      </c>
      <c r="L186" s="48" t="n">
        <v>100</v>
      </c>
      <c r="M186" s="46">
        <f>N186-SUM(C186:L186)</f>
        <v/>
      </c>
      <c r="N186" s="49" t="n">
        <v>2092</v>
      </c>
      <c r="O186" s="48" t="n">
        <v>99</v>
      </c>
      <c r="P186" s="48" t="n">
        <v>3</v>
      </c>
      <c r="Q186" s="48" t="n">
        <v>296</v>
      </c>
      <c r="R186" s="48" t="n">
        <v>349</v>
      </c>
      <c r="S186" s="48" t="n">
        <v>113</v>
      </c>
      <c r="T186" s="48" t="n">
        <v>153</v>
      </c>
      <c r="U186" s="48" t="n">
        <v>97</v>
      </c>
      <c r="V186" s="48" t="n"/>
      <c r="W186" s="48" t="n">
        <v>504</v>
      </c>
      <c r="X186" s="48" t="n">
        <v>391</v>
      </c>
      <c r="Y186" s="48" t="n">
        <v>87</v>
      </c>
    </row>
    <row r="187">
      <c r="A187" s="78" t="n">
        <v>46266</v>
      </c>
      <c r="B187" s="45" t="inlineStr">
        <is>
          <t>N7</t>
        </is>
      </c>
      <c r="C187" s="48" t="n">
        <v>380</v>
      </c>
      <c r="D187" s="48" t="n">
        <v>457</v>
      </c>
      <c r="E187" s="48" t="n">
        <v>392</v>
      </c>
      <c r="F187" s="48" t="n">
        <v>653</v>
      </c>
      <c r="G187" s="48" t="n">
        <v>513</v>
      </c>
      <c r="H187" s="48" t="n">
        <v>349</v>
      </c>
      <c r="I187" s="48" t="n">
        <v>349</v>
      </c>
      <c r="J187" s="48" t="n">
        <v>307</v>
      </c>
      <c r="K187" s="48" t="n">
        <v>983</v>
      </c>
      <c r="L187" s="48" t="n">
        <v>199</v>
      </c>
      <c r="M187" s="46">
        <f>N187-SUM(C187:L187)</f>
        <v/>
      </c>
      <c r="N187" s="49" t="n">
        <v>4927</v>
      </c>
      <c r="O187" s="48" t="n">
        <v>158</v>
      </c>
      <c r="P187" s="48" t="n">
        <v>4</v>
      </c>
      <c r="Q187" s="48" t="n">
        <v>563</v>
      </c>
      <c r="R187" s="48" t="n">
        <v>1002</v>
      </c>
      <c r="S187" s="48" t="n">
        <v>210</v>
      </c>
      <c r="T187" s="48" t="n">
        <v>313</v>
      </c>
      <c r="U187" s="48" t="n">
        <v>49</v>
      </c>
      <c r="V187" s="48" t="n">
        <v>117</v>
      </c>
      <c r="W187" s="48" t="n">
        <v>838</v>
      </c>
      <c r="X187" s="48" t="n">
        <v>1523</v>
      </c>
      <c r="Y187" s="48" t="n">
        <v>150</v>
      </c>
    </row>
    <row r="188">
      <c r="A188" s="78" t="n">
        <v>46267</v>
      </c>
      <c r="B188" s="45" t="inlineStr">
        <is>
          <t>N7</t>
        </is>
      </c>
      <c r="C188" s="48" t="n">
        <v>380</v>
      </c>
      <c r="D188" s="48" t="n">
        <v>457</v>
      </c>
      <c r="E188" s="48" t="n">
        <v>392</v>
      </c>
      <c r="F188" s="48" t="n">
        <v>653</v>
      </c>
      <c r="G188" s="48" t="n">
        <v>513</v>
      </c>
      <c r="H188" s="48" t="n">
        <v>349</v>
      </c>
      <c r="I188" s="48" t="n">
        <v>349</v>
      </c>
      <c r="J188" s="48" t="n">
        <v>307</v>
      </c>
      <c r="K188" s="48" t="n">
        <v>983</v>
      </c>
      <c r="L188" s="48" t="n">
        <v>199</v>
      </c>
      <c r="M188" s="46">
        <f>N188-SUM(C188:L188)</f>
        <v/>
      </c>
      <c r="N188" s="49" t="n">
        <v>4927</v>
      </c>
      <c r="O188" s="48" t="n">
        <v>158</v>
      </c>
      <c r="P188" s="48" t="n">
        <v>4</v>
      </c>
      <c r="Q188" s="48" t="n">
        <v>563</v>
      </c>
      <c r="R188" s="48" t="n">
        <v>1002</v>
      </c>
      <c r="S188" s="48" t="n">
        <v>210</v>
      </c>
      <c r="T188" s="48" t="n">
        <v>313</v>
      </c>
      <c r="U188" s="48" t="n">
        <v>49</v>
      </c>
      <c r="V188" s="48" t="n">
        <v>117</v>
      </c>
      <c r="W188" s="48" t="n">
        <v>838</v>
      </c>
      <c r="X188" s="48" t="n">
        <v>1523</v>
      </c>
      <c r="Y188" s="48" t="n">
        <v>150</v>
      </c>
    </row>
    <row r="189">
      <c r="A189" s="78" t="n">
        <v>46268</v>
      </c>
      <c r="B189" s="45" t="inlineStr">
        <is>
          <t>N7</t>
        </is>
      </c>
      <c r="C189" s="48" t="n">
        <v>380</v>
      </c>
      <c r="D189" s="48" t="n">
        <v>458</v>
      </c>
      <c r="E189" s="48" t="n">
        <v>392</v>
      </c>
      <c r="F189" s="48" t="n">
        <v>653</v>
      </c>
      <c r="G189" s="48" t="n">
        <v>513</v>
      </c>
      <c r="H189" s="48" t="n">
        <v>349</v>
      </c>
      <c r="I189" s="48" t="n">
        <v>349</v>
      </c>
      <c r="J189" s="48" t="n">
        <v>307</v>
      </c>
      <c r="K189" s="48" t="n">
        <v>984</v>
      </c>
      <c r="L189" s="48" t="n">
        <v>199</v>
      </c>
      <c r="M189" s="46">
        <f>N189-SUM(C189:L189)</f>
        <v/>
      </c>
      <c r="N189" s="49" t="n">
        <v>4928</v>
      </c>
      <c r="O189" s="48" t="n">
        <v>158</v>
      </c>
      <c r="P189" s="48" t="n">
        <v>4</v>
      </c>
      <c r="Q189" s="48" t="n">
        <v>563</v>
      </c>
      <c r="R189" s="48" t="n">
        <v>1002</v>
      </c>
      <c r="S189" s="48" t="n">
        <v>210</v>
      </c>
      <c r="T189" s="48" t="n">
        <v>313</v>
      </c>
      <c r="U189" s="48" t="n">
        <v>49</v>
      </c>
      <c r="V189" s="48" t="n">
        <v>117</v>
      </c>
      <c r="W189" s="48" t="n">
        <v>838</v>
      </c>
      <c r="X189" s="48" t="n">
        <v>1523</v>
      </c>
      <c r="Y189" s="48" t="n">
        <v>151</v>
      </c>
    </row>
    <row r="190">
      <c r="A190" s="78" t="n">
        <v>46269</v>
      </c>
      <c r="B190" s="45" t="inlineStr">
        <is>
          <t>N7</t>
        </is>
      </c>
      <c r="C190" s="48" t="n">
        <v>380</v>
      </c>
      <c r="D190" s="48" t="n">
        <v>458</v>
      </c>
      <c r="E190" s="48" t="n">
        <v>392</v>
      </c>
      <c r="F190" s="48" t="n">
        <v>653</v>
      </c>
      <c r="G190" s="48" t="n">
        <v>513</v>
      </c>
      <c r="H190" s="48" t="n">
        <v>349</v>
      </c>
      <c r="I190" s="48" t="n">
        <v>349</v>
      </c>
      <c r="J190" s="48" t="n">
        <v>307</v>
      </c>
      <c r="K190" s="48" t="n">
        <v>984</v>
      </c>
      <c r="L190" s="48" t="n">
        <v>199</v>
      </c>
      <c r="M190" s="46">
        <f>N190-SUM(C190:L190)</f>
        <v/>
      </c>
      <c r="N190" s="49" t="n">
        <v>4929</v>
      </c>
      <c r="O190" s="48" t="n">
        <v>158</v>
      </c>
      <c r="P190" s="48" t="n">
        <v>4</v>
      </c>
      <c r="Q190" s="48" t="n">
        <v>563</v>
      </c>
      <c r="R190" s="48" t="n">
        <v>1002</v>
      </c>
      <c r="S190" s="48" t="n">
        <v>210</v>
      </c>
      <c r="T190" s="48" t="n">
        <v>313</v>
      </c>
      <c r="U190" s="48" t="n">
        <v>49</v>
      </c>
      <c r="V190" s="48" t="n">
        <v>117</v>
      </c>
      <c r="W190" s="48" t="n">
        <v>838</v>
      </c>
      <c r="X190" s="48" t="n">
        <v>1524</v>
      </c>
      <c r="Y190" s="48" t="n">
        <v>151</v>
      </c>
    </row>
    <row r="191">
      <c r="A191" s="78" t="n">
        <v>46270</v>
      </c>
      <c r="B191" s="45" t="inlineStr">
        <is>
          <t>N7</t>
        </is>
      </c>
      <c r="C191" s="48" t="n">
        <v>424</v>
      </c>
      <c r="D191" s="48" t="n">
        <v>510</v>
      </c>
      <c r="E191" s="48" t="n">
        <v>437</v>
      </c>
      <c r="F191" s="48" t="n">
        <v>728</v>
      </c>
      <c r="G191" s="48" t="n">
        <v>572</v>
      </c>
      <c r="H191" s="48" t="n">
        <v>390</v>
      </c>
      <c r="I191" s="48" t="n">
        <v>390</v>
      </c>
      <c r="J191" s="48" t="n">
        <v>343</v>
      </c>
      <c r="K191" s="48" t="n">
        <v>1097</v>
      </c>
      <c r="L191" s="48" t="n">
        <v>222</v>
      </c>
      <c r="M191" s="46">
        <f>N191-SUM(C191:L191)</f>
        <v/>
      </c>
      <c r="N191" s="49" t="n">
        <v>5497</v>
      </c>
      <c r="O191" s="48" t="n">
        <v>182</v>
      </c>
      <c r="P191" s="48" t="n">
        <v>4</v>
      </c>
      <c r="Q191" s="48" t="n">
        <v>647</v>
      </c>
      <c r="R191" s="48" t="n">
        <v>1152</v>
      </c>
      <c r="S191" s="48" t="n">
        <v>242</v>
      </c>
      <c r="T191" s="48" t="n">
        <v>360</v>
      </c>
      <c r="U191" s="48" t="n">
        <v>57</v>
      </c>
      <c r="V191" s="48" t="n">
        <v>135</v>
      </c>
      <c r="W191" s="48" t="n">
        <v>965</v>
      </c>
      <c r="X191" s="48" t="n">
        <v>1753</v>
      </c>
      <c r="Y191" s="48" t="n">
        <v>0</v>
      </c>
    </row>
    <row r="192">
      <c r="A192" s="78" t="n">
        <v>46271</v>
      </c>
      <c r="B192" s="45" t="inlineStr">
        <is>
          <t>N7</t>
        </is>
      </c>
      <c r="C192" s="48" t="n">
        <v>424</v>
      </c>
      <c r="D192" s="48" t="n">
        <v>510</v>
      </c>
      <c r="E192" s="48" t="n">
        <v>437</v>
      </c>
      <c r="F192" s="48" t="n">
        <v>728</v>
      </c>
      <c r="G192" s="48" t="n">
        <v>572</v>
      </c>
      <c r="H192" s="48" t="n">
        <v>390</v>
      </c>
      <c r="I192" s="48" t="n">
        <v>390</v>
      </c>
      <c r="J192" s="48" t="n">
        <v>343</v>
      </c>
      <c r="K192" s="48" t="n">
        <v>1097</v>
      </c>
      <c r="L192" s="48" t="n">
        <v>222</v>
      </c>
      <c r="M192" s="46">
        <f>N192-SUM(C192:L192)</f>
        <v/>
      </c>
      <c r="N192" s="49" t="n">
        <v>5498</v>
      </c>
      <c r="O192" s="48" t="n">
        <v>182</v>
      </c>
      <c r="P192" s="48" t="n">
        <v>4</v>
      </c>
      <c r="Q192" s="48" t="n">
        <v>647</v>
      </c>
      <c r="R192" s="48" t="n">
        <v>1153</v>
      </c>
      <c r="S192" s="48" t="n">
        <v>242</v>
      </c>
      <c r="T192" s="48" t="n">
        <v>360</v>
      </c>
      <c r="U192" s="48" t="n">
        <v>57</v>
      </c>
      <c r="V192" s="48" t="n">
        <v>135</v>
      </c>
      <c r="W192" s="48" t="n">
        <v>965</v>
      </c>
      <c r="X192" s="48" t="n">
        <v>1753</v>
      </c>
      <c r="Y192" s="48" t="n">
        <v>0</v>
      </c>
    </row>
    <row r="193">
      <c r="A193" s="78" t="n">
        <v>46272</v>
      </c>
      <c r="B193" s="45" t="inlineStr">
        <is>
          <t>N7</t>
        </is>
      </c>
      <c r="C193" s="48" t="n">
        <v>380</v>
      </c>
      <c r="D193" s="48" t="n">
        <v>458</v>
      </c>
      <c r="E193" s="48" t="n">
        <v>392</v>
      </c>
      <c r="F193" s="48" t="n">
        <v>653</v>
      </c>
      <c r="G193" s="48" t="n">
        <v>513</v>
      </c>
      <c r="H193" s="48" t="n">
        <v>350</v>
      </c>
      <c r="I193" s="48" t="n">
        <v>350</v>
      </c>
      <c r="J193" s="48" t="n">
        <v>308</v>
      </c>
      <c r="K193" s="48" t="n">
        <v>985</v>
      </c>
      <c r="L193" s="48" t="n">
        <v>199</v>
      </c>
      <c r="M193" s="46">
        <f>N193-SUM(C193:L193)</f>
        <v/>
      </c>
      <c r="N193" s="49" t="n">
        <v>4933</v>
      </c>
      <c r="O193" s="48" t="n">
        <v>158</v>
      </c>
      <c r="P193" s="48" t="n">
        <v>4</v>
      </c>
      <c r="Q193" s="48" t="n">
        <v>563</v>
      </c>
      <c r="R193" s="48" t="n">
        <v>1003</v>
      </c>
      <c r="S193" s="48" t="n">
        <v>210</v>
      </c>
      <c r="T193" s="48" t="n">
        <v>314</v>
      </c>
      <c r="U193" s="48" t="n">
        <v>49</v>
      </c>
      <c r="V193" s="48" t="n">
        <v>118</v>
      </c>
      <c r="W193" s="48" t="n">
        <v>839</v>
      </c>
      <c r="X193" s="48" t="n">
        <v>1524</v>
      </c>
      <c r="Y193" s="48" t="n">
        <v>151</v>
      </c>
    </row>
    <row r="194">
      <c r="A194" s="78" t="n">
        <v>46273</v>
      </c>
      <c r="B194" s="45" t="inlineStr">
        <is>
          <t>N7</t>
        </is>
      </c>
      <c r="C194" s="48" t="n">
        <v>380</v>
      </c>
      <c r="D194" s="48" t="n">
        <v>458</v>
      </c>
      <c r="E194" s="48" t="n">
        <v>392</v>
      </c>
      <c r="F194" s="48" t="n">
        <v>653</v>
      </c>
      <c r="G194" s="48" t="n">
        <v>513</v>
      </c>
      <c r="H194" s="48" t="n">
        <v>350</v>
      </c>
      <c r="I194" s="48" t="n">
        <v>350</v>
      </c>
      <c r="J194" s="48" t="n">
        <v>308</v>
      </c>
      <c r="K194" s="48" t="n">
        <v>985</v>
      </c>
      <c r="L194" s="48" t="n">
        <v>199</v>
      </c>
      <c r="M194" s="46">
        <f>N194-SUM(C194:L194)</f>
        <v/>
      </c>
      <c r="N194" s="49" t="n">
        <v>4933</v>
      </c>
      <c r="O194" s="48" t="n">
        <v>158</v>
      </c>
      <c r="P194" s="48" t="n">
        <v>4</v>
      </c>
      <c r="Q194" s="48" t="n">
        <v>563</v>
      </c>
      <c r="R194" s="48" t="n">
        <v>1003</v>
      </c>
      <c r="S194" s="48" t="n">
        <v>210</v>
      </c>
      <c r="T194" s="48" t="n">
        <v>314</v>
      </c>
      <c r="U194" s="48" t="n">
        <v>49</v>
      </c>
      <c r="V194" s="48" t="n">
        <v>118</v>
      </c>
      <c r="W194" s="48" t="n">
        <v>839</v>
      </c>
      <c r="X194" s="48" t="n">
        <v>1524</v>
      </c>
      <c r="Y194" s="48" t="n">
        <v>151</v>
      </c>
    </row>
    <row r="195">
      <c r="A195" s="78" t="n">
        <v>46274</v>
      </c>
      <c r="B195" s="45" t="inlineStr">
        <is>
          <t>N7</t>
        </is>
      </c>
      <c r="C195" s="48" t="n">
        <v>380</v>
      </c>
      <c r="D195" s="48" t="n">
        <v>458</v>
      </c>
      <c r="E195" s="48" t="n">
        <v>392</v>
      </c>
      <c r="F195" s="48" t="n">
        <v>653</v>
      </c>
      <c r="G195" s="48" t="n">
        <v>513</v>
      </c>
      <c r="H195" s="48" t="n">
        <v>350</v>
      </c>
      <c r="I195" s="48" t="n">
        <v>350</v>
      </c>
      <c r="J195" s="48" t="n">
        <v>308</v>
      </c>
      <c r="K195" s="48" t="n">
        <v>985</v>
      </c>
      <c r="L195" s="48" t="n">
        <v>199</v>
      </c>
      <c r="M195" s="46">
        <f>N195-SUM(C195:L195)</f>
        <v/>
      </c>
      <c r="N195" s="49" t="n">
        <v>4933</v>
      </c>
      <c r="O195" s="48" t="n">
        <v>158</v>
      </c>
      <c r="P195" s="48" t="n">
        <v>4</v>
      </c>
      <c r="Q195" s="48" t="n">
        <v>563</v>
      </c>
      <c r="R195" s="48" t="n">
        <v>1003</v>
      </c>
      <c r="S195" s="48" t="n">
        <v>210</v>
      </c>
      <c r="T195" s="48" t="n">
        <v>314</v>
      </c>
      <c r="U195" s="48" t="n">
        <v>49</v>
      </c>
      <c r="V195" s="48" t="n">
        <v>118</v>
      </c>
      <c r="W195" s="48" t="n">
        <v>839</v>
      </c>
      <c r="X195" s="48" t="n">
        <v>1524</v>
      </c>
      <c r="Y195" s="48" t="n">
        <v>151</v>
      </c>
    </row>
    <row r="196">
      <c r="A196" s="78" t="n">
        <v>46275</v>
      </c>
      <c r="B196" s="45" t="inlineStr">
        <is>
          <t>N7</t>
        </is>
      </c>
      <c r="C196" s="50" t="n">
        <v>380</v>
      </c>
      <c r="D196" s="50" t="n">
        <v>458</v>
      </c>
      <c r="E196" s="50" t="n">
        <v>392</v>
      </c>
      <c r="F196" s="50" t="n">
        <v>653</v>
      </c>
      <c r="G196" s="50" t="n">
        <v>513</v>
      </c>
      <c r="H196" s="50" t="n">
        <v>350</v>
      </c>
      <c r="I196" s="50" t="n">
        <v>350</v>
      </c>
      <c r="J196" s="50" t="n">
        <v>308</v>
      </c>
      <c r="K196" s="50" t="n">
        <v>985</v>
      </c>
      <c r="L196" s="50" t="n">
        <v>199</v>
      </c>
      <c r="M196" s="46">
        <f>N196-SUM(C196:L196)</f>
        <v/>
      </c>
      <c r="N196" s="49" t="n">
        <v>4933</v>
      </c>
      <c r="O196" s="50" t="n">
        <v>158</v>
      </c>
      <c r="P196" s="50" t="n">
        <v>4</v>
      </c>
      <c r="Q196" s="50" t="n">
        <v>563</v>
      </c>
      <c r="R196" s="50" t="n">
        <v>1003</v>
      </c>
      <c r="S196" s="50" t="n">
        <v>210</v>
      </c>
      <c r="T196" s="50" t="n">
        <v>314</v>
      </c>
      <c r="U196" s="50" t="n">
        <v>49</v>
      </c>
      <c r="V196" s="50" t="n">
        <v>118</v>
      </c>
      <c r="W196" s="50" t="n">
        <v>839</v>
      </c>
      <c r="X196" s="50" t="n">
        <v>1524</v>
      </c>
      <c r="Y196" s="50" t="n">
        <v>151</v>
      </c>
    </row>
    <row r="197">
      <c r="A197" s="78" t="n">
        <v>46276</v>
      </c>
      <c r="B197" s="45" t="inlineStr">
        <is>
          <t>N7</t>
        </is>
      </c>
      <c r="C197" s="50" t="n">
        <v>380</v>
      </c>
      <c r="D197" s="50" t="n">
        <v>458</v>
      </c>
      <c r="E197" s="50" t="n">
        <v>392</v>
      </c>
      <c r="F197" s="50" t="n">
        <v>653</v>
      </c>
      <c r="G197" s="50" t="n">
        <v>513</v>
      </c>
      <c r="H197" s="50" t="n">
        <v>350</v>
      </c>
      <c r="I197" s="50" t="n">
        <v>350</v>
      </c>
      <c r="J197" s="50" t="n">
        <v>308</v>
      </c>
      <c r="K197" s="50" t="n">
        <v>985</v>
      </c>
      <c r="L197" s="50" t="n">
        <v>199</v>
      </c>
      <c r="M197" s="46">
        <f>N197-SUM(C197:L197)</f>
        <v/>
      </c>
      <c r="N197" s="49" t="n">
        <v>4933</v>
      </c>
      <c r="O197" s="50" t="n">
        <v>158</v>
      </c>
      <c r="P197" s="50" t="n">
        <v>4</v>
      </c>
      <c r="Q197" s="50" t="n">
        <v>563</v>
      </c>
      <c r="R197" s="50" t="n">
        <v>1003</v>
      </c>
      <c r="S197" s="50" t="n">
        <v>210</v>
      </c>
      <c r="T197" s="50" t="n">
        <v>314</v>
      </c>
      <c r="U197" s="50" t="n">
        <v>49</v>
      </c>
      <c r="V197" s="50" t="n">
        <v>118</v>
      </c>
      <c r="W197" s="50" t="n">
        <v>839</v>
      </c>
      <c r="X197" s="50" t="n">
        <v>1524</v>
      </c>
      <c r="Y197" s="50" t="n">
        <v>151</v>
      </c>
    </row>
    <row r="198">
      <c r="A198" s="78" t="n">
        <v>46277</v>
      </c>
      <c r="B198" s="45" t="inlineStr">
        <is>
          <t>N7</t>
        </is>
      </c>
      <c r="C198" s="50" t="n">
        <v>424</v>
      </c>
      <c r="D198" s="50" t="n">
        <v>510</v>
      </c>
      <c r="E198" s="50" t="n">
        <v>437</v>
      </c>
      <c r="F198" s="50" t="n">
        <v>728</v>
      </c>
      <c r="G198" s="50" t="n">
        <v>572</v>
      </c>
      <c r="H198" s="50" t="n">
        <v>390</v>
      </c>
      <c r="I198" s="50" t="n">
        <v>390</v>
      </c>
      <c r="J198" s="50" t="n">
        <v>343</v>
      </c>
      <c r="K198" s="50" t="n">
        <v>1098</v>
      </c>
      <c r="L198" s="50" t="n">
        <v>222</v>
      </c>
      <c r="M198" s="46">
        <f>N198-SUM(C198:L198)</f>
        <v/>
      </c>
      <c r="N198" s="49" t="n">
        <v>5499</v>
      </c>
      <c r="O198" s="50" t="n">
        <v>182</v>
      </c>
      <c r="P198" s="50" t="n">
        <v>4</v>
      </c>
      <c r="Q198" s="50" t="n">
        <v>647</v>
      </c>
      <c r="R198" s="50" t="n">
        <v>1153</v>
      </c>
      <c r="S198" s="50" t="n">
        <v>242</v>
      </c>
      <c r="T198" s="50" t="n">
        <v>361</v>
      </c>
      <c r="U198" s="50" t="n">
        <v>57</v>
      </c>
      <c r="V198" s="50" t="n">
        <v>135</v>
      </c>
      <c r="W198" s="50" t="n">
        <v>965</v>
      </c>
      <c r="X198" s="50" t="n">
        <v>1753</v>
      </c>
      <c r="Y198" s="50" t="n">
        <v>0</v>
      </c>
    </row>
    <row r="199">
      <c r="A199" s="78" t="n">
        <v>46278</v>
      </c>
      <c r="B199" s="45" t="inlineStr">
        <is>
          <t>N7</t>
        </is>
      </c>
      <c r="C199" s="50" t="n">
        <v>424</v>
      </c>
      <c r="D199" s="50" t="n">
        <v>510</v>
      </c>
      <c r="E199" s="50" t="n">
        <v>437</v>
      </c>
      <c r="F199" s="50" t="n">
        <v>728</v>
      </c>
      <c r="G199" s="50" t="n">
        <v>572</v>
      </c>
      <c r="H199" s="50" t="n">
        <v>390</v>
      </c>
      <c r="I199" s="50" t="n">
        <v>390</v>
      </c>
      <c r="J199" s="50" t="n">
        <v>343</v>
      </c>
      <c r="K199" s="50" t="n">
        <v>1098</v>
      </c>
      <c r="L199" s="50" t="n">
        <v>222</v>
      </c>
      <c r="M199" s="46">
        <f>N199-SUM(C199:L199)</f>
        <v/>
      </c>
      <c r="N199" s="49" t="n">
        <v>5499</v>
      </c>
      <c r="O199" s="50" t="n">
        <v>182</v>
      </c>
      <c r="P199" s="50" t="n">
        <v>4</v>
      </c>
      <c r="Q199" s="50" t="n">
        <v>647</v>
      </c>
      <c r="R199" s="50" t="n">
        <v>1153</v>
      </c>
      <c r="S199" s="50" t="n">
        <v>242</v>
      </c>
      <c r="T199" s="50" t="n">
        <v>361</v>
      </c>
      <c r="U199" s="50" t="n">
        <v>57</v>
      </c>
      <c r="V199" s="50" t="n">
        <v>135</v>
      </c>
      <c r="W199" s="50" t="n">
        <v>965</v>
      </c>
      <c r="X199" s="50" t="n">
        <v>1753</v>
      </c>
      <c r="Y199" s="50" t="n">
        <v>0</v>
      </c>
    </row>
    <row r="200">
      <c r="A200" s="78" t="n">
        <v>46279</v>
      </c>
      <c r="B200" s="45" t="inlineStr">
        <is>
          <t>N7</t>
        </is>
      </c>
      <c r="C200" s="50" t="n">
        <v>380</v>
      </c>
      <c r="D200" s="50" t="n">
        <v>458</v>
      </c>
      <c r="E200" s="50" t="n">
        <v>392</v>
      </c>
      <c r="F200" s="50" t="n">
        <v>653</v>
      </c>
      <c r="G200" s="50" t="n">
        <v>513</v>
      </c>
      <c r="H200" s="50" t="n">
        <v>350</v>
      </c>
      <c r="I200" s="50" t="n">
        <v>350</v>
      </c>
      <c r="J200" s="50" t="n">
        <v>308</v>
      </c>
      <c r="K200" s="50" t="n">
        <v>985</v>
      </c>
      <c r="L200" s="50" t="n">
        <v>199</v>
      </c>
      <c r="M200" s="46">
        <f>N200-SUM(C200:L200)</f>
        <v/>
      </c>
      <c r="N200" s="49" t="n">
        <v>4933</v>
      </c>
      <c r="O200" s="50" t="n">
        <v>158</v>
      </c>
      <c r="P200" s="50" t="n">
        <v>4</v>
      </c>
      <c r="Q200" s="50" t="n">
        <v>563</v>
      </c>
      <c r="R200" s="50" t="n">
        <v>1003</v>
      </c>
      <c r="S200" s="50" t="n">
        <v>210</v>
      </c>
      <c r="T200" s="50" t="n">
        <v>314</v>
      </c>
      <c r="U200" s="50" t="n">
        <v>49</v>
      </c>
      <c r="V200" s="50" t="n">
        <v>118</v>
      </c>
      <c r="W200" s="50" t="n">
        <v>839</v>
      </c>
      <c r="X200" s="50" t="n">
        <v>1524</v>
      </c>
      <c r="Y200" s="50" t="n">
        <v>151</v>
      </c>
    </row>
    <row r="201">
      <c r="A201" s="78" t="n">
        <v>46280</v>
      </c>
      <c r="B201" s="45" t="inlineStr">
        <is>
          <t>N7</t>
        </is>
      </c>
      <c r="C201" s="50" t="n">
        <v>380</v>
      </c>
      <c r="D201" s="50" t="n">
        <v>458</v>
      </c>
      <c r="E201" s="50" t="n">
        <v>392</v>
      </c>
      <c r="F201" s="50" t="n">
        <v>653</v>
      </c>
      <c r="G201" s="50" t="n">
        <v>513</v>
      </c>
      <c r="H201" s="50" t="n">
        <v>350</v>
      </c>
      <c r="I201" s="50" t="n">
        <v>350</v>
      </c>
      <c r="J201" s="50" t="n">
        <v>308</v>
      </c>
      <c r="K201" s="50" t="n">
        <v>985</v>
      </c>
      <c r="L201" s="50" t="n">
        <v>199</v>
      </c>
      <c r="M201" s="46">
        <f>N201-SUM(C201:L201)</f>
        <v/>
      </c>
      <c r="N201" s="49" t="n">
        <v>4933</v>
      </c>
      <c r="O201" s="50" t="n">
        <v>158</v>
      </c>
      <c r="P201" s="50" t="n">
        <v>4</v>
      </c>
      <c r="Q201" s="50" t="n">
        <v>563</v>
      </c>
      <c r="R201" s="50" t="n">
        <v>1003</v>
      </c>
      <c r="S201" s="50" t="n">
        <v>210</v>
      </c>
      <c r="T201" s="50" t="n">
        <v>314</v>
      </c>
      <c r="U201" s="50" t="n">
        <v>49</v>
      </c>
      <c r="V201" s="50" t="n">
        <v>118</v>
      </c>
      <c r="W201" s="50" t="n">
        <v>839</v>
      </c>
      <c r="X201" s="50" t="n">
        <v>1524</v>
      </c>
      <c r="Y201" s="50" t="n">
        <v>151</v>
      </c>
    </row>
    <row r="202">
      <c r="A202" s="78" t="n">
        <v>46281</v>
      </c>
      <c r="B202" s="45" t="inlineStr">
        <is>
          <t>N7</t>
        </is>
      </c>
      <c r="C202" s="50" t="n">
        <v>380</v>
      </c>
      <c r="D202" s="50" t="n">
        <v>458</v>
      </c>
      <c r="E202" s="50" t="n">
        <v>392</v>
      </c>
      <c r="F202" s="50" t="n">
        <v>653</v>
      </c>
      <c r="G202" s="50" t="n">
        <v>513</v>
      </c>
      <c r="H202" s="50" t="n">
        <v>350</v>
      </c>
      <c r="I202" s="50" t="n">
        <v>350</v>
      </c>
      <c r="J202" s="50" t="n">
        <v>308</v>
      </c>
      <c r="K202" s="50" t="n">
        <v>985</v>
      </c>
      <c r="L202" s="50" t="n">
        <v>199</v>
      </c>
      <c r="M202" s="46">
        <f>N202-SUM(C202:L202)</f>
        <v/>
      </c>
      <c r="N202" s="49" t="n">
        <v>4933</v>
      </c>
      <c r="O202" s="50" t="n">
        <v>158</v>
      </c>
      <c r="P202" s="50" t="n">
        <v>4</v>
      </c>
      <c r="Q202" s="50" t="n">
        <v>563</v>
      </c>
      <c r="R202" s="50" t="n">
        <v>1003</v>
      </c>
      <c r="S202" s="50" t="n">
        <v>210</v>
      </c>
      <c r="T202" s="50" t="n">
        <v>314</v>
      </c>
      <c r="U202" s="50" t="n">
        <v>49</v>
      </c>
      <c r="V202" s="50" t="n">
        <v>118</v>
      </c>
      <c r="W202" s="50" t="n">
        <v>839</v>
      </c>
      <c r="X202" s="50" t="n">
        <v>1524</v>
      </c>
      <c r="Y202" s="50" t="n">
        <v>151</v>
      </c>
    </row>
    <row r="203">
      <c r="A203" s="78" t="n">
        <v>46282</v>
      </c>
      <c r="B203" s="45" t="inlineStr">
        <is>
          <t>N7</t>
        </is>
      </c>
      <c r="C203" s="50" t="n">
        <v>380</v>
      </c>
      <c r="D203" s="50" t="n">
        <v>458</v>
      </c>
      <c r="E203" s="50" t="n">
        <v>392</v>
      </c>
      <c r="F203" s="50" t="n">
        <v>653</v>
      </c>
      <c r="G203" s="50" t="n">
        <v>513</v>
      </c>
      <c r="H203" s="50" t="n">
        <v>350</v>
      </c>
      <c r="I203" s="50" t="n">
        <v>350</v>
      </c>
      <c r="J203" s="50" t="n">
        <v>308</v>
      </c>
      <c r="K203" s="50" t="n">
        <v>985</v>
      </c>
      <c r="L203" s="50" t="n">
        <v>199</v>
      </c>
      <c r="M203" s="46">
        <f>N203-SUM(C203:L203)</f>
        <v/>
      </c>
      <c r="N203" s="49" t="n">
        <v>4933</v>
      </c>
      <c r="O203" s="50" t="n">
        <v>158</v>
      </c>
      <c r="P203" s="50" t="n">
        <v>4</v>
      </c>
      <c r="Q203" s="50" t="n">
        <v>563</v>
      </c>
      <c r="R203" s="50" t="n">
        <v>1003</v>
      </c>
      <c r="S203" s="50" t="n">
        <v>210</v>
      </c>
      <c r="T203" s="50" t="n">
        <v>314</v>
      </c>
      <c r="U203" s="50" t="n">
        <v>49</v>
      </c>
      <c r="V203" s="50" t="n">
        <v>118</v>
      </c>
      <c r="W203" s="50" t="n">
        <v>839</v>
      </c>
      <c r="X203" s="50" t="n">
        <v>1524</v>
      </c>
      <c r="Y203" s="50" t="n">
        <v>151</v>
      </c>
    </row>
    <row r="204">
      <c r="A204" s="78" t="n">
        <v>46283</v>
      </c>
      <c r="B204" s="45" t="inlineStr">
        <is>
          <t>N7</t>
        </is>
      </c>
      <c r="C204" s="50" t="n">
        <v>380</v>
      </c>
      <c r="D204" s="50" t="n">
        <v>458</v>
      </c>
      <c r="E204" s="50" t="n">
        <v>392</v>
      </c>
      <c r="F204" s="50" t="n">
        <v>653</v>
      </c>
      <c r="G204" s="50" t="n">
        <v>513</v>
      </c>
      <c r="H204" s="50" t="n">
        <v>350</v>
      </c>
      <c r="I204" s="50" t="n">
        <v>350</v>
      </c>
      <c r="J204" s="50" t="n">
        <v>308</v>
      </c>
      <c r="K204" s="50" t="n">
        <v>985</v>
      </c>
      <c r="L204" s="50" t="n">
        <v>199</v>
      </c>
      <c r="M204" s="46">
        <f>N204-SUM(C204:L204)</f>
        <v/>
      </c>
      <c r="N204" s="49" t="n">
        <v>4933</v>
      </c>
      <c r="O204" s="50" t="n">
        <v>158</v>
      </c>
      <c r="P204" s="50" t="n">
        <v>4</v>
      </c>
      <c r="Q204" s="50" t="n">
        <v>563</v>
      </c>
      <c r="R204" s="50" t="n">
        <v>1003</v>
      </c>
      <c r="S204" s="50" t="n">
        <v>210</v>
      </c>
      <c r="T204" s="50" t="n">
        <v>314</v>
      </c>
      <c r="U204" s="50" t="n">
        <v>49</v>
      </c>
      <c r="V204" s="50" t="n">
        <v>118</v>
      </c>
      <c r="W204" s="50" t="n">
        <v>839</v>
      </c>
      <c r="X204" s="50" t="n">
        <v>1524</v>
      </c>
      <c r="Y204" s="50" t="n">
        <v>151</v>
      </c>
    </row>
    <row r="205">
      <c r="A205" s="78" t="n">
        <v>46284</v>
      </c>
      <c r="B205" s="45" t="inlineStr">
        <is>
          <t>N7</t>
        </is>
      </c>
      <c r="C205" s="50" t="n">
        <v>424</v>
      </c>
      <c r="D205" s="50" t="n">
        <v>510</v>
      </c>
      <c r="E205" s="50" t="n">
        <v>437</v>
      </c>
      <c r="F205" s="50" t="n">
        <v>728</v>
      </c>
      <c r="G205" s="50" t="n">
        <v>572</v>
      </c>
      <c r="H205" s="50" t="n">
        <v>390</v>
      </c>
      <c r="I205" s="50" t="n">
        <v>390</v>
      </c>
      <c r="J205" s="50" t="n">
        <v>343</v>
      </c>
      <c r="K205" s="50" t="n">
        <v>1098</v>
      </c>
      <c r="L205" s="50" t="n">
        <v>222</v>
      </c>
      <c r="M205" s="46">
        <f>N205-SUM(C205:L205)</f>
        <v/>
      </c>
      <c r="N205" s="49" t="n">
        <v>5499</v>
      </c>
      <c r="O205" s="50" t="n">
        <v>182</v>
      </c>
      <c r="P205" s="50" t="n">
        <v>4</v>
      </c>
      <c r="Q205" s="50" t="n">
        <v>647</v>
      </c>
      <c r="R205" s="50" t="n">
        <v>1153</v>
      </c>
      <c r="S205" s="50" t="n">
        <v>242</v>
      </c>
      <c r="T205" s="50" t="n">
        <v>361</v>
      </c>
      <c r="U205" s="50" t="n">
        <v>57</v>
      </c>
      <c r="V205" s="50" t="n">
        <v>135</v>
      </c>
      <c r="W205" s="50" t="n">
        <v>965</v>
      </c>
      <c r="X205" s="50" t="n">
        <v>1753</v>
      </c>
      <c r="Y205" s="50" t="n">
        <v>0</v>
      </c>
    </row>
    <row r="206">
      <c r="A206" s="78" t="n">
        <v>46285</v>
      </c>
      <c r="B206" s="45" t="inlineStr">
        <is>
          <t>N7</t>
        </is>
      </c>
      <c r="C206" s="50" t="n">
        <v>380</v>
      </c>
      <c r="D206" s="50" t="n">
        <v>458</v>
      </c>
      <c r="E206" s="50" t="n">
        <v>392</v>
      </c>
      <c r="F206" s="50" t="n">
        <v>653</v>
      </c>
      <c r="G206" s="50" t="n">
        <v>513</v>
      </c>
      <c r="H206" s="50" t="n">
        <v>350</v>
      </c>
      <c r="I206" s="50" t="n">
        <v>350</v>
      </c>
      <c r="J206" s="50" t="n">
        <v>308</v>
      </c>
      <c r="K206" s="50" t="n">
        <v>985</v>
      </c>
      <c r="L206" s="50" t="n">
        <v>199</v>
      </c>
      <c r="M206" s="46">
        <f>N206-SUM(C206:L206)</f>
        <v/>
      </c>
      <c r="N206" s="49" t="n">
        <v>4933</v>
      </c>
      <c r="O206" s="50" t="n">
        <v>158</v>
      </c>
      <c r="P206" s="50" t="n">
        <v>4</v>
      </c>
      <c r="Q206" s="50" t="n">
        <v>563</v>
      </c>
      <c r="R206" s="50" t="n">
        <v>1003</v>
      </c>
      <c r="S206" s="50" t="n">
        <v>210</v>
      </c>
      <c r="T206" s="50" t="n">
        <v>314</v>
      </c>
      <c r="U206" s="50" t="n">
        <v>49</v>
      </c>
      <c r="V206" s="50" t="n">
        <v>118</v>
      </c>
      <c r="W206" s="50" t="n">
        <v>839</v>
      </c>
      <c r="X206" s="50" t="n">
        <v>1524</v>
      </c>
      <c r="Y206" s="50" t="n">
        <v>151</v>
      </c>
    </row>
    <row r="207">
      <c r="A207" s="78" t="n">
        <v>46286</v>
      </c>
      <c r="B207" s="45" t="inlineStr">
        <is>
          <t>N7</t>
        </is>
      </c>
      <c r="C207" s="50" t="n">
        <v>380</v>
      </c>
      <c r="D207" s="50" t="n">
        <v>458</v>
      </c>
      <c r="E207" s="50" t="n">
        <v>392</v>
      </c>
      <c r="F207" s="50" t="n">
        <v>653</v>
      </c>
      <c r="G207" s="50" t="n">
        <v>514</v>
      </c>
      <c r="H207" s="50" t="n">
        <v>350</v>
      </c>
      <c r="I207" s="50" t="n">
        <v>350</v>
      </c>
      <c r="J207" s="50" t="n">
        <v>308</v>
      </c>
      <c r="K207" s="50" t="n">
        <v>985</v>
      </c>
      <c r="L207" s="50" t="n">
        <v>199</v>
      </c>
      <c r="M207" s="46">
        <f>N207-SUM(C207:L207)</f>
        <v/>
      </c>
      <c r="N207" s="49" t="n">
        <v>4934</v>
      </c>
      <c r="O207" s="50" t="n">
        <v>159</v>
      </c>
      <c r="P207" s="50" t="n">
        <v>4</v>
      </c>
      <c r="Q207" s="50" t="n">
        <v>563</v>
      </c>
      <c r="R207" s="50" t="n">
        <v>1003</v>
      </c>
      <c r="S207" s="50" t="n">
        <v>210</v>
      </c>
      <c r="T207" s="50" t="n">
        <v>314</v>
      </c>
      <c r="U207" s="50" t="n">
        <v>49</v>
      </c>
      <c r="V207" s="50" t="n">
        <v>118</v>
      </c>
      <c r="W207" s="50" t="n">
        <v>839</v>
      </c>
      <c r="X207" s="50" t="n">
        <v>1524</v>
      </c>
      <c r="Y207" s="50" t="n">
        <v>151</v>
      </c>
    </row>
    <row r="208">
      <c r="A208" s="78" t="n">
        <v>46287</v>
      </c>
      <c r="B208" s="45" t="inlineStr">
        <is>
          <t>N7</t>
        </is>
      </c>
      <c r="C208" s="50" t="n">
        <v>380</v>
      </c>
      <c r="D208" s="50" t="n">
        <v>458</v>
      </c>
      <c r="E208" s="50" t="n">
        <v>392</v>
      </c>
      <c r="F208" s="50" t="n">
        <v>653</v>
      </c>
      <c r="G208" s="50" t="n">
        <v>514</v>
      </c>
      <c r="H208" s="50" t="n">
        <v>350</v>
      </c>
      <c r="I208" s="50" t="n">
        <v>350</v>
      </c>
      <c r="J208" s="50" t="n">
        <v>308</v>
      </c>
      <c r="K208" s="50" t="n">
        <v>985</v>
      </c>
      <c r="L208" s="50" t="n">
        <v>199</v>
      </c>
      <c r="M208" s="46">
        <f>N208-SUM(C208:L208)</f>
        <v/>
      </c>
      <c r="N208" s="49" t="n">
        <v>4934</v>
      </c>
      <c r="O208" s="50" t="n">
        <v>159</v>
      </c>
      <c r="P208" s="50" t="n">
        <v>4</v>
      </c>
      <c r="Q208" s="50" t="n">
        <v>563</v>
      </c>
      <c r="R208" s="50" t="n">
        <v>1003</v>
      </c>
      <c r="S208" s="50" t="n">
        <v>210</v>
      </c>
      <c r="T208" s="50" t="n">
        <v>314</v>
      </c>
      <c r="U208" s="50" t="n">
        <v>49</v>
      </c>
      <c r="V208" s="50" t="n">
        <v>118</v>
      </c>
      <c r="W208" s="50" t="n">
        <v>839</v>
      </c>
      <c r="X208" s="50" t="n">
        <v>1524</v>
      </c>
      <c r="Y208" s="50" t="n">
        <v>151</v>
      </c>
    </row>
    <row r="209">
      <c r="A209" s="78" t="n">
        <v>46288</v>
      </c>
      <c r="B209" s="45" t="inlineStr">
        <is>
          <t>N7</t>
        </is>
      </c>
      <c r="C209" s="50" t="n">
        <v>380</v>
      </c>
      <c r="D209" s="50" t="n">
        <v>458</v>
      </c>
      <c r="E209" s="50" t="n">
        <v>392</v>
      </c>
      <c r="F209" s="50" t="n">
        <v>653</v>
      </c>
      <c r="G209" s="50" t="n">
        <v>514</v>
      </c>
      <c r="H209" s="50" t="n">
        <v>350</v>
      </c>
      <c r="I209" s="50" t="n">
        <v>350</v>
      </c>
      <c r="J209" s="50" t="n">
        <v>308</v>
      </c>
      <c r="K209" s="50" t="n">
        <v>985</v>
      </c>
      <c r="L209" s="50" t="n">
        <v>199</v>
      </c>
      <c r="M209" s="46">
        <f>N209-SUM(C209:L209)</f>
        <v/>
      </c>
      <c r="N209" s="49" t="n">
        <v>4934</v>
      </c>
      <c r="O209" s="50" t="n">
        <v>159</v>
      </c>
      <c r="P209" s="50" t="n">
        <v>4</v>
      </c>
      <c r="Q209" s="50" t="n">
        <v>563</v>
      </c>
      <c r="R209" s="50" t="n">
        <v>1003</v>
      </c>
      <c r="S209" s="50" t="n">
        <v>210</v>
      </c>
      <c r="T209" s="50" t="n">
        <v>314</v>
      </c>
      <c r="U209" s="50" t="n">
        <v>49</v>
      </c>
      <c r="V209" s="50" t="n">
        <v>118</v>
      </c>
      <c r="W209" s="50" t="n">
        <v>839</v>
      </c>
      <c r="X209" s="50" t="n">
        <v>1524</v>
      </c>
      <c r="Y209" s="50" t="n">
        <v>151</v>
      </c>
    </row>
    <row r="210">
      <c r="A210" s="78" t="n">
        <v>46289</v>
      </c>
      <c r="B210" s="45" t="inlineStr">
        <is>
          <t>N7</t>
        </is>
      </c>
      <c r="C210" s="50" t="n">
        <v>380</v>
      </c>
      <c r="D210" s="50" t="n">
        <v>458</v>
      </c>
      <c r="E210" s="50" t="n">
        <v>392</v>
      </c>
      <c r="F210" s="50" t="n">
        <v>653</v>
      </c>
      <c r="G210" s="50" t="n">
        <v>514</v>
      </c>
      <c r="H210" s="50" t="n">
        <v>350</v>
      </c>
      <c r="I210" s="50" t="n">
        <v>350</v>
      </c>
      <c r="J210" s="50" t="n">
        <v>308</v>
      </c>
      <c r="K210" s="50" t="n">
        <v>985</v>
      </c>
      <c r="L210" s="50" t="n">
        <v>199</v>
      </c>
      <c r="M210" s="46">
        <f>N210-SUM(C210:L210)</f>
        <v/>
      </c>
      <c r="N210" s="49" t="n">
        <v>4934</v>
      </c>
      <c r="O210" s="50" t="n">
        <v>159</v>
      </c>
      <c r="P210" s="50" t="n">
        <v>4</v>
      </c>
      <c r="Q210" s="50" t="n">
        <v>563</v>
      </c>
      <c r="R210" s="50" t="n">
        <v>1003</v>
      </c>
      <c r="S210" s="50" t="n">
        <v>210</v>
      </c>
      <c r="T210" s="50" t="n">
        <v>314</v>
      </c>
      <c r="U210" s="50" t="n">
        <v>49</v>
      </c>
      <c r="V210" s="50" t="n">
        <v>118</v>
      </c>
      <c r="W210" s="50" t="n">
        <v>839</v>
      </c>
      <c r="X210" s="50" t="n">
        <v>1524</v>
      </c>
      <c r="Y210" s="50" t="n">
        <v>151</v>
      </c>
    </row>
    <row r="211">
      <c r="A211" s="78" t="n">
        <v>46290</v>
      </c>
      <c r="B211" s="45" t="inlineStr">
        <is>
          <t>N7</t>
        </is>
      </c>
      <c r="C211" s="50" t="n">
        <v>424</v>
      </c>
      <c r="D211" s="50" t="n">
        <v>510</v>
      </c>
      <c r="E211" s="50" t="n">
        <v>437</v>
      </c>
      <c r="F211" s="50" t="n">
        <v>728</v>
      </c>
      <c r="G211" s="50" t="n">
        <v>572</v>
      </c>
      <c r="H211" s="50" t="n">
        <v>390</v>
      </c>
      <c r="I211" s="50" t="n">
        <v>390</v>
      </c>
      <c r="J211" s="50" t="n">
        <v>343</v>
      </c>
      <c r="K211" s="50" t="n">
        <v>1098</v>
      </c>
      <c r="L211" s="50" t="n">
        <v>222</v>
      </c>
      <c r="M211" s="46">
        <f>N211-SUM(C211:L211)</f>
        <v/>
      </c>
      <c r="N211" s="49" t="n">
        <v>5500</v>
      </c>
      <c r="O211" s="50" t="n">
        <v>183</v>
      </c>
      <c r="P211" s="50" t="n">
        <v>4</v>
      </c>
      <c r="Q211" s="50" t="n">
        <v>647</v>
      </c>
      <c r="R211" s="50" t="n">
        <v>1153</v>
      </c>
      <c r="S211" s="50" t="n">
        <v>242</v>
      </c>
      <c r="T211" s="50" t="n">
        <v>361</v>
      </c>
      <c r="U211" s="50" t="n">
        <v>57</v>
      </c>
      <c r="V211" s="50" t="n">
        <v>135</v>
      </c>
      <c r="W211" s="50" t="n">
        <v>965</v>
      </c>
      <c r="X211" s="50" t="n">
        <v>1753</v>
      </c>
      <c r="Y211" s="50" t="n">
        <v>0</v>
      </c>
    </row>
    <row r="212">
      <c r="A212" s="78" t="n">
        <v>46291</v>
      </c>
      <c r="B212" s="45" t="inlineStr">
        <is>
          <t>N7</t>
        </is>
      </c>
      <c r="C212" s="50" t="n">
        <v>424</v>
      </c>
      <c r="D212" s="50" t="n">
        <v>510</v>
      </c>
      <c r="E212" s="50" t="n">
        <v>437</v>
      </c>
      <c r="F212" s="50" t="n">
        <v>728</v>
      </c>
      <c r="G212" s="50" t="n">
        <v>572</v>
      </c>
      <c r="H212" s="50" t="n">
        <v>390</v>
      </c>
      <c r="I212" s="50" t="n">
        <v>390</v>
      </c>
      <c r="J212" s="50" t="n">
        <v>343</v>
      </c>
      <c r="K212" s="50" t="n">
        <v>1098</v>
      </c>
      <c r="L212" s="50" t="n">
        <v>222</v>
      </c>
      <c r="M212" s="46">
        <f>N212-SUM(C212:L212)</f>
        <v/>
      </c>
      <c r="N212" s="49" t="n">
        <v>5500</v>
      </c>
      <c r="O212" s="50" t="n">
        <v>183</v>
      </c>
      <c r="P212" s="50" t="n">
        <v>4</v>
      </c>
      <c r="Q212" s="50" t="n">
        <v>647</v>
      </c>
      <c r="R212" s="50" t="n">
        <v>1153</v>
      </c>
      <c r="S212" s="50" t="n">
        <v>242</v>
      </c>
      <c r="T212" s="50" t="n">
        <v>361</v>
      </c>
      <c r="U212" s="50" t="n">
        <v>57</v>
      </c>
      <c r="V212" s="50" t="n">
        <v>135</v>
      </c>
      <c r="W212" s="50" t="n">
        <v>965</v>
      </c>
      <c r="X212" s="50" t="n">
        <v>1753</v>
      </c>
      <c r="Y212" s="50" t="n">
        <v>0</v>
      </c>
    </row>
    <row r="213">
      <c r="A213" s="78" t="n">
        <v>46292</v>
      </c>
      <c r="B213" s="45" t="inlineStr">
        <is>
          <t>N7</t>
        </is>
      </c>
      <c r="C213" s="50" t="n">
        <v>424</v>
      </c>
      <c r="D213" s="50" t="n">
        <v>510</v>
      </c>
      <c r="E213" s="50" t="n">
        <v>437</v>
      </c>
      <c r="F213" s="50" t="n">
        <v>728</v>
      </c>
      <c r="G213" s="50" t="n">
        <v>572</v>
      </c>
      <c r="H213" s="50" t="n">
        <v>390</v>
      </c>
      <c r="I213" s="50" t="n">
        <v>390</v>
      </c>
      <c r="J213" s="50" t="n">
        <v>343</v>
      </c>
      <c r="K213" s="50" t="n">
        <v>1098</v>
      </c>
      <c r="L213" s="50" t="n">
        <v>222</v>
      </c>
      <c r="M213" s="46">
        <f>N213-SUM(C213:L213)</f>
        <v/>
      </c>
      <c r="N213" s="49" t="n">
        <v>5500</v>
      </c>
      <c r="O213" s="50" t="n">
        <v>183</v>
      </c>
      <c r="P213" s="50" t="n">
        <v>4</v>
      </c>
      <c r="Q213" s="50" t="n">
        <v>647</v>
      </c>
      <c r="R213" s="50" t="n">
        <v>1153</v>
      </c>
      <c r="S213" s="50" t="n">
        <v>242</v>
      </c>
      <c r="T213" s="50" t="n">
        <v>361</v>
      </c>
      <c r="U213" s="50" t="n">
        <v>57</v>
      </c>
      <c r="V213" s="50" t="n">
        <v>135</v>
      </c>
      <c r="W213" s="50" t="n">
        <v>965</v>
      </c>
      <c r="X213" s="50" t="n">
        <v>1753</v>
      </c>
      <c r="Y213" s="50" t="n">
        <v>0</v>
      </c>
    </row>
    <row r="214">
      <c r="A214" s="78" t="n">
        <v>46293</v>
      </c>
      <c r="B214" s="45" t="inlineStr">
        <is>
          <t>N7</t>
        </is>
      </c>
      <c r="C214" s="50" t="n">
        <v>380</v>
      </c>
      <c r="D214" s="50" t="n">
        <v>458</v>
      </c>
      <c r="E214" s="50" t="n">
        <v>392</v>
      </c>
      <c r="F214" s="50" t="n">
        <v>653</v>
      </c>
      <c r="G214" s="50" t="n">
        <v>514</v>
      </c>
      <c r="H214" s="50" t="n">
        <v>350</v>
      </c>
      <c r="I214" s="50" t="n">
        <v>350</v>
      </c>
      <c r="J214" s="50" t="n">
        <v>308</v>
      </c>
      <c r="K214" s="50" t="n">
        <v>985</v>
      </c>
      <c r="L214" s="50" t="n">
        <v>198</v>
      </c>
      <c r="M214" s="46">
        <f>N214-SUM(C214:L214)</f>
        <v/>
      </c>
      <c r="N214" s="49" t="n">
        <v>4934</v>
      </c>
      <c r="O214" s="50" t="n">
        <v>159</v>
      </c>
      <c r="P214" s="50" t="n">
        <v>4</v>
      </c>
      <c r="Q214" s="50" t="n">
        <v>563</v>
      </c>
      <c r="R214" s="50" t="n">
        <v>1003</v>
      </c>
      <c r="S214" s="50" t="n">
        <v>210</v>
      </c>
      <c r="T214" s="50" t="n">
        <v>314</v>
      </c>
      <c r="U214" s="50" t="n">
        <v>49</v>
      </c>
      <c r="V214" s="50" t="n">
        <v>118</v>
      </c>
      <c r="W214" s="50" t="n">
        <v>839</v>
      </c>
      <c r="X214" s="50" t="n">
        <v>1524</v>
      </c>
      <c r="Y214" s="50" t="n">
        <v>151</v>
      </c>
    </row>
    <row r="215">
      <c r="A215" s="78" t="n">
        <v>46294</v>
      </c>
      <c r="B215" s="45" t="inlineStr">
        <is>
          <t>N7</t>
        </is>
      </c>
      <c r="C215" s="50" t="n">
        <v>380</v>
      </c>
      <c r="D215" s="50" t="n">
        <v>458</v>
      </c>
      <c r="E215" s="50" t="n">
        <v>392</v>
      </c>
      <c r="F215" s="50" t="n">
        <v>654</v>
      </c>
      <c r="G215" s="50" t="n">
        <v>514</v>
      </c>
      <c r="H215" s="50" t="n">
        <v>350</v>
      </c>
      <c r="I215" s="50" t="n">
        <v>350</v>
      </c>
      <c r="J215" s="50" t="n">
        <v>308</v>
      </c>
      <c r="K215" s="50" t="n">
        <v>985</v>
      </c>
      <c r="L215" s="50" t="n">
        <v>198</v>
      </c>
      <c r="M215" s="46">
        <f>N215-SUM(C215:L215)</f>
        <v/>
      </c>
      <c r="N215" s="49" t="n">
        <v>4936</v>
      </c>
      <c r="O215" s="50" t="n">
        <v>159</v>
      </c>
      <c r="P215" s="50" t="n">
        <v>4</v>
      </c>
      <c r="Q215" s="50" t="n">
        <v>564</v>
      </c>
      <c r="R215" s="50" t="n">
        <v>1003</v>
      </c>
      <c r="S215" s="50" t="n">
        <v>210</v>
      </c>
      <c r="T215" s="50" t="n">
        <v>314</v>
      </c>
      <c r="U215" s="50" t="n">
        <v>50</v>
      </c>
      <c r="V215" s="50" t="n">
        <v>118</v>
      </c>
      <c r="W215" s="50" t="n">
        <v>839</v>
      </c>
      <c r="X215" s="50" t="n">
        <v>1524</v>
      </c>
      <c r="Y215" s="50" t="n">
        <v>151</v>
      </c>
    </row>
    <row r="216">
      <c r="A216" s="78" t="n">
        <v>46295</v>
      </c>
      <c r="B216" s="45" t="inlineStr">
        <is>
          <t>N7</t>
        </is>
      </c>
      <c r="C216" s="50" t="n">
        <v>380</v>
      </c>
      <c r="D216" s="50" t="n">
        <v>458</v>
      </c>
      <c r="E216" s="50" t="n">
        <v>392</v>
      </c>
      <c r="F216" s="50" t="n">
        <v>654</v>
      </c>
      <c r="G216" s="50" t="n">
        <v>514</v>
      </c>
      <c r="H216" s="50" t="n">
        <v>350</v>
      </c>
      <c r="I216" s="50" t="n">
        <v>350</v>
      </c>
      <c r="J216" s="50" t="n">
        <v>308</v>
      </c>
      <c r="K216" s="50" t="n">
        <v>985</v>
      </c>
      <c r="L216" s="50" t="n">
        <v>198</v>
      </c>
      <c r="M216" s="46">
        <f>N216-SUM(C216:L216)</f>
        <v/>
      </c>
      <c r="N216" s="49" t="n">
        <v>4936</v>
      </c>
      <c r="O216" s="50" t="n">
        <v>159</v>
      </c>
      <c r="P216" s="50" t="n">
        <v>4</v>
      </c>
      <c r="Q216" s="50" t="n">
        <v>564</v>
      </c>
      <c r="R216" s="50" t="n">
        <v>1003</v>
      </c>
      <c r="S216" s="50" t="n">
        <v>210</v>
      </c>
      <c r="T216" s="50" t="n">
        <v>314</v>
      </c>
      <c r="U216" s="50" t="n">
        <v>50</v>
      </c>
      <c r="V216" s="50" t="n">
        <v>118</v>
      </c>
      <c r="W216" s="50" t="n">
        <v>839</v>
      </c>
      <c r="X216" s="50" t="n">
        <v>1524</v>
      </c>
      <c r="Y216" s="50" t="n">
        <v>151</v>
      </c>
    </row>
    <row r="217">
      <c r="A217" s="78" t="n">
        <v>46296</v>
      </c>
      <c r="B217" s="45" t="inlineStr">
        <is>
          <t>N7</t>
        </is>
      </c>
      <c r="C217" s="50" t="n"/>
      <c r="D217" s="50" t="n"/>
      <c r="E217" s="50" t="n"/>
      <c r="F217" s="50" t="n"/>
      <c r="G217" s="50" t="n"/>
      <c r="H217" s="50" t="n"/>
      <c r="I217" s="50" t="n"/>
      <c r="J217" s="50" t="n"/>
      <c r="K217" s="50" t="n"/>
      <c r="L217" s="50" t="n"/>
      <c r="M217" s="46">
        <f>N217-SUM(C217:L217)</f>
        <v/>
      </c>
      <c r="N217" s="49" t="n"/>
      <c r="O217" s="50" t="n"/>
      <c r="P217" s="50" t="n"/>
      <c r="Q217" s="50" t="n"/>
      <c r="R217" s="50" t="n"/>
      <c r="S217" s="50" t="n"/>
      <c r="T217" s="50" t="n"/>
      <c r="U217" s="50" t="n"/>
      <c r="V217" s="50" t="n"/>
      <c r="W217" s="50" t="n"/>
      <c r="X217" s="50" t="n"/>
      <c r="Y217" s="50" t="n"/>
    </row>
    <row r="218">
      <c r="A218" s="78" t="n">
        <v>46297</v>
      </c>
      <c r="B218" s="45" t="inlineStr">
        <is>
          <t>N7</t>
        </is>
      </c>
      <c r="C218" s="50" t="n"/>
      <c r="D218" s="50" t="n"/>
      <c r="E218" s="50" t="n"/>
      <c r="F218" s="50" t="n"/>
      <c r="G218" s="50" t="n"/>
      <c r="H218" s="50" t="n"/>
      <c r="I218" s="50" t="n"/>
      <c r="J218" s="50" t="n"/>
      <c r="K218" s="50" t="n"/>
      <c r="L218" s="50" t="n"/>
      <c r="M218" s="46">
        <f>N218-SUM(C218:L218)</f>
        <v/>
      </c>
      <c r="N218" s="49" t="n"/>
      <c r="O218" s="50" t="n"/>
      <c r="P218" s="50" t="n"/>
      <c r="Q218" s="50" t="n"/>
      <c r="R218" s="50" t="n"/>
      <c r="S218" s="50" t="n"/>
      <c r="T218" s="50" t="n"/>
      <c r="U218" s="50" t="n"/>
      <c r="V218" s="50" t="n"/>
      <c r="W218" s="50" t="n"/>
      <c r="X218" s="50" t="n"/>
      <c r="Y218" s="50" t="n"/>
    </row>
    <row r="219">
      <c r="A219" s="78" t="n">
        <v>46298</v>
      </c>
      <c r="B219" s="45" t="inlineStr">
        <is>
          <t>N7</t>
        </is>
      </c>
      <c r="C219" s="50" t="n"/>
      <c r="D219" s="50" t="n"/>
      <c r="E219" s="50" t="n"/>
      <c r="F219" s="50" t="n"/>
      <c r="G219" s="50" t="n"/>
      <c r="H219" s="50" t="n"/>
      <c r="I219" s="50" t="n"/>
      <c r="J219" s="50" t="n"/>
      <c r="K219" s="50" t="n"/>
      <c r="L219" s="50" t="n"/>
      <c r="M219" s="46">
        <f>N219-SUM(C219:L219)</f>
        <v/>
      </c>
      <c r="N219" s="49" t="n"/>
      <c r="O219" s="50" t="n"/>
      <c r="P219" s="50" t="n"/>
      <c r="Q219" s="50" t="n"/>
      <c r="R219" s="50" t="n"/>
      <c r="S219" s="50" t="n"/>
      <c r="T219" s="50" t="n"/>
      <c r="U219" s="50" t="n"/>
      <c r="V219" s="50" t="n"/>
      <c r="W219" s="50" t="n"/>
      <c r="X219" s="50" t="n"/>
      <c r="Y219" s="50" t="n"/>
    </row>
    <row r="220">
      <c r="A220" s="78" t="n">
        <v>46299</v>
      </c>
      <c r="B220" s="45" t="inlineStr">
        <is>
          <t>N7</t>
        </is>
      </c>
      <c r="C220" s="50" t="n"/>
      <c r="D220" s="50" t="n"/>
      <c r="E220" s="50" t="n"/>
      <c r="F220" s="50" t="n"/>
      <c r="G220" s="50" t="n"/>
      <c r="H220" s="50" t="n"/>
      <c r="I220" s="50" t="n"/>
      <c r="J220" s="50" t="n"/>
      <c r="K220" s="50" t="n"/>
      <c r="L220" s="50" t="n"/>
      <c r="M220" s="46">
        <f>N220-SUM(C220:L220)</f>
        <v/>
      </c>
      <c r="N220" s="49" t="n"/>
      <c r="O220" s="50" t="n"/>
      <c r="P220" s="50" t="n"/>
      <c r="Q220" s="50" t="n"/>
      <c r="R220" s="50" t="n"/>
      <c r="S220" s="50" t="n"/>
      <c r="T220" s="50" t="n"/>
      <c r="U220" s="50" t="n"/>
      <c r="V220" s="50" t="n"/>
      <c r="W220" s="50" t="n"/>
      <c r="X220" s="50" t="n"/>
      <c r="Y220" s="50" t="n"/>
    </row>
    <row r="221">
      <c r="A221" s="78" t="n">
        <v>46300</v>
      </c>
      <c r="B221" s="45" t="inlineStr">
        <is>
          <t>N7</t>
        </is>
      </c>
      <c r="C221" s="50" t="n"/>
      <c r="D221" s="50" t="n"/>
      <c r="E221" s="50" t="n"/>
      <c r="F221" s="50" t="n"/>
      <c r="G221" s="50" t="n"/>
      <c r="H221" s="50" t="n"/>
      <c r="I221" s="50" t="n"/>
      <c r="J221" s="50" t="n"/>
      <c r="K221" s="50" t="n"/>
      <c r="L221" s="50" t="n"/>
      <c r="M221" s="46">
        <f>N221-SUM(C221:L221)</f>
        <v/>
      </c>
      <c r="N221" s="49" t="n"/>
      <c r="O221" s="50" t="n"/>
      <c r="P221" s="50" t="n"/>
      <c r="Q221" s="50" t="n"/>
      <c r="R221" s="50" t="n"/>
      <c r="S221" s="50" t="n"/>
      <c r="T221" s="50" t="n"/>
      <c r="U221" s="50" t="n"/>
      <c r="V221" s="50" t="n"/>
      <c r="W221" s="50" t="n"/>
      <c r="X221" s="50" t="n"/>
      <c r="Y221" s="50" t="n"/>
    </row>
    <row r="222">
      <c r="A222" s="78" t="n">
        <v>46301</v>
      </c>
      <c r="B222" s="45" t="inlineStr">
        <is>
          <t>N7</t>
        </is>
      </c>
      <c r="C222" s="50" t="n"/>
      <c r="D222" s="50" t="n"/>
      <c r="E222" s="50" t="n"/>
      <c r="F222" s="50" t="n"/>
      <c r="G222" s="50" t="n"/>
      <c r="H222" s="50" t="n"/>
      <c r="I222" s="50" t="n"/>
      <c r="J222" s="50" t="n"/>
      <c r="K222" s="50" t="n"/>
      <c r="L222" s="50" t="n"/>
      <c r="M222" s="46">
        <f>N222-SUM(C222:L222)</f>
        <v/>
      </c>
      <c r="N222" s="49" t="n"/>
      <c r="O222" s="50" t="n"/>
      <c r="P222" s="50" t="n"/>
      <c r="Q222" s="50" t="n"/>
      <c r="R222" s="50" t="n"/>
      <c r="S222" s="50" t="n"/>
      <c r="T222" s="50" t="n"/>
      <c r="U222" s="50" t="n"/>
      <c r="V222" s="50" t="n"/>
      <c r="W222" s="50" t="n"/>
      <c r="X222" s="50" t="n"/>
      <c r="Y222" s="50" t="n"/>
    </row>
    <row r="223">
      <c r="A223" s="78" t="n">
        <v>46302</v>
      </c>
      <c r="B223" s="45" t="inlineStr">
        <is>
          <t>N7</t>
        </is>
      </c>
      <c r="C223" s="50" t="n"/>
      <c r="D223" s="50" t="n"/>
      <c r="E223" s="50" t="n"/>
      <c r="F223" s="50" t="n"/>
      <c r="G223" s="50" t="n"/>
      <c r="H223" s="50" t="n"/>
      <c r="I223" s="50" t="n"/>
      <c r="J223" s="50" t="n"/>
      <c r="K223" s="50" t="n"/>
      <c r="L223" s="50" t="n"/>
      <c r="M223" s="46">
        <f>N223-SUM(C223:L223)</f>
        <v/>
      </c>
      <c r="N223" s="49" t="n"/>
      <c r="O223" s="50" t="n"/>
      <c r="P223" s="50" t="n"/>
      <c r="Q223" s="50" t="n"/>
      <c r="R223" s="50" t="n"/>
      <c r="S223" s="50" t="n"/>
      <c r="T223" s="50" t="n"/>
      <c r="U223" s="50" t="n"/>
      <c r="V223" s="50" t="n"/>
      <c r="W223" s="50" t="n"/>
      <c r="X223" s="50" t="n"/>
      <c r="Y223" s="50" t="n"/>
    </row>
    <row r="224">
      <c r="A224" s="78" t="n">
        <v>46303</v>
      </c>
      <c r="B224" s="45" t="inlineStr">
        <is>
          <t>N7</t>
        </is>
      </c>
      <c r="C224" s="50" t="n"/>
      <c r="D224" s="50" t="n"/>
      <c r="E224" s="50" t="n"/>
      <c r="F224" s="50" t="n"/>
      <c r="G224" s="50" t="n"/>
      <c r="H224" s="50" t="n"/>
      <c r="I224" s="50" t="n"/>
      <c r="J224" s="50" t="n"/>
      <c r="K224" s="50" t="n"/>
      <c r="L224" s="50" t="n"/>
      <c r="M224" s="46">
        <f>N224-SUM(C224:L224)</f>
        <v/>
      </c>
      <c r="N224" s="49" t="n"/>
      <c r="O224" s="50" t="n"/>
      <c r="P224" s="50" t="n"/>
      <c r="Q224" s="50" t="n"/>
      <c r="R224" s="50" t="n"/>
      <c r="S224" s="50" t="n"/>
      <c r="T224" s="50" t="n"/>
      <c r="U224" s="50" t="n"/>
      <c r="V224" s="50" t="n"/>
      <c r="W224" s="50" t="n"/>
      <c r="X224" s="50" t="n"/>
      <c r="Y224" s="50" t="n"/>
    </row>
    <row r="225">
      <c r="A225" s="78" t="n">
        <v>46304</v>
      </c>
      <c r="B225" s="45" t="inlineStr">
        <is>
          <t>N7</t>
        </is>
      </c>
      <c r="C225" s="50" t="n"/>
      <c r="D225" s="50" t="n"/>
      <c r="E225" s="50" t="n"/>
      <c r="F225" s="50" t="n"/>
      <c r="G225" s="50" t="n"/>
      <c r="H225" s="50" t="n"/>
      <c r="I225" s="50" t="n"/>
      <c r="J225" s="50" t="n"/>
      <c r="K225" s="50" t="n"/>
      <c r="L225" s="50" t="n"/>
      <c r="M225" s="46">
        <f>N225-SUM(C225:L225)</f>
        <v/>
      </c>
      <c r="N225" s="49" t="n"/>
      <c r="O225" s="50" t="n"/>
      <c r="P225" s="50" t="n"/>
      <c r="Q225" s="50" t="n"/>
      <c r="R225" s="50" t="n"/>
      <c r="S225" s="50" t="n"/>
      <c r="T225" s="50" t="n"/>
      <c r="U225" s="50" t="n"/>
      <c r="V225" s="50" t="n"/>
      <c r="W225" s="50" t="n"/>
      <c r="X225" s="50" t="n"/>
      <c r="Y225" s="50" t="n"/>
    </row>
    <row r="226">
      <c r="A226" s="78" t="n">
        <v>46305</v>
      </c>
      <c r="B226" s="45" t="inlineStr">
        <is>
          <t>N7</t>
        </is>
      </c>
      <c r="C226" s="50" t="n"/>
      <c r="D226" s="50" t="n"/>
      <c r="E226" s="50" t="n"/>
      <c r="F226" s="50" t="n"/>
      <c r="G226" s="50" t="n"/>
      <c r="H226" s="50" t="n"/>
      <c r="I226" s="50" t="n"/>
      <c r="J226" s="50" t="n"/>
      <c r="K226" s="50" t="n"/>
      <c r="L226" s="50" t="n"/>
      <c r="M226" s="46">
        <f>N226-SUM(C226:L226)</f>
        <v/>
      </c>
      <c r="N226" s="49" t="n"/>
      <c r="O226" s="50" t="n"/>
      <c r="P226" s="50" t="n"/>
      <c r="Q226" s="50" t="n"/>
      <c r="R226" s="50" t="n"/>
      <c r="S226" s="50" t="n"/>
      <c r="T226" s="50" t="n"/>
      <c r="U226" s="50" t="n"/>
      <c r="V226" s="50" t="n"/>
      <c r="W226" s="50" t="n"/>
      <c r="X226" s="50" t="n"/>
      <c r="Y226" s="50" t="n"/>
    </row>
    <row r="227">
      <c r="A227" s="78" t="n">
        <v>46306</v>
      </c>
      <c r="B227" s="45" t="inlineStr">
        <is>
          <t>N7</t>
        </is>
      </c>
      <c r="C227" s="50" t="n"/>
      <c r="D227" s="50" t="n"/>
      <c r="E227" s="50" t="n"/>
      <c r="F227" s="50" t="n"/>
      <c r="G227" s="50" t="n"/>
      <c r="H227" s="50" t="n"/>
      <c r="I227" s="50" t="n"/>
      <c r="J227" s="50" t="n"/>
      <c r="K227" s="50" t="n"/>
      <c r="L227" s="50" t="n"/>
      <c r="M227" s="46">
        <f>N227-SUM(C227:L227)</f>
        <v/>
      </c>
      <c r="N227" s="49" t="n"/>
      <c r="O227" s="50" t="n"/>
      <c r="P227" s="50" t="n"/>
      <c r="Q227" s="50" t="n"/>
      <c r="R227" s="50" t="n"/>
      <c r="S227" s="50" t="n"/>
      <c r="T227" s="50" t="n"/>
      <c r="U227" s="50" t="n"/>
      <c r="V227" s="50" t="n"/>
      <c r="W227" s="50" t="n"/>
      <c r="X227" s="50" t="n"/>
      <c r="Y227" s="50" t="n"/>
    </row>
    <row r="228">
      <c r="A228" s="78" t="n">
        <v>46307</v>
      </c>
      <c r="B228" s="45" t="inlineStr">
        <is>
          <t>N7</t>
        </is>
      </c>
      <c r="C228" s="50" t="n"/>
      <c r="D228" s="50" t="n"/>
      <c r="E228" s="50" t="n"/>
      <c r="F228" s="50" t="n"/>
      <c r="G228" s="50" t="n"/>
      <c r="H228" s="50" t="n"/>
      <c r="I228" s="50" t="n"/>
      <c r="J228" s="50" t="n"/>
      <c r="K228" s="50" t="n"/>
      <c r="L228" s="50" t="n"/>
      <c r="M228" s="46">
        <f>N228-SUM(C228:L228)</f>
        <v/>
      </c>
      <c r="N228" s="49" t="n"/>
      <c r="O228" s="50" t="n"/>
      <c r="P228" s="50" t="n"/>
      <c r="Q228" s="50" t="n"/>
      <c r="R228" s="50" t="n"/>
      <c r="S228" s="50" t="n"/>
      <c r="T228" s="50" t="n"/>
      <c r="U228" s="50" t="n"/>
      <c r="V228" s="50" t="n"/>
      <c r="W228" s="50" t="n"/>
      <c r="X228" s="50" t="n"/>
      <c r="Y228" s="50" t="n"/>
    </row>
    <row r="229">
      <c r="A229" s="78" t="n">
        <v>46308</v>
      </c>
      <c r="B229" s="45" t="inlineStr">
        <is>
          <t>N7</t>
        </is>
      </c>
      <c r="C229" s="50" t="n"/>
      <c r="D229" s="50" t="n"/>
      <c r="E229" s="50" t="n"/>
      <c r="F229" s="50" t="n"/>
      <c r="G229" s="50" t="n"/>
      <c r="H229" s="50" t="n"/>
      <c r="I229" s="50" t="n"/>
      <c r="J229" s="50" t="n"/>
      <c r="K229" s="50" t="n"/>
      <c r="L229" s="50" t="n"/>
      <c r="M229" s="46">
        <f>N229-SUM(C229:L229)</f>
        <v/>
      </c>
      <c r="N229" s="49" t="n"/>
      <c r="O229" s="50" t="n"/>
      <c r="P229" s="50" t="n"/>
      <c r="Q229" s="50" t="n"/>
      <c r="R229" s="50" t="n"/>
      <c r="S229" s="50" t="n"/>
      <c r="T229" s="50" t="n"/>
      <c r="U229" s="50" t="n"/>
      <c r="V229" s="50" t="n"/>
      <c r="W229" s="50" t="n"/>
      <c r="X229" s="50" t="n"/>
      <c r="Y229" s="50" t="n"/>
    </row>
    <row r="230">
      <c r="A230" s="78" t="n">
        <v>46309</v>
      </c>
      <c r="B230" s="45" t="inlineStr">
        <is>
          <t>N7</t>
        </is>
      </c>
      <c r="C230" s="50" t="n"/>
      <c r="D230" s="50" t="n"/>
      <c r="E230" s="50" t="n"/>
      <c r="F230" s="50" t="n"/>
      <c r="G230" s="50" t="n"/>
      <c r="H230" s="50" t="n"/>
      <c r="I230" s="50" t="n"/>
      <c r="J230" s="50" t="n"/>
      <c r="K230" s="50" t="n"/>
      <c r="L230" s="50" t="n"/>
      <c r="M230" s="46">
        <f>N230-SUM(C230:L230)</f>
        <v/>
      </c>
      <c r="N230" s="49" t="n"/>
      <c r="O230" s="50" t="n"/>
      <c r="P230" s="50" t="n"/>
      <c r="Q230" s="50" t="n"/>
      <c r="R230" s="50" t="n"/>
      <c r="S230" s="50" t="n"/>
      <c r="T230" s="50" t="n"/>
      <c r="U230" s="50" t="n"/>
      <c r="V230" s="50" t="n"/>
      <c r="W230" s="50" t="n"/>
      <c r="X230" s="50" t="n"/>
      <c r="Y230" s="50" t="n"/>
    </row>
    <row r="231">
      <c r="A231" s="78" t="n">
        <v>46310</v>
      </c>
      <c r="B231" s="45" t="inlineStr">
        <is>
          <t>N7</t>
        </is>
      </c>
      <c r="C231" s="50" t="n"/>
      <c r="D231" s="50" t="n"/>
      <c r="E231" s="50" t="n"/>
      <c r="F231" s="50" t="n"/>
      <c r="G231" s="50" t="n"/>
      <c r="H231" s="50" t="n"/>
      <c r="I231" s="50" t="n"/>
      <c r="J231" s="50" t="n"/>
      <c r="K231" s="50" t="n"/>
      <c r="L231" s="50" t="n"/>
      <c r="M231" s="46">
        <f>N231-SUM(C231:L231)</f>
        <v/>
      </c>
      <c r="N231" s="49" t="n"/>
      <c r="O231" s="50" t="n"/>
      <c r="P231" s="50" t="n"/>
      <c r="Q231" s="50" t="n"/>
      <c r="R231" s="50" t="n"/>
      <c r="S231" s="50" t="n"/>
      <c r="T231" s="50" t="n"/>
      <c r="U231" s="50" t="n"/>
      <c r="V231" s="50" t="n"/>
      <c r="W231" s="50" t="n"/>
      <c r="X231" s="50" t="n"/>
      <c r="Y231" s="50" t="n"/>
    </row>
    <row r="232">
      <c r="A232" s="78" t="n">
        <v>46311</v>
      </c>
      <c r="B232" s="45" t="inlineStr">
        <is>
          <t>N7</t>
        </is>
      </c>
      <c r="C232" s="50" t="n"/>
      <c r="D232" s="50" t="n"/>
      <c r="E232" s="50" t="n"/>
      <c r="F232" s="50" t="n"/>
      <c r="G232" s="50" t="n"/>
      <c r="H232" s="50" t="n"/>
      <c r="I232" s="50" t="n"/>
      <c r="J232" s="50" t="n"/>
      <c r="K232" s="50" t="n"/>
      <c r="L232" s="50" t="n"/>
      <c r="M232" s="46">
        <f>N232-SUM(C232:L232)</f>
        <v/>
      </c>
      <c r="N232" s="49" t="n"/>
      <c r="O232" s="50" t="n"/>
      <c r="P232" s="50" t="n"/>
      <c r="Q232" s="50" t="n"/>
      <c r="R232" s="50" t="n"/>
      <c r="S232" s="50" t="n"/>
      <c r="T232" s="50" t="n"/>
      <c r="U232" s="50" t="n"/>
      <c r="V232" s="50" t="n"/>
      <c r="W232" s="50" t="n"/>
      <c r="X232" s="50" t="n"/>
      <c r="Y232" s="50" t="n"/>
    </row>
    <row r="233">
      <c r="A233" s="78" t="n">
        <v>46312</v>
      </c>
      <c r="B233" s="45" t="inlineStr">
        <is>
          <t>N7</t>
        </is>
      </c>
      <c r="C233" s="50" t="n"/>
      <c r="D233" s="50" t="n"/>
      <c r="E233" s="50" t="n"/>
      <c r="F233" s="50" t="n"/>
      <c r="G233" s="50" t="n"/>
      <c r="H233" s="50" t="n"/>
      <c r="I233" s="50" t="n"/>
      <c r="J233" s="50" t="n"/>
      <c r="K233" s="50" t="n"/>
      <c r="L233" s="50" t="n"/>
      <c r="M233" s="46">
        <f>N233-SUM(C233:L233)</f>
        <v/>
      </c>
      <c r="N233" s="49" t="n"/>
      <c r="O233" s="50" t="n"/>
      <c r="P233" s="50" t="n"/>
      <c r="Q233" s="50" t="n"/>
      <c r="R233" s="50" t="n"/>
      <c r="S233" s="50" t="n"/>
      <c r="T233" s="50" t="n"/>
      <c r="U233" s="50" t="n"/>
      <c r="V233" s="50" t="n"/>
      <c r="W233" s="50" t="n"/>
      <c r="X233" s="50" t="n"/>
      <c r="Y233" s="50" t="n"/>
    </row>
    <row r="234">
      <c r="A234" s="78" t="n">
        <v>46313</v>
      </c>
      <c r="B234" s="45" t="inlineStr">
        <is>
          <t>N7</t>
        </is>
      </c>
      <c r="C234" s="50" t="n"/>
      <c r="D234" s="50" t="n"/>
      <c r="E234" s="50" t="n"/>
      <c r="F234" s="50" t="n"/>
      <c r="G234" s="50" t="n"/>
      <c r="H234" s="50" t="n"/>
      <c r="I234" s="50" t="n"/>
      <c r="J234" s="50" t="n"/>
      <c r="K234" s="50" t="n"/>
      <c r="L234" s="50" t="n"/>
      <c r="M234" s="46">
        <f>N234-SUM(C234:L234)</f>
        <v/>
      </c>
      <c r="N234" s="49" t="n"/>
      <c r="O234" s="50" t="n"/>
      <c r="P234" s="50" t="n"/>
      <c r="Q234" s="50" t="n"/>
      <c r="R234" s="50" t="n"/>
      <c r="S234" s="50" t="n"/>
      <c r="T234" s="50" t="n"/>
      <c r="U234" s="50" t="n"/>
      <c r="V234" s="50" t="n"/>
      <c r="W234" s="50" t="n"/>
      <c r="X234" s="50" t="n"/>
      <c r="Y234" s="50" t="n"/>
    </row>
    <row r="235">
      <c r="A235" s="78" t="n">
        <v>46314</v>
      </c>
      <c r="B235" s="45" t="inlineStr">
        <is>
          <t>N7</t>
        </is>
      </c>
      <c r="C235" s="50" t="n"/>
      <c r="D235" s="50" t="n"/>
      <c r="E235" s="50" t="n"/>
      <c r="F235" s="50" t="n"/>
      <c r="G235" s="50" t="n"/>
      <c r="H235" s="50" t="n"/>
      <c r="I235" s="50" t="n"/>
      <c r="J235" s="50" t="n"/>
      <c r="K235" s="50" t="n"/>
      <c r="L235" s="50" t="n"/>
      <c r="M235" s="46">
        <f>N235-SUM(C235:L235)</f>
        <v/>
      </c>
      <c r="N235" s="49" t="n"/>
      <c r="O235" s="50" t="n"/>
      <c r="P235" s="50" t="n"/>
      <c r="Q235" s="50" t="n"/>
      <c r="R235" s="50" t="n"/>
      <c r="S235" s="50" t="n"/>
      <c r="T235" s="50" t="n"/>
      <c r="U235" s="50" t="n"/>
      <c r="V235" s="50" t="n"/>
      <c r="W235" s="50" t="n"/>
      <c r="X235" s="50" t="n"/>
      <c r="Y235" s="50" t="n"/>
    </row>
    <row r="236">
      <c r="A236" s="78" t="n">
        <v>46315</v>
      </c>
      <c r="B236" s="45" t="inlineStr">
        <is>
          <t>N7</t>
        </is>
      </c>
      <c r="C236" s="50" t="n"/>
      <c r="D236" s="50" t="n"/>
      <c r="E236" s="50" t="n"/>
      <c r="F236" s="50" t="n"/>
      <c r="G236" s="50" t="n"/>
      <c r="H236" s="50" t="n"/>
      <c r="I236" s="50" t="n"/>
      <c r="J236" s="50" t="n"/>
      <c r="K236" s="50" t="n"/>
      <c r="L236" s="50" t="n"/>
      <c r="M236" s="46">
        <f>N236-SUM(C236:L236)</f>
        <v/>
      </c>
      <c r="N236" s="49" t="n"/>
      <c r="O236" s="50" t="n"/>
      <c r="P236" s="50" t="n"/>
      <c r="Q236" s="50" t="n"/>
      <c r="R236" s="50" t="n"/>
      <c r="S236" s="50" t="n"/>
      <c r="T236" s="50" t="n"/>
      <c r="U236" s="50" t="n"/>
      <c r="V236" s="50" t="n"/>
      <c r="W236" s="50" t="n"/>
      <c r="X236" s="50" t="n"/>
      <c r="Y236" s="50" t="n"/>
    </row>
    <row r="237">
      <c r="A237" s="78" t="n">
        <v>46316</v>
      </c>
      <c r="B237" s="45" t="inlineStr">
        <is>
          <t>N7</t>
        </is>
      </c>
      <c r="C237" s="50" t="n"/>
      <c r="D237" s="50" t="n"/>
      <c r="E237" s="50" t="n"/>
      <c r="F237" s="50" t="n"/>
      <c r="G237" s="50" t="n"/>
      <c r="H237" s="50" t="n"/>
      <c r="I237" s="50" t="n"/>
      <c r="J237" s="50" t="n"/>
      <c r="K237" s="50" t="n"/>
      <c r="L237" s="50" t="n"/>
      <c r="M237" s="46">
        <f>N237-SUM(C237:L237)</f>
        <v/>
      </c>
      <c r="N237" s="49" t="n"/>
      <c r="O237" s="50" t="n"/>
      <c r="P237" s="50" t="n"/>
      <c r="Q237" s="50" t="n"/>
      <c r="R237" s="50" t="n"/>
      <c r="S237" s="50" t="n"/>
      <c r="T237" s="50" t="n"/>
      <c r="U237" s="50" t="n"/>
      <c r="V237" s="50" t="n"/>
      <c r="W237" s="50" t="n"/>
      <c r="X237" s="50" t="n"/>
      <c r="Y237" s="50" t="n"/>
    </row>
    <row r="238">
      <c r="A238" s="78" t="n">
        <v>46317</v>
      </c>
      <c r="B238" s="45" t="inlineStr">
        <is>
          <t>N7</t>
        </is>
      </c>
      <c r="C238" s="50" t="n"/>
      <c r="D238" s="50" t="n"/>
      <c r="E238" s="50" t="n"/>
      <c r="F238" s="50" t="n"/>
      <c r="G238" s="50" t="n"/>
      <c r="H238" s="50" t="n"/>
      <c r="I238" s="50" t="n"/>
      <c r="J238" s="50" t="n"/>
      <c r="K238" s="50" t="n"/>
      <c r="L238" s="50" t="n"/>
      <c r="M238" s="46">
        <f>N238-SUM(C238:L238)</f>
        <v/>
      </c>
      <c r="N238" s="49" t="n"/>
      <c r="O238" s="50" t="n"/>
      <c r="P238" s="50" t="n"/>
      <c r="Q238" s="50" t="n"/>
      <c r="R238" s="50" t="n"/>
      <c r="S238" s="50" t="n"/>
      <c r="T238" s="50" t="n"/>
      <c r="U238" s="50" t="n"/>
      <c r="V238" s="50" t="n"/>
      <c r="W238" s="50" t="n"/>
      <c r="X238" s="50" t="n"/>
      <c r="Y238" s="50" t="n"/>
    </row>
    <row r="239">
      <c r="A239" s="78" t="n">
        <v>46318</v>
      </c>
      <c r="B239" s="45" t="inlineStr">
        <is>
          <t>N7</t>
        </is>
      </c>
      <c r="C239" s="50" t="n"/>
      <c r="D239" s="50" t="n"/>
      <c r="E239" s="50" t="n"/>
      <c r="F239" s="50" t="n"/>
      <c r="G239" s="50" t="n"/>
      <c r="H239" s="50" t="n"/>
      <c r="I239" s="50" t="n"/>
      <c r="J239" s="50" t="n"/>
      <c r="K239" s="50" t="n"/>
      <c r="L239" s="50" t="n"/>
      <c r="M239" s="46">
        <f>N239-SUM(C239:L239)</f>
        <v/>
      </c>
      <c r="N239" s="49" t="n"/>
      <c r="O239" s="50" t="n"/>
      <c r="P239" s="50" t="n"/>
      <c r="Q239" s="50" t="n"/>
      <c r="R239" s="50" t="n"/>
      <c r="S239" s="50" t="n"/>
      <c r="T239" s="50" t="n"/>
      <c r="U239" s="50" t="n"/>
      <c r="V239" s="50" t="n"/>
      <c r="W239" s="50" t="n"/>
      <c r="X239" s="50" t="n"/>
      <c r="Y239" s="50" t="n"/>
    </row>
    <row r="240">
      <c r="A240" s="78" t="n">
        <v>46319</v>
      </c>
      <c r="B240" s="45" t="inlineStr">
        <is>
          <t>N7</t>
        </is>
      </c>
      <c r="C240" s="50" t="n"/>
      <c r="D240" s="50" t="n"/>
      <c r="E240" s="50" t="n"/>
      <c r="F240" s="50" t="n"/>
      <c r="G240" s="50" t="n"/>
      <c r="H240" s="50" t="n"/>
      <c r="I240" s="50" t="n"/>
      <c r="J240" s="50" t="n"/>
      <c r="K240" s="50" t="n"/>
      <c r="L240" s="50" t="n"/>
      <c r="M240" s="46">
        <f>N240-SUM(C240:L240)</f>
        <v/>
      </c>
      <c r="N240" s="49" t="n"/>
      <c r="O240" s="50" t="n"/>
      <c r="P240" s="50" t="n"/>
      <c r="Q240" s="50" t="n"/>
      <c r="R240" s="50" t="n"/>
      <c r="S240" s="50" t="n"/>
      <c r="T240" s="50" t="n"/>
      <c r="U240" s="50" t="n"/>
      <c r="V240" s="50" t="n"/>
      <c r="W240" s="50" t="n"/>
      <c r="X240" s="50" t="n"/>
      <c r="Y240" s="50" t="n"/>
    </row>
    <row r="241">
      <c r="A241" s="78" t="n">
        <v>46320</v>
      </c>
      <c r="B241" s="45" t="inlineStr">
        <is>
          <t>N7</t>
        </is>
      </c>
      <c r="C241" s="50" t="n"/>
      <c r="D241" s="50" t="n"/>
      <c r="E241" s="50" t="n"/>
      <c r="F241" s="50" t="n"/>
      <c r="G241" s="50" t="n"/>
      <c r="H241" s="50" t="n"/>
      <c r="I241" s="50" t="n"/>
      <c r="J241" s="50" t="n"/>
      <c r="K241" s="50" t="n"/>
      <c r="L241" s="50" t="n"/>
      <c r="M241" s="46">
        <f>N241-SUM(C241:L241)</f>
        <v/>
      </c>
      <c r="N241" s="49" t="n"/>
      <c r="O241" s="50" t="n"/>
      <c r="P241" s="50" t="n"/>
      <c r="Q241" s="50" t="n"/>
      <c r="R241" s="50" t="n"/>
      <c r="S241" s="50" t="n"/>
      <c r="T241" s="50" t="n"/>
      <c r="U241" s="50" t="n"/>
      <c r="V241" s="50" t="n"/>
      <c r="W241" s="50" t="n"/>
      <c r="X241" s="50" t="n"/>
      <c r="Y241" s="50" t="n"/>
    </row>
    <row r="242">
      <c r="A242" s="78" t="n">
        <v>46321</v>
      </c>
      <c r="B242" s="45" t="inlineStr">
        <is>
          <t>N7</t>
        </is>
      </c>
      <c r="C242" s="50" t="n"/>
      <c r="D242" s="50" t="n"/>
      <c r="E242" s="50" t="n"/>
      <c r="F242" s="50" t="n"/>
      <c r="G242" s="50" t="n"/>
      <c r="H242" s="50" t="n"/>
      <c r="I242" s="50" t="n"/>
      <c r="J242" s="50" t="n"/>
      <c r="K242" s="50" t="n"/>
      <c r="L242" s="50" t="n"/>
      <c r="M242" s="46">
        <f>N242-SUM(C242:L242)</f>
        <v/>
      </c>
      <c r="N242" s="49" t="n"/>
      <c r="O242" s="50" t="n"/>
      <c r="P242" s="50" t="n"/>
      <c r="Q242" s="50" t="n"/>
      <c r="R242" s="50" t="n"/>
      <c r="S242" s="50" t="n"/>
      <c r="T242" s="50" t="n"/>
      <c r="U242" s="50" t="n"/>
      <c r="V242" s="50" t="n"/>
      <c r="W242" s="50" t="n"/>
      <c r="X242" s="50" t="n"/>
      <c r="Y242" s="50" t="n"/>
    </row>
    <row r="243">
      <c r="A243" s="78" t="n">
        <v>46322</v>
      </c>
      <c r="B243" s="45" t="inlineStr">
        <is>
          <t>N7</t>
        </is>
      </c>
      <c r="C243" s="50" t="n"/>
      <c r="D243" s="50" t="n"/>
      <c r="E243" s="50" t="n"/>
      <c r="F243" s="50" t="n"/>
      <c r="G243" s="50" t="n"/>
      <c r="H243" s="50" t="n"/>
      <c r="I243" s="50" t="n"/>
      <c r="J243" s="50" t="n"/>
      <c r="K243" s="50" t="n"/>
      <c r="L243" s="50" t="n"/>
      <c r="M243" s="46">
        <f>N243-SUM(C243:L243)</f>
        <v/>
      </c>
      <c r="N243" s="49" t="n"/>
      <c r="O243" s="50" t="n"/>
      <c r="P243" s="50" t="n"/>
      <c r="Q243" s="50" t="n"/>
      <c r="R243" s="50" t="n"/>
      <c r="S243" s="50" t="n"/>
      <c r="T243" s="50" t="n"/>
      <c r="U243" s="50" t="n"/>
      <c r="V243" s="50" t="n"/>
      <c r="W243" s="50" t="n"/>
      <c r="X243" s="50" t="n"/>
      <c r="Y243" s="50" t="n"/>
    </row>
    <row r="244">
      <c r="A244" s="78" t="n">
        <v>46323</v>
      </c>
      <c r="B244" s="45" t="inlineStr">
        <is>
          <t>N7</t>
        </is>
      </c>
      <c r="C244" s="50" t="n"/>
      <c r="D244" s="50" t="n"/>
      <c r="E244" s="50" t="n"/>
      <c r="F244" s="50" t="n"/>
      <c r="G244" s="50" t="n"/>
      <c r="H244" s="50" t="n"/>
      <c r="I244" s="50" t="n"/>
      <c r="J244" s="50" t="n"/>
      <c r="K244" s="50" t="n"/>
      <c r="L244" s="50" t="n"/>
      <c r="M244" s="46">
        <f>N244-SUM(C244:L244)</f>
        <v/>
      </c>
      <c r="N244" s="49" t="n"/>
      <c r="O244" s="50" t="n"/>
      <c r="P244" s="50" t="n"/>
      <c r="Q244" s="50" t="n"/>
      <c r="R244" s="50" t="n"/>
      <c r="S244" s="50" t="n"/>
      <c r="T244" s="50" t="n"/>
      <c r="U244" s="50" t="n"/>
      <c r="V244" s="50" t="n"/>
      <c r="W244" s="50" t="n"/>
      <c r="X244" s="50" t="n"/>
      <c r="Y244" s="50" t="n"/>
    </row>
    <row r="245">
      <c r="A245" s="78" t="n">
        <v>46324</v>
      </c>
      <c r="B245" s="45" t="inlineStr">
        <is>
          <t>N7</t>
        </is>
      </c>
      <c r="C245" s="50" t="n"/>
      <c r="D245" s="50" t="n"/>
      <c r="E245" s="50" t="n"/>
      <c r="F245" s="50" t="n"/>
      <c r="G245" s="50" t="n"/>
      <c r="H245" s="50" t="n"/>
      <c r="I245" s="50" t="n"/>
      <c r="J245" s="50" t="n"/>
      <c r="K245" s="50" t="n"/>
      <c r="L245" s="50" t="n"/>
      <c r="M245" s="46">
        <f>N245-SUM(C245:L245)</f>
        <v/>
      </c>
      <c r="N245" s="49" t="n"/>
      <c r="O245" s="50" t="n"/>
      <c r="P245" s="50" t="n"/>
      <c r="Q245" s="50" t="n"/>
      <c r="R245" s="50" t="n"/>
      <c r="S245" s="50" t="n"/>
      <c r="T245" s="50" t="n"/>
      <c r="U245" s="50" t="n"/>
      <c r="V245" s="50" t="n"/>
      <c r="W245" s="50" t="n"/>
      <c r="X245" s="50" t="n"/>
      <c r="Y245" s="50" t="n"/>
    </row>
    <row r="246">
      <c r="A246" s="78" t="n">
        <v>46325</v>
      </c>
      <c r="B246" s="45" t="inlineStr">
        <is>
          <t>N7</t>
        </is>
      </c>
      <c r="C246" s="50" t="n"/>
      <c r="D246" s="50" t="n"/>
      <c r="E246" s="50" t="n"/>
      <c r="F246" s="50" t="n"/>
      <c r="G246" s="50" t="n"/>
      <c r="H246" s="50" t="n"/>
      <c r="I246" s="50" t="n"/>
      <c r="J246" s="50" t="n"/>
      <c r="K246" s="50" t="n"/>
      <c r="L246" s="50" t="n"/>
      <c r="M246" s="46">
        <f>N246-SUM(C246:L246)</f>
        <v/>
      </c>
      <c r="N246" s="49" t="n"/>
      <c r="O246" s="50" t="n"/>
      <c r="P246" s="50" t="n"/>
      <c r="Q246" s="50" t="n"/>
      <c r="R246" s="50" t="n"/>
      <c r="S246" s="50" t="n"/>
      <c r="T246" s="50" t="n"/>
      <c r="U246" s="50" t="n"/>
      <c r="V246" s="50" t="n"/>
      <c r="W246" s="50" t="n"/>
      <c r="X246" s="50" t="n"/>
      <c r="Y246" s="50" t="n"/>
    </row>
    <row r="247">
      <c r="A247" s="78" t="n">
        <v>46326</v>
      </c>
      <c r="B247" s="45" t="inlineStr">
        <is>
          <t>N7</t>
        </is>
      </c>
      <c r="C247" s="50" t="n"/>
      <c r="D247" s="50" t="n"/>
      <c r="E247" s="50" t="n"/>
      <c r="F247" s="50" t="n"/>
      <c r="G247" s="50" t="n"/>
      <c r="H247" s="50" t="n"/>
      <c r="I247" s="50" t="n"/>
      <c r="J247" s="50" t="n"/>
      <c r="K247" s="50" t="n"/>
      <c r="L247" s="50" t="n"/>
      <c r="M247" s="46">
        <f>N247-SUM(C247:L247)</f>
        <v/>
      </c>
      <c r="N247" s="49" t="n"/>
      <c r="O247" s="50" t="n"/>
      <c r="P247" s="50" t="n"/>
      <c r="Q247" s="50" t="n"/>
      <c r="R247" s="50" t="n"/>
      <c r="S247" s="50" t="n"/>
      <c r="T247" s="50" t="n"/>
      <c r="U247" s="50" t="n"/>
      <c r="V247" s="50" t="n"/>
      <c r="W247" s="50" t="n"/>
      <c r="X247" s="50" t="n"/>
      <c r="Y247" s="50" t="n"/>
    </row>
    <row r="248">
      <c r="A248" s="78" t="n">
        <v>46327</v>
      </c>
      <c r="B248" s="45" t="inlineStr">
        <is>
          <t>N7</t>
        </is>
      </c>
      <c r="C248" s="50" t="n"/>
      <c r="D248" s="50" t="n"/>
      <c r="E248" s="50" t="n"/>
      <c r="F248" s="50" t="n"/>
      <c r="G248" s="50" t="n"/>
      <c r="H248" s="50" t="n"/>
      <c r="I248" s="50" t="n"/>
      <c r="J248" s="50" t="n"/>
      <c r="K248" s="50" t="n"/>
      <c r="L248" s="50" t="n"/>
      <c r="M248" s="46">
        <f>N248-SUM(C248:L248)</f>
        <v/>
      </c>
      <c r="N248" s="49" t="n"/>
      <c r="O248" s="50" t="n"/>
      <c r="P248" s="50" t="n"/>
      <c r="Q248" s="50" t="n"/>
      <c r="R248" s="50" t="n"/>
      <c r="S248" s="50" t="n"/>
      <c r="T248" s="50" t="n"/>
      <c r="U248" s="50" t="n"/>
      <c r="V248" s="50" t="n"/>
      <c r="W248" s="50" t="n"/>
      <c r="X248" s="50" t="n"/>
      <c r="Y248" s="50" t="n"/>
    </row>
    <row r="249">
      <c r="A249" s="78" t="n">
        <v>46328</v>
      </c>
      <c r="B249" s="45" t="inlineStr">
        <is>
          <t>N7</t>
        </is>
      </c>
      <c r="C249" s="50" t="n"/>
      <c r="D249" s="50" t="n"/>
      <c r="E249" s="50" t="n"/>
      <c r="F249" s="50" t="n"/>
      <c r="G249" s="50" t="n"/>
      <c r="H249" s="50" t="n"/>
      <c r="I249" s="50" t="n"/>
      <c r="J249" s="50" t="n"/>
      <c r="K249" s="50" t="n"/>
      <c r="L249" s="50" t="n"/>
      <c r="M249" s="46">
        <f>N249-SUM(C249:L249)</f>
        <v/>
      </c>
      <c r="N249" s="49" t="n"/>
      <c r="O249" s="50" t="n"/>
      <c r="P249" s="50" t="n"/>
      <c r="Q249" s="50" t="n"/>
      <c r="R249" s="50" t="n"/>
      <c r="S249" s="50" t="n"/>
      <c r="T249" s="50" t="n"/>
      <c r="U249" s="50" t="n"/>
      <c r="V249" s="50" t="n"/>
      <c r="W249" s="50" t="n"/>
      <c r="X249" s="50" t="n"/>
      <c r="Y249" s="50" t="n"/>
    </row>
    <row r="250">
      <c r="A250" s="78" t="n">
        <v>46329</v>
      </c>
      <c r="B250" s="45" t="inlineStr">
        <is>
          <t>N7</t>
        </is>
      </c>
      <c r="C250" s="50" t="n"/>
      <c r="D250" s="50" t="n"/>
      <c r="E250" s="50" t="n"/>
      <c r="F250" s="50" t="n"/>
      <c r="G250" s="50" t="n"/>
      <c r="H250" s="50" t="n"/>
      <c r="I250" s="50" t="n"/>
      <c r="J250" s="50" t="n"/>
      <c r="K250" s="50" t="n"/>
      <c r="L250" s="50" t="n"/>
      <c r="M250" s="46">
        <f>N250-SUM(C250:L250)</f>
        <v/>
      </c>
      <c r="N250" s="49" t="n"/>
      <c r="O250" s="50" t="n"/>
      <c r="P250" s="50" t="n"/>
      <c r="Q250" s="50" t="n"/>
      <c r="R250" s="50" t="n"/>
      <c r="S250" s="50" t="n"/>
      <c r="T250" s="50" t="n"/>
      <c r="U250" s="50" t="n"/>
      <c r="V250" s="50" t="n"/>
      <c r="W250" s="50" t="n"/>
      <c r="X250" s="50" t="n"/>
      <c r="Y250" s="50" t="n"/>
    </row>
    <row r="251">
      <c r="A251" s="78" t="n">
        <v>46330</v>
      </c>
      <c r="B251" s="45" t="inlineStr">
        <is>
          <t>N7</t>
        </is>
      </c>
      <c r="C251" s="50" t="n"/>
      <c r="D251" s="50" t="n"/>
      <c r="E251" s="50" t="n"/>
      <c r="F251" s="50" t="n"/>
      <c r="G251" s="50" t="n"/>
      <c r="H251" s="50" t="n"/>
      <c r="I251" s="50" t="n"/>
      <c r="J251" s="50" t="n"/>
      <c r="K251" s="50" t="n"/>
      <c r="L251" s="50" t="n"/>
      <c r="M251" s="46">
        <f>N251-SUM(C251:L251)</f>
        <v/>
      </c>
      <c r="N251" s="49" t="n"/>
      <c r="O251" s="50" t="n"/>
      <c r="P251" s="50" t="n"/>
      <c r="Q251" s="50" t="n"/>
      <c r="R251" s="50" t="n"/>
      <c r="S251" s="50" t="n"/>
      <c r="T251" s="50" t="n"/>
      <c r="U251" s="50" t="n"/>
      <c r="V251" s="50" t="n"/>
      <c r="W251" s="50" t="n"/>
      <c r="X251" s="50" t="n"/>
      <c r="Y251" s="50" t="n"/>
    </row>
    <row r="252">
      <c r="A252" s="78" t="n">
        <v>46331</v>
      </c>
      <c r="B252" s="45" t="inlineStr">
        <is>
          <t>N7</t>
        </is>
      </c>
      <c r="C252" s="50" t="n"/>
      <c r="D252" s="50" t="n"/>
      <c r="E252" s="50" t="n"/>
      <c r="F252" s="50" t="n"/>
      <c r="G252" s="50" t="n"/>
      <c r="H252" s="50" t="n"/>
      <c r="I252" s="50" t="n"/>
      <c r="J252" s="50" t="n"/>
      <c r="K252" s="50" t="n"/>
      <c r="L252" s="50" t="n"/>
      <c r="M252" s="46">
        <f>N252-SUM(C252:L252)</f>
        <v/>
      </c>
      <c r="N252" s="49" t="n"/>
      <c r="O252" s="50" t="n"/>
      <c r="P252" s="50" t="n"/>
      <c r="Q252" s="50" t="n"/>
      <c r="R252" s="50" t="n"/>
      <c r="S252" s="50" t="n"/>
      <c r="T252" s="50" t="n"/>
      <c r="U252" s="50" t="n"/>
      <c r="V252" s="50" t="n"/>
      <c r="W252" s="50" t="n"/>
      <c r="X252" s="50" t="n"/>
      <c r="Y252" s="50" t="n"/>
    </row>
    <row r="253">
      <c r="A253" s="78" t="n">
        <v>46332</v>
      </c>
      <c r="B253" s="45" t="inlineStr">
        <is>
          <t>N7</t>
        </is>
      </c>
      <c r="C253" s="50" t="n"/>
      <c r="D253" s="50" t="n"/>
      <c r="E253" s="50" t="n"/>
      <c r="F253" s="50" t="n"/>
      <c r="G253" s="50" t="n"/>
      <c r="H253" s="50" t="n"/>
      <c r="I253" s="50" t="n"/>
      <c r="J253" s="50" t="n"/>
      <c r="K253" s="50" t="n"/>
      <c r="L253" s="50" t="n"/>
      <c r="M253" s="46">
        <f>N253-SUM(C253:L253)</f>
        <v/>
      </c>
      <c r="N253" s="49" t="n"/>
      <c r="O253" s="50" t="n"/>
      <c r="P253" s="50" t="n"/>
      <c r="Q253" s="50" t="n"/>
      <c r="R253" s="50" t="n"/>
      <c r="S253" s="50" t="n"/>
      <c r="T253" s="50" t="n"/>
      <c r="U253" s="50" t="n"/>
      <c r="V253" s="50" t="n"/>
      <c r="W253" s="50" t="n"/>
      <c r="X253" s="50" t="n"/>
      <c r="Y253" s="50" t="n"/>
    </row>
    <row r="254">
      <c r="A254" s="78" t="n">
        <v>46333</v>
      </c>
      <c r="B254" s="45" t="inlineStr">
        <is>
          <t>N7</t>
        </is>
      </c>
      <c r="C254" s="50" t="n"/>
      <c r="D254" s="50" t="n"/>
      <c r="E254" s="50" t="n"/>
      <c r="F254" s="50" t="n"/>
      <c r="G254" s="50" t="n"/>
      <c r="H254" s="50" t="n"/>
      <c r="I254" s="50" t="n"/>
      <c r="J254" s="50" t="n"/>
      <c r="K254" s="50" t="n"/>
      <c r="L254" s="50" t="n"/>
      <c r="M254" s="46">
        <f>N254-SUM(C254:L254)</f>
        <v/>
      </c>
      <c r="N254" s="49" t="n"/>
      <c r="O254" s="50" t="n"/>
      <c r="P254" s="50" t="n"/>
      <c r="Q254" s="50" t="n"/>
      <c r="R254" s="50" t="n"/>
      <c r="S254" s="50" t="n"/>
      <c r="T254" s="50" t="n"/>
      <c r="U254" s="50" t="n"/>
      <c r="V254" s="50" t="n"/>
      <c r="W254" s="50" t="n"/>
      <c r="X254" s="50" t="n"/>
      <c r="Y254" s="50" t="n"/>
    </row>
    <row r="255">
      <c r="A255" s="78" t="n">
        <v>46334</v>
      </c>
      <c r="B255" s="45" t="inlineStr">
        <is>
          <t>N7</t>
        </is>
      </c>
      <c r="C255" s="50" t="n"/>
      <c r="D255" s="50" t="n"/>
      <c r="E255" s="50" t="n"/>
      <c r="F255" s="50" t="n"/>
      <c r="G255" s="50" t="n"/>
      <c r="H255" s="50" t="n"/>
      <c r="I255" s="50" t="n"/>
      <c r="J255" s="50" t="n"/>
      <c r="K255" s="50" t="n"/>
      <c r="L255" s="50" t="n"/>
      <c r="M255" s="46">
        <f>N255-SUM(C255:L255)</f>
        <v/>
      </c>
      <c r="N255" s="49" t="n"/>
      <c r="O255" s="50" t="n"/>
      <c r="P255" s="50" t="n"/>
      <c r="Q255" s="50" t="n"/>
      <c r="R255" s="50" t="n"/>
      <c r="S255" s="50" t="n"/>
      <c r="T255" s="50" t="n"/>
      <c r="U255" s="50" t="n"/>
      <c r="V255" s="50" t="n"/>
      <c r="W255" s="50" t="n"/>
      <c r="X255" s="50" t="n"/>
      <c r="Y255" s="50" t="n"/>
    </row>
    <row r="256">
      <c r="A256" s="78" t="n">
        <v>46335</v>
      </c>
      <c r="B256" s="45" t="inlineStr">
        <is>
          <t>N7</t>
        </is>
      </c>
      <c r="C256" s="50" t="n"/>
      <c r="D256" s="50" t="n"/>
      <c r="E256" s="50" t="n"/>
      <c r="F256" s="50" t="n"/>
      <c r="G256" s="50" t="n"/>
      <c r="H256" s="50" t="n"/>
      <c r="I256" s="50" t="n"/>
      <c r="J256" s="50" t="n"/>
      <c r="K256" s="50" t="n"/>
      <c r="L256" s="50" t="n"/>
      <c r="M256" s="46">
        <f>N256-SUM(C256:L256)</f>
        <v/>
      </c>
      <c r="N256" s="49" t="n"/>
      <c r="O256" s="50" t="n"/>
      <c r="P256" s="50" t="n"/>
      <c r="Q256" s="50" t="n"/>
      <c r="R256" s="50" t="n"/>
      <c r="S256" s="50" t="n"/>
      <c r="T256" s="50" t="n"/>
      <c r="U256" s="50" t="n"/>
      <c r="V256" s="50" t="n"/>
      <c r="W256" s="50" t="n"/>
      <c r="X256" s="50" t="n"/>
      <c r="Y256" s="50" t="n"/>
    </row>
    <row r="257">
      <c r="A257" s="78" t="n">
        <v>46336</v>
      </c>
      <c r="B257" s="45" t="inlineStr">
        <is>
          <t>N7</t>
        </is>
      </c>
      <c r="C257" s="50" t="n"/>
      <c r="D257" s="50" t="n"/>
      <c r="E257" s="50" t="n"/>
      <c r="F257" s="50" t="n"/>
      <c r="G257" s="50" t="n"/>
      <c r="H257" s="50" t="n"/>
      <c r="I257" s="50" t="n"/>
      <c r="J257" s="50" t="n"/>
      <c r="K257" s="50" t="n"/>
      <c r="L257" s="50" t="n"/>
      <c r="M257" s="46">
        <f>N257-SUM(C257:L257)</f>
        <v/>
      </c>
      <c r="N257" s="49" t="n"/>
      <c r="O257" s="50" t="n"/>
      <c r="P257" s="50" t="n"/>
      <c r="Q257" s="50" t="n"/>
      <c r="R257" s="50" t="n"/>
      <c r="S257" s="50" t="n"/>
      <c r="T257" s="50" t="n"/>
      <c r="U257" s="50" t="n"/>
      <c r="V257" s="50" t="n"/>
      <c r="W257" s="50" t="n"/>
      <c r="X257" s="50" t="n"/>
      <c r="Y257" s="50" t="n"/>
    </row>
    <row r="258">
      <c r="A258" s="78" t="n">
        <v>46337</v>
      </c>
      <c r="B258" s="45" t="inlineStr">
        <is>
          <t>N7</t>
        </is>
      </c>
      <c r="C258" s="50" t="n"/>
      <c r="D258" s="50" t="n"/>
      <c r="E258" s="50" t="n"/>
      <c r="F258" s="50" t="n"/>
      <c r="G258" s="50" t="n"/>
      <c r="H258" s="50" t="n"/>
      <c r="I258" s="50" t="n"/>
      <c r="J258" s="50" t="n"/>
      <c r="K258" s="50" t="n"/>
      <c r="L258" s="50" t="n"/>
      <c r="M258" s="46">
        <f>N258-SUM(C258:L258)</f>
        <v/>
      </c>
      <c r="N258" s="49" t="n"/>
      <c r="O258" s="50" t="n"/>
      <c r="P258" s="50" t="n"/>
      <c r="Q258" s="50" t="n"/>
      <c r="R258" s="50" t="n"/>
      <c r="S258" s="50" t="n"/>
      <c r="T258" s="50" t="n"/>
      <c r="U258" s="50" t="n"/>
      <c r="V258" s="50" t="n"/>
      <c r="W258" s="50" t="n"/>
      <c r="X258" s="50" t="n"/>
      <c r="Y258" s="50" t="n"/>
    </row>
    <row r="259">
      <c r="A259" s="78" t="n">
        <v>46338</v>
      </c>
      <c r="B259" s="45" t="inlineStr">
        <is>
          <t>N7</t>
        </is>
      </c>
      <c r="C259" s="50" t="n"/>
      <c r="D259" s="50" t="n"/>
      <c r="E259" s="50" t="n"/>
      <c r="F259" s="50" t="n"/>
      <c r="G259" s="50" t="n"/>
      <c r="H259" s="50" t="n"/>
      <c r="I259" s="50" t="n"/>
      <c r="J259" s="50" t="n"/>
      <c r="K259" s="50" t="n"/>
      <c r="L259" s="50" t="n"/>
      <c r="M259" s="46">
        <f>N259-SUM(C259:L259)</f>
        <v/>
      </c>
      <c r="N259" s="49" t="n"/>
      <c r="O259" s="50" t="n"/>
      <c r="P259" s="50" t="n"/>
      <c r="Q259" s="50" t="n"/>
      <c r="R259" s="50" t="n"/>
      <c r="S259" s="50" t="n"/>
      <c r="T259" s="50" t="n"/>
      <c r="U259" s="50" t="n"/>
      <c r="V259" s="50" t="n"/>
      <c r="W259" s="50" t="n"/>
      <c r="X259" s="50" t="n"/>
      <c r="Y259" s="50" t="n"/>
    </row>
    <row r="260">
      <c r="A260" s="78" t="n">
        <v>46339</v>
      </c>
      <c r="B260" s="45" t="inlineStr">
        <is>
          <t>N7</t>
        </is>
      </c>
      <c r="C260" s="50" t="n"/>
      <c r="D260" s="50" t="n"/>
      <c r="E260" s="50" t="n"/>
      <c r="F260" s="50" t="n"/>
      <c r="G260" s="50" t="n"/>
      <c r="H260" s="50" t="n"/>
      <c r="I260" s="50" t="n"/>
      <c r="J260" s="50" t="n"/>
      <c r="K260" s="50" t="n"/>
      <c r="L260" s="50" t="n"/>
      <c r="M260" s="46">
        <f>N260-SUM(C260:L260)</f>
        <v/>
      </c>
      <c r="N260" s="49" t="n"/>
      <c r="O260" s="50" t="n"/>
      <c r="P260" s="50" t="n"/>
      <c r="Q260" s="50" t="n"/>
      <c r="R260" s="50" t="n"/>
      <c r="S260" s="50" t="n"/>
      <c r="T260" s="50" t="n"/>
      <c r="U260" s="50" t="n"/>
      <c r="V260" s="50" t="n"/>
      <c r="W260" s="50" t="n"/>
      <c r="X260" s="50" t="n"/>
      <c r="Y260" s="50" t="n"/>
    </row>
    <row r="261">
      <c r="A261" s="78" t="n">
        <v>46340</v>
      </c>
      <c r="B261" s="45" t="inlineStr">
        <is>
          <t>N7</t>
        </is>
      </c>
      <c r="C261" s="50" t="n"/>
      <c r="D261" s="50" t="n"/>
      <c r="E261" s="50" t="n"/>
      <c r="F261" s="50" t="n"/>
      <c r="G261" s="50" t="n"/>
      <c r="H261" s="50" t="n"/>
      <c r="I261" s="50" t="n"/>
      <c r="J261" s="50" t="n"/>
      <c r="K261" s="50" t="n"/>
      <c r="L261" s="50" t="n"/>
      <c r="M261" s="46">
        <f>N261-SUM(C261:L261)</f>
        <v/>
      </c>
      <c r="N261" s="49" t="n"/>
      <c r="O261" s="50" t="n"/>
      <c r="P261" s="50" t="n"/>
      <c r="Q261" s="50" t="n"/>
      <c r="R261" s="50" t="n"/>
      <c r="S261" s="50" t="n"/>
      <c r="T261" s="50" t="n"/>
      <c r="U261" s="50" t="n"/>
      <c r="V261" s="50" t="n"/>
      <c r="W261" s="50" t="n"/>
      <c r="X261" s="50" t="n"/>
      <c r="Y261" s="50" t="n"/>
    </row>
    <row r="262">
      <c r="A262" s="78" t="n">
        <v>46341</v>
      </c>
      <c r="B262" s="45" t="inlineStr">
        <is>
          <t>N7</t>
        </is>
      </c>
      <c r="C262" s="50" t="n"/>
      <c r="D262" s="50" t="n"/>
      <c r="E262" s="50" t="n"/>
      <c r="F262" s="50" t="n"/>
      <c r="G262" s="50" t="n"/>
      <c r="H262" s="50" t="n"/>
      <c r="I262" s="50" t="n"/>
      <c r="J262" s="50" t="n"/>
      <c r="K262" s="50" t="n"/>
      <c r="L262" s="50" t="n"/>
      <c r="M262" s="46">
        <f>N262-SUM(C262:L262)</f>
        <v/>
      </c>
      <c r="N262" s="49" t="n"/>
      <c r="O262" s="50" t="n"/>
      <c r="P262" s="50" t="n"/>
      <c r="Q262" s="50" t="n"/>
      <c r="R262" s="50" t="n"/>
      <c r="S262" s="50" t="n"/>
      <c r="T262" s="50" t="n"/>
      <c r="U262" s="50" t="n"/>
      <c r="V262" s="50" t="n"/>
      <c r="W262" s="50" t="n"/>
      <c r="X262" s="50" t="n"/>
      <c r="Y262" s="50" t="n"/>
    </row>
    <row r="263">
      <c r="A263" s="78" t="n">
        <v>46342</v>
      </c>
      <c r="B263" s="45" t="inlineStr">
        <is>
          <t>N7</t>
        </is>
      </c>
      <c r="C263" s="50" t="n"/>
      <c r="D263" s="50" t="n"/>
      <c r="E263" s="50" t="n"/>
      <c r="F263" s="50" t="n"/>
      <c r="G263" s="50" t="n"/>
      <c r="H263" s="50" t="n"/>
      <c r="I263" s="50" t="n"/>
      <c r="J263" s="50" t="n"/>
      <c r="K263" s="50" t="n"/>
      <c r="L263" s="50" t="n"/>
      <c r="M263" s="46">
        <f>N263-SUM(C263:L263)</f>
        <v/>
      </c>
      <c r="N263" s="49" t="n"/>
      <c r="O263" s="50" t="n"/>
      <c r="P263" s="50" t="n"/>
      <c r="Q263" s="50" t="n"/>
      <c r="R263" s="50" t="n"/>
      <c r="S263" s="50" t="n"/>
      <c r="T263" s="50" t="n"/>
      <c r="U263" s="50" t="n"/>
      <c r="V263" s="50" t="n"/>
      <c r="W263" s="50" t="n"/>
      <c r="X263" s="50" t="n"/>
      <c r="Y263" s="50" t="n"/>
    </row>
    <row r="264">
      <c r="A264" s="78" t="n">
        <v>46343</v>
      </c>
      <c r="B264" s="45" t="inlineStr">
        <is>
          <t>N7</t>
        </is>
      </c>
      <c r="C264" s="50" t="n"/>
      <c r="D264" s="50" t="n"/>
      <c r="E264" s="50" t="n"/>
      <c r="F264" s="50" t="n"/>
      <c r="G264" s="50" t="n"/>
      <c r="H264" s="50" t="n"/>
      <c r="I264" s="50" t="n"/>
      <c r="J264" s="50" t="n"/>
      <c r="K264" s="50" t="n"/>
      <c r="L264" s="50" t="n"/>
      <c r="M264" s="46">
        <f>N264-SUM(C264:L264)</f>
        <v/>
      </c>
      <c r="N264" s="49" t="n"/>
      <c r="O264" s="50" t="n"/>
      <c r="P264" s="50" t="n"/>
      <c r="Q264" s="50" t="n"/>
      <c r="R264" s="50" t="n"/>
      <c r="S264" s="50" t="n"/>
      <c r="T264" s="50" t="n"/>
      <c r="U264" s="50" t="n"/>
      <c r="V264" s="50" t="n"/>
      <c r="W264" s="50" t="n"/>
      <c r="X264" s="50" t="n"/>
      <c r="Y264" s="50" t="n"/>
    </row>
    <row r="265">
      <c r="A265" s="78" t="n">
        <v>46344</v>
      </c>
      <c r="B265" s="45" t="inlineStr">
        <is>
          <t>N7</t>
        </is>
      </c>
      <c r="C265" s="50" t="n"/>
      <c r="D265" s="50" t="n"/>
      <c r="E265" s="50" t="n"/>
      <c r="F265" s="50" t="n"/>
      <c r="G265" s="50" t="n"/>
      <c r="H265" s="50" t="n"/>
      <c r="I265" s="50" t="n"/>
      <c r="J265" s="50" t="n"/>
      <c r="K265" s="50" t="n"/>
      <c r="L265" s="50" t="n"/>
      <c r="M265" s="46">
        <f>N265-SUM(C265:L265)</f>
        <v/>
      </c>
      <c r="N265" s="49" t="n"/>
      <c r="O265" s="50" t="n"/>
      <c r="P265" s="50" t="n"/>
      <c r="Q265" s="50" t="n"/>
      <c r="R265" s="50" t="n"/>
      <c r="S265" s="50" t="n"/>
      <c r="T265" s="50" t="n"/>
      <c r="U265" s="50" t="n"/>
      <c r="V265" s="50" t="n"/>
      <c r="W265" s="50" t="n"/>
      <c r="X265" s="50" t="n"/>
      <c r="Y265" s="50" t="n"/>
    </row>
    <row r="266">
      <c r="A266" s="78" t="n">
        <v>46345</v>
      </c>
      <c r="B266" s="45" t="inlineStr">
        <is>
          <t>N7</t>
        </is>
      </c>
      <c r="C266" s="50" t="n"/>
      <c r="D266" s="50" t="n"/>
      <c r="E266" s="50" t="n"/>
      <c r="F266" s="50" t="n"/>
      <c r="G266" s="50" t="n"/>
      <c r="H266" s="50" t="n"/>
      <c r="I266" s="50" t="n"/>
      <c r="J266" s="50" t="n"/>
      <c r="K266" s="50" t="n"/>
      <c r="L266" s="50" t="n"/>
      <c r="M266" s="46">
        <f>N266-SUM(C266:L266)</f>
        <v/>
      </c>
      <c r="N266" s="49" t="n"/>
      <c r="O266" s="50" t="n"/>
      <c r="P266" s="50" t="n"/>
      <c r="Q266" s="50" t="n"/>
      <c r="R266" s="50" t="n"/>
      <c r="S266" s="50" t="n"/>
      <c r="T266" s="50" t="n"/>
      <c r="U266" s="50" t="n"/>
      <c r="V266" s="50" t="n"/>
      <c r="W266" s="50" t="n"/>
      <c r="X266" s="50" t="n"/>
      <c r="Y266" s="50" t="n"/>
    </row>
    <row r="267">
      <c r="A267" s="78" t="n">
        <v>46346</v>
      </c>
      <c r="B267" s="45" t="inlineStr">
        <is>
          <t>N7</t>
        </is>
      </c>
      <c r="C267" s="50" t="n"/>
      <c r="D267" s="50" t="n"/>
      <c r="E267" s="50" t="n"/>
      <c r="F267" s="50" t="n"/>
      <c r="G267" s="50" t="n"/>
      <c r="H267" s="50" t="n"/>
      <c r="I267" s="50" t="n"/>
      <c r="J267" s="50" t="n"/>
      <c r="K267" s="50" t="n"/>
      <c r="L267" s="50" t="n"/>
      <c r="M267" s="46">
        <f>N267-SUM(C267:L267)</f>
        <v/>
      </c>
      <c r="N267" s="49" t="n"/>
      <c r="O267" s="50" t="n"/>
      <c r="P267" s="50" t="n"/>
      <c r="Q267" s="50" t="n"/>
      <c r="R267" s="50" t="n"/>
      <c r="S267" s="50" t="n"/>
      <c r="T267" s="50" t="n"/>
      <c r="U267" s="50" t="n"/>
      <c r="V267" s="50" t="n"/>
      <c r="W267" s="50" t="n"/>
      <c r="X267" s="50" t="n"/>
      <c r="Y267" s="50" t="n"/>
    </row>
    <row r="268">
      <c r="A268" s="78" t="n">
        <v>46347</v>
      </c>
      <c r="B268" s="45" t="inlineStr">
        <is>
          <t>N7</t>
        </is>
      </c>
      <c r="C268" s="50" t="n"/>
      <c r="D268" s="50" t="n"/>
      <c r="E268" s="50" t="n"/>
      <c r="F268" s="50" t="n"/>
      <c r="G268" s="50" t="n"/>
      <c r="H268" s="50" t="n"/>
      <c r="I268" s="50" t="n"/>
      <c r="J268" s="50" t="n"/>
      <c r="K268" s="50" t="n"/>
      <c r="L268" s="50" t="n"/>
      <c r="M268" s="46">
        <f>N268-SUM(C268:L268)</f>
        <v/>
      </c>
      <c r="N268" s="49" t="n"/>
      <c r="O268" s="50" t="n"/>
      <c r="P268" s="50" t="n"/>
      <c r="Q268" s="50" t="n"/>
      <c r="R268" s="50" t="n"/>
      <c r="S268" s="50" t="n"/>
      <c r="T268" s="50" t="n"/>
      <c r="U268" s="50" t="n"/>
      <c r="V268" s="50" t="n"/>
      <c r="W268" s="50" t="n"/>
      <c r="X268" s="50" t="n"/>
      <c r="Y268" s="50" t="n"/>
    </row>
    <row r="269">
      <c r="A269" s="78" t="n">
        <v>46348</v>
      </c>
      <c r="B269" s="45" t="inlineStr">
        <is>
          <t>N7</t>
        </is>
      </c>
      <c r="C269" s="50" t="n"/>
      <c r="D269" s="50" t="n"/>
      <c r="E269" s="50" t="n"/>
      <c r="F269" s="50" t="n"/>
      <c r="G269" s="50" t="n"/>
      <c r="H269" s="50" t="n"/>
      <c r="I269" s="50" t="n"/>
      <c r="J269" s="50" t="n"/>
      <c r="K269" s="50" t="n"/>
      <c r="L269" s="50" t="n"/>
      <c r="M269" s="46">
        <f>N269-SUM(C269:L269)</f>
        <v/>
      </c>
      <c r="N269" s="49" t="n"/>
      <c r="O269" s="50" t="n"/>
      <c r="P269" s="50" t="n"/>
      <c r="Q269" s="50" t="n"/>
      <c r="R269" s="50" t="n"/>
      <c r="S269" s="50" t="n"/>
      <c r="T269" s="50" t="n"/>
      <c r="U269" s="50" t="n"/>
      <c r="V269" s="50" t="n"/>
      <c r="W269" s="50" t="n"/>
      <c r="X269" s="50" t="n"/>
      <c r="Y269" s="50" t="n"/>
    </row>
    <row r="270">
      <c r="A270" s="78" t="n">
        <v>46349</v>
      </c>
      <c r="B270" s="45" t="inlineStr">
        <is>
          <t>N7</t>
        </is>
      </c>
      <c r="C270" s="50" t="n"/>
      <c r="D270" s="50" t="n"/>
      <c r="E270" s="50" t="n"/>
      <c r="F270" s="50" t="n"/>
      <c r="G270" s="50" t="n"/>
      <c r="H270" s="50" t="n"/>
      <c r="I270" s="50" t="n"/>
      <c r="J270" s="50" t="n"/>
      <c r="K270" s="50" t="n"/>
      <c r="L270" s="50" t="n"/>
      <c r="M270" s="46">
        <f>N270-SUM(C270:L270)</f>
        <v/>
      </c>
      <c r="N270" s="49" t="n"/>
      <c r="O270" s="50" t="n"/>
      <c r="P270" s="50" t="n"/>
      <c r="Q270" s="50" t="n"/>
      <c r="R270" s="50" t="n"/>
      <c r="S270" s="50" t="n"/>
      <c r="T270" s="50" t="n"/>
      <c r="U270" s="50" t="n"/>
      <c r="V270" s="50" t="n"/>
      <c r="W270" s="50" t="n"/>
      <c r="X270" s="50" t="n"/>
      <c r="Y270" s="50" t="n"/>
    </row>
    <row r="271">
      <c r="A271" s="78" t="n">
        <v>46350</v>
      </c>
      <c r="B271" s="45" t="inlineStr">
        <is>
          <t>N7</t>
        </is>
      </c>
      <c r="C271" s="50" t="n"/>
      <c r="D271" s="50" t="n"/>
      <c r="E271" s="50" t="n"/>
      <c r="F271" s="50" t="n"/>
      <c r="G271" s="50" t="n"/>
      <c r="H271" s="50" t="n"/>
      <c r="I271" s="50" t="n"/>
      <c r="J271" s="50" t="n"/>
      <c r="K271" s="50" t="n"/>
      <c r="L271" s="50" t="n"/>
      <c r="M271" s="46">
        <f>N271-SUM(C271:L271)</f>
        <v/>
      </c>
      <c r="N271" s="49" t="n"/>
      <c r="O271" s="50" t="n"/>
      <c r="P271" s="50" t="n"/>
      <c r="Q271" s="50" t="n"/>
      <c r="R271" s="50" t="n"/>
      <c r="S271" s="50" t="n"/>
      <c r="T271" s="50" t="n"/>
      <c r="U271" s="50" t="n"/>
      <c r="V271" s="50" t="n"/>
      <c r="W271" s="50" t="n"/>
      <c r="X271" s="50" t="n"/>
      <c r="Y271" s="50" t="n"/>
    </row>
    <row r="272">
      <c r="A272" s="78" t="n">
        <v>46351</v>
      </c>
      <c r="B272" s="45" t="inlineStr">
        <is>
          <t>N7</t>
        </is>
      </c>
      <c r="C272" s="50" t="n"/>
      <c r="D272" s="50" t="n"/>
      <c r="E272" s="50" t="n"/>
      <c r="F272" s="50" t="n"/>
      <c r="G272" s="50" t="n"/>
      <c r="H272" s="50" t="n"/>
      <c r="I272" s="50" t="n"/>
      <c r="J272" s="50" t="n"/>
      <c r="K272" s="50" t="n"/>
      <c r="L272" s="50" t="n"/>
      <c r="M272" s="46">
        <f>N272-SUM(C272:L272)</f>
        <v/>
      </c>
      <c r="N272" s="49" t="n"/>
      <c r="O272" s="50" t="n"/>
      <c r="P272" s="50" t="n"/>
      <c r="Q272" s="50" t="n"/>
      <c r="R272" s="50" t="n"/>
      <c r="S272" s="50" t="n"/>
      <c r="T272" s="50" t="n"/>
      <c r="U272" s="50" t="n"/>
      <c r="V272" s="50" t="n"/>
      <c r="W272" s="50" t="n"/>
      <c r="X272" s="50" t="n"/>
      <c r="Y272" s="50" t="n"/>
    </row>
    <row r="273">
      <c r="A273" s="78" t="n">
        <v>46352</v>
      </c>
      <c r="B273" s="45" t="inlineStr">
        <is>
          <t>N7</t>
        </is>
      </c>
      <c r="C273" s="50" t="n"/>
      <c r="D273" s="50" t="n"/>
      <c r="E273" s="50" t="n"/>
      <c r="F273" s="50" t="n"/>
      <c r="G273" s="50" t="n"/>
      <c r="H273" s="50" t="n"/>
      <c r="I273" s="50" t="n"/>
      <c r="J273" s="50" t="n"/>
      <c r="K273" s="50" t="n"/>
      <c r="L273" s="50" t="n"/>
      <c r="M273" s="46">
        <f>N273-SUM(C273:L273)</f>
        <v/>
      </c>
      <c r="N273" s="49" t="n"/>
      <c r="O273" s="50" t="n"/>
      <c r="P273" s="50" t="n"/>
      <c r="Q273" s="50" t="n"/>
      <c r="R273" s="50" t="n"/>
      <c r="S273" s="50" t="n"/>
      <c r="T273" s="50" t="n"/>
      <c r="U273" s="50" t="n"/>
      <c r="V273" s="50" t="n"/>
      <c r="W273" s="50" t="n"/>
      <c r="X273" s="50" t="n"/>
      <c r="Y273" s="50" t="n"/>
    </row>
    <row r="274">
      <c r="A274" s="78" t="n">
        <v>46353</v>
      </c>
      <c r="B274" s="45" t="inlineStr">
        <is>
          <t>N7</t>
        </is>
      </c>
      <c r="C274" s="50" t="n"/>
      <c r="D274" s="50" t="n"/>
      <c r="E274" s="50" t="n"/>
      <c r="F274" s="50" t="n"/>
      <c r="G274" s="50" t="n"/>
      <c r="H274" s="50" t="n"/>
      <c r="I274" s="50" t="n"/>
      <c r="J274" s="50" t="n"/>
      <c r="K274" s="50" t="n"/>
      <c r="L274" s="50" t="n"/>
      <c r="M274" s="46">
        <f>N274-SUM(C274:L274)</f>
        <v/>
      </c>
      <c r="N274" s="49" t="n"/>
      <c r="O274" s="50" t="n"/>
      <c r="P274" s="50" t="n"/>
      <c r="Q274" s="50" t="n"/>
      <c r="R274" s="50" t="n"/>
      <c r="S274" s="50" t="n"/>
      <c r="T274" s="50" t="n"/>
      <c r="U274" s="50" t="n"/>
      <c r="V274" s="50" t="n"/>
      <c r="W274" s="50" t="n"/>
      <c r="X274" s="50" t="n"/>
      <c r="Y274" s="50" t="n"/>
    </row>
    <row r="275">
      <c r="A275" s="78" t="n">
        <v>46354</v>
      </c>
      <c r="B275" s="45" t="inlineStr">
        <is>
          <t>N7</t>
        </is>
      </c>
      <c r="C275" s="50" t="n"/>
      <c r="D275" s="50" t="n"/>
      <c r="E275" s="50" t="n"/>
      <c r="F275" s="50" t="n"/>
      <c r="G275" s="50" t="n"/>
      <c r="H275" s="50" t="n"/>
      <c r="I275" s="50" t="n"/>
      <c r="J275" s="50" t="n"/>
      <c r="K275" s="50" t="n"/>
      <c r="L275" s="50" t="n"/>
      <c r="M275" s="46">
        <f>N275-SUM(C275:L275)</f>
        <v/>
      </c>
      <c r="N275" s="49" t="n"/>
      <c r="O275" s="50" t="n"/>
      <c r="P275" s="50" t="n"/>
      <c r="Q275" s="50" t="n"/>
      <c r="R275" s="50" t="n"/>
      <c r="S275" s="50" t="n"/>
      <c r="T275" s="50" t="n"/>
      <c r="U275" s="50" t="n"/>
      <c r="V275" s="50" t="n"/>
      <c r="W275" s="50" t="n"/>
      <c r="X275" s="50" t="n"/>
      <c r="Y275" s="50" t="n"/>
    </row>
    <row r="276">
      <c r="A276" s="78" t="n">
        <v>46355</v>
      </c>
      <c r="B276" s="45" t="inlineStr">
        <is>
          <t>N7</t>
        </is>
      </c>
      <c r="C276" s="50" t="n"/>
      <c r="D276" s="50" t="n"/>
      <c r="E276" s="50" t="n"/>
      <c r="F276" s="50" t="n"/>
      <c r="G276" s="50" t="n"/>
      <c r="H276" s="50" t="n"/>
      <c r="I276" s="50" t="n"/>
      <c r="J276" s="50" t="n"/>
      <c r="K276" s="50" t="n"/>
      <c r="L276" s="50" t="n"/>
      <c r="M276" s="46">
        <f>N276-SUM(C276:L276)</f>
        <v/>
      </c>
      <c r="N276" s="49" t="n"/>
      <c r="O276" s="50" t="n"/>
      <c r="P276" s="50" t="n"/>
      <c r="Q276" s="50" t="n"/>
      <c r="R276" s="50" t="n"/>
      <c r="S276" s="50" t="n"/>
      <c r="T276" s="50" t="n"/>
      <c r="U276" s="50" t="n"/>
      <c r="V276" s="50" t="n"/>
      <c r="W276" s="50" t="n"/>
      <c r="X276" s="50" t="n"/>
      <c r="Y276" s="50" t="n"/>
    </row>
    <row r="277">
      <c r="A277" s="78" t="n">
        <v>46356</v>
      </c>
      <c r="B277" s="45" t="inlineStr">
        <is>
          <t>N7</t>
        </is>
      </c>
      <c r="C277" s="50" t="n"/>
      <c r="D277" s="50" t="n"/>
      <c r="E277" s="50" t="n"/>
      <c r="F277" s="50" t="n"/>
      <c r="G277" s="50" t="n"/>
      <c r="H277" s="50" t="n"/>
      <c r="I277" s="50" t="n"/>
      <c r="J277" s="50" t="n"/>
      <c r="K277" s="50" t="n"/>
      <c r="L277" s="50" t="n"/>
      <c r="M277" s="46">
        <f>N277-SUM(C277:L277)</f>
        <v/>
      </c>
      <c r="N277" s="49" t="n"/>
      <c r="O277" s="50" t="n"/>
      <c r="P277" s="50" t="n"/>
      <c r="Q277" s="50" t="n"/>
      <c r="R277" s="50" t="n"/>
      <c r="S277" s="50" t="n"/>
      <c r="T277" s="50" t="n"/>
      <c r="U277" s="50" t="n"/>
      <c r="V277" s="50" t="n"/>
      <c r="W277" s="50" t="n"/>
      <c r="X277" s="50" t="n"/>
      <c r="Y277" s="50" t="n"/>
    </row>
    <row r="278">
      <c r="A278" s="78" t="n">
        <v>46357</v>
      </c>
      <c r="B278" s="45" t="inlineStr">
        <is>
          <t>N7</t>
        </is>
      </c>
      <c r="C278" s="50" t="n"/>
      <c r="D278" s="50" t="n"/>
      <c r="E278" s="50" t="n"/>
      <c r="F278" s="50" t="n"/>
      <c r="G278" s="50" t="n"/>
      <c r="H278" s="50" t="n"/>
      <c r="I278" s="50" t="n"/>
      <c r="J278" s="50" t="n"/>
      <c r="K278" s="50" t="n"/>
      <c r="L278" s="50" t="n"/>
      <c r="M278" s="46">
        <f>N278-SUM(C278:L278)</f>
        <v/>
      </c>
      <c r="N278" s="49" t="n"/>
      <c r="O278" s="50" t="n"/>
      <c r="P278" s="50" t="n"/>
      <c r="Q278" s="50" t="n"/>
      <c r="R278" s="50" t="n"/>
      <c r="S278" s="50" t="n"/>
      <c r="T278" s="50" t="n"/>
      <c r="U278" s="50" t="n"/>
      <c r="V278" s="50" t="n"/>
      <c r="W278" s="50" t="n"/>
      <c r="X278" s="50" t="n"/>
      <c r="Y278" s="50" t="n"/>
    </row>
    <row r="279">
      <c r="A279" s="78" t="n">
        <v>46358</v>
      </c>
      <c r="B279" s="45" t="inlineStr">
        <is>
          <t>N7</t>
        </is>
      </c>
      <c r="C279" s="50" t="n"/>
      <c r="D279" s="50" t="n"/>
      <c r="E279" s="50" t="n"/>
      <c r="F279" s="50" t="n"/>
      <c r="G279" s="50" t="n"/>
      <c r="H279" s="50" t="n"/>
      <c r="I279" s="50" t="n"/>
      <c r="J279" s="50" t="n"/>
      <c r="K279" s="50" t="n"/>
      <c r="L279" s="50" t="n"/>
      <c r="M279" s="46">
        <f>N279-SUM(C279:L279)</f>
        <v/>
      </c>
      <c r="N279" s="49" t="n"/>
      <c r="O279" s="50" t="n"/>
      <c r="P279" s="50" t="n"/>
      <c r="Q279" s="50" t="n"/>
      <c r="R279" s="50" t="n"/>
      <c r="S279" s="50" t="n"/>
      <c r="T279" s="50" t="n"/>
      <c r="U279" s="50" t="n"/>
      <c r="V279" s="50" t="n"/>
      <c r="W279" s="50" t="n"/>
      <c r="X279" s="50" t="n"/>
      <c r="Y279" s="50" t="n"/>
    </row>
    <row r="280">
      <c r="A280" s="78" t="n">
        <v>46359</v>
      </c>
      <c r="B280" s="45" t="inlineStr">
        <is>
          <t>N7</t>
        </is>
      </c>
      <c r="C280" s="50" t="n"/>
      <c r="D280" s="50" t="n"/>
      <c r="E280" s="50" t="n"/>
      <c r="F280" s="50" t="n"/>
      <c r="G280" s="50" t="n"/>
      <c r="H280" s="50" t="n"/>
      <c r="I280" s="50" t="n"/>
      <c r="J280" s="50" t="n"/>
      <c r="K280" s="50" t="n"/>
      <c r="L280" s="50" t="n"/>
      <c r="M280" s="46">
        <f>N280-SUM(C280:L280)</f>
        <v/>
      </c>
      <c r="N280" s="49" t="n"/>
      <c r="O280" s="50" t="n"/>
      <c r="P280" s="50" t="n"/>
      <c r="Q280" s="50" t="n"/>
      <c r="R280" s="50" t="n"/>
      <c r="S280" s="50" t="n"/>
      <c r="T280" s="50" t="n"/>
      <c r="U280" s="50" t="n"/>
      <c r="V280" s="50" t="n"/>
      <c r="W280" s="50" t="n"/>
      <c r="X280" s="50" t="n"/>
      <c r="Y280" s="50" t="n"/>
    </row>
    <row r="281">
      <c r="A281" s="78" t="n">
        <v>46360</v>
      </c>
      <c r="B281" s="45" t="inlineStr">
        <is>
          <t>N7</t>
        </is>
      </c>
      <c r="C281" s="50" t="n"/>
      <c r="D281" s="50" t="n"/>
      <c r="E281" s="50" t="n"/>
      <c r="F281" s="50" t="n"/>
      <c r="G281" s="50" t="n"/>
      <c r="H281" s="50" t="n"/>
      <c r="I281" s="50" t="n"/>
      <c r="J281" s="50" t="n"/>
      <c r="K281" s="50" t="n"/>
      <c r="L281" s="50" t="n"/>
      <c r="M281" s="46">
        <f>N281-SUM(C281:L281)</f>
        <v/>
      </c>
      <c r="N281" s="49" t="n"/>
      <c r="O281" s="50" t="n"/>
      <c r="P281" s="50" t="n"/>
      <c r="Q281" s="50" t="n"/>
      <c r="R281" s="50" t="n"/>
      <c r="S281" s="50" t="n"/>
      <c r="T281" s="50" t="n"/>
      <c r="U281" s="50" t="n"/>
      <c r="V281" s="50" t="n"/>
      <c r="W281" s="50" t="n"/>
      <c r="X281" s="50" t="n"/>
      <c r="Y281" s="50" t="n"/>
    </row>
    <row r="282">
      <c r="A282" s="78" t="n">
        <v>46361</v>
      </c>
      <c r="B282" s="45" t="inlineStr">
        <is>
          <t>N7</t>
        </is>
      </c>
      <c r="C282" s="50" t="n"/>
      <c r="D282" s="50" t="n"/>
      <c r="E282" s="50" t="n"/>
      <c r="F282" s="50" t="n"/>
      <c r="G282" s="50" t="n"/>
      <c r="H282" s="50" t="n"/>
      <c r="I282" s="50" t="n"/>
      <c r="J282" s="50" t="n"/>
      <c r="K282" s="50" t="n"/>
      <c r="L282" s="50" t="n"/>
      <c r="M282" s="46">
        <f>N282-SUM(C282:L282)</f>
        <v/>
      </c>
      <c r="N282" s="49" t="n"/>
      <c r="O282" s="50" t="n"/>
      <c r="P282" s="50" t="n"/>
      <c r="Q282" s="50" t="n"/>
      <c r="R282" s="50" t="n"/>
      <c r="S282" s="50" t="n"/>
      <c r="T282" s="50" t="n"/>
      <c r="U282" s="50" t="n"/>
      <c r="V282" s="50" t="n"/>
      <c r="W282" s="50" t="n"/>
      <c r="X282" s="50" t="n"/>
      <c r="Y282" s="50" t="n"/>
    </row>
    <row r="283">
      <c r="A283" s="78" t="n">
        <v>46362</v>
      </c>
      <c r="B283" s="45" t="inlineStr">
        <is>
          <t>N7</t>
        </is>
      </c>
      <c r="C283" s="50" t="n"/>
      <c r="D283" s="50" t="n"/>
      <c r="E283" s="50" t="n"/>
      <c r="F283" s="50" t="n"/>
      <c r="G283" s="50" t="n"/>
      <c r="H283" s="50" t="n"/>
      <c r="I283" s="50" t="n"/>
      <c r="J283" s="50" t="n"/>
      <c r="K283" s="50" t="n"/>
      <c r="L283" s="50" t="n"/>
      <c r="M283" s="46">
        <f>N283-SUM(C283:L283)</f>
        <v/>
      </c>
      <c r="N283" s="49" t="n"/>
      <c r="O283" s="50" t="n"/>
      <c r="P283" s="50" t="n"/>
      <c r="Q283" s="50" t="n"/>
      <c r="R283" s="50" t="n"/>
      <c r="S283" s="50" t="n"/>
      <c r="T283" s="50" t="n"/>
      <c r="U283" s="50" t="n"/>
      <c r="V283" s="50" t="n"/>
      <c r="W283" s="50" t="n"/>
      <c r="X283" s="50" t="n"/>
      <c r="Y283" s="50" t="n"/>
    </row>
    <row r="284">
      <c r="A284" s="78" t="n">
        <v>46363</v>
      </c>
      <c r="B284" s="45" t="inlineStr">
        <is>
          <t>N7</t>
        </is>
      </c>
      <c r="C284" s="50" t="n"/>
      <c r="D284" s="50" t="n"/>
      <c r="E284" s="50" t="n"/>
      <c r="F284" s="50" t="n"/>
      <c r="G284" s="50" t="n"/>
      <c r="H284" s="50" t="n"/>
      <c r="I284" s="50" t="n"/>
      <c r="J284" s="50" t="n"/>
      <c r="K284" s="50" t="n"/>
      <c r="L284" s="50" t="n"/>
      <c r="M284" s="46">
        <f>N284-SUM(C284:L284)</f>
        <v/>
      </c>
      <c r="N284" s="49" t="n"/>
      <c r="O284" s="50" t="n"/>
      <c r="P284" s="50" t="n"/>
      <c r="Q284" s="50" t="n"/>
      <c r="R284" s="50" t="n"/>
      <c r="S284" s="50" t="n"/>
      <c r="T284" s="50" t="n"/>
      <c r="U284" s="50" t="n"/>
      <c r="V284" s="50" t="n"/>
      <c r="W284" s="50" t="n"/>
      <c r="X284" s="50" t="n"/>
      <c r="Y284" s="50" t="n"/>
    </row>
    <row r="285">
      <c r="A285" s="78" t="n">
        <v>46364</v>
      </c>
      <c r="B285" s="45" t="inlineStr">
        <is>
          <t>N7</t>
        </is>
      </c>
      <c r="C285" s="50" t="n"/>
      <c r="D285" s="50" t="n"/>
      <c r="E285" s="50" t="n"/>
      <c r="F285" s="50" t="n"/>
      <c r="G285" s="50" t="n"/>
      <c r="H285" s="50" t="n"/>
      <c r="I285" s="50" t="n"/>
      <c r="J285" s="50" t="n"/>
      <c r="K285" s="50" t="n"/>
      <c r="L285" s="50" t="n"/>
      <c r="M285" s="46">
        <f>N285-SUM(C285:L285)</f>
        <v/>
      </c>
      <c r="N285" s="49" t="n"/>
      <c r="O285" s="50" t="n"/>
      <c r="P285" s="50" t="n"/>
      <c r="Q285" s="50" t="n"/>
      <c r="R285" s="50" t="n"/>
      <c r="S285" s="50" t="n"/>
      <c r="T285" s="50" t="n"/>
      <c r="U285" s="50" t="n"/>
      <c r="V285" s="50" t="n"/>
      <c r="W285" s="50" t="n"/>
      <c r="X285" s="50" t="n"/>
      <c r="Y285" s="50" t="n"/>
    </row>
    <row r="286">
      <c r="A286" s="78" t="n">
        <v>46365</v>
      </c>
      <c r="B286" s="45" t="inlineStr">
        <is>
          <t>N7</t>
        </is>
      </c>
      <c r="C286" s="50" t="n"/>
      <c r="D286" s="50" t="n"/>
      <c r="E286" s="50" t="n"/>
      <c r="F286" s="50" t="n"/>
      <c r="G286" s="50" t="n"/>
      <c r="H286" s="50" t="n"/>
      <c r="I286" s="50" t="n"/>
      <c r="J286" s="50" t="n"/>
      <c r="K286" s="50" t="n"/>
      <c r="L286" s="50" t="n"/>
      <c r="M286" s="46">
        <f>N286-SUM(C286:L286)</f>
        <v/>
      </c>
      <c r="N286" s="49" t="n"/>
      <c r="O286" s="50" t="n"/>
      <c r="P286" s="50" t="n"/>
      <c r="Q286" s="50" t="n"/>
      <c r="R286" s="50" t="n"/>
      <c r="S286" s="50" t="n"/>
      <c r="T286" s="50" t="n"/>
      <c r="U286" s="50" t="n"/>
      <c r="V286" s="50" t="n"/>
      <c r="W286" s="50" t="n"/>
      <c r="X286" s="50" t="n"/>
      <c r="Y286" s="50" t="n"/>
    </row>
    <row r="287">
      <c r="A287" s="78" t="n">
        <v>46366</v>
      </c>
      <c r="B287" s="45" t="inlineStr">
        <is>
          <t>N7</t>
        </is>
      </c>
      <c r="C287" s="50" t="n"/>
      <c r="D287" s="50" t="n"/>
      <c r="E287" s="50" t="n"/>
      <c r="F287" s="50" t="n"/>
      <c r="G287" s="50" t="n"/>
      <c r="H287" s="50" t="n"/>
      <c r="I287" s="50" t="n"/>
      <c r="J287" s="50" t="n"/>
      <c r="K287" s="50" t="n"/>
      <c r="L287" s="50" t="n"/>
      <c r="M287" s="46">
        <f>N287-SUM(C287:L287)</f>
        <v/>
      </c>
      <c r="N287" s="49" t="n"/>
      <c r="O287" s="50" t="n"/>
      <c r="P287" s="50" t="n"/>
      <c r="Q287" s="50" t="n"/>
      <c r="R287" s="50" t="n"/>
      <c r="S287" s="50" t="n"/>
      <c r="T287" s="50" t="n"/>
      <c r="U287" s="50" t="n"/>
      <c r="V287" s="50" t="n"/>
      <c r="W287" s="50" t="n"/>
      <c r="X287" s="50" t="n"/>
      <c r="Y287" s="50" t="n"/>
    </row>
    <row r="288">
      <c r="A288" s="78" t="n">
        <v>46367</v>
      </c>
      <c r="B288" s="45" t="inlineStr">
        <is>
          <t>N7</t>
        </is>
      </c>
      <c r="C288" s="50" t="n"/>
      <c r="D288" s="50" t="n"/>
      <c r="E288" s="50" t="n"/>
      <c r="F288" s="50" t="n"/>
      <c r="G288" s="50" t="n"/>
      <c r="H288" s="50" t="n"/>
      <c r="I288" s="50" t="n"/>
      <c r="J288" s="50" t="n"/>
      <c r="K288" s="50" t="n"/>
      <c r="L288" s="50" t="n"/>
      <c r="M288" s="46">
        <f>N288-SUM(C288:L288)</f>
        <v/>
      </c>
      <c r="N288" s="49" t="n"/>
      <c r="O288" s="50" t="n"/>
      <c r="P288" s="50" t="n"/>
      <c r="Q288" s="50" t="n"/>
      <c r="R288" s="50" t="n"/>
      <c r="S288" s="50" t="n"/>
      <c r="T288" s="50" t="n"/>
      <c r="U288" s="50" t="n"/>
      <c r="V288" s="50" t="n"/>
      <c r="W288" s="50" t="n"/>
      <c r="X288" s="50" t="n"/>
      <c r="Y288" s="50" t="n"/>
    </row>
    <row r="289">
      <c r="A289" s="78" t="n">
        <v>46368</v>
      </c>
      <c r="B289" s="45" t="inlineStr">
        <is>
          <t>N7</t>
        </is>
      </c>
      <c r="C289" s="50" t="n"/>
      <c r="D289" s="50" t="n"/>
      <c r="E289" s="50" t="n"/>
      <c r="F289" s="50" t="n"/>
      <c r="G289" s="50" t="n"/>
      <c r="H289" s="50" t="n"/>
      <c r="I289" s="50" t="n"/>
      <c r="J289" s="50" t="n"/>
      <c r="K289" s="50" t="n"/>
      <c r="L289" s="50" t="n"/>
      <c r="M289" s="46">
        <f>N289-SUM(C289:L289)</f>
        <v/>
      </c>
      <c r="N289" s="49" t="n"/>
      <c r="O289" s="50" t="n"/>
      <c r="P289" s="50" t="n"/>
      <c r="Q289" s="50" t="n"/>
      <c r="R289" s="50" t="n"/>
      <c r="S289" s="50" t="n"/>
      <c r="T289" s="50" t="n"/>
      <c r="U289" s="50" t="n"/>
      <c r="V289" s="50" t="n"/>
      <c r="W289" s="50" t="n"/>
      <c r="X289" s="50" t="n"/>
      <c r="Y289" s="50" t="n"/>
    </row>
    <row r="290">
      <c r="A290" s="78" t="n">
        <v>46369</v>
      </c>
      <c r="B290" s="45" t="inlineStr">
        <is>
          <t>N7</t>
        </is>
      </c>
      <c r="C290" s="50" t="n"/>
      <c r="D290" s="50" t="n"/>
      <c r="E290" s="50" t="n"/>
      <c r="F290" s="50" t="n"/>
      <c r="G290" s="50" t="n"/>
      <c r="H290" s="50" t="n"/>
      <c r="I290" s="50" t="n"/>
      <c r="J290" s="50" t="n"/>
      <c r="K290" s="50" t="n"/>
      <c r="L290" s="50" t="n"/>
      <c r="M290" s="46">
        <f>N290-SUM(C290:L290)</f>
        <v/>
      </c>
      <c r="N290" s="49" t="n"/>
      <c r="O290" s="50" t="n"/>
      <c r="P290" s="50" t="n"/>
      <c r="Q290" s="50" t="n"/>
      <c r="R290" s="50" t="n"/>
      <c r="S290" s="50" t="n"/>
      <c r="T290" s="50" t="n"/>
      <c r="U290" s="50" t="n"/>
      <c r="V290" s="50" t="n"/>
      <c r="W290" s="50" t="n"/>
      <c r="X290" s="50" t="n"/>
      <c r="Y290" s="50" t="n"/>
    </row>
    <row r="291">
      <c r="A291" s="78" t="n">
        <v>46370</v>
      </c>
      <c r="B291" s="45" t="inlineStr">
        <is>
          <t>N7</t>
        </is>
      </c>
      <c r="C291" s="50" t="n"/>
      <c r="D291" s="50" t="n"/>
      <c r="E291" s="50" t="n"/>
      <c r="F291" s="50" t="n"/>
      <c r="G291" s="50" t="n"/>
      <c r="H291" s="50" t="n"/>
      <c r="I291" s="50" t="n"/>
      <c r="J291" s="50" t="n"/>
      <c r="K291" s="50" t="n"/>
      <c r="L291" s="50" t="n"/>
      <c r="M291" s="46">
        <f>N291-SUM(C291:L291)</f>
        <v/>
      </c>
      <c r="N291" s="49" t="n"/>
      <c r="O291" s="50" t="n"/>
      <c r="P291" s="50" t="n"/>
      <c r="Q291" s="50" t="n"/>
      <c r="R291" s="50" t="n"/>
      <c r="S291" s="50" t="n"/>
      <c r="T291" s="50" t="n"/>
      <c r="U291" s="50" t="n"/>
      <c r="V291" s="50" t="n"/>
      <c r="W291" s="50" t="n"/>
      <c r="X291" s="50" t="n"/>
      <c r="Y291" s="50" t="n"/>
    </row>
    <row r="292">
      <c r="A292" s="78" t="n">
        <v>46371</v>
      </c>
      <c r="B292" s="45" t="inlineStr">
        <is>
          <t>N7</t>
        </is>
      </c>
      <c r="C292" s="50" t="n"/>
      <c r="D292" s="50" t="n"/>
      <c r="E292" s="50" t="n"/>
      <c r="F292" s="50" t="n"/>
      <c r="G292" s="50" t="n"/>
      <c r="H292" s="50" t="n"/>
      <c r="I292" s="50" t="n"/>
      <c r="J292" s="50" t="n"/>
      <c r="K292" s="50" t="n"/>
      <c r="L292" s="50" t="n"/>
      <c r="M292" s="46">
        <f>N292-SUM(C292:L292)</f>
        <v/>
      </c>
      <c r="N292" s="49" t="n"/>
      <c r="O292" s="50" t="n"/>
      <c r="P292" s="50" t="n"/>
      <c r="Q292" s="50" t="n"/>
      <c r="R292" s="50" t="n"/>
      <c r="S292" s="50" t="n"/>
      <c r="T292" s="50" t="n"/>
      <c r="U292" s="50" t="n"/>
      <c r="V292" s="50" t="n"/>
      <c r="W292" s="50" t="n"/>
      <c r="X292" s="50" t="n"/>
      <c r="Y292" s="50" t="n"/>
    </row>
    <row r="293">
      <c r="A293" s="78" t="n">
        <v>46372</v>
      </c>
      <c r="B293" s="45" t="inlineStr">
        <is>
          <t>N7</t>
        </is>
      </c>
      <c r="C293" s="50" t="n"/>
      <c r="D293" s="50" t="n"/>
      <c r="E293" s="50" t="n"/>
      <c r="F293" s="50" t="n"/>
      <c r="G293" s="50" t="n"/>
      <c r="H293" s="50" t="n"/>
      <c r="I293" s="50" t="n"/>
      <c r="J293" s="50" t="n"/>
      <c r="K293" s="50" t="n"/>
      <c r="L293" s="50" t="n"/>
      <c r="M293" s="46">
        <f>N293-SUM(C293:L293)</f>
        <v/>
      </c>
      <c r="N293" s="49" t="n"/>
      <c r="O293" s="50" t="n"/>
      <c r="P293" s="50" t="n"/>
      <c r="Q293" s="50" t="n"/>
      <c r="R293" s="50" t="n"/>
      <c r="S293" s="50" t="n"/>
      <c r="T293" s="50" t="n"/>
      <c r="U293" s="50" t="n"/>
      <c r="V293" s="50" t="n"/>
      <c r="W293" s="50" t="n"/>
      <c r="X293" s="50" t="n"/>
      <c r="Y293" s="50" t="n"/>
    </row>
    <row r="294">
      <c r="A294" s="78" t="n">
        <v>46373</v>
      </c>
      <c r="B294" s="45" t="inlineStr">
        <is>
          <t>N7</t>
        </is>
      </c>
      <c r="C294" s="50" t="n"/>
      <c r="D294" s="50" t="n"/>
      <c r="E294" s="50" t="n"/>
      <c r="F294" s="50" t="n"/>
      <c r="G294" s="50" t="n"/>
      <c r="H294" s="50" t="n"/>
      <c r="I294" s="50" t="n"/>
      <c r="J294" s="50" t="n"/>
      <c r="K294" s="50" t="n"/>
      <c r="L294" s="50" t="n"/>
      <c r="M294" s="46">
        <f>N294-SUM(C294:L294)</f>
        <v/>
      </c>
      <c r="N294" s="49" t="n"/>
      <c r="O294" s="50" t="n"/>
      <c r="P294" s="50" t="n"/>
      <c r="Q294" s="50" t="n"/>
      <c r="R294" s="50" t="n"/>
      <c r="S294" s="50" t="n"/>
      <c r="T294" s="50" t="n"/>
      <c r="U294" s="50" t="n"/>
      <c r="V294" s="50" t="n"/>
      <c r="W294" s="50" t="n"/>
      <c r="X294" s="50" t="n"/>
      <c r="Y294" s="50" t="n"/>
    </row>
    <row r="295">
      <c r="A295" s="78" t="n">
        <v>46374</v>
      </c>
      <c r="B295" s="45" t="inlineStr">
        <is>
          <t>N7</t>
        </is>
      </c>
      <c r="C295" s="50" t="n"/>
      <c r="D295" s="50" t="n"/>
      <c r="E295" s="50" t="n"/>
      <c r="F295" s="50" t="n"/>
      <c r="G295" s="50" t="n"/>
      <c r="H295" s="50" t="n"/>
      <c r="I295" s="50" t="n"/>
      <c r="J295" s="50" t="n"/>
      <c r="K295" s="50" t="n"/>
      <c r="L295" s="50" t="n"/>
      <c r="M295" s="46">
        <f>N295-SUM(C295:L295)</f>
        <v/>
      </c>
      <c r="N295" s="49" t="n"/>
      <c r="O295" s="50" t="n"/>
      <c r="P295" s="50" t="n"/>
      <c r="Q295" s="50" t="n"/>
      <c r="R295" s="50" t="n"/>
      <c r="S295" s="50" t="n"/>
      <c r="T295" s="50" t="n"/>
      <c r="U295" s="50" t="n"/>
      <c r="V295" s="50" t="n"/>
      <c r="W295" s="50" t="n"/>
      <c r="X295" s="50" t="n"/>
      <c r="Y295" s="50" t="n"/>
    </row>
    <row r="296">
      <c r="A296" s="78" t="n">
        <v>46375</v>
      </c>
      <c r="B296" s="45" t="inlineStr">
        <is>
          <t>N7</t>
        </is>
      </c>
      <c r="C296" s="50" t="n"/>
      <c r="D296" s="50" t="n"/>
      <c r="E296" s="50" t="n"/>
      <c r="F296" s="50" t="n"/>
      <c r="G296" s="50" t="n"/>
      <c r="H296" s="50" t="n"/>
      <c r="I296" s="50" t="n"/>
      <c r="J296" s="50" t="n"/>
      <c r="K296" s="50" t="n"/>
      <c r="L296" s="50" t="n"/>
      <c r="M296" s="46">
        <f>N296-SUM(C296:L296)</f>
        <v/>
      </c>
      <c r="N296" s="49" t="n"/>
      <c r="O296" s="50" t="n"/>
      <c r="P296" s="50" t="n"/>
      <c r="Q296" s="50" t="n"/>
      <c r="R296" s="50" t="n"/>
      <c r="S296" s="50" t="n"/>
      <c r="T296" s="50" t="n"/>
      <c r="U296" s="50" t="n"/>
      <c r="V296" s="50" t="n"/>
      <c r="W296" s="50" t="n"/>
      <c r="X296" s="50" t="n"/>
      <c r="Y296" s="50" t="n"/>
    </row>
    <row r="297">
      <c r="A297" s="78" t="n">
        <v>46376</v>
      </c>
      <c r="B297" s="45" t="inlineStr">
        <is>
          <t>N7</t>
        </is>
      </c>
      <c r="C297" s="50" t="n"/>
      <c r="D297" s="50" t="n"/>
      <c r="E297" s="50" t="n"/>
      <c r="F297" s="50" t="n"/>
      <c r="G297" s="50" t="n"/>
      <c r="H297" s="50" t="n"/>
      <c r="I297" s="50" t="n"/>
      <c r="J297" s="50" t="n"/>
      <c r="K297" s="50" t="n"/>
      <c r="L297" s="50" t="n"/>
      <c r="M297" s="46">
        <f>N297-SUM(C297:L297)</f>
        <v/>
      </c>
      <c r="N297" s="49" t="n"/>
      <c r="O297" s="50" t="n"/>
      <c r="P297" s="50" t="n"/>
      <c r="Q297" s="50" t="n"/>
      <c r="R297" s="50" t="n"/>
      <c r="S297" s="50" t="n"/>
      <c r="T297" s="50" t="n"/>
      <c r="U297" s="50" t="n"/>
      <c r="V297" s="50" t="n"/>
      <c r="W297" s="50" t="n"/>
      <c r="X297" s="50" t="n"/>
      <c r="Y297" s="50" t="n"/>
    </row>
    <row r="298">
      <c r="A298" s="78" t="n">
        <v>46377</v>
      </c>
      <c r="B298" s="45" t="inlineStr">
        <is>
          <t>N7</t>
        </is>
      </c>
      <c r="C298" s="50" t="n"/>
      <c r="D298" s="50" t="n"/>
      <c r="E298" s="50" t="n"/>
      <c r="F298" s="50" t="n"/>
      <c r="G298" s="50" t="n"/>
      <c r="H298" s="50" t="n"/>
      <c r="I298" s="50" t="n"/>
      <c r="J298" s="50" t="n"/>
      <c r="K298" s="50" t="n"/>
      <c r="L298" s="50" t="n"/>
      <c r="M298" s="46">
        <f>N298-SUM(C298:L298)</f>
        <v/>
      </c>
      <c r="N298" s="49" t="n"/>
      <c r="O298" s="50" t="n"/>
      <c r="P298" s="50" t="n"/>
      <c r="Q298" s="50" t="n"/>
      <c r="R298" s="50" t="n"/>
      <c r="S298" s="50" t="n"/>
      <c r="T298" s="50" t="n"/>
      <c r="U298" s="50" t="n"/>
      <c r="V298" s="50" t="n"/>
      <c r="W298" s="50" t="n"/>
      <c r="X298" s="50" t="n"/>
      <c r="Y298" s="50" t="n"/>
    </row>
    <row r="299">
      <c r="A299" s="78" t="n">
        <v>46378</v>
      </c>
      <c r="B299" s="45" t="inlineStr">
        <is>
          <t>N7</t>
        </is>
      </c>
      <c r="C299" s="50" t="n"/>
      <c r="D299" s="50" t="n"/>
      <c r="E299" s="50" t="n"/>
      <c r="F299" s="50" t="n"/>
      <c r="G299" s="50" t="n"/>
      <c r="H299" s="50" t="n"/>
      <c r="I299" s="50" t="n"/>
      <c r="J299" s="50" t="n"/>
      <c r="K299" s="50" t="n"/>
      <c r="L299" s="50" t="n"/>
      <c r="M299" s="46">
        <f>N299-SUM(C299:L299)</f>
        <v/>
      </c>
      <c r="N299" s="49" t="n"/>
      <c r="O299" s="50" t="n"/>
      <c r="P299" s="50" t="n"/>
      <c r="Q299" s="50" t="n"/>
      <c r="R299" s="50" t="n"/>
      <c r="S299" s="50" t="n"/>
      <c r="T299" s="50" t="n"/>
      <c r="U299" s="50" t="n"/>
      <c r="V299" s="50" t="n"/>
      <c r="W299" s="50" t="n"/>
      <c r="X299" s="50" t="n"/>
      <c r="Y299" s="50" t="n"/>
    </row>
    <row r="300">
      <c r="A300" s="78" t="n">
        <v>46379</v>
      </c>
      <c r="B300" s="45" t="inlineStr">
        <is>
          <t>N7</t>
        </is>
      </c>
      <c r="C300" s="50" t="n"/>
      <c r="D300" s="50" t="n"/>
      <c r="E300" s="50" t="n"/>
      <c r="F300" s="50" t="n"/>
      <c r="G300" s="50" t="n"/>
      <c r="H300" s="50" t="n"/>
      <c r="I300" s="50" t="n"/>
      <c r="J300" s="50" t="n"/>
      <c r="K300" s="50" t="n"/>
      <c r="L300" s="50" t="n"/>
      <c r="M300" s="46">
        <f>N300-SUM(C300:L300)</f>
        <v/>
      </c>
      <c r="N300" s="49" t="n"/>
      <c r="O300" s="50" t="n"/>
      <c r="P300" s="50" t="n"/>
      <c r="Q300" s="50" t="n"/>
      <c r="R300" s="50" t="n"/>
      <c r="S300" s="50" t="n"/>
      <c r="T300" s="50" t="n"/>
      <c r="U300" s="50" t="n"/>
      <c r="V300" s="50" t="n"/>
      <c r="W300" s="50" t="n"/>
      <c r="X300" s="50" t="n"/>
      <c r="Y300" s="50" t="n"/>
    </row>
    <row r="301">
      <c r="A301" s="78" t="n">
        <v>46380</v>
      </c>
      <c r="B301" s="45" t="inlineStr">
        <is>
          <t>N7</t>
        </is>
      </c>
      <c r="C301" s="50" t="n"/>
      <c r="D301" s="50" t="n"/>
      <c r="E301" s="50" t="n"/>
      <c r="F301" s="50" t="n"/>
      <c r="G301" s="50" t="n"/>
      <c r="H301" s="50" t="n"/>
      <c r="I301" s="50" t="n"/>
      <c r="J301" s="50" t="n"/>
      <c r="K301" s="50" t="n"/>
      <c r="L301" s="50" t="n"/>
      <c r="M301" s="46">
        <f>N301-SUM(C301:L301)</f>
        <v/>
      </c>
      <c r="N301" s="49" t="n"/>
      <c r="O301" s="50" t="n"/>
      <c r="P301" s="50" t="n"/>
      <c r="Q301" s="50" t="n"/>
      <c r="R301" s="50" t="n"/>
      <c r="S301" s="50" t="n"/>
      <c r="T301" s="50" t="n"/>
      <c r="U301" s="50" t="n"/>
      <c r="V301" s="50" t="n"/>
      <c r="W301" s="50" t="n"/>
      <c r="X301" s="50" t="n"/>
      <c r="Y301" s="50" t="n"/>
    </row>
    <row r="302">
      <c r="A302" s="78" t="n">
        <v>46381</v>
      </c>
      <c r="B302" s="45" t="inlineStr">
        <is>
          <t>N7</t>
        </is>
      </c>
      <c r="C302" s="50" t="n"/>
      <c r="D302" s="50" t="n"/>
      <c r="E302" s="50" t="n"/>
      <c r="F302" s="50" t="n"/>
      <c r="G302" s="50" t="n"/>
      <c r="H302" s="50" t="n"/>
      <c r="I302" s="50" t="n"/>
      <c r="J302" s="50" t="n"/>
      <c r="K302" s="50" t="n"/>
      <c r="L302" s="50" t="n"/>
      <c r="M302" s="46">
        <f>N302-SUM(C302:L302)</f>
        <v/>
      </c>
      <c r="N302" s="49" t="n"/>
      <c r="O302" s="50" t="n"/>
      <c r="P302" s="50" t="n"/>
      <c r="Q302" s="50" t="n"/>
      <c r="R302" s="50" t="n"/>
      <c r="S302" s="50" t="n"/>
      <c r="T302" s="50" t="n"/>
      <c r="U302" s="50" t="n"/>
      <c r="V302" s="50" t="n"/>
      <c r="W302" s="50" t="n"/>
      <c r="X302" s="50" t="n"/>
      <c r="Y302" s="50" t="n"/>
    </row>
    <row r="303">
      <c r="A303" s="78" t="n">
        <v>46382</v>
      </c>
      <c r="B303" s="45" t="inlineStr">
        <is>
          <t>N7</t>
        </is>
      </c>
      <c r="C303" s="50" t="n"/>
      <c r="D303" s="50" t="n"/>
      <c r="E303" s="50" t="n"/>
      <c r="F303" s="50" t="n"/>
      <c r="G303" s="50" t="n"/>
      <c r="H303" s="50" t="n"/>
      <c r="I303" s="50" t="n"/>
      <c r="J303" s="50" t="n"/>
      <c r="K303" s="50" t="n"/>
      <c r="L303" s="50" t="n"/>
      <c r="M303" s="46">
        <f>N303-SUM(C303:L303)</f>
        <v/>
      </c>
      <c r="N303" s="49" t="n"/>
      <c r="O303" s="50" t="n"/>
      <c r="P303" s="50" t="n"/>
      <c r="Q303" s="50" t="n"/>
      <c r="R303" s="50" t="n"/>
      <c r="S303" s="50" t="n"/>
      <c r="T303" s="50" t="n"/>
      <c r="U303" s="50" t="n"/>
      <c r="V303" s="50" t="n"/>
      <c r="W303" s="50" t="n"/>
      <c r="X303" s="50" t="n"/>
      <c r="Y303" s="50" t="n"/>
    </row>
    <row r="304">
      <c r="A304" s="78" t="n">
        <v>46383</v>
      </c>
      <c r="B304" s="45" t="inlineStr">
        <is>
          <t>N7</t>
        </is>
      </c>
      <c r="C304" s="50" t="n"/>
      <c r="D304" s="50" t="n"/>
      <c r="E304" s="50" t="n"/>
      <c r="F304" s="50" t="n"/>
      <c r="G304" s="50" t="n"/>
      <c r="H304" s="50" t="n"/>
      <c r="I304" s="50" t="n"/>
      <c r="J304" s="50" t="n"/>
      <c r="K304" s="50" t="n"/>
      <c r="L304" s="50" t="n"/>
      <c r="M304" s="46">
        <f>N304-SUM(C304:L304)</f>
        <v/>
      </c>
      <c r="N304" s="49" t="n"/>
      <c r="O304" s="50" t="n"/>
      <c r="P304" s="50" t="n"/>
      <c r="Q304" s="50" t="n"/>
      <c r="R304" s="50" t="n"/>
      <c r="S304" s="50" t="n"/>
      <c r="T304" s="50" t="n"/>
      <c r="U304" s="50" t="n"/>
      <c r="V304" s="50" t="n"/>
      <c r="W304" s="50" t="n"/>
      <c r="X304" s="50" t="n"/>
      <c r="Y304" s="50" t="n"/>
    </row>
    <row r="305">
      <c r="A305" s="78" t="n">
        <v>46384</v>
      </c>
      <c r="B305" s="45" t="inlineStr">
        <is>
          <t>N7</t>
        </is>
      </c>
      <c r="C305" s="50" t="n"/>
      <c r="D305" s="50" t="n"/>
      <c r="E305" s="50" t="n"/>
      <c r="F305" s="50" t="n"/>
      <c r="G305" s="50" t="n"/>
      <c r="H305" s="50" t="n"/>
      <c r="I305" s="50" t="n"/>
      <c r="J305" s="50" t="n"/>
      <c r="K305" s="50" t="n"/>
      <c r="L305" s="50" t="n"/>
      <c r="M305" s="46">
        <f>N305-SUM(C305:L305)</f>
        <v/>
      </c>
      <c r="N305" s="49" t="n"/>
      <c r="O305" s="50" t="n"/>
      <c r="P305" s="50" t="n"/>
      <c r="Q305" s="50" t="n"/>
      <c r="R305" s="50" t="n"/>
      <c r="S305" s="50" t="n"/>
      <c r="T305" s="50" t="n"/>
      <c r="U305" s="50" t="n"/>
      <c r="V305" s="50" t="n"/>
      <c r="W305" s="50" t="n"/>
      <c r="X305" s="50" t="n"/>
      <c r="Y305" s="50" t="n"/>
    </row>
    <row r="306">
      <c r="A306" s="78" t="n">
        <v>46385</v>
      </c>
      <c r="B306" s="45" t="inlineStr">
        <is>
          <t>N7</t>
        </is>
      </c>
      <c r="C306" s="50" t="n"/>
      <c r="D306" s="50" t="n"/>
      <c r="E306" s="50" t="n"/>
      <c r="F306" s="50" t="n"/>
      <c r="G306" s="50" t="n"/>
      <c r="H306" s="50" t="n"/>
      <c r="I306" s="50" t="n"/>
      <c r="J306" s="50" t="n"/>
      <c r="K306" s="50" t="n"/>
      <c r="L306" s="50" t="n"/>
      <c r="M306" s="46">
        <f>N306-SUM(C306:L306)</f>
        <v/>
      </c>
      <c r="N306" s="49" t="n"/>
      <c r="O306" s="50" t="n"/>
      <c r="P306" s="50" t="n"/>
      <c r="Q306" s="50" t="n"/>
      <c r="R306" s="50" t="n"/>
      <c r="S306" s="50" t="n"/>
      <c r="T306" s="50" t="n"/>
      <c r="U306" s="50" t="n"/>
      <c r="V306" s="50" t="n"/>
      <c r="W306" s="50" t="n"/>
      <c r="X306" s="50" t="n"/>
      <c r="Y306" s="50" t="n"/>
    </row>
    <row r="307">
      <c r="A307" s="78" t="n">
        <v>46386</v>
      </c>
      <c r="B307" s="45" t="inlineStr">
        <is>
          <t>N7</t>
        </is>
      </c>
      <c r="C307" s="50" t="n"/>
      <c r="D307" s="50" t="n"/>
      <c r="E307" s="50" t="n"/>
      <c r="F307" s="50" t="n"/>
      <c r="G307" s="50" t="n"/>
      <c r="H307" s="50" t="n"/>
      <c r="I307" s="50" t="n"/>
      <c r="J307" s="50" t="n"/>
      <c r="K307" s="50" t="n"/>
      <c r="L307" s="50" t="n"/>
      <c r="M307" s="46">
        <f>N307-SUM(C307:L307)</f>
        <v/>
      </c>
      <c r="N307" s="49" t="n"/>
      <c r="O307" s="50" t="n"/>
      <c r="P307" s="50" t="n"/>
      <c r="Q307" s="50" t="n"/>
      <c r="R307" s="50" t="n"/>
      <c r="S307" s="50" t="n"/>
      <c r="T307" s="50" t="n"/>
      <c r="U307" s="50" t="n"/>
      <c r="V307" s="50" t="n"/>
      <c r="W307" s="50" t="n"/>
      <c r="X307" s="50" t="n"/>
      <c r="Y307" s="50" t="n"/>
    </row>
    <row r="308">
      <c r="A308" s="78" t="n">
        <v>46387</v>
      </c>
      <c r="B308" s="45" t="inlineStr">
        <is>
          <t>N7</t>
        </is>
      </c>
      <c r="C308" s="50" t="n"/>
      <c r="D308" s="50" t="n"/>
      <c r="E308" s="50" t="n"/>
      <c r="F308" s="50" t="n"/>
      <c r="G308" s="50" t="n"/>
      <c r="H308" s="50" t="n"/>
      <c r="I308" s="50" t="n"/>
      <c r="J308" s="50" t="n"/>
      <c r="K308" s="50" t="n"/>
      <c r="L308" s="50" t="n"/>
      <c r="M308" s="46">
        <f>N308-SUM(C308:L308)</f>
        <v/>
      </c>
      <c r="N308" s="49" t="n"/>
      <c r="O308" s="50" t="n"/>
      <c r="P308" s="50" t="n"/>
      <c r="Q308" s="50" t="n"/>
      <c r="R308" s="50" t="n"/>
      <c r="S308" s="50" t="n"/>
      <c r="T308" s="50" t="n"/>
      <c r="U308" s="50" t="n"/>
      <c r="V308" s="50" t="n"/>
      <c r="W308" s="50" t="n"/>
      <c r="X308" s="50" t="n"/>
      <c r="Y308" s="50" t="n"/>
    </row>
    <row r="309">
      <c r="A309" s="78" t="n">
        <v>46082</v>
      </c>
      <c r="B309" s="45" t="inlineStr">
        <is>
          <t>N6</t>
        </is>
      </c>
      <c r="C309" s="46" t="n">
        <v>111</v>
      </c>
      <c r="D309" s="46" t="n">
        <v>142</v>
      </c>
      <c r="E309" s="46" t="n">
        <v>126</v>
      </c>
      <c r="F309" s="46" t="n">
        <v>253</v>
      </c>
      <c r="G309" s="46" t="n">
        <v>174</v>
      </c>
      <c r="H309" s="46" t="n">
        <v>190</v>
      </c>
      <c r="I309" s="46" t="n">
        <v>142</v>
      </c>
      <c r="J309" s="46" t="n">
        <v>126</v>
      </c>
      <c r="K309" s="46" t="n">
        <v>205</v>
      </c>
      <c r="L309" s="46" t="n">
        <v>142</v>
      </c>
      <c r="M309" s="46">
        <f>N309-SUM(C309:L309)</f>
        <v/>
      </c>
      <c r="N309" s="47" t="n">
        <v>2207</v>
      </c>
      <c r="O309" s="46" t="n">
        <v>81</v>
      </c>
      <c r="P309" s="46" t="n">
        <v>1</v>
      </c>
      <c r="Q309" s="46" t="n">
        <v>333</v>
      </c>
      <c r="R309" s="46" t="n">
        <v>500</v>
      </c>
      <c r="S309" s="46" t="n">
        <v>350</v>
      </c>
      <c r="T309" s="46" t="n">
        <v>350</v>
      </c>
      <c r="U309" s="46" t="n">
        <v>0</v>
      </c>
      <c r="V309" s="46" t="n"/>
      <c r="W309" s="46" t="n">
        <v>220</v>
      </c>
      <c r="X309" s="46" t="n">
        <v>372</v>
      </c>
      <c r="Y309" s="46" t="n">
        <v>0</v>
      </c>
    </row>
    <row r="310">
      <c r="A310" s="78" t="n">
        <v>46083</v>
      </c>
      <c r="B310" s="45" t="inlineStr">
        <is>
          <t>N6</t>
        </is>
      </c>
      <c r="C310" s="46" t="n">
        <v>109</v>
      </c>
      <c r="D310" s="46" t="n">
        <v>140</v>
      </c>
      <c r="E310" s="46" t="n">
        <v>124</v>
      </c>
      <c r="F310" s="46" t="n">
        <v>249</v>
      </c>
      <c r="G310" s="46" t="n">
        <v>171</v>
      </c>
      <c r="H310" s="46" t="n">
        <v>187</v>
      </c>
      <c r="I310" s="46" t="n">
        <v>140</v>
      </c>
      <c r="J310" s="46" t="n">
        <v>124</v>
      </c>
      <c r="K310" s="46" t="n">
        <v>202</v>
      </c>
      <c r="L310" s="46" t="n">
        <v>140</v>
      </c>
      <c r="M310" s="46">
        <f>N310-SUM(C310:L310)</f>
        <v/>
      </c>
      <c r="N310" s="47" t="n">
        <v>2174</v>
      </c>
      <c r="O310" s="46" t="n">
        <v>81</v>
      </c>
      <c r="P310" s="46" t="n">
        <v>1</v>
      </c>
      <c r="Q310" s="46" t="n">
        <v>262</v>
      </c>
      <c r="R310" s="46" t="n">
        <v>500</v>
      </c>
      <c r="S310" s="46" t="n">
        <v>250</v>
      </c>
      <c r="T310" s="46" t="n">
        <v>350</v>
      </c>
      <c r="U310" s="46" t="n">
        <v>0</v>
      </c>
      <c r="V310" s="46" t="n"/>
      <c r="W310" s="46" t="n">
        <v>220</v>
      </c>
      <c r="X310" s="46" t="n">
        <v>443</v>
      </c>
      <c r="Y310" s="46" t="n">
        <v>67</v>
      </c>
    </row>
    <row r="311">
      <c r="A311" s="78" t="n">
        <v>46084</v>
      </c>
      <c r="B311" s="45" t="inlineStr">
        <is>
          <t>N6</t>
        </is>
      </c>
      <c r="C311" s="46" t="n">
        <v>110</v>
      </c>
      <c r="D311" s="46" t="n">
        <v>141</v>
      </c>
      <c r="E311" s="46" t="n">
        <v>126</v>
      </c>
      <c r="F311" s="46" t="n">
        <v>251</v>
      </c>
      <c r="G311" s="46" t="n">
        <v>173</v>
      </c>
      <c r="H311" s="46" t="n">
        <v>188</v>
      </c>
      <c r="I311" s="46" t="n">
        <v>141</v>
      </c>
      <c r="J311" s="46" t="n">
        <v>126</v>
      </c>
      <c r="K311" s="46" t="n">
        <v>204</v>
      </c>
      <c r="L311" s="46" t="n">
        <v>141</v>
      </c>
      <c r="M311" s="46">
        <f>N311-SUM(C311:L311)</f>
        <v/>
      </c>
      <c r="N311" s="47" t="n">
        <v>2194</v>
      </c>
      <c r="O311" s="46" t="n">
        <v>81</v>
      </c>
      <c r="P311" s="46" t="n">
        <v>1</v>
      </c>
      <c r="Q311" s="46" t="n">
        <v>262</v>
      </c>
      <c r="R311" s="46" t="n">
        <v>500</v>
      </c>
      <c r="S311" s="46" t="n">
        <v>250</v>
      </c>
      <c r="T311" s="46" t="n">
        <v>350</v>
      </c>
      <c r="U311" s="46" t="n">
        <v>0</v>
      </c>
      <c r="V311" s="46" t="n"/>
      <c r="W311" s="46" t="n">
        <v>220</v>
      </c>
      <c r="X311" s="46" t="n">
        <v>463</v>
      </c>
      <c r="Y311" s="46" t="n">
        <v>67</v>
      </c>
    </row>
    <row r="312">
      <c r="A312" s="78" t="n">
        <v>46085</v>
      </c>
      <c r="B312" s="45" t="inlineStr">
        <is>
          <t>N6</t>
        </is>
      </c>
      <c r="C312" s="46" t="n">
        <v>109</v>
      </c>
      <c r="D312" s="46" t="n">
        <v>141</v>
      </c>
      <c r="E312" s="46" t="n">
        <v>125</v>
      </c>
      <c r="F312" s="46" t="n">
        <v>250</v>
      </c>
      <c r="G312" s="46" t="n">
        <v>172</v>
      </c>
      <c r="H312" s="46" t="n">
        <v>188</v>
      </c>
      <c r="I312" s="46" t="n">
        <v>141</v>
      </c>
      <c r="J312" s="46" t="n">
        <v>125</v>
      </c>
      <c r="K312" s="46" t="n">
        <v>203</v>
      </c>
      <c r="L312" s="46" t="n">
        <v>141</v>
      </c>
      <c r="M312" s="46">
        <f>N312-SUM(C312:L312)</f>
        <v/>
      </c>
      <c r="N312" s="47" t="n">
        <v>2185</v>
      </c>
      <c r="O312" s="46" t="n">
        <v>81</v>
      </c>
      <c r="P312" s="46" t="n">
        <v>1</v>
      </c>
      <c r="Q312" s="46" t="n">
        <v>262</v>
      </c>
      <c r="R312" s="46" t="n">
        <v>500</v>
      </c>
      <c r="S312" s="46" t="n">
        <v>250</v>
      </c>
      <c r="T312" s="46" t="n">
        <v>350</v>
      </c>
      <c r="U312" s="46" t="n">
        <v>0</v>
      </c>
      <c r="V312" s="46" t="n"/>
      <c r="W312" s="46" t="n">
        <v>220</v>
      </c>
      <c r="X312" s="46" t="n">
        <v>454</v>
      </c>
      <c r="Y312" s="46" t="n">
        <v>67</v>
      </c>
    </row>
    <row r="313">
      <c r="A313" s="78" t="n">
        <v>46086</v>
      </c>
      <c r="B313" s="45" t="inlineStr">
        <is>
          <t>N6</t>
        </is>
      </c>
      <c r="C313" s="46" t="n">
        <v>112</v>
      </c>
      <c r="D313" s="46" t="n">
        <v>144</v>
      </c>
      <c r="E313" s="46" t="n">
        <v>128</v>
      </c>
      <c r="F313" s="46" t="n">
        <v>256</v>
      </c>
      <c r="G313" s="46" t="n">
        <v>176</v>
      </c>
      <c r="H313" s="46" t="n">
        <v>192</v>
      </c>
      <c r="I313" s="46" t="n">
        <v>144</v>
      </c>
      <c r="J313" s="46" t="n">
        <v>128</v>
      </c>
      <c r="K313" s="46" t="n">
        <v>208</v>
      </c>
      <c r="L313" s="46" t="n">
        <v>144</v>
      </c>
      <c r="M313" s="46">
        <f>N313-SUM(C313:L313)</f>
        <v/>
      </c>
      <c r="N313" s="47" t="n">
        <v>2235</v>
      </c>
      <c r="O313" s="46" t="n">
        <v>81</v>
      </c>
      <c r="P313" s="46" t="n">
        <v>1</v>
      </c>
      <c r="Q313" s="46" t="n">
        <v>262</v>
      </c>
      <c r="R313" s="46" t="n">
        <v>500</v>
      </c>
      <c r="S313" s="46" t="n">
        <v>250</v>
      </c>
      <c r="T313" s="46" t="n">
        <v>350</v>
      </c>
      <c r="U313" s="46" t="n">
        <v>0</v>
      </c>
      <c r="V313" s="46" t="n"/>
      <c r="W313" s="46" t="n">
        <v>220</v>
      </c>
      <c r="X313" s="46" t="n">
        <v>504</v>
      </c>
      <c r="Y313" s="46" t="n">
        <v>67</v>
      </c>
    </row>
    <row r="314">
      <c r="A314" s="78" t="n">
        <v>46087</v>
      </c>
      <c r="B314" s="45" t="inlineStr">
        <is>
          <t>N6</t>
        </is>
      </c>
      <c r="C314" s="46" t="n">
        <v>128</v>
      </c>
      <c r="D314" s="46" t="n">
        <v>164</v>
      </c>
      <c r="E314" s="46" t="n">
        <v>146</v>
      </c>
      <c r="F314" s="46" t="n">
        <v>292</v>
      </c>
      <c r="G314" s="46" t="n">
        <v>201</v>
      </c>
      <c r="H314" s="46" t="n">
        <v>219</v>
      </c>
      <c r="I314" s="46" t="n">
        <v>164</v>
      </c>
      <c r="J314" s="46" t="n">
        <v>146</v>
      </c>
      <c r="K314" s="46" t="n">
        <v>237</v>
      </c>
      <c r="L314" s="46" t="n">
        <v>164</v>
      </c>
      <c r="M314" s="46">
        <f>N314-SUM(C314:L314)</f>
        <v/>
      </c>
      <c r="N314" s="47" t="n">
        <v>2552</v>
      </c>
      <c r="O314" s="46" t="n">
        <v>81</v>
      </c>
      <c r="P314" s="46" t="n">
        <v>1</v>
      </c>
      <c r="Q314" s="46" t="n">
        <v>262</v>
      </c>
      <c r="R314" s="46" t="n">
        <v>500</v>
      </c>
      <c r="S314" s="46" t="n">
        <v>250</v>
      </c>
      <c r="T314" s="46" t="n">
        <v>350</v>
      </c>
      <c r="U314" s="46" t="n">
        <v>330</v>
      </c>
      <c r="V314" s="46" t="n"/>
      <c r="W314" s="46" t="n">
        <v>220</v>
      </c>
      <c r="X314" s="46" t="n">
        <v>491</v>
      </c>
      <c r="Y314" s="46" t="n">
        <v>67</v>
      </c>
    </row>
    <row r="315">
      <c r="A315" s="78" t="n">
        <v>46088</v>
      </c>
      <c r="B315" s="45" t="inlineStr">
        <is>
          <t>N6</t>
        </is>
      </c>
      <c r="C315" s="46" t="n">
        <v>138</v>
      </c>
      <c r="D315" s="46" t="n">
        <v>177</v>
      </c>
      <c r="E315" s="46" t="n">
        <v>158</v>
      </c>
      <c r="F315" s="46" t="n">
        <v>315</v>
      </c>
      <c r="G315" s="46" t="n">
        <v>217</v>
      </c>
      <c r="H315" s="46" t="n">
        <v>237</v>
      </c>
      <c r="I315" s="46" t="n">
        <v>177</v>
      </c>
      <c r="J315" s="46" t="n">
        <v>158</v>
      </c>
      <c r="K315" s="46" t="n">
        <v>256</v>
      </c>
      <c r="L315" s="46" t="n">
        <v>177</v>
      </c>
      <c r="M315" s="46">
        <f>N315-SUM(C315:L315)</f>
        <v/>
      </c>
      <c r="N315" s="47" t="n">
        <v>2755</v>
      </c>
      <c r="O315" s="46" t="n">
        <v>81</v>
      </c>
      <c r="P315" s="46" t="n">
        <v>1</v>
      </c>
      <c r="Q315" s="46" t="n">
        <v>340</v>
      </c>
      <c r="R315" s="46" t="n">
        <v>500</v>
      </c>
      <c r="S315" s="46" t="n">
        <v>350</v>
      </c>
      <c r="T315" s="46" t="n">
        <v>400</v>
      </c>
      <c r="U315" s="46" t="n">
        <v>330</v>
      </c>
      <c r="V315" s="46" t="n"/>
      <c r="W315" s="46" t="n">
        <v>220</v>
      </c>
      <c r="X315" s="46" t="n">
        <v>533</v>
      </c>
      <c r="Y315" s="46" t="n">
        <v>0</v>
      </c>
    </row>
    <row r="316">
      <c r="A316" s="78" t="n">
        <v>46089</v>
      </c>
      <c r="B316" s="45" t="inlineStr">
        <is>
          <t>N6</t>
        </is>
      </c>
      <c r="C316" s="46" t="n">
        <v>155</v>
      </c>
      <c r="D316" s="46" t="n">
        <v>199</v>
      </c>
      <c r="E316" s="46" t="n">
        <v>177</v>
      </c>
      <c r="F316" s="46" t="n">
        <v>354</v>
      </c>
      <c r="G316" s="46" t="n">
        <v>244</v>
      </c>
      <c r="H316" s="46" t="n">
        <v>266</v>
      </c>
      <c r="I316" s="46" t="n">
        <v>199</v>
      </c>
      <c r="J316" s="46" t="n">
        <v>177</v>
      </c>
      <c r="K316" s="46" t="n">
        <v>288</v>
      </c>
      <c r="L316" s="46" t="n">
        <v>199</v>
      </c>
      <c r="M316" s="46">
        <f>N316-SUM(C316:L316)</f>
        <v/>
      </c>
      <c r="N316" s="47" t="n">
        <v>3095</v>
      </c>
      <c r="O316" s="46" t="n">
        <v>81</v>
      </c>
      <c r="P316" s="46" t="n">
        <v>1</v>
      </c>
      <c r="Q316" s="46" t="n">
        <v>340</v>
      </c>
      <c r="R316" s="46" t="n">
        <v>816</v>
      </c>
      <c r="S316" s="46" t="n">
        <v>350</v>
      </c>
      <c r="T316" s="46" t="n">
        <v>400</v>
      </c>
      <c r="U316" s="46" t="n">
        <v>330</v>
      </c>
      <c r="V316" s="46" t="n"/>
      <c r="W316" s="46" t="n">
        <v>220</v>
      </c>
      <c r="X316" s="46" t="n">
        <v>557</v>
      </c>
      <c r="Y316" s="46" t="n">
        <v>0</v>
      </c>
    </row>
    <row r="317">
      <c r="A317" s="78" t="n">
        <v>46090</v>
      </c>
      <c r="B317" s="45" t="inlineStr">
        <is>
          <t>N6</t>
        </is>
      </c>
      <c r="C317" s="46" t="n">
        <v>199</v>
      </c>
      <c r="D317" s="46" t="n">
        <v>256</v>
      </c>
      <c r="E317" s="46" t="n">
        <v>227</v>
      </c>
      <c r="F317" s="46" t="n">
        <v>455</v>
      </c>
      <c r="G317" s="46" t="n">
        <v>313</v>
      </c>
      <c r="H317" s="46" t="n">
        <v>341</v>
      </c>
      <c r="I317" s="46" t="n">
        <v>256</v>
      </c>
      <c r="J317" s="46" t="n">
        <v>227</v>
      </c>
      <c r="K317" s="46" t="n">
        <v>369</v>
      </c>
      <c r="L317" s="46" t="n">
        <v>256</v>
      </c>
      <c r="M317" s="46">
        <f>N317-SUM(C317:L317)</f>
        <v/>
      </c>
      <c r="N317" s="47" t="n">
        <v>3971</v>
      </c>
      <c r="O317" s="46" t="n">
        <v>81</v>
      </c>
      <c r="P317" s="46" t="n">
        <v>1</v>
      </c>
      <c r="Q317" s="46" t="n">
        <v>262</v>
      </c>
      <c r="R317" s="46" t="n">
        <v>1849</v>
      </c>
      <c r="S317" s="46" t="n">
        <v>250</v>
      </c>
      <c r="T317" s="46" t="n">
        <v>350</v>
      </c>
      <c r="U317" s="46" t="n">
        <v>330</v>
      </c>
      <c r="V317" s="46" t="n"/>
      <c r="W317" s="46" t="n">
        <v>220</v>
      </c>
      <c r="X317" s="46" t="n">
        <v>561</v>
      </c>
      <c r="Y317" s="46" t="n">
        <v>67</v>
      </c>
    </row>
    <row r="318">
      <c r="A318" s="78" t="n">
        <v>46091</v>
      </c>
      <c r="B318" s="45" t="inlineStr">
        <is>
          <t>N6</t>
        </is>
      </c>
      <c r="C318" s="46" t="n">
        <v>147</v>
      </c>
      <c r="D318" s="46" t="n">
        <v>189</v>
      </c>
      <c r="E318" s="46" t="n">
        <v>168</v>
      </c>
      <c r="F318" s="46" t="n">
        <v>336</v>
      </c>
      <c r="G318" s="46" t="n">
        <v>231</v>
      </c>
      <c r="H318" s="46" t="n">
        <v>252</v>
      </c>
      <c r="I318" s="46" t="n">
        <v>189</v>
      </c>
      <c r="J318" s="46" t="n">
        <v>168</v>
      </c>
      <c r="K318" s="46" t="n">
        <v>273</v>
      </c>
      <c r="L318" s="46" t="n">
        <v>189</v>
      </c>
      <c r="M318" s="46">
        <f>N318-SUM(C318:L318)</f>
        <v/>
      </c>
      <c r="N318" s="47" t="n">
        <v>2933</v>
      </c>
      <c r="O318" s="46" t="n">
        <v>81</v>
      </c>
      <c r="P318" s="46" t="n">
        <v>1</v>
      </c>
      <c r="Q318" s="46" t="n">
        <v>262</v>
      </c>
      <c r="R318" s="46" t="n">
        <v>1000</v>
      </c>
      <c r="S318" s="46" t="n">
        <v>250</v>
      </c>
      <c r="T318" s="46" t="n">
        <v>500</v>
      </c>
      <c r="U318" s="46" t="n">
        <v>0</v>
      </c>
      <c r="V318" s="46" t="n"/>
      <c r="W318" s="46" t="n">
        <v>220</v>
      </c>
      <c r="X318" s="46" t="n">
        <v>552</v>
      </c>
      <c r="Y318" s="46" t="n">
        <v>67</v>
      </c>
    </row>
    <row r="319">
      <c r="A319" s="78" t="n">
        <v>46092</v>
      </c>
      <c r="B319" s="45" t="inlineStr">
        <is>
          <t>N6</t>
        </is>
      </c>
      <c r="C319" s="46" t="n">
        <v>178</v>
      </c>
      <c r="D319" s="46" t="n">
        <v>229</v>
      </c>
      <c r="E319" s="46" t="n">
        <v>203</v>
      </c>
      <c r="F319" s="46" t="n">
        <v>406</v>
      </c>
      <c r="G319" s="46" t="n">
        <v>279</v>
      </c>
      <c r="H319" s="46" t="n">
        <v>305</v>
      </c>
      <c r="I319" s="46" t="n">
        <v>229</v>
      </c>
      <c r="J319" s="46" t="n">
        <v>203</v>
      </c>
      <c r="K319" s="46" t="n">
        <v>330</v>
      </c>
      <c r="L319" s="46" t="n">
        <v>229</v>
      </c>
      <c r="M319" s="46">
        <f>N319-SUM(C319:L319)</f>
        <v/>
      </c>
      <c r="N319" s="47" t="n">
        <v>3549</v>
      </c>
      <c r="O319" s="46" t="n">
        <v>81</v>
      </c>
      <c r="P319" s="46" t="n">
        <v>1</v>
      </c>
      <c r="Q319" s="46" t="n">
        <v>288</v>
      </c>
      <c r="R319" s="46" t="n">
        <v>1000</v>
      </c>
      <c r="S319" s="46" t="n">
        <v>250</v>
      </c>
      <c r="T319" s="46" t="n">
        <v>500</v>
      </c>
      <c r="U319" s="46" t="n">
        <v>633</v>
      </c>
      <c r="V319" s="46" t="n"/>
      <c r="W319" s="46" t="n">
        <v>220</v>
      </c>
      <c r="X319" s="46" t="n">
        <v>509</v>
      </c>
      <c r="Y319" s="46" t="n">
        <v>67</v>
      </c>
    </row>
    <row r="320">
      <c r="A320" s="78" t="n">
        <v>46093</v>
      </c>
      <c r="B320" s="45" t="inlineStr">
        <is>
          <t>N6</t>
        </is>
      </c>
      <c r="C320" s="46" t="n">
        <v>177</v>
      </c>
      <c r="D320" s="46" t="n">
        <v>227</v>
      </c>
      <c r="E320" s="46" t="n">
        <v>202</v>
      </c>
      <c r="F320" s="46" t="n">
        <v>404</v>
      </c>
      <c r="G320" s="46" t="n">
        <v>278</v>
      </c>
      <c r="H320" s="46" t="n">
        <v>303</v>
      </c>
      <c r="I320" s="46" t="n">
        <v>227</v>
      </c>
      <c r="J320" s="46" t="n">
        <v>202</v>
      </c>
      <c r="K320" s="46" t="n">
        <v>328</v>
      </c>
      <c r="L320" s="46" t="n">
        <v>227</v>
      </c>
      <c r="M320" s="46">
        <f>N320-SUM(C320:L320)</f>
        <v/>
      </c>
      <c r="N320" s="47" t="n">
        <v>3530</v>
      </c>
      <c r="O320" s="46" t="n">
        <v>81</v>
      </c>
      <c r="P320" s="46" t="n">
        <v>1</v>
      </c>
      <c r="Q320" s="46" t="n">
        <v>288</v>
      </c>
      <c r="R320" s="46" t="n">
        <v>1000</v>
      </c>
      <c r="S320" s="46" t="n">
        <v>250</v>
      </c>
      <c r="T320" s="46" t="n">
        <v>500</v>
      </c>
      <c r="U320" s="46" t="n">
        <v>633</v>
      </c>
      <c r="V320" s="46" t="n"/>
      <c r="W320" s="46" t="n">
        <v>220</v>
      </c>
      <c r="X320" s="46" t="n">
        <v>491</v>
      </c>
      <c r="Y320" s="46" t="n">
        <v>66</v>
      </c>
    </row>
    <row r="321">
      <c r="A321" s="78" t="n">
        <v>46094</v>
      </c>
      <c r="B321" s="45" t="inlineStr">
        <is>
          <t>N6</t>
        </is>
      </c>
      <c r="C321" s="46" t="n">
        <v>180</v>
      </c>
      <c r="D321" s="46" t="n">
        <v>232</v>
      </c>
      <c r="E321" s="46" t="n">
        <v>206</v>
      </c>
      <c r="F321" s="46" t="n">
        <v>412</v>
      </c>
      <c r="G321" s="46" t="n">
        <v>283</v>
      </c>
      <c r="H321" s="46" t="n">
        <v>309</v>
      </c>
      <c r="I321" s="46" t="n">
        <v>232</v>
      </c>
      <c r="J321" s="46" t="n">
        <v>206</v>
      </c>
      <c r="K321" s="46" t="n">
        <v>335</v>
      </c>
      <c r="L321" s="46" t="n">
        <v>232</v>
      </c>
      <c r="M321" s="46">
        <f>N321-SUM(C321:L321)</f>
        <v/>
      </c>
      <c r="N321" s="47" t="n">
        <v>3597</v>
      </c>
      <c r="O321" s="46" t="n">
        <v>81</v>
      </c>
      <c r="P321" s="46" t="n">
        <v>1</v>
      </c>
      <c r="Q321" s="46" t="n">
        <v>288</v>
      </c>
      <c r="R321" s="46" t="n">
        <v>1000</v>
      </c>
      <c r="S321" s="46" t="n">
        <v>250</v>
      </c>
      <c r="T321" s="46" t="n">
        <v>500</v>
      </c>
      <c r="U321" s="46" t="n">
        <v>633</v>
      </c>
      <c r="V321" s="46" t="n"/>
      <c r="W321" s="46" t="n">
        <v>220</v>
      </c>
      <c r="X321" s="46" t="n">
        <v>558</v>
      </c>
      <c r="Y321" s="46" t="n">
        <v>66</v>
      </c>
    </row>
    <row r="322">
      <c r="A322" s="78" t="n">
        <v>46095</v>
      </c>
      <c r="B322" s="45" t="inlineStr">
        <is>
          <t>N6</t>
        </is>
      </c>
      <c r="C322" s="46" t="n">
        <v>188</v>
      </c>
      <c r="D322" s="46" t="n">
        <v>241</v>
      </c>
      <c r="E322" s="46" t="n">
        <v>214</v>
      </c>
      <c r="F322" s="46" t="n">
        <v>429</v>
      </c>
      <c r="G322" s="46" t="n">
        <v>295</v>
      </c>
      <c r="H322" s="46" t="n">
        <v>322</v>
      </c>
      <c r="I322" s="46" t="n">
        <v>241</v>
      </c>
      <c r="J322" s="46" t="n">
        <v>214</v>
      </c>
      <c r="K322" s="46" t="n">
        <v>349</v>
      </c>
      <c r="L322" s="46" t="n">
        <v>241</v>
      </c>
      <c r="M322" s="46">
        <f>N322-SUM(C322:L322)</f>
        <v/>
      </c>
      <c r="N322" s="47" t="n">
        <v>3746</v>
      </c>
      <c r="O322" s="46" t="n">
        <v>82</v>
      </c>
      <c r="P322" s="46" t="n">
        <v>2</v>
      </c>
      <c r="Q322" s="46" t="n">
        <v>374</v>
      </c>
      <c r="R322" s="46" t="n">
        <v>1000</v>
      </c>
      <c r="S322" s="46" t="n">
        <v>350</v>
      </c>
      <c r="T322" s="46" t="n">
        <v>500</v>
      </c>
      <c r="U322" s="46" t="n">
        <v>633</v>
      </c>
      <c r="V322" s="46" t="n"/>
      <c r="W322" s="46" t="n">
        <v>220</v>
      </c>
      <c r="X322" s="46" t="n">
        <v>585</v>
      </c>
      <c r="Y322" s="46" t="n">
        <v>0</v>
      </c>
    </row>
    <row r="323">
      <c r="A323" s="78" t="n">
        <v>46096</v>
      </c>
      <c r="B323" s="45" t="inlineStr">
        <is>
          <t>N6</t>
        </is>
      </c>
      <c r="C323" s="46" t="n">
        <v>202</v>
      </c>
      <c r="D323" s="46" t="n">
        <v>259</v>
      </c>
      <c r="E323" s="46" t="n">
        <v>230</v>
      </c>
      <c r="F323" s="46" t="n">
        <v>461</v>
      </c>
      <c r="G323" s="46" t="n">
        <v>317</v>
      </c>
      <c r="H323" s="46" t="n">
        <v>346</v>
      </c>
      <c r="I323" s="46" t="n">
        <v>259</v>
      </c>
      <c r="J323" s="46" t="n">
        <v>230</v>
      </c>
      <c r="K323" s="46" t="n">
        <v>374</v>
      </c>
      <c r="L323" s="46" t="n">
        <v>259</v>
      </c>
      <c r="M323" s="46">
        <f>N323-SUM(C323:L323)</f>
        <v/>
      </c>
      <c r="N323" s="47" t="n">
        <v>4025</v>
      </c>
      <c r="O323" s="46" t="n">
        <v>82</v>
      </c>
      <c r="P323" s="46" t="n">
        <v>2</v>
      </c>
      <c r="Q323" s="46" t="n">
        <v>374</v>
      </c>
      <c r="R323" s="46" t="n">
        <v>1000</v>
      </c>
      <c r="S323" s="46" t="n">
        <v>350</v>
      </c>
      <c r="T323" s="46" t="n">
        <v>700</v>
      </c>
      <c r="U323" s="46" t="n">
        <v>633</v>
      </c>
      <c r="V323" s="46" t="n"/>
      <c r="W323" s="46" t="n">
        <v>220</v>
      </c>
      <c r="X323" s="46" t="n">
        <v>664</v>
      </c>
      <c r="Y323" s="46" t="n">
        <v>0</v>
      </c>
    </row>
    <row r="324">
      <c r="A324" s="78" t="n">
        <v>46097</v>
      </c>
      <c r="B324" s="45" t="inlineStr">
        <is>
          <t>N6</t>
        </is>
      </c>
      <c r="C324" s="46" t="n">
        <v>197</v>
      </c>
      <c r="D324" s="46" t="n">
        <v>253</v>
      </c>
      <c r="E324" s="46" t="n">
        <v>225</v>
      </c>
      <c r="F324" s="46" t="n">
        <v>450</v>
      </c>
      <c r="G324" s="46" t="n">
        <v>309</v>
      </c>
      <c r="H324" s="46" t="n">
        <v>337</v>
      </c>
      <c r="I324" s="46" t="n">
        <v>253</v>
      </c>
      <c r="J324" s="46" t="n">
        <v>225</v>
      </c>
      <c r="K324" s="46" t="n">
        <v>366</v>
      </c>
      <c r="L324" s="46" t="n">
        <v>253</v>
      </c>
      <c r="M324" s="46">
        <f>N324-SUM(C324:L324)</f>
        <v/>
      </c>
      <c r="N324" s="47" t="n">
        <v>3929</v>
      </c>
      <c r="O324" s="46" t="n">
        <v>82</v>
      </c>
      <c r="P324" s="46" t="n">
        <v>2</v>
      </c>
      <c r="Q324" s="46" t="n">
        <v>288</v>
      </c>
      <c r="R324" s="46" t="n">
        <v>1000</v>
      </c>
      <c r="S324" s="46" t="n">
        <v>250</v>
      </c>
      <c r="T324" s="46" t="n">
        <v>700</v>
      </c>
      <c r="U324" s="46" t="n">
        <v>633</v>
      </c>
      <c r="V324" s="46" t="n"/>
      <c r="W324" s="46" t="n">
        <v>220</v>
      </c>
      <c r="X324" s="46" t="n">
        <v>688</v>
      </c>
      <c r="Y324" s="46" t="n">
        <v>66</v>
      </c>
    </row>
    <row r="325">
      <c r="A325" s="78" t="n">
        <v>46098</v>
      </c>
      <c r="B325" s="45" t="inlineStr">
        <is>
          <t>N6</t>
        </is>
      </c>
      <c r="C325" s="46" t="n">
        <v>162</v>
      </c>
      <c r="D325" s="46" t="n">
        <v>209</v>
      </c>
      <c r="E325" s="46" t="n">
        <v>186</v>
      </c>
      <c r="F325" s="46" t="n">
        <v>371</v>
      </c>
      <c r="G325" s="46" t="n">
        <v>255</v>
      </c>
      <c r="H325" s="46" t="n">
        <v>279</v>
      </c>
      <c r="I325" s="46" t="n">
        <v>209</v>
      </c>
      <c r="J325" s="46" t="n">
        <v>186</v>
      </c>
      <c r="K325" s="46" t="n">
        <v>302</v>
      </c>
      <c r="L325" s="46" t="n">
        <v>209</v>
      </c>
      <c r="M325" s="46">
        <f>N325-SUM(C325:L325)</f>
        <v/>
      </c>
      <c r="N325" s="47" t="n">
        <v>3243</v>
      </c>
      <c r="O325" s="46" t="n">
        <v>82</v>
      </c>
      <c r="P325" s="46" t="n">
        <v>2</v>
      </c>
      <c r="Q325" s="46" t="n">
        <v>288</v>
      </c>
      <c r="R325" s="46" t="n">
        <v>1000</v>
      </c>
      <c r="S325" s="46" t="n">
        <v>250</v>
      </c>
      <c r="T325" s="46" t="n">
        <v>700</v>
      </c>
      <c r="U325" s="46" t="n">
        <v>0</v>
      </c>
      <c r="V325" s="46" t="n"/>
      <c r="W325" s="46" t="n">
        <v>220</v>
      </c>
      <c r="X325" s="46" t="n">
        <v>635</v>
      </c>
      <c r="Y325" s="46" t="n">
        <v>66</v>
      </c>
    </row>
    <row r="326">
      <c r="A326" s="78" t="n">
        <v>46099</v>
      </c>
      <c r="B326" s="45" t="inlineStr">
        <is>
          <t>N6</t>
        </is>
      </c>
      <c r="C326" s="46" t="n">
        <v>162</v>
      </c>
      <c r="D326" s="46" t="n">
        <v>209</v>
      </c>
      <c r="E326" s="46" t="n">
        <v>186</v>
      </c>
      <c r="F326" s="46" t="n">
        <v>371</v>
      </c>
      <c r="G326" s="46" t="n">
        <v>255</v>
      </c>
      <c r="H326" s="46" t="n">
        <v>278</v>
      </c>
      <c r="I326" s="46" t="n">
        <v>209</v>
      </c>
      <c r="J326" s="46" t="n">
        <v>186</v>
      </c>
      <c r="K326" s="46" t="n">
        <v>302</v>
      </c>
      <c r="L326" s="46" t="n">
        <v>209</v>
      </c>
      <c r="M326" s="46">
        <f>N326-SUM(C326:L326)</f>
        <v/>
      </c>
      <c r="N326" s="47" t="n">
        <v>3242</v>
      </c>
      <c r="O326" s="46" t="n">
        <v>82</v>
      </c>
      <c r="P326" s="46" t="n">
        <v>2</v>
      </c>
      <c r="Q326" s="46" t="n">
        <v>288</v>
      </c>
      <c r="R326" s="46" t="n">
        <v>1000</v>
      </c>
      <c r="S326" s="46" t="n">
        <v>250</v>
      </c>
      <c r="T326" s="46" t="n">
        <v>700</v>
      </c>
      <c r="U326" s="46" t="n">
        <v>0</v>
      </c>
      <c r="V326" s="46" t="n"/>
      <c r="W326" s="46" t="n">
        <v>220</v>
      </c>
      <c r="X326" s="46" t="n">
        <v>634</v>
      </c>
      <c r="Y326" s="46" t="n">
        <v>66</v>
      </c>
    </row>
    <row r="327">
      <c r="A327" s="78" t="n">
        <v>46100</v>
      </c>
      <c r="B327" s="45" t="inlineStr">
        <is>
          <t>N6</t>
        </is>
      </c>
      <c r="C327" s="46" t="n">
        <v>164</v>
      </c>
      <c r="D327" s="46" t="n">
        <v>211</v>
      </c>
      <c r="E327" s="46" t="n">
        <v>188</v>
      </c>
      <c r="F327" s="46" t="n">
        <v>375</v>
      </c>
      <c r="G327" s="46" t="n">
        <v>258</v>
      </c>
      <c r="H327" s="46" t="n">
        <v>281</v>
      </c>
      <c r="I327" s="46" t="n">
        <v>211</v>
      </c>
      <c r="J327" s="46" t="n">
        <v>188</v>
      </c>
      <c r="K327" s="46" t="n">
        <v>305</v>
      </c>
      <c r="L327" s="46" t="n">
        <v>211</v>
      </c>
      <c r="M327" s="46">
        <f>N327-SUM(C327:L327)</f>
        <v/>
      </c>
      <c r="N327" s="47" t="n">
        <v>3275</v>
      </c>
      <c r="O327" s="46" t="n">
        <v>82</v>
      </c>
      <c r="P327" s="46" t="n">
        <v>2</v>
      </c>
      <c r="Q327" s="46" t="n">
        <v>288</v>
      </c>
      <c r="R327" s="46" t="n">
        <v>1000</v>
      </c>
      <c r="S327" s="46" t="n">
        <v>250</v>
      </c>
      <c r="T327" s="46" t="n">
        <v>700</v>
      </c>
      <c r="U327" s="46" t="n">
        <v>0</v>
      </c>
      <c r="V327" s="46" t="n"/>
      <c r="W327" s="46" t="n">
        <v>220</v>
      </c>
      <c r="X327" s="46" t="n">
        <v>667</v>
      </c>
      <c r="Y327" s="46" t="n">
        <v>66</v>
      </c>
    </row>
    <row r="328">
      <c r="A328" s="78" t="n">
        <v>46101</v>
      </c>
      <c r="B328" s="45" t="inlineStr">
        <is>
          <t>N6</t>
        </is>
      </c>
      <c r="C328" s="46" t="n">
        <v>137</v>
      </c>
      <c r="D328" s="46" t="n">
        <v>177</v>
      </c>
      <c r="E328" s="46" t="n">
        <v>157</v>
      </c>
      <c r="F328" s="46" t="n">
        <v>314</v>
      </c>
      <c r="G328" s="46" t="n">
        <v>216</v>
      </c>
      <c r="H328" s="46" t="n">
        <v>236</v>
      </c>
      <c r="I328" s="46" t="n">
        <v>177</v>
      </c>
      <c r="J328" s="46" t="n">
        <v>157</v>
      </c>
      <c r="K328" s="46" t="n">
        <v>255</v>
      </c>
      <c r="L328" s="46" t="n">
        <v>177</v>
      </c>
      <c r="M328" s="46">
        <f>N328-SUM(C328:L328)</f>
        <v/>
      </c>
      <c r="N328" s="47" t="n">
        <v>2743</v>
      </c>
      <c r="O328" s="46" t="n">
        <v>82</v>
      </c>
      <c r="P328" s="46" t="n">
        <v>2</v>
      </c>
      <c r="Q328" s="46" t="n">
        <v>288</v>
      </c>
      <c r="R328" s="46" t="n">
        <v>1000</v>
      </c>
      <c r="S328" s="46" t="n">
        <v>250</v>
      </c>
      <c r="T328" s="46" t="n">
        <v>200</v>
      </c>
      <c r="U328" s="46" t="n">
        <v>0</v>
      </c>
      <c r="V328" s="46" t="n"/>
      <c r="W328" s="46" t="n">
        <v>220</v>
      </c>
      <c r="X328" s="46" t="n">
        <v>635</v>
      </c>
      <c r="Y328" s="46" t="n">
        <v>66</v>
      </c>
    </row>
    <row r="329">
      <c r="A329" s="78" t="n">
        <v>46102</v>
      </c>
      <c r="B329" s="45" t="inlineStr">
        <is>
          <t>N6</t>
        </is>
      </c>
      <c r="C329" s="46" t="n">
        <v>150</v>
      </c>
      <c r="D329" s="46" t="n">
        <v>193</v>
      </c>
      <c r="E329" s="46" t="n">
        <v>172</v>
      </c>
      <c r="F329" s="46" t="n">
        <v>344</v>
      </c>
      <c r="G329" s="46" t="n">
        <v>236</v>
      </c>
      <c r="H329" s="46" t="n">
        <v>258</v>
      </c>
      <c r="I329" s="46" t="n">
        <v>193</v>
      </c>
      <c r="J329" s="46" t="n">
        <v>172</v>
      </c>
      <c r="K329" s="46" t="n">
        <v>279</v>
      </c>
      <c r="L329" s="46" t="n">
        <v>193</v>
      </c>
      <c r="M329" s="46">
        <f>N329-SUM(C329:L329)</f>
        <v/>
      </c>
      <c r="N329" s="47" t="n">
        <v>3002</v>
      </c>
      <c r="O329" s="46" t="n">
        <v>82</v>
      </c>
      <c r="P329" s="46" t="n">
        <v>2</v>
      </c>
      <c r="Q329" s="46" t="n">
        <v>408</v>
      </c>
      <c r="R329" s="46" t="n">
        <v>1000</v>
      </c>
      <c r="S329" s="46" t="n">
        <v>350</v>
      </c>
      <c r="T329" s="46" t="n">
        <v>300</v>
      </c>
      <c r="U329" s="46" t="n">
        <v>0</v>
      </c>
      <c r="V329" s="46" t="n"/>
      <c r="W329" s="46" t="n">
        <v>220</v>
      </c>
      <c r="X329" s="46" t="n">
        <v>640</v>
      </c>
      <c r="Y329" s="46" t="n">
        <v>0</v>
      </c>
    </row>
    <row r="330">
      <c r="A330" s="78" t="n">
        <v>46103</v>
      </c>
      <c r="B330" s="45" t="inlineStr">
        <is>
          <t>N6</t>
        </is>
      </c>
      <c r="C330" s="46" t="n">
        <v>163</v>
      </c>
      <c r="D330" s="46" t="n">
        <v>209</v>
      </c>
      <c r="E330" s="46" t="n">
        <v>186</v>
      </c>
      <c r="F330" s="46" t="n">
        <v>372</v>
      </c>
      <c r="G330" s="46" t="n">
        <v>256</v>
      </c>
      <c r="H330" s="46" t="n">
        <v>279</v>
      </c>
      <c r="I330" s="46" t="n">
        <v>209</v>
      </c>
      <c r="J330" s="46" t="n">
        <v>186</v>
      </c>
      <c r="K330" s="46" t="n">
        <v>303</v>
      </c>
      <c r="L330" s="46" t="n">
        <v>209</v>
      </c>
      <c r="M330" s="46">
        <f>N330-SUM(C330:L330)</f>
        <v/>
      </c>
      <c r="N330" s="47" t="n">
        <v>3252</v>
      </c>
      <c r="O330" s="46" t="n">
        <v>82</v>
      </c>
      <c r="P330" s="46" t="n">
        <v>2</v>
      </c>
      <c r="Q330" s="46" t="n">
        <v>408</v>
      </c>
      <c r="R330" s="46" t="n">
        <v>1000</v>
      </c>
      <c r="S330" s="46" t="n">
        <v>350</v>
      </c>
      <c r="T330" s="46" t="n">
        <v>500</v>
      </c>
      <c r="U330" s="46" t="n">
        <v>0</v>
      </c>
      <c r="V330" s="46" t="n"/>
      <c r="W330" s="46" t="n">
        <v>220</v>
      </c>
      <c r="X330" s="46" t="n">
        <v>690</v>
      </c>
      <c r="Y330" s="46" t="n">
        <v>0</v>
      </c>
    </row>
    <row r="331">
      <c r="A331" s="78" t="n">
        <v>46104</v>
      </c>
      <c r="B331" s="45" t="inlineStr">
        <is>
          <t>N6</t>
        </is>
      </c>
      <c r="C331" s="46" t="n">
        <v>158</v>
      </c>
      <c r="D331" s="46" t="n">
        <v>203</v>
      </c>
      <c r="E331" s="46" t="n">
        <v>180</v>
      </c>
      <c r="F331" s="46" t="n">
        <v>360</v>
      </c>
      <c r="G331" s="46" t="n">
        <v>248</v>
      </c>
      <c r="H331" s="46" t="n">
        <v>270</v>
      </c>
      <c r="I331" s="46" t="n">
        <v>203</v>
      </c>
      <c r="J331" s="46" t="n">
        <v>180</v>
      </c>
      <c r="K331" s="46" t="n">
        <v>293</v>
      </c>
      <c r="L331" s="46" t="n">
        <v>203</v>
      </c>
      <c r="M331" s="46">
        <f>N331-SUM(C331:L331)</f>
        <v/>
      </c>
      <c r="N331" s="47" t="n">
        <v>3146</v>
      </c>
      <c r="O331" s="46" t="n">
        <v>82</v>
      </c>
      <c r="P331" s="46" t="n">
        <v>2</v>
      </c>
      <c r="Q331" s="46" t="n">
        <v>314</v>
      </c>
      <c r="R331" s="46" t="n">
        <v>1000</v>
      </c>
      <c r="S331" s="46" t="n">
        <v>250</v>
      </c>
      <c r="T331" s="46" t="n">
        <v>500</v>
      </c>
      <c r="U331" s="46" t="n">
        <v>0</v>
      </c>
      <c r="V331" s="46" t="n"/>
      <c r="W331" s="46" t="n">
        <v>220</v>
      </c>
      <c r="X331" s="46" t="n">
        <v>712</v>
      </c>
      <c r="Y331" s="46" t="n">
        <v>66</v>
      </c>
    </row>
    <row r="332">
      <c r="A332" s="78" t="n">
        <v>46105</v>
      </c>
      <c r="B332" s="45" t="inlineStr">
        <is>
          <t>N6</t>
        </is>
      </c>
      <c r="C332" s="46" t="n">
        <v>154</v>
      </c>
      <c r="D332" s="46" t="n">
        <v>199</v>
      </c>
      <c r="E332" s="46" t="n">
        <v>177</v>
      </c>
      <c r="F332" s="46" t="n">
        <v>353</v>
      </c>
      <c r="G332" s="46" t="n">
        <v>243</v>
      </c>
      <c r="H332" s="46" t="n">
        <v>265</v>
      </c>
      <c r="I332" s="46" t="n">
        <v>199</v>
      </c>
      <c r="J332" s="46" t="n">
        <v>177</v>
      </c>
      <c r="K332" s="46" t="n">
        <v>287</v>
      </c>
      <c r="L332" s="46" t="n">
        <v>199</v>
      </c>
      <c r="M332" s="46">
        <f>N332-SUM(C332:L332)</f>
        <v/>
      </c>
      <c r="N332" s="47" t="n">
        <v>3083</v>
      </c>
      <c r="O332" s="46" t="n">
        <v>82</v>
      </c>
      <c r="P332" s="46" t="n">
        <v>2</v>
      </c>
      <c r="Q332" s="46" t="n">
        <v>314</v>
      </c>
      <c r="R332" s="46" t="n">
        <v>1000</v>
      </c>
      <c r="S332" s="46" t="n">
        <v>250</v>
      </c>
      <c r="T332" s="46" t="n">
        <v>500</v>
      </c>
      <c r="U332" s="46" t="n">
        <v>0</v>
      </c>
      <c r="V332" s="46" t="n"/>
      <c r="W332" s="46" t="n">
        <v>220</v>
      </c>
      <c r="X332" s="46" t="n">
        <v>649</v>
      </c>
      <c r="Y332" s="46" t="n">
        <v>66</v>
      </c>
    </row>
    <row r="333">
      <c r="A333" s="78" t="n">
        <v>46106</v>
      </c>
      <c r="B333" s="45" t="inlineStr">
        <is>
          <t>N6</t>
        </is>
      </c>
      <c r="C333" s="46" t="n">
        <v>145</v>
      </c>
      <c r="D333" s="46" t="n">
        <v>187</v>
      </c>
      <c r="E333" s="46" t="n">
        <v>166</v>
      </c>
      <c r="F333" s="46" t="n">
        <v>332</v>
      </c>
      <c r="G333" s="46" t="n">
        <v>228</v>
      </c>
      <c r="H333" s="46" t="n">
        <v>249</v>
      </c>
      <c r="I333" s="46" t="n">
        <v>187</v>
      </c>
      <c r="J333" s="46" t="n">
        <v>166</v>
      </c>
      <c r="K333" s="46" t="n">
        <v>270</v>
      </c>
      <c r="L333" s="46" t="n">
        <v>187</v>
      </c>
      <c r="M333" s="46">
        <f>N333-SUM(C333:L333)</f>
        <v/>
      </c>
      <c r="N333" s="47" t="n">
        <v>2899</v>
      </c>
      <c r="O333" s="46" t="n">
        <v>82</v>
      </c>
      <c r="P333" s="46" t="n">
        <v>2</v>
      </c>
      <c r="Q333" s="46" t="n">
        <v>314</v>
      </c>
      <c r="R333" s="46" t="n">
        <v>816</v>
      </c>
      <c r="S333" s="46" t="n">
        <v>250</v>
      </c>
      <c r="T333" s="46" t="n">
        <v>500</v>
      </c>
      <c r="U333" s="46" t="n">
        <v>0</v>
      </c>
      <c r="V333" s="46" t="n"/>
      <c r="W333" s="46" t="n">
        <v>220</v>
      </c>
      <c r="X333" s="46" t="n">
        <v>649</v>
      </c>
      <c r="Y333" s="46" t="n">
        <v>66</v>
      </c>
    </row>
    <row r="334">
      <c r="A334" s="78" t="n">
        <v>46107</v>
      </c>
      <c r="B334" s="45" t="inlineStr">
        <is>
          <t>N6</t>
        </is>
      </c>
      <c r="C334" s="46" t="n">
        <v>179</v>
      </c>
      <c r="D334" s="46" t="n">
        <v>230</v>
      </c>
      <c r="E334" s="46" t="n">
        <v>205</v>
      </c>
      <c r="F334" s="46" t="n">
        <v>409</v>
      </c>
      <c r="G334" s="46" t="n">
        <v>281</v>
      </c>
      <c r="H334" s="46" t="n">
        <v>307</v>
      </c>
      <c r="I334" s="46" t="n">
        <v>230</v>
      </c>
      <c r="J334" s="46" t="n">
        <v>205</v>
      </c>
      <c r="K334" s="46" t="n">
        <v>332</v>
      </c>
      <c r="L334" s="46" t="n">
        <v>230</v>
      </c>
      <c r="M334" s="46">
        <f>N334-SUM(C334:L334)</f>
        <v/>
      </c>
      <c r="N334" s="47" t="n">
        <v>3572</v>
      </c>
      <c r="O334" s="46" t="n">
        <v>82</v>
      </c>
      <c r="P334" s="46" t="n">
        <v>2</v>
      </c>
      <c r="Q334" s="46" t="n">
        <v>314</v>
      </c>
      <c r="R334" s="46" t="n">
        <v>816</v>
      </c>
      <c r="S334" s="46" t="n">
        <v>250</v>
      </c>
      <c r="T334" s="46" t="n">
        <v>500</v>
      </c>
      <c r="U334" s="46" t="n">
        <v>673</v>
      </c>
      <c r="V334" s="46" t="n"/>
      <c r="W334" s="46" t="n">
        <v>220</v>
      </c>
      <c r="X334" s="46" t="n">
        <v>649</v>
      </c>
      <c r="Y334" s="46" t="n">
        <v>66</v>
      </c>
    </row>
    <row r="335">
      <c r="A335" s="78" t="n">
        <v>46108</v>
      </c>
      <c r="B335" s="45" t="inlineStr">
        <is>
          <t>N6</t>
        </is>
      </c>
      <c r="C335" s="46" t="n">
        <v>184</v>
      </c>
      <c r="D335" s="46" t="n">
        <v>237</v>
      </c>
      <c r="E335" s="46" t="n">
        <v>211</v>
      </c>
      <c r="F335" s="46" t="n">
        <v>421</v>
      </c>
      <c r="G335" s="46" t="n">
        <v>290</v>
      </c>
      <c r="H335" s="46" t="n">
        <v>316</v>
      </c>
      <c r="I335" s="46" t="n">
        <v>237</v>
      </c>
      <c r="J335" s="46" t="n">
        <v>211</v>
      </c>
      <c r="K335" s="46" t="n">
        <v>342</v>
      </c>
      <c r="L335" s="46" t="n">
        <v>237</v>
      </c>
      <c r="M335" s="46">
        <f>N335-SUM(C335:L335)</f>
        <v/>
      </c>
      <c r="N335" s="47" t="n">
        <v>3680</v>
      </c>
      <c r="O335" s="46" t="n">
        <v>82</v>
      </c>
      <c r="P335" s="46" t="n">
        <v>2</v>
      </c>
      <c r="Q335" s="46" t="n">
        <v>314</v>
      </c>
      <c r="R335" s="46" t="n">
        <v>500</v>
      </c>
      <c r="S335" s="46" t="n">
        <v>250</v>
      </c>
      <c r="T335" s="46" t="n">
        <v>600</v>
      </c>
      <c r="U335" s="46" t="n">
        <v>989</v>
      </c>
      <c r="V335" s="46" t="n"/>
      <c r="W335" s="46" t="n">
        <v>220</v>
      </c>
      <c r="X335" s="46" t="n">
        <v>657</v>
      </c>
      <c r="Y335" s="46" t="n">
        <v>66</v>
      </c>
    </row>
    <row r="336">
      <c r="A336" s="78" t="n">
        <v>46109</v>
      </c>
      <c r="B336" s="45" t="inlineStr">
        <is>
          <t>N6</t>
        </is>
      </c>
      <c r="C336" s="46" t="n">
        <v>199</v>
      </c>
      <c r="D336" s="46" t="n">
        <v>256</v>
      </c>
      <c r="E336" s="46" t="n">
        <v>227</v>
      </c>
      <c r="F336" s="46" t="n">
        <v>455</v>
      </c>
      <c r="G336" s="46" t="n">
        <v>313</v>
      </c>
      <c r="H336" s="46" t="n">
        <v>341</v>
      </c>
      <c r="I336" s="46" t="n">
        <v>256</v>
      </c>
      <c r="J336" s="46" t="n">
        <v>227</v>
      </c>
      <c r="K336" s="46" t="n">
        <v>370</v>
      </c>
      <c r="L336" s="46" t="n">
        <v>256</v>
      </c>
      <c r="M336" s="46">
        <f>N336-SUM(C336:L336)</f>
        <v/>
      </c>
      <c r="N336" s="47" t="n">
        <v>3973</v>
      </c>
      <c r="O336" s="46" t="n">
        <v>82</v>
      </c>
      <c r="P336" s="46" t="n">
        <v>2</v>
      </c>
      <c r="Q336" s="46" t="n">
        <v>408</v>
      </c>
      <c r="R336" s="46" t="n">
        <v>500</v>
      </c>
      <c r="S336" s="46" t="n">
        <v>370</v>
      </c>
      <c r="T336" s="46" t="n">
        <v>700</v>
      </c>
      <c r="U336" s="46" t="n">
        <v>989</v>
      </c>
      <c r="V336" s="46" t="n"/>
      <c r="W336" s="46" t="n">
        <v>220</v>
      </c>
      <c r="X336" s="46" t="n">
        <v>702</v>
      </c>
      <c r="Y336" s="46" t="n">
        <v>0</v>
      </c>
    </row>
    <row r="337">
      <c r="A337" s="78" t="n">
        <v>46110</v>
      </c>
      <c r="B337" s="45" t="inlineStr">
        <is>
          <t>N6</t>
        </is>
      </c>
      <c r="C337" s="46" t="n">
        <v>200</v>
      </c>
      <c r="D337" s="46" t="n">
        <v>257</v>
      </c>
      <c r="E337" s="46" t="n">
        <v>229</v>
      </c>
      <c r="F337" s="46" t="n">
        <v>458</v>
      </c>
      <c r="G337" s="46" t="n">
        <v>315</v>
      </c>
      <c r="H337" s="46" t="n">
        <v>343</v>
      </c>
      <c r="I337" s="46" t="n">
        <v>257</v>
      </c>
      <c r="J337" s="46" t="n">
        <v>229</v>
      </c>
      <c r="K337" s="46" t="n">
        <v>372</v>
      </c>
      <c r="L337" s="46" t="n">
        <v>257</v>
      </c>
      <c r="M337" s="46">
        <f>N337-SUM(C337:L337)</f>
        <v/>
      </c>
      <c r="N337" s="47" t="n">
        <v>3997</v>
      </c>
      <c r="O337" s="46" t="n">
        <v>82</v>
      </c>
      <c r="P337" s="46" t="n">
        <v>2</v>
      </c>
      <c r="Q337" s="46" t="n">
        <v>408</v>
      </c>
      <c r="R337" s="46" t="n">
        <v>500</v>
      </c>
      <c r="S337" s="46" t="n">
        <v>373</v>
      </c>
      <c r="T337" s="46" t="n">
        <v>700</v>
      </c>
      <c r="U337" s="46" t="n">
        <v>988</v>
      </c>
      <c r="V337" s="46" t="n"/>
      <c r="W337" s="46" t="n">
        <v>220</v>
      </c>
      <c r="X337" s="46" t="n">
        <v>724</v>
      </c>
      <c r="Y337" s="46" t="n">
        <v>0</v>
      </c>
    </row>
    <row r="338">
      <c r="A338" s="78" t="n">
        <v>46111</v>
      </c>
      <c r="B338" s="45" t="inlineStr">
        <is>
          <t>N6</t>
        </is>
      </c>
      <c r="C338" s="46" t="n">
        <v>141</v>
      </c>
      <c r="D338" s="46" t="n">
        <v>182</v>
      </c>
      <c r="E338" s="46" t="n">
        <v>162</v>
      </c>
      <c r="F338" s="46" t="n">
        <v>323</v>
      </c>
      <c r="G338" s="46" t="n">
        <v>222</v>
      </c>
      <c r="H338" s="46" t="n">
        <v>242</v>
      </c>
      <c r="I338" s="46" t="n">
        <v>182</v>
      </c>
      <c r="J338" s="46" t="n">
        <v>162</v>
      </c>
      <c r="K338" s="46" t="n">
        <v>263</v>
      </c>
      <c r="L338" s="46" t="n">
        <v>182</v>
      </c>
      <c r="M338" s="46">
        <f>N338-SUM(C338:L338)</f>
        <v/>
      </c>
      <c r="N338" s="47" t="n">
        <v>2822</v>
      </c>
      <c r="O338" s="46" t="n">
        <v>82</v>
      </c>
      <c r="P338" s="46" t="n">
        <v>2</v>
      </c>
      <c r="Q338" s="46" t="n">
        <v>314</v>
      </c>
      <c r="R338" s="46" t="n">
        <v>500</v>
      </c>
      <c r="S338" s="46" t="n">
        <v>282</v>
      </c>
      <c r="T338" s="46" t="n">
        <v>700</v>
      </c>
      <c r="U338" s="46" t="n">
        <v>0</v>
      </c>
      <c r="V338" s="46" t="n"/>
      <c r="W338" s="46" t="n">
        <v>220</v>
      </c>
      <c r="X338" s="46" t="n">
        <v>656</v>
      </c>
      <c r="Y338" s="46" t="n">
        <v>66</v>
      </c>
    </row>
    <row r="339">
      <c r="A339" s="78" t="n">
        <v>46112</v>
      </c>
      <c r="B339" s="45" t="inlineStr">
        <is>
          <t>N6</t>
        </is>
      </c>
      <c r="C339" s="46" t="n">
        <v>135</v>
      </c>
      <c r="D339" s="46" t="n">
        <v>173</v>
      </c>
      <c r="E339" s="46" t="n">
        <v>154</v>
      </c>
      <c r="F339" s="46" t="n">
        <v>308</v>
      </c>
      <c r="G339" s="46" t="n">
        <v>212</v>
      </c>
      <c r="H339" s="46" t="n">
        <v>231</v>
      </c>
      <c r="I339" s="46" t="n">
        <v>173</v>
      </c>
      <c r="J339" s="46" t="n">
        <v>154</v>
      </c>
      <c r="K339" s="46" t="n">
        <v>250</v>
      </c>
      <c r="L339" s="46" t="n">
        <v>173</v>
      </c>
      <c r="M339" s="46">
        <f>N339-SUM(C339:L339)</f>
        <v/>
      </c>
      <c r="N339" s="47" t="n">
        <v>2691</v>
      </c>
      <c r="O339" s="46" t="n">
        <v>82</v>
      </c>
      <c r="P339" s="46" t="n">
        <v>2</v>
      </c>
      <c r="Q339" s="46" t="n">
        <v>314</v>
      </c>
      <c r="R339" s="46" t="n">
        <v>500</v>
      </c>
      <c r="S339" s="46" t="n">
        <v>282</v>
      </c>
      <c r="T339" s="46" t="n">
        <v>618</v>
      </c>
      <c r="U339" s="46" t="n">
        <v>0</v>
      </c>
      <c r="V339" s="46" t="n"/>
      <c r="W339" s="46" t="n">
        <v>210</v>
      </c>
      <c r="X339" s="46" t="n">
        <v>617</v>
      </c>
      <c r="Y339" s="46" t="n">
        <v>66</v>
      </c>
    </row>
    <row r="340">
      <c r="A340" s="78" t="n">
        <v>46113</v>
      </c>
      <c r="B340" s="45" t="inlineStr">
        <is>
          <t>N6</t>
        </is>
      </c>
      <c r="C340" s="46" t="n">
        <v>145.9308540921397</v>
      </c>
      <c r="D340" s="46" t="n">
        <v>188.0062190477059</v>
      </c>
      <c r="E340" s="46" t="n">
        <v>194.1983532099182</v>
      </c>
      <c r="F340" s="46" t="n">
        <v>409.0908519769128</v>
      </c>
      <c r="G340" s="46" t="n">
        <v>247.1134099246586</v>
      </c>
      <c r="H340" s="46" t="n">
        <v>274.904034383136</v>
      </c>
      <c r="I340" s="46" t="n">
        <v>190.0501556954326</v>
      </c>
      <c r="J340" s="46" t="n">
        <v>235.7968284224757</v>
      </c>
      <c r="K340" s="46" t="n">
        <v>372.0163474942454</v>
      </c>
      <c r="L340" s="46" t="n">
        <v>206.6429457533751</v>
      </c>
      <c r="M340" s="46">
        <f>N340-SUM(C340:L340)</f>
        <v/>
      </c>
      <c r="N340" s="47" t="n">
        <v>3375</v>
      </c>
      <c r="O340" s="46" t="n">
        <v>135</v>
      </c>
      <c r="P340" s="46" t="n">
        <v>0</v>
      </c>
      <c r="Q340" s="46" t="n">
        <v>481</v>
      </c>
      <c r="R340" s="46" t="n">
        <v>520</v>
      </c>
      <c r="S340" s="46" t="n">
        <v>288</v>
      </c>
      <c r="T340" s="46" t="n">
        <v>692</v>
      </c>
      <c r="U340" s="46" t="n">
        <v>84</v>
      </c>
      <c r="V340" s="46" t="n"/>
      <c r="W340" s="46" t="n">
        <v>300</v>
      </c>
      <c r="X340" s="46" t="n">
        <v>801</v>
      </c>
      <c r="Y340" s="46" t="n">
        <v>74</v>
      </c>
    </row>
    <row r="341">
      <c r="A341" s="78" t="n">
        <v>46114</v>
      </c>
      <c r="B341" s="45" t="inlineStr">
        <is>
          <t>N6</t>
        </is>
      </c>
      <c r="C341" s="46" t="n">
        <v>146.3200030363854</v>
      </c>
      <c r="D341" s="46" t="n">
        <v>188.5075689651665</v>
      </c>
      <c r="E341" s="46" t="n">
        <v>194.7162154851447</v>
      </c>
      <c r="F341" s="46" t="n">
        <v>410.1817609155179</v>
      </c>
      <c r="G341" s="46" t="n">
        <v>247.7723790177911</v>
      </c>
      <c r="H341" s="46" t="n">
        <v>275.6371118081577</v>
      </c>
      <c r="I341" s="46" t="n">
        <v>190.5569561106204</v>
      </c>
      <c r="J341" s="46" t="n">
        <v>236.4256199649356</v>
      </c>
      <c r="K341" s="46" t="n">
        <v>373.0083910875634</v>
      </c>
      <c r="L341" s="46" t="n">
        <v>207.1939936087174</v>
      </c>
      <c r="M341" s="46">
        <f>N341-SUM(C341:L341)</f>
        <v/>
      </c>
      <c r="N341" s="47" t="n">
        <v>3384</v>
      </c>
      <c r="O341" s="46" t="n">
        <v>135</v>
      </c>
      <c r="P341" s="46" t="n">
        <v>0</v>
      </c>
      <c r="Q341" s="46" t="n">
        <v>486</v>
      </c>
      <c r="R341" s="46" t="n">
        <v>520</v>
      </c>
      <c r="S341" s="46" t="n">
        <v>288</v>
      </c>
      <c r="T341" s="46" t="n">
        <v>693</v>
      </c>
      <c r="U341" s="46" t="n">
        <v>84</v>
      </c>
      <c r="V341" s="46" t="n"/>
      <c r="W341" s="46" t="n">
        <v>306</v>
      </c>
      <c r="X341" s="46" t="n">
        <v>798</v>
      </c>
      <c r="Y341" s="46" t="n">
        <v>74</v>
      </c>
    </row>
    <row r="342">
      <c r="A342" s="78" t="n">
        <v>46115</v>
      </c>
      <c r="B342" s="45" t="inlineStr">
        <is>
          <t>N6</t>
        </is>
      </c>
      <c r="C342" s="46" t="n">
        <v>146.1902867216369</v>
      </c>
      <c r="D342" s="46" t="n">
        <v>188.340452326013</v>
      </c>
      <c r="E342" s="46" t="n">
        <v>194.5435947267358</v>
      </c>
      <c r="F342" s="46" t="n">
        <v>409.8181246026496</v>
      </c>
      <c r="G342" s="46" t="n">
        <v>247.5527226534136</v>
      </c>
      <c r="H342" s="46" t="n">
        <v>275.3927526664838</v>
      </c>
      <c r="I342" s="46" t="n">
        <v>190.3880226388912</v>
      </c>
      <c r="J342" s="46" t="n">
        <v>236.2160227841156</v>
      </c>
      <c r="K342" s="46" t="n">
        <v>372.6777098897907</v>
      </c>
      <c r="L342" s="46" t="n">
        <v>207.01031099027</v>
      </c>
      <c r="M342" s="46">
        <f>N342-SUM(C342:L342)</f>
        <v/>
      </c>
      <c r="N342" s="47" t="n">
        <v>3381</v>
      </c>
      <c r="O342" s="46" t="n">
        <v>135</v>
      </c>
      <c r="P342" s="46" t="n">
        <v>0</v>
      </c>
      <c r="Q342" s="46" t="n">
        <v>486</v>
      </c>
      <c r="R342" s="46" t="n">
        <v>520</v>
      </c>
      <c r="S342" s="46" t="n">
        <v>288</v>
      </c>
      <c r="T342" s="46" t="n">
        <v>693</v>
      </c>
      <c r="U342" s="46" t="n">
        <v>84</v>
      </c>
      <c r="V342" s="46" t="n"/>
      <c r="W342" s="46" t="n">
        <v>306</v>
      </c>
      <c r="X342" s="46" t="n">
        <v>795</v>
      </c>
      <c r="Y342" s="46" t="n">
        <v>74</v>
      </c>
    </row>
    <row r="343">
      <c r="A343" s="78" t="n">
        <v>46116</v>
      </c>
      <c r="B343" s="45" t="inlineStr">
        <is>
          <t>N6</t>
        </is>
      </c>
      <c r="C343" s="46" t="n">
        <v>156.956740845768</v>
      </c>
      <c r="D343" s="46" t="n">
        <v>202.2111333757548</v>
      </c>
      <c r="E343" s="46" t="n">
        <v>208.8711176746676</v>
      </c>
      <c r="F343" s="46" t="n">
        <v>439.999938570724</v>
      </c>
      <c r="G343" s="46" t="n">
        <v>265.784200896744</v>
      </c>
      <c r="H343" s="46" t="n">
        <v>295.6745614254174</v>
      </c>
      <c r="I343" s="46" t="n">
        <v>204.4095007924209</v>
      </c>
      <c r="J343" s="46" t="n">
        <v>253.6125887921739</v>
      </c>
      <c r="K343" s="46" t="n">
        <v>400.1242493049218</v>
      </c>
      <c r="L343" s="46" t="n">
        <v>222.2559683214079</v>
      </c>
      <c r="M343" s="46">
        <f>N343-SUM(C343:L343)</f>
        <v/>
      </c>
      <c r="N343" s="47" t="n">
        <v>3630</v>
      </c>
      <c r="O343" s="46" t="n">
        <v>156</v>
      </c>
      <c r="P343" s="46" t="n">
        <v>2</v>
      </c>
      <c r="Q343" s="46" t="n">
        <v>558</v>
      </c>
      <c r="R343" s="46" t="n">
        <v>520</v>
      </c>
      <c r="S343" s="46" t="n">
        <v>331</v>
      </c>
      <c r="T343" s="46" t="n">
        <v>797</v>
      </c>
      <c r="U343" s="46" t="n">
        <v>97</v>
      </c>
      <c r="V343" s="46" t="n"/>
      <c r="W343" s="46" t="n">
        <v>351</v>
      </c>
      <c r="X343" s="46" t="n">
        <v>818</v>
      </c>
      <c r="Y343" s="46" t="n">
        <v>0</v>
      </c>
    </row>
    <row r="344">
      <c r="A344" s="78" t="n">
        <v>46117</v>
      </c>
      <c r="B344" s="45" t="inlineStr">
        <is>
          <t>N6</t>
        </is>
      </c>
      <c r="C344" s="46" t="n">
        <v>156.8702633026023</v>
      </c>
      <c r="D344" s="46" t="n">
        <v>202.0997222829858</v>
      </c>
      <c r="E344" s="46" t="n">
        <v>208.7560371690617</v>
      </c>
      <c r="F344" s="46" t="n">
        <v>439.7575143621451</v>
      </c>
      <c r="G344" s="46" t="n">
        <v>265.6377633204924</v>
      </c>
      <c r="H344" s="46" t="n">
        <v>295.5116553309681</v>
      </c>
      <c r="I344" s="46" t="n">
        <v>204.2968784779347</v>
      </c>
      <c r="J344" s="46" t="n">
        <v>253.4728573382939</v>
      </c>
      <c r="K344" s="46" t="n">
        <v>399.9037951730733</v>
      </c>
      <c r="L344" s="46" t="n">
        <v>222.1335132424429</v>
      </c>
      <c r="M344" s="46">
        <f>N344-SUM(C344:L344)</f>
        <v/>
      </c>
      <c r="N344" s="47" t="n">
        <v>3628</v>
      </c>
      <c r="O344" s="46" t="n">
        <v>156</v>
      </c>
      <c r="P344" s="46" t="n">
        <v>2</v>
      </c>
      <c r="Q344" s="46" t="n">
        <v>558</v>
      </c>
      <c r="R344" s="46" t="n">
        <v>520</v>
      </c>
      <c r="S344" s="46" t="n">
        <v>331</v>
      </c>
      <c r="T344" s="46" t="n">
        <v>797</v>
      </c>
      <c r="U344" s="46" t="n">
        <v>97</v>
      </c>
      <c r="V344" s="46" t="n"/>
      <c r="W344" s="46" t="n">
        <v>351</v>
      </c>
      <c r="X344" s="46" t="n">
        <v>816</v>
      </c>
      <c r="Y344" s="46" t="n">
        <v>0</v>
      </c>
    </row>
    <row r="345">
      <c r="A345" s="78" t="n">
        <v>46118</v>
      </c>
      <c r="B345" s="45" t="inlineStr">
        <is>
          <t>N6</t>
        </is>
      </c>
      <c r="C345" s="46" t="n">
        <v>155.2271899824538</v>
      </c>
      <c r="D345" s="46" t="n">
        <v>199.9829115203746</v>
      </c>
      <c r="E345" s="46" t="n">
        <v>206.56950756255</v>
      </c>
      <c r="F345" s="46" t="n">
        <v>435.1514543991457</v>
      </c>
      <c r="G345" s="46" t="n">
        <v>262.855449371711</v>
      </c>
      <c r="H345" s="46" t="n">
        <v>292.4164395364321</v>
      </c>
      <c r="I345" s="46" t="n">
        <v>202.1570545026972</v>
      </c>
      <c r="J345" s="46" t="n">
        <v>250.8179597145741</v>
      </c>
      <c r="K345" s="46" t="n">
        <v>395.7151666679529</v>
      </c>
      <c r="L345" s="46" t="n">
        <v>219.8068667421086</v>
      </c>
      <c r="M345" s="46">
        <f>N345-SUM(C345:L345)</f>
        <v/>
      </c>
      <c r="N345" s="47" t="n">
        <v>3590</v>
      </c>
      <c r="O345" s="46" t="n">
        <v>156</v>
      </c>
      <c r="P345" s="46" t="n">
        <v>2</v>
      </c>
      <c r="Q345" s="46" t="n">
        <v>558</v>
      </c>
      <c r="R345" s="46" t="n">
        <v>520</v>
      </c>
      <c r="S345" s="46" t="n">
        <v>331</v>
      </c>
      <c r="T345" s="46" t="n">
        <v>797</v>
      </c>
      <c r="U345" s="46" t="n">
        <v>97</v>
      </c>
      <c r="V345" s="46" t="n"/>
      <c r="W345" s="46" t="n">
        <v>351</v>
      </c>
      <c r="X345" s="46" t="n">
        <v>778</v>
      </c>
      <c r="Y345" s="46" t="n">
        <v>0</v>
      </c>
    </row>
    <row r="346">
      <c r="A346" s="78" t="n">
        <v>46119</v>
      </c>
      <c r="B346" s="45" t="inlineStr">
        <is>
          <t>N6</t>
        </is>
      </c>
      <c r="C346" s="46" t="n">
        <v>144.633690944654</v>
      </c>
      <c r="D346" s="46" t="n">
        <v>186.3350526561707</v>
      </c>
      <c r="E346" s="46" t="n">
        <v>192.47214562583</v>
      </c>
      <c r="F346" s="46" t="n">
        <v>405.4544888482291</v>
      </c>
      <c r="G346" s="46" t="n">
        <v>244.9168462808839</v>
      </c>
      <c r="H346" s="46" t="n">
        <v>272.460442966397</v>
      </c>
      <c r="I346" s="46" t="n">
        <v>188.3608209781399</v>
      </c>
      <c r="J346" s="46" t="n">
        <v>233.7008566142759</v>
      </c>
      <c r="K346" s="46" t="n">
        <v>368.7095355165188</v>
      </c>
      <c r="L346" s="46" t="n">
        <v>204.8061195689006</v>
      </c>
      <c r="M346" s="46">
        <f>N346-SUM(C346:L346)</f>
        <v/>
      </c>
      <c r="N346" s="47" t="n">
        <v>3345</v>
      </c>
      <c r="O346" s="46" t="n">
        <v>135</v>
      </c>
      <c r="P346" s="46" t="n">
        <v>1</v>
      </c>
      <c r="Q346" s="46" t="n">
        <v>486</v>
      </c>
      <c r="R346" s="46" t="n">
        <v>520</v>
      </c>
      <c r="S346" s="46" t="n">
        <v>288</v>
      </c>
      <c r="T346" s="46" t="n">
        <v>693</v>
      </c>
      <c r="U346" s="46" t="n">
        <v>84</v>
      </c>
      <c r="V346" s="46" t="n"/>
      <c r="W346" s="46" t="n">
        <v>306</v>
      </c>
      <c r="X346" s="46" t="n">
        <v>758</v>
      </c>
      <c r="Y346" s="46" t="n">
        <v>74</v>
      </c>
    </row>
    <row r="347">
      <c r="A347" s="78" t="n">
        <v>46120</v>
      </c>
      <c r="B347" s="45" t="inlineStr">
        <is>
          <t>N6</t>
        </is>
      </c>
      <c r="C347" s="46" t="n">
        <v>116.4420118726318</v>
      </c>
      <c r="D347" s="46" t="n">
        <v>150.0150364134732</v>
      </c>
      <c r="E347" s="46" t="n">
        <v>154.955900798314</v>
      </c>
      <c r="F347" s="46" t="n">
        <v>326.424196851504</v>
      </c>
      <c r="G347" s="46" t="n">
        <v>197.1781964228461</v>
      </c>
      <c r="H347" s="46" t="n">
        <v>219.3530561759363</v>
      </c>
      <c r="I347" s="46" t="n">
        <v>151.6459464556444</v>
      </c>
      <c r="J347" s="46" t="n">
        <v>188.1484026494006</v>
      </c>
      <c r="K347" s="46" t="n">
        <v>296.8414885339267</v>
      </c>
      <c r="L347" s="46" t="n">
        <v>164.8857638263227</v>
      </c>
      <c r="M347" s="46">
        <f>N347-SUM(C347:L347)</f>
        <v/>
      </c>
      <c r="N347" s="47" t="n">
        <v>2693</v>
      </c>
      <c r="O347" s="46" t="n">
        <v>135</v>
      </c>
      <c r="P347" s="46" t="n">
        <v>1</v>
      </c>
      <c r="Q347" s="46" t="n">
        <v>486</v>
      </c>
      <c r="R347" s="46" t="n">
        <v>520</v>
      </c>
      <c r="S347" s="46" t="n">
        <v>288</v>
      </c>
      <c r="T347" s="46" t="n">
        <v>100</v>
      </c>
      <c r="U347" s="46" t="n">
        <v>84</v>
      </c>
      <c r="V347" s="46" t="n"/>
      <c r="W347" s="46" t="n">
        <v>306</v>
      </c>
      <c r="X347" s="46" t="n">
        <v>699</v>
      </c>
      <c r="Y347" s="46" t="n">
        <v>74</v>
      </c>
    </row>
    <row r="348">
      <c r="A348" s="78" t="n">
        <v>46121</v>
      </c>
      <c r="B348" s="45" t="inlineStr">
        <is>
          <t>N6</t>
        </is>
      </c>
      <c r="C348" s="46" t="n">
        <v>143.5527216550826</v>
      </c>
      <c r="D348" s="46" t="n">
        <v>184.9424139965581</v>
      </c>
      <c r="E348" s="46" t="n">
        <v>191.0336393057566</v>
      </c>
      <c r="F348" s="46" t="n">
        <v>402.4241862409927</v>
      </c>
      <c r="G348" s="46" t="n">
        <v>243.0863765777383</v>
      </c>
      <c r="H348" s="46" t="n">
        <v>270.4241167857812</v>
      </c>
      <c r="I348" s="46" t="n">
        <v>186.9530420470626</v>
      </c>
      <c r="J348" s="46" t="n">
        <v>231.9542134407761</v>
      </c>
      <c r="K348" s="46" t="n">
        <v>365.9538588684132</v>
      </c>
      <c r="L348" s="46" t="n">
        <v>203.2754310818386</v>
      </c>
      <c r="M348" s="46">
        <f>N348-SUM(C348:L348)</f>
        <v/>
      </c>
      <c r="N348" s="47" t="n">
        <v>3320</v>
      </c>
      <c r="O348" s="46" t="n">
        <v>135</v>
      </c>
      <c r="P348" s="46" t="n">
        <v>1</v>
      </c>
      <c r="Q348" s="46" t="n">
        <v>486</v>
      </c>
      <c r="R348" s="46" t="n">
        <v>520</v>
      </c>
      <c r="S348" s="46" t="n">
        <v>288</v>
      </c>
      <c r="T348" s="46" t="n">
        <v>693</v>
      </c>
      <c r="U348" s="46" t="n">
        <v>84</v>
      </c>
      <c r="V348" s="46" t="n"/>
      <c r="W348" s="46" t="n">
        <v>306</v>
      </c>
      <c r="X348" s="46" t="n">
        <v>733</v>
      </c>
      <c r="Y348" s="46" t="n">
        <v>74</v>
      </c>
    </row>
    <row r="349">
      <c r="A349" s="78" t="n">
        <v>46122</v>
      </c>
      <c r="B349" s="45" t="inlineStr">
        <is>
          <t>N6</t>
        </is>
      </c>
      <c r="C349" s="46" t="n">
        <v>143.8986318277454</v>
      </c>
      <c r="D349" s="46" t="n">
        <v>185.3880583676342</v>
      </c>
      <c r="E349" s="46" t="n">
        <v>191.4939613281801</v>
      </c>
      <c r="F349" s="46" t="n">
        <v>403.3938830753084</v>
      </c>
      <c r="G349" s="46" t="n">
        <v>243.6721268827449</v>
      </c>
      <c r="H349" s="46" t="n">
        <v>271.0757411635782</v>
      </c>
      <c r="I349" s="46" t="n">
        <v>187.4035313050073</v>
      </c>
      <c r="J349" s="46" t="n">
        <v>232.513139256296</v>
      </c>
      <c r="K349" s="46" t="n">
        <v>366.835675395807</v>
      </c>
      <c r="L349" s="46" t="n">
        <v>203.7652513976984</v>
      </c>
      <c r="M349" s="46">
        <f>N349-SUM(C349:L349)</f>
        <v/>
      </c>
      <c r="N349" s="47" t="n">
        <v>3328</v>
      </c>
      <c r="O349" s="46" t="n">
        <v>135</v>
      </c>
      <c r="P349" s="46" t="n">
        <v>1</v>
      </c>
      <c r="Q349" s="46" t="n">
        <v>486</v>
      </c>
      <c r="R349" s="46" t="n">
        <v>520</v>
      </c>
      <c r="S349" s="46" t="n">
        <v>288</v>
      </c>
      <c r="T349" s="46" t="n">
        <v>693</v>
      </c>
      <c r="U349" s="46" t="n">
        <v>84</v>
      </c>
      <c r="V349" s="46" t="n"/>
      <c r="W349" s="46" t="n">
        <v>306</v>
      </c>
      <c r="X349" s="46" t="n">
        <v>741</v>
      </c>
      <c r="Y349" s="46" t="n">
        <v>74</v>
      </c>
    </row>
    <row r="350">
      <c r="A350" s="78" t="n">
        <v>46123</v>
      </c>
      <c r="B350" s="45" t="inlineStr">
        <is>
          <t>N6</t>
        </is>
      </c>
      <c r="C350" s="46" t="n">
        <v>158.2971427648366</v>
      </c>
      <c r="D350" s="46" t="n">
        <v>203.9380053136744</v>
      </c>
      <c r="E350" s="46" t="n">
        <v>210.6548655115587</v>
      </c>
      <c r="F350" s="46" t="n">
        <v>443.7575138036971</v>
      </c>
      <c r="G350" s="46" t="n">
        <v>268.0539833286445</v>
      </c>
      <c r="H350" s="46" t="n">
        <v>298.199605889381</v>
      </c>
      <c r="I350" s="46" t="n">
        <v>206.1551466669567</v>
      </c>
      <c r="J350" s="46" t="n">
        <v>255.7784263273136</v>
      </c>
      <c r="K350" s="46" t="n">
        <v>403.5412883485726</v>
      </c>
      <c r="L350" s="46" t="n">
        <v>224.1540220453648</v>
      </c>
      <c r="M350" s="46">
        <f>N350-SUM(C350:L350)</f>
        <v/>
      </c>
      <c r="N350" s="47" t="n">
        <v>3661</v>
      </c>
      <c r="O350" s="46" t="n">
        <v>156</v>
      </c>
      <c r="P350" s="46" t="n">
        <v>2</v>
      </c>
      <c r="Q350" s="46" t="n">
        <v>558</v>
      </c>
      <c r="R350" s="46" t="n">
        <v>600</v>
      </c>
      <c r="S350" s="46" t="n">
        <v>331</v>
      </c>
      <c r="T350" s="46" t="n">
        <v>797</v>
      </c>
      <c r="U350" s="46" t="n">
        <v>97</v>
      </c>
      <c r="V350" s="46" t="n"/>
      <c r="W350" s="46" t="n">
        <v>351</v>
      </c>
      <c r="X350" s="46" t="n">
        <v>769</v>
      </c>
      <c r="Y350" s="46" t="n">
        <v>0</v>
      </c>
    </row>
    <row r="351">
      <c r="A351" s="78" t="n">
        <v>46124</v>
      </c>
      <c r="B351" s="45" t="inlineStr">
        <is>
          <t>N6</t>
        </is>
      </c>
      <c r="C351" s="46" t="n">
        <v>158.772769252248</v>
      </c>
      <c r="D351" s="46" t="n">
        <v>204.550766323904</v>
      </c>
      <c r="E351" s="46" t="n">
        <v>211.287808292391</v>
      </c>
      <c r="F351" s="46" t="n">
        <v>445.0908469508811</v>
      </c>
      <c r="G351" s="46" t="n">
        <v>268.8593899980286</v>
      </c>
      <c r="H351" s="46" t="n">
        <v>299.0955894088519</v>
      </c>
      <c r="I351" s="46" t="n">
        <v>206.7745693966307</v>
      </c>
      <c r="J351" s="46" t="n">
        <v>256.5469493236535</v>
      </c>
      <c r="K351" s="46" t="n">
        <v>404.753786073739</v>
      </c>
      <c r="L351" s="46" t="n">
        <v>224.8275249796721</v>
      </c>
      <c r="M351" s="46">
        <f>N351-SUM(C351:L351)</f>
        <v/>
      </c>
      <c r="N351" s="47" t="n">
        <v>3672</v>
      </c>
      <c r="O351" s="46" t="n">
        <v>156</v>
      </c>
      <c r="P351" s="46" t="n">
        <v>2</v>
      </c>
      <c r="Q351" s="46" t="n">
        <v>558</v>
      </c>
      <c r="R351" s="46" t="n">
        <v>600</v>
      </c>
      <c r="S351" s="46" t="n">
        <v>331</v>
      </c>
      <c r="T351" s="46" t="n">
        <v>797</v>
      </c>
      <c r="U351" s="46" t="n">
        <v>97</v>
      </c>
      <c r="V351" s="46" t="n"/>
      <c r="W351" s="46" t="n">
        <v>351</v>
      </c>
      <c r="X351" s="46" t="n">
        <v>780</v>
      </c>
      <c r="Y351" s="46" t="n">
        <v>0</v>
      </c>
    </row>
    <row r="352">
      <c r="A352" s="78" t="n">
        <v>46125</v>
      </c>
      <c r="B352" s="45" t="inlineStr">
        <is>
          <t>N6</t>
        </is>
      </c>
      <c r="C352" s="46" t="n">
        <v>147.5739274122882</v>
      </c>
      <c r="D352" s="46" t="n">
        <v>190.1230298103171</v>
      </c>
      <c r="E352" s="46" t="n">
        <v>196.3848828164298</v>
      </c>
      <c r="F352" s="46" t="n">
        <v>413.6969119399121</v>
      </c>
      <c r="G352" s="46" t="n">
        <v>249.89572387344</v>
      </c>
      <c r="H352" s="46" t="n">
        <v>277.999250177672</v>
      </c>
      <c r="I352" s="46" t="n">
        <v>192.1899796706701</v>
      </c>
      <c r="J352" s="46" t="n">
        <v>238.4517260461954</v>
      </c>
      <c r="K352" s="46" t="n">
        <v>376.2049759993658</v>
      </c>
      <c r="L352" s="46" t="n">
        <v>208.9695922537094</v>
      </c>
      <c r="M352" s="46">
        <f>N352-SUM(C352:L352)</f>
        <v/>
      </c>
      <c r="N352" s="47" t="n">
        <v>3413</v>
      </c>
      <c r="O352" s="46" t="n">
        <v>135</v>
      </c>
      <c r="P352" s="46" t="n">
        <v>1</v>
      </c>
      <c r="Q352" s="46" t="n">
        <v>486</v>
      </c>
      <c r="R352" s="46" t="n">
        <v>600</v>
      </c>
      <c r="S352" s="46" t="n">
        <v>288</v>
      </c>
      <c r="T352" s="46" t="n">
        <v>693</v>
      </c>
      <c r="U352" s="46" t="n">
        <v>84</v>
      </c>
      <c r="V352" s="46" t="n"/>
      <c r="W352" s="46" t="n">
        <v>306</v>
      </c>
      <c r="X352" s="46" t="n">
        <v>746</v>
      </c>
      <c r="Y352" s="46" t="n">
        <v>74</v>
      </c>
    </row>
    <row r="353">
      <c r="A353" s="78" t="n">
        <v>46126</v>
      </c>
      <c r="B353" s="45" t="inlineStr">
        <is>
          <t>N6</t>
        </is>
      </c>
      <c r="C353" s="46" t="n">
        <v>148.2657477576139</v>
      </c>
      <c r="D353" s="46" t="n">
        <v>191.0143185524692</v>
      </c>
      <c r="E353" s="46" t="n">
        <v>197.3055268612769</v>
      </c>
      <c r="F353" s="46" t="n">
        <v>415.6363056085434</v>
      </c>
      <c r="G353" s="46" t="n">
        <v>251.0672244834532</v>
      </c>
      <c r="H353" s="46" t="n">
        <v>279.3024989332662</v>
      </c>
      <c r="I353" s="46" t="n">
        <v>193.0909581865595</v>
      </c>
      <c r="J353" s="46" t="n">
        <v>239.5695776772353</v>
      </c>
      <c r="K353" s="46" t="n">
        <v>377.9686090541533</v>
      </c>
      <c r="L353" s="46" t="n">
        <v>209.9492328854291</v>
      </c>
      <c r="M353" s="46">
        <f>N353-SUM(C353:L353)</f>
        <v/>
      </c>
      <c r="N353" s="47" t="n">
        <v>3429</v>
      </c>
      <c r="O353" s="46" t="n">
        <v>135</v>
      </c>
      <c r="P353" s="46" t="n">
        <v>1</v>
      </c>
      <c r="Q353" s="46" t="n">
        <v>486</v>
      </c>
      <c r="R353" s="46" t="n">
        <v>600</v>
      </c>
      <c r="S353" s="46" t="n">
        <v>288</v>
      </c>
      <c r="T353" s="46" t="n">
        <v>693</v>
      </c>
      <c r="U353" s="46" t="n">
        <v>84</v>
      </c>
      <c r="V353" s="46" t="n"/>
      <c r="W353" s="46" t="n">
        <v>306</v>
      </c>
      <c r="X353" s="46" t="n">
        <v>762</v>
      </c>
      <c r="Y353" s="46" t="n">
        <v>74</v>
      </c>
    </row>
    <row r="354">
      <c r="A354" s="78" t="n">
        <v>46127</v>
      </c>
      <c r="B354" s="45" t="inlineStr">
        <is>
          <t>N6</t>
        </is>
      </c>
      <c r="C354" s="46" t="n">
        <v>148.4387028439454</v>
      </c>
      <c r="D354" s="46" t="n">
        <v>191.2371407380072</v>
      </c>
      <c r="E354" s="46" t="n">
        <v>197.5356878724886</v>
      </c>
      <c r="F354" s="46" t="n">
        <v>416.1211540257012</v>
      </c>
      <c r="G354" s="46" t="n">
        <v>251.3600996359565</v>
      </c>
      <c r="H354" s="46" t="n">
        <v>279.6283111221647</v>
      </c>
      <c r="I354" s="46" t="n">
        <v>193.3162028155319</v>
      </c>
      <c r="J354" s="46" t="n">
        <v>239.8490405849953</v>
      </c>
      <c r="K354" s="46" t="n">
        <v>378.4095173178503</v>
      </c>
      <c r="L354" s="46" t="n">
        <v>210.194143043359</v>
      </c>
      <c r="M354" s="46">
        <f>N354-SUM(C354:L354)</f>
        <v/>
      </c>
      <c r="N354" s="47" t="n">
        <v>3433</v>
      </c>
      <c r="O354" s="46" t="n">
        <v>135</v>
      </c>
      <c r="P354" s="46" t="n">
        <v>1</v>
      </c>
      <c r="Q354" s="46" t="n">
        <v>486</v>
      </c>
      <c r="R354" s="46" t="n">
        <v>600</v>
      </c>
      <c r="S354" s="46" t="n">
        <v>288</v>
      </c>
      <c r="T354" s="46" t="n">
        <v>693</v>
      </c>
      <c r="U354" s="46" t="n">
        <v>84</v>
      </c>
      <c r="V354" s="46" t="n"/>
      <c r="W354" s="46" t="n">
        <v>306</v>
      </c>
      <c r="X354" s="46" t="n">
        <v>766</v>
      </c>
      <c r="Y354" s="46" t="n">
        <v>74</v>
      </c>
    </row>
    <row r="355">
      <c r="A355" s="78" t="n">
        <v>46128</v>
      </c>
      <c r="B355" s="45" t="inlineStr">
        <is>
          <t>N6</t>
        </is>
      </c>
      <c r="C355" s="46" t="n">
        <v>148.3089865291968</v>
      </c>
      <c r="D355" s="46" t="n">
        <v>191.0700240988537</v>
      </c>
      <c r="E355" s="46" t="n">
        <v>197.3630671140798</v>
      </c>
      <c r="F355" s="46" t="n">
        <v>415.7575177128329</v>
      </c>
      <c r="G355" s="46" t="n">
        <v>251.140443271579</v>
      </c>
      <c r="H355" s="46" t="n">
        <v>279.3839519804908</v>
      </c>
      <c r="I355" s="46" t="n">
        <v>193.1472693438026</v>
      </c>
      <c r="J355" s="46" t="n">
        <v>239.6394434041753</v>
      </c>
      <c r="K355" s="46" t="n">
        <v>378.0788361200775</v>
      </c>
      <c r="L355" s="46" t="n">
        <v>210.0104604249116</v>
      </c>
      <c r="M355" s="46">
        <f>N355-SUM(C355:L355)</f>
        <v/>
      </c>
      <c r="N355" s="47" t="n">
        <v>3430</v>
      </c>
      <c r="O355" s="46" t="n">
        <v>135</v>
      </c>
      <c r="P355" s="46" t="n">
        <v>1</v>
      </c>
      <c r="Q355" s="46" t="n">
        <v>486</v>
      </c>
      <c r="R355" s="46" t="n">
        <v>600</v>
      </c>
      <c r="S355" s="46" t="n">
        <v>288</v>
      </c>
      <c r="T355" s="46" t="n">
        <v>693</v>
      </c>
      <c r="U355" s="46" t="n">
        <v>84</v>
      </c>
      <c r="V355" s="46" t="n"/>
      <c r="W355" s="46" t="n">
        <v>306</v>
      </c>
      <c r="X355" s="46" t="n">
        <v>763</v>
      </c>
      <c r="Y355" s="46" t="n">
        <v>74</v>
      </c>
    </row>
    <row r="356">
      <c r="A356" s="78" t="n">
        <v>46129</v>
      </c>
      <c r="B356" s="45" t="inlineStr">
        <is>
          <t>N6</t>
        </is>
      </c>
      <c r="C356" s="46" t="n">
        <v>149.3467170471853</v>
      </c>
      <c r="D356" s="46" t="n">
        <v>192.4069572120818</v>
      </c>
      <c r="E356" s="46" t="n">
        <v>198.7440331813503</v>
      </c>
      <c r="F356" s="46" t="n">
        <v>418.6666082157798</v>
      </c>
      <c r="G356" s="46" t="n">
        <v>252.8976941865988</v>
      </c>
      <c r="H356" s="46" t="n">
        <v>281.338825113882</v>
      </c>
      <c r="I356" s="46" t="n">
        <v>194.4987371176368</v>
      </c>
      <c r="J356" s="46" t="n">
        <v>241.3162208507351</v>
      </c>
      <c r="K356" s="46" t="n">
        <v>380.7242857022588</v>
      </c>
      <c r="L356" s="46" t="n">
        <v>211.4799213724911</v>
      </c>
      <c r="M356" s="46">
        <f>N356-SUM(C356:L356)</f>
        <v/>
      </c>
      <c r="N356" s="47" t="n">
        <v>3454</v>
      </c>
      <c r="O356" s="46" t="n">
        <v>135</v>
      </c>
      <c r="P356" s="46" t="n">
        <v>1</v>
      </c>
      <c r="Q356" s="46" t="n">
        <v>486</v>
      </c>
      <c r="R356" s="46" t="n">
        <v>600</v>
      </c>
      <c r="S356" s="46" t="n">
        <v>288</v>
      </c>
      <c r="T356" s="46" t="n">
        <v>693</v>
      </c>
      <c r="U356" s="46" t="n">
        <v>84</v>
      </c>
      <c r="V356" s="46" t="n"/>
      <c r="W356" s="46" t="n">
        <v>306</v>
      </c>
      <c r="X356" s="46" t="n">
        <v>787</v>
      </c>
      <c r="Y356" s="46" t="n">
        <v>74</v>
      </c>
    </row>
    <row r="357">
      <c r="A357" s="78" t="n">
        <v>46130</v>
      </c>
      <c r="B357" s="45" t="inlineStr">
        <is>
          <t>N6</t>
        </is>
      </c>
      <c r="C357" s="46" t="n">
        <v>161.0644241461394</v>
      </c>
      <c r="D357" s="46" t="n">
        <v>207.5031602822828</v>
      </c>
      <c r="E357" s="46" t="n">
        <v>214.3374416909467</v>
      </c>
      <c r="F357" s="46" t="n">
        <v>451.5150884782223</v>
      </c>
      <c r="G357" s="46" t="n">
        <v>272.7399857686974</v>
      </c>
      <c r="H357" s="46" t="n">
        <v>303.4126009117575</v>
      </c>
      <c r="I357" s="46" t="n">
        <v>209.7590607305145</v>
      </c>
      <c r="J357" s="46" t="n">
        <v>260.2498328514732</v>
      </c>
      <c r="K357" s="46" t="n">
        <v>410.5958205677227</v>
      </c>
      <c r="L357" s="46" t="n">
        <v>228.0725845722436</v>
      </c>
      <c r="M357" s="46">
        <f>N357-SUM(C357:L357)</f>
        <v/>
      </c>
      <c r="N357" s="47" t="n">
        <v>3725</v>
      </c>
      <c r="O357" s="46" t="n">
        <v>156</v>
      </c>
      <c r="P357" s="46" t="n">
        <v>2</v>
      </c>
      <c r="Q357" s="46" t="n">
        <v>558</v>
      </c>
      <c r="R357" s="46" t="n">
        <v>600</v>
      </c>
      <c r="S357" s="46" t="n">
        <v>331</v>
      </c>
      <c r="T357" s="46" t="n">
        <v>797</v>
      </c>
      <c r="U357" s="46" t="n">
        <v>97</v>
      </c>
      <c r="V357" s="46" t="n"/>
      <c r="W357" s="46" t="n">
        <v>351</v>
      </c>
      <c r="X357" s="46" t="n">
        <v>833</v>
      </c>
      <c r="Y357" s="46" t="n">
        <v>0</v>
      </c>
    </row>
    <row r="358">
      <c r="A358" s="78" t="n">
        <v>46131</v>
      </c>
      <c r="B358" s="45" t="inlineStr">
        <is>
          <t>N6</t>
        </is>
      </c>
      <c r="C358" s="46" t="n">
        <v>161.3238567756365</v>
      </c>
      <c r="D358" s="46" t="n">
        <v>207.8373935605898</v>
      </c>
      <c r="E358" s="46" t="n">
        <v>214.6826832077644</v>
      </c>
      <c r="F358" s="46" t="n">
        <v>452.242361103959</v>
      </c>
      <c r="G358" s="46" t="n">
        <v>273.1792984974523</v>
      </c>
      <c r="H358" s="46" t="n">
        <v>303.9013191951053</v>
      </c>
      <c r="I358" s="46" t="n">
        <v>210.0969276739731</v>
      </c>
      <c r="J358" s="46" t="n">
        <v>260.6690272131131</v>
      </c>
      <c r="K358" s="46" t="n">
        <v>411.2571829632681</v>
      </c>
      <c r="L358" s="46" t="n">
        <v>228.4399498091385</v>
      </c>
      <c r="M358" s="46">
        <f>N358-SUM(C358:L358)</f>
        <v/>
      </c>
      <c r="N358" s="47" t="n">
        <v>3731</v>
      </c>
      <c r="O358" s="46" t="n">
        <v>156</v>
      </c>
      <c r="P358" s="46" t="n">
        <v>2</v>
      </c>
      <c r="Q358" s="46" t="n">
        <v>558</v>
      </c>
      <c r="R358" s="46" t="n">
        <v>600</v>
      </c>
      <c r="S358" s="46" t="n">
        <v>331</v>
      </c>
      <c r="T358" s="46" t="n">
        <v>797</v>
      </c>
      <c r="U358" s="46" t="n">
        <v>97</v>
      </c>
      <c r="V358" s="46" t="n"/>
      <c r="W358" s="46" t="n">
        <v>351</v>
      </c>
      <c r="X358" s="46" t="n">
        <v>839</v>
      </c>
      <c r="Y358" s="46" t="n">
        <v>0</v>
      </c>
    </row>
    <row r="359">
      <c r="A359" s="78" t="n">
        <v>46132</v>
      </c>
      <c r="B359" s="45" t="inlineStr">
        <is>
          <t>N6</t>
        </is>
      </c>
      <c r="C359" s="46" t="n">
        <v>151.3789393115796</v>
      </c>
      <c r="D359" s="46" t="n">
        <v>195.0251178921536</v>
      </c>
      <c r="E359" s="46" t="n">
        <v>201.4484250630885</v>
      </c>
      <c r="F359" s="46" t="n">
        <v>424.3635771173842</v>
      </c>
      <c r="G359" s="46" t="n">
        <v>256.3389772285126</v>
      </c>
      <c r="H359" s="46" t="n">
        <v>285.1671183334397</v>
      </c>
      <c r="I359" s="46" t="n">
        <v>197.1453615080621</v>
      </c>
      <c r="J359" s="46" t="n">
        <v>244.5999100169148</v>
      </c>
      <c r="K359" s="46" t="n">
        <v>385.9049578006972</v>
      </c>
      <c r="L359" s="46" t="n">
        <v>214.3576157281678</v>
      </c>
      <c r="M359" s="46">
        <f>N359-SUM(C359:L359)</f>
        <v/>
      </c>
      <c r="N359" s="47" t="n">
        <v>3501</v>
      </c>
      <c r="O359" s="46" t="n">
        <v>135</v>
      </c>
      <c r="P359" s="46" t="n">
        <v>1</v>
      </c>
      <c r="Q359" s="46" t="n">
        <v>486</v>
      </c>
      <c r="R359" s="46" t="n">
        <v>600</v>
      </c>
      <c r="S359" s="46" t="n">
        <v>288</v>
      </c>
      <c r="T359" s="46" t="n">
        <v>693</v>
      </c>
      <c r="U359" s="46" t="n">
        <v>84</v>
      </c>
      <c r="V359" s="46" t="n"/>
      <c r="W359" s="46" t="n">
        <v>306</v>
      </c>
      <c r="X359" s="46" t="n">
        <v>834</v>
      </c>
      <c r="Y359" s="46" t="n">
        <v>74</v>
      </c>
    </row>
    <row r="360">
      <c r="A360" s="78" t="n">
        <v>46133</v>
      </c>
      <c r="B360" s="45" t="inlineStr">
        <is>
          <t>N6</t>
        </is>
      </c>
      <c r="C360" s="46" t="n">
        <v>156.0919654141109</v>
      </c>
      <c r="D360" s="46" t="n">
        <v>201.0970224480647</v>
      </c>
      <c r="E360" s="46" t="n">
        <v>207.7203126186088</v>
      </c>
      <c r="F360" s="46" t="n">
        <v>437.5756964849348</v>
      </c>
      <c r="G360" s="46" t="n">
        <v>264.3198251342275</v>
      </c>
      <c r="H360" s="46" t="n">
        <v>294.0455004809247</v>
      </c>
      <c r="I360" s="46" t="n">
        <v>203.283277647559</v>
      </c>
      <c r="J360" s="46" t="n">
        <v>252.215274253374</v>
      </c>
      <c r="K360" s="46" t="n">
        <v>397.9197079864373</v>
      </c>
      <c r="L360" s="46" t="n">
        <v>221.0314175317582</v>
      </c>
      <c r="M360" s="46">
        <f>N360-SUM(C360:L360)</f>
        <v/>
      </c>
      <c r="N360" s="47" t="n">
        <v>3610</v>
      </c>
      <c r="O360" s="46" t="n">
        <v>135</v>
      </c>
      <c r="P360" s="46" t="n">
        <v>2</v>
      </c>
      <c r="Q360" s="46" t="n">
        <v>486</v>
      </c>
      <c r="R360" s="46" t="n">
        <v>683</v>
      </c>
      <c r="S360" s="46" t="n">
        <v>288</v>
      </c>
      <c r="T360" s="46" t="n">
        <v>693</v>
      </c>
      <c r="U360" s="46" t="n">
        <v>84</v>
      </c>
      <c r="V360" s="46" t="n"/>
      <c r="W360" s="46" t="n">
        <v>306</v>
      </c>
      <c r="X360" s="46" t="n">
        <v>859</v>
      </c>
      <c r="Y360" s="46" t="n">
        <v>74</v>
      </c>
    </row>
    <row r="361">
      <c r="A361" s="78" t="n">
        <v>46134</v>
      </c>
      <c r="B361" s="45" t="inlineStr">
        <is>
          <t>N6</t>
        </is>
      </c>
      <c r="C361" s="46" t="n">
        <v>157.9512325921737</v>
      </c>
      <c r="D361" s="46" t="n">
        <v>203.4923609425984</v>
      </c>
      <c r="E361" s="46" t="n">
        <v>210.1945434891352</v>
      </c>
      <c r="F361" s="46" t="n">
        <v>442.7878169693815</v>
      </c>
      <c r="G361" s="46" t="n">
        <v>267.4682330236379</v>
      </c>
      <c r="H361" s="46" t="n">
        <v>297.5479815115839</v>
      </c>
      <c r="I361" s="46" t="n">
        <v>205.704657409012</v>
      </c>
      <c r="J361" s="46" t="n">
        <v>255.2195005117937</v>
      </c>
      <c r="K361" s="46" t="n">
        <v>402.6594718211788</v>
      </c>
      <c r="L361" s="46" t="n">
        <v>223.664201729505</v>
      </c>
      <c r="M361" s="46">
        <f>N361-SUM(C361:L361)</f>
        <v/>
      </c>
      <c r="N361" s="47" t="n">
        <v>3653</v>
      </c>
      <c r="O361" s="46" t="n">
        <v>135</v>
      </c>
      <c r="P361" s="46" t="n">
        <v>2</v>
      </c>
      <c r="Q361" s="46" t="n">
        <v>486</v>
      </c>
      <c r="R361" s="46" t="n">
        <v>683</v>
      </c>
      <c r="S361" s="46" t="n">
        <v>288</v>
      </c>
      <c r="T361" s="46" t="n">
        <v>693</v>
      </c>
      <c r="U361" s="46" t="n">
        <v>84</v>
      </c>
      <c r="V361" s="46" t="n"/>
      <c r="W361" s="46" t="n">
        <v>306</v>
      </c>
      <c r="X361" s="46" t="n">
        <v>902</v>
      </c>
      <c r="Y361" s="46" t="n">
        <v>74</v>
      </c>
    </row>
    <row r="362">
      <c r="A362" s="78" t="n">
        <v>46135</v>
      </c>
      <c r="B362" s="45" t="inlineStr">
        <is>
          <t>N6</t>
        </is>
      </c>
      <c r="C362" s="46" t="n">
        <v>158.6430529374994</v>
      </c>
      <c r="D362" s="46" t="n">
        <v>204.3836496847505</v>
      </c>
      <c r="E362" s="46" t="n">
        <v>211.1151875339822</v>
      </c>
      <c r="F362" s="46" t="n">
        <v>444.7272106380128</v>
      </c>
      <c r="G362" s="46" t="n">
        <v>268.6397336336511</v>
      </c>
      <c r="H362" s="46" t="n">
        <v>298.851230267178</v>
      </c>
      <c r="I362" s="46" t="n">
        <v>206.6056359249014</v>
      </c>
      <c r="J362" s="46" t="n">
        <v>256.3373521428335</v>
      </c>
      <c r="K362" s="46" t="n">
        <v>404.4231048759663</v>
      </c>
      <c r="L362" s="46" t="n">
        <v>224.6438423612246</v>
      </c>
      <c r="M362" s="46">
        <f>N362-SUM(C362:L362)</f>
        <v/>
      </c>
      <c r="N362" s="47" t="n">
        <v>3669</v>
      </c>
      <c r="O362" s="46" t="n">
        <v>135</v>
      </c>
      <c r="P362" s="46" t="n">
        <v>2</v>
      </c>
      <c r="Q362" s="46" t="n">
        <v>486</v>
      </c>
      <c r="R362" s="46" t="n">
        <v>683</v>
      </c>
      <c r="S362" s="46" t="n">
        <v>288</v>
      </c>
      <c r="T362" s="46" t="n">
        <v>693</v>
      </c>
      <c r="U362" s="46" t="n">
        <v>84</v>
      </c>
      <c r="V362" s="46" t="n"/>
      <c r="W362" s="46" t="n">
        <v>306</v>
      </c>
      <c r="X362" s="46" t="n">
        <v>918</v>
      </c>
      <c r="Y362" s="46" t="n">
        <v>74</v>
      </c>
    </row>
    <row r="363">
      <c r="A363" s="78" t="n">
        <v>46136</v>
      </c>
      <c r="B363" s="45" t="inlineStr">
        <is>
          <t>N6</t>
        </is>
      </c>
      <c r="C363" s="46" t="n">
        <v>159.2916345112423</v>
      </c>
      <c r="D363" s="46" t="n">
        <v>205.2192328805181</v>
      </c>
      <c r="E363" s="46" t="n">
        <v>211.9782913260262</v>
      </c>
      <c r="F363" s="46" t="n">
        <v>446.5453922023545</v>
      </c>
      <c r="G363" s="46" t="n">
        <v>269.7380154555385</v>
      </c>
      <c r="H363" s="46" t="n">
        <v>300.0730259755475</v>
      </c>
      <c r="I363" s="46" t="n">
        <v>207.4503032835478</v>
      </c>
      <c r="J363" s="46" t="n">
        <v>257.3853380469334</v>
      </c>
      <c r="K363" s="46" t="n">
        <v>406.0765108648296</v>
      </c>
      <c r="L363" s="46" t="n">
        <v>225.5622554534619</v>
      </c>
      <c r="M363" s="46">
        <f>N363-SUM(C363:L363)</f>
        <v/>
      </c>
      <c r="N363" s="47" t="n">
        <v>3684</v>
      </c>
      <c r="O363" s="46" t="n">
        <v>135</v>
      </c>
      <c r="P363" s="46" t="n">
        <v>2</v>
      </c>
      <c r="Q363" s="46" t="n">
        <v>486</v>
      </c>
      <c r="R363" s="46" t="n">
        <v>683</v>
      </c>
      <c r="S363" s="46" t="n">
        <v>288</v>
      </c>
      <c r="T363" s="46" t="n">
        <v>693</v>
      </c>
      <c r="U363" s="46" t="n">
        <v>84</v>
      </c>
      <c r="V363" s="46" t="n"/>
      <c r="W363" s="46" t="n">
        <v>306</v>
      </c>
      <c r="X363" s="46" t="n">
        <v>933</v>
      </c>
      <c r="Y363" s="46" t="n">
        <v>74</v>
      </c>
    </row>
    <row r="364">
      <c r="A364" s="78" t="n">
        <v>46137</v>
      </c>
      <c r="B364" s="45" t="inlineStr">
        <is>
          <t>N6</t>
        </is>
      </c>
      <c r="C364" s="46" t="n">
        <v>174.1657719357448</v>
      </c>
      <c r="D364" s="46" t="n">
        <v>224.381940836788</v>
      </c>
      <c r="E364" s="46" t="n">
        <v>231.7721382902372</v>
      </c>
      <c r="F364" s="46" t="n">
        <v>488.2423560779274</v>
      </c>
      <c r="G364" s="46" t="n">
        <v>294.9252785708222</v>
      </c>
      <c r="H364" s="46" t="n">
        <v>328.0928742208213</v>
      </c>
      <c r="I364" s="46" t="n">
        <v>226.8213413751711</v>
      </c>
      <c r="J364" s="46" t="n">
        <v>281.419148114291</v>
      </c>
      <c r="K364" s="46" t="n">
        <v>443.9946215427616</v>
      </c>
      <c r="L364" s="46" t="n">
        <v>246.6245290354355</v>
      </c>
      <c r="M364" s="46">
        <f>N364-SUM(C364:L364)</f>
        <v/>
      </c>
      <c r="N364" s="47" t="n">
        <v>4028</v>
      </c>
      <c r="O364" s="46" t="n">
        <v>156</v>
      </c>
      <c r="P364" s="46" t="n">
        <v>2</v>
      </c>
      <c r="Q364" s="46" t="n">
        <v>558</v>
      </c>
      <c r="R364" s="46" t="n">
        <v>683</v>
      </c>
      <c r="S364" s="46" t="n">
        <v>331</v>
      </c>
      <c r="T364" s="46" t="n">
        <v>797</v>
      </c>
      <c r="U364" s="46" t="n">
        <v>97</v>
      </c>
      <c r="V364" s="46" t="n"/>
      <c r="W364" s="46" t="n">
        <v>351</v>
      </c>
      <c r="X364" s="46" t="n">
        <v>1053</v>
      </c>
      <c r="Y364" s="46" t="n">
        <v>0</v>
      </c>
    </row>
    <row r="365">
      <c r="A365" s="78" t="n">
        <v>46138</v>
      </c>
      <c r="B365" s="45" t="inlineStr">
        <is>
          <t>N6</t>
        </is>
      </c>
      <c r="C365" s="46" t="n">
        <v>166.8151807666593</v>
      </c>
      <c r="D365" s="46" t="n">
        <v>214.9119979514221</v>
      </c>
      <c r="E365" s="46" t="n">
        <v>221.9902953137376</v>
      </c>
      <c r="F365" s="46" t="n">
        <v>467.6362983487199</v>
      </c>
      <c r="G365" s="46" t="n">
        <v>282.4780845894321</v>
      </c>
      <c r="H365" s="46" t="n">
        <v>314.2458561926337</v>
      </c>
      <c r="I365" s="46" t="n">
        <v>217.2484446438456</v>
      </c>
      <c r="J365" s="46" t="n">
        <v>269.5419745344922</v>
      </c>
      <c r="K365" s="46" t="n">
        <v>425.2560203356441</v>
      </c>
      <c r="L365" s="46" t="n">
        <v>236.2158473234137</v>
      </c>
      <c r="M365" s="46">
        <f>N365-SUM(C365:L365)</f>
        <v/>
      </c>
      <c r="N365" s="47" t="n">
        <v>3858</v>
      </c>
      <c r="O365" s="46" t="n">
        <v>156</v>
      </c>
      <c r="P365" s="46" t="n">
        <v>2</v>
      </c>
      <c r="Q365" s="46" t="n">
        <v>558</v>
      </c>
      <c r="R365" s="46" t="n">
        <v>683</v>
      </c>
      <c r="S365" s="46" t="n">
        <v>331</v>
      </c>
      <c r="T365" s="46" t="n">
        <v>797</v>
      </c>
      <c r="U365" s="46" t="n">
        <v>97</v>
      </c>
      <c r="V365" s="46" t="n"/>
      <c r="W365" s="46" t="n">
        <v>351</v>
      </c>
      <c r="X365" s="46" t="n">
        <v>883</v>
      </c>
      <c r="Y365" s="46" t="n">
        <v>0</v>
      </c>
    </row>
    <row r="366">
      <c r="A366" s="78" t="n">
        <v>46139</v>
      </c>
      <c r="B366" s="45" t="inlineStr">
        <is>
          <t>N6</t>
        </is>
      </c>
      <c r="C366" s="46" t="n">
        <v>169.9716110922078</v>
      </c>
      <c r="D366" s="46" t="n">
        <v>218.9785028374909</v>
      </c>
      <c r="E366" s="46" t="n">
        <v>226.1907337683521</v>
      </c>
      <c r="F366" s="46" t="n">
        <v>476.4847819618502</v>
      </c>
      <c r="G366" s="46" t="n">
        <v>287.8230561226172</v>
      </c>
      <c r="H366" s="46" t="n">
        <v>320.1919286400319</v>
      </c>
      <c r="I366" s="46" t="n">
        <v>221.3591591225913</v>
      </c>
      <c r="J366" s="46" t="n">
        <v>274.6421726011117</v>
      </c>
      <c r="K366" s="46" t="n">
        <v>433.3025961481122</v>
      </c>
      <c r="L366" s="46" t="n">
        <v>240.6854577056348</v>
      </c>
      <c r="M366" s="46">
        <f>N366-SUM(C366:L366)</f>
        <v/>
      </c>
      <c r="N366" s="47" t="n">
        <v>3931</v>
      </c>
      <c r="O366" s="46" t="n">
        <v>135</v>
      </c>
      <c r="P366" s="46" t="n">
        <v>2</v>
      </c>
      <c r="Q366" s="46" t="n">
        <v>486</v>
      </c>
      <c r="R366" s="46" t="n">
        <v>683</v>
      </c>
      <c r="S366" s="46" t="n">
        <v>288</v>
      </c>
      <c r="T366" s="46" t="n">
        <v>993</v>
      </c>
      <c r="U366" s="46" t="n">
        <v>84</v>
      </c>
      <c r="V366" s="46" t="n"/>
      <c r="W366" s="46" t="n">
        <v>306</v>
      </c>
      <c r="X366" s="46" t="n">
        <v>880</v>
      </c>
      <c r="Y366" s="46" t="n">
        <v>74</v>
      </c>
    </row>
    <row r="367">
      <c r="A367" s="78" t="n">
        <v>46140</v>
      </c>
      <c r="B367" s="45" t="inlineStr">
        <is>
          <t>N6</t>
        </is>
      </c>
      <c r="C367" s="46" t="n">
        <v>170.5337151227849</v>
      </c>
      <c r="D367" s="46" t="n">
        <v>219.7026749404895</v>
      </c>
      <c r="E367" s="46" t="n">
        <v>226.9387570547903</v>
      </c>
      <c r="F367" s="46" t="n">
        <v>478.0605393176131</v>
      </c>
      <c r="G367" s="46" t="n">
        <v>288.7749003682529</v>
      </c>
      <c r="H367" s="46" t="n">
        <v>321.2508182539521</v>
      </c>
      <c r="I367" s="46" t="n">
        <v>222.0912041667515</v>
      </c>
      <c r="J367" s="46" t="n">
        <v>275.5504270513316</v>
      </c>
      <c r="K367" s="46" t="n">
        <v>434.735548005127</v>
      </c>
      <c r="L367" s="46" t="n">
        <v>241.481415718907</v>
      </c>
      <c r="M367" s="46">
        <f>N367-SUM(C367:L367)</f>
        <v/>
      </c>
      <c r="N367" s="47" t="n">
        <v>3944</v>
      </c>
      <c r="O367" s="46" t="n">
        <v>135</v>
      </c>
      <c r="P367" s="46" t="n">
        <v>2</v>
      </c>
      <c r="Q367" s="46" t="n">
        <v>486</v>
      </c>
      <c r="R367" s="46" t="n">
        <v>683</v>
      </c>
      <c r="S367" s="46" t="n">
        <v>288</v>
      </c>
      <c r="T367" s="46" t="n">
        <v>986</v>
      </c>
      <c r="U367" s="46" t="n">
        <v>84</v>
      </c>
      <c r="V367" s="46" t="n"/>
      <c r="W367" s="46" t="n">
        <v>306</v>
      </c>
      <c r="X367" s="46" t="n">
        <v>900</v>
      </c>
      <c r="Y367" s="46" t="n">
        <v>74</v>
      </c>
    </row>
    <row r="368">
      <c r="A368" s="78" t="n">
        <v>46141</v>
      </c>
      <c r="B368" s="45" t="inlineStr">
        <is>
          <t>N6</t>
        </is>
      </c>
      <c r="C368" s="46" t="n">
        <v>157.7350387342594</v>
      </c>
      <c r="D368" s="46" t="n">
        <v>203.2138332106759</v>
      </c>
      <c r="E368" s="46" t="n">
        <v>209.9068422251205</v>
      </c>
      <c r="F368" s="46" t="n">
        <v>442.1817564479342</v>
      </c>
      <c r="G368" s="46" t="n">
        <v>267.1021390830088</v>
      </c>
      <c r="H368" s="46" t="n">
        <v>297.1407162754608</v>
      </c>
      <c r="I368" s="46" t="n">
        <v>205.4231016227965</v>
      </c>
      <c r="J368" s="46" t="n">
        <v>254.8701718770937</v>
      </c>
      <c r="K368" s="46" t="n">
        <v>402.1083364915577</v>
      </c>
      <c r="L368" s="46" t="n">
        <v>223.3580640320925</v>
      </c>
      <c r="M368" s="46">
        <f>N368-SUM(C368:L368)</f>
        <v/>
      </c>
      <c r="N368" s="47" t="n">
        <v>3648</v>
      </c>
      <c r="O368" s="46" t="n">
        <v>135</v>
      </c>
      <c r="P368" s="46" t="n">
        <v>2</v>
      </c>
      <c r="Q368" s="46" t="n">
        <v>486</v>
      </c>
      <c r="R368" s="46" t="n">
        <v>683</v>
      </c>
      <c r="S368" s="46" t="n">
        <v>288</v>
      </c>
      <c r="T368" s="46" t="n">
        <v>693</v>
      </c>
      <c r="U368" s="46" t="n">
        <v>84</v>
      </c>
      <c r="V368" s="46" t="n"/>
      <c r="W368" s="46" t="n">
        <v>306</v>
      </c>
      <c r="X368" s="46" t="n">
        <v>897</v>
      </c>
      <c r="Y368" s="46" t="n">
        <v>74</v>
      </c>
    </row>
    <row r="369">
      <c r="A369" s="78" t="n">
        <v>46142</v>
      </c>
      <c r="B369" s="45" t="inlineStr">
        <is>
          <t>N6</t>
        </is>
      </c>
      <c r="C369" s="46" t="n">
        <v>160.0266936281508</v>
      </c>
      <c r="D369" s="46" t="n">
        <v>206.1662271690547</v>
      </c>
      <c r="E369" s="46" t="n">
        <v>212.9564756236762</v>
      </c>
      <c r="F369" s="46" t="n">
        <v>448.6059979752753</v>
      </c>
      <c r="G369" s="46" t="n">
        <v>270.9827348536775</v>
      </c>
      <c r="H369" s="46" t="n">
        <v>301.4577277783663</v>
      </c>
      <c r="I369" s="46" t="n">
        <v>208.4075929566803</v>
      </c>
      <c r="J369" s="46" t="n">
        <v>258.5730554049133</v>
      </c>
      <c r="K369" s="46" t="n">
        <v>407.9503709855414</v>
      </c>
      <c r="L369" s="46" t="n">
        <v>226.6031236246641</v>
      </c>
      <c r="M369" s="46">
        <f>N369-SUM(C369:L369)</f>
        <v/>
      </c>
      <c r="N369" s="47" t="n">
        <v>3701</v>
      </c>
      <c r="O369" s="46" t="n">
        <v>143</v>
      </c>
      <c r="P369" s="46" t="n">
        <v>2</v>
      </c>
      <c r="Q369" s="46" t="n">
        <v>486</v>
      </c>
      <c r="R369" s="46" t="n">
        <v>685</v>
      </c>
      <c r="S369" s="46" t="n">
        <v>295</v>
      </c>
      <c r="T369" s="46" t="n">
        <v>693</v>
      </c>
      <c r="U369" s="46" t="n">
        <v>89</v>
      </c>
      <c r="V369" s="46" t="n"/>
      <c r="W369" s="46" t="n">
        <v>306</v>
      </c>
      <c r="X369" s="46" t="n">
        <v>919</v>
      </c>
      <c r="Y369" s="46" t="n">
        <v>83</v>
      </c>
    </row>
    <row r="370">
      <c r="A370" s="78" t="n">
        <v>46143</v>
      </c>
      <c r="B370" s="45" t="inlineStr">
        <is>
          <t>N6</t>
        </is>
      </c>
      <c r="C370" s="46" t="n">
        <v>273.21813</v>
      </c>
      <c r="D370" s="46" t="n">
        <v>347.0925599999999</v>
      </c>
      <c r="E370" s="46" t="n">
        <v>325.98558</v>
      </c>
      <c r="F370" s="46" t="n">
        <v>816.1365599999999</v>
      </c>
      <c r="G370" s="46" t="n">
        <v>566.3706299999999</v>
      </c>
      <c r="H370" s="46" t="n">
        <v>590.9954399999999</v>
      </c>
      <c r="I370" s="46" t="n">
        <v>344.74734</v>
      </c>
      <c r="J370" s="46" t="n">
        <v>425.65743</v>
      </c>
      <c r="K370" s="46" t="n">
        <v>593.34066</v>
      </c>
      <c r="L370" s="46" t="n">
        <v>406.8956699999999</v>
      </c>
      <c r="M370" s="46">
        <f>N370-SUM(C370:L370)</f>
        <v/>
      </c>
      <c r="N370" s="47" t="n">
        <v>5454</v>
      </c>
      <c r="O370" s="51" t="n">
        <v>306</v>
      </c>
      <c r="P370" s="51" t="n">
        <v>2</v>
      </c>
      <c r="Q370" s="51" t="n">
        <v>796</v>
      </c>
      <c r="R370" s="51" t="n">
        <v>769</v>
      </c>
      <c r="S370" s="51" t="n">
        <v>550</v>
      </c>
      <c r="T370" s="51" t="n">
        <v>600</v>
      </c>
      <c r="U370" s="51" t="n">
        <v>688</v>
      </c>
      <c r="V370" s="51" t="n"/>
      <c r="W370" s="51" t="n">
        <v>644</v>
      </c>
      <c r="X370" s="51" t="n">
        <v>1099</v>
      </c>
      <c r="Y370" s="51" t="n">
        <v>0</v>
      </c>
    </row>
    <row r="371">
      <c r="A371" s="78" t="n">
        <v>46144</v>
      </c>
      <c r="B371" s="45" t="inlineStr">
        <is>
          <t>N6</t>
        </is>
      </c>
      <c r="C371" s="46" t="n">
        <v>268.358915</v>
      </c>
      <c r="D371" s="46" t="n">
        <v>340.91948</v>
      </c>
      <c r="E371" s="46" t="n">
        <v>320.18789</v>
      </c>
      <c r="F371" s="46" t="n">
        <v>801.6214799999999</v>
      </c>
      <c r="G371" s="46" t="n">
        <v>556.2976649999999</v>
      </c>
      <c r="H371" s="46" t="n">
        <v>580.48452</v>
      </c>
      <c r="I371" s="46" t="n">
        <v>338.6159699999999</v>
      </c>
      <c r="J371" s="46" t="n">
        <v>418.0870649999999</v>
      </c>
      <c r="K371" s="46" t="n">
        <v>582.7880299999999</v>
      </c>
      <c r="L371" s="46" t="n">
        <v>399.6589849999999</v>
      </c>
      <c r="M371" s="46">
        <f>N371-SUM(C371:L371)</f>
        <v/>
      </c>
      <c r="N371" s="47" t="n">
        <v>5357</v>
      </c>
      <c r="O371" s="51" t="n">
        <v>306</v>
      </c>
      <c r="P371" s="51" t="n">
        <v>2</v>
      </c>
      <c r="Q371" s="51" t="n">
        <v>796</v>
      </c>
      <c r="R371" s="51" t="n">
        <v>769</v>
      </c>
      <c r="S371" s="51" t="n">
        <v>500</v>
      </c>
      <c r="T371" s="51" t="n">
        <v>600</v>
      </c>
      <c r="U371" s="51" t="n">
        <v>687</v>
      </c>
      <c r="V371" s="51" t="n"/>
      <c r="W371" s="51" t="n">
        <v>644</v>
      </c>
      <c r="X371" s="51" t="n">
        <v>1053</v>
      </c>
      <c r="Y371" s="51" t="n">
        <v>0</v>
      </c>
    </row>
    <row r="372">
      <c r="A372" s="78" t="n">
        <v>46145</v>
      </c>
      <c r="B372" s="45" t="inlineStr">
        <is>
          <t>N6</t>
        </is>
      </c>
      <c r="C372" s="46" t="n">
        <v>268.859865</v>
      </c>
      <c r="D372" s="46" t="n">
        <v>341.55588</v>
      </c>
      <c r="E372" s="46" t="n">
        <v>320.78559</v>
      </c>
      <c r="F372" s="46" t="n">
        <v>803.1178799999999</v>
      </c>
      <c r="G372" s="46" t="n">
        <v>557.3361149999999</v>
      </c>
      <c r="H372" s="46" t="n">
        <v>581.56812</v>
      </c>
      <c r="I372" s="46" t="n">
        <v>339.24807</v>
      </c>
      <c r="J372" s="46" t="n">
        <v>418.867515</v>
      </c>
      <c r="K372" s="46" t="n">
        <v>583.87593</v>
      </c>
      <c r="L372" s="46" t="n">
        <v>400.4050349999999</v>
      </c>
      <c r="M372" s="46">
        <f>N372-SUM(C372:L372)</f>
        <v/>
      </c>
      <c r="N372" s="47" t="n">
        <v>5367</v>
      </c>
      <c r="O372" s="51" t="n">
        <v>306</v>
      </c>
      <c r="P372" s="51" t="n">
        <v>2</v>
      </c>
      <c r="Q372" s="51" t="n">
        <v>796</v>
      </c>
      <c r="R372" s="51" t="n">
        <v>769</v>
      </c>
      <c r="S372" s="51" t="n">
        <v>500</v>
      </c>
      <c r="T372" s="51" t="n">
        <v>600</v>
      </c>
      <c r="U372" s="51" t="n">
        <v>680</v>
      </c>
      <c r="V372" s="51" t="n"/>
      <c r="W372" s="51" t="n">
        <v>644</v>
      </c>
      <c r="X372" s="51" t="n">
        <v>1070</v>
      </c>
      <c r="Y372" s="51" t="n">
        <v>0</v>
      </c>
    </row>
    <row r="373">
      <c r="A373" s="78" t="n">
        <v>46146</v>
      </c>
      <c r="B373" s="45" t="inlineStr">
        <is>
          <t>N6</t>
        </is>
      </c>
      <c r="C373" s="46" t="n">
        <v>262.247325</v>
      </c>
      <c r="D373" s="46" t="n">
        <v>333.1554</v>
      </c>
      <c r="E373" s="46" t="n">
        <v>312.89595</v>
      </c>
      <c r="F373" s="46" t="n">
        <v>783.3654</v>
      </c>
      <c r="G373" s="46" t="n">
        <v>543.6285750000001</v>
      </c>
      <c r="H373" s="46" t="n">
        <v>567.2646000000001</v>
      </c>
      <c r="I373" s="46" t="n">
        <v>330.90435</v>
      </c>
      <c r="J373" s="46" t="n">
        <v>408.565575</v>
      </c>
      <c r="K373" s="46" t="n">
        <v>569.5156500000001</v>
      </c>
      <c r="L373" s="46" t="n">
        <v>390.557175</v>
      </c>
      <c r="M373" s="46">
        <f>N373-SUM(C373:L373)</f>
        <v/>
      </c>
      <c r="N373" s="47" t="n">
        <v>5235</v>
      </c>
      <c r="O373" s="51" t="n">
        <v>306</v>
      </c>
      <c r="P373" s="51" t="n">
        <v>2</v>
      </c>
      <c r="Q373" s="51" t="n">
        <v>796</v>
      </c>
      <c r="R373" s="51" t="n">
        <v>769</v>
      </c>
      <c r="S373" s="51" t="n">
        <v>500</v>
      </c>
      <c r="T373" s="51" t="n">
        <v>600</v>
      </c>
      <c r="U373" s="51" t="n">
        <v>572</v>
      </c>
      <c r="V373" s="51" t="n"/>
      <c r="W373" s="51" t="n">
        <v>644</v>
      </c>
      <c r="X373" s="51" t="n">
        <v>1046</v>
      </c>
      <c r="Y373" s="51" t="n">
        <v>0</v>
      </c>
    </row>
    <row r="374">
      <c r="A374" s="78" t="n">
        <v>46147</v>
      </c>
      <c r="B374" s="45" t="inlineStr">
        <is>
          <t>N6</t>
        </is>
      </c>
      <c r="C374" s="46" t="n">
        <v>247.519395</v>
      </c>
      <c r="D374" s="46" t="n">
        <v>314.44524</v>
      </c>
      <c r="E374" s="46" t="n">
        <v>295.32357</v>
      </c>
      <c r="F374" s="46" t="n">
        <v>739.3712399999999</v>
      </c>
      <c r="G374" s="46" t="n">
        <v>513.098145</v>
      </c>
      <c r="H374" s="46" t="n">
        <v>535.4067600000001</v>
      </c>
      <c r="I374" s="46" t="n">
        <v>312.32061</v>
      </c>
      <c r="J374" s="46" t="n">
        <v>385.620345</v>
      </c>
      <c r="K374" s="46" t="n">
        <v>537.53139</v>
      </c>
      <c r="L374" s="46" t="n">
        <v>368.623305</v>
      </c>
      <c r="M374" s="46">
        <f>N374-SUM(C374:L374)</f>
        <v/>
      </c>
      <c r="N374" s="47" t="n">
        <v>4941</v>
      </c>
      <c r="O374" s="51" t="n">
        <v>306</v>
      </c>
      <c r="P374" s="51" t="n">
        <v>2</v>
      </c>
      <c r="Q374" s="51" t="n">
        <v>796</v>
      </c>
      <c r="R374" s="51" t="n">
        <v>769</v>
      </c>
      <c r="S374" s="51" t="n">
        <v>500</v>
      </c>
      <c r="T374" s="51" t="n">
        <v>600</v>
      </c>
      <c r="U374" s="51" t="n">
        <v>348</v>
      </c>
      <c r="V374" s="51" t="n"/>
      <c r="W374" s="51" t="n">
        <v>644</v>
      </c>
      <c r="X374" s="51" t="n">
        <v>976</v>
      </c>
      <c r="Y374" s="51" t="n">
        <v>0</v>
      </c>
    </row>
    <row r="375">
      <c r="A375" s="78" t="n">
        <v>46148</v>
      </c>
      <c r="B375" s="45" t="inlineStr">
        <is>
          <t>N6</t>
        </is>
      </c>
      <c r="C375" s="46" t="n">
        <v>204.337505</v>
      </c>
      <c r="D375" s="46" t="n">
        <v>259.58756</v>
      </c>
      <c r="E375" s="46" t="n">
        <v>243.80183</v>
      </c>
      <c r="F375" s="46" t="n">
        <v>610.3815599999999</v>
      </c>
      <c r="G375" s="46" t="n">
        <v>423.583755</v>
      </c>
      <c r="H375" s="46" t="n">
        <v>442.00044</v>
      </c>
      <c r="I375" s="46" t="n">
        <v>257.83359</v>
      </c>
      <c r="J375" s="46" t="n">
        <v>318.345555</v>
      </c>
      <c r="K375" s="46" t="n">
        <v>443.75441</v>
      </c>
      <c r="L375" s="46" t="n">
        <v>304.313795</v>
      </c>
      <c r="M375" s="46">
        <f>N375-SUM(C375:L375)</f>
        <v/>
      </c>
      <c r="N375" s="47" t="n">
        <v>4079</v>
      </c>
      <c r="O375" s="51" t="n">
        <v>156</v>
      </c>
      <c r="P375" s="51" t="n">
        <v>1</v>
      </c>
      <c r="Q375" s="51" t="n">
        <v>530</v>
      </c>
      <c r="R375" s="51" t="n">
        <v>769</v>
      </c>
      <c r="S375" s="51" t="n">
        <v>350</v>
      </c>
      <c r="T375" s="51" t="n">
        <v>600</v>
      </c>
      <c r="U375" s="51" t="n">
        <v>21</v>
      </c>
      <c r="V375" s="51" t="n"/>
      <c r="W375" s="51" t="n">
        <v>644</v>
      </c>
      <c r="X375" s="51" t="n">
        <v>924</v>
      </c>
      <c r="Y375" s="51" t="n">
        <v>84</v>
      </c>
    </row>
    <row r="376">
      <c r="A376" s="78" t="n">
        <v>46149</v>
      </c>
      <c r="B376" s="45" t="inlineStr">
        <is>
          <t>N6</t>
        </is>
      </c>
      <c r="C376" s="46" t="n">
        <v>204.48779</v>
      </c>
      <c r="D376" s="46" t="n">
        <v>259.77848</v>
      </c>
      <c r="E376" s="46" t="n">
        <v>243.98114</v>
      </c>
      <c r="F376" s="46" t="n">
        <v>610.83048</v>
      </c>
      <c r="G376" s="46" t="n">
        <v>423.89529</v>
      </c>
      <c r="H376" s="46" t="n">
        <v>442.32552</v>
      </c>
      <c r="I376" s="46" t="n">
        <v>258.02322</v>
      </c>
      <c r="J376" s="46" t="n">
        <v>318.57969</v>
      </c>
      <c r="K376" s="46" t="n">
        <v>444.08078</v>
      </c>
      <c r="L376" s="46" t="n">
        <v>304.53761</v>
      </c>
      <c r="M376" s="46">
        <f>N376-SUM(C376:L376)</f>
        <v/>
      </c>
      <c r="N376" s="47" t="n">
        <v>4082</v>
      </c>
      <c r="O376" s="51" t="n">
        <v>156</v>
      </c>
      <c r="P376" s="51" t="n">
        <v>1</v>
      </c>
      <c r="Q376" s="51" t="n">
        <v>530</v>
      </c>
      <c r="R376" s="51" t="n">
        <v>769</v>
      </c>
      <c r="S376" s="51" t="n">
        <v>350</v>
      </c>
      <c r="T376" s="51" t="n">
        <v>650</v>
      </c>
      <c r="U376" s="51" t="n">
        <v>0</v>
      </c>
      <c r="V376" s="51" t="n"/>
      <c r="W376" s="51" t="n">
        <v>644</v>
      </c>
      <c r="X376" s="51" t="n">
        <v>898</v>
      </c>
      <c r="Y376" s="51" t="n">
        <v>84</v>
      </c>
    </row>
    <row r="377">
      <c r="A377" s="78" t="n">
        <v>46150</v>
      </c>
      <c r="B377" s="45" t="inlineStr">
        <is>
          <t>N6</t>
        </is>
      </c>
      <c r="C377" s="46" t="n">
        <v>206.641875</v>
      </c>
      <c r="D377" s="46" t="n">
        <v>262.515</v>
      </c>
      <c r="E377" s="46" t="n">
        <v>246.55125</v>
      </c>
      <c r="F377" s="46" t="n">
        <v>617.265</v>
      </c>
      <c r="G377" s="46" t="n">
        <v>428.360625</v>
      </c>
      <c r="H377" s="46" t="n">
        <v>446.985</v>
      </c>
      <c r="I377" s="46" t="n">
        <v>260.74125</v>
      </c>
      <c r="J377" s="46" t="n">
        <v>321.935625</v>
      </c>
      <c r="K377" s="46" t="n">
        <v>448.75875</v>
      </c>
      <c r="L377" s="46" t="n">
        <v>307.745625</v>
      </c>
      <c r="M377" s="46">
        <f>N377-SUM(C377:L377)</f>
        <v/>
      </c>
      <c r="N377" s="47" t="n">
        <v>4125</v>
      </c>
      <c r="O377" s="51" t="n">
        <v>156</v>
      </c>
      <c r="P377" s="51" t="n">
        <v>1</v>
      </c>
      <c r="Q377" s="51" t="n">
        <v>530</v>
      </c>
      <c r="R377" s="51" t="n">
        <v>769</v>
      </c>
      <c r="S377" s="51" t="n">
        <v>412</v>
      </c>
      <c r="T377" s="51" t="n">
        <v>650</v>
      </c>
      <c r="U377" s="51" t="n">
        <v>0</v>
      </c>
      <c r="V377" s="51" t="n"/>
      <c r="W377" s="51" t="n">
        <v>644</v>
      </c>
      <c r="X377" s="51" t="n">
        <v>879</v>
      </c>
      <c r="Y377" s="51" t="n">
        <v>84</v>
      </c>
    </row>
    <row r="378">
      <c r="A378" s="78" t="n">
        <v>46151</v>
      </c>
      <c r="B378" s="45" t="inlineStr">
        <is>
          <t>N6</t>
        </is>
      </c>
      <c r="C378" s="46" t="n">
        <v>212.80356</v>
      </c>
      <c r="D378" s="46" t="n">
        <v>270.34272</v>
      </c>
      <c r="E378" s="46" t="n">
        <v>253.90296</v>
      </c>
      <c r="F378" s="46" t="n">
        <v>635.67072</v>
      </c>
      <c r="G378" s="46" t="n">
        <v>441.1335599999999</v>
      </c>
      <c r="H378" s="46" t="n">
        <v>460.31328</v>
      </c>
      <c r="I378" s="46" t="n">
        <v>268.51608</v>
      </c>
      <c r="J378" s="46" t="n">
        <v>331.53516</v>
      </c>
      <c r="K378" s="46" t="n">
        <v>462.13992</v>
      </c>
      <c r="L378" s="46" t="n">
        <v>316.92204</v>
      </c>
      <c r="M378" s="46">
        <f>N378-SUM(C378:L378)</f>
        <v/>
      </c>
      <c r="N378" s="47" t="n">
        <v>4248</v>
      </c>
      <c r="O378" s="51" t="n">
        <v>156</v>
      </c>
      <c r="P378" s="51" t="n">
        <v>1</v>
      </c>
      <c r="Q378" s="51" t="n">
        <v>530</v>
      </c>
      <c r="R378" s="51" t="n">
        <v>769</v>
      </c>
      <c r="S378" s="51" t="n">
        <v>456</v>
      </c>
      <c r="T378" s="51" t="n">
        <v>650</v>
      </c>
      <c r="U378" s="51" t="n">
        <v>22</v>
      </c>
      <c r="V378" s="51" t="n"/>
      <c r="W378" s="51" t="n">
        <v>644</v>
      </c>
      <c r="X378" s="51" t="n">
        <v>936</v>
      </c>
      <c r="Y378" s="51" t="n">
        <v>84</v>
      </c>
    </row>
    <row r="379">
      <c r="A379" s="78" t="n">
        <v>46152</v>
      </c>
      <c r="B379" s="45" t="inlineStr">
        <is>
          <t>N6</t>
        </is>
      </c>
      <c r="C379" s="46" t="n">
        <v>225.477595</v>
      </c>
      <c r="D379" s="46" t="n">
        <v>286.44364</v>
      </c>
      <c r="E379" s="46" t="n">
        <v>269.02477</v>
      </c>
      <c r="F379" s="46" t="n">
        <v>673.52964</v>
      </c>
      <c r="G379" s="46" t="n">
        <v>467.406345</v>
      </c>
      <c r="H379" s="46" t="n">
        <v>487.72836</v>
      </c>
      <c r="I379" s="46" t="n">
        <v>284.50821</v>
      </c>
      <c r="J379" s="46" t="n">
        <v>351.280545</v>
      </c>
      <c r="K379" s="46" t="n">
        <v>489.66379</v>
      </c>
      <c r="L379" s="46" t="n">
        <v>335.797105</v>
      </c>
      <c r="M379" s="46">
        <f>N379-SUM(C379:L379)</f>
        <v/>
      </c>
      <c r="N379" s="47" t="n">
        <v>4501</v>
      </c>
      <c r="O379" s="51" t="n">
        <v>225</v>
      </c>
      <c r="P379" s="51" t="n">
        <v>1</v>
      </c>
      <c r="Q379" s="51" t="n">
        <v>796</v>
      </c>
      <c r="R379" s="51" t="n">
        <v>769</v>
      </c>
      <c r="S379" s="51" t="n">
        <v>456</v>
      </c>
      <c r="T379" s="51" t="n">
        <v>650</v>
      </c>
      <c r="U379" s="51" t="n">
        <v>22</v>
      </c>
      <c r="V379" s="51" t="n"/>
      <c r="W379" s="51" t="n">
        <v>644</v>
      </c>
      <c r="X379" s="51" t="n">
        <v>938</v>
      </c>
      <c r="Y379" s="51" t="n">
        <v>0</v>
      </c>
    </row>
    <row r="380">
      <c r="A380" s="78" t="n">
        <v>46153</v>
      </c>
      <c r="B380" s="45" t="inlineStr">
        <is>
          <t>N6</t>
        </is>
      </c>
      <c r="C380" s="46" t="n">
        <v>212.553085</v>
      </c>
      <c r="D380" s="46" t="n">
        <v>270.02452</v>
      </c>
      <c r="E380" s="46" t="n">
        <v>253.60411</v>
      </c>
      <c r="F380" s="46" t="n">
        <v>634.92252</v>
      </c>
      <c r="G380" s="46" t="n">
        <v>440.614335</v>
      </c>
      <c r="H380" s="46" t="n">
        <v>459.77148</v>
      </c>
      <c r="I380" s="46" t="n">
        <v>268.20003</v>
      </c>
      <c r="J380" s="46" t="n">
        <v>331.144935</v>
      </c>
      <c r="K380" s="46" t="n">
        <v>461.59597</v>
      </c>
      <c r="L380" s="46" t="n">
        <v>316.549015</v>
      </c>
      <c r="M380" s="46">
        <f>N380-SUM(C380:L380)</f>
        <v/>
      </c>
      <c r="N380" s="47" t="n">
        <v>4243</v>
      </c>
      <c r="O380" s="51" t="n">
        <v>155</v>
      </c>
      <c r="P380" s="51" t="n">
        <v>1</v>
      </c>
      <c r="Q380" s="51" t="n">
        <v>530</v>
      </c>
      <c r="R380" s="51" t="n">
        <v>769</v>
      </c>
      <c r="S380" s="51" t="n">
        <v>456</v>
      </c>
      <c r="T380" s="51" t="n">
        <v>650</v>
      </c>
      <c r="U380" s="51" t="n">
        <v>15</v>
      </c>
      <c r="V380" s="51" t="n"/>
      <c r="W380" s="51" t="n">
        <v>644</v>
      </c>
      <c r="X380" s="51" t="n">
        <v>939</v>
      </c>
      <c r="Y380" s="51" t="n">
        <v>84</v>
      </c>
    </row>
    <row r="381">
      <c r="A381" s="78" t="n">
        <v>46154</v>
      </c>
      <c r="B381" s="45" t="inlineStr">
        <is>
          <t>N6</t>
        </is>
      </c>
      <c r="C381" s="46" t="n">
        <v>209.747765</v>
      </c>
      <c r="D381" s="46" t="n">
        <v>266.46068</v>
      </c>
      <c r="E381" s="46" t="n">
        <v>250.25699</v>
      </c>
      <c r="F381" s="46" t="n">
        <v>626.54268</v>
      </c>
      <c r="G381" s="46" t="n">
        <v>434.799015</v>
      </c>
      <c r="H381" s="46" t="n">
        <v>453.70332</v>
      </c>
      <c r="I381" s="46" t="n">
        <v>264.66027</v>
      </c>
      <c r="J381" s="46" t="n">
        <v>326.774415</v>
      </c>
      <c r="K381" s="46" t="n">
        <v>455.50373</v>
      </c>
      <c r="L381" s="46" t="n">
        <v>312.371135</v>
      </c>
      <c r="M381" s="46">
        <f>N381-SUM(C381:L381)</f>
        <v/>
      </c>
      <c r="N381" s="47" t="n">
        <v>4187</v>
      </c>
      <c r="O381" s="51" t="n">
        <v>155</v>
      </c>
      <c r="P381" s="51" t="n">
        <v>1</v>
      </c>
      <c r="Q381" s="51" t="n">
        <v>530</v>
      </c>
      <c r="R381" s="51" t="n">
        <v>769</v>
      </c>
      <c r="S381" s="51" t="n">
        <v>456</v>
      </c>
      <c r="T381" s="51" t="n">
        <v>650</v>
      </c>
      <c r="U381" s="51" t="n">
        <v>0</v>
      </c>
      <c r="V381" s="51" t="n"/>
      <c r="W381" s="51" t="n">
        <v>644</v>
      </c>
      <c r="X381" s="51" t="n">
        <v>898</v>
      </c>
      <c r="Y381" s="51" t="n">
        <v>84</v>
      </c>
    </row>
    <row r="382">
      <c r="A382" s="78" t="n">
        <v>46155</v>
      </c>
      <c r="B382" s="45" t="inlineStr">
        <is>
          <t>N6</t>
        </is>
      </c>
      <c r="C382" s="46" t="n">
        <v>214.857455</v>
      </c>
      <c r="D382" s="46" t="n">
        <v>272.95196</v>
      </c>
      <c r="E382" s="46" t="n">
        <v>256.35353</v>
      </c>
      <c r="F382" s="46" t="n">
        <v>641.8059599999999</v>
      </c>
      <c r="G382" s="46" t="n">
        <v>445.391205</v>
      </c>
      <c r="H382" s="46" t="n">
        <v>464.75604</v>
      </c>
      <c r="I382" s="46" t="n">
        <v>271.10769</v>
      </c>
      <c r="J382" s="46" t="n">
        <v>334.735005</v>
      </c>
      <c r="K382" s="46" t="n">
        <v>466.60031</v>
      </c>
      <c r="L382" s="46" t="n">
        <v>319.980845</v>
      </c>
      <c r="M382" s="46">
        <f>N382-SUM(C382:L382)</f>
        <v/>
      </c>
      <c r="N382" s="47" t="n">
        <v>4289</v>
      </c>
      <c r="O382" s="51" t="n">
        <v>155</v>
      </c>
      <c r="P382" s="51" t="n">
        <v>1</v>
      </c>
      <c r="Q382" s="51" t="n">
        <v>530</v>
      </c>
      <c r="R382" s="51" t="n">
        <v>769</v>
      </c>
      <c r="S382" s="51" t="n">
        <v>456</v>
      </c>
      <c r="T382" s="51" t="n">
        <v>750</v>
      </c>
      <c r="U382" s="51" t="n">
        <v>0</v>
      </c>
      <c r="V382" s="51" t="n"/>
      <c r="W382" s="51" t="n">
        <v>644</v>
      </c>
      <c r="X382" s="51" t="n">
        <v>900</v>
      </c>
      <c r="Y382" s="51" t="n">
        <v>84</v>
      </c>
    </row>
    <row r="383">
      <c r="A383" s="78" t="n">
        <v>46156</v>
      </c>
      <c r="B383" s="45" t="inlineStr">
        <is>
          <t>N6</t>
        </is>
      </c>
      <c r="C383" s="46" t="n">
        <v>217.71287</v>
      </c>
      <c r="D383" s="46" t="n">
        <v>276.57944</v>
      </c>
      <c r="E383" s="46" t="n">
        <v>259.76042</v>
      </c>
      <c r="F383" s="46" t="n">
        <v>650.3354399999999</v>
      </c>
      <c r="G383" s="46" t="n">
        <v>451.31037</v>
      </c>
      <c r="H383" s="46" t="n">
        <v>470.93256</v>
      </c>
      <c r="I383" s="46" t="n">
        <v>274.71066</v>
      </c>
      <c r="J383" s="46" t="n">
        <v>339.18357</v>
      </c>
      <c r="K383" s="46" t="n">
        <v>472.80134</v>
      </c>
      <c r="L383" s="46" t="n">
        <v>324.23333</v>
      </c>
      <c r="M383" s="46">
        <f>N383-SUM(C383:L383)</f>
        <v/>
      </c>
      <c r="N383" s="47" t="n">
        <v>4346</v>
      </c>
      <c r="O383" s="51" t="n">
        <v>155</v>
      </c>
      <c r="P383" s="51" t="n">
        <v>1</v>
      </c>
      <c r="Q383" s="51" t="n">
        <v>530</v>
      </c>
      <c r="R383" s="51" t="n">
        <v>769</v>
      </c>
      <c r="S383" s="51" t="n">
        <v>456</v>
      </c>
      <c r="T383" s="51" t="n">
        <v>750</v>
      </c>
      <c r="U383" s="51" t="n">
        <v>29</v>
      </c>
      <c r="V383" s="51" t="n"/>
      <c r="W383" s="51" t="n">
        <v>644</v>
      </c>
      <c r="X383" s="51" t="n">
        <v>929</v>
      </c>
      <c r="Y383" s="51" t="n">
        <v>83</v>
      </c>
    </row>
    <row r="384">
      <c r="A384" s="78" t="n">
        <v>46157</v>
      </c>
      <c r="B384" s="45" t="inlineStr">
        <is>
          <t>N6</t>
        </is>
      </c>
      <c r="C384" s="46" t="n">
        <v>219.21572</v>
      </c>
      <c r="D384" s="46" t="n">
        <v>278.48864</v>
      </c>
      <c r="E384" s="46" t="n">
        <v>261.55352</v>
      </c>
      <c r="F384" s="46" t="n">
        <v>654.8246399999999</v>
      </c>
      <c r="G384" s="46" t="n">
        <v>454.42572</v>
      </c>
      <c r="H384" s="46" t="n">
        <v>474.18336</v>
      </c>
      <c r="I384" s="46" t="n">
        <v>276.60696</v>
      </c>
      <c r="J384" s="46" t="n">
        <v>341.52492</v>
      </c>
      <c r="K384" s="46" t="n">
        <v>476.06504</v>
      </c>
      <c r="L384" s="46" t="n">
        <v>326.47148</v>
      </c>
      <c r="M384" s="46">
        <f>N384-SUM(C384:L384)</f>
        <v/>
      </c>
      <c r="N384" s="47" t="n">
        <v>4376</v>
      </c>
      <c r="O384" s="51" t="n">
        <v>155</v>
      </c>
      <c r="P384" s="51" t="n">
        <v>1</v>
      </c>
      <c r="Q384" s="51" t="n">
        <v>530</v>
      </c>
      <c r="R384" s="51" t="n">
        <v>769</v>
      </c>
      <c r="S384" s="51" t="n">
        <v>456</v>
      </c>
      <c r="T384" s="51" t="n">
        <v>750</v>
      </c>
      <c r="U384" s="51" t="n">
        <v>38</v>
      </c>
      <c r="V384" s="51" t="n"/>
      <c r="W384" s="51" t="n">
        <v>644</v>
      </c>
      <c r="X384" s="51" t="n">
        <v>950</v>
      </c>
      <c r="Y384" s="51" t="n">
        <v>83</v>
      </c>
    </row>
    <row r="385">
      <c r="A385" s="78" t="n">
        <v>46158</v>
      </c>
      <c r="B385" s="45" t="inlineStr">
        <is>
          <t>N6</t>
        </is>
      </c>
      <c r="C385" s="46" t="n">
        <v>238.25182</v>
      </c>
      <c r="D385" s="46" t="n">
        <v>302.67184</v>
      </c>
      <c r="E385" s="46" t="n">
        <v>284.26612</v>
      </c>
      <c r="F385" s="46" t="n">
        <v>711.6878399999999</v>
      </c>
      <c r="G385" s="46" t="n">
        <v>493.8868199999999</v>
      </c>
      <c r="H385" s="46" t="n">
        <v>515.36016</v>
      </c>
      <c r="I385" s="46" t="n">
        <v>300.62676</v>
      </c>
      <c r="J385" s="46" t="n">
        <v>371.18202</v>
      </c>
      <c r="K385" s="46" t="n">
        <v>517.4052399999999</v>
      </c>
      <c r="L385" s="46" t="n">
        <v>354.82138</v>
      </c>
      <c r="M385" s="46">
        <f>N385-SUM(C385:L385)</f>
        <v/>
      </c>
      <c r="N385" s="47" t="n">
        <v>4756</v>
      </c>
      <c r="O385" s="51" t="n">
        <v>225</v>
      </c>
      <c r="P385" s="51" t="n">
        <v>1</v>
      </c>
      <c r="Q385" s="51" t="n">
        <v>796</v>
      </c>
      <c r="R385" s="51" t="n">
        <v>769</v>
      </c>
      <c r="S385" s="51" t="n">
        <v>456</v>
      </c>
      <c r="T385" s="51" t="n">
        <v>750</v>
      </c>
      <c r="U385" s="51" t="n">
        <v>58</v>
      </c>
      <c r="V385" s="51" t="n"/>
      <c r="W385" s="51" t="n">
        <v>644</v>
      </c>
      <c r="X385" s="51" t="n">
        <v>1057</v>
      </c>
      <c r="Y385" s="51" t="n">
        <v>0</v>
      </c>
    </row>
    <row r="386">
      <c r="A386" s="78" t="n">
        <v>46159</v>
      </c>
      <c r="B386" s="45" t="inlineStr">
        <is>
          <t>N6</t>
        </is>
      </c>
      <c r="C386" s="46" t="n">
        <v>241.65828</v>
      </c>
      <c r="D386" s="46" t="n">
        <v>306.99936</v>
      </c>
      <c r="E386" s="46" t="n">
        <v>288.33048</v>
      </c>
      <c r="F386" s="46" t="n">
        <v>721.8633600000001</v>
      </c>
      <c r="G386" s="46" t="n">
        <v>500.94828</v>
      </c>
      <c r="H386" s="46" t="n">
        <v>522.72864</v>
      </c>
      <c r="I386" s="46" t="n">
        <v>304.92504</v>
      </c>
      <c r="J386" s="46" t="n">
        <v>376.48908</v>
      </c>
      <c r="K386" s="46" t="n">
        <v>524.8029600000001</v>
      </c>
      <c r="L386" s="46" t="n">
        <v>359.89452</v>
      </c>
      <c r="M386" s="46">
        <f>N386-SUM(C386:L386)</f>
        <v/>
      </c>
      <c r="N386" s="47" t="n">
        <v>4824</v>
      </c>
      <c r="O386" s="51" t="n">
        <v>225</v>
      </c>
      <c r="P386" s="51" t="n">
        <v>1</v>
      </c>
      <c r="Q386" s="51" t="n">
        <v>796</v>
      </c>
      <c r="R386" s="51" t="n">
        <v>769</v>
      </c>
      <c r="S386" s="51" t="n">
        <v>456</v>
      </c>
      <c r="T386" s="51" t="n">
        <v>750</v>
      </c>
      <c r="U386" s="51" t="n">
        <v>58</v>
      </c>
      <c r="V386" s="51" t="n"/>
      <c r="W386" s="51" t="n">
        <v>644</v>
      </c>
      <c r="X386" s="51" t="n">
        <v>1125</v>
      </c>
      <c r="Y386" s="51" t="n">
        <v>0</v>
      </c>
    </row>
    <row r="387">
      <c r="A387" s="78" t="n">
        <v>46160</v>
      </c>
      <c r="B387" s="45" t="inlineStr">
        <is>
          <t>N6</t>
        </is>
      </c>
      <c r="C387" s="46" t="n">
        <v>226.679875</v>
      </c>
      <c r="D387" s="46" t="n">
        <v>287.971</v>
      </c>
      <c r="E387" s="46" t="n">
        <v>270.45925</v>
      </c>
      <c r="F387" s="46" t="n">
        <v>677.121</v>
      </c>
      <c r="G387" s="46" t="n">
        <v>469.898625</v>
      </c>
      <c r="H387" s="46" t="n">
        <v>490.329</v>
      </c>
      <c r="I387" s="46" t="n">
        <v>286.02525</v>
      </c>
      <c r="J387" s="46" t="n">
        <v>353.153625</v>
      </c>
      <c r="K387" s="46" t="n">
        <v>492.27475</v>
      </c>
      <c r="L387" s="46" t="n">
        <v>337.587625</v>
      </c>
      <c r="M387" s="46">
        <f>N387-SUM(C387:L387)</f>
        <v/>
      </c>
      <c r="N387" s="47" t="n">
        <v>4525</v>
      </c>
      <c r="O387" s="51" t="n">
        <v>155</v>
      </c>
      <c r="P387" s="51" t="n">
        <v>1</v>
      </c>
      <c r="Q387" s="51" t="n">
        <v>530</v>
      </c>
      <c r="R387" s="51" t="n">
        <v>769</v>
      </c>
      <c r="S387" s="51" t="n">
        <v>456</v>
      </c>
      <c r="T387" s="51" t="n">
        <v>750</v>
      </c>
      <c r="U387" s="51" t="n">
        <v>35</v>
      </c>
      <c r="V387" s="51" t="n"/>
      <c r="W387" s="51" t="n">
        <v>644</v>
      </c>
      <c r="X387" s="51" t="n">
        <v>1102</v>
      </c>
      <c r="Y387" s="51" t="n">
        <v>83</v>
      </c>
    </row>
    <row r="388">
      <c r="A388" s="78" t="n">
        <v>46161</v>
      </c>
      <c r="B388" s="45" t="inlineStr">
        <is>
          <t>N6</t>
        </is>
      </c>
      <c r="C388" s="46" t="n">
        <v>231.388805</v>
      </c>
      <c r="D388" s="46" t="n">
        <v>293.95316</v>
      </c>
      <c r="E388" s="46" t="n">
        <v>276.0776300000001</v>
      </c>
      <c r="F388" s="46" t="n">
        <v>691.1871599999999</v>
      </c>
      <c r="G388" s="46" t="n">
        <v>479.660055</v>
      </c>
      <c r="H388" s="46" t="n">
        <v>500.51484</v>
      </c>
      <c r="I388" s="46" t="n">
        <v>291.96699</v>
      </c>
      <c r="J388" s="46" t="n">
        <v>360.489855</v>
      </c>
      <c r="K388" s="46" t="n">
        <v>502.50101</v>
      </c>
      <c r="L388" s="46" t="n">
        <v>344.600495</v>
      </c>
      <c r="M388" s="46">
        <f>N388-SUM(C388:L388)</f>
        <v/>
      </c>
      <c r="N388" s="47" t="n">
        <v>4619</v>
      </c>
      <c r="O388" s="51" t="n">
        <v>155</v>
      </c>
      <c r="P388" s="51" t="n">
        <v>1</v>
      </c>
      <c r="Q388" s="51" t="n">
        <v>530</v>
      </c>
      <c r="R388" s="51" t="n">
        <v>769</v>
      </c>
      <c r="S388" s="51" t="n">
        <v>456</v>
      </c>
      <c r="T388" s="51" t="n">
        <v>850</v>
      </c>
      <c r="U388" s="51" t="n">
        <v>9</v>
      </c>
      <c r="V388" s="51" t="n"/>
      <c r="W388" s="51" t="n">
        <v>644</v>
      </c>
      <c r="X388" s="51" t="n">
        <v>1122</v>
      </c>
      <c r="Y388" s="51" t="n">
        <v>83</v>
      </c>
    </row>
    <row r="389">
      <c r="A389" s="78" t="n">
        <v>46162</v>
      </c>
      <c r="B389" s="45" t="inlineStr">
        <is>
          <t>N6</t>
        </is>
      </c>
      <c r="C389" s="46" t="n">
        <v>231.689375</v>
      </c>
      <c r="D389" s="46" t="n">
        <v>294.335</v>
      </c>
      <c r="E389" s="46" t="n">
        <v>276.43625</v>
      </c>
      <c r="F389" s="46" t="n">
        <v>692.0849999999999</v>
      </c>
      <c r="G389" s="46" t="n">
        <v>480.283125</v>
      </c>
      <c r="H389" s="46" t="n">
        <v>501.165</v>
      </c>
      <c r="I389" s="46" t="n">
        <v>292.34625</v>
      </c>
      <c r="J389" s="46" t="n">
        <v>360.958125</v>
      </c>
      <c r="K389" s="46" t="n">
        <v>503.15375</v>
      </c>
      <c r="L389" s="46" t="n">
        <v>345.048125</v>
      </c>
      <c r="M389" s="46">
        <f>N389-SUM(C389:L389)</f>
        <v/>
      </c>
      <c r="N389" s="47" t="n">
        <v>4625</v>
      </c>
      <c r="O389" s="51" t="n">
        <v>155</v>
      </c>
      <c r="P389" s="51" t="n">
        <v>1</v>
      </c>
      <c r="Q389" s="51" t="n">
        <v>530</v>
      </c>
      <c r="R389" s="51" t="n">
        <v>769</v>
      </c>
      <c r="S389" s="51" t="n">
        <v>456</v>
      </c>
      <c r="T389" s="51" t="n">
        <v>850</v>
      </c>
      <c r="U389" s="51" t="n">
        <v>0</v>
      </c>
      <c r="V389" s="51" t="n"/>
      <c r="W389" s="51" t="n">
        <v>644</v>
      </c>
      <c r="X389" s="51" t="n">
        <v>1137</v>
      </c>
      <c r="Y389" s="51" t="n">
        <v>83</v>
      </c>
    </row>
    <row r="390">
      <c r="A390" s="78" t="n">
        <v>46163</v>
      </c>
      <c r="B390" s="45" t="inlineStr">
        <is>
          <t>N6</t>
        </is>
      </c>
      <c r="C390" s="46" t="n">
        <v>233.64308</v>
      </c>
      <c r="D390" s="46" t="n">
        <v>296.81696</v>
      </c>
      <c r="E390" s="46" t="n">
        <v>278.76728</v>
      </c>
      <c r="F390" s="46" t="n">
        <v>697.9209599999999</v>
      </c>
      <c r="G390" s="46" t="n">
        <v>484.33308</v>
      </c>
      <c r="H390" s="46" t="n">
        <v>505.39104</v>
      </c>
      <c r="I390" s="46" t="n">
        <v>294.81144</v>
      </c>
      <c r="J390" s="46" t="n">
        <v>364.00188</v>
      </c>
      <c r="K390" s="46" t="n">
        <v>507.39656</v>
      </c>
      <c r="L390" s="46" t="n">
        <v>347.95772</v>
      </c>
      <c r="M390" s="46">
        <f>N390-SUM(C390:L390)</f>
        <v/>
      </c>
      <c r="N390" s="47" t="n">
        <v>4664</v>
      </c>
      <c r="O390" s="51" t="n">
        <v>155</v>
      </c>
      <c r="P390" s="51" t="n">
        <v>1</v>
      </c>
      <c r="Q390" s="51" t="n">
        <v>530</v>
      </c>
      <c r="R390" s="51" t="n">
        <v>769</v>
      </c>
      <c r="S390" s="51" t="n">
        <v>456</v>
      </c>
      <c r="T390" s="51" t="n">
        <v>850</v>
      </c>
      <c r="U390" s="51" t="n">
        <v>0</v>
      </c>
      <c r="V390" s="51" t="n"/>
      <c r="W390" s="51" t="n">
        <v>644</v>
      </c>
      <c r="X390" s="51" t="n">
        <v>1176</v>
      </c>
      <c r="Y390" s="51" t="n">
        <v>83</v>
      </c>
    </row>
    <row r="391">
      <c r="A391" s="78" t="n">
        <v>46164</v>
      </c>
      <c r="B391" s="45" t="inlineStr">
        <is>
          <t>N6</t>
        </is>
      </c>
      <c r="C391" s="46" t="n">
        <v>233.94365</v>
      </c>
      <c r="D391" s="46" t="n">
        <v>297.1987999999999</v>
      </c>
      <c r="E391" s="46" t="n">
        <v>279.1259</v>
      </c>
      <c r="F391" s="46" t="n">
        <v>698.8187999999999</v>
      </c>
      <c r="G391" s="46" t="n">
        <v>484.95615</v>
      </c>
      <c r="H391" s="46" t="n">
        <v>506.0412</v>
      </c>
      <c r="I391" s="46" t="n">
        <v>295.1907</v>
      </c>
      <c r="J391" s="46" t="n">
        <v>364.47015</v>
      </c>
      <c r="K391" s="46" t="n">
        <v>508.0493</v>
      </c>
      <c r="L391" s="46" t="n">
        <v>348.4053499999999</v>
      </c>
      <c r="M391" s="46">
        <f>N391-SUM(C391:L391)</f>
        <v/>
      </c>
      <c r="N391" s="47" t="n">
        <v>4670</v>
      </c>
      <c r="O391" s="51" t="n">
        <v>155</v>
      </c>
      <c r="P391" s="51" t="n">
        <v>1</v>
      </c>
      <c r="Q391" s="51" t="n">
        <v>530</v>
      </c>
      <c r="R391" s="51" t="n">
        <v>769</v>
      </c>
      <c r="S391" s="51" t="n">
        <v>456</v>
      </c>
      <c r="T391" s="51" t="n">
        <v>850</v>
      </c>
      <c r="U391" s="51" t="n">
        <v>5</v>
      </c>
      <c r="V391" s="51" t="n"/>
      <c r="W391" s="51" t="n">
        <v>644</v>
      </c>
      <c r="X391" s="51" t="n">
        <v>1177</v>
      </c>
      <c r="Y391" s="51" t="n">
        <v>83</v>
      </c>
    </row>
    <row r="392">
      <c r="A392" s="78" t="n">
        <v>46165</v>
      </c>
      <c r="B392" s="45" t="inlineStr">
        <is>
          <t>N6</t>
        </is>
      </c>
      <c r="C392" s="46" t="n">
        <v>251.07614</v>
      </c>
      <c r="D392" s="46" t="n">
        <v>318.96368</v>
      </c>
      <c r="E392" s="46" t="n">
        <v>299.56724</v>
      </c>
      <c r="F392" s="46" t="n">
        <v>749.9956799999999</v>
      </c>
      <c r="G392" s="46" t="n">
        <v>520.47114</v>
      </c>
      <c r="H392" s="46" t="n">
        <v>543.10032</v>
      </c>
      <c r="I392" s="46" t="n">
        <v>316.80852</v>
      </c>
      <c r="J392" s="46" t="n">
        <v>391.1615399999999</v>
      </c>
      <c r="K392" s="46" t="n">
        <v>545.2554799999999</v>
      </c>
      <c r="L392" s="46" t="n">
        <v>373.9202599999999</v>
      </c>
      <c r="M392" s="46">
        <f>N392-SUM(C392:L392)</f>
        <v/>
      </c>
      <c r="N392" s="47" t="n">
        <v>5012</v>
      </c>
      <c r="O392" s="51" t="n">
        <v>225</v>
      </c>
      <c r="P392" s="51" t="n">
        <v>1</v>
      </c>
      <c r="Q392" s="51" t="n">
        <v>796</v>
      </c>
      <c r="R392" s="51" t="n">
        <v>769</v>
      </c>
      <c r="S392" s="51" t="n">
        <v>456</v>
      </c>
      <c r="T392" s="51" t="n">
        <v>850</v>
      </c>
      <c r="U392" s="51" t="n">
        <v>46</v>
      </c>
      <c r="V392" s="51" t="n"/>
      <c r="W392" s="51" t="n">
        <v>644</v>
      </c>
      <c r="X392" s="51" t="n">
        <v>1225</v>
      </c>
      <c r="Y392" s="51" t="n">
        <v>0</v>
      </c>
    </row>
    <row r="393">
      <c r="A393" s="78" t="n">
        <v>46166</v>
      </c>
      <c r="B393" s="45" t="inlineStr">
        <is>
          <t>N6</t>
        </is>
      </c>
      <c r="C393" s="46" t="n">
        <v>251.67728</v>
      </c>
      <c r="D393" s="46" t="n">
        <v>319.72736</v>
      </c>
      <c r="E393" s="46" t="n">
        <v>300.28448</v>
      </c>
      <c r="F393" s="46" t="n">
        <v>751.7913600000001</v>
      </c>
      <c r="G393" s="46" t="n">
        <v>521.7172800000001</v>
      </c>
      <c r="H393" s="46" t="n">
        <v>544.4006400000001</v>
      </c>
      <c r="I393" s="46" t="n">
        <v>317.56704</v>
      </c>
      <c r="J393" s="46" t="n">
        <v>392.09808</v>
      </c>
      <c r="K393" s="46" t="n">
        <v>546.56096</v>
      </c>
      <c r="L393" s="46" t="n">
        <v>374.81552</v>
      </c>
      <c r="M393" s="46">
        <f>N393-SUM(C393:L393)</f>
        <v/>
      </c>
      <c r="N393" s="47" t="n">
        <v>5024</v>
      </c>
      <c r="O393" s="51" t="n">
        <v>225</v>
      </c>
      <c r="P393" s="51" t="n">
        <v>1</v>
      </c>
      <c r="Q393" s="51" t="n">
        <v>796</v>
      </c>
      <c r="R393" s="51" t="n">
        <v>769</v>
      </c>
      <c r="S393" s="51" t="n">
        <v>456</v>
      </c>
      <c r="T393" s="51" t="n">
        <v>850</v>
      </c>
      <c r="U393" s="51" t="n">
        <v>46</v>
      </c>
      <c r="V393" s="51" t="n"/>
      <c r="W393" s="51" t="n">
        <v>644</v>
      </c>
      <c r="X393" s="51" t="n">
        <v>1237</v>
      </c>
      <c r="Y393" s="51" t="n">
        <v>0</v>
      </c>
    </row>
    <row r="394">
      <c r="A394" s="78" t="n">
        <v>46167</v>
      </c>
      <c r="B394" s="45" t="inlineStr">
        <is>
          <t>N6</t>
        </is>
      </c>
      <c r="C394" s="46" t="n">
        <v>254.18203</v>
      </c>
      <c r="D394" s="46" t="n">
        <v>322.90936</v>
      </c>
      <c r="E394" s="46" t="n">
        <v>303.2729800000001</v>
      </c>
      <c r="F394" s="46" t="n">
        <v>759.27336</v>
      </c>
      <c r="G394" s="46" t="n">
        <v>526.90953</v>
      </c>
      <c r="H394" s="46" t="n">
        <v>549.8186400000001</v>
      </c>
      <c r="I394" s="46" t="n">
        <v>320.72754</v>
      </c>
      <c r="J394" s="46" t="n">
        <v>396.00033</v>
      </c>
      <c r="K394" s="46" t="n">
        <v>552.0004600000001</v>
      </c>
      <c r="L394" s="46" t="n">
        <v>378.54577</v>
      </c>
      <c r="M394" s="46">
        <f>N394-SUM(C394:L394)</f>
        <v/>
      </c>
      <c r="N394" s="47" t="n">
        <v>5074</v>
      </c>
      <c r="O394" s="51" t="n">
        <v>155</v>
      </c>
      <c r="P394" s="51" t="n">
        <v>1</v>
      </c>
      <c r="Q394" s="51" t="n">
        <v>530</v>
      </c>
      <c r="R394" s="51" t="n">
        <v>769</v>
      </c>
      <c r="S394" s="51" t="n">
        <v>456</v>
      </c>
      <c r="T394" s="51" t="n">
        <v>1250</v>
      </c>
      <c r="U394" s="51" t="n">
        <v>15</v>
      </c>
      <c r="V394" s="51" t="n"/>
      <c r="W394" s="51" t="n">
        <v>644</v>
      </c>
      <c r="X394" s="51" t="n">
        <v>1171</v>
      </c>
      <c r="Y394" s="51" t="n">
        <v>83</v>
      </c>
    </row>
    <row r="395">
      <c r="A395" s="78" t="n">
        <v>46168</v>
      </c>
      <c r="B395" s="45" t="inlineStr">
        <is>
          <t>N6</t>
        </is>
      </c>
      <c r="C395" s="46" t="n">
        <v>252.729275</v>
      </c>
      <c r="D395" s="46" t="n">
        <v>321.0638</v>
      </c>
      <c r="E395" s="46" t="n">
        <v>301.53965</v>
      </c>
      <c r="F395" s="46" t="n">
        <v>754.9337999999999</v>
      </c>
      <c r="G395" s="46" t="n">
        <v>523.898025</v>
      </c>
      <c r="H395" s="46" t="n">
        <v>546.6762</v>
      </c>
      <c r="I395" s="46" t="n">
        <v>318.8944499999999</v>
      </c>
      <c r="J395" s="46" t="n">
        <v>393.737025</v>
      </c>
      <c r="K395" s="46" t="n">
        <v>548.84555</v>
      </c>
      <c r="L395" s="46" t="n">
        <v>376.3822249999999</v>
      </c>
      <c r="M395" s="46">
        <f>N395-SUM(C395:L395)</f>
        <v/>
      </c>
      <c r="N395" s="47" t="n">
        <v>5045</v>
      </c>
      <c r="O395" s="51" t="n">
        <v>155</v>
      </c>
      <c r="P395" s="51" t="n">
        <v>0</v>
      </c>
      <c r="Q395" s="51" t="n">
        <v>530</v>
      </c>
      <c r="R395" s="51" t="n">
        <v>769</v>
      </c>
      <c r="S395" s="51" t="n">
        <v>456</v>
      </c>
      <c r="T395" s="51" t="n">
        <v>1250</v>
      </c>
      <c r="U395" s="51" t="n">
        <v>0</v>
      </c>
      <c r="V395" s="51" t="n"/>
      <c r="W395" s="51" t="n">
        <v>644</v>
      </c>
      <c r="X395" s="51" t="n">
        <v>1158</v>
      </c>
      <c r="Y395" s="51" t="n">
        <v>83</v>
      </c>
    </row>
    <row r="396">
      <c r="A396" s="78" t="n">
        <v>46169</v>
      </c>
      <c r="B396" s="45" t="inlineStr">
        <is>
          <t>N6</t>
        </is>
      </c>
      <c r="C396" s="46" t="n">
        <v>251.77747</v>
      </c>
      <c r="D396" s="46" t="n">
        <v>319.85464</v>
      </c>
      <c r="E396" s="46" t="n">
        <v>300.40402</v>
      </c>
      <c r="F396" s="46" t="n">
        <v>752.0906399999999</v>
      </c>
      <c r="G396" s="46" t="n">
        <v>521.9249699999999</v>
      </c>
      <c r="H396" s="46" t="n">
        <v>544.61736</v>
      </c>
      <c r="I396" s="46" t="n">
        <v>317.69346</v>
      </c>
      <c r="J396" s="46" t="n">
        <v>392.2541699999999</v>
      </c>
      <c r="K396" s="46" t="n">
        <v>546.77854</v>
      </c>
      <c r="L396" s="46" t="n">
        <v>374.9647299999999</v>
      </c>
      <c r="M396" s="46">
        <f>N396-SUM(C396:L396)</f>
        <v/>
      </c>
      <c r="N396" s="47" t="n">
        <v>5026</v>
      </c>
      <c r="O396" s="51" t="n">
        <v>155</v>
      </c>
      <c r="P396" s="51" t="n">
        <v>0</v>
      </c>
      <c r="Q396" s="51" t="n">
        <v>530</v>
      </c>
      <c r="R396" s="51" t="n">
        <v>769</v>
      </c>
      <c r="S396" s="51" t="n">
        <v>456</v>
      </c>
      <c r="T396" s="51" t="n">
        <v>1250</v>
      </c>
      <c r="U396" s="51" t="n">
        <v>0</v>
      </c>
      <c r="V396" s="51" t="n"/>
      <c r="W396" s="51" t="n">
        <v>644</v>
      </c>
      <c r="X396" s="51" t="n">
        <v>1139</v>
      </c>
      <c r="Y396" s="51" t="n">
        <v>83</v>
      </c>
    </row>
    <row r="397">
      <c r="A397" s="78" t="n">
        <v>46170</v>
      </c>
      <c r="B397" s="45" t="inlineStr">
        <is>
          <t>N6</t>
        </is>
      </c>
      <c r="C397" s="46" t="n">
        <v>253.530795</v>
      </c>
      <c r="D397" s="46" t="n">
        <v>322.08204</v>
      </c>
      <c r="E397" s="46" t="n">
        <v>302.4959700000001</v>
      </c>
      <c r="F397" s="46" t="n">
        <v>757.32804</v>
      </c>
      <c r="G397" s="46" t="n">
        <v>525.559545</v>
      </c>
      <c r="H397" s="46" t="n">
        <v>548.40996</v>
      </c>
      <c r="I397" s="46" t="n">
        <v>319.90581</v>
      </c>
      <c r="J397" s="46" t="n">
        <v>394.985745</v>
      </c>
      <c r="K397" s="46" t="n">
        <v>550.58619</v>
      </c>
      <c r="L397" s="46" t="n">
        <v>377.575905</v>
      </c>
      <c r="M397" s="46">
        <f>N397-SUM(C397:L397)</f>
        <v/>
      </c>
      <c r="N397" s="47" t="n">
        <v>5061</v>
      </c>
      <c r="O397" s="51" t="n">
        <v>155</v>
      </c>
      <c r="P397" s="51" t="n">
        <v>0</v>
      </c>
      <c r="Q397" s="51" t="n">
        <v>530</v>
      </c>
      <c r="R397" s="51" t="n">
        <v>769</v>
      </c>
      <c r="S397" s="51" t="n">
        <v>456</v>
      </c>
      <c r="T397" s="51" t="n">
        <v>1250</v>
      </c>
      <c r="U397" s="51" t="n">
        <v>0</v>
      </c>
      <c r="V397" s="51" t="n"/>
      <c r="W397" s="51" t="n">
        <v>644</v>
      </c>
      <c r="X397" s="51" t="n">
        <v>1174</v>
      </c>
      <c r="Y397" s="51" t="n">
        <v>83</v>
      </c>
    </row>
    <row r="398">
      <c r="A398" s="78" t="n">
        <v>46171</v>
      </c>
      <c r="B398" s="45" t="inlineStr">
        <is>
          <t>N6</t>
        </is>
      </c>
      <c r="C398" s="46" t="n">
        <v>253.831365</v>
      </c>
      <c r="D398" s="46" t="n">
        <v>322.46388</v>
      </c>
      <c r="E398" s="46" t="n">
        <v>302.85459</v>
      </c>
      <c r="F398" s="46" t="n">
        <v>758.22588</v>
      </c>
      <c r="G398" s="46" t="n">
        <v>526.1826149999999</v>
      </c>
      <c r="H398" s="46" t="n">
        <v>549.06012</v>
      </c>
      <c r="I398" s="46" t="n">
        <v>320.28507</v>
      </c>
      <c r="J398" s="46" t="n">
        <v>395.454015</v>
      </c>
      <c r="K398" s="46" t="n">
        <v>551.23893</v>
      </c>
      <c r="L398" s="46" t="n">
        <v>378.023535</v>
      </c>
      <c r="M398" s="46">
        <f>N398-SUM(C398:L398)</f>
        <v/>
      </c>
      <c r="N398" s="47" t="n">
        <v>5067</v>
      </c>
      <c r="O398" s="51" t="n">
        <v>155</v>
      </c>
      <c r="P398" s="51" t="n">
        <v>0</v>
      </c>
      <c r="Q398" s="51" t="n">
        <v>530</v>
      </c>
      <c r="R398" s="51" t="n">
        <v>769</v>
      </c>
      <c r="S398" s="51" t="n">
        <v>456</v>
      </c>
      <c r="T398" s="51" t="n">
        <v>1250</v>
      </c>
      <c r="U398" s="51" t="n">
        <v>0</v>
      </c>
      <c r="V398" s="51" t="n"/>
      <c r="W398" s="51" t="n">
        <v>644</v>
      </c>
      <c r="X398" s="51" t="n">
        <v>1180</v>
      </c>
      <c r="Y398" s="51" t="n">
        <v>83</v>
      </c>
    </row>
    <row r="399">
      <c r="A399" s="78" t="n">
        <v>46172</v>
      </c>
      <c r="B399" s="45" t="inlineStr">
        <is>
          <t>N6</t>
        </is>
      </c>
      <c r="C399" s="46" t="n">
        <v>268.258725</v>
      </c>
      <c r="D399" s="46" t="n">
        <v>340.7922</v>
      </c>
      <c r="E399" s="46" t="n">
        <v>320.0683500000001</v>
      </c>
      <c r="F399" s="46" t="n">
        <v>801.3222</v>
      </c>
      <c r="G399" s="46" t="n">
        <v>556.089975</v>
      </c>
      <c r="H399" s="46" t="n">
        <v>580.2678000000001</v>
      </c>
      <c r="I399" s="46" t="n">
        <v>338.48955</v>
      </c>
      <c r="J399" s="46" t="n">
        <v>417.930975</v>
      </c>
      <c r="K399" s="46" t="n">
        <v>582.5704500000001</v>
      </c>
      <c r="L399" s="46" t="n">
        <v>399.509775</v>
      </c>
      <c r="M399" s="46">
        <f>N399-SUM(C399:L399)</f>
        <v/>
      </c>
      <c r="N399" s="47" t="n">
        <v>5355</v>
      </c>
      <c r="O399" s="51" t="n">
        <v>225</v>
      </c>
      <c r="P399" s="51" t="n">
        <v>1</v>
      </c>
      <c r="Q399" s="51" t="n">
        <v>796</v>
      </c>
      <c r="R399" s="51" t="n">
        <v>769</v>
      </c>
      <c r="S399" s="51" t="n">
        <v>456</v>
      </c>
      <c r="T399" s="51" t="n">
        <v>1250</v>
      </c>
      <c r="U399" s="51" t="n">
        <v>20</v>
      </c>
      <c r="V399" s="51" t="n"/>
      <c r="W399" s="51" t="n">
        <v>643</v>
      </c>
      <c r="X399" s="51" t="n">
        <v>1195</v>
      </c>
      <c r="Y399" s="51" t="n">
        <v>0</v>
      </c>
    </row>
    <row r="400">
      <c r="A400" s="78" t="n">
        <v>46173</v>
      </c>
      <c r="B400" s="45" t="inlineStr">
        <is>
          <t>N6</t>
        </is>
      </c>
      <c r="C400" s="46" t="n">
        <v>299.117245</v>
      </c>
      <c r="D400" s="46" t="n">
        <v>379.9944399999999</v>
      </c>
      <c r="E400" s="46" t="n">
        <v>356.88667</v>
      </c>
      <c r="F400" s="46" t="n">
        <v>893.5004399999998</v>
      </c>
      <c r="G400" s="46" t="n">
        <v>620.0584949999999</v>
      </c>
      <c r="H400" s="46" t="n">
        <v>647.0175599999999</v>
      </c>
      <c r="I400" s="46" t="n">
        <v>377.42691</v>
      </c>
      <c r="J400" s="46" t="n">
        <v>466.0066949999999</v>
      </c>
      <c r="K400" s="46" t="n">
        <v>649.5850899999999</v>
      </c>
      <c r="L400" s="46" t="n">
        <v>445.4664549999999</v>
      </c>
      <c r="M400" s="46">
        <f>N400-SUM(C400:L400)</f>
        <v/>
      </c>
      <c r="N400" s="47" t="n">
        <v>5971</v>
      </c>
      <c r="O400" s="51" t="n">
        <v>225</v>
      </c>
      <c r="P400" s="51" t="n">
        <v>1</v>
      </c>
      <c r="Q400" s="51" t="n">
        <v>801</v>
      </c>
      <c r="R400" s="51" t="n">
        <v>780</v>
      </c>
      <c r="S400" s="51" t="n">
        <v>456</v>
      </c>
      <c r="T400" s="51" t="n">
        <v>1863</v>
      </c>
      <c r="U400" s="51" t="n">
        <v>20</v>
      </c>
      <c r="V400" s="51" t="n"/>
      <c r="W400" s="51" t="n">
        <v>643</v>
      </c>
      <c r="X400" s="51" t="n">
        <v>1182</v>
      </c>
      <c r="Y400" s="51" t="n">
        <v>0</v>
      </c>
    </row>
    <row r="401">
      <c r="A401" s="78" t="n">
        <v>46174</v>
      </c>
      <c r="B401" s="45" t="inlineStr">
        <is>
          <t>N6</t>
        </is>
      </c>
      <c r="C401" s="46" t="n">
        <v>209</v>
      </c>
      <c r="D401" s="46" t="n">
        <v>272</v>
      </c>
      <c r="E401" s="46" t="n">
        <v>252</v>
      </c>
      <c r="F401" s="46" t="n">
        <v>627</v>
      </c>
      <c r="G401" s="46" t="n">
        <v>433</v>
      </c>
      <c r="H401" s="46" t="n">
        <v>458</v>
      </c>
      <c r="I401" s="46" t="n">
        <v>272</v>
      </c>
      <c r="J401" s="46" t="n">
        <v>325</v>
      </c>
      <c r="K401" s="46" t="n">
        <v>461</v>
      </c>
      <c r="L401" s="46" t="n">
        <v>314</v>
      </c>
      <c r="M401" s="46">
        <f>N401-SUM(C401:L401)</f>
        <v/>
      </c>
      <c r="N401" s="47" t="n">
        <v>4311</v>
      </c>
      <c r="O401" s="46" t="n">
        <v>80</v>
      </c>
      <c r="P401" s="46" t="n">
        <v>0</v>
      </c>
      <c r="Q401" s="46" t="n">
        <v>359</v>
      </c>
      <c r="R401" s="46" t="n">
        <v>1076</v>
      </c>
      <c r="S401" s="46" t="n">
        <v>228</v>
      </c>
      <c r="T401" s="46" t="n">
        <v>591</v>
      </c>
      <c r="U401" s="46" t="n">
        <v>668</v>
      </c>
      <c r="V401" s="46" t="n"/>
      <c r="W401" s="46" t="n">
        <v>395</v>
      </c>
      <c r="X401" s="46" t="n">
        <v>867</v>
      </c>
      <c r="Y401" s="46" t="n">
        <v>47</v>
      </c>
    </row>
    <row r="402">
      <c r="A402" s="78" t="n">
        <v>46175</v>
      </c>
      <c r="B402" s="45" t="inlineStr">
        <is>
          <t>N6</t>
        </is>
      </c>
      <c r="C402" s="46" t="n">
        <v>210</v>
      </c>
      <c r="D402" s="46" t="n">
        <v>273</v>
      </c>
      <c r="E402" s="46" t="n">
        <v>253</v>
      </c>
      <c r="F402" s="46" t="n">
        <v>630</v>
      </c>
      <c r="G402" s="46" t="n">
        <v>435</v>
      </c>
      <c r="H402" s="46" t="n">
        <v>460</v>
      </c>
      <c r="I402" s="46" t="n">
        <v>273</v>
      </c>
      <c r="J402" s="46" t="n">
        <v>327</v>
      </c>
      <c r="K402" s="46" t="n">
        <v>463</v>
      </c>
      <c r="L402" s="46" t="n">
        <v>315</v>
      </c>
      <c r="M402" s="46">
        <f>N402-SUM(C402:L402)</f>
        <v/>
      </c>
      <c r="N402" s="47" t="n">
        <v>4333</v>
      </c>
      <c r="O402" s="46" t="n">
        <v>79</v>
      </c>
      <c r="P402" s="46" t="n">
        <v>0</v>
      </c>
      <c r="Q402" s="46" t="n">
        <v>360</v>
      </c>
      <c r="R402" s="46" t="n">
        <v>1083</v>
      </c>
      <c r="S402" s="46" t="n">
        <v>237</v>
      </c>
      <c r="T402" s="46" t="n">
        <v>596</v>
      </c>
      <c r="U402" s="46" t="n">
        <v>665</v>
      </c>
      <c r="V402" s="46" t="n"/>
      <c r="W402" s="46" t="n">
        <v>396</v>
      </c>
      <c r="X402" s="46" t="n">
        <v>871</v>
      </c>
      <c r="Y402" s="46" t="n">
        <v>46</v>
      </c>
    </row>
    <row r="403">
      <c r="A403" s="78" t="n">
        <v>46176</v>
      </c>
      <c r="B403" s="45" t="inlineStr">
        <is>
          <t>N6</t>
        </is>
      </c>
      <c r="C403" s="46" t="n">
        <v>210</v>
      </c>
      <c r="D403" s="46" t="n">
        <v>273</v>
      </c>
      <c r="E403" s="46" t="n">
        <v>253</v>
      </c>
      <c r="F403" s="46" t="n">
        <v>630</v>
      </c>
      <c r="G403" s="46" t="n">
        <v>435</v>
      </c>
      <c r="H403" s="46" t="n">
        <v>460</v>
      </c>
      <c r="I403" s="46" t="n">
        <v>273</v>
      </c>
      <c r="J403" s="46" t="n">
        <v>327</v>
      </c>
      <c r="K403" s="46" t="n">
        <v>463</v>
      </c>
      <c r="L403" s="46" t="n">
        <v>315</v>
      </c>
      <c r="M403" s="46">
        <f>N403-SUM(C403:L403)</f>
        <v/>
      </c>
      <c r="N403" s="47" t="n">
        <v>4333</v>
      </c>
      <c r="O403" s="46" t="n">
        <v>79</v>
      </c>
      <c r="P403" s="46" t="n">
        <v>0</v>
      </c>
      <c r="Q403" s="46" t="n">
        <v>360</v>
      </c>
      <c r="R403" s="46" t="n">
        <v>1083</v>
      </c>
      <c r="S403" s="46" t="n">
        <v>237</v>
      </c>
      <c r="T403" s="46" t="n">
        <v>596</v>
      </c>
      <c r="U403" s="46" t="n">
        <v>665</v>
      </c>
      <c r="V403" s="46" t="n"/>
      <c r="W403" s="46" t="n">
        <v>396</v>
      </c>
      <c r="X403" s="46" t="n">
        <v>871</v>
      </c>
      <c r="Y403" s="46" t="n">
        <v>46</v>
      </c>
    </row>
    <row r="404">
      <c r="A404" s="78" t="n">
        <v>46177</v>
      </c>
      <c r="B404" s="45" t="inlineStr">
        <is>
          <t>N6</t>
        </is>
      </c>
      <c r="C404" s="46" t="n">
        <v>210</v>
      </c>
      <c r="D404" s="46" t="n">
        <v>273</v>
      </c>
      <c r="E404" s="46" t="n">
        <v>253</v>
      </c>
      <c r="F404" s="46" t="n">
        <v>630</v>
      </c>
      <c r="G404" s="46" t="n">
        <v>435</v>
      </c>
      <c r="H404" s="46" t="n">
        <v>460</v>
      </c>
      <c r="I404" s="46" t="n">
        <v>273</v>
      </c>
      <c r="J404" s="46" t="n">
        <v>327</v>
      </c>
      <c r="K404" s="46" t="n">
        <v>463</v>
      </c>
      <c r="L404" s="46" t="n">
        <v>315</v>
      </c>
      <c r="M404" s="46">
        <f>N404-SUM(C404:L404)</f>
        <v/>
      </c>
      <c r="N404" s="47" t="n">
        <v>4333</v>
      </c>
      <c r="O404" s="46" t="n">
        <v>79</v>
      </c>
      <c r="P404" s="46" t="n">
        <v>0</v>
      </c>
      <c r="Q404" s="46" t="n">
        <v>360</v>
      </c>
      <c r="R404" s="46" t="n">
        <v>1083</v>
      </c>
      <c r="S404" s="46" t="n">
        <v>237</v>
      </c>
      <c r="T404" s="46" t="n">
        <v>596</v>
      </c>
      <c r="U404" s="46" t="n">
        <v>665</v>
      </c>
      <c r="V404" s="46" t="n"/>
      <c r="W404" s="46" t="n">
        <v>396</v>
      </c>
      <c r="X404" s="46" t="n">
        <v>871</v>
      </c>
      <c r="Y404" s="46" t="n">
        <v>46</v>
      </c>
    </row>
    <row r="405">
      <c r="A405" s="78" t="n">
        <v>46178</v>
      </c>
      <c r="B405" s="45" t="inlineStr">
        <is>
          <t>N6</t>
        </is>
      </c>
      <c r="C405" s="46" t="n">
        <v>210</v>
      </c>
      <c r="D405" s="46" t="n">
        <v>273</v>
      </c>
      <c r="E405" s="46" t="n">
        <v>253</v>
      </c>
      <c r="F405" s="46" t="n">
        <v>630</v>
      </c>
      <c r="G405" s="46" t="n">
        <v>435</v>
      </c>
      <c r="H405" s="46" t="n">
        <v>460</v>
      </c>
      <c r="I405" s="46" t="n">
        <v>273</v>
      </c>
      <c r="J405" s="46" t="n">
        <v>327</v>
      </c>
      <c r="K405" s="46" t="n">
        <v>463</v>
      </c>
      <c r="L405" s="46" t="n">
        <v>315</v>
      </c>
      <c r="M405" s="46">
        <f>N405-SUM(C405:L405)</f>
        <v/>
      </c>
      <c r="N405" s="47" t="n">
        <v>4333</v>
      </c>
      <c r="O405" s="46" t="n">
        <v>79</v>
      </c>
      <c r="P405" s="46" t="n">
        <v>0</v>
      </c>
      <c r="Q405" s="46" t="n">
        <v>360</v>
      </c>
      <c r="R405" s="46" t="n">
        <v>1083</v>
      </c>
      <c r="S405" s="46" t="n">
        <v>237</v>
      </c>
      <c r="T405" s="46" t="n">
        <v>596</v>
      </c>
      <c r="U405" s="46" t="n">
        <v>665</v>
      </c>
      <c r="V405" s="46" t="n"/>
      <c r="W405" s="46" t="n">
        <v>396</v>
      </c>
      <c r="X405" s="46" t="n">
        <v>871</v>
      </c>
      <c r="Y405" s="46" t="n">
        <v>46</v>
      </c>
    </row>
    <row r="406">
      <c r="A406" s="78" t="n">
        <v>46179</v>
      </c>
      <c r="B406" s="45" t="inlineStr">
        <is>
          <t>N6</t>
        </is>
      </c>
      <c r="C406" s="46" t="n">
        <v>269</v>
      </c>
      <c r="D406" s="46" t="n">
        <v>350</v>
      </c>
      <c r="E406" s="46" t="n">
        <v>325</v>
      </c>
      <c r="F406" s="46" t="n">
        <v>808</v>
      </c>
      <c r="G406" s="46" t="n">
        <v>558</v>
      </c>
      <c r="H406" s="46" t="n">
        <v>590</v>
      </c>
      <c r="I406" s="46" t="n">
        <v>350</v>
      </c>
      <c r="J406" s="46" t="n">
        <v>419</v>
      </c>
      <c r="K406" s="46" t="n">
        <v>594</v>
      </c>
      <c r="L406" s="46" t="n">
        <v>404</v>
      </c>
      <c r="M406" s="46">
        <f>N406-SUM(C406:L406)</f>
        <v/>
      </c>
      <c r="N406" s="47" t="n">
        <v>5557</v>
      </c>
      <c r="O406" s="46" t="n">
        <v>102</v>
      </c>
      <c r="P406" s="46" t="n">
        <v>1</v>
      </c>
      <c r="Q406" s="46" t="n">
        <v>462</v>
      </c>
      <c r="R406" s="46" t="n">
        <v>1388</v>
      </c>
      <c r="S406" s="46" t="n">
        <v>303</v>
      </c>
      <c r="T406" s="46" t="n">
        <v>764</v>
      </c>
      <c r="U406" s="46" t="n">
        <v>853</v>
      </c>
      <c r="V406" s="46" t="n"/>
      <c r="W406" s="46" t="n">
        <v>508</v>
      </c>
      <c r="X406" s="46" t="n">
        <v>1117</v>
      </c>
      <c r="Y406" s="46" t="n">
        <v>59</v>
      </c>
    </row>
    <row r="407">
      <c r="A407" s="78" t="n">
        <v>46180</v>
      </c>
      <c r="B407" s="45" t="inlineStr">
        <is>
          <t>N6</t>
        </is>
      </c>
      <c r="C407" s="46" t="n">
        <v>356</v>
      </c>
      <c r="D407" s="46" t="n">
        <v>462</v>
      </c>
      <c r="E407" s="46" t="n">
        <v>428</v>
      </c>
      <c r="F407" s="46" t="n">
        <v>1067</v>
      </c>
      <c r="G407" s="46" t="n">
        <v>737</v>
      </c>
      <c r="H407" s="46" t="n">
        <v>779</v>
      </c>
      <c r="I407" s="46" t="n">
        <v>462</v>
      </c>
      <c r="J407" s="46" t="n">
        <v>553</v>
      </c>
      <c r="K407" s="46" t="n">
        <v>784</v>
      </c>
      <c r="L407" s="46" t="n">
        <v>534</v>
      </c>
      <c r="M407" s="46">
        <f>N407-SUM(C407:L407)</f>
        <v/>
      </c>
      <c r="N407" s="47" t="n">
        <v>7335</v>
      </c>
      <c r="O407" s="46" t="n">
        <v>134</v>
      </c>
      <c r="P407" s="46" t="n">
        <v>1</v>
      </c>
      <c r="Q407" s="46" t="n">
        <v>610</v>
      </c>
      <c r="R407" s="46" t="n">
        <v>1832</v>
      </c>
      <c r="S407" s="46" t="n">
        <v>401</v>
      </c>
      <c r="T407" s="46" t="n">
        <v>1008</v>
      </c>
      <c r="U407" s="46" t="n">
        <v>1126</v>
      </c>
      <c r="V407" s="46" t="n"/>
      <c r="W407" s="46" t="n">
        <v>671</v>
      </c>
      <c r="X407" s="46" t="n">
        <v>1474</v>
      </c>
      <c r="Y407" s="46" t="n">
        <v>78</v>
      </c>
    </row>
    <row r="408">
      <c r="A408" s="78" t="n">
        <v>46181</v>
      </c>
      <c r="B408" s="45" t="inlineStr">
        <is>
          <t>N6</t>
        </is>
      </c>
      <c r="C408" s="46" t="n">
        <v>198</v>
      </c>
      <c r="D408" s="46" t="n">
        <v>257</v>
      </c>
      <c r="E408" s="46" t="n">
        <v>238</v>
      </c>
      <c r="F408" s="46" t="n">
        <v>593</v>
      </c>
      <c r="G408" s="46" t="n">
        <v>409</v>
      </c>
      <c r="H408" s="46" t="n">
        <v>433</v>
      </c>
      <c r="I408" s="46" t="n">
        <v>257</v>
      </c>
      <c r="J408" s="46" t="n">
        <v>307</v>
      </c>
      <c r="K408" s="46" t="n">
        <v>436</v>
      </c>
      <c r="L408" s="46" t="n">
        <v>296</v>
      </c>
      <c r="M408" s="46">
        <f>N408-SUM(C408:L408)</f>
        <v/>
      </c>
      <c r="N408" s="47" t="n">
        <v>4076</v>
      </c>
      <c r="O408" s="46" t="n">
        <v>75</v>
      </c>
      <c r="P408" s="46" t="n">
        <v>1</v>
      </c>
      <c r="Q408" s="46" t="n">
        <v>339</v>
      </c>
      <c r="R408" s="46" t="n">
        <v>1018</v>
      </c>
      <c r="S408" s="46" t="n">
        <v>223</v>
      </c>
      <c r="T408" s="46" t="n">
        <v>560</v>
      </c>
      <c r="U408" s="46" t="n">
        <v>625</v>
      </c>
      <c r="V408" s="46" t="n"/>
      <c r="W408" s="46" t="n">
        <v>373</v>
      </c>
      <c r="X408" s="46" t="n">
        <v>819</v>
      </c>
      <c r="Y408" s="46" t="n">
        <v>43</v>
      </c>
    </row>
    <row r="409">
      <c r="A409" s="78" t="n">
        <v>46182</v>
      </c>
      <c r="B409" s="45" t="inlineStr">
        <is>
          <t>N6</t>
        </is>
      </c>
      <c r="C409" s="46" t="n">
        <v>198</v>
      </c>
      <c r="D409" s="46" t="n">
        <v>257</v>
      </c>
      <c r="E409" s="46" t="n">
        <v>238</v>
      </c>
      <c r="F409" s="46" t="n">
        <v>593</v>
      </c>
      <c r="G409" s="46" t="n">
        <v>409</v>
      </c>
      <c r="H409" s="46" t="n">
        <v>433</v>
      </c>
      <c r="I409" s="46" t="n">
        <v>257</v>
      </c>
      <c r="J409" s="46" t="n">
        <v>307</v>
      </c>
      <c r="K409" s="46" t="n">
        <v>436</v>
      </c>
      <c r="L409" s="46" t="n">
        <v>296</v>
      </c>
      <c r="M409" s="46">
        <f>N409-SUM(C409:L409)</f>
        <v/>
      </c>
      <c r="N409" s="47" t="n">
        <v>4076</v>
      </c>
      <c r="O409" s="46" t="n">
        <v>75</v>
      </c>
      <c r="P409" s="46" t="n">
        <v>1</v>
      </c>
      <c r="Q409" s="46" t="n">
        <v>339</v>
      </c>
      <c r="R409" s="46" t="n">
        <v>1018</v>
      </c>
      <c r="S409" s="46" t="n">
        <v>223</v>
      </c>
      <c r="T409" s="46" t="n">
        <v>560</v>
      </c>
      <c r="U409" s="46" t="n">
        <v>625</v>
      </c>
      <c r="V409" s="46" t="n"/>
      <c r="W409" s="46" t="n">
        <v>373</v>
      </c>
      <c r="X409" s="46" t="n">
        <v>819</v>
      </c>
      <c r="Y409" s="46" t="n">
        <v>43</v>
      </c>
    </row>
    <row r="410">
      <c r="A410" s="78" t="n">
        <v>46183</v>
      </c>
      <c r="B410" s="45" t="inlineStr">
        <is>
          <t>N6</t>
        </is>
      </c>
      <c r="C410" s="46" t="n">
        <v>198</v>
      </c>
      <c r="D410" s="46" t="n">
        <v>257</v>
      </c>
      <c r="E410" s="46" t="n">
        <v>238</v>
      </c>
      <c r="F410" s="46" t="n">
        <v>593</v>
      </c>
      <c r="G410" s="46" t="n">
        <v>409</v>
      </c>
      <c r="H410" s="46" t="n">
        <v>433</v>
      </c>
      <c r="I410" s="46" t="n">
        <v>257</v>
      </c>
      <c r="J410" s="46" t="n">
        <v>307</v>
      </c>
      <c r="K410" s="46" t="n">
        <v>436</v>
      </c>
      <c r="L410" s="46" t="n">
        <v>296</v>
      </c>
      <c r="M410" s="46">
        <f>N410-SUM(C410:L410)</f>
        <v/>
      </c>
      <c r="N410" s="47" t="n">
        <v>4076</v>
      </c>
      <c r="O410" s="46" t="n">
        <v>75</v>
      </c>
      <c r="P410" s="46" t="n">
        <v>1</v>
      </c>
      <c r="Q410" s="46" t="n">
        <v>339</v>
      </c>
      <c r="R410" s="46" t="n">
        <v>1018</v>
      </c>
      <c r="S410" s="46" t="n">
        <v>223</v>
      </c>
      <c r="T410" s="46" t="n">
        <v>560</v>
      </c>
      <c r="U410" s="46" t="n">
        <v>625</v>
      </c>
      <c r="V410" s="46" t="n"/>
      <c r="W410" s="46" t="n">
        <v>373</v>
      </c>
      <c r="X410" s="46" t="n">
        <v>819</v>
      </c>
      <c r="Y410" s="46" t="n">
        <v>43</v>
      </c>
    </row>
    <row r="411">
      <c r="A411" s="78" t="n">
        <v>46184</v>
      </c>
      <c r="B411" s="45" t="inlineStr">
        <is>
          <t>N6</t>
        </is>
      </c>
      <c r="C411" s="46" t="n">
        <v>198</v>
      </c>
      <c r="D411" s="46" t="n">
        <v>257</v>
      </c>
      <c r="E411" s="46" t="n">
        <v>238</v>
      </c>
      <c r="F411" s="46" t="n">
        <v>593</v>
      </c>
      <c r="G411" s="46" t="n">
        <v>409</v>
      </c>
      <c r="H411" s="46" t="n">
        <v>433</v>
      </c>
      <c r="I411" s="46" t="n">
        <v>257</v>
      </c>
      <c r="J411" s="46" t="n">
        <v>307</v>
      </c>
      <c r="K411" s="46" t="n">
        <v>436</v>
      </c>
      <c r="L411" s="46" t="n">
        <v>296</v>
      </c>
      <c r="M411" s="46">
        <f>N411-SUM(C411:L411)</f>
        <v/>
      </c>
      <c r="N411" s="47" t="n">
        <v>4076</v>
      </c>
      <c r="O411" s="46" t="n">
        <v>75</v>
      </c>
      <c r="P411" s="46" t="n">
        <v>1</v>
      </c>
      <c r="Q411" s="46" t="n">
        <v>339</v>
      </c>
      <c r="R411" s="46" t="n">
        <v>1018</v>
      </c>
      <c r="S411" s="46" t="n">
        <v>223</v>
      </c>
      <c r="T411" s="46" t="n">
        <v>560</v>
      </c>
      <c r="U411" s="46" t="n">
        <v>625</v>
      </c>
      <c r="V411" s="46" t="n"/>
      <c r="W411" s="46" t="n">
        <v>373</v>
      </c>
      <c r="X411" s="46" t="n">
        <v>819</v>
      </c>
      <c r="Y411" s="46" t="n">
        <v>43</v>
      </c>
    </row>
    <row r="412">
      <c r="A412" s="78" t="n">
        <v>46185</v>
      </c>
      <c r="B412" s="45" t="inlineStr">
        <is>
          <t>N6</t>
        </is>
      </c>
      <c r="C412" s="46" t="n">
        <v>198</v>
      </c>
      <c r="D412" s="46" t="n">
        <v>257</v>
      </c>
      <c r="E412" s="46" t="n">
        <v>238</v>
      </c>
      <c r="F412" s="46" t="n">
        <v>593</v>
      </c>
      <c r="G412" s="46" t="n">
        <v>409</v>
      </c>
      <c r="H412" s="46" t="n">
        <v>433</v>
      </c>
      <c r="I412" s="46" t="n">
        <v>257</v>
      </c>
      <c r="J412" s="46" t="n">
        <v>307</v>
      </c>
      <c r="K412" s="46" t="n">
        <v>436</v>
      </c>
      <c r="L412" s="46" t="n">
        <v>296</v>
      </c>
      <c r="M412" s="46">
        <f>N412-SUM(C412:L412)</f>
        <v/>
      </c>
      <c r="N412" s="47" t="n">
        <v>4076</v>
      </c>
      <c r="O412" s="46" t="n">
        <v>75</v>
      </c>
      <c r="P412" s="46" t="n">
        <v>1</v>
      </c>
      <c r="Q412" s="46" t="n">
        <v>339</v>
      </c>
      <c r="R412" s="46" t="n">
        <v>1018</v>
      </c>
      <c r="S412" s="46" t="n">
        <v>223</v>
      </c>
      <c r="T412" s="46" t="n">
        <v>560</v>
      </c>
      <c r="U412" s="46" t="n">
        <v>625</v>
      </c>
      <c r="V412" s="46" t="n"/>
      <c r="W412" s="46" t="n">
        <v>373</v>
      </c>
      <c r="X412" s="46" t="n">
        <v>819</v>
      </c>
      <c r="Y412" s="46" t="n">
        <v>43</v>
      </c>
    </row>
    <row r="413">
      <c r="A413" s="78" t="n">
        <v>46186</v>
      </c>
      <c r="B413" s="45" t="inlineStr">
        <is>
          <t>N6</t>
        </is>
      </c>
      <c r="C413" s="46" t="n">
        <v>361</v>
      </c>
      <c r="D413" s="46" t="n">
        <v>469</v>
      </c>
      <c r="E413" s="46" t="n">
        <v>435</v>
      </c>
      <c r="F413" s="46" t="n">
        <v>1083</v>
      </c>
      <c r="G413" s="46" t="n">
        <v>748</v>
      </c>
      <c r="H413" s="46" t="n">
        <v>790</v>
      </c>
      <c r="I413" s="46" t="n">
        <v>469</v>
      </c>
      <c r="J413" s="46" t="n">
        <v>561</v>
      </c>
      <c r="K413" s="46" t="n">
        <v>796</v>
      </c>
      <c r="L413" s="46" t="n">
        <v>542</v>
      </c>
      <c r="M413" s="46">
        <f>N413-SUM(C413:L413)</f>
        <v/>
      </c>
      <c r="N413" s="47" t="n">
        <v>7445</v>
      </c>
      <c r="O413" s="46" t="n">
        <v>136</v>
      </c>
      <c r="P413" s="46" t="n">
        <v>1</v>
      </c>
      <c r="Q413" s="46" t="n">
        <v>619</v>
      </c>
      <c r="R413" s="46" t="n">
        <v>1860</v>
      </c>
      <c r="S413" s="46" t="n">
        <v>407</v>
      </c>
      <c r="T413" s="46" t="n">
        <v>1023</v>
      </c>
      <c r="U413" s="46" t="n">
        <v>1143</v>
      </c>
      <c r="V413" s="46" t="n"/>
      <c r="W413" s="46" t="n">
        <v>681</v>
      </c>
      <c r="X413" s="46" t="n">
        <v>1496</v>
      </c>
      <c r="Y413" s="46" t="n">
        <v>79</v>
      </c>
    </row>
    <row r="414">
      <c r="A414" s="78" t="n">
        <v>46187</v>
      </c>
      <c r="B414" s="45" t="inlineStr">
        <is>
          <t>N6</t>
        </is>
      </c>
      <c r="C414" s="46" t="n">
        <v>402</v>
      </c>
      <c r="D414" s="46" t="n">
        <v>523</v>
      </c>
      <c r="E414" s="46" t="n">
        <v>485</v>
      </c>
      <c r="F414" s="46" t="n">
        <v>1207</v>
      </c>
      <c r="G414" s="46" t="n">
        <v>833</v>
      </c>
      <c r="H414" s="46" t="n">
        <v>881</v>
      </c>
      <c r="I414" s="46" t="n">
        <v>523</v>
      </c>
      <c r="J414" s="46" t="n">
        <v>626</v>
      </c>
      <c r="K414" s="46" t="n">
        <v>887</v>
      </c>
      <c r="L414" s="46" t="n">
        <v>603</v>
      </c>
      <c r="M414" s="46">
        <f>N414-SUM(C414:L414)</f>
        <v/>
      </c>
      <c r="N414" s="47" t="n">
        <v>8297</v>
      </c>
      <c r="O414" s="46" t="n">
        <v>152</v>
      </c>
      <c r="P414" s="46" t="n">
        <v>1</v>
      </c>
      <c r="Q414" s="46" t="n">
        <v>690</v>
      </c>
      <c r="R414" s="46" t="n">
        <v>2073</v>
      </c>
      <c r="S414" s="46" t="n">
        <v>453</v>
      </c>
      <c r="T414" s="46" t="n">
        <v>1140</v>
      </c>
      <c r="U414" s="46" t="n">
        <v>1273</v>
      </c>
      <c r="V414" s="46" t="n"/>
      <c r="W414" s="46" t="n">
        <v>759</v>
      </c>
      <c r="X414" s="46" t="n">
        <v>1668</v>
      </c>
      <c r="Y414" s="46" t="n">
        <v>88</v>
      </c>
    </row>
    <row r="415">
      <c r="A415" s="78" t="n">
        <v>46188</v>
      </c>
      <c r="B415" s="45" t="inlineStr">
        <is>
          <t>N6</t>
        </is>
      </c>
      <c r="C415" s="46" t="n">
        <v>210</v>
      </c>
      <c r="D415" s="46" t="n">
        <v>273</v>
      </c>
      <c r="E415" s="46" t="n">
        <v>253</v>
      </c>
      <c r="F415" s="46" t="n">
        <v>630</v>
      </c>
      <c r="G415" s="46" t="n">
        <v>435</v>
      </c>
      <c r="H415" s="46" t="n">
        <v>460</v>
      </c>
      <c r="I415" s="46" t="n">
        <v>273</v>
      </c>
      <c r="J415" s="46" t="n">
        <v>327</v>
      </c>
      <c r="K415" s="46" t="n">
        <v>463</v>
      </c>
      <c r="L415" s="46" t="n">
        <v>315</v>
      </c>
      <c r="M415" s="46">
        <f>N415-SUM(C415:L415)</f>
        <v/>
      </c>
      <c r="N415" s="47" t="n">
        <v>4334</v>
      </c>
      <c r="O415" s="46" t="n">
        <v>79</v>
      </c>
      <c r="P415" s="46" t="n">
        <v>1</v>
      </c>
      <c r="Q415" s="46" t="n">
        <v>360</v>
      </c>
      <c r="R415" s="46" t="n">
        <v>1083</v>
      </c>
      <c r="S415" s="46" t="n">
        <v>237</v>
      </c>
      <c r="T415" s="46" t="n">
        <v>596</v>
      </c>
      <c r="U415" s="46" t="n">
        <v>665</v>
      </c>
      <c r="V415" s="46" t="n"/>
      <c r="W415" s="46" t="n">
        <v>396</v>
      </c>
      <c r="X415" s="46" t="n">
        <v>871</v>
      </c>
      <c r="Y415" s="46" t="n">
        <v>46</v>
      </c>
    </row>
    <row r="416">
      <c r="A416" s="78" t="n">
        <v>46189</v>
      </c>
      <c r="B416" s="45" t="inlineStr">
        <is>
          <t>N6</t>
        </is>
      </c>
      <c r="C416" s="46" t="n">
        <v>210</v>
      </c>
      <c r="D416" s="46" t="n">
        <v>273</v>
      </c>
      <c r="E416" s="46" t="n">
        <v>253</v>
      </c>
      <c r="F416" s="46" t="n">
        <v>630</v>
      </c>
      <c r="G416" s="46" t="n">
        <v>435</v>
      </c>
      <c r="H416" s="46" t="n">
        <v>460</v>
      </c>
      <c r="I416" s="46" t="n">
        <v>273</v>
      </c>
      <c r="J416" s="46" t="n">
        <v>327</v>
      </c>
      <c r="K416" s="46" t="n">
        <v>463</v>
      </c>
      <c r="L416" s="46" t="n">
        <v>315</v>
      </c>
      <c r="M416" s="46">
        <f>N416-SUM(C416:L416)</f>
        <v/>
      </c>
      <c r="N416" s="47" t="n">
        <v>4334</v>
      </c>
      <c r="O416" s="46" t="n">
        <v>79</v>
      </c>
      <c r="P416" s="46" t="n">
        <v>1</v>
      </c>
      <c r="Q416" s="46" t="n">
        <v>360</v>
      </c>
      <c r="R416" s="46" t="n">
        <v>1083</v>
      </c>
      <c r="S416" s="46" t="n">
        <v>237</v>
      </c>
      <c r="T416" s="46" t="n">
        <v>596</v>
      </c>
      <c r="U416" s="46" t="n">
        <v>665</v>
      </c>
      <c r="V416" s="46" t="n"/>
      <c r="W416" s="46" t="n">
        <v>396</v>
      </c>
      <c r="X416" s="46" t="n">
        <v>871</v>
      </c>
      <c r="Y416" s="46" t="n">
        <v>46</v>
      </c>
    </row>
    <row r="417">
      <c r="A417" s="78" t="n">
        <v>46190</v>
      </c>
      <c r="B417" s="45" t="inlineStr">
        <is>
          <t>N6</t>
        </is>
      </c>
      <c r="C417" s="46" t="n">
        <v>210</v>
      </c>
      <c r="D417" s="46" t="n">
        <v>273</v>
      </c>
      <c r="E417" s="46" t="n">
        <v>253</v>
      </c>
      <c r="F417" s="46" t="n">
        <v>630</v>
      </c>
      <c r="G417" s="46" t="n">
        <v>435</v>
      </c>
      <c r="H417" s="46" t="n">
        <v>460</v>
      </c>
      <c r="I417" s="46" t="n">
        <v>273</v>
      </c>
      <c r="J417" s="46" t="n">
        <v>327</v>
      </c>
      <c r="K417" s="46" t="n">
        <v>463</v>
      </c>
      <c r="L417" s="46" t="n">
        <v>315</v>
      </c>
      <c r="M417" s="46">
        <f>N417-SUM(C417:L417)</f>
        <v/>
      </c>
      <c r="N417" s="47" t="n">
        <v>4334</v>
      </c>
      <c r="O417" s="46" t="n">
        <v>79</v>
      </c>
      <c r="P417" s="46" t="n">
        <v>1</v>
      </c>
      <c r="Q417" s="46" t="n">
        <v>360</v>
      </c>
      <c r="R417" s="46" t="n">
        <v>1083</v>
      </c>
      <c r="S417" s="46" t="n">
        <v>237</v>
      </c>
      <c r="T417" s="46" t="n">
        <v>596</v>
      </c>
      <c r="U417" s="46" t="n">
        <v>665</v>
      </c>
      <c r="V417" s="46" t="n"/>
      <c r="W417" s="46" t="n">
        <v>396</v>
      </c>
      <c r="X417" s="46" t="n">
        <v>871</v>
      </c>
      <c r="Y417" s="46" t="n">
        <v>46</v>
      </c>
    </row>
    <row r="418">
      <c r="A418" s="78" t="n">
        <v>46191</v>
      </c>
      <c r="B418" s="45" t="inlineStr">
        <is>
          <t>N6</t>
        </is>
      </c>
      <c r="C418" s="46" t="n">
        <v>210</v>
      </c>
      <c r="D418" s="46" t="n">
        <v>273</v>
      </c>
      <c r="E418" s="46" t="n">
        <v>253</v>
      </c>
      <c r="F418" s="46" t="n">
        <v>630</v>
      </c>
      <c r="G418" s="46" t="n">
        <v>435</v>
      </c>
      <c r="H418" s="46" t="n">
        <v>460</v>
      </c>
      <c r="I418" s="46" t="n">
        <v>273</v>
      </c>
      <c r="J418" s="46" t="n">
        <v>327</v>
      </c>
      <c r="K418" s="46" t="n">
        <v>463</v>
      </c>
      <c r="L418" s="46" t="n">
        <v>315</v>
      </c>
      <c r="M418" s="46">
        <f>N418-SUM(C418:L418)</f>
        <v/>
      </c>
      <c r="N418" s="47" t="n">
        <v>4334</v>
      </c>
      <c r="O418" s="46" t="n">
        <v>79</v>
      </c>
      <c r="P418" s="46" t="n">
        <v>1</v>
      </c>
      <c r="Q418" s="46" t="n">
        <v>360</v>
      </c>
      <c r="R418" s="46" t="n">
        <v>1083</v>
      </c>
      <c r="S418" s="46" t="n">
        <v>237</v>
      </c>
      <c r="T418" s="46" t="n">
        <v>596</v>
      </c>
      <c r="U418" s="46" t="n">
        <v>665</v>
      </c>
      <c r="V418" s="46" t="n"/>
      <c r="W418" s="46" t="n">
        <v>396</v>
      </c>
      <c r="X418" s="46" t="n">
        <v>871</v>
      </c>
      <c r="Y418" s="46" t="n">
        <v>46</v>
      </c>
    </row>
    <row r="419">
      <c r="A419" s="78" t="n">
        <v>46192</v>
      </c>
      <c r="B419" s="45" t="inlineStr">
        <is>
          <t>N6</t>
        </is>
      </c>
      <c r="C419" s="46" t="n">
        <v>386</v>
      </c>
      <c r="D419" s="46" t="n">
        <v>502</v>
      </c>
      <c r="E419" s="46" t="n">
        <v>465</v>
      </c>
      <c r="F419" s="46" t="n">
        <v>1158</v>
      </c>
      <c r="G419" s="46" t="n">
        <v>800</v>
      </c>
      <c r="H419" s="46" t="n">
        <v>845</v>
      </c>
      <c r="I419" s="46" t="n">
        <v>502</v>
      </c>
      <c r="J419" s="46" t="n">
        <v>600</v>
      </c>
      <c r="K419" s="46" t="n">
        <v>851</v>
      </c>
      <c r="L419" s="46" t="n">
        <v>579</v>
      </c>
      <c r="M419" s="46">
        <f>N419-SUM(C419:L419)</f>
        <v/>
      </c>
      <c r="N419" s="47" t="n">
        <v>7962</v>
      </c>
      <c r="O419" s="46" t="n">
        <v>146</v>
      </c>
      <c r="P419" s="46" t="n">
        <v>1</v>
      </c>
      <c r="Q419" s="46" t="n">
        <v>662</v>
      </c>
      <c r="R419" s="46" t="n">
        <v>1989</v>
      </c>
      <c r="S419" s="46" t="n">
        <v>435</v>
      </c>
      <c r="T419" s="46" t="n">
        <v>1094</v>
      </c>
      <c r="U419" s="46" t="n">
        <v>1222</v>
      </c>
      <c r="V419" s="46" t="n"/>
      <c r="W419" s="46" t="n">
        <v>728</v>
      </c>
      <c r="X419" s="46" t="n">
        <v>1601</v>
      </c>
      <c r="Y419" s="46" t="n">
        <v>84</v>
      </c>
    </row>
    <row r="420">
      <c r="A420" s="78" t="n">
        <v>46193</v>
      </c>
      <c r="B420" s="45" t="inlineStr">
        <is>
          <t>N6</t>
        </is>
      </c>
      <c r="C420" s="46" t="n">
        <v>435</v>
      </c>
      <c r="D420" s="46" t="n">
        <v>565</v>
      </c>
      <c r="E420" s="46" t="n">
        <v>524</v>
      </c>
      <c r="F420" s="46" t="n">
        <v>1304</v>
      </c>
      <c r="G420" s="46" t="n">
        <v>900</v>
      </c>
      <c r="H420" s="46" t="n">
        <v>951</v>
      </c>
      <c r="I420" s="46" t="n">
        <v>565</v>
      </c>
      <c r="J420" s="46" t="n">
        <v>676</v>
      </c>
      <c r="K420" s="46" t="n">
        <v>958</v>
      </c>
      <c r="L420" s="46" t="n">
        <v>652</v>
      </c>
      <c r="M420" s="46">
        <f>N420-SUM(C420:L420)</f>
        <v/>
      </c>
      <c r="N420" s="47" t="n">
        <v>8964</v>
      </c>
      <c r="O420" s="46" t="n">
        <v>164</v>
      </c>
      <c r="P420" s="46" t="n">
        <v>1</v>
      </c>
      <c r="Q420" s="46" t="n">
        <v>745</v>
      </c>
      <c r="R420" s="46" t="n">
        <v>2239</v>
      </c>
      <c r="S420" s="46" t="n">
        <v>490</v>
      </c>
      <c r="T420" s="46" t="n">
        <v>1232</v>
      </c>
      <c r="U420" s="46" t="n">
        <v>1376</v>
      </c>
      <c r="V420" s="46" t="n"/>
      <c r="W420" s="46" t="n">
        <v>820</v>
      </c>
      <c r="X420" s="46" t="n">
        <v>1802</v>
      </c>
      <c r="Y420" s="46" t="n">
        <v>95</v>
      </c>
    </row>
    <row r="421">
      <c r="A421" s="78" t="n">
        <v>46194</v>
      </c>
      <c r="B421" s="45" t="inlineStr">
        <is>
          <t>N6</t>
        </is>
      </c>
      <c r="C421" s="46" t="n">
        <v>476</v>
      </c>
      <c r="D421" s="46" t="n">
        <v>618</v>
      </c>
      <c r="E421" s="46" t="n">
        <v>573</v>
      </c>
      <c r="F421" s="46" t="n">
        <v>1428</v>
      </c>
      <c r="G421" s="46" t="n">
        <v>986</v>
      </c>
      <c r="H421" s="46" t="n">
        <v>1042</v>
      </c>
      <c r="I421" s="46" t="n">
        <v>618</v>
      </c>
      <c r="J421" s="46" t="n">
        <v>740</v>
      </c>
      <c r="K421" s="46" t="n">
        <v>1049</v>
      </c>
      <c r="L421" s="46" t="n">
        <v>714</v>
      </c>
      <c r="M421" s="46">
        <f>N421-SUM(C421:L421)</f>
        <v/>
      </c>
      <c r="N421" s="47" t="n">
        <v>9816</v>
      </c>
      <c r="O421" s="46" t="n">
        <v>180</v>
      </c>
      <c r="P421" s="46" t="n">
        <v>2</v>
      </c>
      <c r="Q421" s="46" t="n">
        <v>816</v>
      </c>
      <c r="R421" s="46" t="n">
        <v>2452</v>
      </c>
      <c r="S421" s="46" t="n">
        <v>536</v>
      </c>
      <c r="T421" s="46" t="n">
        <v>1349</v>
      </c>
      <c r="U421" s="46" t="n">
        <v>1506</v>
      </c>
      <c r="V421" s="46" t="n"/>
      <c r="W421" s="46" t="n">
        <v>898</v>
      </c>
      <c r="X421" s="46" t="n">
        <v>1973</v>
      </c>
      <c r="Y421" s="46" t="n">
        <v>104</v>
      </c>
    </row>
    <row r="422">
      <c r="A422" s="78" t="n">
        <v>46195</v>
      </c>
      <c r="B422" s="45" t="inlineStr">
        <is>
          <t>N6</t>
        </is>
      </c>
      <c r="C422" s="46" t="n">
        <v>214</v>
      </c>
      <c r="D422" s="46" t="n">
        <v>278</v>
      </c>
      <c r="E422" s="46" t="n">
        <v>258</v>
      </c>
      <c r="F422" s="46" t="n">
        <v>641</v>
      </c>
      <c r="G422" s="46" t="n">
        <v>443</v>
      </c>
      <c r="H422" s="46" t="n">
        <v>468</v>
      </c>
      <c r="I422" s="46" t="n">
        <v>278</v>
      </c>
      <c r="J422" s="46" t="n">
        <v>332</v>
      </c>
      <c r="K422" s="46" t="n">
        <v>471</v>
      </c>
      <c r="L422" s="46" t="n">
        <v>321</v>
      </c>
      <c r="M422" s="46">
        <f>N422-SUM(C422:L422)</f>
        <v/>
      </c>
      <c r="N422" s="47" t="n">
        <v>4408</v>
      </c>
      <c r="O422" s="46" t="n">
        <v>81</v>
      </c>
      <c r="P422" s="46" t="n">
        <v>1</v>
      </c>
      <c r="Q422" s="46" t="n">
        <v>366</v>
      </c>
      <c r="R422" s="46" t="n">
        <v>1101</v>
      </c>
      <c r="S422" s="46" t="n">
        <v>241</v>
      </c>
      <c r="T422" s="46" t="n">
        <v>606</v>
      </c>
      <c r="U422" s="46" t="n">
        <v>676</v>
      </c>
      <c r="V422" s="46" t="n"/>
      <c r="W422" s="46" t="n">
        <v>403</v>
      </c>
      <c r="X422" s="46" t="n">
        <v>886</v>
      </c>
      <c r="Y422" s="46" t="n">
        <v>47</v>
      </c>
    </row>
    <row r="423">
      <c r="A423" s="78" t="n">
        <v>46196</v>
      </c>
      <c r="B423" s="45" t="inlineStr">
        <is>
          <t>N6</t>
        </is>
      </c>
      <c r="C423" s="46" t="n">
        <v>214</v>
      </c>
      <c r="D423" s="46" t="n">
        <v>278</v>
      </c>
      <c r="E423" s="46" t="n">
        <v>258</v>
      </c>
      <c r="F423" s="46" t="n">
        <v>641</v>
      </c>
      <c r="G423" s="46" t="n">
        <v>443</v>
      </c>
      <c r="H423" s="46" t="n">
        <v>468</v>
      </c>
      <c r="I423" s="46" t="n">
        <v>278</v>
      </c>
      <c r="J423" s="46" t="n">
        <v>332</v>
      </c>
      <c r="K423" s="46" t="n">
        <v>471</v>
      </c>
      <c r="L423" s="46" t="n">
        <v>321</v>
      </c>
      <c r="M423" s="46">
        <f>N423-SUM(C423:L423)</f>
        <v/>
      </c>
      <c r="N423" s="47" t="n">
        <v>4408</v>
      </c>
      <c r="O423" s="46" t="n">
        <v>81</v>
      </c>
      <c r="P423" s="46" t="n">
        <v>1</v>
      </c>
      <c r="Q423" s="46" t="n">
        <v>366</v>
      </c>
      <c r="R423" s="46" t="n">
        <v>1101</v>
      </c>
      <c r="S423" s="46" t="n">
        <v>241</v>
      </c>
      <c r="T423" s="46" t="n">
        <v>606</v>
      </c>
      <c r="U423" s="46" t="n">
        <v>676</v>
      </c>
      <c r="V423" s="46" t="n"/>
      <c r="W423" s="46" t="n">
        <v>403</v>
      </c>
      <c r="X423" s="46" t="n">
        <v>886</v>
      </c>
      <c r="Y423" s="46" t="n">
        <v>47</v>
      </c>
    </row>
    <row r="424">
      <c r="A424" s="78" t="n">
        <v>46197</v>
      </c>
      <c r="B424" s="45" t="inlineStr">
        <is>
          <t>N6</t>
        </is>
      </c>
      <c r="C424" s="46" t="n">
        <v>214</v>
      </c>
      <c r="D424" s="46" t="n">
        <v>278</v>
      </c>
      <c r="E424" s="46" t="n">
        <v>258</v>
      </c>
      <c r="F424" s="46" t="n">
        <v>641</v>
      </c>
      <c r="G424" s="46" t="n">
        <v>443</v>
      </c>
      <c r="H424" s="46" t="n">
        <v>468</v>
      </c>
      <c r="I424" s="46" t="n">
        <v>278</v>
      </c>
      <c r="J424" s="46" t="n">
        <v>332</v>
      </c>
      <c r="K424" s="46" t="n">
        <v>471</v>
      </c>
      <c r="L424" s="46" t="n">
        <v>321</v>
      </c>
      <c r="M424" s="46">
        <f>N424-SUM(C424:L424)</f>
        <v/>
      </c>
      <c r="N424" s="47" t="n">
        <v>4408</v>
      </c>
      <c r="O424" s="46" t="n">
        <v>81</v>
      </c>
      <c r="P424" s="46" t="n">
        <v>1</v>
      </c>
      <c r="Q424" s="46" t="n">
        <v>366</v>
      </c>
      <c r="R424" s="46" t="n">
        <v>1101</v>
      </c>
      <c r="S424" s="46" t="n">
        <v>241</v>
      </c>
      <c r="T424" s="46" t="n">
        <v>606</v>
      </c>
      <c r="U424" s="46" t="n">
        <v>676</v>
      </c>
      <c r="V424" s="46" t="n"/>
      <c r="W424" s="46" t="n">
        <v>403</v>
      </c>
      <c r="X424" s="46" t="n">
        <v>886</v>
      </c>
      <c r="Y424" s="46" t="n">
        <v>47</v>
      </c>
    </row>
    <row r="425">
      <c r="A425" s="78" t="n">
        <v>46198</v>
      </c>
      <c r="B425" s="45" t="inlineStr">
        <is>
          <t>N6</t>
        </is>
      </c>
      <c r="C425" s="46" t="n">
        <v>214</v>
      </c>
      <c r="D425" s="46" t="n">
        <v>278</v>
      </c>
      <c r="E425" s="46" t="n">
        <v>258</v>
      </c>
      <c r="F425" s="46" t="n">
        <v>641</v>
      </c>
      <c r="G425" s="46" t="n">
        <v>443</v>
      </c>
      <c r="H425" s="46" t="n">
        <v>468</v>
      </c>
      <c r="I425" s="46" t="n">
        <v>278</v>
      </c>
      <c r="J425" s="46" t="n">
        <v>332</v>
      </c>
      <c r="K425" s="46" t="n">
        <v>471</v>
      </c>
      <c r="L425" s="46" t="n">
        <v>321</v>
      </c>
      <c r="M425" s="46">
        <f>N425-SUM(C425:L425)</f>
        <v/>
      </c>
      <c r="N425" s="47" t="n">
        <v>4408</v>
      </c>
      <c r="O425" s="46" t="n">
        <v>81</v>
      </c>
      <c r="P425" s="46" t="n">
        <v>1</v>
      </c>
      <c r="Q425" s="46" t="n">
        <v>366</v>
      </c>
      <c r="R425" s="46" t="n">
        <v>1101</v>
      </c>
      <c r="S425" s="46" t="n">
        <v>241</v>
      </c>
      <c r="T425" s="46" t="n">
        <v>606</v>
      </c>
      <c r="U425" s="46" t="n">
        <v>676</v>
      </c>
      <c r="V425" s="46" t="n"/>
      <c r="W425" s="46" t="n">
        <v>403</v>
      </c>
      <c r="X425" s="46" t="n">
        <v>886</v>
      </c>
      <c r="Y425" s="46" t="n">
        <v>47</v>
      </c>
    </row>
    <row r="426">
      <c r="A426" s="78" t="n">
        <v>46199</v>
      </c>
      <c r="B426" s="45" t="inlineStr">
        <is>
          <t>N6</t>
        </is>
      </c>
      <c r="C426" s="46" t="n">
        <v>214</v>
      </c>
      <c r="D426" s="46" t="n">
        <v>278</v>
      </c>
      <c r="E426" s="46" t="n">
        <v>258</v>
      </c>
      <c r="F426" s="46" t="n">
        <v>641</v>
      </c>
      <c r="G426" s="46" t="n">
        <v>443</v>
      </c>
      <c r="H426" s="46" t="n">
        <v>468</v>
      </c>
      <c r="I426" s="46" t="n">
        <v>278</v>
      </c>
      <c r="J426" s="46" t="n">
        <v>332</v>
      </c>
      <c r="K426" s="46" t="n">
        <v>471</v>
      </c>
      <c r="L426" s="46" t="n">
        <v>321</v>
      </c>
      <c r="M426" s="46">
        <f>N426-SUM(C426:L426)</f>
        <v/>
      </c>
      <c r="N426" s="47" t="n">
        <v>4408</v>
      </c>
      <c r="O426" s="46" t="n">
        <v>81</v>
      </c>
      <c r="P426" s="46" t="n">
        <v>1</v>
      </c>
      <c r="Q426" s="46" t="n">
        <v>366</v>
      </c>
      <c r="R426" s="46" t="n">
        <v>1101</v>
      </c>
      <c r="S426" s="46" t="n">
        <v>241</v>
      </c>
      <c r="T426" s="46" t="n">
        <v>606</v>
      </c>
      <c r="U426" s="46" t="n">
        <v>676</v>
      </c>
      <c r="V426" s="46" t="n"/>
      <c r="W426" s="46" t="n">
        <v>403</v>
      </c>
      <c r="X426" s="46" t="n">
        <v>886</v>
      </c>
      <c r="Y426" s="46" t="n">
        <v>47</v>
      </c>
    </row>
    <row r="427">
      <c r="A427" s="78" t="n">
        <v>46200</v>
      </c>
      <c r="B427" s="45" t="inlineStr">
        <is>
          <t>N6</t>
        </is>
      </c>
      <c r="C427" s="46" t="n">
        <v>386</v>
      </c>
      <c r="D427" s="46" t="n">
        <v>502</v>
      </c>
      <c r="E427" s="46" t="n">
        <v>465</v>
      </c>
      <c r="F427" s="46" t="n">
        <v>1158</v>
      </c>
      <c r="G427" s="46" t="n">
        <v>800</v>
      </c>
      <c r="H427" s="46" t="n">
        <v>845</v>
      </c>
      <c r="I427" s="46" t="n">
        <v>502</v>
      </c>
      <c r="J427" s="46" t="n">
        <v>600</v>
      </c>
      <c r="K427" s="46" t="n">
        <v>851</v>
      </c>
      <c r="L427" s="46" t="n">
        <v>579</v>
      </c>
      <c r="M427" s="46">
        <f>N427-SUM(C427:L427)</f>
        <v/>
      </c>
      <c r="N427" s="47" t="n">
        <v>7962</v>
      </c>
      <c r="O427" s="46" t="n">
        <v>146</v>
      </c>
      <c r="P427" s="46" t="n">
        <v>1</v>
      </c>
      <c r="Q427" s="46" t="n">
        <v>662</v>
      </c>
      <c r="R427" s="46" t="n">
        <v>1989</v>
      </c>
      <c r="S427" s="46" t="n">
        <v>435</v>
      </c>
      <c r="T427" s="46" t="n">
        <v>1094</v>
      </c>
      <c r="U427" s="46" t="n">
        <v>1222</v>
      </c>
      <c r="V427" s="46" t="n"/>
      <c r="W427" s="46" t="n">
        <v>728</v>
      </c>
      <c r="X427" s="46" t="n">
        <v>1601</v>
      </c>
      <c r="Y427" s="46" t="n">
        <v>84</v>
      </c>
    </row>
    <row r="428">
      <c r="A428" s="78" t="n">
        <v>46201</v>
      </c>
      <c r="B428" s="45" t="inlineStr">
        <is>
          <t>N6</t>
        </is>
      </c>
      <c r="C428" s="46" t="n">
        <v>435</v>
      </c>
      <c r="D428" s="46" t="n">
        <v>565</v>
      </c>
      <c r="E428" s="46" t="n">
        <v>524</v>
      </c>
      <c r="F428" s="46" t="n">
        <v>1304</v>
      </c>
      <c r="G428" s="46" t="n">
        <v>900</v>
      </c>
      <c r="H428" s="46" t="n">
        <v>951</v>
      </c>
      <c r="I428" s="46" t="n">
        <v>565</v>
      </c>
      <c r="J428" s="46" t="n">
        <v>676</v>
      </c>
      <c r="K428" s="46" t="n">
        <v>958</v>
      </c>
      <c r="L428" s="46" t="n">
        <v>651</v>
      </c>
      <c r="M428" s="46">
        <f>N428-SUM(C428:L428)</f>
        <v/>
      </c>
      <c r="N428" s="47" t="n">
        <v>8964</v>
      </c>
      <c r="O428" s="46" t="n">
        <v>164</v>
      </c>
      <c r="P428" s="46" t="n">
        <v>1</v>
      </c>
      <c r="Q428" s="46" t="n">
        <v>745</v>
      </c>
      <c r="R428" s="46" t="n">
        <v>2239</v>
      </c>
      <c r="S428" s="46" t="n">
        <v>490</v>
      </c>
      <c r="T428" s="46" t="n">
        <v>1232</v>
      </c>
      <c r="U428" s="46" t="n">
        <v>1376</v>
      </c>
      <c r="V428" s="46" t="n"/>
      <c r="W428" s="46" t="n">
        <v>820</v>
      </c>
      <c r="X428" s="46" t="n">
        <v>1802</v>
      </c>
      <c r="Y428" s="46" t="n">
        <v>95</v>
      </c>
    </row>
    <row r="429">
      <c r="A429" s="78" t="n">
        <v>46202</v>
      </c>
      <c r="B429" s="45" t="inlineStr">
        <is>
          <t>N6</t>
        </is>
      </c>
      <c r="C429" s="46" t="n">
        <v>225</v>
      </c>
      <c r="D429" s="46" t="n">
        <v>292</v>
      </c>
      <c r="E429" s="46" t="n">
        <v>271</v>
      </c>
      <c r="F429" s="46" t="n">
        <v>674</v>
      </c>
      <c r="G429" s="46" t="n">
        <v>465</v>
      </c>
      <c r="H429" s="46" t="n">
        <v>492</v>
      </c>
      <c r="I429" s="46" t="n">
        <v>292</v>
      </c>
      <c r="J429" s="46" t="n">
        <v>349</v>
      </c>
      <c r="K429" s="46" t="n">
        <v>495</v>
      </c>
      <c r="L429" s="46" t="n">
        <v>336</v>
      </c>
      <c r="M429" s="46">
        <f>N429-SUM(C429:L429)</f>
        <v/>
      </c>
      <c r="N429" s="47" t="n">
        <v>4631</v>
      </c>
      <c r="O429" s="46" t="n">
        <v>85</v>
      </c>
      <c r="P429" s="46" t="n">
        <v>1</v>
      </c>
      <c r="Q429" s="46" t="n">
        <v>385</v>
      </c>
      <c r="R429" s="46" t="n">
        <v>1157</v>
      </c>
      <c r="S429" s="46" t="n">
        <v>253</v>
      </c>
      <c r="T429" s="46" t="n">
        <v>636</v>
      </c>
      <c r="U429" s="46" t="n">
        <v>711</v>
      </c>
      <c r="V429" s="46" t="n"/>
      <c r="W429" s="46" t="n">
        <v>423</v>
      </c>
      <c r="X429" s="46" t="n">
        <v>931</v>
      </c>
      <c r="Y429" s="46" t="n">
        <v>49</v>
      </c>
    </row>
    <row r="430">
      <c r="A430" s="78" t="n">
        <v>46203</v>
      </c>
      <c r="B430" s="45" t="inlineStr">
        <is>
          <t>N6</t>
        </is>
      </c>
      <c r="C430" s="46" t="n">
        <v>225</v>
      </c>
      <c r="D430" s="46" t="n">
        <v>292</v>
      </c>
      <c r="E430" s="46" t="n">
        <v>271</v>
      </c>
      <c r="F430" s="46" t="n">
        <v>674</v>
      </c>
      <c r="G430" s="46" t="n">
        <v>465</v>
      </c>
      <c r="H430" s="46" t="n">
        <v>492</v>
      </c>
      <c r="I430" s="46" t="n">
        <v>292</v>
      </c>
      <c r="J430" s="46" t="n">
        <v>349</v>
      </c>
      <c r="K430" s="46" t="n">
        <v>495</v>
      </c>
      <c r="L430" s="46" t="n">
        <v>336</v>
      </c>
      <c r="M430" s="46">
        <f>N430-SUM(C430:L430)</f>
        <v/>
      </c>
      <c r="N430" s="47" t="n">
        <v>4631</v>
      </c>
      <c r="O430" s="46" t="n">
        <v>85</v>
      </c>
      <c r="P430" s="46" t="n">
        <v>1</v>
      </c>
      <c r="Q430" s="46" t="n">
        <v>385</v>
      </c>
      <c r="R430" s="46" t="n">
        <v>1157</v>
      </c>
      <c r="S430" s="46" t="n">
        <v>253</v>
      </c>
      <c r="T430" s="46" t="n">
        <v>636</v>
      </c>
      <c r="U430" s="46" t="n">
        <v>711</v>
      </c>
      <c r="V430" s="46" t="n"/>
      <c r="W430" s="46" t="n">
        <v>423</v>
      </c>
      <c r="X430" s="46" t="n">
        <v>931</v>
      </c>
      <c r="Y430" s="46" t="n">
        <v>49</v>
      </c>
    </row>
    <row r="431">
      <c r="A431" s="78" t="n">
        <v>46204</v>
      </c>
      <c r="B431" s="45" t="inlineStr">
        <is>
          <t>N6</t>
        </is>
      </c>
      <c r="C431" s="46" t="n">
        <v>101</v>
      </c>
      <c r="D431" s="46" t="n">
        <v>150</v>
      </c>
      <c r="E431" s="46" t="n">
        <v>180</v>
      </c>
      <c r="F431" s="46" t="n">
        <v>332</v>
      </c>
      <c r="G431" s="46" t="n">
        <v>204</v>
      </c>
      <c r="H431" s="46" t="n">
        <v>182</v>
      </c>
      <c r="I431" s="46" t="n">
        <v>116</v>
      </c>
      <c r="J431" s="46" t="n">
        <v>280</v>
      </c>
      <c r="K431" s="46" t="n">
        <v>361</v>
      </c>
      <c r="L431" s="46" t="n">
        <v>227</v>
      </c>
      <c r="M431" s="46">
        <f>N431-SUM(C431:L431)</f>
        <v/>
      </c>
      <c r="N431" s="47" t="n">
        <v>2294</v>
      </c>
      <c r="O431" s="46" t="n">
        <v>49</v>
      </c>
      <c r="P431" s="46" t="n">
        <v>0</v>
      </c>
      <c r="Q431" s="46" t="n">
        <v>234</v>
      </c>
      <c r="R431" s="46" t="n">
        <v>403</v>
      </c>
      <c r="S431" s="46" t="n">
        <v>99</v>
      </c>
      <c r="T431" s="46" t="n">
        <v>284</v>
      </c>
      <c r="U431" s="46" t="n">
        <v>118</v>
      </c>
      <c r="V431" s="46" t="n"/>
      <c r="W431" s="46" t="n">
        <v>444</v>
      </c>
      <c r="X431" s="46" t="n">
        <v>646</v>
      </c>
      <c r="Y431" s="46" t="n">
        <v>17</v>
      </c>
    </row>
    <row r="432">
      <c r="A432" s="78" t="n">
        <v>46205</v>
      </c>
      <c r="B432" s="45" t="inlineStr">
        <is>
          <t>N6</t>
        </is>
      </c>
      <c r="C432" s="46" t="n">
        <v>101</v>
      </c>
      <c r="D432" s="46" t="n">
        <v>150</v>
      </c>
      <c r="E432" s="46" t="n">
        <v>180</v>
      </c>
      <c r="F432" s="46" t="n">
        <v>332</v>
      </c>
      <c r="G432" s="46" t="n">
        <v>204</v>
      </c>
      <c r="H432" s="46" t="n">
        <v>182</v>
      </c>
      <c r="I432" s="46" t="n">
        <v>116</v>
      </c>
      <c r="J432" s="46" t="n">
        <v>280</v>
      </c>
      <c r="K432" s="46" t="n">
        <v>361</v>
      </c>
      <c r="L432" s="46" t="n">
        <v>227</v>
      </c>
      <c r="M432" s="46">
        <f>N432-SUM(C432:L432)</f>
        <v/>
      </c>
      <c r="N432" s="47" t="n">
        <v>2294</v>
      </c>
      <c r="O432" s="46" t="n">
        <v>49</v>
      </c>
      <c r="P432" s="46" t="n">
        <v>0</v>
      </c>
      <c r="Q432" s="46" t="n">
        <v>234</v>
      </c>
      <c r="R432" s="46" t="n">
        <v>403</v>
      </c>
      <c r="S432" s="46" t="n">
        <v>99</v>
      </c>
      <c r="T432" s="46" t="n">
        <v>284</v>
      </c>
      <c r="U432" s="46" t="n">
        <v>118</v>
      </c>
      <c r="V432" s="46" t="n"/>
      <c r="W432" s="46" t="n">
        <v>444</v>
      </c>
      <c r="X432" s="46" t="n">
        <v>646</v>
      </c>
      <c r="Y432" s="46" t="n">
        <v>17</v>
      </c>
    </row>
    <row r="433">
      <c r="A433" s="78" t="n">
        <v>46206</v>
      </c>
      <c r="B433" s="45" t="inlineStr">
        <is>
          <t>N6</t>
        </is>
      </c>
      <c r="C433" s="46" t="n">
        <v>101</v>
      </c>
      <c r="D433" s="46" t="n">
        <v>150</v>
      </c>
      <c r="E433" s="46" t="n">
        <v>180</v>
      </c>
      <c r="F433" s="46" t="n">
        <v>332</v>
      </c>
      <c r="G433" s="46" t="n">
        <v>204</v>
      </c>
      <c r="H433" s="46" t="n">
        <v>182</v>
      </c>
      <c r="I433" s="46" t="n">
        <v>117</v>
      </c>
      <c r="J433" s="46" t="n">
        <v>280</v>
      </c>
      <c r="K433" s="46" t="n">
        <v>362</v>
      </c>
      <c r="L433" s="46" t="n">
        <v>228</v>
      </c>
      <c r="M433" s="46">
        <f>N433-SUM(C433:L433)</f>
        <v/>
      </c>
      <c r="N433" s="47" t="n">
        <v>2295</v>
      </c>
      <c r="O433" s="46" t="n">
        <v>49</v>
      </c>
      <c r="P433" s="46" t="n">
        <v>0</v>
      </c>
      <c r="Q433" s="46" t="n">
        <v>234</v>
      </c>
      <c r="R433" s="46" t="n">
        <v>403</v>
      </c>
      <c r="S433" s="46" t="n">
        <v>99</v>
      </c>
      <c r="T433" s="46" t="n">
        <v>284</v>
      </c>
      <c r="U433" s="46" t="n">
        <v>118</v>
      </c>
      <c r="V433" s="46" t="n"/>
      <c r="W433" s="46" t="n">
        <v>445</v>
      </c>
      <c r="X433" s="46" t="n">
        <v>646</v>
      </c>
      <c r="Y433" s="46" t="n">
        <v>17</v>
      </c>
    </row>
    <row r="434">
      <c r="A434" s="78" t="n">
        <v>46207</v>
      </c>
      <c r="B434" s="45" t="inlineStr">
        <is>
          <t>N6</t>
        </is>
      </c>
      <c r="C434" s="46" t="n">
        <v>116</v>
      </c>
      <c r="D434" s="46" t="n">
        <v>173</v>
      </c>
      <c r="E434" s="46" t="n">
        <v>207</v>
      </c>
      <c r="F434" s="46" t="n">
        <v>382</v>
      </c>
      <c r="G434" s="46" t="n">
        <v>234</v>
      </c>
      <c r="H434" s="46" t="n">
        <v>209</v>
      </c>
      <c r="I434" s="46" t="n">
        <v>134</v>
      </c>
      <c r="J434" s="46" t="n">
        <v>322</v>
      </c>
      <c r="K434" s="46" t="n">
        <v>416</v>
      </c>
      <c r="L434" s="46" t="n">
        <v>262</v>
      </c>
      <c r="M434" s="46">
        <f>N434-SUM(C434:L434)</f>
        <v/>
      </c>
      <c r="N434" s="47" t="n">
        <v>2639</v>
      </c>
      <c r="O434" s="46" t="n">
        <v>57</v>
      </c>
      <c r="P434" s="46" t="n">
        <v>0</v>
      </c>
      <c r="Q434" s="46" t="n">
        <v>269</v>
      </c>
      <c r="R434" s="46" t="n">
        <v>464</v>
      </c>
      <c r="S434" s="46" t="n">
        <v>113</v>
      </c>
      <c r="T434" s="46" t="n">
        <v>326</v>
      </c>
      <c r="U434" s="46" t="n">
        <v>136</v>
      </c>
      <c r="V434" s="46" t="n"/>
      <c r="W434" s="46" t="n">
        <v>511</v>
      </c>
      <c r="X434" s="46" t="n">
        <v>743</v>
      </c>
      <c r="Y434" s="46" t="n">
        <v>20</v>
      </c>
    </row>
    <row r="435">
      <c r="A435" s="78" t="n">
        <v>46208</v>
      </c>
      <c r="B435" s="45" t="inlineStr">
        <is>
          <t>N6</t>
        </is>
      </c>
      <c r="C435" s="46" t="n">
        <v>117</v>
      </c>
      <c r="D435" s="46" t="n">
        <v>173</v>
      </c>
      <c r="E435" s="46" t="n">
        <v>207</v>
      </c>
      <c r="F435" s="46" t="n">
        <v>382</v>
      </c>
      <c r="G435" s="46" t="n">
        <v>234</v>
      </c>
      <c r="H435" s="46" t="n">
        <v>209</v>
      </c>
      <c r="I435" s="46" t="n">
        <v>134</v>
      </c>
      <c r="J435" s="46" t="n">
        <v>322</v>
      </c>
      <c r="K435" s="46" t="n">
        <v>416</v>
      </c>
      <c r="L435" s="46" t="n">
        <v>262</v>
      </c>
      <c r="M435" s="46">
        <f>N435-SUM(C435:L435)</f>
        <v/>
      </c>
      <c r="N435" s="47" t="n">
        <v>2642</v>
      </c>
      <c r="O435" s="46" t="n">
        <v>58</v>
      </c>
      <c r="P435" s="46" t="n">
        <v>0</v>
      </c>
      <c r="Q435" s="46" t="n">
        <v>269</v>
      </c>
      <c r="R435" s="46" t="n">
        <v>465</v>
      </c>
      <c r="S435" s="46" t="n">
        <v>113</v>
      </c>
      <c r="T435" s="46" t="n">
        <v>327</v>
      </c>
      <c r="U435" s="46" t="n">
        <v>136</v>
      </c>
      <c r="V435" s="46" t="n"/>
      <c r="W435" s="46" t="n">
        <v>511</v>
      </c>
      <c r="X435" s="46" t="n">
        <v>743</v>
      </c>
      <c r="Y435" s="46" t="n">
        <v>20</v>
      </c>
    </row>
    <row r="436">
      <c r="A436" s="78" t="n">
        <v>46209</v>
      </c>
      <c r="B436" s="45" t="inlineStr">
        <is>
          <t>N6</t>
        </is>
      </c>
      <c r="C436" s="46" t="n">
        <v>101</v>
      </c>
      <c r="D436" s="46" t="n">
        <v>150</v>
      </c>
      <c r="E436" s="46" t="n">
        <v>180</v>
      </c>
      <c r="F436" s="46" t="n">
        <v>333</v>
      </c>
      <c r="G436" s="46" t="n">
        <v>204</v>
      </c>
      <c r="H436" s="46" t="n">
        <v>182</v>
      </c>
      <c r="I436" s="46" t="n">
        <v>117</v>
      </c>
      <c r="J436" s="46" t="n">
        <v>280</v>
      </c>
      <c r="K436" s="46" t="n">
        <v>362</v>
      </c>
      <c r="L436" s="46" t="n">
        <v>228</v>
      </c>
      <c r="M436" s="46">
        <f>N436-SUM(C436:L436)</f>
        <v/>
      </c>
      <c r="N436" s="47" t="n">
        <v>2298</v>
      </c>
      <c r="O436" s="46" t="n">
        <v>50</v>
      </c>
      <c r="P436" s="46" t="n">
        <v>0</v>
      </c>
      <c r="Q436" s="46" t="n">
        <v>234</v>
      </c>
      <c r="R436" s="46" t="n">
        <v>404</v>
      </c>
      <c r="S436" s="46" t="n">
        <v>99</v>
      </c>
      <c r="T436" s="46" t="n">
        <v>285</v>
      </c>
      <c r="U436" s="46" t="n">
        <v>118</v>
      </c>
      <c r="V436" s="46" t="n"/>
      <c r="W436" s="46" t="n">
        <v>445</v>
      </c>
      <c r="X436" s="46" t="n">
        <v>646</v>
      </c>
      <c r="Y436" s="46" t="n">
        <v>17</v>
      </c>
    </row>
    <row r="437">
      <c r="A437" s="78" t="n">
        <v>46210</v>
      </c>
      <c r="B437" s="45" t="inlineStr">
        <is>
          <t>N6</t>
        </is>
      </c>
      <c r="C437" s="46" t="n">
        <v>101</v>
      </c>
      <c r="D437" s="46" t="n">
        <v>150</v>
      </c>
      <c r="E437" s="46" t="n">
        <v>180</v>
      </c>
      <c r="F437" s="46" t="n">
        <v>333</v>
      </c>
      <c r="G437" s="46" t="n">
        <v>204</v>
      </c>
      <c r="H437" s="46" t="n">
        <v>182</v>
      </c>
      <c r="I437" s="46" t="n">
        <v>117</v>
      </c>
      <c r="J437" s="46" t="n">
        <v>280</v>
      </c>
      <c r="K437" s="46" t="n">
        <v>362</v>
      </c>
      <c r="L437" s="46" t="n">
        <v>228</v>
      </c>
      <c r="M437" s="46">
        <f>N437-SUM(C437:L437)</f>
        <v/>
      </c>
      <c r="N437" s="47" t="n">
        <v>2298</v>
      </c>
      <c r="O437" s="46" t="n">
        <v>50</v>
      </c>
      <c r="P437" s="46" t="n">
        <v>0</v>
      </c>
      <c r="Q437" s="46" t="n">
        <v>234</v>
      </c>
      <c r="R437" s="46" t="n">
        <v>404</v>
      </c>
      <c r="S437" s="46" t="n">
        <v>99</v>
      </c>
      <c r="T437" s="46" t="n">
        <v>285</v>
      </c>
      <c r="U437" s="46" t="n">
        <v>118</v>
      </c>
      <c r="V437" s="46" t="n"/>
      <c r="W437" s="46" t="n">
        <v>445</v>
      </c>
      <c r="X437" s="46" t="n">
        <v>646</v>
      </c>
      <c r="Y437" s="46" t="n">
        <v>17</v>
      </c>
    </row>
    <row r="438">
      <c r="A438" s="78" t="n">
        <v>46211</v>
      </c>
      <c r="B438" s="45" t="inlineStr">
        <is>
          <t>N6</t>
        </is>
      </c>
      <c r="C438" s="46" t="n">
        <v>101</v>
      </c>
      <c r="D438" s="46" t="n">
        <v>151</v>
      </c>
      <c r="E438" s="46" t="n">
        <v>180</v>
      </c>
      <c r="F438" s="46" t="n">
        <v>333</v>
      </c>
      <c r="G438" s="46" t="n">
        <v>204</v>
      </c>
      <c r="H438" s="46" t="n">
        <v>182</v>
      </c>
      <c r="I438" s="46" t="n">
        <v>117</v>
      </c>
      <c r="J438" s="46" t="n">
        <v>280</v>
      </c>
      <c r="K438" s="46" t="n">
        <v>362</v>
      </c>
      <c r="L438" s="46" t="n">
        <v>228</v>
      </c>
      <c r="M438" s="46">
        <f>N438-SUM(C438:L438)</f>
        <v/>
      </c>
      <c r="N438" s="47" t="n">
        <v>2299</v>
      </c>
      <c r="O438" s="46" t="n">
        <v>50</v>
      </c>
      <c r="P438" s="46" t="n">
        <v>0</v>
      </c>
      <c r="Q438" s="46" t="n">
        <v>234</v>
      </c>
      <c r="R438" s="46" t="n">
        <v>404</v>
      </c>
      <c r="S438" s="46" t="n">
        <v>99</v>
      </c>
      <c r="T438" s="46" t="n">
        <v>285</v>
      </c>
      <c r="U438" s="46" t="n">
        <v>119</v>
      </c>
      <c r="V438" s="46" t="n"/>
      <c r="W438" s="46" t="n">
        <v>445</v>
      </c>
      <c r="X438" s="46" t="n">
        <v>646</v>
      </c>
      <c r="Y438" s="46" t="n">
        <v>17</v>
      </c>
    </row>
    <row r="439">
      <c r="A439" s="78" t="n">
        <v>46212</v>
      </c>
      <c r="B439" s="45" t="inlineStr">
        <is>
          <t>N6</t>
        </is>
      </c>
      <c r="C439" s="46" t="n">
        <v>101</v>
      </c>
      <c r="D439" s="46" t="n">
        <v>151</v>
      </c>
      <c r="E439" s="46" t="n">
        <v>180</v>
      </c>
      <c r="F439" s="46" t="n">
        <v>333</v>
      </c>
      <c r="G439" s="46" t="n">
        <v>204</v>
      </c>
      <c r="H439" s="46" t="n">
        <v>182</v>
      </c>
      <c r="I439" s="46" t="n">
        <v>117</v>
      </c>
      <c r="J439" s="46" t="n">
        <v>280</v>
      </c>
      <c r="K439" s="46" t="n">
        <v>362</v>
      </c>
      <c r="L439" s="46" t="n">
        <v>228</v>
      </c>
      <c r="M439" s="46">
        <f>N439-SUM(C439:L439)</f>
        <v/>
      </c>
      <c r="N439" s="47" t="n">
        <v>2300</v>
      </c>
      <c r="O439" s="46" t="n">
        <v>50</v>
      </c>
      <c r="P439" s="46" t="n">
        <v>0</v>
      </c>
      <c r="Q439" s="46" t="n">
        <v>234</v>
      </c>
      <c r="R439" s="46" t="n">
        <v>404</v>
      </c>
      <c r="S439" s="46" t="n">
        <v>100</v>
      </c>
      <c r="T439" s="46" t="n">
        <v>285</v>
      </c>
      <c r="U439" s="46" t="n">
        <v>119</v>
      </c>
      <c r="V439" s="46" t="n"/>
      <c r="W439" s="46" t="n">
        <v>445</v>
      </c>
      <c r="X439" s="46" t="n">
        <v>646</v>
      </c>
      <c r="Y439" s="46" t="n">
        <v>17</v>
      </c>
    </row>
    <row r="440">
      <c r="A440" s="78" t="n">
        <v>46213</v>
      </c>
      <c r="B440" s="45" t="inlineStr">
        <is>
          <t>N6</t>
        </is>
      </c>
      <c r="C440" s="46" t="n">
        <v>101</v>
      </c>
      <c r="D440" s="46" t="n">
        <v>151</v>
      </c>
      <c r="E440" s="46" t="n">
        <v>180</v>
      </c>
      <c r="F440" s="46" t="n">
        <v>333</v>
      </c>
      <c r="G440" s="46" t="n">
        <v>204</v>
      </c>
      <c r="H440" s="46" t="n">
        <v>182</v>
      </c>
      <c r="I440" s="46" t="n">
        <v>117</v>
      </c>
      <c r="J440" s="46" t="n">
        <v>280</v>
      </c>
      <c r="K440" s="46" t="n">
        <v>362</v>
      </c>
      <c r="L440" s="46" t="n">
        <v>228</v>
      </c>
      <c r="M440" s="46">
        <f>N440-SUM(C440:L440)</f>
        <v/>
      </c>
      <c r="N440" s="47" t="n">
        <v>2300</v>
      </c>
      <c r="O440" s="46" t="n">
        <v>50</v>
      </c>
      <c r="P440" s="46" t="n">
        <v>0</v>
      </c>
      <c r="Q440" s="46" t="n">
        <v>234</v>
      </c>
      <c r="R440" s="46" t="n">
        <v>404</v>
      </c>
      <c r="S440" s="46" t="n">
        <v>100</v>
      </c>
      <c r="T440" s="46" t="n">
        <v>285</v>
      </c>
      <c r="U440" s="46" t="n">
        <v>119</v>
      </c>
      <c r="V440" s="46" t="n"/>
      <c r="W440" s="46" t="n">
        <v>445</v>
      </c>
      <c r="X440" s="46" t="n">
        <v>646</v>
      </c>
      <c r="Y440" s="46" t="n">
        <v>17</v>
      </c>
    </row>
    <row r="441">
      <c r="A441" s="78" t="n">
        <v>46214</v>
      </c>
      <c r="B441" s="45" t="inlineStr">
        <is>
          <t>N6</t>
        </is>
      </c>
      <c r="C441" s="46" t="n">
        <v>117</v>
      </c>
      <c r="D441" s="46" t="n">
        <v>173</v>
      </c>
      <c r="E441" s="46" t="n">
        <v>207</v>
      </c>
      <c r="F441" s="46" t="n">
        <v>383</v>
      </c>
      <c r="G441" s="46" t="n">
        <v>235</v>
      </c>
      <c r="H441" s="46" t="n">
        <v>210</v>
      </c>
      <c r="I441" s="46" t="n">
        <v>134</v>
      </c>
      <c r="J441" s="46" t="n">
        <v>322</v>
      </c>
      <c r="K441" s="46" t="n">
        <v>417</v>
      </c>
      <c r="L441" s="46" t="n">
        <v>262</v>
      </c>
      <c r="M441" s="46">
        <f>N441-SUM(C441:L441)</f>
        <v/>
      </c>
      <c r="N441" s="47" t="n">
        <v>2644</v>
      </c>
      <c r="O441" s="46" t="n">
        <v>58</v>
      </c>
      <c r="P441" s="46" t="n">
        <v>0</v>
      </c>
      <c r="Q441" s="46" t="n">
        <v>269</v>
      </c>
      <c r="R441" s="46" t="n">
        <v>465</v>
      </c>
      <c r="S441" s="46" t="n">
        <v>114</v>
      </c>
      <c r="T441" s="46" t="n">
        <v>327</v>
      </c>
      <c r="U441" s="46" t="n">
        <v>137</v>
      </c>
      <c r="V441" s="46" t="n"/>
      <c r="W441" s="46" t="n">
        <v>511</v>
      </c>
      <c r="X441" s="46" t="n">
        <v>743</v>
      </c>
      <c r="Y441" s="46" t="n">
        <v>20</v>
      </c>
    </row>
    <row r="442">
      <c r="A442" s="78" t="n">
        <v>46215</v>
      </c>
      <c r="B442" s="45" t="inlineStr">
        <is>
          <t>N6</t>
        </is>
      </c>
      <c r="C442" s="46" t="n">
        <v>117</v>
      </c>
      <c r="D442" s="46" t="n">
        <v>173</v>
      </c>
      <c r="E442" s="46" t="n">
        <v>207</v>
      </c>
      <c r="F442" s="46" t="n">
        <v>383</v>
      </c>
      <c r="G442" s="46" t="n">
        <v>235</v>
      </c>
      <c r="H442" s="46" t="n">
        <v>210</v>
      </c>
      <c r="I442" s="46" t="n">
        <v>134</v>
      </c>
      <c r="J442" s="46" t="n">
        <v>323</v>
      </c>
      <c r="K442" s="46" t="n">
        <v>417</v>
      </c>
      <c r="L442" s="46" t="n">
        <v>262</v>
      </c>
      <c r="M442" s="46">
        <f>N442-SUM(C442:L442)</f>
        <v/>
      </c>
      <c r="N442" s="47" t="n">
        <v>2645</v>
      </c>
      <c r="O442" s="46" t="n">
        <v>58</v>
      </c>
      <c r="P442" s="46" t="n">
        <v>0</v>
      </c>
      <c r="Q442" s="46" t="n">
        <v>270</v>
      </c>
      <c r="R442" s="46" t="n">
        <v>465</v>
      </c>
      <c r="S442" s="46" t="n">
        <v>114</v>
      </c>
      <c r="T442" s="46" t="n">
        <v>327</v>
      </c>
      <c r="U442" s="46" t="n">
        <v>137</v>
      </c>
      <c r="V442" s="46" t="n"/>
      <c r="W442" s="46" t="n">
        <v>511</v>
      </c>
      <c r="X442" s="46" t="n">
        <v>743</v>
      </c>
      <c r="Y442" s="46" t="n">
        <v>20</v>
      </c>
    </row>
    <row r="443">
      <c r="A443" s="78" t="n">
        <v>46216</v>
      </c>
      <c r="B443" s="45" t="inlineStr">
        <is>
          <t>N6</t>
        </is>
      </c>
      <c r="C443" s="46" t="n">
        <v>102</v>
      </c>
      <c r="D443" s="46" t="n">
        <v>151</v>
      </c>
      <c r="E443" s="46" t="n">
        <v>180</v>
      </c>
      <c r="F443" s="46" t="n">
        <v>333</v>
      </c>
      <c r="G443" s="46" t="n">
        <v>204</v>
      </c>
      <c r="H443" s="46" t="n">
        <v>182</v>
      </c>
      <c r="I443" s="46" t="n">
        <v>117</v>
      </c>
      <c r="J443" s="46" t="n">
        <v>281</v>
      </c>
      <c r="K443" s="46" t="n">
        <v>363</v>
      </c>
      <c r="L443" s="46" t="n">
        <v>228</v>
      </c>
      <c r="M443" s="46">
        <f>N443-SUM(C443:L443)</f>
        <v/>
      </c>
      <c r="N443" s="47" t="n">
        <v>2302</v>
      </c>
      <c r="O443" s="46" t="n">
        <v>50</v>
      </c>
      <c r="P443" s="46" t="n">
        <v>0</v>
      </c>
      <c r="Q443" s="46" t="n">
        <v>235</v>
      </c>
      <c r="R443" s="46" t="n">
        <v>404</v>
      </c>
      <c r="S443" s="46" t="n">
        <v>100</v>
      </c>
      <c r="T443" s="46" t="n">
        <v>285</v>
      </c>
      <c r="U443" s="46" t="n">
        <v>119</v>
      </c>
      <c r="V443" s="46" t="n"/>
      <c r="W443" s="46" t="n">
        <v>445</v>
      </c>
      <c r="X443" s="46" t="n">
        <v>647</v>
      </c>
      <c r="Y443" s="46" t="n">
        <v>17</v>
      </c>
    </row>
    <row r="444">
      <c r="A444" s="78" t="n">
        <v>46217</v>
      </c>
      <c r="B444" s="45" t="inlineStr">
        <is>
          <t>N6</t>
        </is>
      </c>
      <c r="C444" s="46" t="n">
        <v>102</v>
      </c>
      <c r="D444" s="46" t="n">
        <v>151</v>
      </c>
      <c r="E444" s="46" t="n">
        <v>180</v>
      </c>
      <c r="F444" s="46" t="n">
        <v>333</v>
      </c>
      <c r="G444" s="46" t="n">
        <v>204</v>
      </c>
      <c r="H444" s="46" t="n">
        <v>182</v>
      </c>
      <c r="I444" s="46" t="n">
        <v>117</v>
      </c>
      <c r="J444" s="46" t="n">
        <v>281</v>
      </c>
      <c r="K444" s="46" t="n">
        <v>363</v>
      </c>
      <c r="L444" s="46" t="n">
        <v>228</v>
      </c>
      <c r="M444" s="46">
        <f>N444-SUM(C444:L444)</f>
        <v/>
      </c>
      <c r="N444" s="47" t="n">
        <v>2302</v>
      </c>
      <c r="O444" s="46" t="n">
        <v>50</v>
      </c>
      <c r="P444" s="46" t="n">
        <v>0</v>
      </c>
      <c r="Q444" s="46" t="n">
        <v>235</v>
      </c>
      <c r="R444" s="46" t="n">
        <v>404</v>
      </c>
      <c r="S444" s="46" t="n">
        <v>100</v>
      </c>
      <c r="T444" s="46" t="n">
        <v>285</v>
      </c>
      <c r="U444" s="46" t="n">
        <v>119</v>
      </c>
      <c r="V444" s="46" t="n"/>
      <c r="W444" s="46" t="n">
        <v>445</v>
      </c>
      <c r="X444" s="46" t="n">
        <v>647</v>
      </c>
      <c r="Y444" s="46" t="n">
        <v>17</v>
      </c>
    </row>
    <row r="445">
      <c r="A445" s="78" t="n">
        <v>46218</v>
      </c>
      <c r="B445" s="45" t="inlineStr">
        <is>
          <t>N6</t>
        </is>
      </c>
      <c r="C445" s="46" t="n">
        <v>102</v>
      </c>
      <c r="D445" s="46" t="n">
        <v>151</v>
      </c>
      <c r="E445" s="46" t="n">
        <v>180</v>
      </c>
      <c r="F445" s="46" t="n">
        <v>333</v>
      </c>
      <c r="G445" s="46" t="n">
        <v>204</v>
      </c>
      <c r="H445" s="46" t="n">
        <v>182</v>
      </c>
      <c r="I445" s="46" t="n">
        <v>117</v>
      </c>
      <c r="J445" s="46" t="n">
        <v>281</v>
      </c>
      <c r="K445" s="46" t="n">
        <v>363</v>
      </c>
      <c r="L445" s="46" t="n">
        <v>228</v>
      </c>
      <c r="M445" s="46">
        <f>N445-SUM(C445:L445)</f>
        <v/>
      </c>
      <c r="N445" s="47" t="n">
        <v>2302</v>
      </c>
      <c r="O445" s="46" t="n">
        <v>50</v>
      </c>
      <c r="P445" s="46" t="n">
        <v>0</v>
      </c>
      <c r="Q445" s="46" t="n">
        <v>235</v>
      </c>
      <c r="R445" s="46" t="n">
        <v>404</v>
      </c>
      <c r="S445" s="46" t="n">
        <v>100</v>
      </c>
      <c r="T445" s="46" t="n">
        <v>285</v>
      </c>
      <c r="U445" s="46" t="n">
        <v>119</v>
      </c>
      <c r="V445" s="46" t="n"/>
      <c r="W445" s="46" t="n">
        <v>445</v>
      </c>
      <c r="X445" s="46" t="n">
        <v>647</v>
      </c>
      <c r="Y445" s="46" t="n">
        <v>17</v>
      </c>
    </row>
    <row r="446">
      <c r="A446" s="78" t="n">
        <v>46219</v>
      </c>
      <c r="B446" s="45" t="inlineStr">
        <is>
          <t>N6</t>
        </is>
      </c>
      <c r="C446" s="46" t="n">
        <v>102</v>
      </c>
      <c r="D446" s="46" t="n">
        <v>151</v>
      </c>
      <c r="E446" s="46" t="n">
        <v>180</v>
      </c>
      <c r="F446" s="46" t="n">
        <v>333</v>
      </c>
      <c r="G446" s="46" t="n">
        <v>204</v>
      </c>
      <c r="H446" s="46" t="n">
        <v>182</v>
      </c>
      <c r="I446" s="46" t="n">
        <v>117</v>
      </c>
      <c r="J446" s="46" t="n">
        <v>281</v>
      </c>
      <c r="K446" s="46" t="n">
        <v>363</v>
      </c>
      <c r="L446" s="46" t="n">
        <v>228</v>
      </c>
      <c r="M446" s="46">
        <f>N446-SUM(C446:L446)</f>
        <v/>
      </c>
      <c r="N446" s="47" t="n">
        <v>2302</v>
      </c>
      <c r="O446" s="46" t="n">
        <v>50</v>
      </c>
      <c r="P446" s="46" t="n">
        <v>0</v>
      </c>
      <c r="Q446" s="46" t="n">
        <v>235</v>
      </c>
      <c r="R446" s="46" t="n">
        <v>404</v>
      </c>
      <c r="S446" s="46" t="n">
        <v>100</v>
      </c>
      <c r="T446" s="46" t="n">
        <v>285</v>
      </c>
      <c r="U446" s="46" t="n">
        <v>119</v>
      </c>
      <c r="V446" s="46" t="n"/>
      <c r="W446" s="46" t="n">
        <v>445</v>
      </c>
      <c r="X446" s="46" t="n">
        <v>647</v>
      </c>
      <c r="Y446" s="46" t="n">
        <v>17</v>
      </c>
    </row>
    <row r="447">
      <c r="A447" s="78" t="n">
        <v>46220</v>
      </c>
      <c r="B447" s="45" t="inlineStr">
        <is>
          <t>N6</t>
        </is>
      </c>
      <c r="C447" s="46" t="n">
        <v>102</v>
      </c>
      <c r="D447" s="46" t="n">
        <v>151</v>
      </c>
      <c r="E447" s="46" t="n">
        <v>180</v>
      </c>
      <c r="F447" s="46" t="n">
        <v>333</v>
      </c>
      <c r="G447" s="46" t="n">
        <v>204</v>
      </c>
      <c r="H447" s="46" t="n">
        <v>182</v>
      </c>
      <c r="I447" s="46" t="n">
        <v>117</v>
      </c>
      <c r="J447" s="46" t="n">
        <v>281</v>
      </c>
      <c r="K447" s="46" t="n">
        <v>363</v>
      </c>
      <c r="L447" s="46" t="n">
        <v>228</v>
      </c>
      <c r="M447" s="46">
        <f>N447-SUM(C447:L447)</f>
        <v/>
      </c>
      <c r="N447" s="47" t="n">
        <v>2302</v>
      </c>
      <c r="O447" s="46" t="n">
        <v>50</v>
      </c>
      <c r="P447" s="46" t="n">
        <v>0</v>
      </c>
      <c r="Q447" s="46" t="n">
        <v>235</v>
      </c>
      <c r="R447" s="46" t="n">
        <v>404</v>
      </c>
      <c r="S447" s="46" t="n">
        <v>100</v>
      </c>
      <c r="T447" s="46" t="n">
        <v>285</v>
      </c>
      <c r="U447" s="46" t="n">
        <v>119</v>
      </c>
      <c r="V447" s="46" t="n"/>
      <c r="W447" s="46" t="n">
        <v>445</v>
      </c>
      <c r="X447" s="46" t="n">
        <v>647</v>
      </c>
      <c r="Y447" s="46" t="n">
        <v>17</v>
      </c>
    </row>
    <row r="448">
      <c r="A448" s="78" t="n">
        <v>46221</v>
      </c>
      <c r="B448" s="45" t="inlineStr">
        <is>
          <t>N6</t>
        </is>
      </c>
      <c r="C448" s="46" t="n">
        <v>117</v>
      </c>
      <c r="D448" s="46" t="n">
        <v>173</v>
      </c>
      <c r="E448" s="46" t="n">
        <v>207</v>
      </c>
      <c r="F448" s="46" t="n">
        <v>383</v>
      </c>
      <c r="G448" s="46" t="n">
        <v>235</v>
      </c>
      <c r="H448" s="46" t="n">
        <v>210</v>
      </c>
      <c r="I448" s="46" t="n">
        <v>134</v>
      </c>
      <c r="J448" s="46" t="n">
        <v>323</v>
      </c>
      <c r="K448" s="46" t="n">
        <v>417</v>
      </c>
      <c r="L448" s="46" t="n">
        <v>262</v>
      </c>
      <c r="M448" s="46">
        <f>N448-SUM(C448:L448)</f>
        <v/>
      </c>
      <c r="N448" s="47" t="n">
        <v>2646</v>
      </c>
      <c r="O448" s="46" t="n">
        <v>58</v>
      </c>
      <c r="P448" s="46" t="n">
        <v>0</v>
      </c>
      <c r="Q448" s="46" t="n">
        <v>270</v>
      </c>
      <c r="R448" s="46" t="n">
        <v>465</v>
      </c>
      <c r="S448" s="46" t="n">
        <v>114</v>
      </c>
      <c r="T448" s="46" t="n">
        <v>327</v>
      </c>
      <c r="U448" s="46" t="n">
        <v>137</v>
      </c>
      <c r="V448" s="46" t="n"/>
      <c r="W448" s="46" t="n">
        <v>511</v>
      </c>
      <c r="X448" s="46" t="n">
        <v>744</v>
      </c>
      <c r="Y448" s="46" t="n">
        <v>20</v>
      </c>
    </row>
    <row r="449">
      <c r="A449" s="78" t="n">
        <v>46222</v>
      </c>
      <c r="B449" s="45" t="inlineStr">
        <is>
          <t>N6</t>
        </is>
      </c>
      <c r="C449" s="46" t="n">
        <v>117</v>
      </c>
      <c r="D449" s="46" t="n">
        <v>173</v>
      </c>
      <c r="E449" s="46" t="n">
        <v>207</v>
      </c>
      <c r="F449" s="46" t="n">
        <v>383</v>
      </c>
      <c r="G449" s="46" t="n">
        <v>235</v>
      </c>
      <c r="H449" s="46" t="n">
        <v>210</v>
      </c>
      <c r="I449" s="46" t="n">
        <v>134</v>
      </c>
      <c r="J449" s="46" t="n">
        <v>323</v>
      </c>
      <c r="K449" s="46" t="n">
        <v>417</v>
      </c>
      <c r="L449" s="46" t="n">
        <v>262</v>
      </c>
      <c r="M449" s="46">
        <f>N449-SUM(C449:L449)</f>
        <v/>
      </c>
      <c r="N449" s="47" t="n">
        <v>2646</v>
      </c>
      <c r="O449" s="46" t="n">
        <v>58</v>
      </c>
      <c r="P449" s="46" t="n">
        <v>0</v>
      </c>
      <c r="Q449" s="46" t="n">
        <v>270</v>
      </c>
      <c r="R449" s="46" t="n">
        <v>465</v>
      </c>
      <c r="S449" s="46" t="n">
        <v>114</v>
      </c>
      <c r="T449" s="46" t="n">
        <v>327</v>
      </c>
      <c r="U449" s="46" t="n">
        <v>137</v>
      </c>
      <c r="V449" s="46" t="n"/>
      <c r="W449" s="46" t="n">
        <v>511</v>
      </c>
      <c r="X449" s="46" t="n">
        <v>744</v>
      </c>
      <c r="Y449" s="46" t="n">
        <v>20</v>
      </c>
    </row>
    <row r="450">
      <c r="A450" s="78" t="n">
        <v>46223</v>
      </c>
      <c r="B450" s="45" t="inlineStr">
        <is>
          <t>N6</t>
        </is>
      </c>
      <c r="C450" s="46" t="n">
        <v>102</v>
      </c>
      <c r="D450" s="46" t="n">
        <v>151</v>
      </c>
      <c r="E450" s="46" t="n">
        <v>180</v>
      </c>
      <c r="F450" s="46" t="n">
        <v>333</v>
      </c>
      <c r="G450" s="46" t="n">
        <v>204</v>
      </c>
      <c r="H450" s="46" t="n">
        <v>182</v>
      </c>
      <c r="I450" s="46" t="n">
        <v>117</v>
      </c>
      <c r="J450" s="46" t="n">
        <v>281</v>
      </c>
      <c r="K450" s="46" t="n">
        <v>363</v>
      </c>
      <c r="L450" s="46" t="n">
        <v>228</v>
      </c>
      <c r="M450" s="46">
        <f>N450-SUM(C450:L450)</f>
        <v/>
      </c>
      <c r="N450" s="47" t="n">
        <v>2302</v>
      </c>
      <c r="O450" s="46" t="n">
        <v>50</v>
      </c>
      <c r="P450" s="46" t="n">
        <v>0</v>
      </c>
      <c r="Q450" s="46" t="n">
        <v>235</v>
      </c>
      <c r="R450" s="46" t="n">
        <v>404</v>
      </c>
      <c r="S450" s="46" t="n">
        <v>100</v>
      </c>
      <c r="T450" s="46" t="n">
        <v>285</v>
      </c>
      <c r="U450" s="46" t="n">
        <v>119</v>
      </c>
      <c r="V450" s="46" t="n"/>
      <c r="W450" s="46" t="n">
        <v>445</v>
      </c>
      <c r="X450" s="46" t="n">
        <v>647</v>
      </c>
      <c r="Y450" s="46" t="n">
        <v>17</v>
      </c>
    </row>
    <row r="451">
      <c r="A451" s="78" t="n">
        <v>46224</v>
      </c>
      <c r="B451" s="45" t="inlineStr">
        <is>
          <t>N6</t>
        </is>
      </c>
      <c r="C451" s="46" t="n">
        <v>102</v>
      </c>
      <c r="D451" s="46" t="n">
        <v>151</v>
      </c>
      <c r="E451" s="46" t="n">
        <v>180</v>
      </c>
      <c r="F451" s="46" t="n">
        <v>333</v>
      </c>
      <c r="G451" s="46" t="n">
        <v>204</v>
      </c>
      <c r="H451" s="46" t="n">
        <v>182</v>
      </c>
      <c r="I451" s="46" t="n">
        <v>117</v>
      </c>
      <c r="J451" s="46" t="n">
        <v>281</v>
      </c>
      <c r="K451" s="46" t="n">
        <v>363</v>
      </c>
      <c r="L451" s="46" t="n">
        <v>228</v>
      </c>
      <c r="M451" s="46">
        <f>N451-SUM(C451:L451)</f>
        <v/>
      </c>
      <c r="N451" s="47" t="n">
        <v>2302</v>
      </c>
      <c r="O451" s="46" t="n">
        <v>50</v>
      </c>
      <c r="P451" s="46" t="n">
        <v>0</v>
      </c>
      <c r="Q451" s="46" t="n">
        <v>235</v>
      </c>
      <c r="R451" s="46" t="n">
        <v>404</v>
      </c>
      <c r="S451" s="46" t="n">
        <v>100</v>
      </c>
      <c r="T451" s="46" t="n">
        <v>285</v>
      </c>
      <c r="U451" s="46" t="n">
        <v>119</v>
      </c>
      <c r="V451" s="46" t="n"/>
      <c r="W451" s="46" t="n">
        <v>445</v>
      </c>
      <c r="X451" s="46" t="n">
        <v>647</v>
      </c>
      <c r="Y451" s="46" t="n">
        <v>17</v>
      </c>
    </row>
    <row r="452">
      <c r="A452" s="78" t="n">
        <v>46225</v>
      </c>
      <c r="B452" s="45" t="inlineStr">
        <is>
          <t>N6</t>
        </is>
      </c>
      <c r="C452" s="46" t="n">
        <v>102</v>
      </c>
      <c r="D452" s="46" t="n">
        <v>151</v>
      </c>
      <c r="E452" s="46" t="n">
        <v>180</v>
      </c>
      <c r="F452" s="46" t="n">
        <v>333</v>
      </c>
      <c r="G452" s="46" t="n">
        <v>204</v>
      </c>
      <c r="H452" s="46" t="n">
        <v>182</v>
      </c>
      <c r="I452" s="46" t="n">
        <v>117</v>
      </c>
      <c r="J452" s="46" t="n">
        <v>281</v>
      </c>
      <c r="K452" s="46" t="n">
        <v>363</v>
      </c>
      <c r="L452" s="46" t="n">
        <v>228</v>
      </c>
      <c r="M452" s="46">
        <f>N452-SUM(C452:L452)</f>
        <v/>
      </c>
      <c r="N452" s="47" t="n">
        <v>2302</v>
      </c>
      <c r="O452" s="46" t="n">
        <v>50</v>
      </c>
      <c r="P452" s="46" t="n">
        <v>0</v>
      </c>
      <c r="Q452" s="46" t="n">
        <v>235</v>
      </c>
      <c r="R452" s="46" t="n">
        <v>404</v>
      </c>
      <c r="S452" s="46" t="n">
        <v>100</v>
      </c>
      <c r="T452" s="46" t="n">
        <v>285</v>
      </c>
      <c r="U452" s="46" t="n">
        <v>119</v>
      </c>
      <c r="V452" s="46" t="n"/>
      <c r="W452" s="46" t="n">
        <v>445</v>
      </c>
      <c r="X452" s="46" t="n">
        <v>647</v>
      </c>
      <c r="Y452" s="46" t="n">
        <v>17</v>
      </c>
    </row>
    <row r="453">
      <c r="A453" s="78" t="n">
        <v>46226</v>
      </c>
      <c r="B453" s="45" t="inlineStr">
        <is>
          <t>N6</t>
        </is>
      </c>
      <c r="C453" s="46" t="n">
        <v>102</v>
      </c>
      <c r="D453" s="46" t="n">
        <v>151</v>
      </c>
      <c r="E453" s="46" t="n">
        <v>180</v>
      </c>
      <c r="F453" s="46" t="n">
        <v>333</v>
      </c>
      <c r="G453" s="46" t="n">
        <v>204</v>
      </c>
      <c r="H453" s="46" t="n">
        <v>182</v>
      </c>
      <c r="I453" s="46" t="n">
        <v>117</v>
      </c>
      <c r="J453" s="46" t="n">
        <v>281</v>
      </c>
      <c r="K453" s="46" t="n">
        <v>363</v>
      </c>
      <c r="L453" s="46" t="n">
        <v>228</v>
      </c>
      <c r="M453" s="46">
        <f>N453-SUM(C453:L453)</f>
        <v/>
      </c>
      <c r="N453" s="47" t="n">
        <v>2302</v>
      </c>
      <c r="O453" s="46" t="n">
        <v>50</v>
      </c>
      <c r="P453" s="46" t="n">
        <v>0</v>
      </c>
      <c r="Q453" s="46" t="n">
        <v>235</v>
      </c>
      <c r="R453" s="46" t="n">
        <v>404</v>
      </c>
      <c r="S453" s="46" t="n">
        <v>100</v>
      </c>
      <c r="T453" s="46" t="n">
        <v>285</v>
      </c>
      <c r="U453" s="46" t="n">
        <v>119</v>
      </c>
      <c r="V453" s="46" t="n"/>
      <c r="W453" s="46" t="n">
        <v>445</v>
      </c>
      <c r="X453" s="46" t="n">
        <v>647</v>
      </c>
      <c r="Y453" s="46" t="n">
        <v>17</v>
      </c>
    </row>
    <row r="454">
      <c r="A454" s="78" t="n">
        <v>46227</v>
      </c>
      <c r="B454" s="45" t="inlineStr">
        <is>
          <t>N6</t>
        </is>
      </c>
      <c r="C454" s="46" t="n">
        <v>102</v>
      </c>
      <c r="D454" s="46" t="n">
        <v>151</v>
      </c>
      <c r="E454" s="46" t="n">
        <v>180</v>
      </c>
      <c r="F454" s="46" t="n">
        <v>333</v>
      </c>
      <c r="G454" s="46" t="n">
        <v>204</v>
      </c>
      <c r="H454" s="46" t="n">
        <v>182</v>
      </c>
      <c r="I454" s="46" t="n">
        <v>117</v>
      </c>
      <c r="J454" s="46" t="n">
        <v>281</v>
      </c>
      <c r="K454" s="46" t="n">
        <v>363</v>
      </c>
      <c r="L454" s="46" t="n">
        <v>228</v>
      </c>
      <c r="M454" s="46">
        <f>N454-SUM(C454:L454)</f>
        <v/>
      </c>
      <c r="N454" s="47" t="n">
        <v>2303</v>
      </c>
      <c r="O454" s="46" t="n">
        <v>50</v>
      </c>
      <c r="P454" s="46" t="n">
        <v>1</v>
      </c>
      <c r="Q454" s="46" t="n">
        <v>235</v>
      </c>
      <c r="R454" s="46" t="n">
        <v>404</v>
      </c>
      <c r="S454" s="46" t="n">
        <v>100</v>
      </c>
      <c r="T454" s="46" t="n">
        <v>285</v>
      </c>
      <c r="U454" s="46" t="n">
        <v>119</v>
      </c>
      <c r="V454" s="46" t="n"/>
      <c r="W454" s="46" t="n">
        <v>445</v>
      </c>
      <c r="X454" s="46" t="n">
        <v>647</v>
      </c>
      <c r="Y454" s="46" t="n">
        <v>17</v>
      </c>
    </row>
    <row r="455">
      <c r="A455" s="78" t="n">
        <v>46228</v>
      </c>
      <c r="B455" s="45" t="inlineStr">
        <is>
          <t>N6</t>
        </is>
      </c>
      <c r="C455" s="46" t="n">
        <v>117</v>
      </c>
      <c r="D455" s="46" t="n">
        <v>173</v>
      </c>
      <c r="E455" s="46" t="n">
        <v>207</v>
      </c>
      <c r="F455" s="46" t="n">
        <v>383</v>
      </c>
      <c r="G455" s="46" t="n">
        <v>235</v>
      </c>
      <c r="H455" s="46" t="n">
        <v>210</v>
      </c>
      <c r="I455" s="46" t="n">
        <v>134</v>
      </c>
      <c r="J455" s="46" t="n">
        <v>323</v>
      </c>
      <c r="K455" s="46" t="n">
        <v>417</v>
      </c>
      <c r="L455" s="46" t="n">
        <v>262</v>
      </c>
      <c r="M455" s="46">
        <f>N455-SUM(C455:L455)</f>
        <v/>
      </c>
      <c r="N455" s="47" t="n">
        <v>2647</v>
      </c>
      <c r="O455" s="46" t="n">
        <v>58</v>
      </c>
      <c r="P455" s="46" t="n">
        <v>1</v>
      </c>
      <c r="Q455" s="46" t="n">
        <v>270</v>
      </c>
      <c r="R455" s="46" t="n">
        <v>465</v>
      </c>
      <c r="S455" s="46" t="n">
        <v>114</v>
      </c>
      <c r="T455" s="46" t="n">
        <v>327</v>
      </c>
      <c r="U455" s="46" t="n">
        <v>137</v>
      </c>
      <c r="V455" s="46" t="n"/>
      <c r="W455" s="46" t="n">
        <v>511</v>
      </c>
      <c r="X455" s="46" t="n">
        <v>744</v>
      </c>
      <c r="Y455" s="46" t="n">
        <v>20</v>
      </c>
    </row>
    <row r="456">
      <c r="A456" s="78" t="n">
        <v>46229</v>
      </c>
      <c r="B456" s="45" t="inlineStr">
        <is>
          <t>N6</t>
        </is>
      </c>
      <c r="C456" s="46" t="n">
        <v>117</v>
      </c>
      <c r="D456" s="46" t="n">
        <v>173</v>
      </c>
      <c r="E456" s="46" t="n">
        <v>207</v>
      </c>
      <c r="F456" s="46" t="n">
        <v>383</v>
      </c>
      <c r="G456" s="46" t="n">
        <v>235</v>
      </c>
      <c r="H456" s="46" t="n">
        <v>210</v>
      </c>
      <c r="I456" s="46" t="n">
        <v>134</v>
      </c>
      <c r="J456" s="46" t="n">
        <v>323</v>
      </c>
      <c r="K456" s="46" t="n">
        <v>417</v>
      </c>
      <c r="L456" s="46" t="n">
        <v>262</v>
      </c>
      <c r="M456" s="46">
        <f>N456-SUM(C456:L456)</f>
        <v/>
      </c>
      <c r="N456" s="47" t="n">
        <v>2647</v>
      </c>
      <c r="O456" s="46" t="n">
        <v>58</v>
      </c>
      <c r="P456" s="46" t="n">
        <v>1</v>
      </c>
      <c r="Q456" s="46" t="n">
        <v>270</v>
      </c>
      <c r="R456" s="46" t="n">
        <v>465</v>
      </c>
      <c r="S456" s="46" t="n">
        <v>114</v>
      </c>
      <c r="T456" s="46" t="n">
        <v>327</v>
      </c>
      <c r="U456" s="46" t="n">
        <v>137</v>
      </c>
      <c r="V456" s="46" t="n"/>
      <c r="W456" s="46" t="n">
        <v>511</v>
      </c>
      <c r="X456" s="46" t="n">
        <v>744</v>
      </c>
      <c r="Y456" s="46" t="n">
        <v>20</v>
      </c>
    </row>
    <row r="457">
      <c r="A457" s="78" t="n">
        <v>46230</v>
      </c>
      <c r="B457" s="45" t="inlineStr">
        <is>
          <t>N6</t>
        </is>
      </c>
      <c r="C457" s="46" t="n">
        <v>102</v>
      </c>
      <c r="D457" s="46" t="n">
        <v>151</v>
      </c>
      <c r="E457" s="46" t="n">
        <v>180</v>
      </c>
      <c r="F457" s="46" t="n">
        <v>333</v>
      </c>
      <c r="G457" s="46" t="n">
        <v>204</v>
      </c>
      <c r="H457" s="46" t="n">
        <v>182</v>
      </c>
      <c r="I457" s="46" t="n">
        <v>117</v>
      </c>
      <c r="J457" s="46" t="n">
        <v>281</v>
      </c>
      <c r="K457" s="46" t="n">
        <v>363</v>
      </c>
      <c r="L457" s="46" t="n">
        <v>228</v>
      </c>
      <c r="M457" s="46">
        <f>N457-SUM(C457:L457)</f>
        <v/>
      </c>
      <c r="N457" s="47" t="n">
        <v>2303</v>
      </c>
      <c r="O457" s="46" t="n">
        <v>50</v>
      </c>
      <c r="P457" s="46" t="n">
        <v>1</v>
      </c>
      <c r="Q457" s="46" t="n">
        <v>235</v>
      </c>
      <c r="R457" s="46" t="n">
        <v>404</v>
      </c>
      <c r="S457" s="46" t="n">
        <v>100</v>
      </c>
      <c r="T457" s="46" t="n">
        <v>285</v>
      </c>
      <c r="U457" s="46" t="n">
        <v>119</v>
      </c>
      <c r="V457" s="46" t="n"/>
      <c r="W457" s="46" t="n">
        <v>445</v>
      </c>
      <c r="X457" s="46" t="n">
        <v>647</v>
      </c>
      <c r="Y457" s="46" t="n">
        <v>17</v>
      </c>
    </row>
    <row r="458">
      <c r="A458" s="78" t="n">
        <v>46231</v>
      </c>
      <c r="B458" s="45" t="inlineStr">
        <is>
          <t>N6</t>
        </is>
      </c>
      <c r="C458" s="46" t="n">
        <v>102</v>
      </c>
      <c r="D458" s="46" t="n">
        <v>151</v>
      </c>
      <c r="E458" s="46" t="n">
        <v>180</v>
      </c>
      <c r="F458" s="46" t="n">
        <v>333</v>
      </c>
      <c r="G458" s="46" t="n">
        <v>204</v>
      </c>
      <c r="H458" s="46" t="n">
        <v>183</v>
      </c>
      <c r="I458" s="46" t="n">
        <v>117</v>
      </c>
      <c r="J458" s="46" t="n">
        <v>281</v>
      </c>
      <c r="K458" s="46" t="n">
        <v>363</v>
      </c>
      <c r="L458" s="46" t="n">
        <v>229</v>
      </c>
      <c r="M458" s="46">
        <f>N458-SUM(C458:L458)</f>
        <v/>
      </c>
      <c r="N458" s="47" t="n">
        <v>2304</v>
      </c>
      <c r="O458" s="46" t="n">
        <v>50</v>
      </c>
      <c r="P458" s="46" t="n">
        <v>1</v>
      </c>
      <c r="Q458" s="46" t="n">
        <v>235</v>
      </c>
      <c r="R458" s="46" t="n">
        <v>404</v>
      </c>
      <c r="S458" s="46" t="n">
        <v>100</v>
      </c>
      <c r="T458" s="46" t="n">
        <v>285</v>
      </c>
      <c r="U458" s="46" t="n">
        <v>119</v>
      </c>
      <c r="V458" s="46" t="n"/>
      <c r="W458" s="46" t="n">
        <v>445</v>
      </c>
      <c r="X458" s="46" t="n">
        <v>647</v>
      </c>
      <c r="Y458" s="46" t="n">
        <v>18</v>
      </c>
    </row>
    <row r="459">
      <c r="A459" s="78" t="n">
        <v>46232</v>
      </c>
      <c r="B459" s="45" t="inlineStr">
        <is>
          <t>N6</t>
        </is>
      </c>
      <c r="C459" s="46" t="n">
        <v>102</v>
      </c>
      <c r="D459" s="46" t="n">
        <v>151</v>
      </c>
      <c r="E459" s="46" t="n">
        <v>180</v>
      </c>
      <c r="F459" s="46" t="n">
        <v>333</v>
      </c>
      <c r="G459" s="46" t="n">
        <v>204</v>
      </c>
      <c r="H459" s="46" t="n">
        <v>183</v>
      </c>
      <c r="I459" s="46" t="n">
        <v>117</v>
      </c>
      <c r="J459" s="46" t="n">
        <v>281</v>
      </c>
      <c r="K459" s="46" t="n">
        <v>363</v>
      </c>
      <c r="L459" s="46" t="n">
        <v>229</v>
      </c>
      <c r="M459" s="46">
        <f>N459-SUM(C459:L459)</f>
        <v/>
      </c>
      <c r="N459" s="47" t="n">
        <v>2304</v>
      </c>
      <c r="O459" s="46" t="n">
        <v>50</v>
      </c>
      <c r="P459" s="46" t="n">
        <v>1</v>
      </c>
      <c r="Q459" s="46" t="n">
        <v>235</v>
      </c>
      <c r="R459" s="46" t="n">
        <v>404</v>
      </c>
      <c r="S459" s="46" t="n">
        <v>100</v>
      </c>
      <c r="T459" s="46" t="n">
        <v>285</v>
      </c>
      <c r="U459" s="46" t="n">
        <v>119</v>
      </c>
      <c r="V459" s="46" t="n"/>
      <c r="W459" s="46" t="n">
        <v>445</v>
      </c>
      <c r="X459" s="46" t="n">
        <v>647</v>
      </c>
      <c r="Y459" s="46" t="n">
        <v>18</v>
      </c>
    </row>
    <row r="460">
      <c r="A460" s="78" t="n">
        <v>46233</v>
      </c>
      <c r="B460" s="45" t="inlineStr">
        <is>
          <t>N6</t>
        </is>
      </c>
      <c r="C460" s="46" t="n">
        <v>102</v>
      </c>
      <c r="D460" s="46" t="n">
        <v>151</v>
      </c>
      <c r="E460" s="46" t="n">
        <v>180</v>
      </c>
      <c r="F460" s="46" t="n">
        <v>333</v>
      </c>
      <c r="G460" s="46" t="n">
        <v>204</v>
      </c>
      <c r="H460" s="46" t="n">
        <v>183</v>
      </c>
      <c r="I460" s="46" t="n">
        <v>117</v>
      </c>
      <c r="J460" s="46" t="n">
        <v>281</v>
      </c>
      <c r="K460" s="46" t="n">
        <v>363</v>
      </c>
      <c r="L460" s="46" t="n">
        <v>229</v>
      </c>
      <c r="M460" s="46">
        <f>N460-SUM(C460:L460)</f>
        <v/>
      </c>
      <c r="N460" s="47" t="n">
        <v>2304</v>
      </c>
      <c r="O460" s="46" t="n">
        <v>50</v>
      </c>
      <c r="P460" s="46" t="n">
        <v>1</v>
      </c>
      <c r="Q460" s="46" t="n">
        <v>235</v>
      </c>
      <c r="R460" s="46" t="n">
        <v>404</v>
      </c>
      <c r="S460" s="46" t="n">
        <v>100</v>
      </c>
      <c r="T460" s="46" t="n">
        <v>285</v>
      </c>
      <c r="U460" s="46" t="n">
        <v>119</v>
      </c>
      <c r="V460" s="46" t="n"/>
      <c r="W460" s="46" t="n">
        <v>445</v>
      </c>
      <c r="X460" s="46" t="n">
        <v>647</v>
      </c>
      <c r="Y460" s="46" t="n">
        <v>18</v>
      </c>
    </row>
    <row r="461">
      <c r="A461" s="78" t="n">
        <v>46234</v>
      </c>
      <c r="B461" s="45" t="inlineStr">
        <is>
          <t>N6</t>
        </is>
      </c>
      <c r="C461" s="46" t="n">
        <v>102</v>
      </c>
      <c r="D461" s="46" t="n">
        <v>151</v>
      </c>
      <c r="E461" s="46" t="n">
        <v>180</v>
      </c>
      <c r="F461" s="46" t="n">
        <v>333</v>
      </c>
      <c r="G461" s="46" t="n">
        <v>204</v>
      </c>
      <c r="H461" s="46" t="n">
        <v>183</v>
      </c>
      <c r="I461" s="46" t="n">
        <v>117</v>
      </c>
      <c r="J461" s="46" t="n">
        <v>281</v>
      </c>
      <c r="K461" s="46" t="n">
        <v>363</v>
      </c>
      <c r="L461" s="46" t="n">
        <v>229</v>
      </c>
      <c r="M461" s="46">
        <f>N461-SUM(C461:L461)</f>
        <v/>
      </c>
      <c r="N461" s="47" t="n">
        <v>2304</v>
      </c>
      <c r="O461" s="46" t="n">
        <v>50</v>
      </c>
      <c r="P461" s="46" t="n">
        <v>1</v>
      </c>
      <c r="Q461" s="46" t="n">
        <v>235</v>
      </c>
      <c r="R461" s="46" t="n">
        <v>404</v>
      </c>
      <c r="S461" s="46" t="n">
        <v>100</v>
      </c>
      <c r="T461" s="46" t="n">
        <v>285</v>
      </c>
      <c r="U461" s="46" t="n">
        <v>119</v>
      </c>
      <c r="V461" s="46" t="n"/>
      <c r="W461" s="46" t="n">
        <v>445</v>
      </c>
      <c r="X461" s="46" t="n">
        <v>647</v>
      </c>
      <c r="Y461" s="46" t="n">
        <v>18</v>
      </c>
    </row>
    <row r="462">
      <c r="A462" s="78" t="n">
        <v>46235</v>
      </c>
      <c r="B462" s="45" t="inlineStr">
        <is>
          <t>N6</t>
        </is>
      </c>
      <c r="C462" s="46" t="n">
        <v>89</v>
      </c>
      <c r="D462" s="46" t="n">
        <v>137</v>
      </c>
      <c r="E462" s="46" t="n">
        <v>180</v>
      </c>
      <c r="F462" s="46" t="n">
        <v>298</v>
      </c>
      <c r="G462" s="46" t="n">
        <v>200</v>
      </c>
      <c r="H462" s="46" t="n">
        <v>195</v>
      </c>
      <c r="I462" s="46" t="n">
        <v>102</v>
      </c>
      <c r="J462" s="46" t="n">
        <v>365</v>
      </c>
      <c r="K462" s="46" t="n">
        <v>351</v>
      </c>
      <c r="L462" s="46" t="n">
        <v>240</v>
      </c>
      <c r="M462" s="46">
        <f>N462-SUM(C462:L462)</f>
        <v/>
      </c>
      <c r="N462" s="47" t="n">
        <v>2397</v>
      </c>
      <c r="O462" s="46" t="n">
        <v>55</v>
      </c>
      <c r="P462" s="46" t="n">
        <v>0</v>
      </c>
      <c r="Q462" s="46" t="n">
        <v>260</v>
      </c>
      <c r="R462" s="46" t="n">
        <v>477</v>
      </c>
      <c r="S462" s="46" t="n">
        <v>108</v>
      </c>
      <c r="T462" s="46" t="n">
        <v>437</v>
      </c>
      <c r="U462" s="46" t="n">
        <v>84</v>
      </c>
      <c r="V462" s="46" t="n"/>
      <c r="W462" s="46" t="n">
        <v>519</v>
      </c>
      <c r="X462" s="46" t="n">
        <v>457</v>
      </c>
      <c r="Y462" s="46" t="n">
        <v>0</v>
      </c>
    </row>
    <row r="463">
      <c r="A463" s="78" t="n">
        <v>46236</v>
      </c>
      <c r="B463" s="45" t="inlineStr">
        <is>
          <t>N6</t>
        </is>
      </c>
      <c r="C463" s="46" t="n">
        <v>89</v>
      </c>
      <c r="D463" s="46" t="n">
        <v>137</v>
      </c>
      <c r="E463" s="46" t="n">
        <v>181</v>
      </c>
      <c r="F463" s="46" t="n">
        <v>299</v>
      </c>
      <c r="G463" s="46" t="n">
        <v>200</v>
      </c>
      <c r="H463" s="46" t="n">
        <v>195</v>
      </c>
      <c r="I463" s="46" t="n">
        <v>102</v>
      </c>
      <c r="J463" s="46" t="n">
        <v>365</v>
      </c>
      <c r="K463" s="46" t="n">
        <v>352</v>
      </c>
      <c r="L463" s="46" t="n">
        <v>241</v>
      </c>
      <c r="M463" s="46">
        <f>N463-SUM(C463:L463)</f>
        <v/>
      </c>
      <c r="N463" s="47" t="n">
        <v>2402</v>
      </c>
      <c r="O463" s="46" t="n">
        <v>55</v>
      </c>
      <c r="P463" s="46" t="n">
        <v>0</v>
      </c>
      <c r="Q463" s="46" t="n">
        <v>260</v>
      </c>
      <c r="R463" s="46" t="n">
        <v>477</v>
      </c>
      <c r="S463" s="46" t="n">
        <v>108</v>
      </c>
      <c r="T463" s="46" t="n">
        <v>437</v>
      </c>
      <c r="U463" s="46" t="n">
        <v>84</v>
      </c>
      <c r="V463" s="46" t="n"/>
      <c r="W463" s="46" t="n">
        <v>519</v>
      </c>
      <c r="X463" s="46" t="n">
        <v>462</v>
      </c>
      <c r="Y463" s="46" t="n">
        <v>0</v>
      </c>
    </row>
    <row r="464">
      <c r="A464" s="78" t="n">
        <v>46237</v>
      </c>
      <c r="B464" s="45" t="inlineStr">
        <is>
          <t>N6</t>
        </is>
      </c>
      <c r="C464" s="46" t="n">
        <v>79</v>
      </c>
      <c r="D464" s="46" t="n">
        <v>122</v>
      </c>
      <c r="E464" s="46" t="n">
        <v>160</v>
      </c>
      <c r="F464" s="46" t="n">
        <v>265</v>
      </c>
      <c r="G464" s="46" t="n">
        <v>178</v>
      </c>
      <c r="H464" s="46" t="n">
        <v>173</v>
      </c>
      <c r="I464" s="46" t="n">
        <v>91</v>
      </c>
      <c r="J464" s="46" t="n">
        <v>324</v>
      </c>
      <c r="K464" s="46" t="n">
        <v>313</v>
      </c>
      <c r="L464" s="46" t="n">
        <v>214</v>
      </c>
      <c r="M464" s="46">
        <f>N464-SUM(C464:L464)</f>
        <v/>
      </c>
      <c r="N464" s="47" t="n">
        <v>2132</v>
      </c>
      <c r="O464" s="46" t="n">
        <v>48</v>
      </c>
      <c r="P464" s="46" t="n">
        <v>0</v>
      </c>
      <c r="Q464" s="46" t="n">
        <v>226</v>
      </c>
      <c r="R464" s="46" t="n">
        <v>415</v>
      </c>
      <c r="S464" s="46" t="n">
        <v>94</v>
      </c>
      <c r="T464" s="46" t="n">
        <v>380</v>
      </c>
      <c r="U464" s="46" t="n">
        <v>73</v>
      </c>
      <c r="V464" s="46" t="n"/>
      <c r="W464" s="46" t="n">
        <v>451</v>
      </c>
      <c r="X464" s="46" t="n">
        <v>445</v>
      </c>
      <c r="Y464" s="46" t="n">
        <v>0</v>
      </c>
    </row>
    <row r="465">
      <c r="A465" s="78" t="n">
        <v>46238</v>
      </c>
      <c r="B465" s="45" t="inlineStr">
        <is>
          <t>N6</t>
        </is>
      </c>
      <c r="C465" s="46" t="n">
        <v>79</v>
      </c>
      <c r="D465" s="46" t="n">
        <v>123</v>
      </c>
      <c r="E465" s="46" t="n">
        <v>161</v>
      </c>
      <c r="F465" s="46" t="n">
        <v>266</v>
      </c>
      <c r="G465" s="46" t="n">
        <v>179</v>
      </c>
      <c r="H465" s="46" t="n">
        <v>174</v>
      </c>
      <c r="I465" s="46" t="n">
        <v>91</v>
      </c>
      <c r="J465" s="46" t="n">
        <v>326</v>
      </c>
      <c r="K465" s="46" t="n">
        <v>314</v>
      </c>
      <c r="L465" s="46" t="n">
        <v>215</v>
      </c>
      <c r="M465" s="46">
        <f>N465-SUM(C465:L465)</f>
        <v/>
      </c>
      <c r="N465" s="47" t="n">
        <v>2144</v>
      </c>
      <c r="O465" s="46" t="n">
        <v>48</v>
      </c>
      <c r="P465" s="46" t="n">
        <v>0</v>
      </c>
      <c r="Q465" s="46" t="n">
        <v>226</v>
      </c>
      <c r="R465" s="46" t="n">
        <v>415</v>
      </c>
      <c r="S465" s="46" t="n">
        <v>94</v>
      </c>
      <c r="T465" s="46" t="n">
        <v>380</v>
      </c>
      <c r="U465" s="46" t="n">
        <v>74</v>
      </c>
      <c r="V465" s="46" t="n"/>
      <c r="W465" s="46" t="n">
        <v>451</v>
      </c>
      <c r="X465" s="46" t="n">
        <v>456</v>
      </c>
      <c r="Y465" s="46" t="n">
        <v>0</v>
      </c>
    </row>
    <row r="466">
      <c r="A466" s="78" t="n">
        <v>46239</v>
      </c>
      <c r="B466" s="45" t="inlineStr">
        <is>
          <t>N6</t>
        </is>
      </c>
      <c r="C466" s="46" t="n">
        <v>80</v>
      </c>
      <c r="D466" s="46" t="n">
        <v>123</v>
      </c>
      <c r="E466" s="46" t="n">
        <v>162</v>
      </c>
      <c r="F466" s="46" t="n">
        <v>267</v>
      </c>
      <c r="G466" s="46" t="n">
        <v>179</v>
      </c>
      <c r="H466" s="46" t="n">
        <v>175</v>
      </c>
      <c r="I466" s="46" t="n">
        <v>91</v>
      </c>
      <c r="J466" s="46" t="n">
        <v>327</v>
      </c>
      <c r="K466" s="46" t="n">
        <v>315</v>
      </c>
      <c r="L466" s="46" t="n">
        <v>216</v>
      </c>
      <c r="M466" s="46">
        <f>N466-SUM(C466:L466)</f>
        <v/>
      </c>
      <c r="N466" s="47" t="n">
        <v>2151</v>
      </c>
      <c r="O466" s="46" t="n">
        <v>48</v>
      </c>
      <c r="P466" s="46" t="n">
        <v>0</v>
      </c>
      <c r="Q466" s="46" t="n">
        <v>226</v>
      </c>
      <c r="R466" s="46" t="n">
        <v>415</v>
      </c>
      <c r="S466" s="46" t="n">
        <v>94</v>
      </c>
      <c r="T466" s="46" t="n">
        <v>380</v>
      </c>
      <c r="U466" s="46" t="n">
        <v>74</v>
      </c>
      <c r="V466" s="46" t="n"/>
      <c r="W466" s="46" t="n">
        <v>451</v>
      </c>
      <c r="X466" s="46" t="n">
        <v>463</v>
      </c>
      <c r="Y466" s="46" t="n">
        <v>0</v>
      </c>
    </row>
    <row r="467">
      <c r="A467" s="78" t="n">
        <v>46240</v>
      </c>
      <c r="B467" s="45" t="inlineStr">
        <is>
          <t>N6</t>
        </is>
      </c>
      <c r="C467" s="46" t="n">
        <v>79</v>
      </c>
      <c r="D467" s="46" t="n">
        <v>123</v>
      </c>
      <c r="E467" s="46" t="n">
        <v>161</v>
      </c>
      <c r="F467" s="46" t="n">
        <v>266</v>
      </c>
      <c r="G467" s="46" t="n">
        <v>179</v>
      </c>
      <c r="H467" s="46" t="n">
        <v>174</v>
      </c>
      <c r="I467" s="46" t="n">
        <v>91</v>
      </c>
      <c r="J467" s="46" t="n">
        <v>326</v>
      </c>
      <c r="K467" s="46" t="n">
        <v>314</v>
      </c>
      <c r="L467" s="46" t="n">
        <v>215</v>
      </c>
      <c r="M467" s="46">
        <f>N467-SUM(C467:L467)</f>
        <v/>
      </c>
      <c r="N467" s="47" t="n">
        <v>2144</v>
      </c>
      <c r="O467" s="46" t="n">
        <v>48</v>
      </c>
      <c r="P467" s="46" t="n">
        <v>0</v>
      </c>
      <c r="Q467" s="46" t="n">
        <v>226</v>
      </c>
      <c r="R467" s="46" t="n">
        <v>415</v>
      </c>
      <c r="S467" s="46" t="n">
        <v>94</v>
      </c>
      <c r="T467" s="46" t="n">
        <v>381</v>
      </c>
      <c r="U467" s="46" t="n">
        <v>74</v>
      </c>
      <c r="V467" s="46" t="n"/>
      <c r="W467" s="46" t="n">
        <v>451</v>
      </c>
      <c r="X467" s="46" t="n">
        <v>455</v>
      </c>
      <c r="Y467" s="46" t="n">
        <v>0</v>
      </c>
    </row>
    <row r="468">
      <c r="A468" s="78" t="n">
        <v>46241</v>
      </c>
      <c r="B468" s="45" t="inlineStr">
        <is>
          <t>N6</t>
        </is>
      </c>
      <c r="C468" s="46" t="n">
        <v>80</v>
      </c>
      <c r="D468" s="46" t="n">
        <v>123</v>
      </c>
      <c r="E468" s="46" t="n">
        <v>162</v>
      </c>
      <c r="F468" s="46" t="n">
        <v>268</v>
      </c>
      <c r="G468" s="46" t="n">
        <v>180</v>
      </c>
      <c r="H468" s="46" t="n">
        <v>175</v>
      </c>
      <c r="I468" s="46" t="n">
        <v>92</v>
      </c>
      <c r="J468" s="46" t="n">
        <v>328</v>
      </c>
      <c r="K468" s="46" t="n">
        <v>316</v>
      </c>
      <c r="L468" s="46" t="n">
        <v>216</v>
      </c>
      <c r="M468" s="46">
        <f>N468-SUM(C468:L468)</f>
        <v/>
      </c>
      <c r="N468" s="47" t="n">
        <v>2157</v>
      </c>
      <c r="O468" s="46" t="n">
        <v>48</v>
      </c>
      <c r="P468" s="46" t="n">
        <v>0</v>
      </c>
      <c r="Q468" s="46" t="n">
        <v>226</v>
      </c>
      <c r="R468" s="46" t="n">
        <v>415</v>
      </c>
      <c r="S468" s="46" t="n">
        <v>94</v>
      </c>
      <c r="T468" s="46" t="n">
        <v>381</v>
      </c>
      <c r="U468" s="46" t="n">
        <v>74</v>
      </c>
      <c r="V468" s="46" t="n"/>
      <c r="W468" s="46" t="n">
        <v>451</v>
      </c>
      <c r="X468" s="46" t="n">
        <v>468</v>
      </c>
      <c r="Y468" s="46" t="n">
        <v>0</v>
      </c>
    </row>
    <row r="469">
      <c r="A469" s="78" t="n">
        <v>46242</v>
      </c>
      <c r="B469" s="45" t="inlineStr">
        <is>
          <t>N6</t>
        </is>
      </c>
      <c r="C469" s="46" t="n">
        <v>91</v>
      </c>
      <c r="D469" s="46" t="n">
        <v>141</v>
      </c>
      <c r="E469" s="46" t="n">
        <v>185</v>
      </c>
      <c r="F469" s="46" t="n">
        <v>306</v>
      </c>
      <c r="G469" s="46" t="n">
        <v>206</v>
      </c>
      <c r="H469" s="46" t="n">
        <v>200</v>
      </c>
      <c r="I469" s="46" t="n">
        <v>105</v>
      </c>
      <c r="J469" s="46" t="n">
        <v>375</v>
      </c>
      <c r="K469" s="46" t="n">
        <v>361</v>
      </c>
      <c r="L469" s="46" t="n">
        <v>247</v>
      </c>
      <c r="M469" s="46">
        <f>N469-SUM(C469:L469)</f>
        <v/>
      </c>
      <c r="N469" s="47" t="n">
        <v>2464</v>
      </c>
      <c r="O469" s="46" t="n">
        <v>55</v>
      </c>
      <c r="P469" s="46" t="n">
        <v>0</v>
      </c>
      <c r="Q469" s="46" t="n">
        <v>260</v>
      </c>
      <c r="R469" s="46" t="n">
        <v>477</v>
      </c>
      <c r="S469" s="46" t="n">
        <v>108</v>
      </c>
      <c r="T469" s="46" t="n">
        <v>438</v>
      </c>
      <c r="U469" s="46" t="n">
        <v>86</v>
      </c>
      <c r="V469" s="46" t="n"/>
      <c r="W469" s="46" t="n">
        <v>519</v>
      </c>
      <c r="X469" s="46" t="n">
        <v>521</v>
      </c>
      <c r="Y469" s="46" t="n">
        <v>0</v>
      </c>
    </row>
    <row r="470">
      <c r="A470" s="78" t="n">
        <v>46243</v>
      </c>
      <c r="B470" s="45" t="inlineStr">
        <is>
          <t>N6</t>
        </is>
      </c>
      <c r="C470" s="46" t="n">
        <v>91</v>
      </c>
      <c r="D470" s="46" t="n">
        <v>141</v>
      </c>
      <c r="E470" s="46" t="n">
        <v>185</v>
      </c>
      <c r="F470" s="46" t="n">
        <v>306</v>
      </c>
      <c r="G470" s="46" t="n">
        <v>205</v>
      </c>
      <c r="H470" s="46" t="n">
        <v>200</v>
      </c>
      <c r="I470" s="46" t="n">
        <v>105</v>
      </c>
      <c r="J470" s="46" t="n">
        <v>375</v>
      </c>
      <c r="K470" s="46" t="n">
        <v>361</v>
      </c>
      <c r="L470" s="46" t="n">
        <v>247</v>
      </c>
      <c r="M470" s="46">
        <f>N470-SUM(C470:L470)</f>
        <v/>
      </c>
      <c r="N470" s="47" t="n">
        <v>2463</v>
      </c>
      <c r="O470" s="46" t="n">
        <v>55</v>
      </c>
      <c r="P470" s="46" t="n">
        <v>0</v>
      </c>
      <c r="Q470" s="46" t="n">
        <v>260</v>
      </c>
      <c r="R470" s="46" t="n">
        <v>477</v>
      </c>
      <c r="S470" s="46" t="n">
        <v>108</v>
      </c>
      <c r="T470" s="46" t="n">
        <v>438</v>
      </c>
      <c r="U470" s="46" t="n">
        <v>86</v>
      </c>
      <c r="V470" s="46" t="n"/>
      <c r="W470" s="46" t="n">
        <v>519</v>
      </c>
      <c r="X470" s="46" t="n">
        <v>520</v>
      </c>
      <c r="Y470" s="46" t="n">
        <v>0</v>
      </c>
    </row>
    <row r="471">
      <c r="A471" s="78" t="n">
        <v>46244</v>
      </c>
      <c r="B471" s="45" t="inlineStr">
        <is>
          <t>N6</t>
        </is>
      </c>
      <c r="C471" s="46" t="n">
        <v>82</v>
      </c>
      <c r="D471" s="46" t="n">
        <v>127</v>
      </c>
      <c r="E471" s="46" t="n">
        <v>166</v>
      </c>
      <c r="F471" s="46" t="n">
        <v>275</v>
      </c>
      <c r="G471" s="46" t="n">
        <v>184</v>
      </c>
      <c r="H471" s="46" t="n">
        <v>180</v>
      </c>
      <c r="I471" s="46" t="n">
        <v>94</v>
      </c>
      <c r="J471" s="46" t="n">
        <v>336</v>
      </c>
      <c r="K471" s="46" t="n">
        <v>324</v>
      </c>
      <c r="L471" s="46" t="n">
        <v>222</v>
      </c>
      <c r="M471" s="46">
        <f>N471-SUM(C471:L471)</f>
        <v/>
      </c>
      <c r="N471" s="47" t="n">
        <v>2212</v>
      </c>
      <c r="O471" s="46" t="n">
        <v>48</v>
      </c>
      <c r="P471" s="46" t="n">
        <v>0</v>
      </c>
      <c r="Q471" s="46" t="n">
        <v>226</v>
      </c>
      <c r="R471" s="46" t="n">
        <v>415</v>
      </c>
      <c r="S471" s="46" t="n">
        <v>95</v>
      </c>
      <c r="T471" s="46" t="n">
        <v>381</v>
      </c>
      <c r="U471" s="46" t="n">
        <v>74</v>
      </c>
      <c r="V471" s="46" t="n"/>
      <c r="W471" s="46" t="n">
        <v>451</v>
      </c>
      <c r="X471" s="46" t="n">
        <v>488</v>
      </c>
      <c r="Y471" s="46" t="n">
        <v>34</v>
      </c>
    </row>
    <row r="472">
      <c r="A472" s="78" t="n">
        <v>46245</v>
      </c>
      <c r="B472" s="45" t="inlineStr">
        <is>
          <t>N6</t>
        </is>
      </c>
      <c r="C472" s="46" t="n">
        <v>82</v>
      </c>
      <c r="D472" s="46" t="n">
        <v>126</v>
      </c>
      <c r="E472" s="46" t="n">
        <v>166</v>
      </c>
      <c r="F472" s="46" t="n">
        <v>274</v>
      </c>
      <c r="G472" s="46" t="n">
        <v>184</v>
      </c>
      <c r="H472" s="46" t="n">
        <v>179</v>
      </c>
      <c r="I472" s="46" t="n">
        <v>94</v>
      </c>
      <c r="J472" s="46" t="n">
        <v>335</v>
      </c>
      <c r="K472" s="46" t="n">
        <v>323</v>
      </c>
      <c r="L472" s="46" t="n">
        <v>221</v>
      </c>
      <c r="M472" s="46">
        <f>N472-SUM(C472:L472)</f>
        <v/>
      </c>
      <c r="N472" s="47" t="n">
        <v>2205</v>
      </c>
      <c r="O472" s="46" t="n">
        <v>48</v>
      </c>
      <c r="P472" s="46" t="n">
        <v>0</v>
      </c>
      <c r="Q472" s="46" t="n">
        <v>226</v>
      </c>
      <c r="R472" s="46" t="n">
        <v>415</v>
      </c>
      <c r="S472" s="46" t="n">
        <v>95</v>
      </c>
      <c r="T472" s="46" t="n">
        <v>381</v>
      </c>
      <c r="U472" s="46" t="n">
        <v>74</v>
      </c>
      <c r="V472" s="46" t="n"/>
      <c r="W472" s="46" t="n">
        <v>451</v>
      </c>
      <c r="X472" s="46" t="n">
        <v>481</v>
      </c>
      <c r="Y472" s="46" t="n">
        <v>34</v>
      </c>
    </row>
    <row r="473">
      <c r="A473" s="78" t="n">
        <v>46246</v>
      </c>
      <c r="B473" s="45" t="inlineStr">
        <is>
          <t>N6</t>
        </is>
      </c>
      <c r="C473" s="46" t="n">
        <v>82</v>
      </c>
      <c r="D473" s="46" t="n">
        <v>127</v>
      </c>
      <c r="E473" s="46" t="n">
        <v>166</v>
      </c>
      <c r="F473" s="46" t="n">
        <v>275</v>
      </c>
      <c r="G473" s="46" t="n">
        <v>185</v>
      </c>
      <c r="H473" s="46" t="n">
        <v>180</v>
      </c>
      <c r="I473" s="46" t="n">
        <v>94</v>
      </c>
      <c r="J473" s="46" t="n">
        <v>337</v>
      </c>
      <c r="K473" s="46" t="n">
        <v>325</v>
      </c>
      <c r="L473" s="46" t="n">
        <v>222</v>
      </c>
      <c r="M473" s="46">
        <f>N473-SUM(C473:L473)</f>
        <v/>
      </c>
      <c r="N473" s="47" t="n">
        <v>2213</v>
      </c>
      <c r="O473" s="46" t="n">
        <v>48</v>
      </c>
      <c r="P473" s="46" t="n">
        <v>0</v>
      </c>
      <c r="Q473" s="46" t="n">
        <v>226</v>
      </c>
      <c r="R473" s="46" t="n">
        <v>415</v>
      </c>
      <c r="S473" s="46" t="n">
        <v>95</v>
      </c>
      <c r="T473" s="46" t="n">
        <v>381</v>
      </c>
      <c r="U473" s="46" t="n">
        <v>74</v>
      </c>
      <c r="V473" s="46" t="n"/>
      <c r="W473" s="46" t="n">
        <v>451</v>
      </c>
      <c r="X473" s="46" t="n">
        <v>489</v>
      </c>
      <c r="Y473" s="46" t="n">
        <v>34</v>
      </c>
    </row>
    <row r="474">
      <c r="A474" s="78" t="n">
        <v>46247</v>
      </c>
      <c r="B474" s="45" t="inlineStr">
        <is>
          <t>N6</t>
        </is>
      </c>
      <c r="C474" s="46" t="n">
        <v>81</v>
      </c>
      <c r="D474" s="46" t="n">
        <v>126</v>
      </c>
      <c r="E474" s="46" t="n">
        <v>165</v>
      </c>
      <c r="F474" s="46" t="n">
        <v>273</v>
      </c>
      <c r="G474" s="46" t="n">
        <v>183</v>
      </c>
      <c r="H474" s="46" t="n">
        <v>178</v>
      </c>
      <c r="I474" s="46" t="n">
        <v>93</v>
      </c>
      <c r="J474" s="46" t="n">
        <v>334</v>
      </c>
      <c r="K474" s="46" t="n">
        <v>322</v>
      </c>
      <c r="L474" s="46" t="n">
        <v>220</v>
      </c>
      <c r="M474" s="46">
        <f>N474-SUM(C474:L474)</f>
        <v/>
      </c>
      <c r="N474" s="47" t="n">
        <v>2197</v>
      </c>
      <c r="O474" s="46" t="n">
        <v>49</v>
      </c>
      <c r="P474" s="46" t="n">
        <v>0</v>
      </c>
      <c r="Q474" s="46" t="n">
        <v>226</v>
      </c>
      <c r="R474" s="46" t="n">
        <v>416</v>
      </c>
      <c r="S474" s="46" t="n">
        <v>95</v>
      </c>
      <c r="T474" s="46" t="n">
        <v>381</v>
      </c>
      <c r="U474" s="46" t="n">
        <v>74</v>
      </c>
      <c r="V474" s="46" t="n"/>
      <c r="W474" s="46" t="n">
        <v>451</v>
      </c>
      <c r="X474" s="46" t="n">
        <v>471</v>
      </c>
      <c r="Y474" s="46" t="n">
        <v>34</v>
      </c>
    </row>
    <row r="475">
      <c r="A475" s="78" t="n">
        <v>46248</v>
      </c>
      <c r="B475" s="45" t="inlineStr">
        <is>
          <t>N6</t>
        </is>
      </c>
      <c r="C475" s="46" t="n">
        <v>81</v>
      </c>
      <c r="D475" s="46" t="n">
        <v>125</v>
      </c>
      <c r="E475" s="46" t="n">
        <v>165</v>
      </c>
      <c r="F475" s="46" t="n">
        <v>272</v>
      </c>
      <c r="G475" s="46" t="n">
        <v>183</v>
      </c>
      <c r="H475" s="46" t="n">
        <v>178</v>
      </c>
      <c r="I475" s="46" t="n">
        <v>93</v>
      </c>
      <c r="J475" s="46" t="n">
        <v>333</v>
      </c>
      <c r="K475" s="46" t="n">
        <v>321</v>
      </c>
      <c r="L475" s="46" t="n">
        <v>220</v>
      </c>
      <c r="M475" s="46">
        <f>N475-SUM(C475:L475)</f>
        <v/>
      </c>
      <c r="N475" s="47" t="n">
        <v>2192</v>
      </c>
      <c r="O475" s="46" t="n">
        <v>49</v>
      </c>
      <c r="P475" s="46" t="n">
        <v>0</v>
      </c>
      <c r="Q475" s="46" t="n">
        <v>226</v>
      </c>
      <c r="R475" s="46" t="n">
        <v>416</v>
      </c>
      <c r="S475" s="46" t="n">
        <v>95</v>
      </c>
      <c r="T475" s="46" t="n">
        <v>381</v>
      </c>
      <c r="U475" s="46" t="n">
        <v>74</v>
      </c>
      <c r="V475" s="46" t="n"/>
      <c r="W475" s="46" t="n">
        <v>451</v>
      </c>
      <c r="X475" s="46" t="n">
        <v>500</v>
      </c>
      <c r="Y475" s="46" t="n">
        <v>0</v>
      </c>
    </row>
    <row r="476">
      <c r="A476" s="78" t="n">
        <v>46249</v>
      </c>
      <c r="B476" s="45" t="inlineStr">
        <is>
          <t>N6</t>
        </is>
      </c>
      <c r="C476" s="46" t="n">
        <v>93</v>
      </c>
      <c r="D476" s="46" t="n">
        <v>144</v>
      </c>
      <c r="E476" s="46" t="n">
        <v>189</v>
      </c>
      <c r="F476" s="46" t="n">
        <v>312</v>
      </c>
      <c r="G476" s="46" t="n">
        <v>209</v>
      </c>
      <c r="H476" s="46" t="n">
        <v>204</v>
      </c>
      <c r="I476" s="46" t="n">
        <v>107</v>
      </c>
      <c r="J476" s="46" t="n">
        <v>382</v>
      </c>
      <c r="K476" s="46" t="n">
        <v>368</v>
      </c>
      <c r="L476" s="46" t="n">
        <v>252</v>
      </c>
      <c r="M476" s="46">
        <f>N476-SUM(C476:L476)</f>
        <v/>
      </c>
      <c r="N476" s="47" t="n">
        <v>2511</v>
      </c>
      <c r="O476" s="46" t="n">
        <v>56</v>
      </c>
      <c r="P476" s="46" t="n">
        <v>0</v>
      </c>
      <c r="Q476" s="46" t="n">
        <v>260</v>
      </c>
      <c r="R476" s="46" t="n">
        <v>478</v>
      </c>
      <c r="S476" s="46" t="n">
        <v>109</v>
      </c>
      <c r="T476" s="46" t="n">
        <v>438</v>
      </c>
      <c r="U476" s="46" t="n">
        <v>86</v>
      </c>
      <c r="V476" s="46" t="n"/>
      <c r="W476" s="46" t="n">
        <v>519</v>
      </c>
      <c r="X476" s="46" t="n">
        <v>565</v>
      </c>
      <c r="Y476" s="46" t="n">
        <v>0</v>
      </c>
    </row>
    <row r="477">
      <c r="A477" s="78" t="n">
        <v>46250</v>
      </c>
      <c r="B477" s="45" t="inlineStr">
        <is>
          <t>N6</t>
        </is>
      </c>
      <c r="C477" s="46" t="n">
        <v>95</v>
      </c>
      <c r="D477" s="46" t="n">
        <v>146</v>
      </c>
      <c r="E477" s="46" t="n">
        <v>193</v>
      </c>
      <c r="F477" s="46" t="n">
        <v>318</v>
      </c>
      <c r="G477" s="46" t="n">
        <v>213</v>
      </c>
      <c r="H477" s="46" t="n">
        <v>208</v>
      </c>
      <c r="I477" s="46" t="n">
        <v>109</v>
      </c>
      <c r="J477" s="46" t="n">
        <v>389</v>
      </c>
      <c r="K477" s="46" t="n">
        <v>375</v>
      </c>
      <c r="L477" s="46" t="n">
        <v>257</v>
      </c>
      <c r="M477" s="46">
        <f>N477-SUM(C477:L477)</f>
        <v/>
      </c>
      <c r="N477" s="47" t="n">
        <v>2559</v>
      </c>
      <c r="O477" s="46" t="n">
        <v>56</v>
      </c>
      <c r="P477" s="46" t="n">
        <v>0</v>
      </c>
      <c r="Q477" s="46" t="n">
        <v>260</v>
      </c>
      <c r="R477" s="46" t="n">
        <v>478</v>
      </c>
      <c r="S477" s="46" t="n">
        <v>109</v>
      </c>
      <c r="T477" s="46" t="n">
        <v>438</v>
      </c>
      <c r="U477" s="46" t="n">
        <v>86</v>
      </c>
      <c r="V477" s="46" t="n"/>
      <c r="W477" s="46" t="n">
        <v>519</v>
      </c>
      <c r="X477" s="46" t="n">
        <v>579</v>
      </c>
      <c r="Y477" s="46" t="n">
        <v>34</v>
      </c>
    </row>
    <row r="478">
      <c r="A478" s="78" t="n">
        <v>46251</v>
      </c>
      <c r="B478" s="45" t="inlineStr">
        <is>
          <t>N6</t>
        </is>
      </c>
      <c r="C478" s="46" t="n">
        <v>83</v>
      </c>
      <c r="D478" s="46" t="n">
        <v>129</v>
      </c>
      <c r="E478" s="46" t="n">
        <v>169</v>
      </c>
      <c r="F478" s="46" t="n">
        <v>280</v>
      </c>
      <c r="G478" s="46" t="n">
        <v>188</v>
      </c>
      <c r="H478" s="46" t="n">
        <v>183</v>
      </c>
      <c r="I478" s="46" t="n">
        <v>96</v>
      </c>
      <c r="J478" s="46" t="n">
        <v>342</v>
      </c>
      <c r="K478" s="46" t="n">
        <v>330</v>
      </c>
      <c r="L478" s="46" t="n">
        <v>226</v>
      </c>
      <c r="M478" s="46">
        <f>N478-SUM(C478:L478)</f>
        <v/>
      </c>
      <c r="N478" s="47" t="n">
        <v>2250</v>
      </c>
      <c r="O478" s="46" t="n">
        <v>49</v>
      </c>
      <c r="P478" s="46" t="n">
        <v>0</v>
      </c>
      <c r="Q478" s="46" t="n">
        <v>226</v>
      </c>
      <c r="R478" s="46" t="n">
        <v>416</v>
      </c>
      <c r="S478" s="46" t="n">
        <v>95</v>
      </c>
      <c r="T478" s="46" t="n">
        <v>381</v>
      </c>
      <c r="U478" s="46" t="n">
        <v>74</v>
      </c>
      <c r="V478" s="46" t="n"/>
      <c r="W478" s="46" t="n">
        <v>451</v>
      </c>
      <c r="X478" s="46" t="n">
        <v>524</v>
      </c>
      <c r="Y478" s="46" t="n">
        <v>34</v>
      </c>
    </row>
    <row r="479">
      <c r="A479" s="78" t="n">
        <v>46252</v>
      </c>
      <c r="B479" s="45" t="inlineStr">
        <is>
          <t>N6</t>
        </is>
      </c>
      <c r="C479" s="46" t="n">
        <v>83</v>
      </c>
      <c r="D479" s="46" t="n">
        <v>128</v>
      </c>
      <c r="E479" s="46" t="n">
        <v>168</v>
      </c>
      <c r="F479" s="46" t="n">
        <v>277</v>
      </c>
      <c r="G479" s="46" t="n">
        <v>186</v>
      </c>
      <c r="H479" s="46" t="n">
        <v>181</v>
      </c>
      <c r="I479" s="46" t="n">
        <v>95</v>
      </c>
      <c r="J479" s="46" t="n">
        <v>339</v>
      </c>
      <c r="K479" s="46" t="n">
        <v>327</v>
      </c>
      <c r="L479" s="46" t="n">
        <v>224</v>
      </c>
      <c r="M479" s="46">
        <f>N479-SUM(C479:L479)</f>
        <v/>
      </c>
      <c r="N479" s="47" t="n">
        <v>2232</v>
      </c>
      <c r="O479" s="46" t="n">
        <v>49</v>
      </c>
      <c r="P479" s="46" t="n">
        <v>0</v>
      </c>
      <c r="Q479" s="46" t="n">
        <v>226</v>
      </c>
      <c r="R479" s="46" t="n">
        <v>416</v>
      </c>
      <c r="S479" s="46" t="n">
        <v>95</v>
      </c>
      <c r="T479" s="46" t="n">
        <v>381</v>
      </c>
      <c r="U479" s="46" t="n">
        <v>74</v>
      </c>
      <c r="V479" s="46" t="n"/>
      <c r="W479" s="46" t="n">
        <v>451</v>
      </c>
      <c r="X479" s="46" t="n">
        <v>506</v>
      </c>
      <c r="Y479" s="46" t="n">
        <v>34</v>
      </c>
    </row>
    <row r="480">
      <c r="A480" s="78" t="n">
        <v>46253</v>
      </c>
      <c r="B480" s="45" t="inlineStr">
        <is>
          <t>N6</t>
        </is>
      </c>
      <c r="C480" s="46" t="n">
        <v>82</v>
      </c>
      <c r="D480" s="46" t="n">
        <v>127</v>
      </c>
      <c r="E480" s="46" t="n">
        <v>167</v>
      </c>
      <c r="F480" s="46" t="n">
        <v>276</v>
      </c>
      <c r="G480" s="46" t="n">
        <v>185</v>
      </c>
      <c r="H480" s="46" t="n">
        <v>181</v>
      </c>
      <c r="I480" s="46" t="n">
        <v>95</v>
      </c>
      <c r="J480" s="46" t="n">
        <v>338</v>
      </c>
      <c r="K480" s="46" t="n">
        <v>326</v>
      </c>
      <c r="L480" s="46" t="n">
        <v>223</v>
      </c>
      <c r="M480" s="46">
        <f>N480-SUM(C480:L480)</f>
        <v/>
      </c>
      <c r="N480" s="47" t="n">
        <v>2223</v>
      </c>
      <c r="O480" s="46" t="n">
        <v>49</v>
      </c>
      <c r="P480" s="46" t="n">
        <v>0</v>
      </c>
      <c r="Q480" s="46" t="n">
        <v>226</v>
      </c>
      <c r="R480" s="46" t="n">
        <v>416</v>
      </c>
      <c r="S480" s="46" t="n">
        <v>95</v>
      </c>
      <c r="T480" s="46" t="n">
        <v>381</v>
      </c>
      <c r="U480" s="46" t="n">
        <v>74</v>
      </c>
      <c r="V480" s="46" t="n"/>
      <c r="W480" s="46" t="n">
        <v>451</v>
      </c>
      <c r="X480" s="46" t="n">
        <v>497</v>
      </c>
      <c r="Y480" s="46" t="n">
        <v>34</v>
      </c>
    </row>
    <row r="481">
      <c r="A481" s="78" t="n">
        <v>46254</v>
      </c>
      <c r="B481" s="45" t="inlineStr">
        <is>
          <t>N6</t>
        </is>
      </c>
      <c r="C481" s="46" t="n">
        <v>84</v>
      </c>
      <c r="D481" s="46" t="n">
        <v>130</v>
      </c>
      <c r="E481" s="46" t="n">
        <v>171</v>
      </c>
      <c r="F481" s="46" t="n">
        <v>282</v>
      </c>
      <c r="G481" s="46" t="n">
        <v>189</v>
      </c>
      <c r="H481" s="46" t="n">
        <v>184</v>
      </c>
      <c r="I481" s="46" t="n">
        <v>96</v>
      </c>
      <c r="J481" s="46" t="n">
        <v>345</v>
      </c>
      <c r="K481" s="46" t="n">
        <v>332</v>
      </c>
      <c r="L481" s="46" t="n">
        <v>227</v>
      </c>
      <c r="M481" s="46">
        <f>N481-SUM(C481:L481)</f>
        <v/>
      </c>
      <c r="N481" s="47" t="n">
        <v>2267</v>
      </c>
      <c r="O481" s="46" t="n">
        <v>49</v>
      </c>
      <c r="P481" s="46" t="n">
        <v>0</v>
      </c>
      <c r="Q481" s="46" t="n">
        <v>226</v>
      </c>
      <c r="R481" s="46" t="n">
        <v>416</v>
      </c>
      <c r="S481" s="46" t="n">
        <v>95</v>
      </c>
      <c r="T481" s="46" t="n">
        <v>381</v>
      </c>
      <c r="U481" s="46" t="n">
        <v>74</v>
      </c>
      <c r="V481" s="46" t="n"/>
      <c r="W481" s="46" t="n">
        <v>451</v>
      </c>
      <c r="X481" s="46" t="n">
        <v>541</v>
      </c>
      <c r="Y481" s="46" t="n">
        <v>34</v>
      </c>
    </row>
    <row r="482">
      <c r="A482" s="78" t="n">
        <v>46255</v>
      </c>
      <c r="B482" s="45" t="inlineStr">
        <is>
          <t>N6</t>
        </is>
      </c>
      <c r="C482" s="46" t="n">
        <v>85</v>
      </c>
      <c r="D482" s="46" t="n">
        <v>131</v>
      </c>
      <c r="E482" s="46" t="n">
        <v>172</v>
      </c>
      <c r="F482" s="46" t="n">
        <v>284</v>
      </c>
      <c r="G482" s="46" t="n">
        <v>191</v>
      </c>
      <c r="H482" s="46" t="n">
        <v>186</v>
      </c>
      <c r="I482" s="46" t="n">
        <v>97</v>
      </c>
      <c r="J482" s="46" t="n">
        <v>348</v>
      </c>
      <c r="K482" s="46" t="n">
        <v>336</v>
      </c>
      <c r="L482" s="46" t="n">
        <v>229</v>
      </c>
      <c r="M482" s="46">
        <f>N482-SUM(C482:L482)</f>
        <v/>
      </c>
      <c r="N482" s="47" t="n">
        <v>2288</v>
      </c>
      <c r="O482" s="46" t="n">
        <v>49</v>
      </c>
      <c r="P482" s="46" t="n">
        <v>0</v>
      </c>
      <c r="Q482" s="46" t="n">
        <v>227</v>
      </c>
      <c r="R482" s="46" t="n">
        <v>416</v>
      </c>
      <c r="S482" s="46" t="n">
        <v>95</v>
      </c>
      <c r="T482" s="46" t="n">
        <v>381</v>
      </c>
      <c r="U482" s="46" t="n">
        <v>74</v>
      </c>
      <c r="V482" s="46" t="n"/>
      <c r="W482" s="46" t="n">
        <v>451</v>
      </c>
      <c r="X482" s="46" t="n">
        <v>595</v>
      </c>
      <c r="Y482" s="46" t="n">
        <v>0</v>
      </c>
    </row>
    <row r="483">
      <c r="A483" s="78" t="n">
        <v>46256</v>
      </c>
      <c r="B483" s="45" t="inlineStr">
        <is>
          <t>N6</t>
        </is>
      </c>
      <c r="C483" s="46" t="n">
        <v>95</v>
      </c>
      <c r="D483" s="46" t="n">
        <v>147</v>
      </c>
      <c r="E483" s="46" t="n">
        <v>193</v>
      </c>
      <c r="F483" s="46" t="n">
        <v>318</v>
      </c>
      <c r="G483" s="46" t="n">
        <v>214</v>
      </c>
      <c r="H483" s="46" t="n">
        <v>208</v>
      </c>
      <c r="I483" s="46" t="n">
        <v>109</v>
      </c>
      <c r="J483" s="46" t="n">
        <v>390</v>
      </c>
      <c r="K483" s="46" t="n">
        <v>376</v>
      </c>
      <c r="L483" s="46" t="n">
        <v>257</v>
      </c>
      <c r="M483" s="46">
        <f>N483-SUM(C483:L483)</f>
        <v/>
      </c>
      <c r="N483" s="47" t="n">
        <v>2561</v>
      </c>
      <c r="O483" s="46" t="n">
        <v>56</v>
      </c>
      <c r="P483" s="46" t="n">
        <v>0</v>
      </c>
      <c r="Q483" s="46" t="n">
        <v>261</v>
      </c>
      <c r="R483" s="46" t="n">
        <v>478</v>
      </c>
      <c r="S483" s="46" t="n">
        <v>109</v>
      </c>
      <c r="T483" s="46" t="n">
        <v>438</v>
      </c>
      <c r="U483" s="46" t="n">
        <v>86</v>
      </c>
      <c r="V483" s="46" t="n"/>
      <c r="W483" s="46" t="n">
        <v>519</v>
      </c>
      <c r="X483" s="46" t="n">
        <v>614</v>
      </c>
      <c r="Y483" s="46" t="n">
        <v>0</v>
      </c>
    </row>
    <row r="484">
      <c r="A484" s="78" t="n">
        <v>46257</v>
      </c>
      <c r="B484" s="45" t="inlineStr">
        <is>
          <t>N6</t>
        </is>
      </c>
      <c r="C484" s="46" t="n">
        <v>99</v>
      </c>
      <c r="D484" s="46" t="n">
        <v>153</v>
      </c>
      <c r="E484" s="46" t="n">
        <v>200</v>
      </c>
      <c r="F484" s="46" t="n">
        <v>331</v>
      </c>
      <c r="G484" s="46" t="n">
        <v>222</v>
      </c>
      <c r="H484" s="46" t="n">
        <v>216</v>
      </c>
      <c r="I484" s="46" t="n">
        <v>113</v>
      </c>
      <c r="J484" s="46" t="n">
        <v>405</v>
      </c>
      <c r="K484" s="46" t="n">
        <v>391</v>
      </c>
      <c r="L484" s="46" t="n">
        <v>267</v>
      </c>
      <c r="M484" s="46">
        <f>N484-SUM(C484:L484)</f>
        <v/>
      </c>
      <c r="N484" s="47" t="n">
        <v>2665</v>
      </c>
      <c r="O484" s="46" t="n">
        <v>56</v>
      </c>
      <c r="P484" s="46" t="n">
        <v>0</v>
      </c>
      <c r="Q484" s="46" t="n">
        <v>261</v>
      </c>
      <c r="R484" s="46" t="n">
        <v>478</v>
      </c>
      <c r="S484" s="46" t="n">
        <v>109</v>
      </c>
      <c r="T484" s="46" t="n">
        <v>438</v>
      </c>
      <c r="U484" s="46" t="n">
        <v>86</v>
      </c>
      <c r="V484" s="46" t="n"/>
      <c r="W484" s="46" t="n">
        <v>519</v>
      </c>
      <c r="X484" s="46" t="n">
        <v>684</v>
      </c>
      <c r="Y484" s="46" t="n">
        <v>34</v>
      </c>
    </row>
    <row r="485">
      <c r="A485" s="78" t="n">
        <v>46258</v>
      </c>
      <c r="B485" s="45" t="inlineStr">
        <is>
          <t>N6</t>
        </is>
      </c>
      <c r="C485" s="46" t="n">
        <v>90</v>
      </c>
      <c r="D485" s="46" t="n">
        <v>139</v>
      </c>
      <c r="E485" s="46" t="n">
        <v>183</v>
      </c>
      <c r="F485" s="46" t="n">
        <v>302</v>
      </c>
      <c r="G485" s="46" t="n">
        <v>203</v>
      </c>
      <c r="H485" s="46" t="n">
        <v>197</v>
      </c>
      <c r="I485" s="46" t="n">
        <v>103</v>
      </c>
      <c r="J485" s="46" t="n">
        <v>370</v>
      </c>
      <c r="K485" s="46" t="n">
        <v>356</v>
      </c>
      <c r="L485" s="46" t="n">
        <v>244</v>
      </c>
      <c r="M485" s="46">
        <f>N485-SUM(C485:L485)</f>
        <v/>
      </c>
      <c r="N485" s="47" t="n">
        <v>2430</v>
      </c>
      <c r="O485" s="46" t="n">
        <v>49</v>
      </c>
      <c r="P485" s="46" t="n">
        <v>0</v>
      </c>
      <c r="Q485" s="46" t="n">
        <v>227</v>
      </c>
      <c r="R485" s="46" t="n">
        <v>416</v>
      </c>
      <c r="S485" s="46" t="n">
        <v>95</v>
      </c>
      <c r="T485" s="46" t="n">
        <v>381</v>
      </c>
      <c r="U485" s="46" t="n">
        <v>74</v>
      </c>
      <c r="V485" s="46" t="n"/>
      <c r="W485" s="46" t="n">
        <v>451</v>
      </c>
      <c r="X485" s="46" t="n">
        <v>703</v>
      </c>
      <c r="Y485" s="46" t="n">
        <v>34</v>
      </c>
    </row>
    <row r="486">
      <c r="A486" s="78" t="n">
        <v>46259</v>
      </c>
      <c r="B486" s="45" t="inlineStr">
        <is>
          <t>N6</t>
        </is>
      </c>
      <c r="C486" s="46" t="n">
        <v>90</v>
      </c>
      <c r="D486" s="46" t="n">
        <v>140</v>
      </c>
      <c r="E486" s="46" t="n">
        <v>184</v>
      </c>
      <c r="F486" s="46" t="n">
        <v>303</v>
      </c>
      <c r="G486" s="46" t="n">
        <v>204</v>
      </c>
      <c r="H486" s="46" t="n">
        <v>198</v>
      </c>
      <c r="I486" s="46" t="n">
        <v>104</v>
      </c>
      <c r="J486" s="46" t="n">
        <v>371</v>
      </c>
      <c r="K486" s="46" t="n">
        <v>358</v>
      </c>
      <c r="L486" s="46" t="n">
        <v>245</v>
      </c>
      <c r="M486" s="46">
        <f>N486-SUM(C486:L486)</f>
        <v/>
      </c>
      <c r="N486" s="47" t="n">
        <v>2440</v>
      </c>
      <c r="O486" s="46" t="n">
        <v>49</v>
      </c>
      <c r="P486" s="46" t="n">
        <v>1</v>
      </c>
      <c r="Q486" s="46" t="n">
        <v>227</v>
      </c>
      <c r="R486" s="46" t="n">
        <v>416</v>
      </c>
      <c r="S486" s="46" t="n">
        <v>95</v>
      </c>
      <c r="T486" s="46" t="n">
        <v>381</v>
      </c>
      <c r="U486" s="46" t="n">
        <v>74</v>
      </c>
      <c r="V486" s="46" t="n"/>
      <c r="W486" s="46" t="n">
        <v>451</v>
      </c>
      <c r="X486" s="46" t="n">
        <v>712</v>
      </c>
      <c r="Y486" s="46" t="n">
        <v>34</v>
      </c>
    </row>
    <row r="487">
      <c r="A487" s="78" t="n">
        <v>46260</v>
      </c>
      <c r="B487" s="45" t="inlineStr">
        <is>
          <t>N6</t>
        </is>
      </c>
      <c r="C487" s="46" t="n">
        <v>84</v>
      </c>
      <c r="D487" s="46" t="n">
        <v>130</v>
      </c>
      <c r="E487" s="46" t="n">
        <v>171</v>
      </c>
      <c r="F487" s="46" t="n">
        <v>283</v>
      </c>
      <c r="G487" s="46" t="n">
        <v>190</v>
      </c>
      <c r="H487" s="46" t="n">
        <v>185</v>
      </c>
      <c r="I487" s="46" t="n">
        <v>97</v>
      </c>
      <c r="J487" s="46" t="n">
        <v>346</v>
      </c>
      <c r="K487" s="46" t="n">
        <v>334</v>
      </c>
      <c r="L487" s="46" t="n">
        <v>228</v>
      </c>
      <c r="M487" s="46">
        <f>N487-SUM(C487:L487)</f>
        <v/>
      </c>
      <c r="N487" s="47" t="n">
        <v>2275</v>
      </c>
      <c r="O487" s="46" t="n">
        <v>49</v>
      </c>
      <c r="P487" s="46" t="n">
        <v>1</v>
      </c>
      <c r="Q487" s="46" t="n">
        <v>227</v>
      </c>
      <c r="R487" s="46" t="n">
        <v>416</v>
      </c>
      <c r="S487" s="46" t="n">
        <v>95</v>
      </c>
      <c r="T487" s="46" t="n">
        <v>381</v>
      </c>
      <c r="U487" s="46" t="n">
        <v>74</v>
      </c>
      <c r="V487" s="46" t="n"/>
      <c r="W487" s="46" t="n">
        <v>451</v>
      </c>
      <c r="X487" s="46" t="n">
        <v>547</v>
      </c>
      <c r="Y487" s="46" t="n">
        <v>34</v>
      </c>
    </row>
    <row r="488">
      <c r="A488" s="78" t="n">
        <v>46261</v>
      </c>
      <c r="B488" s="45" t="inlineStr">
        <is>
          <t>N6</t>
        </is>
      </c>
      <c r="C488" s="46" t="n">
        <v>85</v>
      </c>
      <c r="D488" s="46" t="n">
        <v>131</v>
      </c>
      <c r="E488" s="46" t="n">
        <v>172</v>
      </c>
      <c r="F488" s="46" t="n">
        <v>284</v>
      </c>
      <c r="G488" s="46" t="n">
        <v>190</v>
      </c>
      <c r="H488" s="46" t="n">
        <v>185</v>
      </c>
      <c r="I488" s="46" t="n">
        <v>97</v>
      </c>
      <c r="J488" s="46" t="n">
        <v>347</v>
      </c>
      <c r="K488" s="46" t="n">
        <v>334</v>
      </c>
      <c r="L488" s="46" t="n">
        <v>229</v>
      </c>
      <c r="M488" s="46">
        <f>N488-SUM(C488:L488)</f>
        <v/>
      </c>
      <c r="N488" s="47" t="n">
        <v>2281</v>
      </c>
      <c r="O488" s="46" t="n">
        <v>49</v>
      </c>
      <c r="P488" s="46" t="n">
        <v>1</v>
      </c>
      <c r="Q488" s="46" t="n">
        <v>227</v>
      </c>
      <c r="R488" s="46" t="n">
        <v>416</v>
      </c>
      <c r="S488" s="46" t="n">
        <v>95</v>
      </c>
      <c r="T488" s="46" t="n">
        <v>381</v>
      </c>
      <c r="U488" s="46" t="n">
        <v>74</v>
      </c>
      <c r="V488" s="46" t="n"/>
      <c r="W488" s="46" t="n">
        <v>451</v>
      </c>
      <c r="X488" s="46" t="n">
        <v>553</v>
      </c>
      <c r="Y488" s="46" t="n">
        <v>34</v>
      </c>
    </row>
    <row r="489">
      <c r="A489" s="78" t="n">
        <v>46262</v>
      </c>
      <c r="B489" s="45" t="inlineStr">
        <is>
          <t>N6</t>
        </is>
      </c>
      <c r="C489" s="46" t="n">
        <v>82</v>
      </c>
      <c r="D489" s="46" t="n">
        <v>126</v>
      </c>
      <c r="E489" s="46" t="n">
        <v>166</v>
      </c>
      <c r="F489" s="46" t="n">
        <v>274</v>
      </c>
      <c r="G489" s="46" t="n">
        <v>184</v>
      </c>
      <c r="H489" s="46" t="n">
        <v>179</v>
      </c>
      <c r="I489" s="46" t="n">
        <v>94</v>
      </c>
      <c r="J489" s="46" t="n">
        <v>336</v>
      </c>
      <c r="K489" s="46" t="n">
        <v>323</v>
      </c>
      <c r="L489" s="46" t="n">
        <v>221</v>
      </c>
      <c r="M489" s="46">
        <f>N489-SUM(C489:L489)</f>
        <v/>
      </c>
      <c r="N489" s="47" t="n">
        <v>2206</v>
      </c>
      <c r="O489" s="46" t="n">
        <v>49</v>
      </c>
      <c r="P489" s="46" t="n">
        <v>1</v>
      </c>
      <c r="Q489" s="46" t="n">
        <v>227</v>
      </c>
      <c r="R489" s="46" t="n">
        <v>416</v>
      </c>
      <c r="S489" s="46" t="n">
        <v>95</v>
      </c>
      <c r="T489" s="46" t="n">
        <v>381</v>
      </c>
      <c r="U489" s="46" t="n">
        <v>74</v>
      </c>
      <c r="V489" s="46" t="n"/>
      <c r="W489" s="46" t="n">
        <v>452</v>
      </c>
      <c r="X489" s="46" t="n">
        <v>511</v>
      </c>
      <c r="Y489" s="46" t="n">
        <v>0</v>
      </c>
    </row>
    <row r="490">
      <c r="A490" s="78" t="n">
        <v>46263</v>
      </c>
      <c r="B490" s="45" t="inlineStr">
        <is>
          <t>N6</t>
        </is>
      </c>
      <c r="C490" s="46" t="n">
        <v>92</v>
      </c>
      <c r="D490" s="46" t="n">
        <v>142</v>
      </c>
      <c r="E490" s="46" t="n">
        <v>187</v>
      </c>
      <c r="F490" s="46" t="n">
        <v>309</v>
      </c>
      <c r="G490" s="46" t="n">
        <v>207</v>
      </c>
      <c r="H490" s="46" t="n">
        <v>202</v>
      </c>
      <c r="I490" s="46" t="n">
        <v>106</v>
      </c>
      <c r="J490" s="46" t="n">
        <v>378</v>
      </c>
      <c r="K490" s="46" t="n">
        <v>364</v>
      </c>
      <c r="L490" s="46" t="n">
        <v>249</v>
      </c>
      <c r="M490" s="46">
        <f>N490-SUM(C490:L490)</f>
        <v/>
      </c>
      <c r="N490" s="47" t="n">
        <v>2484</v>
      </c>
      <c r="O490" s="46" t="n">
        <v>56</v>
      </c>
      <c r="P490" s="46" t="n">
        <v>1</v>
      </c>
      <c r="Q490" s="46" t="n">
        <v>261</v>
      </c>
      <c r="R490" s="46" t="n">
        <v>478</v>
      </c>
      <c r="S490" s="46" t="n">
        <v>109</v>
      </c>
      <c r="T490" s="46" t="n">
        <v>438</v>
      </c>
      <c r="U490" s="46" t="n">
        <v>86</v>
      </c>
      <c r="V490" s="46" t="n"/>
      <c r="W490" s="46" t="n">
        <v>520</v>
      </c>
      <c r="X490" s="46" t="n">
        <v>535</v>
      </c>
      <c r="Y490" s="46" t="n">
        <v>0</v>
      </c>
    </row>
    <row r="491">
      <c r="A491" s="78" t="n">
        <v>46264</v>
      </c>
      <c r="B491" s="45" t="inlineStr">
        <is>
          <t>N6</t>
        </is>
      </c>
      <c r="C491" s="46" t="n">
        <v>91</v>
      </c>
      <c r="D491" s="46" t="n">
        <v>140</v>
      </c>
      <c r="E491" s="46" t="n">
        <v>184</v>
      </c>
      <c r="F491" s="46" t="n">
        <v>305</v>
      </c>
      <c r="G491" s="46" t="n">
        <v>204</v>
      </c>
      <c r="H491" s="46" t="n">
        <v>199</v>
      </c>
      <c r="I491" s="46" t="n">
        <v>104</v>
      </c>
      <c r="J491" s="46" t="n">
        <v>373</v>
      </c>
      <c r="K491" s="46" t="n">
        <v>360</v>
      </c>
      <c r="L491" s="46" t="n">
        <v>246</v>
      </c>
      <c r="M491" s="46">
        <f>N491-SUM(C491:L491)</f>
        <v/>
      </c>
      <c r="N491" s="47" t="n">
        <v>2450</v>
      </c>
      <c r="O491" s="46" t="n">
        <v>56</v>
      </c>
      <c r="P491" s="46" t="n">
        <v>1</v>
      </c>
      <c r="Q491" s="46" t="n">
        <v>261</v>
      </c>
      <c r="R491" s="46" t="n">
        <v>478</v>
      </c>
      <c r="S491" s="46" t="n">
        <v>109</v>
      </c>
      <c r="T491" s="46" t="n">
        <v>438</v>
      </c>
      <c r="U491" s="46" t="n">
        <v>86</v>
      </c>
      <c r="V491" s="46" t="n"/>
      <c r="W491" s="46" t="n">
        <v>520</v>
      </c>
      <c r="X491" s="46" t="n">
        <v>468</v>
      </c>
      <c r="Y491" s="46" t="n">
        <v>33</v>
      </c>
    </row>
    <row r="492">
      <c r="A492" s="78" t="n">
        <v>46265</v>
      </c>
      <c r="B492" s="45" t="inlineStr">
        <is>
          <t>N6</t>
        </is>
      </c>
      <c r="C492" s="46" t="n">
        <v>80</v>
      </c>
      <c r="D492" s="46" t="n">
        <v>124</v>
      </c>
      <c r="E492" s="46" t="n">
        <v>162</v>
      </c>
      <c r="F492" s="46" t="n">
        <v>267</v>
      </c>
      <c r="G492" s="46" t="n">
        <v>180</v>
      </c>
      <c r="H492" s="46" t="n">
        <v>175</v>
      </c>
      <c r="I492" s="46" t="n">
        <v>92</v>
      </c>
      <c r="J492" s="46" t="n">
        <v>327</v>
      </c>
      <c r="K492" s="46" t="n">
        <v>315</v>
      </c>
      <c r="L492" s="46" t="n">
        <v>216</v>
      </c>
      <c r="M492" s="46">
        <f>N492-SUM(C492:L492)</f>
        <v/>
      </c>
      <c r="N492" s="47" t="n">
        <v>2144</v>
      </c>
      <c r="O492" s="46" t="n">
        <v>49</v>
      </c>
      <c r="P492" s="46" t="n">
        <v>1</v>
      </c>
      <c r="Q492" s="46" t="n">
        <v>227</v>
      </c>
      <c r="R492" s="46" t="n">
        <v>416</v>
      </c>
      <c r="S492" s="46" t="n">
        <v>95</v>
      </c>
      <c r="T492" s="46" t="n">
        <v>381</v>
      </c>
      <c r="U492" s="46" t="n">
        <v>74</v>
      </c>
      <c r="V492" s="46" t="n"/>
      <c r="W492" s="46" t="n">
        <v>452</v>
      </c>
      <c r="X492" s="46" t="n">
        <v>416</v>
      </c>
      <c r="Y492" s="46" t="n">
        <v>33</v>
      </c>
    </row>
    <row r="493">
      <c r="A493" s="78" t="n">
        <v>46266</v>
      </c>
      <c r="B493" s="45" t="inlineStr">
        <is>
          <t>N6</t>
        </is>
      </c>
      <c r="C493" s="46" t="n">
        <v>67</v>
      </c>
      <c r="D493" s="46" t="n">
        <v>98</v>
      </c>
      <c r="E493" s="46" t="n">
        <v>131</v>
      </c>
      <c r="F493" s="46" t="n">
        <v>289</v>
      </c>
      <c r="G493" s="46" t="n">
        <v>172</v>
      </c>
      <c r="H493" s="46" t="n">
        <v>170</v>
      </c>
      <c r="I493" s="46" t="n">
        <v>100</v>
      </c>
      <c r="J493" s="46" t="n">
        <v>308</v>
      </c>
      <c r="K493" s="46" t="n">
        <v>311</v>
      </c>
      <c r="L493" s="46" t="n">
        <v>193</v>
      </c>
      <c r="M493" s="46">
        <f>N493-SUM(C493:L493)</f>
        <v/>
      </c>
      <c r="N493" s="47" t="n">
        <v>2020</v>
      </c>
      <c r="O493" s="46" t="n">
        <v>33</v>
      </c>
      <c r="P493" s="46" t="n">
        <v>0</v>
      </c>
      <c r="Q493" s="46" t="n">
        <v>180</v>
      </c>
      <c r="R493" s="46" t="n">
        <v>490</v>
      </c>
      <c r="S493" s="46" t="n">
        <v>82</v>
      </c>
      <c r="T493" s="46" t="n">
        <v>203</v>
      </c>
      <c r="U493" s="46" t="n">
        <v>4</v>
      </c>
      <c r="V493" s="46" t="n">
        <v>46</v>
      </c>
      <c r="W493" s="46" t="n">
        <v>320</v>
      </c>
      <c r="X493" s="46" t="n">
        <v>641</v>
      </c>
      <c r="Y493" s="46" t="n">
        <v>21</v>
      </c>
    </row>
    <row r="494">
      <c r="A494" s="78" t="n">
        <v>46267</v>
      </c>
      <c r="B494" s="45" t="inlineStr">
        <is>
          <t>N6</t>
        </is>
      </c>
      <c r="C494" s="46" t="n">
        <v>67</v>
      </c>
      <c r="D494" s="46" t="n">
        <v>98</v>
      </c>
      <c r="E494" s="46" t="n">
        <v>131</v>
      </c>
      <c r="F494" s="46" t="n">
        <v>289</v>
      </c>
      <c r="G494" s="46" t="n">
        <v>172</v>
      </c>
      <c r="H494" s="46" t="n">
        <v>170</v>
      </c>
      <c r="I494" s="46" t="n">
        <v>100</v>
      </c>
      <c r="J494" s="46" t="n">
        <v>308</v>
      </c>
      <c r="K494" s="46" t="n">
        <v>311</v>
      </c>
      <c r="L494" s="46" t="n">
        <v>193</v>
      </c>
      <c r="M494" s="46">
        <f>N494-SUM(C494:L494)</f>
        <v/>
      </c>
      <c r="N494" s="47" t="n">
        <v>2020</v>
      </c>
      <c r="O494" s="46" t="n">
        <v>33</v>
      </c>
      <c r="P494" s="46" t="n">
        <v>0</v>
      </c>
      <c r="Q494" s="46" t="n">
        <v>180</v>
      </c>
      <c r="R494" s="46" t="n">
        <v>490</v>
      </c>
      <c r="S494" s="46" t="n">
        <v>82</v>
      </c>
      <c r="T494" s="46" t="n">
        <v>203</v>
      </c>
      <c r="U494" s="46" t="n">
        <v>4</v>
      </c>
      <c r="V494" s="46" t="n">
        <v>46</v>
      </c>
      <c r="W494" s="46" t="n">
        <v>320</v>
      </c>
      <c r="X494" s="46" t="n">
        <v>641</v>
      </c>
      <c r="Y494" s="46" t="n">
        <v>21</v>
      </c>
    </row>
    <row r="495">
      <c r="A495" s="78" t="n">
        <v>46268</v>
      </c>
      <c r="B495" s="45" t="inlineStr">
        <is>
          <t>N6</t>
        </is>
      </c>
      <c r="C495" s="46" t="n">
        <v>67</v>
      </c>
      <c r="D495" s="46" t="n">
        <v>98</v>
      </c>
      <c r="E495" s="46" t="n">
        <v>131</v>
      </c>
      <c r="F495" s="46" t="n">
        <v>289</v>
      </c>
      <c r="G495" s="46" t="n">
        <v>172</v>
      </c>
      <c r="H495" s="46" t="n">
        <v>170</v>
      </c>
      <c r="I495" s="46" t="n">
        <v>100</v>
      </c>
      <c r="J495" s="46" t="n">
        <v>308</v>
      </c>
      <c r="K495" s="46" t="n">
        <v>311</v>
      </c>
      <c r="L495" s="46" t="n">
        <v>193</v>
      </c>
      <c r="M495" s="46">
        <f>N495-SUM(C495:L495)</f>
        <v/>
      </c>
      <c r="N495" s="47" t="n">
        <v>2020</v>
      </c>
      <c r="O495" s="46" t="n">
        <v>33</v>
      </c>
      <c r="P495" s="46" t="n">
        <v>0</v>
      </c>
      <c r="Q495" s="46" t="n">
        <v>180</v>
      </c>
      <c r="R495" s="46" t="n">
        <v>490</v>
      </c>
      <c r="S495" s="46" t="n">
        <v>82</v>
      </c>
      <c r="T495" s="46" t="n">
        <v>203</v>
      </c>
      <c r="U495" s="46" t="n">
        <v>4</v>
      </c>
      <c r="V495" s="46" t="n">
        <v>46</v>
      </c>
      <c r="W495" s="46" t="n">
        <v>320</v>
      </c>
      <c r="X495" s="46" t="n">
        <v>641</v>
      </c>
      <c r="Y495" s="46" t="n">
        <v>21</v>
      </c>
    </row>
    <row r="496">
      <c r="A496" s="78" t="n">
        <v>46269</v>
      </c>
      <c r="B496" s="45" t="inlineStr">
        <is>
          <t>N6</t>
        </is>
      </c>
      <c r="C496" s="46" t="n">
        <v>67</v>
      </c>
      <c r="D496" s="46" t="n">
        <v>98</v>
      </c>
      <c r="E496" s="46" t="n">
        <v>131</v>
      </c>
      <c r="F496" s="46" t="n">
        <v>289</v>
      </c>
      <c r="G496" s="46" t="n">
        <v>172</v>
      </c>
      <c r="H496" s="46" t="n">
        <v>170</v>
      </c>
      <c r="I496" s="46" t="n">
        <v>100</v>
      </c>
      <c r="J496" s="46" t="n">
        <v>308</v>
      </c>
      <c r="K496" s="46" t="n">
        <v>311</v>
      </c>
      <c r="L496" s="46" t="n">
        <v>193</v>
      </c>
      <c r="M496" s="46">
        <f>N496-SUM(C496:L496)</f>
        <v/>
      </c>
      <c r="N496" s="47" t="n">
        <v>2021</v>
      </c>
      <c r="O496" s="46" t="n">
        <v>33</v>
      </c>
      <c r="P496" s="46" t="n">
        <v>0</v>
      </c>
      <c r="Q496" s="46" t="n">
        <v>180</v>
      </c>
      <c r="R496" s="46" t="n">
        <v>490</v>
      </c>
      <c r="S496" s="46" t="n">
        <v>82</v>
      </c>
      <c r="T496" s="46" t="n">
        <v>203</v>
      </c>
      <c r="U496" s="46" t="n">
        <v>4</v>
      </c>
      <c r="V496" s="46" t="n">
        <v>46</v>
      </c>
      <c r="W496" s="46" t="n">
        <v>321</v>
      </c>
      <c r="X496" s="46" t="n">
        <v>641</v>
      </c>
      <c r="Y496" s="46" t="n">
        <v>21</v>
      </c>
    </row>
    <row r="497">
      <c r="A497" s="78" t="n">
        <v>46270</v>
      </c>
      <c r="B497" s="45" t="inlineStr">
        <is>
          <t>N6</t>
        </is>
      </c>
      <c r="C497" s="46" t="n">
        <v>77</v>
      </c>
      <c r="D497" s="46" t="n">
        <v>111</v>
      </c>
      <c r="E497" s="46" t="n">
        <v>149</v>
      </c>
      <c r="F497" s="46" t="n">
        <v>329</v>
      </c>
      <c r="G497" s="46" t="n">
        <v>196</v>
      </c>
      <c r="H497" s="46" t="n">
        <v>194</v>
      </c>
      <c r="I497" s="46" t="n">
        <v>114</v>
      </c>
      <c r="J497" s="46" t="n">
        <v>351</v>
      </c>
      <c r="K497" s="46" t="n">
        <v>354</v>
      </c>
      <c r="L497" s="46" t="n">
        <v>220</v>
      </c>
      <c r="M497" s="46">
        <f>N497-SUM(C497:L497)</f>
        <v/>
      </c>
      <c r="N497" s="47" t="n">
        <v>2302</v>
      </c>
      <c r="O497" s="46" t="n">
        <v>38</v>
      </c>
      <c r="P497" s="46" t="n">
        <v>0</v>
      </c>
      <c r="Q497" s="46" t="n">
        <v>207</v>
      </c>
      <c r="R497" s="46" t="n">
        <v>564</v>
      </c>
      <c r="S497" s="46" t="n">
        <v>94</v>
      </c>
      <c r="T497" s="46" t="n">
        <v>233</v>
      </c>
      <c r="U497" s="46" t="n">
        <v>6</v>
      </c>
      <c r="V497" s="46" t="n">
        <v>54</v>
      </c>
      <c r="W497" s="46" t="n">
        <v>369</v>
      </c>
      <c r="X497" s="46" t="n">
        <v>737</v>
      </c>
      <c r="Y497" s="46" t="n">
        <v>0</v>
      </c>
    </row>
    <row r="498">
      <c r="A498" s="78" t="n">
        <v>46271</v>
      </c>
      <c r="B498" s="45" t="inlineStr">
        <is>
          <t>N6</t>
        </is>
      </c>
      <c r="C498" s="46" t="n">
        <v>77</v>
      </c>
      <c r="D498" s="46" t="n">
        <v>111</v>
      </c>
      <c r="E498" s="46" t="n">
        <v>149</v>
      </c>
      <c r="F498" s="46" t="n">
        <v>329</v>
      </c>
      <c r="G498" s="46" t="n">
        <v>196</v>
      </c>
      <c r="H498" s="46" t="n">
        <v>194</v>
      </c>
      <c r="I498" s="46" t="n">
        <v>114</v>
      </c>
      <c r="J498" s="46" t="n">
        <v>351</v>
      </c>
      <c r="K498" s="46" t="n">
        <v>354</v>
      </c>
      <c r="L498" s="46" t="n">
        <v>220</v>
      </c>
      <c r="M498" s="46">
        <f>N498-SUM(C498:L498)</f>
        <v/>
      </c>
      <c r="N498" s="47" t="n">
        <v>2302</v>
      </c>
      <c r="O498" s="46" t="n">
        <v>38</v>
      </c>
      <c r="P498" s="46" t="n">
        <v>0</v>
      </c>
      <c r="Q498" s="46" t="n">
        <v>207</v>
      </c>
      <c r="R498" s="46" t="n">
        <v>564</v>
      </c>
      <c r="S498" s="46" t="n">
        <v>94</v>
      </c>
      <c r="T498" s="46" t="n">
        <v>233</v>
      </c>
      <c r="U498" s="46" t="n">
        <v>6</v>
      </c>
      <c r="V498" s="46" t="n">
        <v>54</v>
      </c>
      <c r="W498" s="46" t="n">
        <v>369</v>
      </c>
      <c r="X498" s="46" t="n">
        <v>737</v>
      </c>
      <c r="Y498" s="46" t="n">
        <v>0</v>
      </c>
    </row>
    <row r="499">
      <c r="A499" s="78" t="n">
        <v>46272</v>
      </c>
      <c r="B499" s="45" t="inlineStr">
        <is>
          <t>N6</t>
        </is>
      </c>
      <c r="C499" s="46" t="n">
        <v>67</v>
      </c>
      <c r="D499" s="46" t="n">
        <v>98</v>
      </c>
      <c r="E499" s="46" t="n">
        <v>131</v>
      </c>
      <c r="F499" s="46" t="n">
        <v>289</v>
      </c>
      <c r="G499" s="46" t="n">
        <v>173</v>
      </c>
      <c r="H499" s="46" t="n">
        <v>170</v>
      </c>
      <c r="I499" s="46" t="n">
        <v>100</v>
      </c>
      <c r="J499" s="46" t="n">
        <v>309</v>
      </c>
      <c r="K499" s="46" t="n">
        <v>311</v>
      </c>
      <c r="L499" s="46" t="n">
        <v>193</v>
      </c>
      <c r="M499" s="46">
        <f>N499-SUM(C499:L499)</f>
        <v/>
      </c>
      <c r="N499" s="47" t="n">
        <v>2023</v>
      </c>
      <c r="O499" s="46" t="n">
        <v>33</v>
      </c>
      <c r="P499" s="46" t="n">
        <v>0</v>
      </c>
      <c r="Q499" s="46" t="n">
        <v>180</v>
      </c>
      <c r="R499" s="46" t="n">
        <v>490</v>
      </c>
      <c r="S499" s="46" t="n">
        <v>82</v>
      </c>
      <c r="T499" s="46" t="n">
        <v>203</v>
      </c>
      <c r="U499" s="46" t="n">
        <v>5</v>
      </c>
      <c r="V499" s="46" t="n">
        <v>47</v>
      </c>
      <c r="W499" s="46" t="n">
        <v>321</v>
      </c>
      <c r="X499" s="46" t="n">
        <v>641</v>
      </c>
      <c r="Y499" s="46" t="n">
        <v>21</v>
      </c>
    </row>
    <row r="500">
      <c r="A500" s="78" t="n">
        <v>46273</v>
      </c>
      <c r="B500" s="45" t="inlineStr">
        <is>
          <t>N6</t>
        </is>
      </c>
      <c r="C500" s="46" t="n">
        <v>67</v>
      </c>
      <c r="D500" s="46" t="n">
        <v>98</v>
      </c>
      <c r="E500" s="46" t="n">
        <v>131</v>
      </c>
      <c r="F500" s="46" t="n">
        <v>290</v>
      </c>
      <c r="G500" s="46" t="n">
        <v>173</v>
      </c>
      <c r="H500" s="46" t="n">
        <v>170</v>
      </c>
      <c r="I500" s="46" t="n">
        <v>100</v>
      </c>
      <c r="J500" s="46" t="n">
        <v>309</v>
      </c>
      <c r="K500" s="46" t="n">
        <v>312</v>
      </c>
      <c r="L500" s="46" t="n">
        <v>193</v>
      </c>
      <c r="M500" s="46">
        <f>N500-SUM(C500:L500)</f>
        <v/>
      </c>
      <c r="N500" s="47" t="n">
        <v>2026</v>
      </c>
      <c r="O500" s="46" t="n">
        <v>33</v>
      </c>
      <c r="P500" s="46" t="n">
        <v>0</v>
      </c>
      <c r="Q500" s="46" t="n">
        <v>181</v>
      </c>
      <c r="R500" s="46" t="n">
        <v>490</v>
      </c>
      <c r="S500" s="46" t="n">
        <v>82</v>
      </c>
      <c r="T500" s="46" t="n">
        <v>203</v>
      </c>
      <c r="U500" s="46" t="n">
        <v>5</v>
      </c>
      <c r="V500" s="46" t="n">
        <v>47</v>
      </c>
      <c r="W500" s="46" t="n">
        <v>321</v>
      </c>
      <c r="X500" s="46" t="n">
        <v>642</v>
      </c>
      <c r="Y500" s="46" t="n">
        <v>22</v>
      </c>
    </row>
    <row r="501">
      <c r="A501" s="78" t="n">
        <v>46274</v>
      </c>
      <c r="B501" s="45" t="inlineStr">
        <is>
          <t>N6</t>
        </is>
      </c>
      <c r="C501" s="46" t="n">
        <v>67</v>
      </c>
      <c r="D501" s="46" t="n">
        <v>98</v>
      </c>
      <c r="E501" s="46" t="n">
        <v>131</v>
      </c>
      <c r="F501" s="46" t="n">
        <v>290</v>
      </c>
      <c r="G501" s="46" t="n">
        <v>173</v>
      </c>
      <c r="H501" s="46" t="n">
        <v>170</v>
      </c>
      <c r="I501" s="46" t="n">
        <v>100</v>
      </c>
      <c r="J501" s="46" t="n">
        <v>309</v>
      </c>
      <c r="K501" s="46" t="n">
        <v>312</v>
      </c>
      <c r="L501" s="46" t="n">
        <v>193</v>
      </c>
      <c r="M501" s="46">
        <f>N501-SUM(C501:L501)</f>
        <v/>
      </c>
      <c r="N501" s="47" t="n">
        <v>2026</v>
      </c>
      <c r="O501" s="46" t="n">
        <v>33</v>
      </c>
      <c r="P501" s="46" t="n">
        <v>0</v>
      </c>
      <c r="Q501" s="46" t="n">
        <v>181</v>
      </c>
      <c r="R501" s="46" t="n">
        <v>490</v>
      </c>
      <c r="S501" s="46" t="n">
        <v>82</v>
      </c>
      <c r="T501" s="46" t="n">
        <v>203</v>
      </c>
      <c r="U501" s="46" t="n">
        <v>5</v>
      </c>
      <c r="V501" s="46" t="n">
        <v>47</v>
      </c>
      <c r="W501" s="46" t="n">
        <v>321</v>
      </c>
      <c r="X501" s="46" t="n">
        <v>642</v>
      </c>
      <c r="Y501" s="46" t="n">
        <v>22</v>
      </c>
    </row>
    <row r="502">
      <c r="A502" s="78" t="n">
        <v>46275</v>
      </c>
      <c r="B502" s="45" t="inlineStr">
        <is>
          <t>N6</t>
        </is>
      </c>
      <c r="C502" s="46" t="n">
        <v>67</v>
      </c>
      <c r="D502" s="46" t="n">
        <v>98</v>
      </c>
      <c r="E502" s="46" t="n">
        <v>131</v>
      </c>
      <c r="F502" s="46" t="n">
        <v>290</v>
      </c>
      <c r="G502" s="46" t="n">
        <v>173</v>
      </c>
      <c r="H502" s="46" t="n">
        <v>170</v>
      </c>
      <c r="I502" s="46" t="n">
        <v>100</v>
      </c>
      <c r="J502" s="46" t="n">
        <v>309</v>
      </c>
      <c r="K502" s="46" t="n">
        <v>312</v>
      </c>
      <c r="L502" s="46" t="n">
        <v>193</v>
      </c>
      <c r="M502" s="46">
        <f>N502-SUM(C502:L502)</f>
        <v/>
      </c>
      <c r="N502" s="47" t="n">
        <v>2026</v>
      </c>
      <c r="O502" s="46" t="n">
        <v>33</v>
      </c>
      <c r="P502" s="46" t="n">
        <v>0</v>
      </c>
      <c r="Q502" s="46" t="n">
        <v>181</v>
      </c>
      <c r="R502" s="46" t="n">
        <v>490</v>
      </c>
      <c r="S502" s="46" t="n">
        <v>82</v>
      </c>
      <c r="T502" s="46" t="n">
        <v>203</v>
      </c>
      <c r="U502" s="46" t="n">
        <v>5</v>
      </c>
      <c r="V502" s="46" t="n">
        <v>47</v>
      </c>
      <c r="W502" s="46" t="n">
        <v>321</v>
      </c>
      <c r="X502" s="46" t="n">
        <v>642</v>
      </c>
      <c r="Y502" s="46" t="n">
        <v>22</v>
      </c>
    </row>
    <row r="503">
      <c r="A503" s="78" t="n">
        <v>46276</v>
      </c>
      <c r="B503" s="45" t="inlineStr">
        <is>
          <t>N6</t>
        </is>
      </c>
      <c r="C503" s="46" t="n">
        <v>67</v>
      </c>
      <c r="D503" s="46" t="n">
        <v>98</v>
      </c>
      <c r="E503" s="46" t="n">
        <v>131</v>
      </c>
      <c r="F503" s="46" t="n">
        <v>290</v>
      </c>
      <c r="G503" s="46" t="n">
        <v>173</v>
      </c>
      <c r="H503" s="46" t="n">
        <v>170</v>
      </c>
      <c r="I503" s="46" t="n">
        <v>100</v>
      </c>
      <c r="J503" s="46" t="n">
        <v>309</v>
      </c>
      <c r="K503" s="46" t="n">
        <v>312</v>
      </c>
      <c r="L503" s="46" t="n">
        <v>193</v>
      </c>
      <c r="M503" s="46">
        <f>N503-SUM(C503:L503)</f>
        <v/>
      </c>
      <c r="N503" s="47" t="n">
        <v>2027</v>
      </c>
      <c r="O503" s="46" t="n">
        <v>33</v>
      </c>
      <c r="P503" s="46" t="n">
        <v>0</v>
      </c>
      <c r="Q503" s="46" t="n">
        <v>181</v>
      </c>
      <c r="R503" s="46" t="n">
        <v>490</v>
      </c>
      <c r="S503" s="46" t="n">
        <v>82</v>
      </c>
      <c r="T503" s="46" t="n">
        <v>204</v>
      </c>
      <c r="U503" s="46" t="n">
        <v>5</v>
      </c>
      <c r="V503" s="46" t="n">
        <v>47</v>
      </c>
      <c r="W503" s="46" t="n">
        <v>321</v>
      </c>
      <c r="X503" s="46" t="n">
        <v>642</v>
      </c>
      <c r="Y503" s="46" t="n">
        <v>22</v>
      </c>
    </row>
    <row r="504">
      <c r="A504" s="78" t="n">
        <v>46277</v>
      </c>
      <c r="B504" s="45" t="inlineStr">
        <is>
          <t>N6</t>
        </is>
      </c>
      <c r="C504" s="46" t="n">
        <v>77</v>
      </c>
      <c r="D504" s="46" t="n">
        <v>111</v>
      </c>
      <c r="E504" s="46" t="n">
        <v>149</v>
      </c>
      <c r="F504" s="46" t="n">
        <v>330</v>
      </c>
      <c r="G504" s="46" t="n">
        <v>197</v>
      </c>
      <c r="H504" s="46" t="n">
        <v>194</v>
      </c>
      <c r="I504" s="46" t="n">
        <v>114</v>
      </c>
      <c r="J504" s="46" t="n">
        <v>352</v>
      </c>
      <c r="K504" s="46" t="n">
        <v>355</v>
      </c>
      <c r="L504" s="46" t="n">
        <v>220</v>
      </c>
      <c r="M504" s="46">
        <f>N504-SUM(C504:L504)</f>
        <v/>
      </c>
      <c r="N504" s="47" t="n">
        <v>2307</v>
      </c>
      <c r="O504" s="46" t="n">
        <v>39</v>
      </c>
      <c r="P504" s="46" t="n">
        <v>0</v>
      </c>
      <c r="Q504" s="46" t="n">
        <v>208</v>
      </c>
      <c r="R504" s="46" t="n">
        <v>564</v>
      </c>
      <c r="S504" s="46" t="n">
        <v>95</v>
      </c>
      <c r="T504" s="46" t="n">
        <v>234</v>
      </c>
      <c r="U504" s="46" t="n">
        <v>6</v>
      </c>
      <c r="V504" s="46" t="n">
        <v>54</v>
      </c>
      <c r="W504" s="46" t="n">
        <v>369</v>
      </c>
      <c r="X504" s="46" t="n">
        <v>738</v>
      </c>
      <c r="Y504" s="46" t="n">
        <v>0</v>
      </c>
    </row>
    <row r="505">
      <c r="A505" s="78" t="n">
        <v>46278</v>
      </c>
      <c r="B505" s="45" t="inlineStr">
        <is>
          <t>N6</t>
        </is>
      </c>
      <c r="C505" s="46" t="n">
        <v>77</v>
      </c>
      <c r="D505" s="46" t="n">
        <v>111</v>
      </c>
      <c r="E505" s="46" t="n">
        <v>149</v>
      </c>
      <c r="F505" s="46" t="n">
        <v>330</v>
      </c>
      <c r="G505" s="46" t="n">
        <v>197</v>
      </c>
      <c r="H505" s="46" t="n">
        <v>194</v>
      </c>
      <c r="I505" s="46" t="n">
        <v>114</v>
      </c>
      <c r="J505" s="46" t="n">
        <v>352</v>
      </c>
      <c r="K505" s="46" t="n">
        <v>355</v>
      </c>
      <c r="L505" s="46" t="n">
        <v>220</v>
      </c>
      <c r="M505" s="46">
        <f>N505-SUM(C505:L505)</f>
        <v/>
      </c>
      <c r="N505" s="47" t="n">
        <v>2307</v>
      </c>
      <c r="O505" s="46" t="n">
        <v>39</v>
      </c>
      <c r="P505" s="46" t="n">
        <v>0</v>
      </c>
      <c r="Q505" s="46" t="n">
        <v>208</v>
      </c>
      <c r="R505" s="46" t="n">
        <v>564</v>
      </c>
      <c r="S505" s="46" t="n">
        <v>95</v>
      </c>
      <c r="T505" s="46" t="n">
        <v>234</v>
      </c>
      <c r="U505" s="46" t="n">
        <v>6</v>
      </c>
      <c r="V505" s="46" t="n">
        <v>54</v>
      </c>
      <c r="W505" s="46" t="n">
        <v>369</v>
      </c>
      <c r="X505" s="46" t="n">
        <v>738</v>
      </c>
      <c r="Y505" s="46" t="n">
        <v>0</v>
      </c>
    </row>
    <row r="506">
      <c r="A506" s="78" t="n">
        <v>46279</v>
      </c>
      <c r="B506" s="45" t="inlineStr">
        <is>
          <t>N6</t>
        </is>
      </c>
      <c r="C506" s="46" t="n">
        <v>67</v>
      </c>
      <c r="D506" s="46" t="n">
        <v>98</v>
      </c>
      <c r="E506" s="46" t="n">
        <v>131</v>
      </c>
      <c r="F506" s="46" t="n">
        <v>290</v>
      </c>
      <c r="G506" s="46" t="n">
        <v>173</v>
      </c>
      <c r="H506" s="46" t="n">
        <v>171</v>
      </c>
      <c r="I506" s="46" t="n">
        <v>101</v>
      </c>
      <c r="J506" s="46" t="n">
        <v>309</v>
      </c>
      <c r="K506" s="46" t="n">
        <v>312</v>
      </c>
      <c r="L506" s="46" t="n">
        <v>194</v>
      </c>
      <c r="M506" s="46">
        <f>N506-SUM(C506:L506)</f>
        <v/>
      </c>
      <c r="N506" s="47" t="n">
        <v>2029</v>
      </c>
      <c r="O506" s="46" t="n">
        <v>34</v>
      </c>
      <c r="P506" s="46" t="n">
        <v>0</v>
      </c>
      <c r="Q506" s="46" t="n">
        <v>181</v>
      </c>
      <c r="R506" s="46" t="n">
        <v>490</v>
      </c>
      <c r="S506" s="46" t="n">
        <v>83</v>
      </c>
      <c r="T506" s="46" t="n">
        <v>204</v>
      </c>
      <c r="U506" s="46" t="n">
        <v>5</v>
      </c>
      <c r="V506" s="46" t="n">
        <v>47</v>
      </c>
      <c r="W506" s="46" t="n">
        <v>321</v>
      </c>
      <c r="X506" s="46" t="n">
        <v>642</v>
      </c>
      <c r="Y506" s="46" t="n">
        <v>22</v>
      </c>
    </row>
    <row r="507">
      <c r="A507" s="78" t="n">
        <v>46280</v>
      </c>
      <c r="B507" s="45" t="inlineStr">
        <is>
          <t>N6</t>
        </is>
      </c>
      <c r="C507" s="46" t="n">
        <v>67</v>
      </c>
      <c r="D507" s="46" t="n">
        <v>98</v>
      </c>
      <c r="E507" s="46" t="n">
        <v>131</v>
      </c>
      <c r="F507" s="46" t="n">
        <v>290</v>
      </c>
      <c r="G507" s="46" t="n">
        <v>173</v>
      </c>
      <c r="H507" s="46" t="n">
        <v>171</v>
      </c>
      <c r="I507" s="46" t="n">
        <v>101</v>
      </c>
      <c r="J507" s="46" t="n">
        <v>309</v>
      </c>
      <c r="K507" s="46" t="n">
        <v>312</v>
      </c>
      <c r="L507" s="46" t="n">
        <v>194</v>
      </c>
      <c r="M507" s="46">
        <f>N507-SUM(C507:L507)</f>
        <v/>
      </c>
      <c r="N507" s="47" t="n">
        <v>2029</v>
      </c>
      <c r="O507" s="46" t="n">
        <v>34</v>
      </c>
      <c r="P507" s="46" t="n">
        <v>0</v>
      </c>
      <c r="Q507" s="46" t="n">
        <v>181</v>
      </c>
      <c r="R507" s="46" t="n">
        <v>490</v>
      </c>
      <c r="S507" s="46" t="n">
        <v>83</v>
      </c>
      <c r="T507" s="46" t="n">
        <v>204</v>
      </c>
      <c r="U507" s="46" t="n">
        <v>5</v>
      </c>
      <c r="V507" s="46" t="n">
        <v>47</v>
      </c>
      <c r="W507" s="46" t="n">
        <v>321</v>
      </c>
      <c r="X507" s="46" t="n">
        <v>642</v>
      </c>
      <c r="Y507" s="46" t="n">
        <v>22</v>
      </c>
    </row>
    <row r="508">
      <c r="A508" s="78" t="n">
        <v>46281</v>
      </c>
      <c r="B508" s="45" t="inlineStr">
        <is>
          <t>N6</t>
        </is>
      </c>
      <c r="C508" s="46" t="n">
        <v>67</v>
      </c>
      <c r="D508" s="46" t="n">
        <v>98</v>
      </c>
      <c r="E508" s="46" t="n">
        <v>131</v>
      </c>
      <c r="F508" s="46" t="n">
        <v>290</v>
      </c>
      <c r="G508" s="46" t="n">
        <v>173</v>
      </c>
      <c r="H508" s="46" t="n">
        <v>171</v>
      </c>
      <c r="I508" s="46" t="n">
        <v>101</v>
      </c>
      <c r="J508" s="46" t="n">
        <v>309</v>
      </c>
      <c r="K508" s="46" t="n">
        <v>312</v>
      </c>
      <c r="L508" s="46" t="n">
        <v>194</v>
      </c>
      <c r="M508" s="46">
        <f>N508-SUM(C508:L508)</f>
        <v/>
      </c>
      <c r="N508" s="47" t="n">
        <v>2029</v>
      </c>
      <c r="O508" s="46" t="n">
        <v>34</v>
      </c>
      <c r="P508" s="46" t="n">
        <v>0</v>
      </c>
      <c r="Q508" s="46" t="n">
        <v>181</v>
      </c>
      <c r="R508" s="46" t="n">
        <v>490</v>
      </c>
      <c r="S508" s="46" t="n">
        <v>83</v>
      </c>
      <c r="T508" s="46" t="n">
        <v>204</v>
      </c>
      <c r="U508" s="46" t="n">
        <v>5</v>
      </c>
      <c r="V508" s="46" t="n">
        <v>47</v>
      </c>
      <c r="W508" s="46" t="n">
        <v>321</v>
      </c>
      <c r="X508" s="46" t="n">
        <v>642</v>
      </c>
      <c r="Y508" s="46" t="n">
        <v>22</v>
      </c>
    </row>
    <row r="509">
      <c r="A509" s="78" t="n">
        <v>46282</v>
      </c>
      <c r="B509" s="45" t="inlineStr">
        <is>
          <t>N6</t>
        </is>
      </c>
      <c r="C509" s="46" t="n">
        <v>67</v>
      </c>
      <c r="D509" s="46" t="n">
        <v>98</v>
      </c>
      <c r="E509" s="46" t="n">
        <v>131</v>
      </c>
      <c r="F509" s="46" t="n">
        <v>290</v>
      </c>
      <c r="G509" s="46" t="n">
        <v>173</v>
      </c>
      <c r="H509" s="46" t="n">
        <v>171</v>
      </c>
      <c r="I509" s="46" t="n">
        <v>101</v>
      </c>
      <c r="J509" s="46" t="n">
        <v>309</v>
      </c>
      <c r="K509" s="46" t="n">
        <v>312</v>
      </c>
      <c r="L509" s="46" t="n">
        <v>194</v>
      </c>
      <c r="M509" s="46">
        <f>N509-SUM(C509:L509)</f>
        <v/>
      </c>
      <c r="N509" s="47" t="n">
        <v>2029</v>
      </c>
      <c r="O509" s="46" t="n">
        <v>34</v>
      </c>
      <c r="P509" s="46" t="n">
        <v>0</v>
      </c>
      <c r="Q509" s="46" t="n">
        <v>181</v>
      </c>
      <c r="R509" s="46" t="n">
        <v>490</v>
      </c>
      <c r="S509" s="46" t="n">
        <v>83</v>
      </c>
      <c r="T509" s="46" t="n">
        <v>204</v>
      </c>
      <c r="U509" s="46" t="n">
        <v>5</v>
      </c>
      <c r="V509" s="46" t="n">
        <v>47</v>
      </c>
      <c r="W509" s="46" t="n">
        <v>321</v>
      </c>
      <c r="X509" s="46" t="n">
        <v>642</v>
      </c>
      <c r="Y509" s="46" t="n">
        <v>22</v>
      </c>
    </row>
    <row r="510">
      <c r="A510" s="78" t="n">
        <v>46283</v>
      </c>
      <c r="B510" s="45" t="inlineStr">
        <is>
          <t>N6</t>
        </is>
      </c>
      <c r="C510" s="46" t="n">
        <v>67</v>
      </c>
      <c r="D510" s="46" t="n">
        <v>98</v>
      </c>
      <c r="E510" s="46" t="n">
        <v>131</v>
      </c>
      <c r="F510" s="46" t="n">
        <v>290</v>
      </c>
      <c r="G510" s="46" t="n">
        <v>173</v>
      </c>
      <c r="H510" s="46" t="n">
        <v>171</v>
      </c>
      <c r="I510" s="46" t="n">
        <v>101</v>
      </c>
      <c r="J510" s="46" t="n">
        <v>309</v>
      </c>
      <c r="K510" s="46" t="n">
        <v>312</v>
      </c>
      <c r="L510" s="46" t="n">
        <v>194</v>
      </c>
      <c r="M510" s="46">
        <f>N510-SUM(C510:L510)</f>
        <v/>
      </c>
      <c r="N510" s="47" t="n">
        <v>2029</v>
      </c>
      <c r="O510" s="46" t="n">
        <v>34</v>
      </c>
      <c r="P510" s="46" t="n">
        <v>0</v>
      </c>
      <c r="Q510" s="46" t="n">
        <v>181</v>
      </c>
      <c r="R510" s="46" t="n">
        <v>490</v>
      </c>
      <c r="S510" s="46" t="n">
        <v>83</v>
      </c>
      <c r="T510" s="46" t="n">
        <v>204</v>
      </c>
      <c r="U510" s="46" t="n">
        <v>5</v>
      </c>
      <c r="V510" s="46" t="n">
        <v>47</v>
      </c>
      <c r="W510" s="46" t="n">
        <v>321</v>
      </c>
      <c r="X510" s="46" t="n">
        <v>642</v>
      </c>
      <c r="Y510" s="46" t="n">
        <v>22</v>
      </c>
    </row>
    <row r="511">
      <c r="A511" s="78" t="n">
        <v>46284</v>
      </c>
      <c r="B511" s="45" t="inlineStr">
        <is>
          <t>N6</t>
        </is>
      </c>
      <c r="C511" s="46" t="n">
        <v>77</v>
      </c>
      <c r="D511" s="46" t="n">
        <v>111</v>
      </c>
      <c r="E511" s="46" t="n">
        <v>149</v>
      </c>
      <c r="F511" s="46" t="n">
        <v>330</v>
      </c>
      <c r="G511" s="46" t="n">
        <v>197</v>
      </c>
      <c r="H511" s="46" t="n">
        <v>194</v>
      </c>
      <c r="I511" s="46" t="n">
        <v>114</v>
      </c>
      <c r="J511" s="46" t="n">
        <v>352</v>
      </c>
      <c r="K511" s="46" t="n">
        <v>355</v>
      </c>
      <c r="L511" s="46" t="n">
        <v>220</v>
      </c>
      <c r="M511" s="46">
        <f>N511-SUM(C511:L511)</f>
        <v/>
      </c>
      <c r="N511" s="47" t="n">
        <v>2307</v>
      </c>
      <c r="O511" s="46" t="n">
        <v>39</v>
      </c>
      <c r="P511" s="46" t="n">
        <v>0</v>
      </c>
      <c r="Q511" s="46" t="n">
        <v>208</v>
      </c>
      <c r="R511" s="46" t="n">
        <v>564</v>
      </c>
      <c r="S511" s="46" t="n">
        <v>95</v>
      </c>
      <c r="T511" s="46" t="n">
        <v>234</v>
      </c>
      <c r="U511" s="46" t="n">
        <v>6</v>
      </c>
      <c r="V511" s="46" t="n">
        <v>54</v>
      </c>
      <c r="W511" s="46" t="n">
        <v>369</v>
      </c>
      <c r="X511" s="46" t="n">
        <v>738</v>
      </c>
      <c r="Y511" s="46" t="n">
        <v>0</v>
      </c>
    </row>
    <row r="512">
      <c r="A512" s="78" t="n">
        <v>46285</v>
      </c>
      <c r="B512" s="45" t="inlineStr">
        <is>
          <t>N6</t>
        </is>
      </c>
      <c r="C512" s="46" t="n">
        <v>67</v>
      </c>
      <c r="D512" s="46" t="n">
        <v>98</v>
      </c>
      <c r="E512" s="46" t="n">
        <v>131</v>
      </c>
      <c r="F512" s="46" t="n">
        <v>290</v>
      </c>
      <c r="G512" s="46" t="n">
        <v>173</v>
      </c>
      <c r="H512" s="46" t="n">
        <v>171</v>
      </c>
      <c r="I512" s="46" t="n">
        <v>101</v>
      </c>
      <c r="J512" s="46" t="n">
        <v>309</v>
      </c>
      <c r="K512" s="46" t="n">
        <v>312</v>
      </c>
      <c r="L512" s="46" t="n">
        <v>194</v>
      </c>
      <c r="M512" s="46">
        <f>N512-SUM(C512:L512)</f>
        <v/>
      </c>
      <c r="N512" s="47" t="n">
        <v>2029</v>
      </c>
      <c r="O512" s="46" t="n">
        <v>34</v>
      </c>
      <c r="P512" s="46" t="n">
        <v>0</v>
      </c>
      <c r="Q512" s="46" t="n">
        <v>181</v>
      </c>
      <c r="R512" s="46" t="n">
        <v>490</v>
      </c>
      <c r="S512" s="46" t="n">
        <v>83</v>
      </c>
      <c r="T512" s="46" t="n">
        <v>204</v>
      </c>
      <c r="U512" s="46" t="n">
        <v>5</v>
      </c>
      <c r="V512" s="46" t="n">
        <v>47</v>
      </c>
      <c r="W512" s="46" t="n">
        <v>321</v>
      </c>
      <c r="X512" s="46" t="n">
        <v>642</v>
      </c>
      <c r="Y512" s="46" t="n">
        <v>22</v>
      </c>
    </row>
    <row r="513">
      <c r="A513" s="78" t="n">
        <v>46286</v>
      </c>
      <c r="B513" s="45" t="inlineStr">
        <is>
          <t>N6</t>
        </is>
      </c>
      <c r="C513" s="46" t="n">
        <v>67</v>
      </c>
      <c r="D513" s="46" t="n">
        <v>98</v>
      </c>
      <c r="E513" s="46" t="n">
        <v>131</v>
      </c>
      <c r="F513" s="46" t="n">
        <v>290</v>
      </c>
      <c r="G513" s="46" t="n">
        <v>173</v>
      </c>
      <c r="H513" s="46" t="n">
        <v>171</v>
      </c>
      <c r="I513" s="46" t="n">
        <v>101</v>
      </c>
      <c r="J513" s="46" t="n">
        <v>309</v>
      </c>
      <c r="K513" s="46" t="n">
        <v>312</v>
      </c>
      <c r="L513" s="46" t="n">
        <v>194</v>
      </c>
      <c r="M513" s="46">
        <f>N513-SUM(C513:L513)</f>
        <v/>
      </c>
      <c r="N513" s="47" t="n">
        <v>2029</v>
      </c>
      <c r="O513" s="46" t="n">
        <v>34</v>
      </c>
      <c r="P513" s="46" t="n">
        <v>0</v>
      </c>
      <c r="Q513" s="46" t="n">
        <v>181</v>
      </c>
      <c r="R513" s="46" t="n">
        <v>490</v>
      </c>
      <c r="S513" s="46" t="n">
        <v>83</v>
      </c>
      <c r="T513" s="46" t="n">
        <v>204</v>
      </c>
      <c r="U513" s="46" t="n">
        <v>5</v>
      </c>
      <c r="V513" s="46" t="n">
        <v>47</v>
      </c>
      <c r="W513" s="46" t="n">
        <v>321</v>
      </c>
      <c r="X513" s="46" t="n">
        <v>642</v>
      </c>
      <c r="Y513" s="46" t="n">
        <v>22</v>
      </c>
    </row>
    <row r="514">
      <c r="A514" s="78" t="n">
        <v>46287</v>
      </c>
      <c r="B514" s="45" t="inlineStr">
        <is>
          <t>N6</t>
        </is>
      </c>
      <c r="C514" s="46" t="n">
        <v>67</v>
      </c>
      <c r="D514" s="46" t="n">
        <v>98</v>
      </c>
      <c r="E514" s="46" t="n">
        <v>131</v>
      </c>
      <c r="F514" s="46" t="n">
        <v>290</v>
      </c>
      <c r="G514" s="46" t="n">
        <v>173</v>
      </c>
      <c r="H514" s="46" t="n">
        <v>171</v>
      </c>
      <c r="I514" s="46" t="n">
        <v>101</v>
      </c>
      <c r="J514" s="46" t="n">
        <v>309</v>
      </c>
      <c r="K514" s="46" t="n">
        <v>312</v>
      </c>
      <c r="L514" s="46" t="n">
        <v>194</v>
      </c>
      <c r="M514" s="46">
        <f>N514-SUM(C514:L514)</f>
        <v/>
      </c>
      <c r="N514" s="47" t="n">
        <v>2029</v>
      </c>
      <c r="O514" s="46" t="n">
        <v>34</v>
      </c>
      <c r="P514" s="46" t="n">
        <v>0</v>
      </c>
      <c r="Q514" s="46" t="n">
        <v>181</v>
      </c>
      <c r="R514" s="46" t="n">
        <v>490</v>
      </c>
      <c r="S514" s="46" t="n">
        <v>83</v>
      </c>
      <c r="T514" s="46" t="n">
        <v>204</v>
      </c>
      <c r="U514" s="46" t="n">
        <v>5</v>
      </c>
      <c r="V514" s="46" t="n">
        <v>47</v>
      </c>
      <c r="W514" s="46" t="n">
        <v>321</v>
      </c>
      <c r="X514" s="46" t="n">
        <v>642</v>
      </c>
      <c r="Y514" s="46" t="n">
        <v>22</v>
      </c>
    </row>
    <row r="515">
      <c r="A515" s="78" t="n">
        <v>46288</v>
      </c>
      <c r="B515" s="45" t="inlineStr">
        <is>
          <t>N6</t>
        </is>
      </c>
      <c r="C515" s="46" t="n">
        <v>67</v>
      </c>
      <c r="D515" s="46" t="n">
        <v>98</v>
      </c>
      <c r="E515" s="46" t="n">
        <v>131</v>
      </c>
      <c r="F515" s="46" t="n">
        <v>290</v>
      </c>
      <c r="G515" s="46" t="n">
        <v>173</v>
      </c>
      <c r="H515" s="46" t="n">
        <v>171</v>
      </c>
      <c r="I515" s="46" t="n">
        <v>101</v>
      </c>
      <c r="J515" s="46" t="n">
        <v>309</v>
      </c>
      <c r="K515" s="46" t="n">
        <v>312</v>
      </c>
      <c r="L515" s="46" t="n">
        <v>194</v>
      </c>
      <c r="M515" s="46">
        <f>N515-SUM(C515:L515)</f>
        <v/>
      </c>
      <c r="N515" s="47" t="n">
        <v>2029</v>
      </c>
      <c r="O515" s="46" t="n">
        <v>34</v>
      </c>
      <c r="P515" s="46" t="n">
        <v>0</v>
      </c>
      <c r="Q515" s="46" t="n">
        <v>181</v>
      </c>
      <c r="R515" s="46" t="n">
        <v>490</v>
      </c>
      <c r="S515" s="46" t="n">
        <v>83</v>
      </c>
      <c r="T515" s="46" t="n">
        <v>204</v>
      </c>
      <c r="U515" s="46" t="n">
        <v>5</v>
      </c>
      <c r="V515" s="46" t="n">
        <v>47</v>
      </c>
      <c r="W515" s="46" t="n">
        <v>321</v>
      </c>
      <c r="X515" s="46" t="n">
        <v>642</v>
      </c>
      <c r="Y515" s="46" t="n">
        <v>22</v>
      </c>
    </row>
    <row r="516">
      <c r="A516" s="78" t="n">
        <v>46289</v>
      </c>
      <c r="B516" s="45" t="inlineStr">
        <is>
          <t>N6</t>
        </is>
      </c>
      <c r="C516" s="46" t="n">
        <v>68</v>
      </c>
      <c r="D516" s="46" t="n">
        <v>98</v>
      </c>
      <c r="E516" s="46" t="n">
        <v>131</v>
      </c>
      <c r="F516" s="46" t="n">
        <v>290</v>
      </c>
      <c r="G516" s="46" t="n">
        <v>173</v>
      </c>
      <c r="H516" s="46" t="n">
        <v>171</v>
      </c>
      <c r="I516" s="46" t="n">
        <v>101</v>
      </c>
      <c r="J516" s="46" t="n">
        <v>310</v>
      </c>
      <c r="K516" s="46" t="n">
        <v>312</v>
      </c>
      <c r="L516" s="46" t="n">
        <v>195</v>
      </c>
      <c r="M516" s="46">
        <f>N516-SUM(C516:L516)</f>
        <v/>
      </c>
      <c r="N516" s="47" t="n">
        <v>2030</v>
      </c>
      <c r="O516" s="46" t="n">
        <v>34</v>
      </c>
      <c r="P516" s="46" t="n">
        <v>0</v>
      </c>
      <c r="Q516" s="46" t="n">
        <v>181</v>
      </c>
      <c r="R516" s="46" t="n">
        <v>491</v>
      </c>
      <c r="S516" s="46" t="n">
        <v>83</v>
      </c>
      <c r="T516" s="46" t="n">
        <v>204</v>
      </c>
      <c r="U516" s="46" t="n">
        <v>5</v>
      </c>
      <c r="V516" s="46" t="n">
        <v>47</v>
      </c>
      <c r="W516" s="46" t="n">
        <v>321</v>
      </c>
      <c r="X516" s="46" t="n">
        <v>642</v>
      </c>
      <c r="Y516" s="46" t="n">
        <v>22</v>
      </c>
    </row>
    <row r="517">
      <c r="A517" s="78" t="n">
        <v>46290</v>
      </c>
      <c r="B517" s="45" t="inlineStr">
        <is>
          <t>N6</t>
        </is>
      </c>
      <c r="C517" s="46" t="n">
        <v>77</v>
      </c>
      <c r="D517" s="46" t="n">
        <v>112</v>
      </c>
      <c r="E517" s="46" t="n">
        <v>149</v>
      </c>
      <c r="F517" s="46" t="n">
        <v>330</v>
      </c>
      <c r="G517" s="46" t="n">
        <v>197</v>
      </c>
      <c r="H517" s="46" t="n">
        <v>194</v>
      </c>
      <c r="I517" s="46" t="n">
        <v>114</v>
      </c>
      <c r="J517" s="46" t="n">
        <v>352</v>
      </c>
      <c r="K517" s="46" t="n">
        <v>355</v>
      </c>
      <c r="L517" s="46" t="n">
        <v>220</v>
      </c>
      <c r="M517" s="46">
        <f>N517-SUM(C517:L517)</f>
        <v/>
      </c>
      <c r="N517" s="47" t="n">
        <v>2308</v>
      </c>
      <c r="O517" s="46" t="n">
        <v>39</v>
      </c>
      <c r="P517" s="46" t="n">
        <v>0</v>
      </c>
      <c r="Q517" s="46" t="n">
        <v>208</v>
      </c>
      <c r="R517" s="46" t="n">
        <v>565</v>
      </c>
      <c r="S517" s="46" t="n">
        <v>95</v>
      </c>
      <c r="T517" s="46" t="n">
        <v>234</v>
      </c>
      <c r="U517" s="46" t="n">
        <v>6</v>
      </c>
      <c r="V517" s="46" t="n">
        <v>54</v>
      </c>
      <c r="W517" s="46" t="n">
        <v>369</v>
      </c>
      <c r="X517" s="46" t="n">
        <v>738</v>
      </c>
      <c r="Y517" s="46" t="n">
        <v>0</v>
      </c>
    </row>
    <row r="518">
      <c r="A518" s="78" t="n">
        <v>46291</v>
      </c>
      <c r="B518" s="45" t="inlineStr">
        <is>
          <t>N6</t>
        </is>
      </c>
      <c r="C518" s="46" t="n">
        <v>77</v>
      </c>
      <c r="D518" s="46" t="n">
        <v>112</v>
      </c>
      <c r="E518" s="46" t="n">
        <v>149</v>
      </c>
      <c r="F518" s="46" t="n">
        <v>330</v>
      </c>
      <c r="G518" s="46" t="n">
        <v>197</v>
      </c>
      <c r="H518" s="46" t="n">
        <v>194</v>
      </c>
      <c r="I518" s="46" t="n">
        <v>114</v>
      </c>
      <c r="J518" s="46" t="n">
        <v>352</v>
      </c>
      <c r="K518" s="46" t="n">
        <v>355</v>
      </c>
      <c r="L518" s="46" t="n">
        <v>220</v>
      </c>
      <c r="M518" s="46">
        <f>N518-SUM(C518:L518)</f>
        <v/>
      </c>
      <c r="N518" s="47" t="n">
        <v>2308</v>
      </c>
      <c r="O518" s="46" t="n">
        <v>39</v>
      </c>
      <c r="P518" s="46" t="n">
        <v>0</v>
      </c>
      <c r="Q518" s="46" t="n">
        <v>208</v>
      </c>
      <c r="R518" s="46" t="n">
        <v>565</v>
      </c>
      <c r="S518" s="46" t="n">
        <v>95</v>
      </c>
      <c r="T518" s="46" t="n">
        <v>234</v>
      </c>
      <c r="U518" s="46" t="n">
        <v>6</v>
      </c>
      <c r="V518" s="46" t="n">
        <v>54</v>
      </c>
      <c r="W518" s="46" t="n">
        <v>369</v>
      </c>
      <c r="X518" s="46" t="n">
        <v>738</v>
      </c>
      <c r="Y518" s="46" t="n">
        <v>0</v>
      </c>
    </row>
    <row r="519">
      <c r="A519" s="78" t="n">
        <v>46292</v>
      </c>
      <c r="B519" s="45" t="inlineStr">
        <is>
          <t>N6</t>
        </is>
      </c>
      <c r="C519" s="46" t="n">
        <v>77</v>
      </c>
      <c r="D519" s="46" t="n">
        <v>112</v>
      </c>
      <c r="E519" s="46" t="n">
        <v>149</v>
      </c>
      <c r="F519" s="46" t="n">
        <v>330</v>
      </c>
      <c r="G519" s="46" t="n">
        <v>197</v>
      </c>
      <c r="H519" s="46" t="n">
        <v>194</v>
      </c>
      <c r="I519" s="46" t="n">
        <v>114</v>
      </c>
      <c r="J519" s="46" t="n">
        <v>352</v>
      </c>
      <c r="K519" s="46" t="n">
        <v>355</v>
      </c>
      <c r="L519" s="46" t="n">
        <v>220</v>
      </c>
      <c r="M519" s="46">
        <f>N519-SUM(C519:L519)</f>
        <v/>
      </c>
      <c r="N519" s="47" t="n">
        <v>2309</v>
      </c>
      <c r="O519" s="46" t="n">
        <v>39</v>
      </c>
      <c r="P519" s="46" t="n">
        <v>1</v>
      </c>
      <c r="Q519" s="46" t="n">
        <v>208</v>
      </c>
      <c r="R519" s="46" t="n">
        <v>565</v>
      </c>
      <c r="S519" s="46" t="n">
        <v>95</v>
      </c>
      <c r="T519" s="46" t="n">
        <v>234</v>
      </c>
      <c r="U519" s="46" t="n">
        <v>6</v>
      </c>
      <c r="V519" s="46" t="n">
        <v>54</v>
      </c>
      <c r="W519" s="46" t="n">
        <v>369</v>
      </c>
      <c r="X519" s="46" t="n">
        <v>738</v>
      </c>
      <c r="Y519" s="46" t="n">
        <v>0</v>
      </c>
    </row>
    <row r="520">
      <c r="A520" s="78" t="n">
        <v>46293</v>
      </c>
      <c r="B520" s="45" t="inlineStr">
        <is>
          <t>N6</t>
        </is>
      </c>
      <c r="C520" s="46" t="n">
        <v>68</v>
      </c>
      <c r="D520" s="46" t="n">
        <v>98</v>
      </c>
      <c r="E520" s="46" t="n">
        <v>131</v>
      </c>
      <c r="F520" s="46" t="n">
        <v>291</v>
      </c>
      <c r="G520" s="46" t="n">
        <v>173</v>
      </c>
      <c r="H520" s="46" t="n">
        <v>171</v>
      </c>
      <c r="I520" s="46" t="n">
        <v>101</v>
      </c>
      <c r="J520" s="46" t="n">
        <v>310</v>
      </c>
      <c r="K520" s="46" t="n">
        <v>312</v>
      </c>
      <c r="L520" s="46" t="n">
        <v>195</v>
      </c>
      <c r="M520" s="46">
        <f>N520-SUM(C520:L520)</f>
        <v/>
      </c>
      <c r="N520" s="47" t="n">
        <v>2031</v>
      </c>
      <c r="O520" s="46" t="n">
        <v>34</v>
      </c>
      <c r="P520" s="46" t="n">
        <v>1</v>
      </c>
      <c r="Q520" s="46" t="n">
        <v>181</v>
      </c>
      <c r="R520" s="46" t="n">
        <v>491</v>
      </c>
      <c r="S520" s="46" t="n">
        <v>83</v>
      </c>
      <c r="T520" s="46" t="n">
        <v>204</v>
      </c>
      <c r="U520" s="46" t="n">
        <v>5</v>
      </c>
      <c r="V520" s="46" t="n">
        <v>47</v>
      </c>
      <c r="W520" s="46" t="n">
        <v>321</v>
      </c>
      <c r="X520" s="46" t="n">
        <v>642</v>
      </c>
      <c r="Y520" s="46" t="n">
        <v>22</v>
      </c>
    </row>
    <row r="521">
      <c r="A521" s="78" t="n">
        <v>46294</v>
      </c>
      <c r="B521" s="45" t="inlineStr">
        <is>
          <t>N6</t>
        </is>
      </c>
      <c r="C521" s="46" t="n">
        <v>68</v>
      </c>
      <c r="D521" s="46" t="n">
        <v>98</v>
      </c>
      <c r="E521" s="46" t="n">
        <v>131</v>
      </c>
      <c r="F521" s="46" t="n">
        <v>291</v>
      </c>
      <c r="G521" s="46" t="n">
        <v>173</v>
      </c>
      <c r="H521" s="46" t="n">
        <v>171</v>
      </c>
      <c r="I521" s="46" t="n">
        <v>101</v>
      </c>
      <c r="J521" s="46" t="n">
        <v>310</v>
      </c>
      <c r="K521" s="46" t="n">
        <v>312</v>
      </c>
      <c r="L521" s="46" t="n">
        <v>195</v>
      </c>
      <c r="M521" s="46">
        <f>N521-SUM(C521:L521)</f>
        <v/>
      </c>
      <c r="N521" s="47" t="n">
        <v>2031</v>
      </c>
      <c r="O521" s="46" t="n">
        <v>34</v>
      </c>
      <c r="P521" s="46" t="n">
        <v>1</v>
      </c>
      <c r="Q521" s="46" t="n">
        <v>181</v>
      </c>
      <c r="R521" s="46" t="n">
        <v>491</v>
      </c>
      <c r="S521" s="46" t="n">
        <v>83</v>
      </c>
      <c r="T521" s="46" t="n">
        <v>204</v>
      </c>
      <c r="U521" s="46" t="n">
        <v>5</v>
      </c>
      <c r="V521" s="46" t="n">
        <v>47</v>
      </c>
      <c r="W521" s="46" t="n">
        <v>321</v>
      </c>
      <c r="X521" s="46" t="n">
        <v>642</v>
      </c>
      <c r="Y521" s="46" t="n">
        <v>22</v>
      </c>
    </row>
    <row r="522">
      <c r="A522" s="78" t="n">
        <v>46295</v>
      </c>
      <c r="B522" s="45" t="inlineStr">
        <is>
          <t>N6</t>
        </is>
      </c>
      <c r="C522" s="46" t="n">
        <v>68</v>
      </c>
      <c r="D522" s="46" t="n">
        <v>98</v>
      </c>
      <c r="E522" s="46" t="n">
        <v>131</v>
      </c>
      <c r="F522" s="46" t="n">
        <v>291</v>
      </c>
      <c r="G522" s="46" t="n">
        <v>173</v>
      </c>
      <c r="H522" s="46" t="n">
        <v>171</v>
      </c>
      <c r="I522" s="46" t="n">
        <v>101</v>
      </c>
      <c r="J522" s="46" t="n">
        <v>310</v>
      </c>
      <c r="K522" s="46" t="n">
        <v>312</v>
      </c>
      <c r="L522" s="46" t="n">
        <v>195</v>
      </c>
      <c r="M522" s="46">
        <f>N522-SUM(C522:L522)</f>
        <v/>
      </c>
      <c r="N522" s="47" t="n">
        <v>2031</v>
      </c>
      <c r="O522" s="46" t="n">
        <v>34</v>
      </c>
      <c r="P522" s="46" t="n">
        <v>1</v>
      </c>
      <c r="Q522" s="46" t="n">
        <v>181</v>
      </c>
      <c r="R522" s="46" t="n">
        <v>491</v>
      </c>
      <c r="S522" s="46" t="n">
        <v>83</v>
      </c>
      <c r="T522" s="46" t="n">
        <v>204</v>
      </c>
      <c r="U522" s="46" t="n">
        <v>5</v>
      </c>
      <c r="V522" s="46" t="n">
        <v>47</v>
      </c>
      <c r="W522" s="46" t="n">
        <v>321</v>
      </c>
      <c r="X522" s="46" t="n">
        <v>642</v>
      </c>
      <c r="Y522" s="46" t="n">
        <v>22</v>
      </c>
    </row>
    <row r="523">
      <c r="A523" s="78" t="n">
        <v>46296</v>
      </c>
      <c r="B523" s="45" t="inlineStr">
        <is>
          <t>N6</t>
        </is>
      </c>
      <c r="C523" s="46" t="n"/>
      <c r="D523" s="46" t="n"/>
      <c r="E523" s="46" t="n"/>
      <c r="F523" s="46" t="n"/>
      <c r="G523" s="46" t="n"/>
      <c r="H523" s="46" t="n"/>
      <c r="I523" s="46" t="n"/>
      <c r="J523" s="46" t="n"/>
      <c r="K523" s="46" t="n"/>
      <c r="L523" s="46" t="n"/>
      <c r="M523" s="46">
        <f>N523-SUM(C523:L523)</f>
        <v/>
      </c>
      <c r="N523" s="47" t="n"/>
      <c r="O523" s="46" t="n"/>
      <c r="P523" s="46" t="n"/>
      <c r="Q523" s="46" t="n"/>
      <c r="R523" s="46" t="n"/>
      <c r="S523" s="46" t="n"/>
      <c r="T523" s="46" t="n"/>
      <c r="U523" s="46" t="n"/>
      <c r="V523" s="46" t="n"/>
      <c r="W523" s="46" t="n"/>
      <c r="X523" s="46" t="n"/>
      <c r="Y523" s="46" t="n"/>
    </row>
    <row r="524">
      <c r="A524" s="78" t="n">
        <v>46297</v>
      </c>
      <c r="B524" s="45" t="inlineStr">
        <is>
          <t>N6</t>
        </is>
      </c>
      <c r="C524" s="46" t="n"/>
      <c r="D524" s="46" t="n"/>
      <c r="E524" s="46" t="n"/>
      <c r="F524" s="46" t="n"/>
      <c r="G524" s="46" t="n"/>
      <c r="H524" s="46" t="n"/>
      <c r="I524" s="46" t="n"/>
      <c r="J524" s="46" t="n"/>
      <c r="K524" s="46" t="n"/>
      <c r="L524" s="46" t="n"/>
      <c r="M524" s="46">
        <f>N524-SUM(C524:L524)</f>
        <v/>
      </c>
      <c r="N524" s="47" t="n"/>
      <c r="O524" s="46" t="n"/>
      <c r="P524" s="46" t="n"/>
      <c r="Q524" s="46" t="n"/>
      <c r="R524" s="46" t="n"/>
      <c r="S524" s="46" t="n"/>
      <c r="T524" s="46" t="n"/>
      <c r="U524" s="46" t="n"/>
      <c r="V524" s="46" t="n"/>
      <c r="W524" s="46" t="n"/>
      <c r="X524" s="46" t="n"/>
      <c r="Y524" s="46" t="n"/>
    </row>
    <row r="525">
      <c r="A525" s="78" t="n">
        <v>46298</v>
      </c>
      <c r="B525" s="45" t="inlineStr">
        <is>
          <t>N6</t>
        </is>
      </c>
      <c r="C525" s="46" t="n"/>
      <c r="D525" s="46" t="n"/>
      <c r="E525" s="46" t="n"/>
      <c r="F525" s="46" t="n"/>
      <c r="G525" s="46" t="n"/>
      <c r="H525" s="46" t="n"/>
      <c r="I525" s="46" t="n"/>
      <c r="J525" s="46" t="n"/>
      <c r="K525" s="46" t="n"/>
      <c r="L525" s="46" t="n"/>
      <c r="M525" s="46">
        <f>N525-SUM(C525:L525)</f>
        <v/>
      </c>
      <c r="N525" s="47" t="n"/>
      <c r="O525" s="46" t="n"/>
      <c r="P525" s="46" t="n"/>
      <c r="Q525" s="46" t="n"/>
      <c r="R525" s="46" t="n"/>
      <c r="S525" s="46" t="n"/>
      <c r="T525" s="46" t="n"/>
      <c r="U525" s="46" t="n"/>
      <c r="V525" s="46" t="n"/>
      <c r="W525" s="46" t="n"/>
      <c r="X525" s="46" t="n"/>
      <c r="Y525" s="46" t="n"/>
    </row>
    <row r="526">
      <c r="A526" s="78" t="n">
        <v>46299</v>
      </c>
      <c r="B526" s="45" t="inlineStr">
        <is>
          <t>N6</t>
        </is>
      </c>
      <c r="C526" s="46" t="n"/>
      <c r="D526" s="46" t="n"/>
      <c r="E526" s="46" t="n"/>
      <c r="F526" s="46" t="n"/>
      <c r="G526" s="46" t="n"/>
      <c r="H526" s="46" t="n"/>
      <c r="I526" s="46" t="n"/>
      <c r="J526" s="46" t="n"/>
      <c r="K526" s="46" t="n"/>
      <c r="L526" s="46" t="n"/>
      <c r="M526" s="46">
        <f>N526-SUM(C526:L526)</f>
        <v/>
      </c>
      <c r="N526" s="47" t="n"/>
      <c r="O526" s="46" t="n"/>
      <c r="P526" s="46" t="n"/>
      <c r="Q526" s="46" t="n"/>
      <c r="R526" s="46" t="n"/>
      <c r="S526" s="46" t="n"/>
      <c r="T526" s="46" t="n"/>
      <c r="U526" s="46" t="n"/>
      <c r="V526" s="46" t="n"/>
      <c r="W526" s="46" t="n"/>
      <c r="X526" s="46" t="n"/>
      <c r="Y526" s="46" t="n"/>
    </row>
    <row r="527">
      <c r="A527" s="78" t="n">
        <v>46300</v>
      </c>
      <c r="B527" s="45" t="inlineStr">
        <is>
          <t>N6</t>
        </is>
      </c>
      <c r="C527" s="46" t="n"/>
      <c r="D527" s="46" t="n"/>
      <c r="E527" s="46" t="n"/>
      <c r="F527" s="46" t="n"/>
      <c r="G527" s="46" t="n"/>
      <c r="H527" s="46" t="n"/>
      <c r="I527" s="46" t="n"/>
      <c r="J527" s="46" t="n"/>
      <c r="K527" s="46" t="n"/>
      <c r="L527" s="46" t="n"/>
      <c r="M527" s="46">
        <f>N527-SUM(C527:L527)</f>
        <v/>
      </c>
      <c r="N527" s="47" t="n"/>
      <c r="O527" s="46" t="n"/>
      <c r="P527" s="46" t="n"/>
      <c r="Q527" s="46" t="n"/>
      <c r="R527" s="46" t="n"/>
      <c r="S527" s="46" t="n"/>
      <c r="T527" s="46" t="n"/>
      <c r="U527" s="46" t="n"/>
      <c r="V527" s="46" t="n"/>
      <c r="W527" s="46" t="n"/>
      <c r="X527" s="46" t="n"/>
      <c r="Y527" s="46" t="n"/>
    </row>
    <row r="528">
      <c r="A528" s="78" t="n">
        <v>46301</v>
      </c>
      <c r="B528" s="45" t="inlineStr">
        <is>
          <t>N6</t>
        </is>
      </c>
      <c r="C528" s="46" t="n"/>
      <c r="D528" s="46" t="n"/>
      <c r="E528" s="46" t="n"/>
      <c r="F528" s="46" t="n"/>
      <c r="G528" s="46" t="n"/>
      <c r="H528" s="46" t="n"/>
      <c r="I528" s="46" t="n"/>
      <c r="J528" s="46" t="n"/>
      <c r="K528" s="46" t="n"/>
      <c r="L528" s="46" t="n"/>
      <c r="M528" s="46">
        <f>N528-SUM(C528:L528)</f>
        <v/>
      </c>
      <c r="N528" s="47" t="n"/>
      <c r="O528" s="46" t="n"/>
      <c r="P528" s="46" t="n"/>
      <c r="Q528" s="46" t="n"/>
      <c r="R528" s="46" t="n"/>
      <c r="S528" s="46" t="n"/>
      <c r="T528" s="46" t="n"/>
      <c r="U528" s="46" t="n"/>
      <c r="V528" s="46" t="n"/>
      <c r="W528" s="46" t="n"/>
      <c r="X528" s="46" t="n"/>
      <c r="Y528" s="46" t="n"/>
    </row>
    <row r="529">
      <c r="A529" s="78" t="n">
        <v>46302</v>
      </c>
      <c r="B529" s="45" t="inlineStr">
        <is>
          <t>N6</t>
        </is>
      </c>
      <c r="C529" s="46" t="n"/>
      <c r="D529" s="46" t="n"/>
      <c r="E529" s="46" t="n"/>
      <c r="F529" s="46" t="n"/>
      <c r="G529" s="46" t="n"/>
      <c r="H529" s="46" t="n"/>
      <c r="I529" s="46" t="n"/>
      <c r="J529" s="46" t="n"/>
      <c r="K529" s="46" t="n"/>
      <c r="L529" s="46" t="n"/>
      <c r="M529" s="46">
        <f>N529-SUM(C529:L529)</f>
        <v/>
      </c>
      <c r="N529" s="47" t="n"/>
      <c r="O529" s="46" t="n"/>
      <c r="P529" s="46" t="n"/>
      <c r="Q529" s="46" t="n"/>
      <c r="R529" s="46" t="n"/>
      <c r="S529" s="46" t="n"/>
      <c r="T529" s="46" t="n"/>
      <c r="U529" s="46" t="n"/>
      <c r="V529" s="46" t="n"/>
      <c r="W529" s="46" t="n"/>
      <c r="X529" s="46" t="n"/>
      <c r="Y529" s="46" t="n"/>
    </row>
    <row r="530">
      <c r="A530" s="78" t="n">
        <v>46303</v>
      </c>
      <c r="B530" s="45" t="inlineStr">
        <is>
          <t>N6</t>
        </is>
      </c>
      <c r="C530" s="46" t="n"/>
      <c r="D530" s="46" t="n"/>
      <c r="E530" s="46" t="n"/>
      <c r="F530" s="46" t="n"/>
      <c r="G530" s="46" t="n"/>
      <c r="H530" s="46" t="n"/>
      <c r="I530" s="46" t="n"/>
      <c r="J530" s="46" t="n"/>
      <c r="K530" s="46" t="n"/>
      <c r="L530" s="46" t="n"/>
      <c r="M530" s="46">
        <f>N530-SUM(C530:L530)</f>
        <v/>
      </c>
      <c r="N530" s="47" t="n"/>
      <c r="O530" s="46" t="n"/>
      <c r="P530" s="46" t="n"/>
      <c r="Q530" s="46" t="n"/>
      <c r="R530" s="46" t="n"/>
      <c r="S530" s="46" t="n"/>
      <c r="T530" s="46" t="n"/>
      <c r="U530" s="46" t="n"/>
      <c r="V530" s="46" t="n"/>
      <c r="W530" s="46" t="n"/>
      <c r="X530" s="46" t="n"/>
      <c r="Y530" s="46" t="n"/>
    </row>
    <row r="531">
      <c r="A531" s="78" t="n">
        <v>46304</v>
      </c>
      <c r="B531" s="45" t="inlineStr">
        <is>
          <t>N6</t>
        </is>
      </c>
      <c r="C531" s="46" t="n"/>
      <c r="D531" s="46" t="n"/>
      <c r="E531" s="46" t="n"/>
      <c r="F531" s="46" t="n"/>
      <c r="G531" s="46" t="n"/>
      <c r="H531" s="46" t="n"/>
      <c r="I531" s="46" t="n"/>
      <c r="J531" s="46" t="n"/>
      <c r="K531" s="46" t="n"/>
      <c r="L531" s="46" t="n"/>
      <c r="M531" s="46">
        <f>N531-SUM(C531:L531)</f>
        <v/>
      </c>
      <c r="N531" s="47" t="n"/>
      <c r="O531" s="46" t="n"/>
      <c r="P531" s="46" t="n"/>
      <c r="Q531" s="46" t="n"/>
      <c r="R531" s="46" t="n"/>
      <c r="S531" s="46" t="n"/>
      <c r="T531" s="46" t="n"/>
      <c r="U531" s="46" t="n"/>
      <c r="V531" s="46" t="n"/>
      <c r="W531" s="46" t="n"/>
      <c r="X531" s="46" t="n"/>
      <c r="Y531" s="46" t="n"/>
    </row>
    <row r="532">
      <c r="A532" s="78" t="n">
        <v>46305</v>
      </c>
      <c r="B532" s="45" t="inlineStr">
        <is>
          <t>N6</t>
        </is>
      </c>
      <c r="C532" s="46" t="n"/>
      <c r="D532" s="46" t="n"/>
      <c r="E532" s="46" t="n"/>
      <c r="F532" s="46" t="n"/>
      <c r="G532" s="46" t="n"/>
      <c r="H532" s="46" t="n"/>
      <c r="I532" s="46" t="n"/>
      <c r="J532" s="46" t="n"/>
      <c r="K532" s="46" t="n"/>
      <c r="L532" s="46" t="n"/>
      <c r="M532" s="46">
        <f>N532-SUM(C532:L532)</f>
        <v/>
      </c>
      <c r="N532" s="47" t="n"/>
      <c r="O532" s="46" t="n"/>
      <c r="P532" s="46" t="n"/>
      <c r="Q532" s="46" t="n"/>
      <c r="R532" s="46" t="n"/>
      <c r="S532" s="46" t="n"/>
      <c r="T532" s="46" t="n"/>
      <c r="U532" s="46" t="n"/>
      <c r="V532" s="46" t="n"/>
      <c r="W532" s="46" t="n"/>
      <c r="X532" s="46" t="n"/>
      <c r="Y532" s="46" t="n"/>
    </row>
    <row r="533">
      <c r="A533" s="78" t="n">
        <v>46306</v>
      </c>
      <c r="B533" s="45" t="inlineStr">
        <is>
          <t>N6</t>
        </is>
      </c>
      <c r="C533" s="46" t="n"/>
      <c r="D533" s="46" t="n"/>
      <c r="E533" s="46" t="n"/>
      <c r="F533" s="46" t="n"/>
      <c r="G533" s="46" t="n"/>
      <c r="H533" s="46" t="n"/>
      <c r="I533" s="46" t="n"/>
      <c r="J533" s="46" t="n"/>
      <c r="K533" s="46" t="n"/>
      <c r="L533" s="46" t="n"/>
      <c r="M533" s="46">
        <f>N533-SUM(C533:L533)</f>
        <v/>
      </c>
      <c r="N533" s="47" t="n"/>
      <c r="O533" s="46" t="n"/>
      <c r="P533" s="46" t="n"/>
      <c r="Q533" s="46" t="n"/>
      <c r="R533" s="46" t="n"/>
      <c r="S533" s="46" t="n"/>
      <c r="T533" s="46" t="n"/>
      <c r="U533" s="46" t="n"/>
      <c r="V533" s="46" t="n"/>
      <c r="W533" s="46" t="n"/>
      <c r="X533" s="46" t="n"/>
      <c r="Y533" s="46" t="n"/>
    </row>
    <row r="534">
      <c r="A534" s="78" t="n">
        <v>46307</v>
      </c>
      <c r="B534" s="45" t="inlineStr">
        <is>
          <t>N6</t>
        </is>
      </c>
      <c r="C534" s="46" t="n"/>
      <c r="D534" s="46" t="n"/>
      <c r="E534" s="46" t="n"/>
      <c r="F534" s="46" t="n"/>
      <c r="G534" s="46" t="n"/>
      <c r="H534" s="46" t="n"/>
      <c r="I534" s="46" t="n"/>
      <c r="J534" s="46" t="n"/>
      <c r="K534" s="46" t="n"/>
      <c r="L534" s="46" t="n"/>
      <c r="M534" s="46">
        <f>N534-SUM(C534:L534)</f>
        <v/>
      </c>
      <c r="N534" s="47" t="n"/>
      <c r="O534" s="46" t="n"/>
      <c r="P534" s="46" t="n"/>
      <c r="Q534" s="46" t="n"/>
      <c r="R534" s="46" t="n"/>
      <c r="S534" s="46" t="n"/>
      <c r="T534" s="46" t="n"/>
      <c r="U534" s="46" t="n"/>
      <c r="V534" s="46" t="n"/>
      <c r="W534" s="46" t="n"/>
      <c r="X534" s="46" t="n"/>
      <c r="Y534" s="46" t="n"/>
    </row>
    <row r="535">
      <c r="A535" s="78" t="n">
        <v>46308</v>
      </c>
      <c r="B535" s="45" t="inlineStr">
        <is>
          <t>N6</t>
        </is>
      </c>
      <c r="C535" s="46" t="n"/>
      <c r="D535" s="46" t="n"/>
      <c r="E535" s="46" t="n"/>
      <c r="F535" s="46" t="n"/>
      <c r="G535" s="46" t="n"/>
      <c r="H535" s="46" t="n"/>
      <c r="I535" s="46" t="n"/>
      <c r="J535" s="46" t="n"/>
      <c r="K535" s="46" t="n"/>
      <c r="L535" s="46" t="n"/>
      <c r="M535" s="46">
        <f>N535-SUM(C535:L535)</f>
        <v/>
      </c>
      <c r="N535" s="47" t="n"/>
      <c r="O535" s="46" t="n"/>
      <c r="P535" s="46" t="n"/>
      <c r="Q535" s="46" t="n"/>
      <c r="R535" s="46" t="n"/>
      <c r="S535" s="46" t="n"/>
      <c r="T535" s="46" t="n"/>
      <c r="U535" s="46" t="n"/>
      <c r="V535" s="46" t="n"/>
      <c r="W535" s="46" t="n"/>
      <c r="X535" s="46" t="n"/>
      <c r="Y535" s="46" t="n"/>
    </row>
    <row r="536">
      <c r="A536" s="78" t="n">
        <v>46309</v>
      </c>
      <c r="B536" s="45" t="inlineStr">
        <is>
          <t>N6</t>
        </is>
      </c>
      <c r="C536" s="46" t="n"/>
      <c r="D536" s="46" t="n"/>
      <c r="E536" s="46" t="n"/>
      <c r="F536" s="46" t="n"/>
      <c r="G536" s="46" t="n"/>
      <c r="H536" s="46" t="n"/>
      <c r="I536" s="46" t="n"/>
      <c r="J536" s="46" t="n"/>
      <c r="K536" s="46" t="n"/>
      <c r="L536" s="46" t="n"/>
      <c r="M536" s="46">
        <f>N536-SUM(C536:L536)</f>
        <v/>
      </c>
      <c r="N536" s="47" t="n"/>
      <c r="O536" s="46" t="n"/>
      <c r="P536" s="46" t="n"/>
      <c r="Q536" s="46" t="n"/>
      <c r="R536" s="46" t="n"/>
      <c r="S536" s="46" t="n"/>
      <c r="T536" s="46" t="n"/>
      <c r="U536" s="46" t="n"/>
      <c r="V536" s="46" t="n"/>
      <c r="W536" s="46" t="n"/>
      <c r="X536" s="46" t="n"/>
      <c r="Y536" s="46" t="n"/>
    </row>
    <row r="537">
      <c r="A537" s="78" t="n">
        <v>46310</v>
      </c>
      <c r="B537" s="45" t="inlineStr">
        <is>
          <t>N6</t>
        </is>
      </c>
      <c r="C537" s="46" t="n"/>
      <c r="D537" s="46" t="n"/>
      <c r="E537" s="46" t="n"/>
      <c r="F537" s="46" t="n"/>
      <c r="G537" s="46" t="n"/>
      <c r="H537" s="46" t="n"/>
      <c r="I537" s="46" t="n"/>
      <c r="J537" s="46" t="n"/>
      <c r="K537" s="46" t="n"/>
      <c r="L537" s="46" t="n"/>
      <c r="M537" s="46">
        <f>N537-SUM(C537:L537)</f>
        <v/>
      </c>
      <c r="N537" s="47" t="n"/>
      <c r="O537" s="46" t="n"/>
      <c r="P537" s="46" t="n"/>
      <c r="Q537" s="46" t="n"/>
      <c r="R537" s="46" t="n"/>
      <c r="S537" s="46" t="n"/>
      <c r="T537" s="46" t="n"/>
      <c r="U537" s="46" t="n"/>
      <c r="V537" s="46" t="n"/>
      <c r="W537" s="46" t="n"/>
      <c r="X537" s="46" t="n"/>
      <c r="Y537" s="46" t="n"/>
    </row>
    <row r="538">
      <c r="A538" s="78" t="n">
        <v>46311</v>
      </c>
      <c r="B538" s="45" t="inlineStr">
        <is>
          <t>N6</t>
        </is>
      </c>
      <c r="C538" s="46" t="n"/>
      <c r="D538" s="46" t="n"/>
      <c r="E538" s="46" t="n"/>
      <c r="F538" s="46" t="n"/>
      <c r="G538" s="46" t="n"/>
      <c r="H538" s="46" t="n"/>
      <c r="I538" s="46" t="n"/>
      <c r="J538" s="46" t="n"/>
      <c r="K538" s="46" t="n"/>
      <c r="L538" s="46" t="n"/>
      <c r="M538" s="46">
        <f>N538-SUM(C538:L538)</f>
        <v/>
      </c>
      <c r="N538" s="47" t="n"/>
      <c r="O538" s="46" t="n"/>
      <c r="P538" s="46" t="n"/>
      <c r="Q538" s="46" t="n"/>
      <c r="R538" s="46" t="n"/>
      <c r="S538" s="46" t="n"/>
      <c r="T538" s="46" t="n"/>
      <c r="U538" s="46" t="n"/>
      <c r="V538" s="46" t="n"/>
      <c r="W538" s="46" t="n"/>
      <c r="X538" s="46" t="n"/>
      <c r="Y538" s="46" t="n"/>
    </row>
    <row r="539">
      <c r="A539" s="78" t="n">
        <v>46312</v>
      </c>
      <c r="B539" s="45" t="inlineStr">
        <is>
          <t>N6</t>
        </is>
      </c>
      <c r="C539" s="46" t="n"/>
      <c r="D539" s="46" t="n"/>
      <c r="E539" s="46" t="n"/>
      <c r="F539" s="46" t="n"/>
      <c r="G539" s="46" t="n"/>
      <c r="H539" s="46" t="n"/>
      <c r="I539" s="46" t="n"/>
      <c r="J539" s="46" t="n"/>
      <c r="K539" s="46" t="n"/>
      <c r="L539" s="46" t="n"/>
      <c r="M539" s="46">
        <f>N539-SUM(C539:L539)</f>
        <v/>
      </c>
      <c r="N539" s="47" t="n"/>
      <c r="O539" s="46" t="n"/>
      <c r="P539" s="46" t="n"/>
      <c r="Q539" s="46" t="n"/>
      <c r="R539" s="46" t="n"/>
      <c r="S539" s="46" t="n"/>
      <c r="T539" s="46" t="n"/>
      <c r="U539" s="46" t="n"/>
      <c r="V539" s="46" t="n"/>
      <c r="W539" s="46" t="n"/>
      <c r="X539" s="46" t="n"/>
      <c r="Y539" s="46" t="n"/>
    </row>
    <row r="540">
      <c r="A540" s="78" t="n">
        <v>46313</v>
      </c>
      <c r="B540" s="45" t="inlineStr">
        <is>
          <t>N6</t>
        </is>
      </c>
      <c r="C540" s="46" t="n"/>
      <c r="D540" s="46" t="n"/>
      <c r="E540" s="46" t="n"/>
      <c r="F540" s="46" t="n"/>
      <c r="G540" s="46" t="n"/>
      <c r="H540" s="46" t="n"/>
      <c r="I540" s="46" t="n"/>
      <c r="J540" s="46" t="n"/>
      <c r="K540" s="46" t="n"/>
      <c r="L540" s="46" t="n"/>
      <c r="M540" s="46">
        <f>N540-SUM(C540:L540)</f>
        <v/>
      </c>
      <c r="N540" s="47" t="n"/>
      <c r="O540" s="46" t="n"/>
      <c r="P540" s="46" t="n"/>
      <c r="Q540" s="46" t="n"/>
      <c r="R540" s="46" t="n"/>
      <c r="S540" s="46" t="n"/>
      <c r="T540" s="46" t="n"/>
      <c r="U540" s="46" t="n"/>
      <c r="V540" s="46" t="n"/>
      <c r="W540" s="46" t="n"/>
      <c r="X540" s="46" t="n"/>
      <c r="Y540" s="46" t="n"/>
    </row>
    <row r="541">
      <c r="A541" s="78" t="n">
        <v>46314</v>
      </c>
      <c r="B541" s="45" t="inlineStr">
        <is>
          <t>N6</t>
        </is>
      </c>
      <c r="C541" s="46" t="n"/>
      <c r="D541" s="46" t="n"/>
      <c r="E541" s="46" t="n"/>
      <c r="F541" s="46" t="n"/>
      <c r="G541" s="46" t="n"/>
      <c r="H541" s="46" t="n"/>
      <c r="I541" s="46" t="n"/>
      <c r="J541" s="46" t="n"/>
      <c r="K541" s="46" t="n"/>
      <c r="L541" s="46" t="n"/>
      <c r="M541" s="46">
        <f>N541-SUM(C541:L541)</f>
        <v/>
      </c>
      <c r="N541" s="47" t="n"/>
      <c r="O541" s="46" t="n"/>
      <c r="P541" s="46" t="n"/>
      <c r="Q541" s="46" t="n"/>
      <c r="R541" s="46" t="n"/>
      <c r="S541" s="46" t="n"/>
      <c r="T541" s="46" t="n"/>
      <c r="U541" s="46" t="n"/>
      <c r="V541" s="46" t="n"/>
      <c r="W541" s="46" t="n"/>
      <c r="X541" s="46" t="n"/>
      <c r="Y541" s="46" t="n"/>
    </row>
    <row r="542">
      <c r="A542" s="78" t="n">
        <v>46315</v>
      </c>
      <c r="B542" s="45" t="inlineStr">
        <is>
          <t>N6</t>
        </is>
      </c>
      <c r="C542" s="46" t="n"/>
      <c r="D542" s="46" t="n"/>
      <c r="E542" s="46" t="n"/>
      <c r="F542" s="46" t="n"/>
      <c r="G542" s="46" t="n"/>
      <c r="H542" s="46" t="n"/>
      <c r="I542" s="46" t="n"/>
      <c r="J542" s="46" t="n"/>
      <c r="K542" s="46" t="n"/>
      <c r="L542" s="46" t="n"/>
      <c r="M542" s="46">
        <f>N542-SUM(C542:L542)</f>
        <v/>
      </c>
      <c r="N542" s="47" t="n"/>
      <c r="O542" s="46" t="n"/>
      <c r="P542" s="46" t="n"/>
      <c r="Q542" s="46" t="n"/>
      <c r="R542" s="46" t="n"/>
      <c r="S542" s="46" t="n"/>
      <c r="T542" s="46" t="n"/>
      <c r="U542" s="46" t="n"/>
      <c r="V542" s="46" t="n"/>
      <c r="W542" s="46" t="n"/>
      <c r="X542" s="46" t="n"/>
      <c r="Y542" s="46" t="n"/>
    </row>
    <row r="543">
      <c r="A543" s="78" t="n">
        <v>46316</v>
      </c>
      <c r="B543" s="45" t="inlineStr">
        <is>
          <t>N6</t>
        </is>
      </c>
      <c r="C543" s="46" t="n"/>
      <c r="D543" s="46" t="n"/>
      <c r="E543" s="46" t="n"/>
      <c r="F543" s="46" t="n"/>
      <c r="G543" s="46" t="n"/>
      <c r="H543" s="46" t="n"/>
      <c r="I543" s="46" t="n"/>
      <c r="J543" s="46" t="n"/>
      <c r="K543" s="46" t="n"/>
      <c r="L543" s="46" t="n"/>
      <c r="M543" s="46">
        <f>N543-SUM(C543:L543)</f>
        <v/>
      </c>
      <c r="N543" s="47" t="n"/>
      <c r="O543" s="46" t="n"/>
      <c r="P543" s="46" t="n"/>
      <c r="Q543" s="46" t="n"/>
      <c r="R543" s="46" t="n"/>
      <c r="S543" s="46" t="n"/>
      <c r="T543" s="46" t="n"/>
      <c r="U543" s="46" t="n"/>
      <c r="V543" s="46" t="n"/>
      <c r="W543" s="46" t="n"/>
      <c r="X543" s="46" t="n"/>
      <c r="Y543" s="46" t="n"/>
    </row>
    <row r="544">
      <c r="A544" s="78" t="n">
        <v>46317</v>
      </c>
      <c r="B544" s="45" t="inlineStr">
        <is>
          <t>N6</t>
        </is>
      </c>
      <c r="C544" s="46" t="n"/>
      <c r="D544" s="46" t="n"/>
      <c r="E544" s="46" t="n"/>
      <c r="F544" s="46" t="n"/>
      <c r="G544" s="46" t="n"/>
      <c r="H544" s="46" t="n"/>
      <c r="I544" s="46" t="n"/>
      <c r="J544" s="46" t="n"/>
      <c r="K544" s="46" t="n"/>
      <c r="L544" s="46" t="n"/>
      <c r="M544" s="46">
        <f>N544-SUM(C544:L544)</f>
        <v/>
      </c>
      <c r="N544" s="47" t="n"/>
      <c r="O544" s="46" t="n"/>
      <c r="P544" s="46" t="n"/>
      <c r="Q544" s="46" t="n"/>
      <c r="R544" s="46" t="n"/>
      <c r="S544" s="46" t="n"/>
      <c r="T544" s="46" t="n"/>
      <c r="U544" s="46" t="n"/>
      <c r="V544" s="46" t="n"/>
      <c r="W544" s="46" t="n"/>
      <c r="X544" s="46" t="n"/>
      <c r="Y544" s="46" t="n"/>
    </row>
    <row r="545">
      <c r="A545" s="78" t="n">
        <v>46318</v>
      </c>
      <c r="B545" s="45" t="inlineStr">
        <is>
          <t>N6</t>
        </is>
      </c>
      <c r="C545" s="46" t="n"/>
      <c r="D545" s="46" t="n"/>
      <c r="E545" s="46" t="n"/>
      <c r="F545" s="46" t="n"/>
      <c r="G545" s="46" t="n"/>
      <c r="H545" s="46" t="n"/>
      <c r="I545" s="46" t="n"/>
      <c r="J545" s="46" t="n"/>
      <c r="K545" s="46" t="n"/>
      <c r="L545" s="46" t="n"/>
      <c r="M545" s="46">
        <f>N545-SUM(C545:L545)</f>
        <v/>
      </c>
      <c r="N545" s="47" t="n"/>
      <c r="O545" s="46" t="n"/>
      <c r="P545" s="46" t="n"/>
      <c r="Q545" s="46" t="n"/>
      <c r="R545" s="46" t="n"/>
      <c r="S545" s="46" t="n"/>
      <c r="T545" s="46" t="n"/>
      <c r="U545" s="46" t="n"/>
      <c r="V545" s="46" t="n"/>
      <c r="W545" s="46" t="n"/>
      <c r="X545" s="46" t="n"/>
      <c r="Y545" s="46" t="n"/>
    </row>
    <row r="546">
      <c r="A546" s="78" t="n">
        <v>46319</v>
      </c>
      <c r="B546" s="45" t="inlineStr">
        <is>
          <t>N6</t>
        </is>
      </c>
      <c r="C546" s="46" t="n"/>
      <c r="D546" s="46" t="n"/>
      <c r="E546" s="46" t="n"/>
      <c r="F546" s="46" t="n"/>
      <c r="G546" s="46" t="n"/>
      <c r="H546" s="46" t="n"/>
      <c r="I546" s="46" t="n"/>
      <c r="J546" s="46" t="n"/>
      <c r="K546" s="46" t="n"/>
      <c r="L546" s="46" t="n"/>
      <c r="M546" s="46">
        <f>N546-SUM(C546:L546)</f>
        <v/>
      </c>
      <c r="N546" s="47" t="n"/>
      <c r="O546" s="46" t="n"/>
      <c r="P546" s="46" t="n"/>
      <c r="Q546" s="46" t="n"/>
      <c r="R546" s="46" t="n"/>
      <c r="S546" s="46" t="n"/>
      <c r="T546" s="46" t="n"/>
      <c r="U546" s="46" t="n"/>
      <c r="V546" s="46" t="n"/>
      <c r="W546" s="46" t="n"/>
      <c r="X546" s="46" t="n"/>
      <c r="Y546" s="46" t="n"/>
    </row>
    <row r="547">
      <c r="A547" s="78" t="n">
        <v>46320</v>
      </c>
      <c r="B547" s="45" t="inlineStr">
        <is>
          <t>N6</t>
        </is>
      </c>
      <c r="C547" s="46" t="n"/>
      <c r="D547" s="46" t="n"/>
      <c r="E547" s="46" t="n"/>
      <c r="F547" s="46" t="n"/>
      <c r="G547" s="46" t="n"/>
      <c r="H547" s="46" t="n"/>
      <c r="I547" s="46" t="n"/>
      <c r="J547" s="46" t="n"/>
      <c r="K547" s="46" t="n"/>
      <c r="L547" s="46" t="n"/>
      <c r="M547" s="46">
        <f>N547-SUM(C547:L547)</f>
        <v/>
      </c>
      <c r="N547" s="47" t="n"/>
      <c r="O547" s="46" t="n"/>
      <c r="P547" s="46" t="n"/>
      <c r="Q547" s="46" t="n"/>
      <c r="R547" s="46" t="n"/>
      <c r="S547" s="46" t="n"/>
      <c r="T547" s="46" t="n"/>
      <c r="U547" s="46" t="n"/>
      <c r="V547" s="46" t="n"/>
      <c r="W547" s="46" t="n"/>
      <c r="X547" s="46" t="n"/>
      <c r="Y547" s="46" t="n"/>
    </row>
    <row r="548">
      <c r="A548" s="78" t="n">
        <v>46321</v>
      </c>
      <c r="B548" s="45" t="inlineStr">
        <is>
          <t>N6</t>
        </is>
      </c>
      <c r="C548" s="46" t="n"/>
      <c r="D548" s="46" t="n"/>
      <c r="E548" s="46" t="n"/>
      <c r="F548" s="46" t="n"/>
      <c r="G548" s="46" t="n"/>
      <c r="H548" s="46" t="n"/>
      <c r="I548" s="46" t="n"/>
      <c r="J548" s="46" t="n"/>
      <c r="K548" s="46" t="n"/>
      <c r="L548" s="46" t="n"/>
      <c r="M548" s="46">
        <f>N548-SUM(C548:L548)</f>
        <v/>
      </c>
      <c r="N548" s="47" t="n"/>
      <c r="O548" s="46" t="n"/>
      <c r="P548" s="46" t="n"/>
      <c r="Q548" s="46" t="n"/>
      <c r="R548" s="46" t="n"/>
      <c r="S548" s="46" t="n"/>
      <c r="T548" s="46" t="n"/>
      <c r="U548" s="46" t="n"/>
      <c r="V548" s="46" t="n"/>
      <c r="W548" s="46" t="n"/>
      <c r="X548" s="46" t="n"/>
      <c r="Y548" s="46" t="n"/>
    </row>
    <row r="549">
      <c r="A549" s="78" t="n">
        <v>46322</v>
      </c>
      <c r="B549" s="45" t="inlineStr">
        <is>
          <t>N6</t>
        </is>
      </c>
      <c r="C549" s="46" t="n"/>
      <c r="D549" s="46" t="n"/>
      <c r="E549" s="46" t="n"/>
      <c r="F549" s="46" t="n"/>
      <c r="G549" s="46" t="n"/>
      <c r="H549" s="46" t="n"/>
      <c r="I549" s="46" t="n"/>
      <c r="J549" s="46" t="n"/>
      <c r="K549" s="46" t="n"/>
      <c r="L549" s="46" t="n"/>
      <c r="M549" s="46">
        <f>N549-SUM(C549:L549)</f>
        <v/>
      </c>
      <c r="N549" s="47" t="n"/>
      <c r="O549" s="46" t="n"/>
      <c r="P549" s="46" t="n"/>
      <c r="Q549" s="46" t="n"/>
      <c r="R549" s="46" t="n"/>
      <c r="S549" s="46" t="n"/>
      <c r="T549" s="46" t="n"/>
      <c r="U549" s="46" t="n"/>
      <c r="V549" s="46" t="n"/>
      <c r="W549" s="46" t="n"/>
      <c r="X549" s="46" t="n"/>
      <c r="Y549" s="46" t="n"/>
    </row>
    <row r="550">
      <c r="A550" s="78" t="n">
        <v>46323</v>
      </c>
      <c r="B550" s="45" t="inlineStr">
        <is>
          <t>N6</t>
        </is>
      </c>
      <c r="C550" s="46" t="n"/>
      <c r="D550" s="46" t="n"/>
      <c r="E550" s="46" t="n"/>
      <c r="F550" s="46" t="n"/>
      <c r="G550" s="46" t="n"/>
      <c r="H550" s="46" t="n"/>
      <c r="I550" s="46" t="n"/>
      <c r="J550" s="46" t="n"/>
      <c r="K550" s="46" t="n"/>
      <c r="L550" s="46" t="n"/>
      <c r="M550" s="46">
        <f>N550-SUM(C550:L550)</f>
        <v/>
      </c>
      <c r="N550" s="47" t="n"/>
      <c r="O550" s="46" t="n"/>
      <c r="P550" s="46" t="n"/>
      <c r="Q550" s="46" t="n"/>
      <c r="R550" s="46" t="n"/>
      <c r="S550" s="46" t="n"/>
      <c r="T550" s="46" t="n"/>
      <c r="U550" s="46" t="n"/>
      <c r="V550" s="46" t="n"/>
      <c r="W550" s="46" t="n"/>
      <c r="X550" s="46" t="n"/>
      <c r="Y550" s="46" t="n"/>
    </row>
    <row r="551">
      <c r="A551" s="78" t="n">
        <v>46324</v>
      </c>
      <c r="B551" s="45" t="inlineStr">
        <is>
          <t>N6</t>
        </is>
      </c>
      <c r="C551" s="46" t="n"/>
      <c r="D551" s="46" t="n"/>
      <c r="E551" s="46" t="n"/>
      <c r="F551" s="46" t="n"/>
      <c r="G551" s="46" t="n"/>
      <c r="H551" s="46" t="n"/>
      <c r="I551" s="46" t="n"/>
      <c r="J551" s="46" t="n"/>
      <c r="K551" s="46" t="n"/>
      <c r="L551" s="46" t="n"/>
      <c r="M551" s="46">
        <f>N551-SUM(C551:L551)</f>
        <v/>
      </c>
      <c r="N551" s="47" t="n"/>
      <c r="O551" s="46" t="n"/>
      <c r="P551" s="46" t="n"/>
      <c r="Q551" s="46" t="n"/>
      <c r="R551" s="46" t="n"/>
      <c r="S551" s="46" t="n"/>
      <c r="T551" s="46" t="n"/>
      <c r="U551" s="46" t="n"/>
      <c r="V551" s="46" t="n"/>
      <c r="W551" s="46" t="n"/>
      <c r="X551" s="46" t="n"/>
      <c r="Y551" s="46" t="n"/>
    </row>
    <row r="552">
      <c r="A552" s="78" t="n">
        <v>46325</v>
      </c>
      <c r="B552" s="45" t="inlineStr">
        <is>
          <t>N6</t>
        </is>
      </c>
      <c r="C552" s="46" t="n"/>
      <c r="D552" s="46" t="n"/>
      <c r="E552" s="46" t="n"/>
      <c r="F552" s="46" t="n"/>
      <c r="G552" s="46" t="n"/>
      <c r="H552" s="46" t="n"/>
      <c r="I552" s="46" t="n"/>
      <c r="J552" s="46" t="n"/>
      <c r="K552" s="46" t="n"/>
      <c r="L552" s="46" t="n"/>
      <c r="M552" s="46">
        <f>N552-SUM(C552:L552)</f>
        <v/>
      </c>
      <c r="N552" s="47" t="n"/>
      <c r="O552" s="46" t="n"/>
      <c r="P552" s="46" t="n"/>
      <c r="Q552" s="46" t="n"/>
      <c r="R552" s="46" t="n"/>
      <c r="S552" s="46" t="n"/>
      <c r="T552" s="46" t="n"/>
      <c r="U552" s="46" t="n"/>
      <c r="V552" s="46" t="n"/>
      <c r="W552" s="46" t="n"/>
      <c r="X552" s="46" t="n"/>
      <c r="Y552" s="46" t="n"/>
    </row>
    <row r="553">
      <c r="A553" s="78" t="n">
        <v>46326</v>
      </c>
      <c r="B553" s="45" t="inlineStr">
        <is>
          <t>N6</t>
        </is>
      </c>
      <c r="C553" s="46" t="n"/>
      <c r="D553" s="46" t="n"/>
      <c r="E553" s="46" t="n"/>
      <c r="F553" s="46" t="n"/>
      <c r="G553" s="46" t="n"/>
      <c r="H553" s="46" t="n"/>
      <c r="I553" s="46" t="n"/>
      <c r="J553" s="46" t="n"/>
      <c r="K553" s="46" t="n"/>
      <c r="L553" s="46" t="n"/>
      <c r="M553" s="46">
        <f>N553-SUM(C553:L553)</f>
        <v/>
      </c>
      <c r="N553" s="47" t="n"/>
      <c r="O553" s="46" t="n"/>
      <c r="P553" s="46" t="n"/>
      <c r="Q553" s="46" t="n"/>
      <c r="R553" s="46" t="n"/>
      <c r="S553" s="46" t="n"/>
      <c r="T553" s="46" t="n"/>
      <c r="U553" s="46" t="n"/>
      <c r="V553" s="46" t="n"/>
      <c r="W553" s="46" t="n"/>
      <c r="X553" s="46" t="n"/>
      <c r="Y553" s="46" t="n"/>
    </row>
    <row r="554">
      <c r="A554" s="78" t="n">
        <v>46327</v>
      </c>
      <c r="B554" s="45" t="inlineStr">
        <is>
          <t>N6</t>
        </is>
      </c>
      <c r="C554" s="46" t="n"/>
      <c r="D554" s="46" t="n"/>
      <c r="E554" s="46" t="n"/>
      <c r="F554" s="46" t="n"/>
      <c r="G554" s="46" t="n"/>
      <c r="H554" s="46" t="n"/>
      <c r="I554" s="46" t="n"/>
      <c r="J554" s="46" t="n"/>
      <c r="K554" s="46" t="n"/>
      <c r="L554" s="46" t="n"/>
      <c r="M554" s="46">
        <f>N554-SUM(C554:L554)</f>
        <v/>
      </c>
      <c r="N554" s="47" t="n"/>
      <c r="O554" s="46" t="n"/>
      <c r="P554" s="46" t="n"/>
      <c r="Q554" s="46" t="n"/>
      <c r="R554" s="46" t="n"/>
      <c r="S554" s="46" t="n"/>
      <c r="T554" s="46" t="n"/>
      <c r="U554" s="46" t="n"/>
      <c r="V554" s="46" t="n"/>
      <c r="W554" s="46" t="n"/>
      <c r="X554" s="46" t="n"/>
      <c r="Y554" s="46" t="n"/>
    </row>
    <row r="555">
      <c r="A555" s="78" t="n">
        <v>46328</v>
      </c>
      <c r="B555" s="45" t="inlineStr">
        <is>
          <t>N6</t>
        </is>
      </c>
      <c r="C555" s="46" t="n"/>
      <c r="D555" s="46" t="n"/>
      <c r="E555" s="46" t="n"/>
      <c r="F555" s="46" t="n"/>
      <c r="G555" s="46" t="n"/>
      <c r="H555" s="46" t="n"/>
      <c r="I555" s="46" t="n"/>
      <c r="J555" s="46" t="n"/>
      <c r="K555" s="46" t="n"/>
      <c r="L555" s="46" t="n"/>
      <c r="M555" s="46">
        <f>N555-SUM(C555:L555)</f>
        <v/>
      </c>
      <c r="N555" s="47" t="n"/>
      <c r="O555" s="46" t="n"/>
      <c r="P555" s="46" t="n"/>
      <c r="Q555" s="46" t="n"/>
      <c r="R555" s="46" t="n"/>
      <c r="S555" s="46" t="n"/>
      <c r="T555" s="46" t="n"/>
      <c r="U555" s="46" t="n"/>
      <c r="V555" s="46" t="n"/>
      <c r="W555" s="46" t="n"/>
      <c r="X555" s="46" t="n"/>
      <c r="Y555" s="46" t="n"/>
    </row>
    <row r="556">
      <c r="A556" s="78" t="n">
        <v>46329</v>
      </c>
      <c r="B556" s="45" t="inlineStr">
        <is>
          <t>N6</t>
        </is>
      </c>
      <c r="C556" s="46" t="n"/>
      <c r="D556" s="46" t="n"/>
      <c r="E556" s="46" t="n"/>
      <c r="F556" s="46" t="n"/>
      <c r="G556" s="46" t="n"/>
      <c r="H556" s="46" t="n"/>
      <c r="I556" s="46" t="n"/>
      <c r="J556" s="46" t="n"/>
      <c r="K556" s="46" t="n"/>
      <c r="L556" s="46" t="n"/>
      <c r="M556" s="46">
        <f>N556-SUM(C556:L556)</f>
        <v/>
      </c>
      <c r="N556" s="47" t="n"/>
      <c r="O556" s="46" t="n"/>
      <c r="P556" s="46" t="n"/>
      <c r="Q556" s="46" t="n"/>
      <c r="R556" s="46" t="n"/>
      <c r="S556" s="46" t="n"/>
      <c r="T556" s="46" t="n"/>
      <c r="U556" s="46" t="n"/>
      <c r="V556" s="46" t="n"/>
      <c r="W556" s="46" t="n"/>
      <c r="X556" s="46" t="n"/>
      <c r="Y556" s="46" t="n"/>
    </row>
    <row r="557">
      <c r="A557" s="78" t="n">
        <v>46330</v>
      </c>
      <c r="B557" s="45" t="inlineStr">
        <is>
          <t>N6</t>
        </is>
      </c>
      <c r="C557" s="46" t="n"/>
      <c r="D557" s="46" t="n"/>
      <c r="E557" s="46" t="n"/>
      <c r="F557" s="46" t="n"/>
      <c r="G557" s="46" t="n"/>
      <c r="H557" s="46" t="n"/>
      <c r="I557" s="46" t="n"/>
      <c r="J557" s="46" t="n"/>
      <c r="K557" s="46" t="n"/>
      <c r="L557" s="46" t="n"/>
      <c r="M557" s="46">
        <f>N557-SUM(C557:L557)</f>
        <v/>
      </c>
      <c r="N557" s="47" t="n"/>
      <c r="O557" s="46" t="n"/>
      <c r="P557" s="46" t="n"/>
      <c r="Q557" s="46" t="n"/>
      <c r="R557" s="46" t="n"/>
      <c r="S557" s="46" t="n"/>
      <c r="T557" s="46" t="n"/>
      <c r="U557" s="46" t="n"/>
      <c r="V557" s="46" t="n"/>
      <c r="W557" s="46" t="n"/>
      <c r="X557" s="46" t="n"/>
      <c r="Y557" s="46" t="n"/>
    </row>
    <row r="558">
      <c r="A558" s="78" t="n">
        <v>46331</v>
      </c>
      <c r="B558" s="45" t="inlineStr">
        <is>
          <t>N6</t>
        </is>
      </c>
      <c r="C558" s="46" t="n"/>
      <c r="D558" s="46" t="n"/>
      <c r="E558" s="46" t="n"/>
      <c r="F558" s="46" t="n"/>
      <c r="G558" s="46" t="n"/>
      <c r="H558" s="46" t="n"/>
      <c r="I558" s="46" t="n"/>
      <c r="J558" s="46" t="n"/>
      <c r="K558" s="46" t="n"/>
      <c r="L558" s="46" t="n"/>
      <c r="M558" s="46">
        <f>N558-SUM(C558:L558)</f>
        <v/>
      </c>
      <c r="N558" s="47" t="n"/>
      <c r="O558" s="46" t="n"/>
      <c r="P558" s="46" t="n"/>
      <c r="Q558" s="46" t="n"/>
      <c r="R558" s="46" t="n"/>
      <c r="S558" s="46" t="n"/>
      <c r="T558" s="46" t="n"/>
      <c r="U558" s="46" t="n"/>
      <c r="V558" s="46" t="n"/>
      <c r="W558" s="46" t="n"/>
      <c r="X558" s="46" t="n"/>
      <c r="Y558" s="46" t="n"/>
    </row>
    <row r="559">
      <c r="A559" s="78" t="n">
        <v>46332</v>
      </c>
      <c r="B559" s="45" t="inlineStr">
        <is>
          <t>N6</t>
        </is>
      </c>
      <c r="C559" s="46" t="n"/>
      <c r="D559" s="46" t="n"/>
      <c r="E559" s="46" t="n"/>
      <c r="F559" s="46" t="n"/>
      <c r="G559" s="46" t="n"/>
      <c r="H559" s="46" t="n"/>
      <c r="I559" s="46" t="n"/>
      <c r="J559" s="46" t="n"/>
      <c r="K559" s="46" t="n"/>
      <c r="L559" s="46" t="n"/>
      <c r="M559" s="46">
        <f>N559-SUM(C559:L559)</f>
        <v/>
      </c>
      <c r="N559" s="47" t="n"/>
      <c r="O559" s="46" t="n"/>
      <c r="P559" s="46" t="n"/>
      <c r="Q559" s="46" t="n"/>
      <c r="R559" s="46" t="n"/>
      <c r="S559" s="46" t="n"/>
      <c r="T559" s="46" t="n"/>
      <c r="U559" s="46" t="n"/>
      <c r="V559" s="46" t="n"/>
      <c r="W559" s="46" t="n"/>
      <c r="X559" s="46" t="n"/>
      <c r="Y559" s="46" t="n"/>
    </row>
    <row r="560">
      <c r="A560" s="78" t="n">
        <v>46333</v>
      </c>
      <c r="B560" s="45" t="inlineStr">
        <is>
          <t>N6</t>
        </is>
      </c>
      <c r="C560" s="46" t="n"/>
      <c r="D560" s="46" t="n"/>
      <c r="E560" s="46" t="n"/>
      <c r="F560" s="46" t="n"/>
      <c r="G560" s="46" t="n"/>
      <c r="H560" s="46" t="n"/>
      <c r="I560" s="46" t="n"/>
      <c r="J560" s="46" t="n"/>
      <c r="K560" s="46" t="n"/>
      <c r="L560" s="46" t="n"/>
      <c r="M560" s="46">
        <f>N560-SUM(C560:L560)</f>
        <v/>
      </c>
      <c r="N560" s="47" t="n"/>
      <c r="O560" s="46" t="n"/>
      <c r="P560" s="46" t="n"/>
      <c r="Q560" s="46" t="n"/>
      <c r="R560" s="46" t="n"/>
      <c r="S560" s="46" t="n"/>
      <c r="T560" s="46" t="n"/>
      <c r="U560" s="46" t="n"/>
      <c r="V560" s="46" t="n"/>
      <c r="W560" s="46" t="n"/>
      <c r="X560" s="46" t="n"/>
      <c r="Y560" s="46" t="n"/>
    </row>
    <row r="561">
      <c r="A561" s="78" t="n">
        <v>46334</v>
      </c>
      <c r="B561" s="45" t="inlineStr">
        <is>
          <t>N6</t>
        </is>
      </c>
      <c r="C561" s="46" t="n"/>
      <c r="D561" s="46" t="n"/>
      <c r="E561" s="46" t="n"/>
      <c r="F561" s="46" t="n"/>
      <c r="G561" s="46" t="n"/>
      <c r="H561" s="46" t="n"/>
      <c r="I561" s="46" t="n"/>
      <c r="J561" s="46" t="n"/>
      <c r="K561" s="46" t="n"/>
      <c r="L561" s="46" t="n"/>
      <c r="M561" s="46">
        <f>N561-SUM(C561:L561)</f>
        <v/>
      </c>
      <c r="N561" s="47" t="n"/>
      <c r="O561" s="46" t="n"/>
      <c r="P561" s="46" t="n"/>
      <c r="Q561" s="46" t="n"/>
      <c r="R561" s="46" t="n"/>
      <c r="S561" s="46" t="n"/>
      <c r="T561" s="46" t="n"/>
      <c r="U561" s="46" t="n"/>
      <c r="V561" s="46" t="n"/>
      <c r="W561" s="46" t="n"/>
      <c r="X561" s="46" t="n"/>
      <c r="Y561" s="46" t="n"/>
    </row>
    <row r="562">
      <c r="A562" s="78" t="n">
        <v>46335</v>
      </c>
      <c r="B562" s="45" t="inlineStr">
        <is>
          <t>N6</t>
        </is>
      </c>
      <c r="C562" s="46" t="n"/>
      <c r="D562" s="46" t="n"/>
      <c r="E562" s="46" t="n"/>
      <c r="F562" s="46" t="n"/>
      <c r="G562" s="46" t="n"/>
      <c r="H562" s="46" t="n"/>
      <c r="I562" s="46" t="n"/>
      <c r="J562" s="46" t="n"/>
      <c r="K562" s="46" t="n"/>
      <c r="L562" s="46" t="n"/>
      <c r="M562" s="46">
        <f>N562-SUM(C562:L562)</f>
        <v/>
      </c>
      <c r="N562" s="47" t="n"/>
      <c r="O562" s="46" t="n"/>
      <c r="P562" s="46" t="n"/>
      <c r="Q562" s="46" t="n"/>
      <c r="R562" s="46" t="n"/>
      <c r="S562" s="46" t="n"/>
      <c r="T562" s="46" t="n"/>
      <c r="U562" s="46" t="n"/>
      <c r="V562" s="46" t="n"/>
      <c r="W562" s="46" t="n"/>
      <c r="X562" s="46" t="n"/>
      <c r="Y562" s="46" t="n"/>
    </row>
    <row r="563">
      <c r="A563" s="78" t="n">
        <v>46336</v>
      </c>
      <c r="B563" s="45" t="inlineStr">
        <is>
          <t>N6</t>
        </is>
      </c>
      <c r="C563" s="46" t="n"/>
      <c r="D563" s="46" t="n"/>
      <c r="E563" s="46" t="n"/>
      <c r="F563" s="46" t="n"/>
      <c r="G563" s="46" t="n"/>
      <c r="H563" s="46" t="n"/>
      <c r="I563" s="46" t="n"/>
      <c r="J563" s="46" t="n"/>
      <c r="K563" s="46" t="n"/>
      <c r="L563" s="46" t="n"/>
      <c r="M563" s="46">
        <f>N563-SUM(C563:L563)</f>
        <v/>
      </c>
      <c r="N563" s="47" t="n"/>
      <c r="O563" s="46" t="n"/>
      <c r="P563" s="46" t="n"/>
      <c r="Q563" s="46" t="n"/>
      <c r="R563" s="46" t="n"/>
      <c r="S563" s="46" t="n"/>
      <c r="T563" s="46" t="n"/>
      <c r="U563" s="46" t="n"/>
      <c r="V563" s="46" t="n"/>
      <c r="W563" s="46" t="n"/>
      <c r="X563" s="46" t="n"/>
      <c r="Y563" s="46" t="n"/>
    </row>
    <row r="564">
      <c r="A564" s="78" t="n">
        <v>46337</v>
      </c>
      <c r="B564" s="45" t="inlineStr">
        <is>
          <t>N6</t>
        </is>
      </c>
      <c r="C564" s="46" t="n"/>
      <c r="D564" s="46" t="n"/>
      <c r="E564" s="46" t="n"/>
      <c r="F564" s="46" t="n"/>
      <c r="G564" s="46" t="n"/>
      <c r="H564" s="46" t="n"/>
      <c r="I564" s="46" t="n"/>
      <c r="J564" s="46" t="n"/>
      <c r="K564" s="46" t="n"/>
      <c r="L564" s="46" t="n"/>
      <c r="M564" s="46">
        <f>N564-SUM(C564:L564)</f>
        <v/>
      </c>
      <c r="N564" s="47" t="n"/>
      <c r="O564" s="46" t="n"/>
      <c r="P564" s="46" t="n"/>
      <c r="Q564" s="46" t="n"/>
      <c r="R564" s="46" t="n"/>
      <c r="S564" s="46" t="n"/>
      <c r="T564" s="46" t="n"/>
      <c r="U564" s="46" t="n"/>
      <c r="V564" s="46" t="n"/>
      <c r="W564" s="46" t="n"/>
      <c r="X564" s="46" t="n"/>
      <c r="Y564" s="46" t="n"/>
    </row>
    <row r="565">
      <c r="A565" s="78" t="n">
        <v>46338</v>
      </c>
      <c r="B565" s="45" t="inlineStr">
        <is>
          <t>N6</t>
        </is>
      </c>
      <c r="C565" s="46" t="n"/>
      <c r="D565" s="46" t="n"/>
      <c r="E565" s="46" t="n"/>
      <c r="F565" s="46" t="n"/>
      <c r="G565" s="46" t="n"/>
      <c r="H565" s="46" t="n"/>
      <c r="I565" s="46" t="n"/>
      <c r="J565" s="46" t="n"/>
      <c r="K565" s="46" t="n"/>
      <c r="L565" s="46" t="n"/>
      <c r="M565" s="46">
        <f>N565-SUM(C565:L565)</f>
        <v/>
      </c>
      <c r="N565" s="47" t="n"/>
      <c r="O565" s="46" t="n"/>
      <c r="P565" s="46" t="n"/>
      <c r="Q565" s="46" t="n"/>
      <c r="R565" s="46" t="n"/>
      <c r="S565" s="46" t="n"/>
      <c r="T565" s="46" t="n"/>
      <c r="U565" s="46" t="n"/>
      <c r="V565" s="46" t="n"/>
      <c r="W565" s="46" t="n"/>
      <c r="X565" s="46" t="n"/>
      <c r="Y565" s="46" t="n"/>
    </row>
    <row r="566">
      <c r="A566" s="78" t="n">
        <v>46339</v>
      </c>
      <c r="B566" s="45" t="inlineStr">
        <is>
          <t>N6</t>
        </is>
      </c>
      <c r="C566" s="46" t="n"/>
      <c r="D566" s="46" t="n"/>
      <c r="E566" s="46" t="n"/>
      <c r="F566" s="46" t="n"/>
      <c r="G566" s="46" t="n"/>
      <c r="H566" s="46" t="n"/>
      <c r="I566" s="46" t="n"/>
      <c r="J566" s="46" t="n"/>
      <c r="K566" s="46" t="n"/>
      <c r="L566" s="46" t="n"/>
      <c r="M566" s="46">
        <f>N566-SUM(C566:L566)</f>
        <v/>
      </c>
      <c r="N566" s="47" t="n"/>
      <c r="O566" s="46" t="n"/>
      <c r="P566" s="46" t="n"/>
      <c r="Q566" s="46" t="n"/>
      <c r="R566" s="46" t="n"/>
      <c r="S566" s="46" t="n"/>
      <c r="T566" s="46" t="n"/>
      <c r="U566" s="46" t="n"/>
      <c r="V566" s="46" t="n"/>
      <c r="W566" s="46" t="n"/>
      <c r="X566" s="46" t="n"/>
      <c r="Y566" s="46" t="n"/>
    </row>
    <row r="567">
      <c r="A567" s="78" t="n">
        <v>46340</v>
      </c>
      <c r="B567" s="45" t="inlineStr">
        <is>
          <t>N6</t>
        </is>
      </c>
      <c r="C567" s="46" t="n"/>
      <c r="D567" s="46" t="n"/>
      <c r="E567" s="46" t="n"/>
      <c r="F567" s="46" t="n"/>
      <c r="G567" s="46" t="n"/>
      <c r="H567" s="46" t="n"/>
      <c r="I567" s="46" t="n"/>
      <c r="J567" s="46" t="n"/>
      <c r="K567" s="46" t="n"/>
      <c r="L567" s="46" t="n"/>
      <c r="M567" s="46">
        <f>N567-SUM(C567:L567)</f>
        <v/>
      </c>
      <c r="N567" s="47" t="n"/>
      <c r="O567" s="46" t="n"/>
      <c r="P567" s="46" t="n"/>
      <c r="Q567" s="46" t="n"/>
      <c r="R567" s="46" t="n"/>
      <c r="S567" s="46" t="n"/>
      <c r="T567" s="46" t="n"/>
      <c r="U567" s="46" t="n"/>
      <c r="V567" s="46" t="n"/>
      <c r="W567" s="46" t="n"/>
      <c r="X567" s="46" t="n"/>
      <c r="Y567" s="46" t="n"/>
    </row>
    <row r="568">
      <c r="A568" s="78" t="n">
        <v>46341</v>
      </c>
      <c r="B568" s="45" t="inlineStr">
        <is>
          <t>N6</t>
        </is>
      </c>
      <c r="C568" s="46" t="n"/>
      <c r="D568" s="46" t="n"/>
      <c r="E568" s="46" t="n"/>
      <c r="F568" s="46" t="n"/>
      <c r="G568" s="46" t="n"/>
      <c r="H568" s="46" t="n"/>
      <c r="I568" s="46" t="n"/>
      <c r="J568" s="46" t="n"/>
      <c r="K568" s="46" t="n"/>
      <c r="L568" s="46" t="n"/>
      <c r="M568" s="46">
        <f>N568-SUM(C568:L568)</f>
        <v/>
      </c>
      <c r="N568" s="47" t="n"/>
      <c r="O568" s="46" t="n"/>
      <c r="P568" s="46" t="n"/>
      <c r="Q568" s="46" t="n"/>
      <c r="R568" s="46" t="n"/>
      <c r="S568" s="46" t="n"/>
      <c r="T568" s="46" t="n"/>
      <c r="U568" s="46" t="n"/>
      <c r="V568" s="46" t="n"/>
      <c r="W568" s="46" t="n"/>
      <c r="X568" s="46" t="n"/>
      <c r="Y568" s="46" t="n"/>
    </row>
    <row r="569">
      <c r="A569" s="78" t="n">
        <v>46342</v>
      </c>
      <c r="B569" s="45" t="inlineStr">
        <is>
          <t>N6</t>
        </is>
      </c>
      <c r="C569" s="46" t="n"/>
      <c r="D569" s="46" t="n"/>
      <c r="E569" s="46" t="n"/>
      <c r="F569" s="46" t="n"/>
      <c r="G569" s="46" t="n"/>
      <c r="H569" s="46" t="n"/>
      <c r="I569" s="46" t="n"/>
      <c r="J569" s="46" t="n"/>
      <c r="K569" s="46" t="n"/>
      <c r="L569" s="46" t="n"/>
      <c r="M569" s="46">
        <f>N569-SUM(C569:L569)</f>
        <v/>
      </c>
      <c r="N569" s="47" t="n"/>
      <c r="O569" s="46" t="n"/>
      <c r="P569" s="46" t="n"/>
      <c r="Q569" s="46" t="n"/>
      <c r="R569" s="46" t="n"/>
      <c r="S569" s="46" t="n"/>
      <c r="T569" s="46" t="n"/>
      <c r="U569" s="46" t="n"/>
      <c r="V569" s="46" t="n"/>
      <c r="W569" s="46" t="n"/>
      <c r="X569" s="46" t="n"/>
      <c r="Y569" s="46" t="n"/>
    </row>
    <row r="570">
      <c r="A570" s="78" t="n">
        <v>46343</v>
      </c>
      <c r="B570" s="45" t="inlineStr">
        <is>
          <t>N6</t>
        </is>
      </c>
      <c r="C570" s="46" t="n"/>
      <c r="D570" s="46" t="n"/>
      <c r="E570" s="46" t="n"/>
      <c r="F570" s="46" t="n"/>
      <c r="G570" s="46" t="n"/>
      <c r="H570" s="46" t="n"/>
      <c r="I570" s="46" t="n"/>
      <c r="J570" s="46" t="n"/>
      <c r="K570" s="46" t="n"/>
      <c r="L570" s="46" t="n"/>
      <c r="M570" s="46">
        <f>N570-SUM(C570:L570)</f>
        <v/>
      </c>
      <c r="N570" s="47" t="n"/>
      <c r="O570" s="46" t="n"/>
      <c r="P570" s="46" t="n"/>
      <c r="Q570" s="46" t="n"/>
      <c r="R570" s="46" t="n"/>
      <c r="S570" s="46" t="n"/>
      <c r="T570" s="46" t="n"/>
      <c r="U570" s="46" t="n"/>
      <c r="V570" s="46" t="n"/>
      <c r="W570" s="46" t="n"/>
      <c r="X570" s="46" t="n"/>
      <c r="Y570" s="46" t="n"/>
    </row>
    <row r="571">
      <c r="A571" s="78" t="n">
        <v>46344</v>
      </c>
      <c r="B571" s="45" t="inlineStr">
        <is>
          <t>N6</t>
        </is>
      </c>
      <c r="C571" s="46" t="n"/>
      <c r="D571" s="46" t="n"/>
      <c r="E571" s="46" t="n"/>
      <c r="F571" s="46" t="n"/>
      <c r="G571" s="46" t="n"/>
      <c r="H571" s="46" t="n"/>
      <c r="I571" s="46" t="n"/>
      <c r="J571" s="46" t="n"/>
      <c r="K571" s="46" t="n"/>
      <c r="L571" s="46" t="n"/>
      <c r="M571" s="46">
        <f>N571-SUM(C571:L571)</f>
        <v/>
      </c>
      <c r="N571" s="47" t="n"/>
      <c r="O571" s="46" t="n"/>
      <c r="P571" s="46" t="n"/>
      <c r="Q571" s="46" t="n"/>
      <c r="R571" s="46" t="n"/>
      <c r="S571" s="46" t="n"/>
      <c r="T571" s="46" t="n"/>
      <c r="U571" s="46" t="n"/>
      <c r="V571" s="46" t="n"/>
      <c r="W571" s="46" t="n"/>
      <c r="X571" s="46" t="n"/>
      <c r="Y571" s="46" t="n"/>
    </row>
    <row r="572">
      <c r="A572" s="78" t="n">
        <v>46345</v>
      </c>
      <c r="B572" s="45" t="inlineStr">
        <is>
          <t>N6</t>
        </is>
      </c>
      <c r="C572" s="46" t="n"/>
      <c r="D572" s="46" t="n"/>
      <c r="E572" s="46" t="n"/>
      <c r="F572" s="46" t="n"/>
      <c r="G572" s="46" t="n"/>
      <c r="H572" s="46" t="n"/>
      <c r="I572" s="46" t="n"/>
      <c r="J572" s="46" t="n"/>
      <c r="K572" s="46" t="n"/>
      <c r="L572" s="46" t="n"/>
      <c r="M572" s="46">
        <f>N572-SUM(C572:L572)</f>
        <v/>
      </c>
      <c r="N572" s="47" t="n"/>
      <c r="O572" s="46" t="n"/>
      <c r="P572" s="46" t="n"/>
      <c r="Q572" s="46" t="n"/>
      <c r="R572" s="46" t="n"/>
      <c r="S572" s="46" t="n"/>
      <c r="T572" s="46" t="n"/>
      <c r="U572" s="46" t="n"/>
      <c r="V572" s="46" t="n"/>
      <c r="W572" s="46" t="n"/>
      <c r="X572" s="46" t="n"/>
      <c r="Y572" s="46" t="n"/>
    </row>
    <row r="573">
      <c r="A573" s="78" t="n">
        <v>46346</v>
      </c>
      <c r="B573" s="45" t="inlineStr">
        <is>
          <t>N6</t>
        </is>
      </c>
      <c r="C573" s="46" t="n"/>
      <c r="D573" s="46" t="n"/>
      <c r="E573" s="46" t="n"/>
      <c r="F573" s="46" t="n"/>
      <c r="G573" s="46" t="n"/>
      <c r="H573" s="46" t="n"/>
      <c r="I573" s="46" t="n"/>
      <c r="J573" s="46" t="n"/>
      <c r="K573" s="46" t="n"/>
      <c r="L573" s="46" t="n"/>
      <c r="M573" s="46">
        <f>N573-SUM(C573:L573)</f>
        <v/>
      </c>
      <c r="N573" s="47" t="n"/>
      <c r="O573" s="46" t="n"/>
      <c r="P573" s="46" t="n"/>
      <c r="Q573" s="46" t="n"/>
      <c r="R573" s="46" t="n"/>
      <c r="S573" s="46" t="n"/>
      <c r="T573" s="46" t="n"/>
      <c r="U573" s="46" t="n"/>
      <c r="V573" s="46" t="n"/>
      <c r="W573" s="46" t="n"/>
      <c r="X573" s="46" t="n"/>
      <c r="Y573" s="46" t="n"/>
    </row>
    <row r="574">
      <c r="A574" s="78" t="n">
        <v>46347</v>
      </c>
      <c r="B574" s="45" t="inlineStr">
        <is>
          <t>N6</t>
        </is>
      </c>
      <c r="C574" s="46" t="n"/>
      <c r="D574" s="46" t="n"/>
      <c r="E574" s="46" t="n"/>
      <c r="F574" s="46" t="n"/>
      <c r="G574" s="46" t="n"/>
      <c r="H574" s="46" t="n"/>
      <c r="I574" s="46" t="n"/>
      <c r="J574" s="46" t="n"/>
      <c r="K574" s="46" t="n"/>
      <c r="L574" s="46" t="n"/>
      <c r="M574" s="46">
        <f>N574-SUM(C574:L574)</f>
        <v/>
      </c>
      <c r="N574" s="47" t="n"/>
      <c r="O574" s="46" t="n"/>
      <c r="P574" s="46" t="n"/>
      <c r="Q574" s="46" t="n"/>
      <c r="R574" s="46" t="n"/>
      <c r="S574" s="46" t="n"/>
      <c r="T574" s="46" t="n"/>
      <c r="U574" s="46" t="n"/>
      <c r="V574" s="46" t="n"/>
      <c r="W574" s="46" t="n"/>
      <c r="X574" s="46" t="n"/>
      <c r="Y574" s="46" t="n"/>
    </row>
    <row r="575">
      <c r="A575" s="78" t="n">
        <v>46348</v>
      </c>
      <c r="B575" s="45" t="inlineStr">
        <is>
          <t>N6</t>
        </is>
      </c>
      <c r="C575" s="46" t="n"/>
      <c r="D575" s="46" t="n"/>
      <c r="E575" s="46" t="n"/>
      <c r="F575" s="46" t="n"/>
      <c r="G575" s="46" t="n"/>
      <c r="H575" s="46" t="n"/>
      <c r="I575" s="46" t="n"/>
      <c r="J575" s="46" t="n"/>
      <c r="K575" s="46" t="n"/>
      <c r="L575" s="46" t="n"/>
      <c r="M575" s="46">
        <f>N575-SUM(C575:L575)</f>
        <v/>
      </c>
      <c r="N575" s="47" t="n"/>
      <c r="O575" s="46" t="n"/>
      <c r="P575" s="46" t="n"/>
      <c r="Q575" s="46" t="n"/>
      <c r="R575" s="46" t="n"/>
      <c r="S575" s="46" t="n"/>
      <c r="T575" s="46" t="n"/>
      <c r="U575" s="46" t="n"/>
      <c r="V575" s="46" t="n"/>
      <c r="W575" s="46" t="n"/>
      <c r="X575" s="46" t="n"/>
      <c r="Y575" s="46" t="n"/>
    </row>
    <row r="576">
      <c r="A576" s="78" t="n">
        <v>46349</v>
      </c>
      <c r="B576" s="45" t="inlineStr">
        <is>
          <t>N6</t>
        </is>
      </c>
      <c r="C576" s="46" t="n"/>
      <c r="D576" s="46" t="n"/>
      <c r="E576" s="46" t="n"/>
      <c r="F576" s="46" t="n"/>
      <c r="G576" s="46" t="n"/>
      <c r="H576" s="46" t="n"/>
      <c r="I576" s="46" t="n"/>
      <c r="J576" s="46" t="n"/>
      <c r="K576" s="46" t="n"/>
      <c r="L576" s="46" t="n"/>
      <c r="M576" s="46">
        <f>N576-SUM(C576:L576)</f>
        <v/>
      </c>
      <c r="N576" s="47" t="n"/>
      <c r="O576" s="46" t="n"/>
      <c r="P576" s="46" t="n"/>
      <c r="Q576" s="46" t="n"/>
      <c r="R576" s="46" t="n"/>
      <c r="S576" s="46" t="n"/>
      <c r="T576" s="46" t="n"/>
      <c r="U576" s="46" t="n"/>
      <c r="V576" s="46" t="n"/>
      <c r="W576" s="46" t="n"/>
      <c r="X576" s="46" t="n"/>
      <c r="Y576" s="46" t="n"/>
    </row>
    <row r="577">
      <c r="A577" s="78" t="n">
        <v>46350</v>
      </c>
      <c r="B577" s="45" t="inlineStr">
        <is>
          <t>N6</t>
        </is>
      </c>
      <c r="C577" s="46" t="n"/>
      <c r="D577" s="46" t="n"/>
      <c r="E577" s="46" t="n"/>
      <c r="F577" s="46" t="n"/>
      <c r="G577" s="46" t="n"/>
      <c r="H577" s="46" t="n"/>
      <c r="I577" s="46" t="n"/>
      <c r="J577" s="46" t="n"/>
      <c r="K577" s="46" t="n"/>
      <c r="L577" s="46" t="n"/>
      <c r="M577" s="46">
        <f>N577-SUM(C577:L577)</f>
        <v/>
      </c>
      <c r="N577" s="47" t="n"/>
      <c r="O577" s="46" t="n"/>
      <c r="P577" s="46" t="n"/>
      <c r="Q577" s="46" t="n"/>
      <c r="R577" s="46" t="n"/>
      <c r="S577" s="46" t="n"/>
      <c r="T577" s="46" t="n"/>
      <c r="U577" s="46" t="n"/>
      <c r="V577" s="46" t="n"/>
      <c r="W577" s="46" t="n"/>
      <c r="X577" s="46" t="n"/>
      <c r="Y577" s="46" t="n"/>
    </row>
    <row r="578">
      <c r="A578" s="78" t="n">
        <v>46351</v>
      </c>
      <c r="B578" s="45" t="inlineStr">
        <is>
          <t>N6</t>
        </is>
      </c>
      <c r="C578" s="46" t="n"/>
      <c r="D578" s="46" t="n"/>
      <c r="E578" s="46" t="n"/>
      <c r="F578" s="46" t="n"/>
      <c r="G578" s="46" t="n"/>
      <c r="H578" s="46" t="n"/>
      <c r="I578" s="46" t="n"/>
      <c r="J578" s="46" t="n"/>
      <c r="K578" s="46" t="n"/>
      <c r="L578" s="46" t="n"/>
      <c r="M578" s="46">
        <f>N578-SUM(C578:L578)</f>
        <v/>
      </c>
      <c r="N578" s="47" t="n"/>
      <c r="O578" s="46" t="n"/>
      <c r="P578" s="46" t="n"/>
      <c r="Q578" s="46" t="n"/>
      <c r="R578" s="46" t="n"/>
      <c r="S578" s="46" t="n"/>
      <c r="T578" s="46" t="n"/>
      <c r="U578" s="46" t="n"/>
      <c r="V578" s="46" t="n"/>
      <c r="W578" s="46" t="n"/>
      <c r="X578" s="46" t="n"/>
      <c r="Y578" s="46" t="n"/>
    </row>
    <row r="579">
      <c r="A579" s="78" t="n">
        <v>46352</v>
      </c>
      <c r="B579" s="45" t="inlineStr">
        <is>
          <t>N6</t>
        </is>
      </c>
      <c r="C579" s="46" t="n"/>
      <c r="D579" s="46" t="n"/>
      <c r="E579" s="46" t="n"/>
      <c r="F579" s="46" t="n"/>
      <c r="G579" s="46" t="n"/>
      <c r="H579" s="46" t="n"/>
      <c r="I579" s="46" t="n"/>
      <c r="J579" s="46" t="n"/>
      <c r="K579" s="46" t="n"/>
      <c r="L579" s="46" t="n"/>
      <c r="M579" s="46">
        <f>N579-SUM(C579:L579)</f>
        <v/>
      </c>
      <c r="N579" s="47" t="n"/>
      <c r="O579" s="46" t="n"/>
      <c r="P579" s="46" t="n"/>
      <c r="Q579" s="46" t="n"/>
      <c r="R579" s="46" t="n"/>
      <c r="S579" s="46" t="n"/>
      <c r="T579" s="46" t="n"/>
      <c r="U579" s="46" t="n"/>
      <c r="V579" s="46" t="n"/>
      <c r="W579" s="46" t="n"/>
      <c r="X579" s="46" t="n"/>
      <c r="Y579" s="46" t="n"/>
    </row>
    <row r="580">
      <c r="A580" s="78" t="n">
        <v>46353</v>
      </c>
      <c r="B580" s="45" t="inlineStr">
        <is>
          <t>N6</t>
        </is>
      </c>
      <c r="C580" s="46" t="n"/>
      <c r="D580" s="46" t="n"/>
      <c r="E580" s="46" t="n"/>
      <c r="F580" s="46" t="n"/>
      <c r="G580" s="46" t="n"/>
      <c r="H580" s="46" t="n"/>
      <c r="I580" s="46" t="n"/>
      <c r="J580" s="46" t="n"/>
      <c r="K580" s="46" t="n"/>
      <c r="L580" s="46" t="n"/>
      <c r="M580" s="46">
        <f>N580-SUM(C580:L580)</f>
        <v/>
      </c>
      <c r="N580" s="47" t="n"/>
      <c r="O580" s="46" t="n"/>
      <c r="P580" s="46" t="n"/>
      <c r="Q580" s="46" t="n"/>
      <c r="R580" s="46" t="n"/>
      <c r="S580" s="46" t="n"/>
      <c r="T580" s="46" t="n"/>
      <c r="U580" s="46" t="n"/>
      <c r="V580" s="46" t="n"/>
      <c r="W580" s="46" t="n"/>
      <c r="X580" s="46" t="n"/>
      <c r="Y580" s="46" t="n"/>
    </row>
    <row r="581">
      <c r="A581" s="78" t="n">
        <v>46354</v>
      </c>
      <c r="B581" s="45" t="inlineStr">
        <is>
          <t>N6</t>
        </is>
      </c>
      <c r="C581" s="46" t="n"/>
      <c r="D581" s="46" t="n"/>
      <c r="E581" s="46" t="n"/>
      <c r="F581" s="46" t="n"/>
      <c r="G581" s="46" t="n"/>
      <c r="H581" s="46" t="n"/>
      <c r="I581" s="46" t="n"/>
      <c r="J581" s="46" t="n"/>
      <c r="K581" s="46" t="n"/>
      <c r="L581" s="46" t="n"/>
      <c r="M581" s="46">
        <f>N581-SUM(C581:L581)</f>
        <v/>
      </c>
      <c r="N581" s="47" t="n"/>
      <c r="O581" s="46" t="n"/>
      <c r="P581" s="46" t="n"/>
      <c r="Q581" s="46" t="n"/>
      <c r="R581" s="46" t="n"/>
      <c r="S581" s="46" t="n"/>
      <c r="T581" s="46" t="n"/>
      <c r="U581" s="46" t="n"/>
      <c r="V581" s="46" t="n"/>
      <c r="W581" s="46" t="n"/>
      <c r="X581" s="46" t="n"/>
      <c r="Y581" s="46" t="n"/>
    </row>
    <row r="582">
      <c r="A582" s="78" t="n">
        <v>46355</v>
      </c>
      <c r="B582" s="45" t="inlineStr">
        <is>
          <t>N6</t>
        </is>
      </c>
      <c r="C582" s="46" t="n"/>
      <c r="D582" s="46" t="n"/>
      <c r="E582" s="46" t="n"/>
      <c r="F582" s="46" t="n"/>
      <c r="G582" s="46" t="n"/>
      <c r="H582" s="46" t="n"/>
      <c r="I582" s="46" t="n"/>
      <c r="J582" s="46" t="n"/>
      <c r="K582" s="46" t="n"/>
      <c r="L582" s="46" t="n"/>
      <c r="M582" s="46">
        <f>N582-SUM(C582:L582)</f>
        <v/>
      </c>
      <c r="N582" s="47" t="n"/>
      <c r="O582" s="46" t="n"/>
      <c r="P582" s="46" t="n"/>
      <c r="Q582" s="46" t="n"/>
      <c r="R582" s="46" t="n"/>
      <c r="S582" s="46" t="n"/>
      <c r="T582" s="46" t="n"/>
      <c r="U582" s="46" t="n"/>
      <c r="V582" s="46" t="n"/>
      <c r="W582" s="46" t="n"/>
      <c r="X582" s="46" t="n"/>
      <c r="Y582" s="46" t="n"/>
    </row>
    <row r="583">
      <c r="A583" s="78" t="n">
        <v>46356</v>
      </c>
      <c r="B583" s="45" t="inlineStr">
        <is>
          <t>N6</t>
        </is>
      </c>
      <c r="C583" s="46" t="n"/>
      <c r="D583" s="46" t="n"/>
      <c r="E583" s="46" t="n"/>
      <c r="F583" s="46" t="n"/>
      <c r="G583" s="46" t="n"/>
      <c r="H583" s="46" t="n"/>
      <c r="I583" s="46" t="n"/>
      <c r="J583" s="46" t="n"/>
      <c r="K583" s="46" t="n"/>
      <c r="L583" s="46" t="n"/>
      <c r="M583" s="46">
        <f>N583-SUM(C583:L583)</f>
        <v/>
      </c>
      <c r="N583" s="47" t="n"/>
      <c r="O583" s="46" t="n"/>
      <c r="P583" s="46" t="n"/>
      <c r="Q583" s="46" t="n"/>
      <c r="R583" s="46" t="n"/>
      <c r="S583" s="46" t="n"/>
      <c r="T583" s="46" t="n"/>
      <c r="U583" s="46" t="n"/>
      <c r="V583" s="46" t="n"/>
      <c r="W583" s="46" t="n"/>
      <c r="X583" s="46" t="n"/>
      <c r="Y583" s="46" t="n"/>
    </row>
    <row r="584">
      <c r="A584" s="78" t="n">
        <v>46357</v>
      </c>
      <c r="B584" s="45" t="inlineStr">
        <is>
          <t>N6</t>
        </is>
      </c>
      <c r="C584" s="46" t="n"/>
      <c r="D584" s="46" t="n"/>
      <c r="E584" s="46" t="n"/>
      <c r="F584" s="46" t="n"/>
      <c r="G584" s="46" t="n"/>
      <c r="H584" s="46" t="n"/>
      <c r="I584" s="46" t="n"/>
      <c r="J584" s="46" t="n"/>
      <c r="K584" s="46" t="n"/>
      <c r="L584" s="46" t="n"/>
      <c r="M584" s="46">
        <f>N584-SUM(C584:L584)</f>
        <v/>
      </c>
      <c r="N584" s="47" t="n"/>
      <c r="O584" s="46" t="n"/>
      <c r="P584" s="46" t="n"/>
      <c r="Q584" s="46" t="n"/>
      <c r="R584" s="46" t="n"/>
      <c r="S584" s="46" t="n"/>
      <c r="T584" s="46" t="n"/>
      <c r="U584" s="46" t="n"/>
      <c r="V584" s="46" t="n"/>
      <c r="W584" s="46" t="n"/>
      <c r="X584" s="46" t="n"/>
      <c r="Y584" s="46" t="n"/>
    </row>
    <row r="585">
      <c r="A585" s="78" t="n">
        <v>46358</v>
      </c>
      <c r="B585" s="45" t="inlineStr">
        <is>
          <t>N6</t>
        </is>
      </c>
      <c r="C585" s="46" t="n"/>
      <c r="D585" s="46" t="n"/>
      <c r="E585" s="46" t="n"/>
      <c r="F585" s="46" t="n"/>
      <c r="G585" s="46" t="n"/>
      <c r="H585" s="46" t="n"/>
      <c r="I585" s="46" t="n"/>
      <c r="J585" s="46" t="n"/>
      <c r="K585" s="46" t="n"/>
      <c r="L585" s="46" t="n"/>
      <c r="M585" s="46">
        <f>N585-SUM(C585:L585)</f>
        <v/>
      </c>
      <c r="N585" s="47" t="n"/>
      <c r="O585" s="46" t="n"/>
      <c r="P585" s="46" t="n"/>
      <c r="Q585" s="46" t="n"/>
      <c r="R585" s="46" t="n"/>
      <c r="S585" s="46" t="n"/>
      <c r="T585" s="46" t="n"/>
      <c r="U585" s="46" t="n"/>
      <c r="V585" s="46" t="n"/>
      <c r="W585" s="46" t="n"/>
      <c r="X585" s="46" t="n"/>
      <c r="Y585" s="46" t="n"/>
    </row>
    <row r="586">
      <c r="A586" s="78" t="n">
        <v>46359</v>
      </c>
      <c r="B586" s="45" t="inlineStr">
        <is>
          <t>N6</t>
        </is>
      </c>
      <c r="C586" s="46" t="n"/>
      <c r="D586" s="46" t="n"/>
      <c r="E586" s="46" t="n"/>
      <c r="F586" s="46" t="n"/>
      <c r="G586" s="46" t="n"/>
      <c r="H586" s="46" t="n"/>
      <c r="I586" s="46" t="n"/>
      <c r="J586" s="46" t="n"/>
      <c r="K586" s="46" t="n"/>
      <c r="L586" s="46" t="n"/>
      <c r="M586" s="46">
        <f>N586-SUM(C586:L586)</f>
        <v/>
      </c>
      <c r="N586" s="47" t="n"/>
      <c r="O586" s="46" t="n"/>
      <c r="P586" s="46" t="n"/>
      <c r="Q586" s="46" t="n"/>
      <c r="R586" s="46" t="n"/>
      <c r="S586" s="46" t="n"/>
      <c r="T586" s="46" t="n"/>
      <c r="U586" s="46" t="n"/>
      <c r="V586" s="46" t="n"/>
      <c r="W586" s="46" t="n"/>
      <c r="X586" s="46" t="n"/>
      <c r="Y586" s="46" t="n"/>
    </row>
    <row r="587">
      <c r="A587" s="78" t="n">
        <v>46360</v>
      </c>
      <c r="B587" s="45" t="inlineStr">
        <is>
          <t>N6</t>
        </is>
      </c>
      <c r="C587" s="46" t="n"/>
      <c r="D587" s="46" t="n"/>
      <c r="E587" s="46" t="n"/>
      <c r="F587" s="46" t="n"/>
      <c r="G587" s="46" t="n"/>
      <c r="H587" s="46" t="n"/>
      <c r="I587" s="46" t="n"/>
      <c r="J587" s="46" t="n"/>
      <c r="K587" s="46" t="n"/>
      <c r="L587" s="46" t="n"/>
      <c r="M587" s="46">
        <f>N587-SUM(C587:L587)</f>
        <v/>
      </c>
      <c r="N587" s="47" t="n"/>
      <c r="O587" s="46" t="n"/>
      <c r="P587" s="46" t="n"/>
      <c r="Q587" s="46" t="n"/>
      <c r="R587" s="46" t="n"/>
      <c r="S587" s="46" t="n"/>
      <c r="T587" s="46" t="n"/>
      <c r="U587" s="46" t="n"/>
      <c r="V587" s="46" t="n"/>
      <c r="W587" s="46" t="n"/>
      <c r="X587" s="46" t="n"/>
      <c r="Y587" s="46" t="n"/>
    </row>
    <row r="588">
      <c r="A588" s="78" t="n">
        <v>46361</v>
      </c>
      <c r="B588" s="45" t="inlineStr">
        <is>
          <t>N6</t>
        </is>
      </c>
      <c r="C588" s="46" t="n"/>
      <c r="D588" s="46" t="n"/>
      <c r="E588" s="46" t="n"/>
      <c r="F588" s="46" t="n"/>
      <c r="G588" s="46" t="n"/>
      <c r="H588" s="46" t="n"/>
      <c r="I588" s="46" t="n"/>
      <c r="J588" s="46" t="n"/>
      <c r="K588" s="46" t="n"/>
      <c r="L588" s="46" t="n"/>
      <c r="M588" s="46">
        <f>N588-SUM(C588:L588)</f>
        <v/>
      </c>
      <c r="N588" s="47" t="n"/>
      <c r="O588" s="46" t="n"/>
      <c r="P588" s="46" t="n"/>
      <c r="Q588" s="46" t="n"/>
      <c r="R588" s="46" t="n"/>
      <c r="S588" s="46" t="n"/>
      <c r="T588" s="46" t="n"/>
      <c r="U588" s="46" t="n"/>
      <c r="V588" s="46" t="n"/>
      <c r="W588" s="46" t="n"/>
      <c r="X588" s="46" t="n"/>
      <c r="Y588" s="46" t="n"/>
    </row>
    <row r="589">
      <c r="A589" s="78" t="n">
        <v>46362</v>
      </c>
      <c r="B589" s="45" t="inlineStr">
        <is>
          <t>N6</t>
        </is>
      </c>
      <c r="C589" s="46" t="n"/>
      <c r="D589" s="46" t="n"/>
      <c r="E589" s="46" t="n"/>
      <c r="F589" s="46" t="n"/>
      <c r="G589" s="46" t="n"/>
      <c r="H589" s="46" t="n"/>
      <c r="I589" s="46" t="n"/>
      <c r="J589" s="46" t="n"/>
      <c r="K589" s="46" t="n"/>
      <c r="L589" s="46" t="n"/>
      <c r="M589" s="46">
        <f>N589-SUM(C589:L589)</f>
        <v/>
      </c>
      <c r="N589" s="47" t="n"/>
      <c r="O589" s="46" t="n"/>
      <c r="P589" s="46" t="n"/>
      <c r="Q589" s="46" t="n"/>
      <c r="R589" s="46" t="n"/>
      <c r="S589" s="46" t="n"/>
      <c r="T589" s="46" t="n"/>
      <c r="U589" s="46" t="n"/>
      <c r="V589" s="46" t="n"/>
      <c r="W589" s="46" t="n"/>
      <c r="X589" s="46" t="n"/>
      <c r="Y589" s="46" t="n"/>
    </row>
    <row r="590">
      <c r="A590" s="78" t="n">
        <v>46363</v>
      </c>
      <c r="B590" s="45" t="inlineStr">
        <is>
          <t>N6</t>
        </is>
      </c>
      <c r="C590" s="46" t="n"/>
      <c r="D590" s="46" t="n"/>
      <c r="E590" s="46" t="n"/>
      <c r="F590" s="46" t="n"/>
      <c r="G590" s="46" t="n"/>
      <c r="H590" s="46" t="n"/>
      <c r="I590" s="46" t="n"/>
      <c r="J590" s="46" t="n"/>
      <c r="K590" s="46" t="n"/>
      <c r="L590" s="46" t="n"/>
      <c r="M590" s="46">
        <f>N590-SUM(C590:L590)</f>
        <v/>
      </c>
      <c r="N590" s="47" t="n"/>
      <c r="O590" s="46" t="n"/>
      <c r="P590" s="46" t="n"/>
      <c r="Q590" s="46" t="n"/>
      <c r="R590" s="46" t="n"/>
      <c r="S590" s="46" t="n"/>
      <c r="T590" s="46" t="n"/>
      <c r="U590" s="46" t="n"/>
      <c r="V590" s="46" t="n"/>
      <c r="W590" s="46" t="n"/>
      <c r="X590" s="46" t="n"/>
      <c r="Y590" s="46" t="n"/>
    </row>
    <row r="591">
      <c r="A591" s="78" t="n">
        <v>46364</v>
      </c>
      <c r="B591" s="45" t="inlineStr">
        <is>
          <t>N6</t>
        </is>
      </c>
      <c r="C591" s="46" t="n"/>
      <c r="D591" s="46" t="n"/>
      <c r="E591" s="46" t="n"/>
      <c r="F591" s="46" t="n"/>
      <c r="G591" s="46" t="n"/>
      <c r="H591" s="46" t="n"/>
      <c r="I591" s="46" t="n"/>
      <c r="J591" s="46" t="n"/>
      <c r="K591" s="46" t="n"/>
      <c r="L591" s="46" t="n"/>
      <c r="M591" s="46">
        <f>N591-SUM(C591:L591)</f>
        <v/>
      </c>
      <c r="N591" s="47" t="n"/>
      <c r="O591" s="46" t="n"/>
      <c r="P591" s="46" t="n"/>
      <c r="Q591" s="46" t="n"/>
      <c r="R591" s="46" t="n"/>
      <c r="S591" s="46" t="n"/>
      <c r="T591" s="46" t="n"/>
      <c r="U591" s="46" t="n"/>
      <c r="V591" s="46" t="n"/>
      <c r="W591" s="46" t="n"/>
      <c r="X591" s="46" t="n"/>
      <c r="Y591" s="46" t="n"/>
    </row>
    <row r="592">
      <c r="A592" s="78" t="n">
        <v>46365</v>
      </c>
      <c r="B592" s="45" t="inlineStr">
        <is>
          <t>N6</t>
        </is>
      </c>
      <c r="C592" s="46" t="n"/>
      <c r="D592" s="46" t="n"/>
      <c r="E592" s="46" t="n"/>
      <c r="F592" s="46" t="n"/>
      <c r="G592" s="46" t="n"/>
      <c r="H592" s="46" t="n"/>
      <c r="I592" s="46" t="n"/>
      <c r="J592" s="46" t="n"/>
      <c r="K592" s="46" t="n"/>
      <c r="L592" s="46" t="n"/>
      <c r="M592" s="46">
        <f>N592-SUM(C592:L592)</f>
        <v/>
      </c>
      <c r="N592" s="47" t="n"/>
      <c r="O592" s="46" t="n"/>
      <c r="P592" s="46" t="n"/>
      <c r="Q592" s="46" t="n"/>
      <c r="R592" s="46" t="n"/>
      <c r="S592" s="46" t="n"/>
      <c r="T592" s="46" t="n"/>
      <c r="U592" s="46" t="n"/>
      <c r="V592" s="46" t="n"/>
      <c r="W592" s="46" t="n"/>
      <c r="X592" s="46" t="n"/>
      <c r="Y592" s="46" t="n"/>
    </row>
    <row r="593">
      <c r="A593" s="78" t="n">
        <v>46366</v>
      </c>
      <c r="B593" s="45" t="inlineStr">
        <is>
          <t>N6</t>
        </is>
      </c>
      <c r="C593" s="46" t="n"/>
      <c r="D593" s="46" t="n"/>
      <c r="E593" s="46" t="n"/>
      <c r="F593" s="46" t="n"/>
      <c r="G593" s="46" t="n"/>
      <c r="H593" s="46" t="n"/>
      <c r="I593" s="46" t="n"/>
      <c r="J593" s="46" t="n"/>
      <c r="K593" s="46" t="n"/>
      <c r="L593" s="46" t="n"/>
      <c r="M593" s="46">
        <f>N593-SUM(C593:L593)</f>
        <v/>
      </c>
      <c r="N593" s="47" t="n"/>
      <c r="O593" s="46" t="n"/>
      <c r="P593" s="46" t="n"/>
      <c r="Q593" s="46" t="n"/>
      <c r="R593" s="46" t="n"/>
      <c r="S593" s="46" t="n"/>
      <c r="T593" s="46" t="n"/>
      <c r="U593" s="46" t="n"/>
      <c r="V593" s="46" t="n"/>
      <c r="W593" s="46" t="n"/>
      <c r="X593" s="46" t="n"/>
      <c r="Y593" s="46" t="n"/>
    </row>
    <row r="594">
      <c r="A594" s="78" t="n">
        <v>46367</v>
      </c>
      <c r="B594" s="45" t="inlineStr">
        <is>
          <t>N6</t>
        </is>
      </c>
      <c r="C594" s="46" t="n"/>
      <c r="D594" s="46" t="n"/>
      <c r="E594" s="46" t="n"/>
      <c r="F594" s="46" t="n"/>
      <c r="G594" s="46" t="n"/>
      <c r="H594" s="46" t="n"/>
      <c r="I594" s="46" t="n"/>
      <c r="J594" s="46" t="n"/>
      <c r="K594" s="46" t="n"/>
      <c r="L594" s="46" t="n"/>
      <c r="M594" s="46">
        <f>N594-SUM(C594:L594)</f>
        <v/>
      </c>
      <c r="N594" s="47" t="n"/>
      <c r="O594" s="46" t="n"/>
      <c r="P594" s="46" t="n"/>
      <c r="Q594" s="46" t="n"/>
      <c r="R594" s="46" t="n"/>
      <c r="S594" s="46" t="n"/>
      <c r="T594" s="46" t="n"/>
      <c r="U594" s="46" t="n"/>
      <c r="V594" s="46" t="n"/>
      <c r="W594" s="46" t="n"/>
      <c r="X594" s="46" t="n"/>
      <c r="Y594" s="46" t="n"/>
    </row>
    <row r="595">
      <c r="A595" s="78" t="n">
        <v>46368</v>
      </c>
      <c r="B595" s="45" t="inlineStr">
        <is>
          <t>N6</t>
        </is>
      </c>
      <c r="C595" s="46" t="n"/>
      <c r="D595" s="46" t="n"/>
      <c r="E595" s="46" t="n"/>
      <c r="F595" s="46" t="n"/>
      <c r="G595" s="46" t="n"/>
      <c r="H595" s="46" t="n"/>
      <c r="I595" s="46" t="n"/>
      <c r="J595" s="46" t="n"/>
      <c r="K595" s="46" t="n"/>
      <c r="L595" s="46" t="n"/>
      <c r="M595" s="46">
        <f>N595-SUM(C595:L595)</f>
        <v/>
      </c>
      <c r="N595" s="47" t="n"/>
      <c r="O595" s="46" t="n"/>
      <c r="P595" s="46" t="n"/>
      <c r="Q595" s="46" t="n"/>
      <c r="R595" s="46" t="n"/>
      <c r="S595" s="46" t="n"/>
      <c r="T595" s="46" t="n"/>
      <c r="U595" s="46" t="n"/>
      <c r="V595" s="46" t="n"/>
      <c r="W595" s="46" t="n"/>
      <c r="X595" s="46" t="n"/>
      <c r="Y595" s="46" t="n"/>
    </row>
    <row r="596">
      <c r="A596" s="78" t="n">
        <v>46369</v>
      </c>
      <c r="B596" s="45" t="inlineStr">
        <is>
          <t>N6</t>
        </is>
      </c>
      <c r="C596" s="46" t="n"/>
      <c r="D596" s="46" t="n"/>
      <c r="E596" s="46" t="n"/>
      <c r="F596" s="46" t="n"/>
      <c r="G596" s="46" t="n"/>
      <c r="H596" s="46" t="n"/>
      <c r="I596" s="46" t="n"/>
      <c r="J596" s="46" t="n"/>
      <c r="K596" s="46" t="n"/>
      <c r="L596" s="46" t="n"/>
      <c r="M596" s="46">
        <f>N596-SUM(C596:L596)</f>
        <v/>
      </c>
      <c r="N596" s="47" t="n"/>
      <c r="O596" s="46" t="n"/>
      <c r="P596" s="46" t="n"/>
      <c r="Q596" s="46" t="n"/>
      <c r="R596" s="46" t="n"/>
      <c r="S596" s="46" t="n"/>
      <c r="T596" s="46" t="n"/>
      <c r="U596" s="46" t="n"/>
      <c r="V596" s="46" t="n"/>
      <c r="W596" s="46" t="n"/>
      <c r="X596" s="46" t="n"/>
      <c r="Y596" s="46" t="n"/>
    </row>
    <row r="597">
      <c r="A597" s="78" t="n">
        <v>46370</v>
      </c>
      <c r="B597" s="45" t="inlineStr">
        <is>
          <t>N6</t>
        </is>
      </c>
      <c r="C597" s="46" t="n"/>
      <c r="D597" s="46" t="n"/>
      <c r="E597" s="46" t="n"/>
      <c r="F597" s="46" t="n"/>
      <c r="G597" s="46" t="n"/>
      <c r="H597" s="46" t="n"/>
      <c r="I597" s="46" t="n"/>
      <c r="J597" s="46" t="n"/>
      <c r="K597" s="46" t="n"/>
      <c r="L597" s="46" t="n"/>
      <c r="M597" s="46">
        <f>N597-SUM(C597:L597)</f>
        <v/>
      </c>
      <c r="N597" s="47" t="n"/>
      <c r="O597" s="46" t="n"/>
      <c r="P597" s="46" t="n"/>
      <c r="Q597" s="46" t="n"/>
      <c r="R597" s="46" t="n"/>
      <c r="S597" s="46" t="n"/>
      <c r="T597" s="46" t="n"/>
      <c r="U597" s="46" t="n"/>
      <c r="V597" s="46" t="n"/>
      <c r="W597" s="46" t="n"/>
      <c r="X597" s="46" t="n"/>
      <c r="Y597" s="46" t="n"/>
    </row>
    <row r="598">
      <c r="A598" s="78" t="n">
        <v>46371</v>
      </c>
      <c r="B598" s="45" t="inlineStr">
        <is>
          <t>N6</t>
        </is>
      </c>
      <c r="C598" s="46" t="n"/>
      <c r="D598" s="46" t="n"/>
      <c r="E598" s="46" t="n"/>
      <c r="F598" s="46" t="n"/>
      <c r="G598" s="46" t="n"/>
      <c r="H598" s="46" t="n"/>
      <c r="I598" s="46" t="n"/>
      <c r="J598" s="46" t="n"/>
      <c r="K598" s="46" t="n"/>
      <c r="L598" s="46" t="n"/>
      <c r="M598" s="46">
        <f>N598-SUM(C598:L598)</f>
        <v/>
      </c>
      <c r="N598" s="47" t="n"/>
      <c r="O598" s="46" t="n"/>
      <c r="P598" s="46" t="n"/>
      <c r="Q598" s="46" t="n"/>
      <c r="R598" s="46" t="n"/>
      <c r="S598" s="46" t="n"/>
      <c r="T598" s="46" t="n"/>
      <c r="U598" s="46" t="n"/>
      <c r="V598" s="46" t="n"/>
      <c r="W598" s="46" t="n"/>
      <c r="X598" s="46" t="n"/>
      <c r="Y598" s="46" t="n"/>
    </row>
    <row r="599">
      <c r="A599" s="78" t="n">
        <v>46372</v>
      </c>
      <c r="B599" s="45" t="inlineStr">
        <is>
          <t>N6</t>
        </is>
      </c>
      <c r="C599" s="46" t="n"/>
      <c r="D599" s="46" t="n"/>
      <c r="E599" s="46" t="n"/>
      <c r="F599" s="46" t="n"/>
      <c r="G599" s="46" t="n"/>
      <c r="H599" s="46" t="n"/>
      <c r="I599" s="46" t="n"/>
      <c r="J599" s="46" t="n"/>
      <c r="K599" s="46" t="n"/>
      <c r="L599" s="46" t="n"/>
      <c r="M599" s="46">
        <f>N599-SUM(C599:L599)</f>
        <v/>
      </c>
      <c r="N599" s="47" t="n"/>
      <c r="O599" s="46" t="n"/>
      <c r="P599" s="46" t="n"/>
      <c r="Q599" s="46" t="n"/>
      <c r="R599" s="46" t="n"/>
      <c r="S599" s="46" t="n"/>
      <c r="T599" s="46" t="n"/>
      <c r="U599" s="46" t="n"/>
      <c r="V599" s="46" t="n"/>
      <c r="W599" s="46" t="n"/>
      <c r="X599" s="46" t="n"/>
      <c r="Y599" s="46" t="n"/>
    </row>
    <row r="600">
      <c r="A600" s="78" t="n">
        <v>46373</v>
      </c>
      <c r="B600" s="45" t="inlineStr">
        <is>
          <t>N6</t>
        </is>
      </c>
      <c r="C600" s="46" t="n"/>
      <c r="D600" s="46" t="n"/>
      <c r="E600" s="46" t="n"/>
      <c r="F600" s="46" t="n"/>
      <c r="G600" s="46" t="n"/>
      <c r="H600" s="46" t="n"/>
      <c r="I600" s="46" t="n"/>
      <c r="J600" s="46" t="n"/>
      <c r="K600" s="46" t="n"/>
      <c r="L600" s="46" t="n"/>
      <c r="M600" s="46">
        <f>N600-SUM(C600:L600)</f>
        <v/>
      </c>
      <c r="N600" s="47" t="n"/>
      <c r="O600" s="46" t="n"/>
      <c r="P600" s="46" t="n"/>
      <c r="Q600" s="46" t="n"/>
      <c r="R600" s="46" t="n"/>
      <c r="S600" s="46" t="n"/>
      <c r="T600" s="46" t="n"/>
      <c r="U600" s="46" t="n"/>
      <c r="V600" s="46" t="n"/>
      <c r="W600" s="46" t="n"/>
      <c r="X600" s="46" t="n"/>
      <c r="Y600" s="46" t="n"/>
    </row>
    <row r="601">
      <c r="A601" s="78" t="n">
        <v>46374</v>
      </c>
      <c r="B601" s="45" t="inlineStr">
        <is>
          <t>N6</t>
        </is>
      </c>
      <c r="C601" s="46" t="n"/>
      <c r="D601" s="46" t="n"/>
      <c r="E601" s="46" t="n"/>
      <c r="F601" s="46" t="n"/>
      <c r="G601" s="46" t="n"/>
      <c r="H601" s="46" t="n"/>
      <c r="I601" s="46" t="n"/>
      <c r="J601" s="46" t="n"/>
      <c r="K601" s="46" t="n"/>
      <c r="L601" s="46" t="n"/>
      <c r="M601" s="46">
        <f>N601-SUM(C601:L601)</f>
        <v/>
      </c>
      <c r="N601" s="47" t="n"/>
      <c r="O601" s="46" t="n"/>
      <c r="P601" s="46" t="n"/>
      <c r="Q601" s="46" t="n"/>
      <c r="R601" s="46" t="n"/>
      <c r="S601" s="46" t="n"/>
      <c r="T601" s="46" t="n"/>
      <c r="U601" s="46" t="n"/>
      <c r="V601" s="46" t="n"/>
      <c r="W601" s="46" t="n"/>
      <c r="X601" s="46" t="n"/>
      <c r="Y601" s="46" t="n"/>
    </row>
    <row r="602">
      <c r="A602" s="78" t="n">
        <v>46375</v>
      </c>
      <c r="B602" s="45" t="inlineStr">
        <is>
          <t>N6</t>
        </is>
      </c>
      <c r="C602" s="46" t="n"/>
      <c r="D602" s="46" t="n"/>
      <c r="E602" s="46" t="n"/>
      <c r="F602" s="46" t="n"/>
      <c r="G602" s="46" t="n"/>
      <c r="H602" s="46" t="n"/>
      <c r="I602" s="46" t="n"/>
      <c r="J602" s="46" t="n"/>
      <c r="K602" s="46" t="n"/>
      <c r="L602" s="46" t="n"/>
      <c r="M602" s="46">
        <f>N602-SUM(C602:L602)</f>
        <v/>
      </c>
      <c r="N602" s="47" t="n"/>
      <c r="O602" s="46" t="n"/>
      <c r="P602" s="46" t="n"/>
      <c r="Q602" s="46" t="n"/>
      <c r="R602" s="46" t="n"/>
      <c r="S602" s="46" t="n"/>
      <c r="T602" s="46" t="n"/>
      <c r="U602" s="46" t="n"/>
      <c r="V602" s="46" t="n"/>
      <c r="W602" s="46" t="n"/>
      <c r="X602" s="46" t="n"/>
      <c r="Y602" s="46" t="n"/>
    </row>
    <row r="603">
      <c r="A603" s="78" t="n">
        <v>46376</v>
      </c>
      <c r="B603" s="45" t="inlineStr">
        <is>
          <t>N6</t>
        </is>
      </c>
      <c r="C603" s="46" t="n"/>
      <c r="D603" s="46" t="n"/>
      <c r="E603" s="46" t="n"/>
      <c r="F603" s="46" t="n"/>
      <c r="G603" s="46" t="n"/>
      <c r="H603" s="46" t="n"/>
      <c r="I603" s="46" t="n"/>
      <c r="J603" s="46" t="n"/>
      <c r="K603" s="46" t="n"/>
      <c r="L603" s="46" t="n"/>
      <c r="M603" s="46">
        <f>N603-SUM(C603:L603)</f>
        <v/>
      </c>
      <c r="N603" s="47" t="n"/>
      <c r="O603" s="46" t="n"/>
      <c r="P603" s="46" t="n"/>
      <c r="Q603" s="46" t="n"/>
      <c r="R603" s="46" t="n"/>
      <c r="S603" s="46" t="n"/>
      <c r="T603" s="46" t="n"/>
      <c r="U603" s="46" t="n"/>
      <c r="V603" s="46" t="n"/>
      <c r="W603" s="46" t="n"/>
      <c r="X603" s="46" t="n"/>
      <c r="Y603" s="46" t="n"/>
    </row>
    <row r="604">
      <c r="A604" s="78" t="n">
        <v>46377</v>
      </c>
      <c r="B604" s="45" t="inlineStr">
        <is>
          <t>N6</t>
        </is>
      </c>
      <c r="C604" s="46" t="n"/>
      <c r="D604" s="46" t="n"/>
      <c r="E604" s="46" t="n"/>
      <c r="F604" s="46" t="n"/>
      <c r="G604" s="46" t="n"/>
      <c r="H604" s="46" t="n"/>
      <c r="I604" s="46" t="n"/>
      <c r="J604" s="46" t="n"/>
      <c r="K604" s="46" t="n"/>
      <c r="L604" s="46" t="n"/>
      <c r="M604" s="46">
        <f>N604-SUM(C604:L604)</f>
        <v/>
      </c>
      <c r="N604" s="47" t="n"/>
      <c r="O604" s="46" t="n"/>
      <c r="P604" s="46" t="n"/>
      <c r="Q604" s="46" t="n"/>
      <c r="R604" s="46" t="n"/>
      <c r="S604" s="46" t="n"/>
      <c r="T604" s="46" t="n"/>
      <c r="U604" s="46" t="n"/>
      <c r="V604" s="46" t="n"/>
      <c r="W604" s="46" t="n"/>
      <c r="X604" s="46" t="n"/>
      <c r="Y604" s="46" t="n"/>
    </row>
    <row r="605">
      <c r="A605" s="78" t="n">
        <v>46378</v>
      </c>
      <c r="B605" s="45" t="inlineStr">
        <is>
          <t>N6</t>
        </is>
      </c>
      <c r="C605" s="46" t="n"/>
      <c r="D605" s="46" t="n"/>
      <c r="E605" s="46" t="n"/>
      <c r="F605" s="46" t="n"/>
      <c r="G605" s="46" t="n"/>
      <c r="H605" s="46" t="n"/>
      <c r="I605" s="46" t="n"/>
      <c r="J605" s="46" t="n"/>
      <c r="K605" s="46" t="n"/>
      <c r="L605" s="46" t="n"/>
      <c r="M605" s="46">
        <f>N605-SUM(C605:L605)</f>
        <v/>
      </c>
      <c r="N605" s="47" t="n"/>
      <c r="O605" s="46" t="n"/>
      <c r="P605" s="46" t="n"/>
      <c r="Q605" s="46" t="n"/>
      <c r="R605" s="46" t="n"/>
      <c r="S605" s="46" t="n"/>
      <c r="T605" s="46" t="n"/>
      <c r="U605" s="46" t="n"/>
      <c r="V605" s="46" t="n"/>
      <c r="W605" s="46" t="n"/>
      <c r="X605" s="46" t="n"/>
      <c r="Y605" s="46" t="n"/>
    </row>
    <row r="606">
      <c r="A606" s="78" t="n">
        <v>46379</v>
      </c>
      <c r="B606" s="45" t="inlineStr">
        <is>
          <t>N6</t>
        </is>
      </c>
      <c r="C606" s="46" t="n"/>
      <c r="D606" s="46" t="n"/>
      <c r="E606" s="46" t="n"/>
      <c r="F606" s="46" t="n"/>
      <c r="G606" s="46" t="n"/>
      <c r="H606" s="46" t="n"/>
      <c r="I606" s="46" t="n"/>
      <c r="J606" s="46" t="n"/>
      <c r="K606" s="46" t="n"/>
      <c r="L606" s="46" t="n"/>
      <c r="M606" s="46">
        <f>N606-SUM(C606:L606)</f>
        <v/>
      </c>
      <c r="N606" s="47" t="n"/>
      <c r="O606" s="46" t="n"/>
      <c r="P606" s="46" t="n"/>
      <c r="Q606" s="46" t="n"/>
      <c r="R606" s="46" t="n"/>
      <c r="S606" s="46" t="n"/>
      <c r="T606" s="46" t="n"/>
      <c r="U606" s="46" t="n"/>
      <c r="V606" s="46" t="n"/>
      <c r="W606" s="46" t="n"/>
      <c r="X606" s="46" t="n"/>
      <c r="Y606" s="46" t="n"/>
    </row>
    <row r="607">
      <c r="A607" s="78" t="n">
        <v>46380</v>
      </c>
      <c r="B607" s="45" t="inlineStr">
        <is>
          <t>N6</t>
        </is>
      </c>
      <c r="C607" s="46" t="n"/>
      <c r="D607" s="46" t="n"/>
      <c r="E607" s="46" t="n"/>
      <c r="F607" s="46" t="n"/>
      <c r="G607" s="46" t="n"/>
      <c r="H607" s="46" t="n"/>
      <c r="I607" s="46" t="n"/>
      <c r="J607" s="46" t="n"/>
      <c r="K607" s="46" t="n"/>
      <c r="L607" s="46" t="n"/>
      <c r="M607" s="46">
        <f>N607-SUM(C607:L607)</f>
        <v/>
      </c>
      <c r="N607" s="47" t="n"/>
      <c r="O607" s="46" t="n"/>
      <c r="P607" s="46" t="n"/>
      <c r="Q607" s="46" t="n"/>
      <c r="R607" s="46" t="n"/>
      <c r="S607" s="46" t="n"/>
      <c r="T607" s="46" t="n"/>
      <c r="U607" s="46" t="n"/>
      <c r="V607" s="46" t="n"/>
      <c r="W607" s="46" t="n"/>
      <c r="X607" s="46" t="n"/>
      <c r="Y607" s="46" t="n"/>
    </row>
    <row r="608">
      <c r="A608" s="78" t="n">
        <v>46381</v>
      </c>
      <c r="B608" s="45" t="inlineStr">
        <is>
          <t>N6</t>
        </is>
      </c>
      <c r="C608" s="46" t="n"/>
      <c r="D608" s="46" t="n"/>
      <c r="E608" s="46" t="n"/>
      <c r="F608" s="46" t="n"/>
      <c r="G608" s="46" t="n"/>
      <c r="H608" s="46" t="n"/>
      <c r="I608" s="46" t="n"/>
      <c r="J608" s="46" t="n"/>
      <c r="K608" s="46" t="n"/>
      <c r="L608" s="46" t="n"/>
      <c r="M608" s="46">
        <f>N608-SUM(C608:L608)</f>
        <v/>
      </c>
      <c r="N608" s="47" t="n"/>
      <c r="O608" s="46" t="n"/>
      <c r="P608" s="46" t="n"/>
      <c r="Q608" s="46" t="n"/>
      <c r="R608" s="46" t="n"/>
      <c r="S608" s="46" t="n"/>
      <c r="T608" s="46" t="n"/>
      <c r="U608" s="46" t="n"/>
      <c r="V608" s="46" t="n"/>
      <c r="W608" s="46" t="n"/>
      <c r="X608" s="46" t="n"/>
      <c r="Y608" s="46" t="n"/>
    </row>
    <row r="609">
      <c r="A609" s="78" t="n">
        <v>46382</v>
      </c>
      <c r="B609" s="45" t="inlineStr">
        <is>
          <t>N6</t>
        </is>
      </c>
      <c r="C609" s="46" t="n"/>
      <c r="D609" s="46" t="n"/>
      <c r="E609" s="46" t="n"/>
      <c r="F609" s="46" t="n"/>
      <c r="G609" s="46" t="n"/>
      <c r="H609" s="46" t="n"/>
      <c r="I609" s="46" t="n"/>
      <c r="J609" s="46" t="n"/>
      <c r="K609" s="46" t="n"/>
      <c r="L609" s="46" t="n"/>
      <c r="M609" s="46">
        <f>N609-SUM(C609:L609)</f>
        <v/>
      </c>
      <c r="N609" s="47" t="n"/>
      <c r="O609" s="46" t="n"/>
      <c r="P609" s="46" t="n"/>
      <c r="Q609" s="46" t="n"/>
      <c r="R609" s="46" t="n"/>
      <c r="S609" s="46" t="n"/>
      <c r="T609" s="46" t="n"/>
      <c r="U609" s="46" t="n"/>
      <c r="V609" s="46" t="n"/>
      <c r="W609" s="46" t="n"/>
      <c r="X609" s="46" t="n"/>
      <c r="Y609" s="46" t="n"/>
    </row>
    <row r="610">
      <c r="A610" s="78" t="n">
        <v>46383</v>
      </c>
      <c r="B610" s="45" t="inlineStr">
        <is>
          <t>N6</t>
        </is>
      </c>
      <c r="C610" s="46" t="n"/>
      <c r="D610" s="46" t="n"/>
      <c r="E610" s="46" t="n"/>
      <c r="F610" s="46" t="n"/>
      <c r="G610" s="46" t="n"/>
      <c r="H610" s="46" t="n"/>
      <c r="I610" s="46" t="n"/>
      <c r="J610" s="46" t="n"/>
      <c r="K610" s="46" t="n"/>
      <c r="L610" s="46" t="n"/>
      <c r="M610" s="46">
        <f>N610-SUM(C610:L610)</f>
        <v/>
      </c>
      <c r="N610" s="47" t="n"/>
      <c r="O610" s="46" t="n"/>
      <c r="P610" s="46" t="n"/>
      <c r="Q610" s="46" t="n"/>
      <c r="R610" s="46" t="n"/>
      <c r="S610" s="46" t="n"/>
      <c r="T610" s="46" t="n"/>
      <c r="U610" s="46" t="n"/>
      <c r="V610" s="46" t="n"/>
      <c r="W610" s="46" t="n"/>
      <c r="X610" s="46" t="n"/>
      <c r="Y610" s="46" t="n"/>
    </row>
    <row r="611">
      <c r="A611" s="78" t="n">
        <v>46384</v>
      </c>
      <c r="B611" s="45" t="inlineStr">
        <is>
          <t>N6</t>
        </is>
      </c>
      <c r="C611" s="46" t="n"/>
      <c r="D611" s="46" t="n"/>
      <c r="E611" s="46" t="n"/>
      <c r="F611" s="46" t="n"/>
      <c r="G611" s="46" t="n"/>
      <c r="H611" s="46" t="n"/>
      <c r="I611" s="46" t="n"/>
      <c r="J611" s="46" t="n"/>
      <c r="K611" s="46" t="n"/>
      <c r="L611" s="46" t="n"/>
      <c r="M611" s="46">
        <f>N611-SUM(C611:L611)</f>
        <v/>
      </c>
      <c r="N611" s="47" t="n"/>
      <c r="O611" s="46" t="n"/>
      <c r="P611" s="46" t="n"/>
      <c r="Q611" s="46" t="n"/>
      <c r="R611" s="46" t="n"/>
      <c r="S611" s="46" t="n"/>
      <c r="T611" s="46" t="n"/>
      <c r="U611" s="46" t="n"/>
      <c r="V611" s="46" t="n"/>
      <c r="W611" s="46" t="n"/>
      <c r="X611" s="46" t="n"/>
      <c r="Y611" s="46" t="n"/>
    </row>
    <row r="612">
      <c r="A612" s="78" t="n">
        <v>46385</v>
      </c>
      <c r="B612" s="45" t="inlineStr">
        <is>
          <t>N6</t>
        </is>
      </c>
      <c r="C612" s="46" t="n"/>
      <c r="D612" s="46" t="n"/>
      <c r="E612" s="46" t="n"/>
      <c r="F612" s="46" t="n"/>
      <c r="G612" s="46" t="n"/>
      <c r="H612" s="46" t="n"/>
      <c r="I612" s="46" t="n"/>
      <c r="J612" s="46" t="n"/>
      <c r="K612" s="46" t="n"/>
      <c r="L612" s="46" t="n"/>
      <c r="M612" s="46">
        <f>N612-SUM(C612:L612)</f>
        <v/>
      </c>
      <c r="N612" s="47" t="n"/>
      <c r="O612" s="46" t="n"/>
      <c r="P612" s="46" t="n"/>
      <c r="Q612" s="46" t="n"/>
      <c r="R612" s="46" t="n"/>
      <c r="S612" s="46" t="n"/>
      <c r="T612" s="46" t="n"/>
      <c r="U612" s="46" t="n"/>
      <c r="V612" s="46" t="n"/>
      <c r="W612" s="46" t="n"/>
      <c r="X612" s="46" t="n"/>
      <c r="Y612" s="46" t="n"/>
    </row>
    <row r="613">
      <c r="A613" s="78" t="n">
        <v>46386</v>
      </c>
      <c r="B613" s="45" t="inlineStr">
        <is>
          <t>N6</t>
        </is>
      </c>
      <c r="C613" s="46" t="n"/>
      <c r="D613" s="46" t="n"/>
      <c r="E613" s="46" t="n"/>
      <c r="F613" s="46" t="n"/>
      <c r="G613" s="46" t="n"/>
      <c r="H613" s="46" t="n"/>
      <c r="I613" s="46" t="n"/>
      <c r="J613" s="46" t="n"/>
      <c r="K613" s="46" t="n"/>
      <c r="L613" s="46" t="n"/>
      <c r="M613" s="46">
        <f>N613-SUM(C613:L613)</f>
        <v/>
      </c>
      <c r="N613" s="47" t="n"/>
      <c r="O613" s="46" t="n"/>
      <c r="P613" s="46" t="n"/>
      <c r="Q613" s="46" t="n"/>
      <c r="R613" s="46" t="n"/>
      <c r="S613" s="46" t="n"/>
      <c r="T613" s="46" t="n"/>
      <c r="U613" s="46" t="n"/>
      <c r="V613" s="46" t="n"/>
      <c r="W613" s="46" t="n"/>
      <c r="X613" s="46" t="n"/>
      <c r="Y613" s="46" t="n"/>
    </row>
    <row r="614">
      <c r="A614" s="78" t="n">
        <v>46387</v>
      </c>
      <c r="B614" s="45" t="inlineStr">
        <is>
          <t>N6</t>
        </is>
      </c>
      <c r="C614" s="46" t="n"/>
      <c r="D614" s="46" t="n"/>
      <c r="E614" s="46" t="n"/>
      <c r="F614" s="46" t="n"/>
      <c r="G614" s="46" t="n"/>
      <c r="H614" s="46" t="n"/>
      <c r="I614" s="46" t="n"/>
      <c r="J614" s="46" t="n"/>
      <c r="K614" s="46" t="n"/>
      <c r="L614" s="46" t="n"/>
      <c r="M614" s="46">
        <f>N614-SUM(C614:L614)</f>
        <v/>
      </c>
      <c r="N614" s="47" t="n"/>
      <c r="O614" s="46" t="n"/>
      <c r="P614" s="46" t="n"/>
      <c r="Q614" s="46" t="n"/>
      <c r="R614" s="46" t="n"/>
      <c r="S614" s="46" t="n"/>
      <c r="T614" s="46" t="n"/>
      <c r="U614" s="46" t="n"/>
      <c r="V614" s="46" t="n"/>
      <c r="W614" s="46" t="n"/>
      <c r="X614" s="46" t="n"/>
      <c r="Y614" s="46" t="n"/>
    </row>
    <row r="615">
      <c r="A615" s="78" t="n">
        <v>46082</v>
      </c>
      <c r="B615" s="45" t="inlineStr">
        <is>
          <t>天籁·鸿蒙座舱</t>
        </is>
      </c>
      <c r="C615" s="46" t="n">
        <v>361.3005</v>
      </c>
      <c r="D615" s="46" t="n">
        <v>361.3005</v>
      </c>
      <c r="E615" s="46" t="n">
        <v>295.6095</v>
      </c>
      <c r="F615" s="46" t="n">
        <v>624.0645000000001</v>
      </c>
      <c r="G615" s="46" t="n">
        <v>361.3005</v>
      </c>
      <c r="H615" s="46" t="n">
        <v>426.9915</v>
      </c>
      <c r="I615" s="46" t="n">
        <v>262.764</v>
      </c>
      <c r="J615" s="46" t="n">
        <v>131.382</v>
      </c>
      <c r="K615" s="46" t="n">
        <v>328.455</v>
      </c>
      <c r="L615" s="46" t="n">
        <v>131.382</v>
      </c>
      <c r="M615" s="46">
        <f>N615-SUM(C615:L615)</f>
        <v/>
      </c>
      <c r="N615" s="47" t="n">
        <v>4055</v>
      </c>
      <c r="O615" s="46" t="n">
        <v>130</v>
      </c>
      <c r="P615" s="46" t="n">
        <v>2</v>
      </c>
      <c r="Q615" s="46" t="n">
        <v>955</v>
      </c>
      <c r="R615" s="46" t="n">
        <v>900</v>
      </c>
      <c r="S615" s="46" t="n">
        <v>500</v>
      </c>
      <c r="T615" s="46" t="n">
        <v>500</v>
      </c>
      <c r="U615" s="46" t="n">
        <v>0</v>
      </c>
      <c r="V615" s="46" t="n"/>
      <c r="W615" s="46" t="n">
        <v>424</v>
      </c>
      <c r="X615" s="46" t="n">
        <v>644</v>
      </c>
      <c r="Y615" s="46" t="n">
        <v>0</v>
      </c>
    </row>
    <row r="616">
      <c r="A616" s="78" t="n">
        <v>46083</v>
      </c>
      <c r="B616" s="45" t="inlineStr">
        <is>
          <t>天籁·鸿蒙座舱</t>
        </is>
      </c>
      <c r="C616" s="46" t="n">
        <v>357.4692000000001</v>
      </c>
      <c r="D616" s="46" t="n">
        <v>357.4692000000001</v>
      </c>
      <c r="E616" s="46" t="n">
        <v>292.4748</v>
      </c>
      <c r="F616" s="46" t="n">
        <v>617.4468000000001</v>
      </c>
      <c r="G616" s="46" t="n">
        <v>357.4692000000001</v>
      </c>
      <c r="H616" s="46" t="n">
        <v>422.4636</v>
      </c>
      <c r="I616" s="46" t="n">
        <v>259.9776000000001</v>
      </c>
      <c r="J616" s="46" t="n">
        <v>129.9888</v>
      </c>
      <c r="K616" s="46" t="n">
        <v>324.972</v>
      </c>
      <c r="L616" s="46" t="n">
        <v>129.9888</v>
      </c>
      <c r="M616" s="46">
        <f>N616-SUM(C616:L616)</f>
        <v/>
      </c>
      <c r="N616" s="47" t="n">
        <v>4012</v>
      </c>
      <c r="O616" s="46" t="n">
        <v>130</v>
      </c>
      <c r="P616" s="46" t="n">
        <v>2</v>
      </c>
      <c r="Q616" s="46" t="n">
        <v>738</v>
      </c>
      <c r="R616" s="46" t="n">
        <v>900</v>
      </c>
      <c r="S616" s="46" t="n">
        <v>450</v>
      </c>
      <c r="T616" s="46" t="n">
        <v>500</v>
      </c>
      <c r="U616" s="46" t="n">
        <v>0</v>
      </c>
      <c r="V616" s="46" t="n"/>
      <c r="W616" s="46" t="n">
        <v>424</v>
      </c>
      <c r="X616" s="46" t="n">
        <v>768</v>
      </c>
      <c r="Y616" s="46" t="n">
        <v>100</v>
      </c>
    </row>
    <row r="617">
      <c r="A617" s="78" t="n">
        <v>46084</v>
      </c>
      <c r="B617" s="45" t="inlineStr">
        <is>
          <t>天籁·鸿蒙座舱</t>
        </is>
      </c>
      <c r="C617" s="46" t="n">
        <v>360.4986</v>
      </c>
      <c r="D617" s="46" t="n">
        <v>360.4986</v>
      </c>
      <c r="E617" s="46" t="n">
        <v>294.9534</v>
      </c>
      <c r="F617" s="46" t="n">
        <v>622.6794000000001</v>
      </c>
      <c r="G617" s="46" t="n">
        <v>360.4986</v>
      </c>
      <c r="H617" s="46" t="n">
        <v>426.0438</v>
      </c>
      <c r="I617" s="46" t="n">
        <v>262.1808</v>
      </c>
      <c r="J617" s="46" t="n">
        <v>131.0904</v>
      </c>
      <c r="K617" s="46" t="n">
        <v>327.7260000000001</v>
      </c>
      <c r="L617" s="46" t="n">
        <v>131.0904</v>
      </c>
      <c r="M617" s="46">
        <f>N617-SUM(C617:L617)</f>
        <v/>
      </c>
      <c r="N617" s="47" t="n">
        <v>4046</v>
      </c>
      <c r="O617" s="46" t="n">
        <v>130</v>
      </c>
      <c r="P617" s="46" t="n">
        <v>2</v>
      </c>
      <c r="Q617" s="46" t="n">
        <v>738</v>
      </c>
      <c r="R617" s="46" t="n">
        <v>900</v>
      </c>
      <c r="S617" s="46" t="n">
        <v>450</v>
      </c>
      <c r="T617" s="46" t="n">
        <v>500</v>
      </c>
      <c r="U617" s="46" t="n">
        <v>0</v>
      </c>
      <c r="V617" s="46" t="n"/>
      <c r="W617" s="46" t="n">
        <v>424</v>
      </c>
      <c r="X617" s="46" t="n">
        <v>802</v>
      </c>
      <c r="Y617" s="46" t="n">
        <v>100</v>
      </c>
    </row>
    <row r="618">
      <c r="A618" s="78" t="n">
        <v>46085</v>
      </c>
      <c r="B618" s="45" t="inlineStr">
        <is>
          <t>天籁·鸿蒙座舱</t>
        </is>
      </c>
      <c r="C618" s="46" t="n">
        <v>359.1621</v>
      </c>
      <c r="D618" s="46" t="n">
        <v>359.1621</v>
      </c>
      <c r="E618" s="46" t="n">
        <v>293.8599</v>
      </c>
      <c r="F618" s="46" t="n">
        <v>620.3709</v>
      </c>
      <c r="G618" s="46" t="n">
        <v>359.1621</v>
      </c>
      <c r="H618" s="46" t="n">
        <v>424.4643</v>
      </c>
      <c r="I618" s="46" t="n">
        <v>261.2088</v>
      </c>
      <c r="J618" s="46" t="n">
        <v>130.6044</v>
      </c>
      <c r="K618" s="46" t="n">
        <v>326.511</v>
      </c>
      <c r="L618" s="46" t="n">
        <v>130.6044</v>
      </c>
      <c r="M618" s="46">
        <f>N618-SUM(C618:L618)</f>
        <v/>
      </c>
      <c r="N618" s="47" t="n">
        <v>4031</v>
      </c>
      <c r="O618" s="46" t="n">
        <v>130</v>
      </c>
      <c r="P618" s="46" t="n">
        <v>2</v>
      </c>
      <c r="Q618" s="46" t="n">
        <v>738</v>
      </c>
      <c r="R618" s="46" t="n">
        <v>900</v>
      </c>
      <c r="S618" s="46" t="n">
        <v>450</v>
      </c>
      <c r="T618" s="46" t="n">
        <v>500</v>
      </c>
      <c r="U618" s="46" t="n">
        <v>0</v>
      </c>
      <c r="V618" s="46" t="n"/>
      <c r="W618" s="46" t="n">
        <v>424</v>
      </c>
      <c r="X618" s="46" t="n">
        <v>787</v>
      </c>
      <c r="Y618" s="46" t="n">
        <v>100</v>
      </c>
    </row>
    <row r="619">
      <c r="A619" s="78" t="n">
        <v>46086</v>
      </c>
      <c r="B619" s="45" t="inlineStr">
        <is>
          <t>天籁·鸿蒙座舱</t>
        </is>
      </c>
      <c r="C619" s="46" t="n">
        <v>366.9138</v>
      </c>
      <c r="D619" s="46" t="n">
        <v>366.9138</v>
      </c>
      <c r="E619" s="46" t="n">
        <v>300.2022</v>
      </c>
      <c r="F619" s="46" t="n">
        <v>633.7602000000001</v>
      </c>
      <c r="G619" s="46" t="n">
        <v>366.9138</v>
      </c>
      <c r="H619" s="46" t="n">
        <v>433.6254000000001</v>
      </c>
      <c r="I619" s="46" t="n">
        <v>266.8464</v>
      </c>
      <c r="J619" s="46" t="n">
        <v>133.4232</v>
      </c>
      <c r="K619" s="46" t="n">
        <v>333.558</v>
      </c>
      <c r="L619" s="46" t="n">
        <v>133.4232</v>
      </c>
      <c r="M619" s="46">
        <f>N619-SUM(C619:L619)</f>
        <v/>
      </c>
      <c r="N619" s="47" t="n">
        <v>4118</v>
      </c>
      <c r="O619" s="46" t="n">
        <v>130</v>
      </c>
      <c r="P619" s="46" t="n">
        <v>2</v>
      </c>
      <c r="Q619" s="46" t="n">
        <v>738</v>
      </c>
      <c r="R619" s="46" t="n">
        <v>900</v>
      </c>
      <c r="S619" s="46" t="n">
        <v>450</v>
      </c>
      <c r="T619" s="46" t="n">
        <v>500</v>
      </c>
      <c r="U619" s="46" t="n">
        <v>0</v>
      </c>
      <c r="V619" s="46" t="n"/>
      <c r="W619" s="46" t="n">
        <v>424</v>
      </c>
      <c r="X619" s="46" t="n">
        <v>874</v>
      </c>
      <c r="Y619" s="46" t="n">
        <v>100</v>
      </c>
    </row>
    <row r="620">
      <c r="A620" s="78" t="n">
        <v>46087</v>
      </c>
      <c r="B620" s="45" t="inlineStr">
        <is>
          <t>天籁·鸿蒙座舱</t>
        </is>
      </c>
      <c r="C620" s="46" t="n">
        <v>386.8722000000001</v>
      </c>
      <c r="D620" s="46" t="n">
        <v>386.8722000000001</v>
      </c>
      <c r="E620" s="46" t="n">
        <v>316.5318</v>
      </c>
      <c r="F620" s="46" t="n">
        <v>668.2338000000001</v>
      </c>
      <c r="G620" s="46" t="n">
        <v>386.8722000000001</v>
      </c>
      <c r="H620" s="46" t="n">
        <v>457.2126000000001</v>
      </c>
      <c r="I620" s="46" t="n">
        <v>281.3616000000001</v>
      </c>
      <c r="J620" s="46" t="n">
        <v>140.6808</v>
      </c>
      <c r="K620" s="46" t="n">
        <v>351.7020000000001</v>
      </c>
      <c r="L620" s="46" t="n">
        <v>140.6808</v>
      </c>
      <c r="M620" s="46">
        <f>N620-SUM(C620:L620)</f>
        <v/>
      </c>
      <c r="N620" s="47" t="n">
        <v>4342</v>
      </c>
      <c r="O620" s="46" t="n">
        <v>130</v>
      </c>
      <c r="P620" s="46" t="n">
        <v>2</v>
      </c>
      <c r="Q620" s="46" t="n">
        <v>738</v>
      </c>
      <c r="R620" s="46" t="n">
        <v>900</v>
      </c>
      <c r="S620" s="46" t="n">
        <v>450</v>
      </c>
      <c r="T620" s="46" t="n">
        <v>500</v>
      </c>
      <c r="U620" s="46" t="n">
        <v>245</v>
      </c>
      <c r="V620" s="46" t="n"/>
      <c r="W620" s="46" t="n">
        <v>424</v>
      </c>
      <c r="X620" s="46" t="n">
        <v>851</v>
      </c>
      <c r="Y620" s="46" t="n">
        <v>102</v>
      </c>
    </row>
    <row r="621">
      <c r="A621" s="78" t="n">
        <v>46088</v>
      </c>
      <c r="B621" s="45" t="inlineStr">
        <is>
          <t>天籁·鸿蒙座舱</t>
        </is>
      </c>
      <c r="C621" s="46" t="n">
        <v>417.3444000000001</v>
      </c>
      <c r="D621" s="46" t="n">
        <v>417.3444000000001</v>
      </c>
      <c r="E621" s="46" t="n">
        <v>341.4636</v>
      </c>
      <c r="F621" s="46" t="n">
        <v>720.8676</v>
      </c>
      <c r="G621" s="46" t="n">
        <v>417.3444000000001</v>
      </c>
      <c r="H621" s="46" t="n">
        <v>493.2252000000001</v>
      </c>
      <c r="I621" s="46" t="n">
        <v>303.5232</v>
      </c>
      <c r="J621" s="46" t="n">
        <v>151.7616</v>
      </c>
      <c r="K621" s="46" t="n">
        <v>379.4040000000001</v>
      </c>
      <c r="L621" s="46" t="n">
        <v>151.7616</v>
      </c>
      <c r="M621" s="46">
        <f>N621-SUM(C621:L621)</f>
        <v/>
      </c>
      <c r="N621" s="47" t="n">
        <v>4684</v>
      </c>
      <c r="O621" s="46" t="n">
        <v>130</v>
      </c>
      <c r="P621" s="46" t="n">
        <v>2</v>
      </c>
      <c r="Q621" s="46" t="n">
        <v>959</v>
      </c>
      <c r="R621" s="46" t="n">
        <v>900</v>
      </c>
      <c r="S621" s="46" t="n">
        <v>500</v>
      </c>
      <c r="T621" s="46" t="n">
        <v>600</v>
      </c>
      <c r="U621" s="46" t="n">
        <v>245</v>
      </c>
      <c r="V621" s="46" t="n"/>
      <c r="W621" s="46" t="n">
        <v>424</v>
      </c>
      <c r="X621" s="46" t="n">
        <v>924</v>
      </c>
      <c r="Y621" s="46" t="n">
        <v>0</v>
      </c>
    </row>
    <row r="622">
      <c r="A622" s="78" t="n">
        <v>46089</v>
      </c>
      <c r="B622" s="45" t="inlineStr">
        <is>
          <t>天籁·鸿蒙座舱</t>
        </is>
      </c>
      <c r="C622" s="46" t="n">
        <v>432.135</v>
      </c>
      <c r="D622" s="46" t="n">
        <v>432.135</v>
      </c>
      <c r="E622" s="46" t="n">
        <v>353.5650000000001</v>
      </c>
      <c r="F622" s="46" t="n">
        <v>746.4150000000001</v>
      </c>
      <c r="G622" s="46" t="n">
        <v>432.135</v>
      </c>
      <c r="H622" s="46" t="n">
        <v>510.7050000000001</v>
      </c>
      <c r="I622" s="46" t="n">
        <v>314.28</v>
      </c>
      <c r="J622" s="46" t="n">
        <v>157.14</v>
      </c>
      <c r="K622" s="46" t="n">
        <v>392.8500000000001</v>
      </c>
      <c r="L622" s="46" t="n">
        <v>157.14</v>
      </c>
      <c r="M622" s="46">
        <f>N622-SUM(C622:L622)</f>
        <v/>
      </c>
      <c r="N622" s="47" t="n">
        <v>4850</v>
      </c>
      <c r="O622" s="46" t="n">
        <v>130</v>
      </c>
      <c r="P622" s="46" t="n">
        <v>2</v>
      </c>
      <c r="Q622" s="46" t="n">
        <v>959</v>
      </c>
      <c r="R622" s="46" t="n">
        <v>1025</v>
      </c>
      <c r="S622" s="46" t="n">
        <v>500</v>
      </c>
      <c r="T622" s="46" t="n">
        <v>600</v>
      </c>
      <c r="U622" s="46" t="n">
        <v>245</v>
      </c>
      <c r="V622" s="46" t="n"/>
      <c r="W622" s="46" t="n">
        <v>424</v>
      </c>
      <c r="X622" s="46" t="n">
        <v>965</v>
      </c>
      <c r="Y622" s="46" t="n">
        <v>0</v>
      </c>
    </row>
    <row r="623">
      <c r="A623" s="78" t="n">
        <v>46090</v>
      </c>
      <c r="B623" s="45" t="inlineStr">
        <is>
          <t>天籁·鸿蒙座舱</t>
        </is>
      </c>
      <c r="C623" s="46" t="n">
        <v>408.7908</v>
      </c>
      <c r="D623" s="46" t="n">
        <v>408.7908</v>
      </c>
      <c r="E623" s="46" t="n">
        <v>334.4652</v>
      </c>
      <c r="F623" s="46" t="n">
        <v>706.0932</v>
      </c>
      <c r="G623" s="46" t="n">
        <v>408.7908</v>
      </c>
      <c r="H623" s="46" t="n">
        <v>483.1164000000001</v>
      </c>
      <c r="I623" s="46" t="n">
        <v>297.3024</v>
      </c>
      <c r="J623" s="46" t="n">
        <v>148.6512</v>
      </c>
      <c r="K623" s="46" t="n">
        <v>371.628</v>
      </c>
      <c r="L623" s="46" t="n">
        <v>148.6512</v>
      </c>
      <c r="M623" s="46">
        <f>N623-SUM(C623:L623)</f>
        <v/>
      </c>
      <c r="N623" s="47" t="n">
        <v>4588</v>
      </c>
      <c r="O623" s="46" t="n">
        <v>130</v>
      </c>
      <c r="P623" s="46" t="n">
        <v>2</v>
      </c>
      <c r="Q623" s="46" t="n">
        <v>738</v>
      </c>
      <c r="R623" s="46" t="n">
        <v>1025</v>
      </c>
      <c r="S623" s="46" t="n">
        <v>450</v>
      </c>
      <c r="T623" s="46" t="n">
        <v>500</v>
      </c>
      <c r="U623" s="46" t="n">
        <v>245</v>
      </c>
      <c r="V623" s="46" t="n"/>
      <c r="W623" s="46" t="n">
        <v>424</v>
      </c>
      <c r="X623" s="46" t="n">
        <v>972</v>
      </c>
      <c r="Y623" s="46" t="n">
        <v>102</v>
      </c>
    </row>
    <row r="624">
      <c r="A624" s="78" t="n">
        <v>46091</v>
      </c>
      <c r="B624" s="45" t="inlineStr">
        <is>
          <t>天籁·鸿蒙座舱</t>
        </is>
      </c>
      <c r="C624" s="46" t="n">
        <v>385.5357</v>
      </c>
      <c r="D624" s="46" t="n">
        <v>385.5357</v>
      </c>
      <c r="E624" s="46" t="n">
        <v>315.4383</v>
      </c>
      <c r="F624" s="46" t="n">
        <v>665.9253000000001</v>
      </c>
      <c r="G624" s="46" t="n">
        <v>385.5357</v>
      </c>
      <c r="H624" s="46" t="n">
        <v>455.6331000000001</v>
      </c>
      <c r="I624" s="46" t="n">
        <v>280.3896</v>
      </c>
      <c r="J624" s="46" t="n">
        <v>140.1948</v>
      </c>
      <c r="K624" s="46" t="n">
        <v>350.4870000000001</v>
      </c>
      <c r="L624" s="46" t="n">
        <v>140.1948</v>
      </c>
      <c r="M624" s="46">
        <f>N624-SUM(C624:L624)</f>
        <v/>
      </c>
      <c r="N624" s="47" t="n">
        <v>4327</v>
      </c>
      <c r="O624" s="46" t="n">
        <v>130</v>
      </c>
      <c r="P624" s="46" t="n">
        <v>2</v>
      </c>
      <c r="Q624" s="46" t="n">
        <v>738</v>
      </c>
      <c r="R624" s="46" t="n">
        <v>1025</v>
      </c>
      <c r="S624" s="46" t="n">
        <v>450</v>
      </c>
      <c r="T624" s="46" t="n">
        <v>500</v>
      </c>
      <c r="U624" s="46" t="n">
        <v>0</v>
      </c>
      <c r="V624" s="46" t="n"/>
      <c r="W624" s="46" t="n">
        <v>424</v>
      </c>
      <c r="X624" s="46" t="n">
        <v>956</v>
      </c>
      <c r="Y624" s="46" t="n">
        <v>102</v>
      </c>
    </row>
    <row r="625">
      <c r="A625" s="78" t="n">
        <v>46092</v>
      </c>
      <c r="B625" s="45" t="inlineStr">
        <is>
          <t>天籁·鸿蒙座舱</t>
        </is>
      </c>
      <c r="C625" s="46" t="n">
        <v>427.4127</v>
      </c>
      <c r="D625" s="46" t="n">
        <v>427.4127</v>
      </c>
      <c r="E625" s="46" t="n">
        <v>349.7013</v>
      </c>
      <c r="F625" s="46" t="n">
        <v>738.2583000000001</v>
      </c>
      <c r="G625" s="46" t="n">
        <v>427.4127</v>
      </c>
      <c r="H625" s="46" t="n">
        <v>505.1241000000001</v>
      </c>
      <c r="I625" s="46" t="n">
        <v>310.8456</v>
      </c>
      <c r="J625" s="46" t="n">
        <v>155.4228</v>
      </c>
      <c r="K625" s="46" t="n">
        <v>388.557</v>
      </c>
      <c r="L625" s="46" t="n">
        <v>155.4228</v>
      </c>
      <c r="M625" s="46">
        <f>N625-SUM(C625:L625)</f>
        <v/>
      </c>
      <c r="N625" s="47" t="n">
        <v>4797</v>
      </c>
      <c r="O625" s="46" t="n">
        <v>130</v>
      </c>
      <c r="P625" s="46" t="n">
        <v>2</v>
      </c>
      <c r="Q625" s="46" t="n">
        <v>812</v>
      </c>
      <c r="R625" s="46" t="n">
        <v>1025</v>
      </c>
      <c r="S625" s="46" t="n">
        <v>450</v>
      </c>
      <c r="T625" s="46" t="n">
        <v>500</v>
      </c>
      <c r="U625" s="46" t="n">
        <v>470</v>
      </c>
      <c r="V625" s="46" t="n"/>
      <c r="W625" s="46" t="n">
        <v>424</v>
      </c>
      <c r="X625" s="46" t="n">
        <v>882</v>
      </c>
      <c r="Y625" s="46" t="n">
        <v>102</v>
      </c>
    </row>
    <row r="626">
      <c r="A626" s="78" t="n">
        <v>46093</v>
      </c>
      <c r="B626" s="45" t="inlineStr">
        <is>
          <t>天籁·鸿蒙座舱</t>
        </is>
      </c>
      <c r="C626" s="46" t="n">
        <v>424.6506</v>
      </c>
      <c r="D626" s="46" t="n">
        <v>424.6506</v>
      </c>
      <c r="E626" s="46" t="n">
        <v>347.4414</v>
      </c>
      <c r="F626" s="46" t="n">
        <v>733.4874</v>
      </c>
      <c r="G626" s="46" t="n">
        <v>424.6506</v>
      </c>
      <c r="H626" s="46" t="n">
        <v>501.8598</v>
      </c>
      <c r="I626" s="46" t="n">
        <v>308.8368</v>
      </c>
      <c r="J626" s="46" t="n">
        <v>154.4184</v>
      </c>
      <c r="K626" s="46" t="n">
        <v>386.046</v>
      </c>
      <c r="L626" s="46" t="n">
        <v>154.4184</v>
      </c>
      <c r="M626" s="46">
        <f>N626-SUM(C626:L626)</f>
        <v/>
      </c>
      <c r="N626" s="47" t="n">
        <v>4766</v>
      </c>
      <c r="O626" s="46" t="n">
        <v>130</v>
      </c>
      <c r="P626" s="46" t="n">
        <v>2</v>
      </c>
      <c r="Q626" s="46" t="n">
        <v>812</v>
      </c>
      <c r="R626" s="46" t="n">
        <v>1025</v>
      </c>
      <c r="S626" s="46" t="n">
        <v>450</v>
      </c>
      <c r="T626" s="46" t="n">
        <v>500</v>
      </c>
      <c r="U626" s="46" t="n">
        <v>470</v>
      </c>
      <c r="V626" s="46" t="n"/>
      <c r="W626" s="46" t="n">
        <v>424</v>
      </c>
      <c r="X626" s="46" t="n">
        <v>851</v>
      </c>
      <c r="Y626" s="46" t="n">
        <v>102</v>
      </c>
    </row>
    <row r="627">
      <c r="A627" s="78" t="n">
        <v>46094</v>
      </c>
      <c r="B627" s="45" t="inlineStr">
        <is>
          <t>天籁·鸿蒙座舱</t>
        </is>
      </c>
      <c r="C627" s="46" t="n">
        <v>434.8971</v>
      </c>
      <c r="D627" s="46" t="n">
        <v>434.8971</v>
      </c>
      <c r="E627" s="46" t="n">
        <v>355.8249</v>
      </c>
      <c r="F627" s="46" t="n">
        <v>751.1859000000001</v>
      </c>
      <c r="G627" s="46" t="n">
        <v>434.8971</v>
      </c>
      <c r="H627" s="46" t="n">
        <v>513.9693000000001</v>
      </c>
      <c r="I627" s="46" t="n">
        <v>316.2888</v>
      </c>
      <c r="J627" s="46" t="n">
        <v>158.1444</v>
      </c>
      <c r="K627" s="46" t="n">
        <v>395.361</v>
      </c>
      <c r="L627" s="46" t="n">
        <v>158.1444</v>
      </c>
      <c r="M627" s="46">
        <f>N627-SUM(C627:L627)</f>
        <v/>
      </c>
      <c r="N627" s="47" t="n">
        <v>4881</v>
      </c>
      <c r="O627" s="46" t="n">
        <v>130</v>
      </c>
      <c r="P627" s="46" t="n">
        <v>2</v>
      </c>
      <c r="Q627" s="46" t="n">
        <v>812</v>
      </c>
      <c r="R627" s="46" t="n">
        <v>1025</v>
      </c>
      <c r="S627" s="46" t="n">
        <v>450</v>
      </c>
      <c r="T627" s="46" t="n">
        <v>500</v>
      </c>
      <c r="U627" s="46" t="n">
        <v>470</v>
      </c>
      <c r="V627" s="46" t="n"/>
      <c r="W627" s="46" t="n">
        <v>424</v>
      </c>
      <c r="X627" s="46" t="n">
        <v>966</v>
      </c>
      <c r="Y627" s="46" t="n">
        <v>102</v>
      </c>
    </row>
    <row r="628">
      <c r="A628" s="78" t="n">
        <v>46095</v>
      </c>
      <c r="B628" s="45" t="inlineStr">
        <is>
          <t>天籁·鸿蒙座舱</t>
        </is>
      </c>
      <c r="C628" s="46" t="n">
        <v>543.0645000000001</v>
      </c>
      <c r="D628" s="46" t="n">
        <v>543.0645000000001</v>
      </c>
      <c r="E628" s="46" t="n">
        <v>444.3255</v>
      </c>
      <c r="F628" s="46" t="n">
        <v>938.0205000000002</v>
      </c>
      <c r="G628" s="46" t="n">
        <v>543.0645000000001</v>
      </c>
      <c r="H628" s="46" t="n">
        <v>641.8035000000001</v>
      </c>
      <c r="I628" s="46" t="n">
        <v>394.9560000000001</v>
      </c>
      <c r="J628" s="46" t="n">
        <v>197.478</v>
      </c>
      <c r="K628" s="46" t="n">
        <v>493.6950000000001</v>
      </c>
      <c r="L628" s="46" t="n">
        <v>197.478</v>
      </c>
      <c r="M628" s="46">
        <f>N628-SUM(C628:L628)</f>
        <v/>
      </c>
      <c r="N628" s="47" t="n">
        <v>6095</v>
      </c>
      <c r="O628" s="46" t="n">
        <v>130</v>
      </c>
      <c r="P628" s="46" t="n">
        <v>2</v>
      </c>
      <c r="Q628" s="46" t="n">
        <v>1055</v>
      </c>
      <c r="R628" s="46" t="n">
        <v>1901</v>
      </c>
      <c r="S628" s="46" t="n">
        <v>500</v>
      </c>
      <c r="T628" s="46" t="n">
        <v>600</v>
      </c>
      <c r="U628" s="46" t="n">
        <v>470</v>
      </c>
      <c r="V628" s="46" t="n"/>
      <c r="W628" s="46" t="n">
        <v>424</v>
      </c>
      <c r="X628" s="46" t="n">
        <v>1013</v>
      </c>
      <c r="Y628" s="46" t="n">
        <v>0</v>
      </c>
    </row>
    <row r="629">
      <c r="A629" s="78" t="n">
        <v>46096</v>
      </c>
      <c r="B629" s="45" t="inlineStr">
        <is>
          <t>天籁·鸿蒙座舱</t>
        </is>
      </c>
      <c r="C629" s="46" t="n">
        <v>459.4887</v>
      </c>
      <c r="D629" s="46" t="n">
        <v>459.4887</v>
      </c>
      <c r="E629" s="46" t="n">
        <v>375.9453</v>
      </c>
      <c r="F629" s="46" t="n">
        <v>793.6623000000001</v>
      </c>
      <c r="G629" s="46" t="n">
        <v>459.4887</v>
      </c>
      <c r="H629" s="46" t="n">
        <v>543.0321</v>
      </c>
      <c r="I629" s="46" t="n">
        <v>334.1736</v>
      </c>
      <c r="J629" s="46" t="n">
        <v>167.0868</v>
      </c>
      <c r="K629" s="46" t="n">
        <v>417.717</v>
      </c>
      <c r="L629" s="46" t="n">
        <v>167.0868</v>
      </c>
      <c r="M629" s="46">
        <f>N629-SUM(C629:L629)</f>
        <v/>
      </c>
      <c r="N629" s="47" t="n">
        <v>5157</v>
      </c>
      <c r="O629" s="46" t="n">
        <v>130</v>
      </c>
      <c r="P629" s="46" t="n">
        <v>2</v>
      </c>
      <c r="Q629" s="46" t="n">
        <v>1055</v>
      </c>
      <c r="R629" s="46" t="n">
        <v>1025</v>
      </c>
      <c r="S629" s="46" t="n">
        <v>500</v>
      </c>
      <c r="T629" s="46" t="n">
        <v>400</v>
      </c>
      <c r="U629" s="46" t="n">
        <v>470</v>
      </c>
      <c r="V629" s="46" t="n"/>
      <c r="W629" s="46" t="n">
        <v>424</v>
      </c>
      <c r="X629" s="46" t="n">
        <v>1151</v>
      </c>
      <c r="Y629" s="46" t="n">
        <v>0</v>
      </c>
    </row>
    <row r="630">
      <c r="A630" s="78" t="n">
        <v>46097</v>
      </c>
      <c r="B630" s="45" t="inlineStr">
        <is>
          <t>天籁·鸿蒙座舱</t>
        </is>
      </c>
      <c r="C630" s="46" t="n">
        <v>446.2128000000001</v>
      </c>
      <c r="D630" s="46" t="n">
        <v>446.2128000000001</v>
      </c>
      <c r="E630" s="46" t="n">
        <v>365.0832</v>
      </c>
      <c r="F630" s="46" t="n">
        <v>770.7312000000001</v>
      </c>
      <c r="G630" s="46" t="n">
        <v>446.2128000000001</v>
      </c>
      <c r="H630" s="46" t="n">
        <v>527.3424000000001</v>
      </c>
      <c r="I630" s="46" t="n">
        <v>324.5184</v>
      </c>
      <c r="J630" s="46" t="n">
        <v>162.2592</v>
      </c>
      <c r="K630" s="46" t="n">
        <v>405.6480000000001</v>
      </c>
      <c r="L630" s="46" t="n">
        <v>162.2592</v>
      </c>
      <c r="M630" s="46">
        <f>N630-SUM(C630:L630)</f>
        <v/>
      </c>
      <c r="N630" s="47" t="n">
        <v>5008</v>
      </c>
      <c r="O630" s="46" t="n">
        <v>130</v>
      </c>
      <c r="P630" s="46" t="n">
        <v>2</v>
      </c>
      <c r="Q630" s="46" t="n">
        <v>812</v>
      </c>
      <c r="R630" s="46" t="n">
        <v>1025</v>
      </c>
      <c r="S630" s="46" t="n">
        <v>450</v>
      </c>
      <c r="T630" s="46" t="n">
        <v>400</v>
      </c>
      <c r="U630" s="46" t="n">
        <v>470</v>
      </c>
      <c r="V630" s="46" t="n"/>
      <c r="W630" s="46" t="n">
        <v>424</v>
      </c>
      <c r="X630" s="46" t="n">
        <v>1193</v>
      </c>
      <c r="Y630" s="46" t="n">
        <v>102</v>
      </c>
    </row>
    <row r="631">
      <c r="A631" s="78" t="n">
        <v>46098</v>
      </c>
      <c r="B631" s="45" t="inlineStr">
        <is>
          <t>天籁·鸿蒙座舱</t>
        </is>
      </c>
      <c r="C631" s="46" t="n">
        <v>396.0495</v>
      </c>
      <c r="D631" s="46" t="n">
        <v>396.0495</v>
      </c>
      <c r="E631" s="46" t="n">
        <v>324.0405</v>
      </c>
      <c r="F631" s="46" t="n">
        <v>684.0855</v>
      </c>
      <c r="G631" s="46" t="n">
        <v>396.0495</v>
      </c>
      <c r="H631" s="46" t="n">
        <v>468.0585</v>
      </c>
      <c r="I631" s="46" t="n">
        <v>288.036</v>
      </c>
      <c r="J631" s="46" t="n">
        <v>144.018</v>
      </c>
      <c r="K631" s="46" t="n">
        <v>360.0450000000001</v>
      </c>
      <c r="L631" s="46" t="n">
        <v>144.018</v>
      </c>
      <c r="M631" s="46">
        <f>N631-SUM(C631:L631)</f>
        <v/>
      </c>
      <c r="N631" s="47" t="n">
        <v>4445</v>
      </c>
      <c r="O631" s="46" t="n">
        <v>130</v>
      </c>
      <c r="P631" s="46" t="n">
        <v>2</v>
      </c>
      <c r="Q631" s="46" t="n">
        <v>812</v>
      </c>
      <c r="R631" s="46" t="n">
        <v>1025</v>
      </c>
      <c r="S631" s="46" t="n">
        <v>450</v>
      </c>
      <c r="T631" s="46" t="n">
        <v>400</v>
      </c>
      <c r="U631" s="46" t="n">
        <v>0</v>
      </c>
      <c r="V631" s="46" t="n"/>
      <c r="W631" s="46" t="n">
        <v>424</v>
      </c>
      <c r="X631" s="46" t="n">
        <v>1100</v>
      </c>
      <c r="Y631" s="46" t="n">
        <v>102</v>
      </c>
    </row>
    <row r="632">
      <c r="A632" s="78" t="n">
        <v>46099</v>
      </c>
      <c r="B632" s="45" t="inlineStr">
        <is>
          <t>天籁·鸿蒙座舱</t>
        </is>
      </c>
      <c r="C632" s="46" t="n">
        <v>395.9604</v>
      </c>
      <c r="D632" s="46" t="n">
        <v>395.9604</v>
      </c>
      <c r="E632" s="46" t="n">
        <v>323.9676</v>
      </c>
      <c r="F632" s="46" t="n">
        <v>683.9316000000001</v>
      </c>
      <c r="G632" s="46" t="n">
        <v>395.9604</v>
      </c>
      <c r="H632" s="46" t="n">
        <v>467.9532</v>
      </c>
      <c r="I632" s="46" t="n">
        <v>287.9712</v>
      </c>
      <c r="J632" s="46" t="n">
        <v>143.9856</v>
      </c>
      <c r="K632" s="46" t="n">
        <v>359.9640000000001</v>
      </c>
      <c r="L632" s="46" t="n">
        <v>143.9856</v>
      </c>
      <c r="M632" s="46">
        <f>N632-SUM(C632:L632)</f>
        <v/>
      </c>
      <c r="N632" s="47" t="n">
        <v>4444</v>
      </c>
      <c r="O632" s="46" t="n">
        <v>131</v>
      </c>
      <c r="P632" s="46" t="n">
        <v>2</v>
      </c>
      <c r="Q632" s="46" t="n">
        <v>812</v>
      </c>
      <c r="R632" s="46" t="n">
        <v>1025</v>
      </c>
      <c r="S632" s="46" t="n">
        <v>450</v>
      </c>
      <c r="T632" s="46" t="n">
        <v>400</v>
      </c>
      <c r="U632" s="46" t="n">
        <v>0</v>
      </c>
      <c r="V632" s="46" t="n"/>
      <c r="W632" s="46" t="n">
        <v>424</v>
      </c>
      <c r="X632" s="46" t="n">
        <v>1098</v>
      </c>
      <c r="Y632" s="46" t="n">
        <v>102</v>
      </c>
    </row>
    <row r="633">
      <c r="A633" s="78" t="n">
        <v>46100</v>
      </c>
      <c r="B633" s="45" t="inlineStr">
        <is>
          <t>天籁·鸿蒙座舱</t>
        </is>
      </c>
      <c r="C633" s="46" t="n">
        <v>401.1282</v>
      </c>
      <c r="D633" s="46" t="n">
        <v>401.1282</v>
      </c>
      <c r="E633" s="46" t="n">
        <v>328.1958</v>
      </c>
      <c r="F633" s="46" t="n">
        <v>692.8578000000001</v>
      </c>
      <c r="G633" s="46" t="n">
        <v>401.1282</v>
      </c>
      <c r="H633" s="46" t="n">
        <v>474.0606000000001</v>
      </c>
      <c r="I633" s="46" t="n">
        <v>291.7296000000001</v>
      </c>
      <c r="J633" s="46" t="n">
        <v>145.8648</v>
      </c>
      <c r="K633" s="46" t="n">
        <v>364.662</v>
      </c>
      <c r="L633" s="46" t="n">
        <v>145.8648</v>
      </c>
      <c r="M633" s="46">
        <f>N633-SUM(C633:L633)</f>
        <v/>
      </c>
      <c r="N633" s="47" t="n">
        <v>4502</v>
      </c>
      <c r="O633" s="46" t="n">
        <v>131</v>
      </c>
      <c r="P633" s="46" t="n">
        <v>2</v>
      </c>
      <c r="Q633" s="46" t="n">
        <v>812</v>
      </c>
      <c r="R633" s="46" t="n">
        <v>1025</v>
      </c>
      <c r="S633" s="46" t="n">
        <v>450</v>
      </c>
      <c r="T633" s="46" t="n">
        <v>400</v>
      </c>
      <c r="U633" s="46" t="n">
        <v>0</v>
      </c>
      <c r="V633" s="46" t="n"/>
      <c r="W633" s="46" t="n">
        <v>424</v>
      </c>
      <c r="X633" s="46" t="n">
        <v>1156</v>
      </c>
      <c r="Y633" s="46" t="n">
        <v>102</v>
      </c>
    </row>
    <row r="634">
      <c r="A634" s="78" t="n">
        <v>46101</v>
      </c>
      <c r="B634" s="45" t="inlineStr">
        <is>
          <t>天籁·鸿蒙座舱</t>
        </is>
      </c>
      <c r="C634" s="46" t="n">
        <v>378.3186</v>
      </c>
      <c r="D634" s="46" t="n">
        <v>378.3186</v>
      </c>
      <c r="E634" s="46" t="n">
        <v>309.5334</v>
      </c>
      <c r="F634" s="46" t="n">
        <v>653.4594000000001</v>
      </c>
      <c r="G634" s="46" t="n">
        <v>378.3186</v>
      </c>
      <c r="H634" s="46" t="n">
        <v>447.1038</v>
      </c>
      <c r="I634" s="46" t="n">
        <v>275.1408</v>
      </c>
      <c r="J634" s="46" t="n">
        <v>137.5704</v>
      </c>
      <c r="K634" s="46" t="n">
        <v>343.926</v>
      </c>
      <c r="L634" s="46" t="n">
        <v>137.5704</v>
      </c>
      <c r="M634" s="46">
        <f>N634-SUM(C634:L634)</f>
        <v/>
      </c>
      <c r="N634" s="47" t="n">
        <v>4246</v>
      </c>
      <c r="O634" s="46" t="n">
        <v>131</v>
      </c>
      <c r="P634" s="46" t="n">
        <v>2</v>
      </c>
      <c r="Q634" s="46" t="n">
        <v>812</v>
      </c>
      <c r="R634" s="46" t="n">
        <v>1025</v>
      </c>
      <c r="S634" s="46" t="n">
        <v>450</v>
      </c>
      <c r="T634" s="46" t="n">
        <v>200</v>
      </c>
      <c r="U634" s="46" t="n">
        <v>0</v>
      </c>
      <c r="V634" s="46" t="n"/>
      <c r="W634" s="46" t="n">
        <v>424</v>
      </c>
      <c r="X634" s="46" t="n">
        <v>1100</v>
      </c>
      <c r="Y634" s="46" t="n">
        <v>102</v>
      </c>
    </row>
    <row r="635">
      <c r="A635" s="78" t="n">
        <v>46102</v>
      </c>
      <c r="B635" s="45" t="inlineStr">
        <is>
          <t>天籁·鸿蒙座舱</t>
        </is>
      </c>
      <c r="C635" s="46" t="n">
        <v>404.7813</v>
      </c>
      <c r="D635" s="46" t="n">
        <v>404.7813</v>
      </c>
      <c r="E635" s="46" t="n">
        <v>331.1847</v>
      </c>
      <c r="F635" s="46" t="n">
        <v>699.1677000000001</v>
      </c>
      <c r="G635" s="46" t="n">
        <v>404.7813</v>
      </c>
      <c r="H635" s="46" t="n">
        <v>478.3779000000001</v>
      </c>
      <c r="I635" s="46" t="n">
        <v>294.3864</v>
      </c>
      <c r="J635" s="46" t="n">
        <v>147.1932</v>
      </c>
      <c r="K635" s="46" t="n">
        <v>367.9830000000001</v>
      </c>
      <c r="L635" s="46" t="n">
        <v>147.1932</v>
      </c>
      <c r="M635" s="46">
        <f>N635-SUM(C635:L635)</f>
        <v/>
      </c>
      <c r="N635" s="47" t="n">
        <v>4543</v>
      </c>
      <c r="O635" s="46" t="n">
        <v>131</v>
      </c>
      <c r="P635" s="46" t="n">
        <v>2</v>
      </c>
      <c r="Q635" s="46" t="n">
        <v>1151</v>
      </c>
      <c r="R635" s="46" t="n">
        <v>1025</v>
      </c>
      <c r="S635" s="46" t="n">
        <v>500</v>
      </c>
      <c r="T635" s="46" t="n">
        <v>200</v>
      </c>
      <c r="U635" s="46" t="n">
        <v>0</v>
      </c>
      <c r="V635" s="46" t="n"/>
      <c r="W635" s="46" t="n">
        <v>424</v>
      </c>
      <c r="X635" s="46" t="n">
        <v>1110</v>
      </c>
      <c r="Y635" s="46" t="n">
        <v>0</v>
      </c>
    </row>
    <row r="636">
      <c r="A636" s="78" t="n">
        <v>46103</v>
      </c>
      <c r="B636" s="45" t="inlineStr">
        <is>
          <t>天籁·鸿蒙座舱</t>
        </is>
      </c>
      <c r="C636" s="46" t="n">
        <v>412.533</v>
      </c>
      <c r="D636" s="46" t="n">
        <v>412.533</v>
      </c>
      <c r="E636" s="46" t="n">
        <v>337.527</v>
      </c>
      <c r="F636" s="46" t="n">
        <v>712.557</v>
      </c>
      <c r="G636" s="46" t="n">
        <v>412.533</v>
      </c>
      <c r="H636" s="46" t="n">
        <v>487.539</v>
      </c>
      <c r="I636" s="46" t="n">
        <v>300.024</v>
      </c>
      <c r="J636" s="46" t="n">
        <v>150.012</v>
      </c>
      <c r="K636" s="46" t="n">
        <v>375.03</v>
      </c>
      <c r="L636" s="46" t="n">
        <v>150.012</v>
      </c>
      <c r="M636" s="46">
        <f>N636-SUM(C636:L636)</f>
        <v/>
      </c>
      <c r="N636" s="47" t="n">
        <v>4630</v>
      </c>
      <c r="O636" s="46" t="n">
        <v>131</v>
      </c>
      <c r="P636" s="46" t="n">
        <v>3</v>
      </c>
      <c r="Q636" s="46" t="n">
        <v>1151</v>
      </c>
      <c r="R636" s="46" t="n">
        <v>1025</v>
      </c>
      <c r="S636" s="46" t="n">
        <v>500</v>
      </c>
      <c r="T636" s="46" t="n">
        <v>200</v>
      </c>
      <c r="U636" s="46" t="n">
        <v>0</v>
      </c>
      <c r="V636" s="46" t="n"/>
      <c r="W636" s="46" t="n">
        <v>424</v>
      </c>
      <c r="X636" s="46" t="n">
        <v>1196</v>
      </c>
      <c r="Y636" s="46" t="n">
        <v>0</v>
      </c>
    </row>
    <row r="637">
      <c r="A637" s="78" t="n">
        <v>46104</v>
      </c>
      <c r="B637" s="45" t="inlineStr">
        <is>
          <t>天籁·鸿蒙座舱</t>
        </is>
      </c>
      <c r="C637" s="46" t="n">
        <v>414.6714</v>
      </c>
      <c r="D637" s="46" t="n">
        <v>414.6714</v>
      </c>
      <c r="E637" s="46" t="n">
        <v>339.2766</v>
      </c>
      <c r="F637" s="46" t="n">
        <v>716.2506000000001</v>
      </c>
      <c r="G637" s="46" t="n">
        <v>414.6714</v>
      </c>
      <c r="H637" s="46" t="n">
        <v>490.0662</v>
      </c>
      <c r="I637" s="46" t="n">
        <v>301.5792</v>
      </c>
      <c r="J637" s="46" t="n">
        <v>150.7896</v>
      </c>
      <c r="K637" s="46" t="n">
        <v>376.974</v>
      </c>
      <c r="L637" s="46" t="n">
        <v>150.7896</v>
      </c>
      <c r="M637" s="46">
        <f>N637-SUM(C637:L637)</f>
        <v/>
      </c>
      <c r="N637" s="47" t="n">
        <v>4654</v>
      </c>
      <c r="O637" s="46" t="n">
        <v>131</v>
      </c>
      <c r="P637" s="46" t="n">
        <v>3</v>
      </c>
      <c r="Q637" s="46" t="n">
        <v>885</v>
      </c>
      <c r="R637" s="46" t="n">
        <v>1025</v>
      </c>
      <c r="S637" s="46" t="n">
        <v>450</v>
      </c>
      <c r="T637" s="46" t="n">
        <v>400</v>
      </c>
      <c r="U637" s="46" t="n">
        <v>0</v>
      </c>
      <c r="V637" s="46" t="n"/>
      <c r="W637" s="46" t="n">
        <v>424</v>
      </c>
      <c r="X637" s="46" t="n">
        <v>1234</v>
      </c>
      <c r="Y637" s="46" t="n">
        <v>102</v>
      </c>
    </row>
    <row r="638">
      <c r="A638" s="78" t="n">
        <v>46105</v>
      </c>
      <c r="B638" s="45" t="inlineStr">
        <is>
          <t>天籁·鸿蒙座舱</t>
        </is>
      </c>
      <c r="C638" s="46" t="n">
        <v>404.8704</v>
      </c>
      <c r="D638" s="46" t="n">
        <v>404.8704</v>
      </c>
      <c r="E638" s="46" t="n">
        <v>331.2576</v>
      </c>
      <c r="F638" s="46" t="n">
        <v>699.3216000000001</v>
      </c>
      <c r="G638" s="46" t="n">
        <v>404.8704</v>
      </c>
      <c r="H638" s="46" t="n">
        <v>478.4832000000001</v>
      </c>
      <c r="I638" s="46" t="n">
        <v>294.4512</v>
      </c>
      <c r="J638" s="46" t="n">
        <v>147.2256</v>
      </c>
      <c r="K638" s="46" t="n">
        <v>368.0640000000001</v>
      </c>
      <c r="L638" s="46" t="n">
        <v>147.2256</v>
      </c>
      <c r="M638" s="46">
        <f>N638-SUM(C638:L638)</f>
        <v/>
      </c>
      <c r="N638" s="47" t="n">
        <v>4544</v>
      </c>
      <c r="O638" s="46" t="n">
        <v>131</v>
      </c>
      <c r="P638" s="46" t="n">
        <v>3</v>
      </c>
      <c r="Q638" s="46" t="n">
        <v>885</v>
      </c>
      <c r="R638" s="46" t="n">
        <v>1025</v>
      </c>
      <c r="S638" s="46" t="n">
        <v>450</v>
      </c>
      <c r="T638" s="46" t="n">
        <v>400</v>
      </c>
      <c r="U638" s="46" t="n">
        <v>0</v>
      </c>
      <c r="V638" s="46" t="n"/>
      <c r="W638" s="46" t="n">
        <v>424</v>
      </c>
      <c r="X638" s="46" t="n">
        <v>1124</v>
      </c>
      <c r="Y638" s="46" t="n">
        <v>102</v>
      </c>
    </row>
    <row r="639">
      <c r="A639" s="78" t="n">
        <v>46106</v>
      </c>
      <c r="B639" s="45" t="inlineStr">
        <is>
          <t>天籁·鸿蒙座舱</t>
        </is>
      </c>
      <c r="C639" s="46" t="n">
        <v>404.8704</v>
      </c>
      <c r="D639" s="46" t="n">
        <v>404.8704</v>
      </c>
      <c r="E639" s="46" t="n">
        <v>331.2576</v>
      </c>
      <c r="F639" s="46" t="n">
        <v>699.3216000000001</v>
      </c>
      <c r="G639" s="46" t="n">
        <v>404.8704</v>
      </c>
      <c r="H639" s="46" t="n">
        <v>478.4832000000001</v>
      </c>
      <c r="I639" s="46" t="n">
        <v>294.4512</v>
      </c>
      <c r="J639" s="46" t="n">
        <v>147.2256</v>
      </c>
      <c r="K639" s="46" t="n">
        <v>368.0640000000001</v>
      </c>
      <c r="L639" s="46" t="n">
        <v>147.2256</v>
      </c>
      <c r="M639" s="46">
        <f>N639-SUM(C639:L639)</f>
        <v/>
      </c>
      <c r="N639" s="47" t="n">
        <v>4544</v>
      </c>
      <c r="O639" s="46" t="n">
        <v>131</v>
      </c>
      <c r="P639" s="46" t="n">
        <v>3</v>
      </c>
      <c r="Q639" s="46" t="n">
        <v>885</v>
      </c>
      <c r="R639" s="46" t="n">
        <v>1025</v>
      </c>
      <c r="S639" s="46" t="n">
        <v>450</v>
      </c>
      <c r="T639" s="46" t="n">
        <v>400</v>
      </c>
      <c r="U639" s="46" t="n">
        <v>0</v>
      </c>
      <c r="V639" s="46" t="n"/>
      <c r="W639" s="46" t="n">
        <v>424</v>
      </c>
      <c r="X639" s="46" t="n">
        <v>1124</v>
      </c>
      <c r="Y639" s="46" t="n">
        <v>102</v>
      </c>
    </row>
    <row r="640">
      <c r="A640" s="78" t="n">
        <v>46107</v>
      </c>
      <c r="B640" s="45" t="inlineStr">
        <is>
          <t>天籁·鸿蒙座舱</t>
        </is>
      </c>
      <c r="C640" s="46" t="n">
        <v>449.3313000000001</v>
      </c>
      <c r="D640" s="46" t="n">
        <v>449.3313000000001</v>
      </c>
      <c r="E640" s="46" t="n">
        <v>367.6347</v>
      </c>
      <c r="F640" s="46" t="n">
        <v>776.1177000000001</v>
      </c>
      <c r="G640" s="46" t="n">
        <v>449.3313000000001</v>
      </c>
      <c r="H640" s="46" t="n">
        <v>531.0279</v>
      </c>
      <c r="I640" s="46" t="n">
        <v>326.7864</v>
      </c>
      <c r="J640" s="46" t="n">
        <v>163.3932</v>
      </c>
      <c r="K640" s="46" t="n">
        <v>408.4830000000001</v>
      </c>
      <c r="L640" s="46" t="n">
        <v>163.3932</v>
      </c>
      <c r="M640" s="46">
        <f>N640-SUM(C640:L640)</f>
        <v/>
      </c>
      <c r="N640" s="47" t="n">
        <v>5043</v>
      </c>
      <c r="O640" s="46" t="n">
        <v>131</v>
      </c>
      <c r="P640" s="46" t="n">
        <v>3</v>
      </c>
      <c r="Q640" s="46" t="n">
        <v>885</v>
      </c>
      <c r="R640" s="46" t="n">
        <v>1025</v>
      </c>
      <c r="S640" s="46" t="n">
        <v>450</v>
      </c>
      <c r="T640" s="46" t="n">
        <v>400</v>
      </c>
      <c r="U640" s="46" t="n">
        <v>499</v>
      </c>
      <c r="V640" s="46" t="n"/>
      <c r="W640" s="46" t="n">
        <v>424</v>
      </c>
      <c r="X640" s="46" t="n">
        <v>1124</v>
      </c>
      <c r="Y640" s="46" t="n">
        <v>102</v>
      </c>
    </row>
    <row r="641">
      <c r="A641" s="78" t="n">
        <v>46108</v>
      </c>
      <c r="B641" s="45" t="inlineStr">
        <is>
          <t>天籁·鸿蒙座舱</t>
        </is>
      </c>
      <c r="C641" s="46" t="n">
        <v>462.6072</v>
      </c>
      <c r="D641" s="46" t="n">
        <v>462.6072</v>
      </c>
      <c r="E641" s="46" t="n">
        <v>378.4968</v>
      </c>
      <c r="F641" s="46" t="n">
        <v>799.0488000000001</v>
      </c>
      <c r="G641" s="46" t="n">
        <v>462.6072</v>
      </c>
      <c r="H641" s="46" t="n">
        <v>546.7176000000001</v>
      </c>
      <c r="I641" s="46" t="n">
        <v>336.4416000000001</v>
      </c>
      <c r="J641" s="46" t="n">
        <v>168.2208</v>
      </c>
      <c r="K641" s="46" t="n">
        <v>420.5520000000001</v>
      </c>
      <c r="L641" s="46" t="n">
        <v>168.2208</v>
      </c>
      <c r="M641" s="46">
        <f>N641-SUM(C641:L641)</f>
        <v/>
      </c>
      <c r="N641" s="47" t="n">
        <v>5192</v>
      </c>
      <c r="O641" s="46" t="n">
        <v>131</v>
      </c>
      <c r="P641" s="46" t="n">
        <v>3</v>
      </c>
      <c r="Q641" s="46" t="n">
        <v>885</v>
      </c>
      <c r="R641" s="46" t="n">
        <v>1025</v>
      </c>
      <c r="S641" s="46" t="n">
        <v>450</v>
      </c>
      <c r="T641" s="46" t="n">
        <v>300</v>
      </c>
      <c r="U641" s="46" t="n">
        <v>734</v>
      </c>
      <c r="V641" s="46" t="n"/>
      <c r="W641" s="46" t="n">
        <v>424</v>
      </c>
      <c r="X641" s="46" t="n">
        <v>1138</v>
      </c>
      <c r="Y641" s="46" t="n">
        <v>102</v>
      </c>
    </row>
    <row r="642">
      <c r="A642" s="78" t="n">
        <v>46109</v>
      </c>
      <c r="B642" s="45" t="inlineStr">
        <is>
          <t>天籁·鸿蒙座舱</t>
        </is>
      </c>
      <c r="C642" s="46" t="n">
        <v>490.5846000000001</v>
      </c>
      <c r="D642" s="46" t="n">
        <v>490.5846000000001</v>
      </c>
      <c r="E642" s="46" t="n">
        <v>401.3874</v>
      </c>
      <c r="F642" s="46" t="n">
        <v>847.3734000000002</v>
      </c>
      <c r="G642" s="46" t="n">
        <v>490.5846000000001</v>
      </c>
      <c r="H642" s="46" t="n">
        <v>579.7818000000001</v>
      </c>
      <c r="I642" s="46" t="n">
        <v>356.7888</v>
      </c>
      <c r="J642" s="46" t="n">
        <v>178.3944</v>
      </c>
      <c r="K642" s="46" t="n">
        <v>445.9860000000001</v>
      </c>
      <c r="L642" s="46" t="n">
        <v>178.3944</v>
      </c>
      <c r="M642" s="46">
        <f>N642-SUM(C642:L642)</f>
        <v/>
      </c>
      <c r="N642" s="47" t="n">
        <v>5506</v>
      </c>
      <c r="O642" s="46" t="n">
        <v>131</v>
      </c>
      <c r="P642" s="46" t="n">
        <v>3</v>
      </c>
      <c r="Q642" s="46" t="n">
        <v>1151</v>
      </c>
      <c r="R642" s="46" t="n">
        <v>1025</v>
      </c>
      <c r="S642" s="46" t="n">
        <v>522</v>
      </c>
      <c r="T642" s="46" t="n">
        <v>300</v>
      </c>
      <c r="U642" s="46" t="n">
        <v>734</v>
      </c>
      <c r="V642" s="46" t="n"/>
      <c r="W642" s="46" t="n">
        <v>424</v>
      </c>
      <c r="X642" s="46" t="n">
        <v>1216</v>
      </c>
      <c r="Y642" s="46" t="n">
        <v>0</v>
      </c>
    </row>
    <row r="643">
      <c r="A643" s="78" t="n">
        <v>46110</v>
      </c>
      <c r="B643" s="45" t="inlineStr">
        <is>
          <t>天籁·鸿蒙座舱</t>
        </is>
      </c>
      <c r="C643" s="46" t="n">
        <v>493.8813</v>
      </c>
      <c r="D643" s="46" t="n">
        <v>493.8813</v>
      </c>
      <c r="E643" s="46" t="n">
        <v>404.0847</v>
      </c>
      <c r="F643" s="46" t="n">
        <v>853.0676999999999</v>
      </c>
      <c r="G643" s="46" t="n">
        <v>493.8813</v>
      </c>
      <c r="H643" s="46" t="n">
        <v>583.6779</v>
      </c>
      <c r="I643" s="46" t="n">
        <v>359.1864</v>
      </c>
      <c r="J643" s="46" t="n">
        <v>179.5932</v>
      </c>
      <c r="K643" s="46" t="n">
        <v>448.983</v>
      </c>
      <c r="L643" s="46" t="n">
        <v>179.5932</v>
      </c>
      <c r="M643" s="46">
        <f>N643-SUM(C643:L643)</f>
        <v/>
      </c>
      <c r="N643" s="47" t="n">
        <v>5543</v>
      </c>
      <c r="O643" s="46" t="n">
        <v>131</v>
      </c>
      <c r="P643" s="46" t="n">
        <v>3</v>
      </c>
      <c r="Q643" s="46" t="n">
        <v>1151</v>
      </c>
      <c r="R643" s="46" t="n">
        <v>1025</v>
      </c>
      <c r="S643" s="46" t="n">
        <v>522</v>
      </c>
      <c r="T643" s="46" t="n">
        <v>300</v>
      </c>
      <c r="U643" s="46" t="n">
        <v>733</v>
      </c>
      <c r="V643" s="46" t="n"/>
      <c r="W643" s="46" t="n">
        <v>424</v>
      </c>
      <c r="X643" s="46" t="n">
        <v>1254</v>
      </c>
      <c r="Y643" s="46" t="n">
        <v>0</v>
      </c>
    </row>
    <row r="644">
      <c r="A644" s="78" t="n">
        <v>46111</v>
      </c>
      <c r="B644" s="45" t="inlineStr">
        <is>
          <t>天籁·鸿蒙座舱</t>
        </is>
      </c>
      <c r="C644" s="46" t="n">
        <v>397.1187</v>
      </c>
      <c r="D644" s="46" t="n">
        <v>397.1187</v>
      </c>
      <c r="E644" s="46" t="n">
        <v>324.9153</v>
      </c>
      <c r="F644" s="46" t="n">
        <v>685.9323000000001</v>
      </c>
      <c r="G644" s="46" t="n">
        <v>397.1187</v>
      </c>
      <c r="H644" s="46" t="n">
        <v>469.3221</v>
      </c>
      <c r="I644" s="46" t="n">
        <v>288.8136</v>
      </c>
      <c r="J644" s="46" t="n">
        <v>144.4068</v>
      </c>
      <c r="K644" s="46" t="n">
        <v>361.0170000000001</v>
      </c>
      <c r="L644" s="46" t="n">
        <v>144.4068</v>
      </c>
      <c r="M644" s="46">
        <f>N644-SUM(C644:L644)</f>
        <v/>
      </c>
      <c r="N644" s="47" t="n">
        <v>4457</v>
      </c>
      <c r="O644" s="46" t="n">
        <v>131</v>
      </c>
      <c r="P644" s="46" t="n">
        <v>3</v>
      </c>
      <c r="Q644" s="46" t="n">
        <v>885</v>
      </c>
      <c r="R644" s="46" t="n">
        <v>1025</v>
      </c>
      <c r="S644" s="46" t="n">
        <v>450</v>
      </c>
      <c r="T644" s="46" t="n">
        <v>300</v>
      </c>
      <c r="U644" s="46" t="n">
        <v>0</v>
      </c>
      <c r="V644" s="46" t="n"/>
      <c r="W644" s="46" t="n">
        <v>424</v>
      </c>
      <c r="X644" s="46" t="n">
        <v>1137</v>
      </c>
      <c r="Y644" s="46" t="n">
        <v>102</v>
      </c>
    </row>
    <row r="645">
      <c r="A645" s="78" t="n">
        <v>46112</v>
      </c>
      <c r="B645" s="45" t="inlineStr">
        <is>
          <t>天籁·鸿蒙座舱</t>
        </is>
      </c>
      <c r="C645" s="46" t="n">
        <v>391.5054000000001</v>
      </c>
      <c r="D645" s="46" t="n">
        <v>391.5054000000001</v>
      </c>
      <c r="E645" s="46" t="n">
        <v>320.3226</v>
      </c>
      <c r="F645" s="46" t="n">
        <v>676.2366000000001</v>
      </c>
      <c r="G645" s="46" t="n">
        <v>391.5054000000001</v>
      </c>
      <c r="H645" s="46" t="n">
        <v>462.6882000000001</v>
      </c>
      <c r="I645" s="46" t="n">
        <v>284.7312000000001</v>
      </c>
      <c r="J645" s="46" t="n">
        <v>142.3656</v>
      </c>
      <c r="K645" s="46" t="n">
        <v>355.914</v>
      </c>
      <c r="L645" s="46" t="n">
        <v>142.3656</v>
      </c>
      <c r="M645" s="46">
        <f>N645-SUM(C645:L645)</f>
        <v/>
      </c>
      <c r="N645" s="47" t="n">
        <v>4394</v>
      </c>
      <c r="O645" s="46" t="n">
        <v>131</v>
      </c>
      <c r="P645" s="46" t="n">
        <v>3</v>
      </c>
      <c r="Q645" s="46" t="n">
        <v>885</v>
      </c>
      <c r="R645" s="46" t="n">
        <v>1027</v>
      </c>
      <c r="S645" s="46" t="n">
        <v>450</v>
      </c>
      <c r="T645" s="46" t="n">
        <v>300</v>
      </c>
      <c r="U645" s="46" t="n">
        <v>0</v>
      </c>
      <c r="V645" s="46" t="n"/>
      <c r="W645" s="46" t="n">
        <v>424</v>
      </c>
      <c r="X645" s="46" t="n">
        <v>1068</v>
      </c>
      <c r="Y645" s="46" t="n">
        <v>106</v>
      </c>
    </row>
    <row r="646">
      <c r="A646" s="78" t="n">
        <v>46113</v>
      </c>
      <c r="B646" s="45" t="inlineStr">
        <is>
          <t>天籁·鸿蒙座舱</t>
        </is>
      </c>
      <c r="C646" s="46" t="n">
        <v>311.56488</v>
      </c>
      <c r="D646" s="46" t="n">
        <v>311.56488</v>
      </c>
      <c r="E646" s="46" t="n">
        <v>283.2408</v>
      </c>
      <c r="F646" s="46" t="n">
        <v>481.5093600000001</v>
      </c>
      <c r="G646" s="46" t="n">
        <v>311.56488</v>
      </c>
      <c r="H646" s="46" t="n">
        <v>368.21304</v>
      </c>
      <c r="I646" s="46" t="n">
        <v>254.91672</v>
      </c>
      <c r="J646" s="46" t="n">
        <v>84.97224</v>
      </c>
      <c r="K646" s="46" t="n">
        <v>311.56488</v>
      </c>
      <c r="L646" s="46" t="n">
        <v>113.29632</v>
      </c>
      <c r="M646" s="46">
        <f>N646-SUM(C646:L646)</f>
        <v/>
      </c>
      <c r="N646" s="47" t="n">
        <v>3495</v>
      </c>
      <c r="O646" s="46" t="n">
        <v>108</v>
      </c>
      <c r="P646" s="46" t="n">
        <v>0</v>
      </c>
      <c r="Q646" s="46" t="n">
        <v>770</v>
      </c>
      <c r="R646" s="46" t="n">
        <v>509</v>
      </c>
      <c r="S646" s="46" t="n">
        <v>310</v>
      </c>
      <c r="T646" s="46" t="n">
        <v>309</v>
      </c>
      <c r="U646" s="46" t="n">
        <v>112</v>
      </c>
      <c r="V646" s="46" t="n"/>
      <c r="W646" s="46" t="n">
        <v>333</v>
      </c>
      <c r="X646" s="46" t="n">
        <v>937</v>
      </c>
      <c r="Y646" s="46" t="n">
        <v>107</v>
      </c>
    </row>
    <row r="647">
      <c r="A647" s="78" t="n">
        <v>46114</v>
      </c>
      <c r="B647" s="45" t="inlineStr">
        <is>
          <t>天籁·鸿蒙座舱</t>
        </is>
      </c>
      <c r="C647" s="46" t="n">
        <v>312.66972</v>
      </c>
      <c r="D647" s="46" t="n">
        <v>312.66972</v>
      </c>
      <c r="E647" s="46" t="n">
        <v>284.2452</v>
      </c>
      <c r="F647" s="46" t="n">
        <v>483.2168400000001</v>
      </c>
      <c r="G647" s="46" t="n">
        <v>312.66972</v>
      </c>
      <c r="H647" s="46" t="n">
        <v>369.51876</v>
      </c>
      <c r="I647" s="46" t="n">
        <v>255.82068</v>
      </c>
      <c r="J647" s="46" t="n">
        <v>85.27356</v>
      </c>
      <c r="K647" s="46" t="n">
        <v>312.66972</v>
      </c>
      <c r="L647" s="46" t="n">
        <v>113.69808</v>
      </c>
      <c r="M647" s="46">
        <f>N647-SUM(C647:L647)</f>
        <v/>
      </c>
      <c r="N647" s="47" t="n">
        <v>3508</v>
      </c>
      <c r="O647" s="46" t="n">
        <v>109</v>
      </c>
      <c r="P647" s="46" t="n">
        <v>0</v>
      </c>
      <c r="Q647" s="46" t="n">
        <v>770</v>
      </c>
      <c r="R647" s="46" t="n">
        <v>513</v>
      </c>
      <c r="S647" s="46" t="n">
        <v>313</v>
      </c>
      <c r="T647" s="46" t="n">
        <v>316</v>
      </c>
      <c r="U647" s="46" t="n">
        <v>112</v>
      </c>
      <c r="V647" s="46" t="n"/>
      <c r="W647" s="46" t="n">
        <v>333</v>
      </c>
      <c r="X647" s="46" t="n">
        <v>935</v>
      </c>
      <c r="Y647" s="46" t="n">
        <v>107</v>
      </c>
    </row>
    <row r="648">
      <c r="A648" s="78" t="n">
        <v>46115</v>
      </c>
      <c r="B648" s="45" t="inlineStr">
        <is>
          <t>天籁·鸿蒙座舱</t>
        </is>
      </c>
      <c r="C648" s="46" t="n">
        <v>312.66972</v>
      </c>
      <c r="D648" s="46" t="n">
        <v>312.66972</v>
      </c>
      <c r="E648" s="46" t="n">
        <v>284.2452</v>
      </c>
      <c r="F648" s="46" t="n">
        <v>483.2168400000001</v>
      </c>
      <c r="G648" s="46" t="n">
        <v>312.66972</v>
      </c>
      <c r="H648" s="46" t="n">
        <v>369.51876</v>
      </c>
      <c r="I648" s="46" t="n">
        <v>255.82068</v>
      </c>
      <c r="J648" s="46" t="n">
        <v>85.27356</v>
      </c>
      <c r="K648" s="46" t="n">
        <v>312.66972</v>
      </c>
      <c r="L648" s="46" t="n">
        <v>113.69808</v>
      </c>
      <c r="M648" s="46">
        <f>N648-SUM(C648:L648)</f>
        <v/>
      </c>
      <c r="N648" s="47" t="n">
        <v>3508</v>
      </c>
      <c r="O648" s="46" t="n">
        <v>109</v>
      </c>
      <c r="P648" s="46" t="n">
        <v>0</v>
      </c>
      <c r="Q648" s="46" t="n">
        <v>770</v>
      </c>
      <c r="R648" s="46" t="n">
        <v>513</v>
      </c>
      <c r="S648" s="46" t="n">
        <v>313</v>
      </c>
      <c r="T648" s="46" t="n">
        <v>316</v>
      </c>
      <c r="U648" s="46" t="n">
        <v>112</v>
      </c>
      <c r="V648" s="46" t="n"/>
      <c r="W648" s="46" t="n">
        <v>333</v>
      </c>
      <c r="X648" s="46" t="n">
        <v>935</v>
      </c>
      <c r="Y648" s="46" t="n">
        <v>107</v>
      </c>
    </row>
    <row r="649">
      <c r="A649" s="78" t="n">
        <v>46116</v>
      </c>
      <c r="B649" s="45" t="inlineStr">
        <is>
          <t>天籁·鸿蒙座舱</t>
        </is>
      </c>
      <c r="C649" s="46" t="n">
        <v>348.6384</v>
      </c>
      <c r="D649" s="46" t="n">
        <v>348.6384</v>
      </c>
      <c r="E649" s="46" t="n">
        <v>316.944</v>
      </c>
      <c r="F649" s="46" t="n">
        <v>538.8048</v>
      </c>
      <c r="G649" s="46" t="n">
        <v>348.6384</v>
      </c>
      <c r="H649" s="46" t="n">
        <v>412.0272000000001</v>
      </c>
      <c r="I649" s="46" t="n">
        <v>285.2496</v>
      </c>
      <c r="J649" s="46" t="n">
        <v>95.08320000000001</v>
      </c>
      <c r="K649" s="46" t="n">
        <v>348.6384</v>
      </c>
      <c r="L649" s="46" t="n">
        <v>126.7776</v>
      </c>
      <c r="M649" s="46">
        <f>N649-SUM(C649:L649)</f>
        <v/>
      </c>
      <c r="N649" s="47" t="n">
        <v>3914</v>
      </c>
      <c r="O649" s="46" t="n">
        <v>125</v>
      </c>
      <c r="P649" s="46" t="n">
        <v>0</v>
      </c>
      <c r="Q649" s="46" t="n">
        <v>886</v>
      </c>
      <c r="R649" s="46" t="n">
        <v>590</v>
      </c>
      <c r="S649" s="46" t="n">
        <v>360</v>
      </c>
      <c r="T649" s="46" t="n">
        <v>364</v>
      </c>
      <c r="U649" s="46" t="n">
        <v>130</v>
      </c>
      <c r="V649" s="46" t="n"/>
      <c r="W649" s="46" t="n">
        <v>384</v>
      </c>
      <c r="X649" s="46" t="n">
        <v>1075</v>
      </c>
      <c r="Y649" s="46" t="n">
        <v>0</v>
      </c>
    </row>
    <row r="650">
      <c r="A650" s="78" t="n">
        <v>46117</v>
      </c>
      <c r="B650" s="45" t="inlineStr">
        <is>
          <t>天籁·鸿蒙座舱</t>
        </is>
      </c>
      <c r="C650" s="46" t="n">
        <v>348.6384</v>
      </c>
      <c r="D650" s="46" t="n">
        <v>348.6384</v>
      </c>
      <c r="E650" s="46" t="n">
        <v>316.944</v>
      </c>
      <c r="F650" s="46" t="n">
        <v>538.8048</v>
      </c>
      <c r="G650" s="46" t="n">
        <v>348.6384</v>
      </c>
      <c r="H650" s="46" t="n">
        <v>412.0272000000001</v>
      </c>
      <c r="I650" s="46" t="n">
        <v>285.2496</v>
      </c>
      <c r="J650" s="46" t="n">
        <v>95.08320000000001</v>
      </c>
      <c r="K650" s="46" t="n">
        <v>348.6384</v>
      </c>
      <c r="L650" s="46" t="n">
        <v>126.7776</v>
      </c>
      <c r="M650" s="46">
        <f>N650-SUM(C650:L650)</f>
        <v/>
      </c>
      <c r="N650" s="47" t="n">
        <v>3914</v>
      </c>
      <c r="O650" s="46" t="n">
        <v>125</v>
      </c>
      <c r="P650" s="46" t="n">
        <v>0</v>
      </c>
      <c r="Q650" s="46" t="n">
        <v>886</v>
      </c>
      <c r="R650" s="46" t="n">
        <v>590</v>
      </c>
      <c r="S650" s="46" t="n">
        <v>360</v>
      </c>
      <c r="T650" s="46" t="n">
        <v>364</v>
      </c>
      <c r="U650" s="46" t="n">
        <v>130</v>
      </c>
      <c r="V650" s="46" t="n"/>
      <c r="W650" s="46" t="n">
        <v>384</v>
      </c>
      <c r="X650" s="46" t="n">
        <v>1075</v>
      </c>
      <c r="Y650" s="46" t="n">
        <v>0</v>
      </c>
    </row>
    <row r="651">
      <c r="A651" s="78" t="n">
        <v>46118</v>
      </c>
      <c r="B651" s="45" t="inlineStr">
        <is>
          <t>天籁·鸿蒙座舱</t>
        </is>
      </c>
      <c r="C651" s="46" t="n">
        <v>348.6384</v>
      </c>
      <c r="D651" s="46" t="n">
        <v>348.6384</v>
      </c>
      <c r="E651" s="46" t="n">
        <v>316.944</v>
      </c>
      <c r="F651" s="46" t="n">
        <v>538.8048</v>
      </c>
      <c r="G651" s="46" t="n">
        <v>348.6384</v>
      </c>
      <c r="H651" s="46" t="n">
        <v>412.0272000000001</v>
      </c>
      <c r="I651" s="46" t="n">
        <v>285.2496</v>
      </c>
      <c r="J651" s="46" t="n">
        <v>95.08320000000001</v>
      </c>
      <c r="K651" s="46" t="n">
        <v>348.6384</v>
      </c>
      <c r="L651" s="46" t="n">
        <v>126.7776</v>
      </c>
      <c r="M651" s="46">
        <f>N651-SUM(C651:L651)</f>
        <v/>
      </c>
      <c r="N651" s="47" t="n">
        <v>3914</v>
      </c>
      <c r="O651" s="46" t="n">
        <v>125</v>
      </c>
      <c r="P651" s="46" t="n">
        <v>0</v>
      </c>
      <c r="Q651" s="46" t="n">
        <v>886</v>
      </c>
      <c r="R651" s="46" t="n">
        <v>590</v>
      </c>
      <c r="S651" s="46" t="n">
        <v>360</v>
      </c>
      <c r="T651" s="46" t="n">
        <v>364</v>
      </c>
      <c r="U651" s="46" t="n">
        <v>130</v>
      </c>
      <c r="V651" s="46" t="n"/>
      <c r="W651" s="46" t="n">
        <v>384</v>
      </c>
      <c r="X651" s="46" t="n">
        <v>1075</v>
      </c>
      <c r="Y651" s="46" t="n">
        <v>0</v>
      </c>
    </row>
    <row r="652">
      <c r="A652" s="78" t="n">
        <v>46119</v>
      </c>
      <c r="B652" s="45" t="inlineStr">
        <is>
          <t>天籁·鸿蒙座舱</t>
        </is>
      </c>
      <c r="C652" s="46" t="n">
        <v>312.66972</v>
      </c>
      <c r="D652" s="46" t="n">
        <v>312.66972</v>
      </c>
      <c r="E652" s="46" t="n">
        <v>284.2452</v>
      </c>
      <c r="F652" s="46" t="n">
        <v>483.2168400000001</v>
      </c>
      <c r="G652" s="46" t="n">
        <v>312.66972</v>
      </c>
      <c r="H652" s="46" t="n">
        <v>369.51876</v>
      </c>
      <c r="I652" s="46" t="n">
        <v>255.82068</v>
      </c>
      <c r="J652" s="46" t="n">
        <v>85.27356</v>
      </c>
      <c r="K652" s="46" t="n">
        <v>312.66972</v>
      </c>
      <c r="L652" s="46" t="n">
        <v>113.69808</v>
      </c>
      <c r="M652" s="46">
        <f>N652-SUM(C652:L652)</f>
        <v/>
      </c>
      <c r="N652" s="47" t="n">
        <v>3508</v>
      </c>
      <c r="O652" s="46" t="n">
        <v>109</v>
      </c>
      <c r="P652" s="46" t="n">
        <v>0</v>
      </c>
      <c r="Q652" s="46" t="n">
        <v>770</v>
      </c>
      <c r="R652" s="46" t="n">
        <v>513</v>
      </c>
      <c r="S652" s="46" t="n">
        <v>313</v>
      </c>
      <c r="T652" s="46" t="n">
        <v>316</v>
      </c>
      <c r="U652" s="46" t="n">
        <v>112</v>
      </c>
      <c r="V652" s="46" t="n"/>
      <c r="W652" s="46" t="n">
        <v>333</v>
      </c>
      <c r="X652" s="46" t="n">
        <v>935</v>
      </c>
      <c r="Y652" s="46" t="n">
        <v>107</v>
      </c>
    </row>
    <row r="653">
      <c r="A653" s="78" t="n">
        <v>46120</v>
      </c>
      <c r="B653" s="45" t="inlineStr">
        <is>
          <t>天籁·鸿蒙座舱</t>
        </is>
      </c>
      <c r="C653" s="46" t="n">
        <v>312.66972</v>
      </c>
      <c r="D653" s="46" t="n">
        <v>312.66972</v>
      </c>
      <c r="E653" s="46" t="n">
        <v>284.2452</v>
      </c>
      <c r="F653" s="46" t="n">
        <v>483.2168400000001</v>
      </c>
      <c r="G653" s="46" t="n">
        <v>312.66972</v>
      </c>
      <c r="H653" s="46" t="n">
        <v>369.51876</v>
      </c>
      <c r="I653" s="46" t="n">
        <v>255.82068</v>
      </c>
      <c r="J653" s="46" t="n">
        <v>85.27356</v>
      </c>
      <c r="K653" s="46" t="n">
        <v>312.66972</v>
      </c>
      <c r="L653" s="46" t="n">
        <v>113.69808</v>
      </c>
      <c r="M653" s="46">
        <f>N653-SUM(C653:L653)</f>
        <v/>
      </c>
      <c r="N653" s="47" t="n">
        <v>3508</v>
      </c>
      <c r="O653" s="46" t="n">
        <v>109</v>
      </c>
      <c r="P653" s="46" t="n">
        <v>0</v>
      </c>
      <c r="Q653" s="46" t="n">
        <v>770</v>
      </c>
      <c r="R653" s="46" t="n">
        <v>513</v>
      </c>
      <c r="S653" s="46" t="n">
        <v>313</v>
      </c>
      <c r="T653" s="46" t="n">
        <v>316</v>
      </c>
      <c r="U653" s="46" t="n">
        <v>112</v>
      </c>
      <c r="V653" s="46" t="n"/>
      <c r="W653" s="46" t="n">
        <v>333</v>
      </c>
      <c r="X653" s="46" t="n">
        <v>935</v>
      </c>
      <c r="Y653" s="46" t="n">
        <v>107</v>
      </c>
    </row>
    <row r="654">
      <c r="A654" s="78" t="n">
        <v>46121</v>
      </c>
      <c r="B654" s="45" t="inlineStr">
        <is>
          <t>天籁·鸿蒙座舱</t>
        </is>
      </c>
      <c r="C654" s="46" t="n">
        <v>312.66972</v>
      </c>
      <c r="D654" s="46" t="n">
        <v>312.66972</v>
      </c>
      <c r="E654" s="46" t="n">
        <v>284.2452</v>
      </c>
      <c r="F654" s="46" t="n">
        <v>483.2168400000001</v>
      </c>
      <c r="G654" s="46" t="n">
        <v>312.66972</v>
      </c>
      <c r="H654" s="46" t="n">
        <v>369.51876</v>
      </c>
      <c r="I654" s="46" t="n">
        <v>255.82068</v>
      </c>
      <c r="J654" s="46" t="n">
        <v>85.27356</v>
      </c>
      <c r="K654" s="46" t="n">
        <v>312.66972</v>
      </c>
      <c r="L654" s="46" t="n">
        <v>113.69808</v>
      </c>
      <c r="M654" s="46">
        <f>N654-SUM(C654:L654)</f>
        <v/>
      </c>
      <c r="N654" s="47" t="n">
        <v>3508</v>
      </c>
      <c r="O654" s="46" t="n">
        <v>109</v>
      </c>
      <c r="P654" s="46" t="n">
        <v>0</v>
      </c>
      <c r="Q654" s="46" t="n">
        <v>770</v>
      </c>
      <c r="R654" s="46" t="n">
        <v>513</v>
      </c>
      <c r="S654" s="46" t="n">
        <v>313</v>
      </c>
      <c r="T654" s="46" t="n">
        <v>316</v>
      </c>
      <c r="U654" s="46" t="n">
        <v>112</v>
      </c>
      <c r="V654" s="46" t="n"/>
      <c r="W654" s="46" t="n">
        <v>333</v>
      </c>
      <c r="X654" s="46" t="n">
        <v>935</v>
      </c>
      <c r="Y654" s="46" t="n">
        <v>107</v>
      </c>
    </row>
    <row r="655">
      <c r="A655" s="78" t="n">
        <v>46122</v>
      </c>
      <c r="B655" s="45" t="inlineStr">
        <is>
          <t>天籁·鸿蒙座舱</t>
        </is>
      </c>
      <c r="C655" s="46" t="n">
        <v>312.66972</v>
      </c>
      <c r="D655" s="46" t="n">
        <v>312.66972</v>
      </c>
      <c r="E655" s="46" t="n">
        <v>284.2452</v>
      </c>
      <c r="F655" s="46" t="n">
        <v>483.2168400000001</v>
      </c>
      <c r="G655" s="46" t="n">
        <v>312.66972</v>
      </c>
      <c r="H655" s="46" t="n">
        <v>369.51876</v>
      </c>
      <c r="I655" s="46" t="n">
        <v>255.82068</v>
      </c>
      <c r="J655" s="46" t="n">
        <v>85.27356</v>
      </c>
      <c r="K655" s="46" t="n">
        <v>312.66972</v>
      </c>
      <c r="L655" s="46" t="n">
        <v>113.69808</v>
      </c>
      <c r="M655" s="46">
        <f>N655-SUM(C655:L655)</f>
        <v/>
      </c>
      <c r="N655" s="47" t="n">
        <v>3508</v>
      </c>
      <c r="O655" s="46" t="n">
        <v>109</v>
      </c>
      <c r="P655" s="46" t="n">
        <v>0</v>
      </c>
      <c r="Q655" s="46" t="n">
        <v>770</v>
      </c>
      <c r="R655" s="46" t="n">
        <v>513</v>
      </c>
      <c r="S655" s="46" t="n">
        <v>313</v>
      </c>
      <c r="T655" s="46" t="n">
        <v>316</v>
      </c>
      <c r="U655" s="46" t="n">
        <v>112</v>
      </c>
      <c r="V655" s="46" t="n"/>
      <c r="W655" s="46" t="n">
        <v>333</v>
      </c>
      <c r="X655" s="46" t="n">
        <v>935</v>
      </c>
      <c r="Y655" s="46" t="n">
        <v>107</v>
      </c>
    </row>
    <row r="656">
      <c r="A656" s="78" t="n">
        <v>46123</v>
      </c>
      <c r="B656" s="45" t="inlineStr">
        <is>
          <t>天籁·鸿蒙座舱</t>
        </is>
      </c>
      <c r="C656" s="46" t="n">
        <v>348.6384</v>
      </c>
      <c r="D656" s="46" t="n">
        <v>348.6384</v>
      </c>
      <c r="E656" s="46" t="n">
        <v>316.944</v>
      </c>
      <c r="F656" s="46" t="n">
        <v>538.8048</v>
      </c>
      <c r="G656" s="46" t="n">
        <v>348.6384</v>
      </c>
      <c r="H656" s="46" t="n">
        <v>412.0272000000001</v>
      </c>
      <c r="I656" s="46" t="n">
        <v>285.2496</v>
      </c>
      <c r="J656" s="46" t="n">
        <v>95.08320000000001</v>
      </c>
      <c r="K656" s="46" t="n">
        <v>348.6384</v>
      </c>
      <c r="L656" s="46" t="n">
        <v>126.7776</v>
      </c>
      <c r="M656" s="46">
        <f>N656-SUM(C656:L656)</f>
        <v/>
      </c>
      <c r="N656" s="47" t="n">
        <v>3914</v>
      </c>
      <c r="O656" s="46" t="n">
        <v>125</v>
      </c>
      <c r="P656" s="46" t="n">
        <v>0</v>
      </c>
      <c r="Q656" s="46" t="n">
        <v>886</v>
      </c>
      <c r="R656" s="46" t="n">
        <v>590</v>
      </c>
      <c r="S656" s="46" t="n">
        <v>360</v>
      </c>
      <c r="T656" s="46" t="n">
        <v>364</v>
      </c>
      <c r="U656" s="46" t="n">
        <v>130</v>
      </c>
      <c r="V656" s="46" t="n"/>
      <c r="W656" s="46" t="n">
        <v>384</v>
      </c>
      <c r="X656" s="46" t="n">
        <v>1075</v>
      </c>
      <c r="Y656" s="46" t="n">
        <v>0</v>
      </c>
    </row>
    <row r="657">
      <c r="A657" s="78" t="n">
        <v>46124</v>
      </c>
      <c r="B657" s="45" t="inlineStr">
        <is>
          <t>天籁·鸿蒙座舱</t>
        </is>
      </c>
      <c r="C657" s="46" t="n">
        <v>348.6384</v>
      </c>
      <c r="D657" s="46" t="n">
        <v>348.6384</v>
      </c>
      <c r="E657" s="46" t="n">
        <v>316.944</v>
      </c>
      <c r="F657" s="46" t="n">
        <v>538.8048</v>
      </c>
      <c r="G657" s="46" t="n">
        <v>348.6384</v>
      </c>
      <c r="H657" s="46" t="n">
        <v>412.0272000000001</v>
      </c>
      <c r="I657" s="46" t="n">
        <v>285.2496</v>
      </c>
      <c r="J657" s="46" t="n">
        <v>95.08320000000001</v>
      </c>
      <c r="K657" s="46" t="n">
        <v>348.6384</v>
      </c>
      <c r="L657" s="46" t="n">
        <v>126.7776</v>
      </c>
      <c r="M657" s="46">
        <f>N657-SUM(C657:L657)</f>
        <v/>
      </c>
      <c r="N657" s="47" t="n">
        <v>3914</v>
      </c>
      <c r="O657" s="46" t="n">
        <v>125</v>
      </c>
      <c r="P657" s="46" t="n">
        <v>0</v>
      </c>
      <c r="Q657" s="46" t="n">
        <v>886</v>
      </c>
      <c r="R657" s="46" t="n">
        <v>590</v>
      </c>
      <c r="S657" s="46" t="n">
        <v>360</v>
      </c>
      <c r="T657" s="46" t="n">
        <v>364</v>
      </c>
      <c r="U657" s="46" t="n">
        <v>130</v>
      </c>
      <c r="V657" s="46" t="n"/>
      <c r="W657" s="46" t="n">
        <v>384</v>
      </c>
      <c r="X657" s="46" t="n">
        <v>1075</v>
      </c>
      <c r="Y657" s="46" t="n">
        <v>0</v>
      </c>
    </row>
    <row r="658">
      <c r="A658" s="78" t="n">
        <v>46125</v>
      </c>
      <c r="B658" s="45" t="inlineStr">
        <is>
          <t>天籁·鸿蒙座舱</t>
        </is>
      </c>
      <c r="C658" s="46" t="n">
        <v>312.66972</v>
      </c>
      <c r="D658" s="46" t="n">
        <v>312.66972</v>
      </c>
      <c r="E658" s="46" t="n">
        <v>284.2452</v>
      </c>
      <c r="F658" s="46" t="n">
        <v>483.2168400000001</v>
      </c>
      <c r="G658" s="46" t="n">
        <v>312.66972</v>
      </c>
      <c r="H658" s="46" t="n">
        <v>369.51876</v>
      </c>
      <c r="I658" s="46" t="n">
        <v>255.82068</v>
      </c>
      <c r="J658" s="46" t="n">
        <v>85.27356</v>
      </c>
      <c r="K658" s="46" t="n">
        <v>312.66972</v>
      </c>
      <c r="L658" s="46" t="n">
        <v>113.69808</v>
      </c>
      <c r="M658" s="46">
        <f>N658-SUM(C658:L658)</f>
        <v/>
      </c>
      <c r="N658" s="47" t="n">
        <v>3508</v>
      </c>
      <c r="O658" s="46" t="n">
        <v>109</v>
      </c>
      <c r="P658" s="46" t="n">
        <v>0</v>
      </c>
      <c r="Q658" s="46" t="n">
        <v>770</v>
      </c>
      <c r="R658" s="46" t="n">
        <v>513</v>
      </c>
      <c r="S658" s="46" t="n">
        <v>313</v>
      </c>
      <c r="T658" s="46" t="n">
        <v>316</v>
      </c>
      <c r="U658" s="46" t="n">
        <v>112</v>
      </c>
      <c r="V658" s="46" t="n"/>
      <c r="W658" s="46" t="n">
        <v>333</v>
      </c>
      <c r="X658" s="46" t="n">
        <v>935</v>
      </c>
      <c r="Y658" s="46" t="n">
        <v>107</v>
      </c>
    </row>
    <row r="659">
      <c r="A659" s="78" t="n">
        <v>46126</v>
      </c>
      <c r="B659" s="45" t="inlineStr">
        <is>
          <t>天籁·鸿蒙座舱</t>
        </is>
      </c>
      <c r="C659" s="46" t="n">
        <v>312.66972</v>
      </c>
      <c r="D659" s="46" t="n">
        <v>312.66972</v>
      </c>
      <c r="E659" s="46" t="n">
        <v>284.2452</v>
      </c>
      <c r="F659" s="46" t="n">
        <v>483.2168400000001</v>
      </c>
      <c r="G659" s="46" t="n">
        <v>312.66972</v>
      </c>
      <c r="H659" s="46" t="n">
        <v>369.51876</v>
      </c>
      <c r="I659" s="46" t="n">
        <v>255.82068</v>
      </c>
      <c r="J659" s="46" t="n">
        <v>85.27356</v>
      </c>
      <c r="K659" s="46" t="n">
        <v>312.66972</v>
      </c>
      <c r="L659" s="46" t="n">
        <v>113.69808</v>
      </c>
      <c r="M659" s="46">
        <f>N659-SUM(C659:L659)</f>
        <v/>
      </c>
      <c r="N659" s="47" t="n">
        <v>3508</v>
      </c>
      <c r="O659" s="46" t="n">
        <v>109</v>
      </c>
      <c r="P659" s="46" t="n">
        <v>0</v>
      </c>
      <c r="Q659" s="46" t="n">
        <v>770</v>
      </c>
      <c r="R659" s="46" t="n">
        <v>513</v>
      </c>
      <c r="S659" s="46" t="n">
        <v>313</v>
      </c>
      <c r="T659" s="46" t="n">
        <v>316</v>
      </c>
      <c r="U659" s="46" t="n">
        <v>112</v>
      </c>
      <c r="V659" s="46" t="n"/>
      <c r="W659" s="46" t="n">
        <v>333</v>
      </c>
      <c r="X659" s="46" t="n">
        <v>935</v>
      </c>
      <c r="Y659" s="46" t="n">
        <v>107</v>
      </c>
    </row>
    <row r="660">
      <c r="A660" s="78" t="n">
        <v>46127</v>
      </c>
      <c r="B660" s="45" t="inlineStr">
        <is>
          <t>天籁·鸿蒙座舱</t>
        </is>
      </c>
      <c r="C660" s="46" t="n">
        <v>312.66972</v>
      </c>
      <c r="D660" s="46" t="n">
        <v>312.66972</v>
      </c>
      <c r="E660" s="46" t="n">
        <v>284.2452</v>
      </c>
      <c r="F660" s="46" t="n">
        <v>483.2168400000001</v>
      </c>
      <c r="G660" s="46" t="n">
        <v>312.66972</v>
      </c>
      <c r="H660" s="46" t="n">
        <v>369.51876</v>
      </c>
      <c r="I660" s="46" t="n">
        <v>255.82068</v>
      </c>
      <c r="J660" s="46" t="n">
        <v>85.27356</v>
      </c>
      <c r="K660" s="46" t="n">
        <v>312.66972</v>
      </c>
      <c r="L660" s="46" t="n">
        <v>113.69808</v>
      </c>
      <c r="M660" s="46">
        <f>N660-SUM(C660:L660)</f>
        <v/>
      </c>
      <c r="N660" s="47" t="n">
        <v>3508</v>
      </c>
      <c r="O660" s="46" t="n">
        <v>109</v>
      </c>
      <c r="P660" s="46" t="n">
        <v>0</v>
      </c>
      <c r="Q660" s="46" t="n">
        <v>770</v>
      </c>
      <c r="R660" s="46" t="n">
        <v>513</v>
      </c>
      <c r="S660" s="46" t="n">
        <v>313</v>
      </c>
      <c r="T660" s="46" t="n">
        <v>316</v>
      </c>
      <c r="U660" s="46" t="n">
        <v>112</v>
      </c>
      <c r="V660" s="46" t="n"/>
      <c r="W660" s="46" t="n">
        <v>333</v>
      </c>
      <c r="X660" s="46" t="n">
        <v>935</v>
      </c>
      <c r="Y660" s="46" t="n">
        <v>107</v>
      </c>
    </row>
    <row r="661">
      <c r="A661" s="78" t="n">
        <v>46128</v>
      </c>
      <c r="B661" s="45" t="inlineStr">
        <is>
          <t>天籁·鸿蒙座舱</t>
        </is>
      </c>
      <c r="C661" s="46" t="n">
        <v>312.66972</v>
      </c>
      <c r="D661" s="46" t="n">
        <v>312.66972</v>
      </c>
      <c r="E661" s="46" t="n">
        <v>284.2452</v>
      </c>
      <c r="F661" s="46" t="n">
        <v>483.2168400000001</v>
      </c>
      <c r="G661" s="46" t="n">
        <v>312.66972</v>
      </c>
      <c r="H661" s="46" t="n">
        <v>369.51876</v>
      </c>
      <c r="I661" s="46" t="n">
        <v>255.82068</v>
      </c>
      <c r="J661" s="46" t="n">
        <v>85.27356</v>
      </c>
      <c r="K661" s="46" t="n">
        <v>312.66972</v>
      </c>
      <c r="L661" s="46" t="n">
        <v>113.69808</v>
      </c>
      <c r="M661" s="46">
        <f>N661-SUM(C661:L661)</f>
        <v/>
      </c>
      <c r="N661" s="47" t="n">
        <v>3508</v>
      </c>
      <c r="O661" s="46" t="n">
        <v>109</v>
      </c>
      <c r="P661" s="46" t="n">
        <v>0</v>
      </c>
      <c r="Q661" s="46" t="n">
        <v>770</v>
      </c>
      <c r="R661" s="46" t="n">
        <v>513</v>
      </c>
      <c r="S661" s="46" t="n">
        <v>313</v>
      </c>
      <c r="T661" s="46" t="n">
        <v>316</v>
      </c>
      <c r="U661" s="46" t="n">
        <v>112</v>
      </c>
      <c r="V661" s="46" t="n"/>
      <c r="W661" s="46" t="n">
        <v>333</v>
      </c>
      <c r="X661" s="46" t="n">
        <v>935</v>
      </c>
      <c r="Y661" s="46" t="n">
        <v>107</v>
      </c>
    </row>
    <row r="662">
      <c r="A662" s="78" t="n">
        <v>46129</v>
      </c>
      <c r="B662" s="45" t="inlineStr">
        <is>
          <t>天籁·鸿蒙座舱</t>
        </is>
      </c>
      <c r="C662" s="46" t="n">
        <v>312.66972</v>
      </c>
      <c r="D662" s="46" t="n">
        <v>312.66972</v>
      </c>
      <c r="E662" s="46" t="n">
        <v>284.2452</v>
      </c>
      <c r="F662" s="46" t="n">
        <v>483.2168400000001</v>
      </c>
      <c r="G662" s="46" t="n">
        <v>312.66972</v>
      </c>
      <c r="H662" s="46" t="n">
        <v>369.51876</v>
      </c>
      <c r="I662" s="46" t="n">
        <v>255.82068</v>
      </c>
      <c r="J662" s="46" t="n">
        <v>85.27356</v>
      </c>
      <c r="K662" s="46" t="n">
        <v>312.66972</v>
      </c>
      <c r="L662" s="46" t="n">
        <v>113.69808</v>
      </c>
      <c r="M662" s="46">
        <f>N662-SUM(C662:L662)</f>
        <v/>
      </c>
      <c r="N662" s="47" t="n">
        <v>3508</v>
      </c>
      <c r="O662" s="46" t="n">
        <v>109</v>
      </c>
      <c r="P662" s="46" t="n">
        <v>0</v>
      </c>
      <c r="Q662" s="46" t="n">
        <v>770</v>
      </c>
      <c r="R662" s="46" t="n">
        <v>513</v>
      </c>
      <c r="S662" s="46" t="n">
        <v>313</v>
      </c>
      <c r="T662" s="46" t="n">
        <v>316</v>
      </c>
      <c r="U662" s="46" t="n">
        <v>112</v>
      </c>
      <c r="V662" s="46" t="n"/>
      <c r="W662" s="46" t="n">
        <v>333</v>
      </c>
      <c r="X662" s="46" t="n">
        <v>935</v>
      </c>
      <c r="Y662" s="46" t="n">
        <v>107</v>
      </c>
    </row>
    <row r="663">
      <c r="A663" s="78" t="n">
        <v>46130</v>
      </c>
      <c r="B663" s="45" t="inlineStr">
        <is>
          <t>天籁·鸿蒙座舱</t>
        </is>
      </c>
      <c r="C663" s="46" t="n">
        <v>348.6384</v>
      </c>
      <c r="D663" s="46" t="n">
        <v>348.6384</v>
      </c>
      <c r="E663" s="46" t="n">
        <v>316.944</v>
      </c>
      <c r="F663" s="46" t="n">
        <v>538.8048</v>
      </c>
      <c r="G663" s="46" t="n">
        <v>348.6384</v>
      </c>
      <c r="H663" s="46" t="n">
        <v>412.0272000000001</v>
      </c>
      <c r="I663" s="46" t="n">
        <v>285.2496</v>
      </c>
      <c r="J663" s="46" t="n">
        <v>95.08320000000001</v>
      </c>
      <c r="K663" s="46" t="n">
        <v>348.6384</v>
      </c>
      <c r="L663" s="46" t="n">
        <v>126.7776</v>
      </c>
      <c r="M663" s="46">
        <f>N663-SUM(C663:L663)</f>
        <v/>
      </c>
      <c r="N663" s="47" t="n">
        <v>3914</v>
      </c>
      <c r="O663" s="46" t="n">
        <v>125</v>
      </c>
      <c r="P663" s="46" t="n">
        <v>0</v>
      </c>
      <c r="Q663" s="46" t="n">
        <v>886</v>
      </c>
      <c r="R663" s="46" t="n">
        <v>590</v>
      </c>
      <c r="S663" s="46" t="n">
        <v>360</v>
      </c>
      <c r="T663" s="46" t="n">
        <v>364</v>
      </c>
      <c r="U663" s="46" t="n">
        <v>130</v>
      </c>
      <c r="V663" s="46" t="n"/>
      <c r="W663" s="46" t="n">
        <v>384</v>
      </c>
      <c r="X663" s="46" t="n">
        <v>1075</v>
      </c>
      <c r="Y663" s="46" t="n">
        <v>0</v>
      </c>
    </row>
    <row r="664">
      <c r="A664" s="78" t="n">
        <v>46131</v>
      </c>
      <c r="B664" s="45" t="inlineStr">
        <is>
          <t>天籁·鸿蒙座舱</t>
        </is>
      </c>
      <c r="C664" s="46" t="n">
        <v>348.6384</v>
      </c>
      <c r="D664" s="46" t="n">
        <v>348.6384</v>
      </c>
      <c r="E664" s="46" t="n">
        <v>316.944</v>
      </c>
      <c r="F664" s="46" t="n">
        <v>538.8048</v>
      </c>
      <c r="G664" s="46" t="n">
        <v>348.6384</v>
      </c>
      <c r="H664" s="46" t="n">
        <v>412.0272000000001</v>
      </c>
      <c r="I664" s="46" t="n">
        <v>285.2496</v>
      </c>
      <c r="J664" s="46" t="n">
        <v>95.08320000000001</v>
      </c>
      <c r="K664" s="46" t="n">
        <v>348.6384</v>
      </c>
      <c r="L664" s="46" t="n">
        <v>126.7776</v>
      </c>
      <c r="M664" s="46">
        <f>N664-SUM(C664:L664)</f>
        <v/>
      </c>
      <c r="N664" s="47" t="n">
        <v>3914</v>
      </c>
      <c r="O664" s="46" t="n">
        <v>125</v>
      </c>
      <c r="P664" s="46" t="n">
        <v>0</v>
      </c>
      <c r="Q664" s="46" t="n">
        <v>886</v>
      </c>
      <c r="R664" s="46" t="n">
        <v>590</v>
      </c>
      <c r="S664" s="46" t="n">
        <v>360</v>
      </c>
      <c r="T664" s="46" t="n">
        <v>364</v>
      </c>
      <c r="U664" s="46" t="n">
        <v>130</v>
      </c>
      <c r="V664" s="46" t="n"/>
      <c r="W664" s="46" t="n">
        <v>384</v>
      </c>
      <c r="X664" s="46" t="n">
        <v>1075</v>
      </c>
      <c r="Y664" s="46" t="n">
        <v>0</v>
      </c>
    </row>
    <row r="665">
      <c r="A665" s="78" t="n">
        <v>46132</v>
      </c>
      <c r="B665" s="45" t="inlineStr">
        <is>
          <t>天籁·鸿蒙座舱</t>
        </is>
      </c>
      <c r="C665" s="46" t="n">
        <v>312.66972</v>
      </c>
      <c r="D665" s="46" t="n">
        <v>312.66972</v>
      </c>
      <c r="E665" s="46" t="n">
        <v>284.2452</v>
      </c>
      <c r="F665" s="46" t="n">
        <v>483.2168400000001</v>
      </c>
      <c r="G665" s="46" t="n">
        <v>312.66972</v>
      </c>
      <c r="H665" s="46" t="n">
        <v>369.51876</v>
      </c>
      <c r="I665" s="46" t="n">
        <v>255.82068</v>
      </c>
      <c r="J665" s="46" t="n">
        <v>85.27356</v>
      </c>
      <c r="K665" s="46" t="n">
        <v>312.66972</v>
      </c>
      <c r="L665" s="46" t="n">
        <v>113.69808</v>
      </c>
      <c r="M665" s="46">
        <f>N665-SUM(C665:L665)</f>
        <v/>
      </c>
      <c r="N665" s="47" t="n">
        <v>3508</v>
      </c>
      <c r="O665" s="46" t="n">
        <v>109</v>
      </c>
      <c r="P665" s="46" t="n">
        <v>0</v>
      </c>
      <c r="Q665" s="46" t="n">
        <v>770</v>
      </c>
      <c r="R665" s="46" t="n">
        <v>513</v>
      </c>
      <c r="S665" s="46" t="n">
        <v>313</v>
      </c>
      <c r="T665" s="46" t="n">
        <v>316</v>
      </c>
      <c r="U665" s="46" t="n">
        <v>112</v>
      </c>
      <c r="V665" s="46" t="n"/>
      <c r="W665" s="46" t="n">
        <v>333</v>
      </c>
      <c r="X665" s="46" t="n">
        <v>935</v>
      </c>
      <c r="Y665" s="46" t="n">
        <v>107</v>
      </c>
    </row>
    <row r="666">
      <c r="A666" s="78" t="n">
        <v>46133</v>
      </c>
      <c r="B666" s="45" t="inlineStr">
        <is>
          <t>天籁·鸿蒙座舱</t>
        </is>
      </c>
      <c r="C666" s="46" t="n">
        <v>312.66972</v>
      </c>
      <c r="D666" s="46" t="n">
        <v>312.66972</v>
      </c>
      <c r="E666" s="46" t="n">
        <v>284.2452</v>
      </c>
      <c r="F666" s="46" t="n">
        <v>483.2168400000001</v>
      </c>
      <c r="G666" s="46" t="n">
        <v>312.66972</v>
      </c>
      <c r="H666" s="46" t="n">
        <v>369.51876</v>
      </c>
      <c r="I666" s="46" t="n">
        <v>255.82068</v>
      </c>
      <c r="J666" s="46" t="n">
        <v>85.27356</v>
      </c>
      <c r="K666" s="46" t="n">
        <v>312.66972</v>
      </c>
      <c r="L666" s="46" t="n">
        <v>113.69808</v>
      </c>
      <c r="M666" s="46">
        <f>N666-SUM(C666:L666)</f>
        <v/>
      </c>
      <c r="N666" s="47" t="n">
        <v>3508</v>
      </c>
      <c r="O666" s="46" t="n">
        <v>109</v>
      </c>
      <c r="P666" s="46" t="n">
        <v>0</v>
      </c>
      <c r="Q666" s="46" t="n">
        <v>770</v>
      </c>
      <c r="R666" s="46" t="n">
        <v>513</v>
      </c>
      <c r="S666" s="46" t="n">
        <v>313</v>
      </c>
      <c r="T666" s="46" t="n">
        <v>316</v>
      </c>
      <c r="U666" s="46" t="n">
        <v>112</v>
      </c>
      <c r="V666" s="46" t="n"/>
      <c r="W666" s="46" t="n">
        <v>333</v>
      </c>
      <c r="X666" s="46" t="n">
        <v>935</v>
      </c>
      <c r="Y666" s="46" t="n">
        <v>107</v>
      </c>
    </row>
    <row r="667">
      <c r="A667" s="78" t="n">
        <v>46134</v>
      </c>
      <c r="B667" s="45" t="inlineStr">
        <is>
          <t>天籁·鸿蒙座舱</t>
        </is>
      </c>
      <c r="C667" s="46" t="n">
        <v>312.66972</v>
      </c>
      <c r="D667" s="46" t="n">
        <v>312.66972</v>
      </c>
      <c r="E667" s="46" t="n">
        <v>284.2452</v>
      </c>
      <c r="F667" s="46" t="n">
        <v>483.2168400000001</v>
      </c>
      <c r="G667" s="46" t="n">
        <v>312.66972</v>
      </c>
      <c r="H667" s="46" t="n">
        <v>369.51876</v>
      </c>
      <c r="I667" s="46" t="n">
        <v>255.82068</v>
      </c>
      <c r="J667" s="46" t="n">
        <v>85.27356</v>
      </c>
      <c r="K667" s="46" t="n">
        <v>312.66972</v>
      </c>
      <c r="L667" s="46" t="n">
        <v>113.69808</v>
      </c>
      <c r="M667" s="46">
        <f>N667-SUM(C667:L667)</f>
        <v/>
      </c>
      <c r="N667" s="47" t="n">
        <v>3508</v>
      </c>
      <c r="O667" s="46" t="n">
        <v>109</v>
      </c>
      <c r="P667" s="46" t="n">
        <v>0</v>
      </c>
      <c r="Q667" s="46" t="n">
        <v>770</v>
      </c>
      <c r="R667" s="46" t="n">
        <v>513</v>
      </c>
      <c r="S667" s="46" t="n">
        <v>313</v>
      </c>
      <c r="T667" s="46" t="n">
        <v>316</v>
      </c>
      <c r="U667" s="46" t="n">
        <v>112</v>
      </c>
      <c r="V667" s="46" t="n"/>
      <c r="W667" s="46" t="n">
        <v>333</v>
      </c>
      <c r="X667" s="46" t="n">
        <v>935</v>
      </c>
      <c r="Y667" s="46" t="n">
        <v>107</v>
      </c>
    </row>
    <row r="668">
      <c r="A668" s="78" t="n">
        <v>46135</v>
      </c>
      <c r="B668" s="45" t="inlineStr">
        <is>
          <t>天籁·鸿蒙座舱</t>
        </is>
      </c>
      <c r="C668" s="46" t="n">
        <v>312.66972</v>
      </c>
      <c r="D668" s="46" t="n">
        <v>312.66972</v>
      </c>
      <c r="E668" s="46" t="n">
        <v>284.2452</v>
      </c>
      <c r="F668" s="46" t="n">
        <v>483.2168400000001</v>
      </c>
      <c r="G668" s="46" t="n">
        <v>312.66972</v>
      </c>
      <c r="H668" s="46" t="n">
        <v>369.51876</v>
      </c>
      <c r="I668" s="46" t="n">
        <v>255.82068</v>
      </c>
      <c r="J668" s="46" t="n">
        <v>85.27356</v>
      </c>
      <c r="K668" s="46" t="n">
        <v>312.66972</v>
      </c>
      <c r="L668" s="46" t="n">
        <v>113.69808</v>
      </c>
      <c r="M668" s="46">
        <f>N668-SUM(C668:L668)</f>
        <v/>
      </c>
      <c r="N668" s="47" t="n">
        <v>3508</v>
      </c>
      <c r="O668" s="46" t="n">
        <v>109</v>
      </c>
      <c r="P668" s="46" t="n">
        <v>0</v>
      </c>
      <c r="Q668" s="46" t="n">
        <v>770</v>
      </c>
      <c r="R668" s="46" t="n">
        <v>513</v>
      </c>
      <c r="S668" s="46" t="n">
        <v>313</v>
      </c>
      <c r="T668" s="46" t="n">
        <v>316</v>
      </c>
      <c r="U668" s="46" t="n">
        <v>112</v>
      </c>
      <c r="V668" s="46" t="n"/>
      <c r="W668" s="46" t="n">
        <v>333</v>
      </c>
      <c r="X668" s="46" t="n">
        <v>935</v>
      </c>
      <c r="Y668" s="46" t="n">
        <v>107</v>
      </c>
    </row>
    <row r="669">
      <c r="A669" s="78" t="n">
        <v>46136</v>
      </c>
      <c r="B669" s="45" t="inlineStr">
        <is>
          <t>天籁·鸿蒙座舱</t>
        </is>
      </c>
      <c r="C669" s="46" t="n">
        <v>312.66972</v>
      </c>
      <c r="D669" s="46" t="n">
        <v>312.66972</v>
      </c>
      <c r="E669" s="46" t="n">
        <v>284.2452</v>
      </c>
      <c r="F669" s="46" t="n">
        <v>483.2168400000001</v>
      </c>
      <c r="G669" s="46" t="n">
        <v>312.66972</v>
      </c>
      <c r="H669" s="46" t="n">
        <v>369.51876</v>
      </c>
      <c r="I669" s="46" t="n">
        <v>255.82068</v>
      </c>
      <c r="J669" s="46" t="n">
        <v>85.27356</v>
      </c>
      <c r="K669" s="46" t="n">
        <v>312.66972</v>
      </c>
      <c r="L669" s="46" t="n">
        <v>113.69808</v>
      </c>
      <c r="M669" s="46">
        <f>N669-SUM(C669:L669)</f>
        <v/>
      </c>
      <c r="N669" s="47" t="n">
        <v>3508</v>
      </c>
      <c r="O669" s="46" t="n">
        <v>109</v>
      </c>
      <c r="P669" s="46" t="n">
        <v>0</v>
      </c>
      <c r="Q669" s="46" t="n">
        <v>770</v>
      </c>
      <c r="R669" s="46" t="n">
        <v>513</v>
      </c>
      <c r="S669" s="46" t="n">
        <v>313</v>
      </c>
      <c r="T669" s="46" t="n">
        <v>316</v>
      </c>
      <c r="U669" s="46" t="n">
        <v>112</v>
      </c>
      <c r="V669" s="46" t="n"/>
      <c r="W669" s="46" t="n">
        <v>333</v>
      </c>
      <c r="X669" s="46" t="n">
        <v>935</v>
      </c>
      <c r="Y669" s="46" t="n">
        <v>107</v>
      </c>
    </row>
    <row r="670">
      <c r="A670" s="78" t="n">
        <v>46137</v>
      </c>
      <c r="B670" s="45" t="inlineStr">
        <is>
          <t>天籁·鸿蒙座舱</t>
        </is>
      </c>
      <c r="C670" s="46" t="n">
        <v>348.69978</v>
      </c>
      <c r="D670" s="46" t="n">
        <v>348.69978</v>
      </c>
      <c r="E670" s="46" t="n">
        <v>316.9998000000001</v>
      </c>
      <c r="F670" s="46" t="n">
        <v>538.8996600000002</v>
      </c>
      <c r="G670" s="46" t="n">
        <v>348.69978</v>
      </c>
      <c r="H670" s="46" t="n">
        <v>412.0997400000001</v>
      </c>
      <c r="I670" s="46" t="n">
        <v>285.2998200000001</v>
      </c>
      <c r="J670" s="46" t="n">
        <v>95.09994</v>
      </c>
      <c r="K670" s="46" t="n">
        <v>348.69978</v>
      </c>
      <c r="L670" s="46" t="n">
        <v>126.79992</v>
      </c>
      <c r="M670" s="46">
        <f>N670-SUM(C670:L670)</f>
        <v/>
      </c>
      <c r="N670" s="47" t="n">
        <v>3915</v>
      </c>
      <c r="O670" s="46" t="n">
        <v>125</v>
      </c>
      <c r="P670" s="46" t="n">
        <v>1</v>
      </c>
      <c r="Q670" s="46" t="n">
        <v>886</v>
      </c>
      <c r="R670" s="46" t="n">
        <v>590</v>
      </c>
      <c r="S670" s="46" t="n">
        <v>360</v>
      </c>
      <c r="T670" s="46" t="n">
        <v>364</v>
      </c>
      <c r="U670" s="46" t="n">
        <v>130</v>
      </c>
      <c r="V670" s="46" t="n"/>
      <c r="W670" s="46" t="n">
        <v>384</v>
      </c>
      <c r="X670" s="46" t="n">
        <v>1075</v>
      </c>
      <c r="Y670" s="46" t="n">
        <v>0</v>
      </c>
    </row>
    <row r="671">
      <c r="A671" s="78" t="n">
        <v>46138</v>
      </c>
      <c r="B671" s="45" t="inlineStr">
        <is>
          <t>天籁·鸿蒙座舱</t>
        </is>
      </c>
      <c r="C671" s="46" t="n">
        <v>348.69978</v>
      </c>
      <c r="D671" s="46" t="n">
        <v>348.69978</v>
      </c>
      <c r="E671" s="46" t="n">
        <v>316.9998000000001</v>
      </c>
      <c r="F671" s="46" t="n">
        <v>538.8996600000002</v>
      </c>
      <c r="G671" s="46" t="n">
        <v>348.69978</v>
      </c>
      <c r="H671" s="46" t="n">
        <v>412.0997400000001</v>
      </c>
      <c r="I671" s="46" t="n">
        <v>285.2998200000001</v>
      </c>
      <c r="J671" s="46" t="n">
        <v>95.09994</v>
      </c>
      <c r="K671" s="46" t="n">
        <v>348.69978</v>
      </c>
      <c r="L671" s="46" t="n">
        <v>126.79992</v>
      </c>
      <c r="M671" s="46">
        <f>N671-SUM(C671:L671)</f>
        <v/>
      </c>
      <c r="N671" s="47" t="n">
        <v>3915</v>
      </c>
      <c r="O671" s="46" t="n">
        <v>125</v>
      </c>
      <c r="P671" s="46" t="n">
        <v>1</v>
      </c>
      <c r="Q671" s="46" t="n">
        <v>886</v>
      </c>
      <c r="R671" s="46" t="n">
        <v>590</v>
      </c>
      <c r="S671" s="46" t="n">
        <v>360</v>
      </c>
      <c r="T671" s="46" t="n">
        <v>364</v>
      </c>
      <c r="U671" s="46" t="n">
        <v>130</v>
      </c>
      <c r="V671" s="46" t="n"/>
      <c r="W671" s="46" t="n">
        <v>384</v>
      </c>
      <c r="X671" s="46" t="n">
        <v>1075</v>
      </c>
      <c r="Y671" s="46" t="n">
        <v>0</v>
      </c>
    </row>
    <row r="672">
      <c r="A672" s="78" t="n">
        <v>46139</v>
      </c>
      <c r="B672" s="45" t="inlineStr">
        <is>
          <t>天籁·鸿蒙座舱</t>
        </is>
      </c>
      <c r="C672" s="46" t="n">
        <v>312.7311</v>
      </c>
      <c r="D672" s="46" t="n">
        <v>312.7311</v>
      </c>
      <c r="E672" s="46" t="n">
        <v>284.301</v>
      </c>
      <c r="F672" s="46" t="n">
        <v>483.3117</v>
      </c>
      <c r="G672" s="46" t="n">
        <v>312.7311</v>
      </c>
      <c r="H672" s="46" t="n">
        <v>369.5913</v>
      </c>
      <c r="I672" s="46" t="n">
        <v>255.8708999999999</v>
      </c>
      <c r="J672" s="46" t="n">
        <v>85.2903</v>
      </c>
      <c r="K672" s="46" t="n">
        <v>312.7311</v>
      </c>
      <c r="L672" s="46" t="n">
        <v>113.7204</v>
      </c>
      <c r="M672" s="46">
        <f>N672-SUM(C672:L672)</f>
        <v/>
      </c>
      <c r="N672" s="47" t="n">
        <v>3509</v>
      </c>
      <c r="O672" s="46" t="n">
        <v>109</v>
      </c>
      <c r="P672" s="46" t="n">
        <v>1</v>
      </c>
      <c r="Q672" s="46" t="n">
        <v>770</v>
      </c>
      <c r="R672" s="46" t="n">
        <v>513</v>
      </c>
      <c r="S672" s="46" t="n">
        <v>313</v>
      </c>
      <c r="T672" s="46" t="n">
        <v>316</v>
      </c>
      <c r="U672" s="46" t="n">
        <v>112</v>
      </c>
      <c r="V672" s="46" t="n"/>
      <c r="W672" s="46" t="n">
        <v>333</v>
      </c>
      <c r="X672" s="46" t="n">
        <v>935</v>
      </c>
      <c r="Y672" s="46" t="n">
        <v>107</v>
      </c>
    </row>
    <row r="673">
      <c r="A673" s="78" t="n">
        <v>46140</v>
      </c>
      <c r="B673" s="45" t="inlineStr">
        <is>
          <t>天籁·鸿蒙座舱</t>
        </is>
      </c>
      <c r="C673" s="46" t="n">
        <v>312.7311</v>
      </c>
      <c r="D673" s="46" t="n">
        <v>312.7311</v>
      </c>
      <c r="E673" s="46" t="n">
        <v>284.301</v>
      </c>
      <c r="F673" s="46" t="n">
        <v>483.3117</v>
      </c>
      <c r="G673" s="46" t="n">
        <v>312.7311</v>
      </c>
      <c r="H673" s="46" t="n">
        <v>369.5913</v>
      </c>
      <c r="I673" s="46" t="n">
        <v>255.8708999999999</v>
      </c>
      <c r="J673" s="46" t="n">
        <v>85.2903</v>
      </c>
      <c r="K673" s="46" t="n">
        <v>312.7311</v>
      </c>
      <c r="L673" s="46" t="n">
        <v>113.7204</v>
      </c>
      <c r="M673" s="46">
        <f>N673-SUM(C673:L673)</f>
        <v/>
      </c>
      <c r="N673" s="47" t="n">
        <v>3509</v>
      </c>
      <c r="O673" s="46" t="n">
        <v>109</v>
      </c>
      <c r="P673" s="46" t="n">
        <v>1</v>
      </c>
      <c r="Q673" s="46" t="n">
        <v>770</v>
      </c>
      <c r="R673" s="46" t="n">
        <v>513</v>
      </c>
      <c r="S673" s="46" t="n">
        <v>313</v>
      </c>
      <c r="T673" s="46" t="n">
        <v>316</v>
      </c>
      <c r="U673" s="46" t="n">
        <v>112</v>
      </c>
      <c r="V673" s="46" t="n"/>
      <c r="W673" s="46" t="n">
        <v>333</v>
      </c>
      <c r="X673" s="46" t="n">
        <v>935</v>
      </c>
      <c r="Y673" s="46" t="n">
        <v>107</v>
      </c>
    </row>
    <row r="674">
      <c r="A674" s="78" t="n">
        <v>46141</v>
      </c>
      <c r="B674" s="45" t="inlineStr">
        <is>
          <t>天籁·鸿蒙座舱</t>
        </is>
      </c>
      <c r="C674" s="46" t="n">
        <v>312.7311</v>
      </c>
      <c r="D674" s="46" t="n">
        <v>312.7311</v>
      </c>
      <c r="E674" s="46" t="n">
        <v>284.301</v>
      </c>
      <c r="F674" s="46" t="n">
        <v>483.3117</v>
      </c>
      <c r="G674" s="46" t="n">
        <v>312.7311</v>
      </c>
      <c r="H674" s="46" t="n">
        <v>369.5913</v>
      </c>
      <c r="I674" s="46" t="n">
        <v>255.8708999999999</v>
      </c>
      <c r="J674" s="46" t="n">
        <v>85.2903</v>
      </c>
      <c r="K674" s="46" t="n">
        <v>312.7311</v>
      </c>
      <c r="L674" s="46" t="n">
        <v>113.7204</v>
      </c>
      <c r="M674" s="46">
        <f>N674-SUM(C674:L674)</f>
        <v/>
      </c>
      <c r="N674" s="47" t="n">
        <v>3509</v>
      </c>
      <c r="O674" s="46" t="n">
        <v>109</v>
      </c>
      <c r="P674" s="46" t="n">
        <v>1</v>
      </c>
      <c r="Q674" s="46" t="n">
        <v>770</v>
      </c>
      <c r="R674" s="46" t="n">
        <v>513</v>
      </c>
      <c r="S674" s="46" t="n">
        <v>313</v>
      </c>
      <c r="T674" s="46" t="n">
        <v>316</v>
      </c>
      <c r="U674" s="46" t="n">
        <v>112</v>
      </c>
      <c r="V674" s="46" t="n"/>
      <c r="W674" s="46" t="n">
        <v>333</v>
      </c>
      <c r="X674" s="46" t="n">
        <v>935</v>
      </c>
      <c r="Y674" s="46" t="n">
        <v>107</v>
      </c>
    </row>
    <row r="675">
      <c r="A675" s="78" t="n">
        <v>46142</v>
      </c>
      <c r="B675" s="45" t="inlineStr">
        <is>
          <t>天籁·鸿蒙座舱</t>
        </is>
      </c>
      <c r="C675" s="46" t="n">
        <v>314.32698</v>
      </c>
      <c r="D675" s="46" t="n">
        <v>314.32698</v>
      </c>
      <c r="E675" s="46" t="n">
        <v>285.7518</v>
      </c>
      <c r="F675" s="46" t="n">
        <v>485.7780600000001</v>
      </c>
      <c r="G675" s="46" t="n">
        <v>314.32698</v>
      </c>
      <c r="H675" s="46" t="n">
        <v>371.47734</v>
      </c>
      <c r="I675" s="46" t="n">
        <v>257.17662</v>
      </c>
      <c r="J675" s="46" t="n">
        <v>85.72554000000001</v>
      </c>
      <c r="K675" s="46" t="n">
        <v>314.32698</v>
      </c>
      <c r="L675" s="46" t="n">
        <v>114.30072</v>
      </c>
      <c r="M675" s="46">
        <f>N675-SUM(C675:L675)</f>
        <v/>
      </c>
      <c r="N675" s="47" t="n">
        <v>3541</v>
      </c>
      <c r="O675" s="46" t="n">
        <v>110</v>
      </c>
      <c r="P675" s="46" t="n">
        <v>0</v>
      </c>
      <c r="Q675" s="46" t="n">
        <v>778</v>
      </c>
      <c r="R675" s="46" t="n">
        <v>501</v>
      </c>
      <c r="S675" s="46" t="n">
        <v>324</v>
      </c>
      <c r="T675" s="46" t="n">
        <v>323</v>
      </c>
      <c r="U675" s="46" t="n">
        <v>118</v>
      </c>
      <c r="V675" s="46" t="n"/>
      <c r="W675" s="46" t="n">
        <v>341</v>
      </c>
      <c r="X675" s="46" t="n">
        <v>929</v>
      </c>
      <c r="Y675" s="46" t="n">
        <v>117</v>
      </c>
    </row>
    <row r="676">
      <c r="A676" s="78" t="n">
        <v>46143</v>
      </c>
      <c r="B676" s="45" t="inlineStr">
        <is>
          <t>天籁·鸿蒙座舱</t>
        </is>
      </c>
      <c r="C676" s="52" t="n">
        <v>737</v>
      </c>
      <c r="D676" s="52" t="n">
        <v>769</v>
      </c>
      <c r="E676" s="52" t="n">
        <v>601</v>
      </c>
      <c r="F676" s="52" t="n">
        <v>1359</v>
      </c>
      <c r="G676" s="52" t="n">
        <v>808</v>
      </c>
      <c r="H676" s="52" t="n">
        <v>994</v>
      </c>
      <c r="I676" s="52" t="n">
        <v>593</v>
      </c>
      <c r="J676" s="52" t="n">
        <v>213</v>
      </c>
      <c r="K676" s="52" t="n">
        <v>690</v>
      </c>
      <c r="L676" s="52" t="n">
        <v>289</v>
      </c>
      <c r="M676" s="46">
        <f>N676-SUM(C676:L676)</f>
        <v/>
      </c>
      <c r="N676" s="47" t="n">
        <v>8108</v>
      </c>
      <c r="O676" s="52" t="n">
        <v>165</v>
      </c>
      <c r="P676" s="52" t="n">
        <v>1</v>
      </c>
      <c r="Q676" s="52" t="n">
        <v>2096</v>
      </c>
      <c r="R676" s="52" t="n">
        <v>543</v>
      </c>
      <c r="S676" s="52" t="n">
        <v>762</v>
      </c>
      <c r="T676" s="52" t="n">
        <v>1104</v>
      </c>
      <c r="U676" s="52" t="n">
        <v>338</v>
      </c>
      <c r="V676" s="52" t="n"/>
      <c r="W676" s="52" t="n">
        <v>1090</v>
      </c>
      <c r="X676" s="52" t="n">
        <v>1831</v>
      </c>
      <c r="Y676" s="52" t="n">
        <v>178</v>
      </c>
    </row>
    <row r="677">
      <c r="A677" s="78" t="n">
        <v>46144</v>
      </c>
      <c r="B677" s="45" t="inlineStr">
        <is>
          <t>天籁·鸿蒙座舱</t>
        </is>
      </c>
      <c r="C677" s="52" t="n">
        <v>737</v>
      </c>
      <c r="D677" s="52" t="n">
        <v>769</v>
      </c>
      <c r="E677" s="52" t="n">
        <v>601</v>
      </c>
      <c r="F677" s="52" t="n">
        <v>1359</v>
      </c>
      <c r="G677" s="52" t="n">
        <v>808</v>
      </c>
      <c r="H677" s="52" t="n">
        <v>994</v>
      </c>
      <c r="I677" s="52" t="n">
        <v>593</v>
      </c>
      <c r="J677" s="52" t="n">
        <v>213</v>
      </c>
      <c r="K677" s="52" t="n">
        <v>690</v>
      </c>
      <c r="L677" s="52" t="n">
        <v>289</v>
      </c>
      <c r="M677" s="46">
        <f>N677-SUM(C677:L677)</f>
        <v/>
      </c>
      <c r="N677" s="47" t="n">
        <v>8108</v>
      </c>
      <c r="O677" s="52" t="n">
        <v>165</v>
      </c>
      <c r="P677" s="52" t="n">
        <v>1</v>
      </c>
      <c r="Q677" s="52" t="n">
        <v>2096</v>
      </c>
      <c r="R677" s="52" t="n">
        <v>543</v>
      </c>
      <c r="S677" s="52" t="n">
        <v>762</v>
      </c>
      <c r="T677" s="52" t="n">
        <v>1104</v>
      </c>
      <c r="U677" s="52" t="n">
        <v>338</v>
      </c>
      <c r="V677" s="52" t="n"/>
      <c r="W677" s="52" t="n">
        <v>1090</v>
      </c>
      <c r="X677" s="52" t="n">
        <v>1831</v>
      </c>
      <c r="Y677" s="52" t="n">
        <v>178</v>
      </c>
    </row>
    <row r="678">
      <c r="A678" s="78" t="n">
        <v>46145</v>
      </c>
      <c r="B678" s="45" t="inlineStr">
        <is>
          <t>天籁·鸿蒙座舱</t>
        </is>
      </c>
      <c r="C678" s="52" t="n">
        <v>737</v>
      </c>
      <c r="D678" s="52" t="n">
        <v>769</v>
      </c>
      <c r="E678" s="52" t="n">
        <v>601</v>
      </c>
      <c r="F678" s="52" t="n">
        <v>1359</v>
      </c>
      <c r="G678" s="52" t="n">
        <v>808</v>
      </c>
      <c r="H678" s="52" t="n">
        <v>994</v>
      </c>
      <c r="I678" s="52" t="n">
        <v>593</v>
      </c>
      <c r="J678" s="52" t="n">
        <v>213</v>
      </c>
      <c r="K678" s="52" t="n">
        <v>690</v>
      </c>
      <c r="L678" s="52" t="n">
        <v>289</v>
      </c>
      <c r="M678" s="46">
        <f>N678-SUM(C678:L678)</f>
        <v/>
      </c>
      <c r="N678" s="47" t="n">
        <v>8108</v>
      </c>
      <c r="O678" s="52" t="n">
        <v>165</v>
      </c>
      <c r="P678" s="52" t="n">
        <v>1</v>
      </c>
      <c r="Q678" s="52" t="n">
        <v>2096</v>
      </c>
      <c r="R678" s="52" t="n">
        <v>543</v>
      </c>
      <c r="S678" s="52" t="n">
        <v>762</v>
      </c>
      <c r="T678" s="52" t="n">
        <v>1104</v>
      </c>
      <c r="U678" s="52" t="n">
        <v>338</v>
      </c>
      <c r="V678" s="52" t="n"/>
      <c r="W678" s="52" t="n">
        <v>1090</v>
      </c>
      <c r="X678" s="52" t="n">
        <v>1831</v>
      </c>
      <c r="Y678" s="52" t="n">
        <v>178</v>
      </c>
    </row>
    <row r="679">
      <c r="A679" s="78" t="n">
        <v>46146</v>
      </c>
      <c r="B679" s="45" t="inlineStr">
        <is>
          <t>天籁·鸿蒙座舱</t>
        </is>
      </c>
      <c r="C679" s="52" t="n">
        <v>737</v>
      </c>
      <c r="D679" s="52" t="n">
        <v>769</v>
      </c>
      <c r="E679" s="52" t="n">
        <v>601</v>
      </c>
      <c r="F679" s="52" t="n">
        <v>1359</v>
      </c>
      <c r="G679" s="52" t="n">
        <v>808</v>
      </c>
      <c r="H679" s="52" t="n">
        <v>994</v>
      </c>
      <c r="I679" s="52" t="n">
        <v>593</v>
      </c>
      <c r="J679" s="52" t="n">
        <v>213</v>
      </c>
      <c r="K679" s="52" t="n">
        <v>690</v>
      </c>
      <c r="L679" s="52" t="n">
        <v>289</v>
      </c>
      <c r="M679" s="46">
        <f>N679-SUM(C679:L679)</f>
        <v/>
      </c>
      <c r="N679" s="47" t="n">
        <v>8108</v>
      </c>
      <c r="O679" s="52" t="n">
        <v>165</v>
      </c>
      <c r="P679" s="52" t="n">
        <v>1</v>
      </c>
      <c r="Q679" s="52" t="n">
        <v>2096</v>
      </c>
      <c r="R679" s="52" t="n">
        <v>543</v>
      </c>
      <c r="S679" s="52" t="n">
        <v>762</v>
      </c>
      <c r="T679" s="52" t="n">
        <v>1104</v>
      </c>
      <c r="U679" s="52" t="n">
        <v>338</v>
      </c>
      <c r="V679" s="52" t="n"/>
      <c r="W679" s="52" t="n">
        <v>1090</v>
      </c>
      <c r="X679" s="52" t="n">
        <v>1831</v>
      </c>
      <c r="Y679" s="52" t="n">
        <v>178</v>
      </c>
    </row>
    <row r="680">
      <c r="A680" s="78" t="n">
        <v>46147</v>
      </c>
      <c r="B680" s="45" t="inlineStr">
        <is>
          <t>天籁·鸿蒙座舱</t>
        </is>
      </c>
      <c r="C680" s="52" t="n">
        <v>737</v>
      </c>
      <c r="D680" s="52" t="n">
        <v>769</v>
      </c>
      <c r="E680" s="52" t="n">
        <v>601</v>
      </c>
      <c r="F680" s="52" t="n">
        <v>1359</v>
      </c>
      <c r="G680" s="52" t="n">
        <v>808</v>
      </c>
      <c r="H680" s="52" t="n">
        <v>994</v>
      </c>
      <c r="I680" s="52" t="n">
        <v>593</v>
      </c>
      <c r="J680" s="52" t="n">
        <v>213</v>
      </c>
      <c r="K680" s="52" t="n">
        <v>690</v>
      </c>
      <c r="L680" s="52" t="n">
        <v>289</v>
      </c>
      <c r="M680" s="46">
        <f>N680-SUM(C680:L680)</f>
        <v/>
      </c>
      <c r="N680" s="47" t="n">
        <v>8108</v>
      </c>
      <c r="O680" s="52" t="n">
        <v>165</v>
      </c>
      <c r="P680" s="52" t="n">
        <v>1</v>
      </c>
      <c r="Q680" s="52" t="n">
        <v>2096</v>
      </c>
      <c r="R680" s="52" t="n">
        <v>543</v>
      </c>
      <c r="S680" s="52" t="n">
        <v>762</v>
      </c>
      <c r="T680" s="52" t="n">
        <v>1104</v>
      </c>
      <c r="U680" s="52" t="n">
        <v>338</v>
      </c>
      <c r="V680" s="52" t="n"/>
      <c r="W680" s="52" t="n">
        <v>1090</v>
      </c>
      <c r="X680" s="52" t="n">
        <v>1831</v>
      </c>
      <c r="Y680" s="52" t="n">
        <v>178</v>
      </c>
    </row>
    <row r="681">
      <c r="A681" s="78" t="n">
        <v>46148</v>
      </c>
      <c r="B681" s="45" t="inlineStr">
        <is>
          <t>天籁·鸿蒙座舱</t>
        </is>
      </c>
      <c r="C681" s="52" t="n">
        <v>275</v>
      </c>
      <c r="D681" s="52" t="n">
        <v>287</v>
      </c>
      <c r="E681" s="52" t="n">
        <v>224</v>
      </c>
      <c r="F681" s="52" t="n">
        <v>507</v>
      </c>
      <c r="G681" s="52" t="n">
        <v>302</v>
      </c>
      <c r="H681" s="52" t="n">
        <v>371</v>
      </c>
      <c r="I681" s="52" t="n">
        <v>221</v>
      </c>
      <c r="J681" s="52" t="n">
        <v>80</v>
      </c>
      <c r="K681" s="52" t="n">
        <v>258</v>
      </c>
      <c r="L681" s="52" t="n">
        <v>108</v>
      </c>
      <c r="M681" s="46">
        <f>N681-SUM(C681:L681)</f>
        <v/>
      </c>
      <c r="N681" s="47" t="n">
        <v>3027</v>
      </c>
      <c r="O681" s="52" t="n">
        <v>62</v>
      </c>
      <c r="P681" s="52" t="n">
        <v>0</v>
      </c>
      <c r="Q681" s="52" t="n">
        <v>782</v>
      </c>
      <c r="R681" s="52" t="n">
        <v>203</v>
      </c>
      <c r="S681" s="52" t="n">
        <v>284</v>
      </c>
      <c r="T681" s="52" t="n">
        <v>412</v>
      </c>
      <c r="U681" s="52" t="n">
        <v>126</v>
      </c>
      <c r="V681" s="52" t="n"/>
      <c r="W681" s="52" t="n">
        <v>407</v>
      </c>
      <c r="X681" s="52" t="n">
        <v>684</v>
      </c>
      <c r="Y681" s="52" t="n">
        <v>67</v>
      </c>
    </row>
    <row r="682">
      <c r="A682" s="78" t="n">
        <v>46149</v>
      </c>
      <c r="B682" s="45" t="inlineStr">
        <is>
          <t>天籁·鸿蒙座舱</t>
        </is>
      </c>
      <c r="C682" s="52" t="n">
        <v>275</v>
      </c>
      <c r="D682" s="52" t="n">
        <v>287</v>
      </c>
      <c r="E682" s="52" t="n">
        <v>224</v>
      </c>
      <c r="F682" s="52" t="n">
        <v>507</v>
      </c>
      <c r="G682" s="52" t="n">
        <v>302</v>
      </c>
      <c r="H682" s="52" t="n">
        <v>371</v>
      </c>
      <c r="I682" s="52" t="n">
        <v>221</v>
      </c>
      <c r="J682" s="52" t="n">
        <v>80</v>
      </c>
      <c r="K682" s="52" t="n">
        <v>258</v>
      </c>
      <c r="L682" s="52" t="n">
        <v>108</v>
      </c>
      <c r="M682" s="46">
        <f>N682-SUM(C682:L682)</f>
        <v/>
      </c>
      <c r="N682" s="47" t="n">
        <v>3027</v>
      </c>
      <c r="O682" s="52" t="n">
        <v>62</v>
      </c>
      <c r="P682" s="52" t="n">
        <v>0</v>
      </c>
      <c r="Q682" s="52" t="n">
        <v>782</v>
      </c>
      <c r="R682" s="52" t="n">
        <v>203</v>
      </c>
      <c r="S682" s="52" t="n">
        <v>284</v>
      </c>
      <c r="T682" s="52" t="n">
        <v>412</v>
      </c>
      <c r="U682" s="52" t="n">
        <v>126</v>
      </c>
      <c r="V682" s="52" t="n"/>
      <c r="W682" s="52" t="n">
        <v>407</v>
      </c>
      <c r="X682" s="52" t="n">
        <v>684</v>
      </c>
      <c r="Y682" s="52" t="n">
        <v>67</v>
      </c>
    </row>
    <row r="683">
      <c r="A683" s="78" t="n">
        <v>46150</v>
      </c>
      <c r="B683" s="45" t="inlineStr">
        <is>
          <t>天籁·鸿蒙座舱</t>
        </is>
      </c>
      <c r="C683" s="52" t="n">
        <v>275</v>
      </c>
      <c r="D683" s="52" t="n">
        <v>287</v>
      </c>
      <c r="E683" s="52" t="n">
        <v>224</v>
      </c>
      <c r="F683" s="52" t="n">
        <v>507</v>
      </c>
      <c r="G683" s="52" t="n">
        <v>302</v>
      </c>
      <c r="H683" s="52" t="n">
        <v>371</v>
      </c>
      <c r="I683" s="52" t="n">
        <v>221</v>
      </c>
      <c r="J683" s="52" t="n">
        <v>80</v>
      </c>
      <c r="K683" s="52" t="n">
        <v>258</v>
      </c>
      <c r="L683" s="52" t="n">
        <v>108</v>
      </c>
      <c r="M683" s="46">
        <f>N683-SUM(C683:L683)</f>
        <v/>
      </c>
      <c r="N683" s="47" t="n">
        <v>3027</v>
      </c>
      <c r="O683" s="52" t="n">
        <v>62</v>
      </c>
      <c r="P683" s="52" t="n">
        <v>0</v>
      </c>
      <c r="Q683" s="52" t="n">
        <v>782</v>
      </c>
      <c r="R683" s="52" t="n">
        <v>203</v>
      </c>
      <c r="S683" s="52" t="n">
        <v>284</v>
      </c>
      <c r="T683" s="52" t="n">
        <v>412</v>
      </c>
      <c r="U683" s="52" t="n">
        <v>126</v>
      </c>
      <c r="V683" s="52" t="n"/>
      <c r="W683" s="52" t="n">
        <v>407</v>
      </c>
      <c r="X683" s="52" t="n">
        <v>684</v>
      </c>
      <c r="Y683" s="52" t="n">
        <v>67</v>
      </c>
    </row>
    <row r="684">
      <c r="A684" s="78" t="n">
        <v>46151</v>
      </c>
      <c r="B684" s="45" t="inlineStr">
        <is>
          <t>天籁·鸿蒙座舱</t>
        </is>
      </c>
      <c r="C684" s="52" t="n">
        <v>297</v>
      </c>
      <c r="D684" s="52" t="n">
        <v>310</v>
      </c>
      <c r="E684" s="52" t="n">
        <v>242</v>
      </c>
      <c r="F684" s="52" t="n">
        <v>548</v>
      </c>
      <c r="G684" s="52" t="n">
        <v>326</v>
      </c>
      <c r="H684" s="52" t="n">
        <v>401</v>
      </c>
      <c r="I684" s="52" t="n">
        <v>239</v>
      </c>
      <c r="J684" s="52" t="n">
        <v>86</v>
      </c>
      <c r="K684" s="52" t="n">
        <v>278</v>
      </c>
      <c r="L684" s="52" t="n">
        <v>117</v>
      </c>
      <c r="M684" s="46">
        <f>N684-SUM(C684:L684)</f>
        <v/>
      </c>
      <c r="N684" s="47" t="n">
        <v>3270</v>
      </c>
      <c r="O684" s="52" t="n">
        <v>67</v>
      </c>
      <c r="P684" s="52" t="n">
        <v>0</v>
      </c>
      <c r="Q684" s="52" t="n">
        <v>845</v>
      </c>
      <c r="R684" s="52" t="n">
        <v>219</v>
      </c>
      <c r="S684" s="52" t="n">
        <v>307</v>
      </c>
      <c r="T684" s="52" t="n">
        <v>445</v>
      </c>
      <c r="U684" s="52" t="n">
        <v>136</v>
      </c>
      <c r="V684" s="52" t="n"/>
      <c r="W684" s="52" t="n">
        <v>440</v>
      </c>
      <c r="X684" s="52" t="n">
        <v>739</v>
      </c>
      <c r="Y684" s="52" t="n">
        <v>72</v>
      </c>
    </row>
    <row r="685">
      <c r="A685" s="78" t="n">
        <v>46152</v>
      </c>
      <c r="B685" s="45" t="inlineStr">
        <is>
          <t>天籁·鸿蒙座舱</t>
        </is>
      </c>
      <c r="C685" s="52" t="n">
        <v>297</v>
      </c>
      <c r="D685" s="52" t="n">
        <v>310</v>
      </c>
      <c r="E685" s="52" t="n">
        <v>242</v>
      </c>
      <c r="F685" s="52" t="n">
        <v>548</v>
      </c>
      <c r="G685" s="52" t="n">
        <v>326</v>
      </c>
      <c r="H685" s="52" t="n">
        <v>401</v>
      </c>
      <c r="I685" s="52" t="n">
        <v>239</v>
      </c>
      <c r="J685" s="52" t="n">
        <v>86</v>
      </c>
      <c r="K685" s="52" t="n">
        <v>278</v>
      </c>
      <c r="L685" s="52" t="n">
        <v>117</v>
      </c>
      <c r="M685" s="46">
        <f>N685-SUM(C685:L685)</f>
        <v/>
      </c>
      <c r="N685" s="47" t="n">
        <v>3270</v>
      </c>
      <c r="O685" s="52" t="n">
        <v>67</v>
      </c>
      <c r="P685" s="52" t="n">
        <v>0</v>
      </c>
      <c r="Q685" s="52" t="n">
        <v>845</v>
      </c>
      <c r="R685" s="52" t="n">
        <v>219</v>
      </c>
      <c r="S685" s="52" t="n">
        <v>307</v>
      </c>
      <c r="T685" s="52" t="n">
        <v>445</v>
      </c>
      <c r="U685" s="52" t="n">
        <v>136</v>
      </c>
      <c r="V685" s="52" t="n"/>
      <c r="W685" s="52" t="n">
        <v>440</v>
      </c>
      <c r="X685" s="52" t="n">
        <v>739</v>
      </c>
      <c r="Y685" s="52" t="n">
        <v>72</v>
      </c>
    </row>
    <row r="686">
      <c r="A686" s="78" t="n">
        <v>46153</v>
      </c>
      <c r="B686" s="45" t="inlineStr">
        <is>
          <t>天籁·鸿蒙座舱</t>
        </is>
      </c>
      <c r="C686" s="52" t="n">
        <v>229</v>
      </c>
      <c r="D686" s="52" t="n">
        <v>239</v>
      </c>
      <c r="E686" s="52" t="n">
        <v>186</v>
      </c>
      <c r="F686" s="52" t="n">
        <v>421</v>
      </c>
      <c r="G686" s="52" t="n">
        <v>250</v>
      </c>
      <c r="H686" s="52" t="n">
        <v>308</v>
      </c>
      <c r="I686" s="52" t="n">
        <v>184</v>
      </c>
      <c r="J686" s="52" t="n">
        <v>66</v>
      </c>
      <c r="K686" s="52" t="n">
        <v>214</v>
      </c>
      <c r="L686" s="52" t="n">
        <v>90</v>
      </c>
      <c r="M686" s="46">
        <f>N686-SUM(C686:L686)</f>
        <v/>
      </c>
      <c r="N686" s="47" t="n">
        <v>2514</v>
      </c>
      <c r="O686" s="52" t="n">
        <v>51</v>
      </c>
      <c r="P686" s="52" t="n">
        <v>1</v>
      </c>
      <c r="Q686" s="52" t="n">
        <v>650</v>
      </c>
      <c r="R686" s="52" t="n">
        <v>168</v>
      </c>
      <c r="S686" s="52" t="n">
        <v>236</v>
      </c>
      <c r="T686" s="52" t="n">
        <v>342</v>
      </c>
      <c r="U686" s="52" t="n">
        <v>105</v>
      </c>
      <c r="V686" s="52" t="n"/>
      <c r="W686" s="52" t="n">
        <v>338</v>
      </c>
      <c r="X686" s="52" t="n">
        <v>568</v>
      </c>
      <c r="Y686" s="52" t="n">
        <v>55</v>
      </c>
    </row>
    <row r="687">
      <c r="A687" s="78" t="n">
        <v>46154</v>
      </c>
      <c r="B687" s="45" t="inlineStr">
        <is>
          <t>天籁·鸿蒙座舱</t>
        </is>
      </c>
      <c r="C687" s="52" t="n">
        <v>229</v>
      </c>
      <c r="D687" s="52" t="n">
        <v>239</v>
      </c>
      <c r="E687" s="52" t="n">
        <v>186</v>
      </c>
      <c r="F687" s="52" t="n">
        <v>421</v>
      </c>
      <c r="G687" s="52" t="n">
        <v>250</v>
      </c>
      <c r="H687" s="52" t="n">
        <v>308</v>
      </c>
      <c r="I687" s="52" t="n">
        <v>184</v>
      </c>
      <c r="J687" s="52" t="n">
        <v>66</v>
      </c>
      <c r="K687" s="52" t="n">
        <v>214</v>
      </c>
      <c r="L687" s="52" t="n">
        <v>90</v>
      </c>
      <c r="M687" s="46">
        <f>N687-SUM(C687:L687)</f>
        <v/>
      </c>
      <c r="N687" s="47" t="n">
        <v>2514</v>
      </c>
      <c r="O687" s="52" t="n">
        <v>51</v>
      </c>
      <c r="P687" s="52" t="n">
        <v>1</v>
      </c>
      <c r="Q687" s="52" t="n">
        <v>650</v>
      </c>
      <c r="R687" s="52" t="n">
        <v>168</v>
      </c>
      <c r="S687" s="52" t="n">
        <v>236</v>
      </c>
      <c r="T687" s="52" t="n">
        <v>342</v>
      </c>
      <c r="U687" s="52" t="n">
        <v>105</v>
      </c>
      <c r="V687" s="52" t="n"/>
      <c r="W687" s="52" t="n">
        <v>338</v>
      </c>
      <c r="X687" s="52" t="n">
        <v>568</v>
      </c>
      <c r="Y687" s="52" t="n">
        <v>55</v>
      </c>
    </row>
    <row r="688">
      <c r="A688" s="78" t="n">
        <v>46155</v>
      </c>
      <c r="B688" s="45" t="inlineStr">
        <is>
          <t>天籁·鸿蒙座舱</t>
        </is>
      </c>
      <c r="C688" s="52" t="n">
        <v>229</v>
      </c>
      <c r="D688" s="52" t="n">
        <v>239</v>
      </c>
      <c r="E688" s="52" t="n">
        <v>186</v>
      </c>
      <c r="F688" s="52" t="n">
        <v>421</v>
      </c>
      <c r="G688" s="52" t="n">
        <v>250</v>
      </c>
      <c r="H688" s="52" t="n">
        <v>308</v>
      </c>
      <c r="I688" s="52" t="n">
        <v>184</v>
      </c>
      <c r="J688" s="52" t="n">
        <v>66</v>
      </c>
      <c r="K688" s="52" t="n">
        <v>214</v>
      </c>
      <c r="L688" s="52" t="n">
        <v>90</v>
      </c>
      <c r="M688" s="46">
        <f>N688-SUM(C688:L688)</f>
        <v/>
      </c>
      <c r="N688" s="47" t="n">
        <v>2514</v>
      </c>
      <c r="O688" s="52" t="n">
        <v>51</v>
      </c>
      <c r="P688" s="52" t="n">
        <v>0</v>
      </c>
      <c r="Q688" s="52" t="n">
        <v>650</v>
      </c>
      <c r="R688" s="52" t="n">
        <v>168</v>
      </c>
      <c r="S688" s="52" t="n">
        <v>236</v>
      </c>
      <c r="T688" s="52" t="n">
        <v>342</v>
      </c>
      <c r="U688" s="52" t="n">
        <v>106</v>
      </c>
      <c r="V688" s="52" t="n"/>
      <c r="W688" s="52" t="n">
        <v>338</v>
      </c>
      <c r="X688" s="52" t="n">
        <v>568</v>
      </c>
      <c r="Y688" s="52" t="n">
        <v>55</v>
      </c>
    </row>
    <row r="689">
      <c r="A689" s="78" t="n">
        <v>46156</v>
      </c>
      <c r="B689" s="45" t="inlineStr">
        <is>
          <t>天籁·鸿蒙座舱</t>
        </is>
      </c>
      <c r="C689" s="52" t="n">
        <v>226</v>
      </c>
      <c r="D689" s="52" t="n">
        <v>236</v>
      </c>
      <c r="E689" s="52" t="n">
        <v>184</v>
      </c>
      <c r="F689" s="52" t="n">
        <v>417</v>
      </c>
      <c r="G689" s="52" t="n">
        <v>248</v>
      </c>
      <c r="H689" s="52" t="n">
        <v>305</v>
      </c>
      <c r="I689" s="52" t="n">
        <v>182</v>
      </c>
      <c r="J689" s="52" t="n">
        <v>65</v>
      </c>
      <c r="K689" s="52" t="n">
        <v>212</v>
      </c>
      <c r="L689" s="52" t="n">
        <v>89</v>
      </c>
      <c r="M689" s="46">
        <f>N689-SUM(C689:L689)</f>
        <v/>
      </c>
      <c r="N689" s="47" t="n">
        <v>2486</v>
      </c>
      <c r="O689" s="52" t="n">
        <v>51</v>
      </c>
      <c r="P689" s="52" t="n">
        <v>0</v>
      </c>
      <c r="Q689" s="52" t="n">
        <v>642</v>
      </c>
      <c r="R689" s="52" t="n">
        <v>166</v>
      </c>
      <c r="S689" s="52" t="n">
        <v>234</v>
      </c>
      <c r="T689" s="52" t="n">
        <v>339</v>
      </c>
      <c r="U689" s="52" t="n">
        <v>103</v>
      </c>
      <c r="V689" s="52" t="n"/>
      <c r="W689" s="52" t="n">
        <v>334</v>
      </c>
      <c r="X689" s="52" t="n">
        <v>562</v>
      </c>
      <c r="Y689" s="52" t="n">
        <v>55</v>
      </c>
    </row>
    <row r="690">
      <c r="A690" s="78" t="n">
        <v>46157</v>
      </c>
      <c r="B690" s="45" t="inlineStr">
        <is>
          <t>天籁·鸿蒙座舱</t>
        </is>
      </c>
      <c r="C690" s="52" t="n">
        <v>226</v>
      </c>
      <c r="D690" s="52" t="n">
        <v>236</v>
      </c>
      <c r="E690" s="52" t="n">
        <v>184</v>
      </c>
      <c r="F690" s="52" t="n">
        <v>417</v>
      </c>
      <c r="G690" s="52" t="n">
        <v>248</v>
      </c>
      <c r="H690" s="52" t="n">
        <v>305</v>
      </c>
      <c r="I690" s="52" t="n">
        <v>182</v>
      </c>
      <c r="J690" s="52" t="n">
        <v>65</v>
      </c>
      <c r="K690" s="52" t="n">
        <v>212</v>
      </c>
      <c r="L690" s="52" t="n">
        <v>89</v>
      </c>
      <c r="M690" s="46">
        <f>N690-SUM(C690:L690)</f>
        <v/>
      </c>
      <c r="N690" s="47" t="n">
        <v>2486</v>
      </c>
      <c r="O690" s="52" t="n">
        <v>51</v>
      </c>
      <c r="P690" s="52" t="n">
        <v>0</v>
      </c>
      <c r="Q690" s="52" t="n">
        <v>642</v>
      </c>
      <c r="R690" s="52" t="n">
        <v>166</v>
      </c>
      <c r="S690" s="52" t="n">
        <v>234</v>
      </c>
      <c r="T690" s="52" t="n">
        <v>339</v>
      </c>
      <c r="U690" s="52" t="n">
        <v>103</v>
      </c>
      <c r="V690" s="52" t="n"/>
      <c r="W690" s="52" t="n">
        <v>334</v>
      </c>
      <c r="X690" s="52" t="n">
        <v>562</v>
      </c>
      <c r="Y690" s="52" t="n">
        <v>55</v>
      </c>
    </row>
    <row r="691">
      <c r="A691" s="78" t="n">
        <v>46158</v>
      </c>
      <c r="B691" s="45" t="inlineStr">
        <is>
          <t>天籁·鸿蒙座舱</t>
        </is>
      </c>
      <c r="C691" s="52" t="n">
        <v>248</v>
      </c>
      <c r="D691" s="52" t="n">
        <v>259</v>
      </c>
      <c r="E691" s="52" t="n">
        <v>202</v>
      </c>
      <c r="F691" s="52" t="n">
        <v>457</v>
      </c>
      <c r="G691" s="52" t="n">
        <v>272</v>
      </c>
      <c r="H691" s="52" t="n">
        <v>335</v>
      </c>
      <c r="I691" s="52" t="n">
        <v>200</v>
      </c>
      <c r="J691" s="52" t="n">
        <v>72</v>
      </c>
      <c r="K691" s="52" t="n">
        <v>232</v>
      </c>
      <c r="L691" s="52" t="n">
        <v>97</v>
      </c>
      <c r="M691" s="46">
        <f>N691-SUM(C691:L691)</f>
        <v/>
      </c>
      <c r="N691" s="47" t="n">
        <v>2730</v>
      </c>
      <c r="O691" s="52" t="n">
        <v>56</v>
      </c>
      <c r="P691" s="52" t="n">
        <v>0</v>
      </c>
      <c r="Q691" s="52" t="n">
        <v>704</v>
      </c>
      <c r="R691" s="52" t="n">
        <v>183</v>
      </c>
      <c r="S691" s="52" t="n">
        <v>257</v>
      </c>
      <c r="T691" s="52" t="n">
        <v>372</v>
      </c>
      <c r="U691" s="52" t="n">
        <v>114</v>
      </c>
      <c r="V691" s="52" t="n"/>
      <c r="W691" s="52" t="n">
        <v>367</v>
      </c>
      <c r="X691" s="52" t="n">
        <v>617</v>
      </c>
      <c r="Y691" s="52" t="n">
        <v>60</v>
      </c>
    </row>
    <row r="692">
      <c r="A692" s="78" t="n">
        <v>46159</v>
      </c>
      <c r="B692" s="45" t="inlineStr">
        <is>
          <t>天籁·鸿蒙座舱</t>
        </is>
      </c>
      <c r="C692" s="52" t="n">
        <v>248</v>
      </c>
      <c r="D692" s="52" t="n">
        <v>259</v>
      </c>
      <c r="E692" s="52" t="n">
        <v>202</v>
      </c>
      <c r="F692" s="52" t="n">
        <v>457</v>
      </c>
      <c r="G692" s="52" t="n">
        <v>272</v>
      </c>
      <c r="H692" s="52" t="n">
        <v>335</v>
      </c>
      <c r="I692" s="52" t="n">
        <v>200</v>
      </c>
      <c r="J692" s="52" t="n">
        <v>72</v>
      </c>
      <c r="K692" s="52" t="n">
        <v>232</v>
      </c>
      <c r="L692" s="52" t="n">
        <v>97</v>
      </c>
      <c r="M692" s="46">
        <f>N692-SUM(C692:L692)</f>
        <v/>
      </c>
      <c r="N692" s="47" t="n">
        <v>2730</v>
      </c>
      <c r="O692" s="52" t="n">
        <v>56</v>
      </c>
      <c r="P692" s="52" t="n">
        <v>0</v>
      </c>
      <c r="Q692" s="52" t="n">
        <v>704</v>
      </c>
      <c r="R692" s="52" t="n">
        <v>183</v>
      </c>
      <c r="S692" s="52" t="n">
        <v>257</v>
      </c>
      <c r="T692" s="52" t="n">
        <v>372</v>
      </c>
      <c r="U692" s="52" t="n">
        <v>114</v>
      </c>
      <c r="V692" s="52" t="n"/>
      <c r="W692" s="52" t="n">
        <v>367</v>
      </c>
      <c r="X692" s="52" t="n">
        <v>617</v>
      </c>
      <c r="Y692" s="52" t="n">
        <v>60</v>
      </c>
    </row>
    <row r="693">
      <c r="A693" s="78" t="n">
        <v>46160</v>
      </c>
      <c r="B693" s="45" t="inlineStr">
        <is>
          <t>天籁·鸿蒙座舱</t>
        </is>
      </c>
      <c r="C693" s="52" t="n">
        <v>226</v>
      </c>
      <c r="D693" s="52" t="n">
        <v>236</v>
      </c>
      <c r="E693" s="52" t="n">
        <v>184</v>
      </c>
      <c r="F693" s="52" t="n">
        <v>417</v>
      </c>
      <c r="G693" s="52" t="n">
        <v>248</v>
      </c>
      <c r="H693" s="52" t="n">
        <v>305</v>
      </c>
      <c r="I693" s="52" t="n">
        <v>182</v>
      </c>
      <c r="J693" s="52" t="n">
        <v>65</v>
      </c>
      <c r="K693" s="52" t="n">
        <v>212</v>
      </c>
      <c r="L693" s="52" t="n">
        <v>89</v>
      </c>
      <c r="M693" s="46">
        <f>N693-SUM(C693:L693)</f>
        <v/>
      </c>
      <c r="N693" s="47" t="n">
        <v>2486</v>
      </c>
      <c r="O693" s="52" t="n">
        <v>51</v>
      </c>
      <c r="P693" s="52" t="n">
        <v>0</v>
      </c>
      <c r="Q693" s="52" t="n">
        <v>642</v>
      </c>
      <c r="R693" s="52" t="n">
        <v>166</v>
      </c>
      <c r="S693" s="52" t="n">
        <v>234</v>
      </c>
      <c r="T693" s="52" t="n">
        <v>339</v>
      </c>
      <c r="U693" s="52" t="n">
        <v>103</v>
      </c>
      <c r="V693" s="52" t="n"/>
      <c r="W693" s="52" t="n">
        <v>334</v>
      </c>
      <c r="X693" s="52" t="n">
        <v>562</v>
      </c>
      <c r="Y693" s="52" t="n">
        <v>55</v>
      </c>
    </row>
    <row r="694">
      <c r="A694" s="78" t="n">
        <v>46161</v>
      </c>
      <c r="B694" s="45" t="inlineStr">
        <is>
          <t>天籁·鸿蒙座舱</t>
        </is>
      </c>
      <c r="C694" s="52" t="n">
        <v>226</v>
      </c>
      <c r="D694" s="52" t="n">
        <v>236</v>
      </c>
      <c r="E694" s="52" t="n">
        <v>184</v>
      </c>
      <c r="F694" s="52" t="n">
        <v>417</v>
      </c>
      <c r="G694" s="52" t="n">
        <v>248</v>
      </c>
      <c r="H694" s="52" t="n">
        <v>305</v>
      </c>
      <c r="I694" s="52" t="n">
        <v>182</v>
      </c>
      <c r="J694" s="52" t="n">
        <v>65</v>
      </c>
      <c r="K694" s="52" t="n">
        <v>212</v>
      </c>
      <c r="L694" s="52" t="n">
        <v>89</v>
      </c>
      <c r="M694" s="46">
        <f>N694-SUM(C694:L694)</f>
        <v/>
      </c>
      <c r="N694" s="47" t="n">
        <v>2486</v>
      </c>
      <c r="O694" s="52" t="n">
        <v>51</v>
      </c>
      <c r="P694" s="52" t="n">
        <v>0</v>
      </c>
      <c r="Q694" s="52" t="n">
        <v>642</v>
      </c>
      <c r="R694" s="52" t="n">
        <v>166</v>
      </c>
      <c r="S694" s="52" t="n">
        <v>234</v>
      </c>
      <c r="T694" s="52" t="n">
        <v>339</v>
      </c>
      <c r="U694" s="52" t="n">
        <v>103</v>
      </c>
      <c r="V694" s="52" t="n"/>
      <c r="W694" s="52" t="n">
        <v>334</v>
      </c>
      <c r="X694" s="52" t="n">
        <v>562</v>
      </c>
      <c r="Y694" s="52" t="n">
        <v>55</v>
      </c>
    </row>
    <row r="695">
      <c r="A695" s="78" t="n">
        <v>46162</v>
      </c>
      <c r="B695" s="45" t="inlineStr">
        <is>
          <t>天籁·鸿蒙座舱</t>
        </is>
      </c>
      <c r="C695" s="52" t="n">
        <v>226</v>
      </c>
      <c r="D695" s="52" t="n">
        <v>236</v>
      </c>
      <c r="E695" s="52" t="n">
        <v>184</v>
      </c>
      <c r="F695" s="52" t="n">
        <v>417</v>
      </c>
      <c r="G695" s="52" t="n">
        <v>248</v>
      </c>
      <c r="H695" s="52" t="n">
        <v>305</v>
      </c>
      <c r="I695" s="52" t="n">
        <v>182</v>
      </c>
      <c r="J695" s="52" t="n">
        <v>65</v>
      </c>
      <c r="K695" s="52" t="n">
        <v>212</v>
      </c>
      <c r="L695" s="52" t="n">
        <v>89</v>
      </c>
      <c r="M695" s="46">
        <f>N695-SUM(C695:L695)</f>
        <v/>
      </c>
      <c r="N695" s="47" t="n">
        <v>2486</v>
      </c>
      <c r="O695" s="52" t="n">
        <v>51</v>
      </c>
      <c r="P695" s="52" t="n">
        <v>0</v>
      </c>
      <c r="Q695" s="52" t="n">
        <v>642</v>
      </c>
      <c r="R695" s="52" t="n">
        <v>166</v>
      </c>
      <c r="S695" s="52" t="n">
        <v>234</v>
      </c>
      <c r="T695" s="52" t="n">
        <v>339</v>
      </c>
      <c r="U695" s="52" t="n">
        <v>103</v>
      </c>
      <c r="V695" s="52" t="n"/>
      <c r="W695" s="52" t="n">
        <v>334</v>
      </c>
      <c r="X695" s="52" t="n">
        <v>562</v>
      </c>
      <c r="Y695" s="52" t="n">
        <v>55</v>
      </c>
    </row>
    <row r="696">
      <c r="A696" s="78" t="n">
        <v>46163</v>
      </c>
      <c r="B696" s="45" t="inlineStr">
        <is>
          <t>天籁·鸿蒙座舱</t>
        </is>
      </c>
      <c r="C696" s="52" t="n">
        <v>226</v>
      </c>
      <c r="D696" s="52" t="n">
        <v>236</v>
      </c>
      <c r="E696" s="52" t="n">
        <v>184</v>
      </c>
      <c r="F696" s="52" t="n">
        <v>417</v>
      </c>
      <c r="G696" s="52" t="n">
        <v>248</v>
      </c>
      <c r="H696" s="52" t="n">
        <v>305</v>
      </c>
      <c r="I696" s="52" t="n">
        <v>182</v>
      </c>
      <c r="J696" s="52" t="n">
        <v>65</v>
      </c>
      <c r="K696" s="52" t="n">
        <v>212</v>
      </c>
      <c r="L696" s="52" t="n">
        <v>89</v>
      </c>
      <c r="M696" s="46">
        <f>N696-SUM(C696:L696)</f>
        <v/>
      </c>
      <c r="N696" s="47" t="n">
        <v>2486</v>
      </c>
      <c r="O696" s="52" t="n">
        <v>51</v>
      </c>
      <c r="P696" s="52" t="n">
        <v>0</v>
      </c>
      <c r="Q696" s="52" t="n">
        <v>642</v>
      </c>
      <c r="R696" s="52" t="n">
        <v>166</v>
      </c>
      <c r="S696" s="52" t="n">
        <v>234</v>
      </c>
      <c r="T696" s="52" t="n">
        <v>339</v>
      </c>
      <c r="U696" s="52" t="n">
        <v>103</v>
      </c>
      <c r="V696" s="52" t="n"/>
      <c r="W696" s="52" t="n">
        <v>334</v>
      </c>
      <c r="X696" s="52" t="n">
        <v>562</v>
      </c>
      <c r="Y696" s="52" t="n">
        <v>55</v>
      </c>
    </row>
    <row r="697">
      <c r="A697" s="78" t="n">
        <v>46164</v>
      </c>
      <c r="B697" s="45" t="inlineStr">
        <is>
          <t>天籁·鸿蒙座舱</t>
        </is>
      </c>
      <c r="C697" s="52" t="n">
        <v>226</v>
      </c>
      <c r="D697" s="52" t="n">
        <v>236</v>
      </c>
      <c r="E697" s="52" t="n">
        <v>184</v>
      </c>
      <c r="F697" s="52" t="n">
        <v>417</v>
      </c>
      <c r="G697" s="52" t="n">
        <v>248</v>
      </c>
      <c r="H697" s="52" t="n">
        <v>305</v>
      </c>
      <c r="I697" s="52" t="n">
        <v>182</v>
      </c>
      <c r="J697" s="52" t="n">
        <v>65</v>
      </c>
      <c r="K697" s="52" t="n">
        <v>212</v>
      </c>
      <c r="L697" s="52" t="n">
        <v>89</v>
      </c>
      <c r="M697" s="46">
        <f>N697-SUM(C697:L697)</f>
        <v/>
      </c>
      <c r="N697" s="47" t="n">
        <v>2486</v>
      </c>
      <c r="O697" s="52" t="n">
        <v>51</v>
      </c>
      <c r="P697" s="52" t="n">
        <v>0</v>
      </c>
      <c r="Q697" s="52" t="n">
        <v>642</v>
      </c>
      <c r="R697" s="52" t="n">
        <v>166</v>
      </c>
      <c r="S697" s="52" t="n">
        <v>234</v>
      </c>
      <c r="T697" s="52" t="n">
        <v>339</v>
      </c>
      <c r="U697" s="52" t="n">
        <v>103</v>
      </c>
      <c r="V697" s="52" t="n"/>
      <c r="W697" s="52" t="n">
        <v>334</v>
      </c>
      <c r="X697" s="52" t="n">
        <v>562</v>
      </c>
      <c r="Y697" s="52" t="n">
        <v>55</v>
      </c>
    </row>
    <row r="698">
      <c r="A698" s="78" t="n">
        <v>46165</v>
      </c>
      <c r="B698" s="45" t="inlineStr">
        <is>
          <t>天籁·鸿蒙座舱</t>
        </is>
      </c>
      <c r="C698" s="52" t="n">
        <v>248</v>
      </c>
      <c r="D698" s="52" t="n">
        <v>259</v>
      </c>
      <c r="E698" s="52" t="n">
        <v>202</v>
      </c>
      <c r="F698" s="52" t="n">
        <v>457</v>
      </c>
      <c r="G698" s="52" t="n">
        <v>272</v>
      </c>
      <c r="H698" s="52" t="n">
        <v>335</v>
      </c>
      <c r="I698" s="52" t="n">
        <v>200</v>
      </c>
      <c r="J698" s="52" t="n">
        <v>72</v>
      </c>
      <c r="K698" s="52" t="n">
        <v>232</v>
      </c>
      <c r="L698" s="52" t="n">
        <v>97</v>
      </c>
      <c r="M698" s="46">
        <f>N698-SUM(C698:L698)</f>
        <v/>
      </c>
      <c r="N698" s="47" t="n">
        <v>2730</v>
      </c>
      <c r="O698" s="52" t="n">
        <v>56</v>
      </c>
      <c r="P698" s="52" t="n">
        <v>0</v>
      </c>
      <c r="Q698" s="52" t="n">
        <v>704</v>
      </c>
      <c r="R698" s="52" t="n">
        <v>183</v>
      </c>
      <c r="S698" s="52" t="n">
        <v>257</v>
      </c>
      <c r="T698" s="52" t="n">
        <v>372</v>
      </c>
      <c r="U698" s="52" t="n">
        <v>114</v>
      </c>
      <c r="V698" s="52" t="n"/>
      <c r="W698" s="52" t="n">
        <v>367</v>
      </c>
      <c r="X698" s="52" t="n">
        <v>617</v>
      </c>
      <c r="Y698" s="52" t="n">
        <v>60</v>
      </c>
    </row>
    <row r="699">
      <c r="A699" s="78" t="n">
        <v>46166</v>
      </c>
      <c r="B699" s="45" t="inlineStr">
        <is>
          <t>天籁·鸿蒙座舱</t>
        </is>
      </c>
      <c r="C699" s="52" t="n">
        <v>248</v>
      </c>
      <c r="D699" s="52" t="n">
        <v>259</v>
      </c>
      <c r="E699" s="52" t="n">
        <v>202</v>
      </c>
      <c r="F699" s="52" t="n">
        <v>457</v>
      </c>
      <c r="G699" s="52" t="n">
        <v>272</v>
      </c>
      <c r="H699" s="52" t="n">
        <v>335</v>
      </c>
      <c r="I699" s="52" t="n">
        <v>200</v>
      </c>
      <c r="J699" s="52" t="n">
        <v>72</v>
      </c>
      <c r="K699" s="52" t="n">
        <v>232</v>
      </c>
      <c r="L699" s="52" t="n">
        <v>97</v>
      </c>
      <c r="M699" s="46">
        <f>N699-SUM(C699:L699)</f>
        <v/>
      </c>
      <c r="N699" s="47" t="n">
        <v>2730</v>
      </c>
      <c r="O699" s="52" t="n">
        <v>56</v>
      </c>
      <c r="P699" s="52" t="n">
        <v>0</v>
      </c>
      <c r="Q699" s="52" t="n">
        <v>704</v>
      </c>
      <c r="R699" s="52" t="n">
        <v>183</v>
      </c>
      <c r="S699" s="52" t="n">
        <v>257</v>
      </c>
      <c r="T699" s="52" t="n">
        <v>372</v>
      </c>
      <c r="U699" s="52" t="n">
        <v>114</v>
      </c>
      <c r="V699" s="52" t="n"/>
      <c r="W699" s="52" t="n">
        <v>367</v>
      </c>
      <c r="X699" s="52" t="n">
        <v>617</v>
      </c>
      <c r="Y699" s="52" t="n">
        <v>60</v>
      </c>
    </row>
    <row r="700">
      <c r="A700" s="78" t="n">
        <v>46167</v>
      </c>
      <c r="B700" s="45" t="inlineStr">
        <is>
          <t>天籁·鸿蒙座舱</t>
        </is>
      </c>
      <c r="C700" s="52" t="n">
        <v>273</v>
      </c>
      <c r="D700" s="52" t="n">
        <v>285</v>
      </c>
      <c r="E700" s="52" t="n">
        <v>222</v>
      </c>
      <c r="F700" s="52" t="n">
        <v>503</v>
      </c>
      <c r="G700" s="52" t="n">
        <v>299</v>
      </c>
      <c r="H700" s="52" t="n">
        <v>368</v>
      </c>
      <c r="I700" s="52" t="n">
        <v>219</v>
      </c>
      <c r="J700" s="52" t="n">
        <v>79</v>
      </c>
      <c r="K700" s="52" t="n">
        <v>255</v>
      </c>
      <c r="L700" s="52" t="n">
        <v>107</v>
      </c>
      <c r="M700" s="46">
        <f>N700-SUM(C700:L700)</f>
        <v/>
      </c>
      <c r="N700" s="47" t="n">
        <v>3000</v>
      </c>
      <c r="O700" s="52" t="n">
        <v>61</v>
      </c>
      <c r="P700" s="52" t="n">
        <v>0</v>
      </c>
      <c r="Q700" s="52" t="n">
        <v>775</v>
      </c>
      <c r="R700" s="52" t="n">
        <v>201</v>
      </c>
      <c r="S700" s="52" t="n">
        <v>282</v>
      </c>
      <c r="T700" s="52" t="n">
        <v>409</v>
      </c>
      <c r="U700" s="52" t="n">
        <v>125</v>
      </c>
      <c r="V700" s="52" t="n"/>
      <c r="W700" s="52" t="n">
        <v>403</v>
      </c>
      <c r="X700" s="52" t="n">
        <v>678</v>
      </c>
      <c r="Y700" s="52" t="n">
        <v>66</v>
      </c>
    </row>
    <row r="701">
      <c r="A701" s="78" t="n">
        <v>46168</v>
      </c>
      <c r="B701" s="45" t="inlineStr">
        <is>
          <t>天籁·鸿蒙座舱</t>
        </is>
      </c>
      <c r="C701" s="52" t="n">
        <v>273</v>
      </c>
      <c r="D701" s="52" t="n">
        <v>285</v>
      </c>
      <c r="E701" s="52" t="n">
        <v>222</v>
      </c>
      <c r="F701" s="52" t="n">
        <v>503</v>
      </c>
      <c r="G701" s="52" t="n">
        <v>299</v>
      </c>
      <c r="H701" s="52" t="n">
        <v>368</v>
      </c>
      <c r="I701" s="52" t="n">
        <v>219</v>
      </c>
      <c r="J701" s="52" t="n">
        <v>79</v>
      </c>
      <c r="K701" s="52" t="n">
        <v>255</v>
      </c>
      <c r="L701" s="52" t="n">
        <v>108</v>
      </c>
      <c r="M701" s="46">
        <f>N701-SUM(C701:L701)</f>
        <v/>
      </c>
      <c r="N701" s="47" t="n">
        <v>3000</v>
      </c>
      <c r="O701" s="52" t="n">
        <v>61</v>
      </c>
      <c r="P701" s="52" t="n">
        <v>0</v>
      </c>
      <c r="Q701" s="52" t="n">
        <v>775</v>
      </c>
      <c r="R701" s="52" t="n">
        <v>201</v>
      </c>
      <c r="S701" s="52" t="n">
        <v>282</v>
      </c>
      <c r="T701" s="52" t="n">
        <v>409</v>
      </c>
      <c r="U701" s="52" t="n">
        <v>125</v>
      </c>
      <c r="V701" s="52" t="n"/>
      <c r="W701" s="52" t="n">
        <v>403</v>
      </c>
      <c r="X701" s="52" t="n">
        <v>678</v>
      </c>
      <c r="Y701" s="52" t="n">
        <v>66</v>
      </c>
    </row>
    <row r="702">
      <c r="A702" s="78" t="n">
        <v>46169</v>
      </c>
      <c r="B702" s="45" t="inlineStr">
        <is>
          <t>天籁·鸿蒙座舱</t>
        </is>
      </c>
      <c r="C702" s="52" t="n">
        <v>273</v>
      </c>
      <c r="D702" s="52" t="n">
        <v>285</v>
      </c>
      <c r="E702" s="52" t="n">
        <v>222</v>
      </c>
      <c r="F702" s="52" t="n">
        <v>503</v>
      </c>
      <c r="G702" s="52" t="n">
        <v>299</v>
      </c>
      <c r="H702" s="52" t="n">
        <v>368</v>
      </c>
      <c r="I702" s="52" t="n">
        <v>219</v>
      </c>
      <c r="J702" s="52" t="n">
        <v>79</v>
      </c>
      <c r="K702" s="52" t="n">
        <v>255</v>
      </c>
      <c r="L702" s="52" t="n">
        <v>108</v>
      </c>
      <c r="M702" s="46">
        <f>N702-SUM(C702:L702)</f>
        <v/>
      </c>
      <c r="N702" s="47" t="n">
        <v>3000</v>
      </c>
      <c r="O702" s="52" t="n">
        <v>61</v>
      </c>
      <c r="P702" s="52" t="n">
        <v>0</v>
      </c>
      <c r="Q702" s="52" t="n">
        <v>775</v>
      </c>
      <c r="R702" s="52" t="n">
        <v>201</v>
      </c>
      <c r="S702" s="52" t="n">
        <v>282</v>
      </c>
      <c r="T702" s="52" t="n">
        <v>409</v>
      </c>
      <c r="U702" s="52" t="n">
        <v>125</v>
      </c>
      <c r="V702" s="52" t="n"/>
      <c r="W702" s="52" t="n">
        <v>403</v>
      </c>
      <c r="X702" s="52" t="n">
        <v>678</v>
      </c>
      <c r="Y702" s="52" t="n">
        <v>66</v>
      </c>
    </row>
    <row r="703">
      <c r="A703" s="78" t="n">
        <v>46170</v>
      </c>
      <c r="B703" s="45" t="inlineStr">
        <is>
          <t>天籁·鸿蒙座舱</t>
        </is>
      </c>
      <c r="C703" s="52" t="n">
        <v>273</v>
      </c>
      <c r="D703" s="52" t="n">
        <v>285</v>
      </c>
      <c r="E703" s="52" t="n">
        <v>222</v>
      </c>
      <c r="F703" s="52" t="n">
        <v>503</v>
      </c>
      <c r="G703" s="52" t="n">
        <v>299</v>
      </c>
      <c r="H703" s="52" t="n">
        <v>368</v>
      </c>
      <c r="I703" s="52" t="n">
        <v>219</v>
      </c>
      <c r="J703" s="52" t="n">
        <v>79</v>
      </c>
      <c r="K703" s="52" t="n">
        <v>255</v>
      </c>
      <c r="L703" s="52" t="n">
        <v>108</v>
      </c>
      <c r="M703" s="46">
        <f>N703-SUM(C703:L703)</f>
        <v/>
      </c>
      <c r="N703" s="47" t="n">
        <v>3000</v>
      </c>
      <c r="O703" s="52" t="n">
        <v>61</v>
      </c>
      <c r="P703" s="52" t="n">
        <v>0</v>
      </c>
      <c r="Q703" s="52" t="n">
        <v>775</v>
      </c>
      <c r="R703" s="52" t="n">
        <v>201</v>
      </c>
      <c r="S703" s="52" t="n">
        <v>282</v>
      </c>
      <c r="T703" s="52" t="n">
        <v>409</v>
      </c>
      <c r="U703" s="52" t="n">
        <v>125</v>
      </c>
      <c r="V703" s="52" t="n"/>
      <c r="W703" s="52" t="n">
        <v>403</v>
      </c>
      <c r="X703" s="52" t="n">
        <v>678</v>
      </c>
      <c r="Y703" s="52" t="n">
        <v>66</v>
      </c>
    </row>
    <row r="704">
      <c r="A704" s="78" t="n">
        <v>46171</v>
      </c>
      <c r="B704" s="45" t="inlineStr">
        <is>
          <t>天籁·鸿蒙座舱</t>
        </is>
      </c>
      <c r="C704" s="52" t="n">
        <v>273</v>
      </c>
      <c r="D704" s="52" t="n">
        <v>285</v>
      </c>
      <c r="E704" s="52" t="n">
        <v>222</v>
      </c>
      <c r="F704" s="52" t="n">
        <v>503</v>
      </c>
      <c r="G704" s="52" t="n">
        <v>299</v>
      </c>
      <c r="H704" s="52" t="n">
        <v>368</v>
      </c>
      <c r="I704" s="52" t="n">
        <v>219</v>
      </c>
      <c r="J704" s="52" t="n">
        <v>79</v>
      </c>
      <c r="K704" s="52" t="n">
        <v>255</v>
      </c>
      <c r="L704" s="52" t="n">
        <v>108</v>
      </c>
      <c r="M704" s="46">
        <f>N704-SUM(C704:L704)</f>
        <v/>
      </c>
      <c r="N704" s="47" t="n">
        <v>3000</v>
      </c>
      <c r="O704" s="52" t="n">
        <v>61</v>
      </c>
      <c r="P704" s="52" t="n">
        <v>0</v>
      </c>
      <c r="Q704" s="52" t="n">
        <v>775</v>
      </c>
      <c r="R704" s="52" t="n">
        <v>201</v>
      </c>
      <c r="S704" s="52" t="n">
        <v>282</v>
      </c>
      <c r="T704" s="52" t="n">
        <v>409</v>
      </c>
      <c r="U704" s="52" t="n">
        <v>125</v>
      </c>
      <c r="V704" s="52" t="n"/>
      <c r="W704" s="52" t="n">
        <v>403</v>
      </c>
      <c r="X704" s="52" t="n">
        <v>678</v>
      </c>
      <c r="Y704" s="52" t="n">
        <v>66</v>
      </c>
    </row>
    <row r="705">
      <c r="A705" s="78" t="n">
        <v>46172</v>
      </c>
      <c r="B705" s="45" t="inlineStr">
        <is>
          <t>天籁·鸿蒙座舱</t>
        </is>
      </c>
      <c r="C705" s="52" t="n">
        <v>295</v>
      </c>
      <c r="D705" s="52" t="n">
        <v>308</v>
      </c>
      <c r="E705" s="52" t="n">
        <v>240</v>
      </c>
      <c r="F705" s="52" t="n">
        <v>543</v>
      </c>
      <c r="G705" s="52" t="n">
        <v>323</v>
      </c>
      <c r="H705" s="52" t="n">
        <v>398</v>
      </c>
      <c r="I705" s="52" t="n">
        <v>237</v>
      </c>
      <c r="J705" s="52" t="n">
        <v>85</v>
      </c>
      <c r="K705" s="52" t="n">
        <v>276</v>
      </c>
      <c r="L705" s="52" t="n">
        <v>117</v>
      </c>
      <c r="M705" s="46">
        <f>N705-SUM(C705:L705)</f>
        <v/>
      </c>
      <c r="N705" s="47" t="n">
        <v>3243</v>
      </c>
      <c r="O705" s="52" t="n">
        <v>66</v>
      </c>
      <c r="P705" s="52" t="n">
        <v>0</v>
      </c>
      <c r="Q705" s="52" t="n">
        <v>838</v>
      </c>
      <c r="R705" s="52" t="n">
        <v>217</v>
      </c>
      <c r="S705" s="52" t="n">
        <v>305</v>
      </c>
      <c r="T705" s="52" t="n">
        <v>442</v>
      </c>
      <c r="U705" s="52" t="n">
        <v>135</v>
      </c>
      <c r="V705" s="52" t="n"/>
      <c r="W705" s="52" t="n">
        <v>436</v>
      </c>
      <c r="X705" s="52" t="n">
        <v>733</v>
      </c>
      <c r="Y705" s="52" t="n">
        <v>71</v>
      </c>
    </row>
    <row r="706">
      <c r="A706" s="78" t="n">
        <v>46173</v>
      </c>
      <c r="B706" s="45" t="inlineStr">
        <is>
          <t>天籁·鸿蒙座舱</t>
        </is>
      </c>
      <c r="C706" s="52" t="n">
        <v>295</v>
      </c>
      <c r="D706" s="52" t="n">
        <v>308</v>
      </c>
      <c r="E706" s="52" t="n">
        <v>241</v>
      </c>
      <c r="F706" s="52" t="n">
        <v>544</v>
      </c>
      <c r="G706" s="52" t="n">
        <v>323</v>
      </c>
      <c r="H706" s="52" t="n">
        <v>398</v>
      </c>
      <c r="I706" s="52" t="n">
        <v>237</v>
      </c>
      <c r="J706" s="52" t="n">
        <v>85</v>
      </c>
      <c r="K706" s="52" t="n">
        <v>276</v>
      </c>
      <c r="L706" s="52" t="n">
        <v>117</v>
      </c>
      <c r="M706" s="46">
        <f>N706-SUM(C706:L706)</f>
        <v/>
      </c>
      <c r="N706" s="47" t="n">
        <v>3246</v>
      </c>
      <c r="O706" s="52" t="n">
        <v>66</v>
      </c>
      <c r="P706" s="52" t="n">
        <v>0</v>
      </c>
      <c r="Q706" s="52" t="n">
        <v>839</v>
      </c>
      <c r="R706" s="52" t="n">
        <v>217</v>
      </c>
      <c r="S706" s="52" t="n">
        <v>305</v>
      </c>
      <c r="T706" s="52" t="n">
        <v>442</v>
      </c>
      <c r="U706" s="52" t="n">
        <v>136</v>
      </c>
      <c r="V706" s="52" t="n"/>
      <c r="W706" s="52" t="n">
        <v>437</v>
      </c>
      <c r="X706" s="52" t="n">
        <v>733</v>
      </c>
      <c r="Y706" s="52" t="n">
        <v>71</v>
      </c>
    </row>
    <row r="707">
      <c r="A707" s="78" t="n">
        <v>46174</v>
      </c>
      <c r="B707" s="45" t="inlineStr">
        <is>
          <t>天籁·鸿蒙座舱</t>
        </is>
      </c>
      <c r="C707" s="46" t="n">
        <v>349</v>
      </c>
      <c r="D707" s="46" t="n">
        <v>393</v>
      </c>
      <c r="E707" s="46" t="n">
        <v>356</v>
      </c>
      <c r="F707" s="46" t="n">
        <v>632</v>
      </c>
      <c r="G707" s="46" t="n">
        <v>378</v>
      </c>
      <c r="H707" s="46" t="n">
        <v>428</v>
      </c>
      <c r="I707" s="46" t="n">
        <v>269</v>
      </c>
      <c r="J707" s="46" t="n">
        <v>103</v>
      </c>
      <c r="K707" s="46" t="n">
        <v>346</v>
      </c>
      <c r="L707" s="46" t="n">
        <v>145</v>
      </c>
      <c r="M707" s="46">
        <f>N707-SUM(C707:L707)</f>
        <v/>
      </c>
      <c r="N707" s="47" t="n">
        <v>3861</v>
      </c>
      <c r="O707" s="46" t="n">
        <v>81</v>
      </c>
      <c r="P707" s="46" t="n">
        <v>1</v>
      </c>
      <c r="Q707" s="46" t="n">
        <v>787</v>
      </c>
      <c r="R707" s="46" t="n">
        <v>483</v>
      </c>
      <c r="S707" s="46" t="n">
        <v>387</v>
      </c>
      <c r="T707" s="46" t="n">
        <v>413</v>
      </c>
      <c r="U707" s="46" t="n">
        <v>274</v>
      </c>
      <c r="V707" s="46" t="n"/>
      <c r="W707" s="46" t="n">
        <v>445</v>
      </c>
      <c r="X707" s="46" t="n">
        <v>902</v>
      </c>
      <c r="Y707" s="46" t="n">
        <v>88</v>
      </c>
    </row>
    <row r="708">
      <c r="A708" s="78" t="n">
        <v>46175</v>
      </c>
      <c r="B708" s="45" t="inlineStr">
        <is>
          <t>天籁·鸿蒙座舱</t>
        </is>
      </c>
      <c r="C708" s="46" t="n">
        <v>349</v>
      </c>
      <c r="D708" s="46" t="n">
        <v>394</v>
      </c>
      <c r="E708" s="46" t="n">
        <v>356</v>
      </c>
      <c r="F708" s="46" t="n">
        <v>633</v>
      </c>
      <c r="G708" s="46" t="n">
        <v>379</v>
      </c>
      <c r="H708" s="46" t="n">
        <v>429</v>
      </c>
      <c r="I708" s="46" t="n">
        <v>270</v>
      </c>
      <c r="J708" s="46" t="n">
        <v>103</v>
      </c>
      <c r="K708" s="46" t="n">
        <v>346</v>
      </c>
      <c r="L708" s="46" t="n">
        <v>145</v>
      </c>
      <c r="M708" s="46">
        <f>N708-SUM(C708:L708)</f>
        <v/>
      </c>
      <c r="N708" s="47" t="n">
        <v>3869</v>
      </c>
      <c r="O708" s="46" t="n">
        <v>83</v>
      </c>
      <c r="P708" s="46" t="n">
        <v>1</v>
      </c>
      <c r="Q708" s="46" t="n">
        <v>790</v>
      </c>
      <c r="R708" s="46" t="n">
        <v>483</v>
      </c>
      <c r="S708" s="46" t="n">
        <v>387</v>
      </c>
      <c r="T708" s="46" t="n">
        <v>414</v>
      </c>
      <c r="U708" s="46" t="n">
        <v>280</v>
      </c>
      <c r="V708" s="46" t="n"/>
      <c r="W708" s="46" t="n">
        <v>440</v>
      </c>
      <c r="X708" s="46" t="n">
        <v>902</v>
      </c>
      <c r="Y708" s="46" t="n">
        <v>89</v>
      </c>
    </row>
    <row r="709">
      <c r="A709" s="78" t="n">
        <v>46176</v>
      </c>
      <c r="B709" s="45" t="inlineStr">
        <is>
          <t>天籁·鸿蒙座舱</t>
        </is>
      </c>
      <c r="C709" s="46" t="n">
        <v>349</v>
      </c>
      <c r="D709" s="46" t="n">
        <v>394</v>
      </c>
      <c r="E709" s="46" t="n">
        <v>356</v>
      </c>
      <c r="F709" s="46" t="n">
        <v>633</v>
      </c>
      <c r="G709" s="46" t="n">
        <v>379</v>
      </c>
      <c r="H709" s="46" t="n">
        <v>429</v>
      </c>
      <c r="I709" s="46" t="n">
        <v>270</v>
      </c>
      <c r="J709" s="46" t="n">
        <v>103</v>
      </c>
      <c r="K709" s="46" t="n">
        <v>346</v>
      </c>
      <c r="L709" s="46" t="n">
        <v>145</v>
      </c>
      <c r="M709" s="46">
        <f>N709-SUM(C709:L709)</f>
        <v/>
      </c>
      <c r="N709" s="47" t="n">
        <v>3869</v>
      </c>
      <c r="O709" s="46" t="n">
        <v>83</v>
      </c>
      <c r="P709" s="46" t="n">
        <v>1</v>
      </c>
      <c r="Q709" s="46" t="n">
        <v>790</v>
      </c>
      <c r="R709" s="46" t="n">
        <v>483</v>
      </c>
      <c r="S709" s="46" t="n">
        <v>387</v>
      </c>
      <c r="T709" s="46" t="n">
        <v>414</v>
      </c>
      <c r="U709" s="46" t="n">
        <v>280</v>
      </c>
      <c r="V709" s="46" t="n"/>
      <c r="W709" s="46" t="n">
        <v>440</v>
      </c>
      <c r="X709" s="46" t="n">
        <v>902</v>
      </c>
      <c r="Y709" s="46" t="n">
        <v>89</v>
      </c>
    </row>
    <row r="710">
      <c r="A710" s="78" t="n">
        <v>46177</v>
      </c>
      <c r="B710" s="45" t="inlineStr">
        <is>
          <t>天籁·鸿蒙座舱</t>
        </is>
      </c>
      <c r="C710" s="46" t="n">
        <v>349</v>
      </c>
      <c r="D710" s="46" t="n">
        <v>394</v>
      </c>
      <c r="E710" s="46" t="n">
        <v>356</v>
      </c>
      <c r="F710" s="46" t="n">
        <v>633</v>
      </c>
      <c r="G710" s="46" t="n">
        <v>379</v>
      </c>
      <c r="H710" s="46" t="n">
        <v>429</v>
      </c>
      <c r="I710" s="46" t="n">
        <v>270</v>
      </c>
      <c r="J710" s="46" t="n">
        <v>103</v>
      </c>
      <c r="K710" s="46" t="n">
        <v>346</v>
      </c>
      <c r="L710" s="46" t="n">
        <v>145</v>
      </c>
      <c r="M710" s="46">
        <f>N710-SUM(C710:L710)</f>
        <v/>
      </c>
      <c r="N710" s="47" t="n">
        <v>3869</v>
      </c>
      <c r="O710" s="46" t="n">
        <v>83</v>
      </c>
      <c r="P710" s="46" t="n">
        <v>1</v>
      </c>
      <c r="Q710" s="46" t="n">
        <v>790</v>
      </c>
      <c r="R710" s="46" t="n">
        <v>483</v>
      </c>
      <c r="S710" s="46" t="n">
        <v>387</v>
      </c>
      <c r="T710" s="46" t="n">
        <v>414</v>
      </c>
      <c r="U710" s="46" t="n">
        <v>280</v>
      </c>
      <c r="V710" s="46" t="n"/>
      <c r="W710" s="46" t="n">
        <v>440</v>
      </c>
      <c r="X710" s="46" t="n">
        <v>902</v>
      </c>
      <c r="Y710" s="46" t="n">
        <v>89</v>
      </c>
    </row>
    <row r="711">
      <c r="A711" s="78" t="n">
        <v>46178</v>
      </c>
      <c r="B711" s="45" t="inlineStr">
        <is>
          <t>天籁·鸿蒙座舱</t>
        </is>
      </c>
      <c r="C711" s="46" t="n">
        <v>349</v>
      </c>
      <c r="D711" s="46" t="n">
        <v>394</v>
      </c>
      <c r="E711" s="46" t="n">
        <v>356</v>
      </c>
      <c r="F711" s="46" t="n">
        <v>633</v>
      </c>
      <c r="G711" s="46" t="n">
        <v>379</v>
      </c>
      <c r="H711" s="46" t="n">
        <v>429</v>
      </c>
      <c r="I711" s="46" t="n">
        <v>270</v>
      </c>
      <c r="J711" s="46" t="n">
        <v>103</v>
      </c>
      <c r="K711" s="46" t="n">
        <v>346</v>
      </c>
      <c r="L711" s="46" t="n">
        <v>145</v>
      </c>
      <c r="M711" s="46">
        <f>N711-SUM(C711:L711)</f>
        <v/>
      </c>
      <c r="N711" s="47" t="n">
        <v>3869</v>
      </c>
      <c r="O711" s="46" t="n">
        <v>83</v>
      </c>
      <c r="P711" s="46" t="n">
        <v>1</v>
      </c>
      <c r="Q711" s="46" t="n">
        <v>790</v>
      </c>
      <c r="R711" s="46" t="n">
        <v>483</v>
      </c>
      <c r="S711" s="46" t="n">
        <v>387</v>
      </c>
      <c r="T711" s="46" t="n">
        <v>414</v>
      </c>
      <c r="U711" s="46" t="n">
        <v>280</v>
      </c>
      <c r="V711" s="46" t="n"/>
      <c r="W711" s="46" t="n">
        <v>440</v>
      </c>
      <c r="X711" s="46" t="n">
        <v>902</v>
      </c>
      <c r="Y711" s="46" t="n">
        <v>89</v>
      </c>
    </row>
    <row r="712">
      <c r="A712" s="78" t="n">
        <v>46179</v>
      </c>
      <c r="B712" s="45" t="inlineStr">
        <is>
          <t>天籁·鸿蒙座舱</t>
        </is>
      </c>
      <c r="C712" s="46" t="n">
        <v>437</v>
      </c>
      <c r="D712" s="46" t="n">
        <v>492</v>
      </c>
      <c r="E712" s="46" t="n">
        <v>445</v>
      </c>
      <c r="F712" s="46" t="n">
        <v>791</v>
      </c>
      <c r="G712" s="46" t="n">
        <v>473</v>
      </c>
      <c r="H712" s="46" t="n">
        <v>536</v>
      </c>
      <c r="I712" s="46" t="n">
        <v>337</v>
      </c>
      <c r="J712" s="46" t="n">
        <v>129</v>
      </c>
      <c r="K712" s="46" t="n">
        <v>433</v>
      </c>
      <c r="L712" s="46" t="n">
        <v>181</v>
      </c>
      <c r="M712" s="46">
        <f>N712-SUM(C712:L712)</f>
        <v/>
      </c>
      <c r="N712" s="47" t="n">
        <v>4834</v>
      </c>
      <c r="O712" s="46" t="n">
        <v>104</v>
      </c>
      <c r="P712" s="46" t="n">
        <v>1</v>
      </c>
      <c r="Q712" s="46" t="n">
        <v>987</v>
      </c>
      <c r="R712" s="46" t="n">
        <v>603</v>
      </c>
      <c r="S712" s="46" t="n">
        <v>484</v>
      </c>
      <c r="T712" s="46" t="n">
        <v>517</v>
      </c>
      <c r="U712" s="46" t="n">
        <v>350</v>
      </c>
      <c r="V712" s="46" t="n"/>
      <c r="W712" s="46" t="n">
        <v>550</v>
      </c>
      <c r="X712" s="46" t="n">
        <v>1127</v>
      </c>
      <c r="Y712" s="46" t="n">
        <v>111</v>
      </c>
    </row>
    <row r="713">
      <c r="A713" s="78" t="n">
        <v>46180</v>
      </c>
      <c r="B713" s="45" t="inlineStr">
        <is>
          <t>天籁·鸿蒙座舱</t>
        </is>
      </c>
      <c r="C713" s="46" t="n">
        <v>437</v>
      </c>
      <c r="D713" s="46" t="n">
        <v>492</v>
      </c>
      <c r="E713" s="46" t="n">
        <v>445</v>
      </c>
      <c r="F713" s="46" t="n">
        <v>791</v>
      </c>
      <c r="G713" s="46" t="n">
        <v>473</v>
      </c>
      <c r="H713" s="46" t="n">
        <v>536</v>
      </c>
      <c r="I713" s="46" t="n">
        <v>337</v>
      </c>
      <c r="J713" s="46" t="n">
        <v>129</v>
      </c>
      <c r="K713" s="46" t="n">
        <v>433</v>
      </c>
      <c r="L713" s="46" t="n">
        <v>181</v>
      </c>
      <c r="M713" s="46">
        <f>N713-SUM(C713:L713)</f>
        <v/>
      </c>
      <c r="N713" s="47" t="n">
        <v>4834</v>
      </c>
      <c r="O713" s="46" t="n">
        <v>104</v>
      </c>
      <c r="P713" s="46" t="n">
        <v>1</v>
      </c>
      <c r="Q713" s="46" t="n">
        <v>987</v>
      </c>
      <c r="R713" s="46" t="n">
        <v>603</v>
      </c>
      <c r="S713" s="46" t="n">
        <v>484</v>
      </c>
      <c r="T713" s="46" t="n">
        <v>517</v>
      </c>
      <c r="U713" s="46" t="n">
        <v>350</v>
      </c>
      <c r="V713" s="46" t="n"/>
      <c r="W713" s="46" t="n">
        <v>550</v>
      </c>
      <c r="X713" s="46" t="n">
        <v>1127</v>
      </c>
      <c r="Y713" s="46" t="n">
        <v>111</v>
      </c>
    </row>
    <row r="714">
      <c r="A714" s="78" t="n">
        <v>46181</v>
      </c>
      <c r="B714" s="45" t="inlineStr">
        <is>
          <t>天籁·鸿蒙座舱</t>
        </is>
      </c>
      <c r="C714" s="46" t="n">
        <v>378</v>
      </c>
      <c r="D714" s="46" t="n">
        <v>427</v>
      </c>
      <c r="E714" s="46" t="n">
        <v>386</v>
      </c>
      <c r="F714" s="46" t="n">
        <v>685</v>
      </c>
      <c r="G714" s="46" t="n">
        <v>410</v>
      </c>
      <c r="H714" s="46" t="n">
        <v>465</v>
      </c>
      <c r="I714" s="46" t="n">
        <v>292</v>
      </c>
      <c r="J714" s="46" t="n">
        <v>112</v>
      </c>
      <c r="K714" s="46" t="n">
        <v>375</v>
      </c>
      <c r="L714" s="46" t="n">
        <v>157</v>
      </c>
      <c r="M714" s="46">
        <f>N714-SUM(C714:L714)</f>
        <v/>
      </c>
      <c r="N714" s="47" t="n">
        <v>4190</v>
      </c>
      <c r="O714" s="46" t="n">
        <v>90</v>
      </c>
      <c r="P714" s="46" t="n">
        <v>1</v>
      </c>
      <c r="Q714" s="46" t="n">
        <v>855</v>
      </c>
      <c r="R714" s="46" t="n">
        <v>523</v>
      </c>
      <c r="S714" s="46" t="n">
        <v>419</v>
      </c>
      <c r="T714" s="46" t="n">
        <v>448</v>
      </c>
      <c r="U714" s="46" t="n">
        <v>304</v>
      </c>
      <c r="V714" s="46" t="n"/>
      <c r="W714" s="46" t="n">
        <v>477</v>
      </c>
      <c r="X714" s="46" t="n">
        <v>977</v>
      </c>
      <c r="Y714" s="46" t="n">
        <v>96</v>
      </c>
    </row>
    <row r="715">
      <c r="A715" s="78" t="n">
        <v>46182</v>
      </c>
      <c r="B715" s="45" t="inlineStr">
        <is>
          <t>天籁·鸿蒙座舱</t>
        </is>
      </c>
      <c r="C715" s="46" t="n">
        <v>378</v>
      </c>
      <c r="D715" s="46" t="n">
        <v>427</v>
      </c>
      <c r="E715" s="46" t="n">
        <v>386</v>
      </c>
      <c r="F715" s="46" t="n">
        <v>685</v>
      </c>
      <c r="G715" s="46" t="n">
        <v>410</v>
      </c>
      <c r="H715" s="46" t="n">
        <v>465</v>
      </c>
      <c r="I715" s="46" t="n">
        <v>292</v>
      </c>
      <c r="J715" s="46" t="n">
        <v>112</v>
      </c>
      <c r="K715" s="46" t="n">
        <v>375</v>
      </c>
      <c r="L715" s="46" t="n">
        <v>157</v>
      </c>
      <c r="M715" s="46">
        <f>N715-SUM(C715:L715)</f>
        <v/>
      </c>
      <c r="N715" s="47" t="n">
        <v>4190</v>
      </c>
      <c r="O715" s="46" t="n">
        <v>90</v>
      </c>
      <c r="P715" s="46" t="n">
        <v>1</v>
      </c>
      <c r="Q715" s="46" t="n">
        <v>855</v>
      </c>
      <c r="R715" s="46" t="n">
        <v>523</v>
      </c>
      <c r="S715" s="46" t="n">
        <v>419</v>
      </c>
      <c r="T715" s="46" t="n">
        <v>448</v>
      </c>
      <c r="U715" s="46" t="n">
        <v>304</v>
      </c>
      <c r="V715" s="46" t="n"/>
      <c r="W715" s="46" t="n">
        <v>477</v>
      </c>
      <c r="X715" s="46" t="n">
        <v>977</v>
      </c>
      <c r="Y715" s="46" t="n">
        <v>96</v>
      </c>
    </row>
    <row r="716">
      <c r="A716" s="78" t="n">
        <v>46183</v>
      </c>
      <c r="B716" s="45" t="inlineStr">
        <is>
          <t>天籁·鸿蒙座舱</t>
        </is>
      </c>
      <c r="C716" s="46" t="n">
        <v>378</v>
      </c>
      <c r="D716" s="46" t="n">
        <v>427</v>
      </c>
      <c r="E716" s="46" t="n">
        <v>386</v>
      </c>
      <c r="F716" s="46" t="n">
        <v>685</v>
      </c>
      <c r="G716" s="46" t="n">
        <v>410</v>
      </c>
      <c r="H716" s="46" t="n">
        <v>465</v>
      </c>
      <c r="I716" s="46" t="n">
        <v>292</v>
      </c>
      <c r="J716" s="46" t="n">
        <v>112</v>
      </c>
      <c r="K716" s="46" t="n">
        <v>375</v>
      </c>
      <c r="L716" s="46" t="n">
        <v>157</v>
      </c>
      <c r="M716" s="46">
        <f>N716-SUM(C716:L716)</f>
        <v/>
      </c>
      <c r="N716" s="47" t="n">
        <v>4190</v>
      </c>
      <c r="O716" s="46" t="n">
        <v>90</v>
      </c>
      <c r="P716" s="46" t="n">
        <v>1</v>
      </c>
      <c r="Q716" s="46" t="n">
        <v>855</v>
      </c>
      <c r="R716" s="46" t="n">
        <v>523</v>
      </c>
      <c r="S716" s="46" t="n">
        <v>419</v>
      </c>
      <c r="T716" s="46" t="n">
        <v>448</v>
      </c>
      <c r="U716" s="46" t="n">
        <v>304</v>
      </c>
      <c r="V716" s="46" t="n"/>
      <c r="W716" s="46" t="n">
        <v>477</v>
      </c>
      <c r="X716" s="46" t="n">
        <v>977</v>
      </c>
      <c r="Y716" s="46" t="n">
        <v>96</v>
      </c>
    </row>
    <row r="717">
      <c r="A717" s="78" t="n">
        <v>46184</v>
      </c>
      <c r="B717" s="45" t="inlineStr">
        <is>
          <t>天籁·鸿蒙座舱</t>
        </is>
      </c>
      <c r="C717" s="46" t="n">
        <v>378</v>
      </c>
      <c r="D717" s="46" t="n">
        <v>426</v>
      </c>
      <c r="E717" s="46" t="n">
        <v>386</v>
      </c>
      <c r="F717" s="46" t="n">
        <v>685</v>
      </c>
      <c r="G717" s="46" t="n">
        <v>410</v>
      </c>
      <c r="H717" s="46" t="n">
        <v>465</v>
      </c>
      <c r="I717" s="46" t="n">
        <v>292</v>
      </c>
      <c r="J717" s="46" t="n">
        <v>111</v>
      </c>
      <c r="K717" s="46" t="n">
        <v>375</v>
      </c>
      <c r="L717" s="46" t="n">
        <v>157</v>
      </c>
      <c r="M717" s="46">
        <f>N717-SUM(C717:L717)</f>
        <v/>
      </c>
      <c r="N717" s="47" t="n">
        <v>4189</v>
      </c>
      <c r="O717" s="46" t="n">
        <v>90</v>
      </c>
      <c r="P717" s="46" t="n">
        <v>0</v>
      </c>
      <c r="Q717" s="46" t="n">
        <v>855</v>
      </c>
      <c r="R717" s="46" t="n">
        <v>523</v>
      </c>
      <c r="S717" s="46" t="n">
        <v>419</v>
      </c>
      <c r="T717" s="46" t="n">
        <v>448</v>
      </c>
      <c r="U717" s="46" t="n">
        <v>304</v>
      </c>
      <c r="V717" s="46" t="n"/>
      <c r="W717" s="46" t="n">
        <v>477</v>
      </c>
      <c r="X717" s="46" t="n">
        <v>977</v>
      </c>
      <c r="Y717" s="46" t="n">
        <v>96</v>
      </c>
    </row>
    <row r="718">
      <c r="A718" s="78" t="n">
        <v>46185</v>
      </c>
      <c r="B718" s="45" t="inlineStr">
        <is>
          <t>天籁·鸿蒙座舱</t>
        </is>
      </c>
      <c r="C718" s="46" t="n">
        <v>378</v>
      </c>
      <c r="D718" s="46" t="n">
        <v>426</v>
      </c>
      <c r="E718" s="46" t="n">
        <v>386</v>
      </c>
      <c r="F718" s="46" t="n">
        <v>685</v>
      </c>
      <c r="G718" s="46" t="n">
        <v>410</v>
      </c>
      <c r="H718" s="46" t="n">
        <v>465</v>
      </c>
      <c r="I718" s="46" t="n">
        <v>292</v>
      </c>
      <c r="J718" s="46" t="n">
        <v>111</v>
      </c>
      <c r="K718" s="46" t="n">
        <v>375</v>
      </c>
      <c r="L718" s="46" t="n">
        <v>157</v>
      </c>
      <c r="M718" s="46">
        <f>N718-SUM(C718:L718)</f>
        <v/>
      </c>
      <c r="N718" s="47" t="n">
        <v>4189</v>
      </c>
      <c r="O718" s="46" t="n">
        <v>90</v>
      </c>
      <c r="P718" s="46" t="n">
        <v>0</v>
      </c>
      <c r="Q718" s="46" t="n">
        <v>855</v>
      </c>
      <c r="R718" s="46" t="n">
        <v>523</v>
      </c>
      <c r="S718" s="46" t="n">
        <v>419</v>
      </c>
      <c r="T718" s="46" t="n">
        <v>448</v>
      </c>
      <c r="U718" s="46" t="n">
        <v>304</v>
      </c>
      <c r="V718" s="46" t="n"/>
      <c r="W718" s="46" t="n">
        <v>477</v>
      </c>
      <c r="X718" s="46" t="n">
        <v>977</v>
      </c>
      <c r="Y718" s="46" t="n">
        <v>96</v>
      </c>
    </row>
    <row r="719">
      <c r="A719" s="78" t="n">
        <v>46186</v>
      </c>
      <c r="B719" s="45" t="inlineStr">
        <is>
          <t>天籁·鸿蒙座舱</t>
        </is>
      </c>
      <c r="C719" s="46" t="n">
        <v>466</v>
      </c>
      <c r="D719" s="46" t="n">
        <v>525</v>
      </c>
      <c r="E719" s="46" t="n">
        <v>475</v>
      </c>
      <c r="F719" s="46" t="n">
        <v>844</v>
      </c>
      <c r="G719" s="46" t="n">
        <v>505</v>
      </c>
      <c r="H719" s="46" t="n">
        <v>572</v>
      </c>
      <c r="I719" s="46" t="n">
        <v>360</v>
      </c>
      <c r="J719" s="46" t="n">
        <v>137</v>
      </c>
      <c r="K719" s="46" t="n">
        <v>462</v>
      </c>
      <c r="L719" s="46" t="n">
        <v>193</v>
      </c>
      <c r="M719" s="46">
        <f>N719-SUM(C719:L719)</f>
        <v/>
      </c>
      <c r="N719" s="47" t="n">
        <v>5157</v>
      </c>
      <c r="O719" s="46" t="n">
        <v>111</v>
      </c>
      <c r="P719" s="46" t="n">
        <v>0</v>
      </c>
      <c r="Q719" s="46" t="n">
        <v>1053</v>
      </c>
      <c r="R719" s="46" t="n">
        <v>643</v>
      </c>
      <c r="S719" s="46" t="n">
        <v>516</v>
      </c>
      <c r="T719" s="46" t="n">
        <v>552</v>
      </c>
      <c r="U719" s="46" t="n">
        <v>374</v>
      </c>
      <c r="V719" s="46" t="n"/>
      <c r="W719" s="46" t="n">
        <v>587</v>
      </c>
      <c r="X719" s="46" t="n">
        <v>1203</v>
      </c>
      <c r="Y719" s="46" t="n">
        <v>118</v>
      </c>
    </row>
    <row r="720">
      <c r="A720" s="78" t="n">
        <v>46187</v>
      </c>
      <c r="B720" s="45" t="inlineStr">
        <is>
          <t>天籁·鸿蒙座舱</t>
        </is>
      </c>
      <c r="C720" s="46" t="n">
        <v>466</v>
      </c>
      <c r="D720" s="46" t="n">
        <v>525</v>
      </c>
      <c r="E720" s="46" t="n">
        <v>475</v>
      </c>
      <c r="F720" s="46" t="n">
        <v>844</v>
      </c>
      <c r="G720" s="46" t="n">
        <v>505</v>
      </c>
      <c r="H720" s="46" t="n">
        <v>572</v>
      </c>
      <c r="I720" s="46" t="n">
        <v>360</v>
      </c>
      <c r="J720" s="46" t="n">
        <v>137</v>
      </c>
      <c r="K720" s="46" t="n">
        <v>462</v>
      </c>
      <c r="L720" s="46" t="n">
        <v>193</v>
      </c>
      <c r="M720" s="46">
        <f>N720-SUM(C720:L720)</f>
        <v/>
      </c>
      <c r="N720" s="47" t="n">
        <v>5157</v>
      </c>
      <c r="O720" s="46" t="n">
        <v>111</v>
      </c>
      <c r="P720" s="46" t="n">
        <v>0</v>
      </c>
      <c r="Q720" s="46" t="n">
        <v>1053</v>
      </c>
      <c r="R720" s="46" t="n">
        <v>643</v>
      </c>
      <c r="S720" s="46" t="n">
        <v>516</v>
      </c>
      <c r="T720" s="46" t="n">
        <v>552</v>
      </c>
      <c r="U720" s="46" t="n">
        <v>374</v>
      </c>
      <c r="V720" s="46" t="n"/>
      <c r="W720" s="46" t="n">
        <v>587</v>
      </c>
      <c r="X720" s="46" t="n">
        <v>1203</v>
      </c>
      <c r="Y720" s="46" t="n">
        <v>118</v>
      </c>
    </row>
    <row r="721">
      <c r="A721" s="78" t="n">
        <v>46188</v>
      </c>
      <c r="B721" s="45" t="inlineStr">
        <is>
          <t>天籁·鸿蒙座舱</t>
        </is>
      </c>
      <c r="C721" s="46" t="n">
        <v>408</v>
      </c>
      <c r="D721" s="46" t="n">
        <v>459</v>
      </c>
      <c r="E721" s="46" t="n">
        <v>415</v>
      </c>
      <c r="F721" s="46" t="n">
        <v>738</v>
      </c>
      <c r="G721" s="46" t="n">
        <v>442</v>
      </c>
      <c r="H721" s="46" t="n">
        <v>500</v>
      </c>
      <c r="I721" s="46" t="n">
        <v>315</v>
      </c>
      <c r="J721" s="46" t="n">
        <v>120</v>
      </c>
      <c r="K721" s="46" t="n">
        <v>404</v>
      </c>
      <c r="L721" s="46" t="n">
        <v>169</v>
      </c>
      <c r="M721" s="46">
        <f>N721-SUM(C721:L721)</f>
        <v/>
      </c>
      <c r="N721" s="47" t="n">
        <v>4512</v>
      </c>
      <c r="O721" s="46" t="n">
        <v>97</v>
      </c>
      <c r="P721" s="46" t="n">
        <v>0</v>
      </c>
      <c r="Q721" s="46" t="n">
        <v>921</v>
      </c>
      <c r="R721" s="46" t="n">
        <v>563</v>
      </c>
      <c r="S721" s="46" t="n">
        <v>451</v>
      </c>
      <c r="T721" s="46" t="n">
        <v>483</v>
      </c>
      <c r="U721" s="46" t="n">
        <v>327</v>
      </c>
      <c r="V721" s="46" t="n"/>
      <c r="W721" s="46" t="n">
        <v>514</v>
      </c>
      <c r="X721" s="46" t="n">
        <v>1052</v>
      </c>
      <c r="Y721" s="46" t="n">
        <v>104</v>
      </c>
    </row>
    <row r="722">
      <c r="A722" s="78" t="n">
        <v>46189</v>
      </c>
      <c r="B722" s="45" t="inlineStr">
        <is>
          <t>天籁·鸿蒙座舱</t>
        </is>
      </c>
      <c r="C722" s="46" t="n">
        <v>408</v>
      </c>
      <c r="D722" s="46" t="n">
        <v>459</v>
      </c>
      <c r="E722" s="46" t="n">
        <v>415</v>
      </c>
      <c r="F722" s="46" t="n">
        <v>738</v>
      </c>
      <c r="G722" s="46" t="n">
        <v>442</v>
      </c>
      <c r="H722" s="46" t="n">
        <v>500</v>
      </c>
      <c r="I722" s="46" t="n">
        <v>315</v>
      </c>
      <c r="J722" s="46" t="n">
        <v>120</v>
      </c>
      <c r="K722" s="46" t="n">
        <v>404</v>
      </c>
      <c r="L722" s="46" t="n">
        <v>169</v>
      </c>
      <c r="M722" s="46">
        <f>N722-SUM(C722:L722)</f>
        <v/>
      </c>
      <c r="N722" s="47" t="n">
        <v>4512</v>
      </c>
      <c r="O722" s="46" t="n">
        <v>97</v>
      </c>
      <c r="P722" s="46" t="n">
        <v>0</v>
      </c>
      <c r="Q722" s="46" t="n">
        <v>921</v>
      </c>
      <c r="R722" s="46" t="n">
        <v>563</v>
      </c>
      <c r="S722" s="46" t="n">
        <v>451</v>
      </c>
      <c r="T722" s="46" t="n">
        <v>483</v>
      </c>
      <c r="U722" s="46" t="n">
        <v>327</v>
      </c>
      <c r="V722" s="46" t="n"/>
      <c r="W722" s="46" t="n">
        <v>514</v>
      </c>
      <c r="X722" s="46" t="n">
        <v>1052</v>
      </c>
      <c r="Y722" s="46" t="n">
        <v>104</v>
      </c>
    </row>
    <row r="723">
      <c r="A723" s="78" t="n">
        <v>46190</v>
      </c>
      <c r="B723" s="45" t="inlineStr">
        <is>
          <t>天籁·鸿蒙座舱</t>
        </is>
      </c>
      <c r="C723" s="46" t="n">
        <v>408</v>
      </c>
      <c r="D723" s="46" t="n">
        <v>459</v>
      </c>
      <c r="E723" s="46" t="n">
        <v>415</v>
      </c>
      <c r="F723" s="46" t="n">
        <v>738</v>
      </c>
      <c r="G723" s="46" t="n">
        <v>442</v>
      </c>
      <c r="H723" s="46" t="n">
        <v>500</v>
      </c>
      <c r="I723" s="46" t="n">
        <v>315</v>
      </c>
      <c r="J723" s="46" t="n">
        <v>120</v>
      </c>
      <c r="K723" s="46" t="n">
        <v>404</v>
      </c>
      <c r="L723" s="46" t="n">
        <v>169</v>
      </c>
      <c r="M723" s="46">
        <f>N723-SUM(C723:L723)</f>
        <v/>
      </c>
      <c r="N723" s="47" t="n">
        <v>4512</v>
      </c>
      <c r="O723" s="46" t="n">
        <v>97</v>
      </c>
      <c r="P723" s="46" t="n">
        <v>0</v>
      </c>
      <c r="Q723" s="46" t="n">
        <v>921</v>
      </c>
      <c r="R723" s="46" t="n">
        <v>563</v>
      </c>
      <c r="S723" s="46" t="n">
        <v>451</v>
      </c>
      <c r="T723" s="46" t="n">
        <v>483</v>
      </c>
      <c r="U723" s="46" t="n">
        <v>327</v>
      </c>
      <c r="V723" s="46" t="n"/>
      <c r="W723" s="46" t="n">
        <v>514</v>
      </c>
      <c r="X723" s="46" t="n">
        <v>1052</v>
      </c>
      <c r="Y723" s="46" t="n">
        <v>104</v>
      </c>
    </row>
    <row r="724">
      <c r="A724" s="78" t="n">
        <v>46191</v>
      </c>
      <c r="B724" s="45" t="inlineStr">
        <is>
          <t>天籁·鸿蒙座舱</t>
        </is>
      </c>
      <c r="C724" s="46" t="n">
        <v>408</v>
      </c>
      <c r="D724" s="46" t="n">
        <v>459</v>
      </c>
      <c r="E724" s="46" t="n">
        <v>415</v>
      </c>
      <c r="F724" s="46" t="n">
        <v>738</v>
      </c>
      <c r="G724" s="46" t="n">
        <v>442</v>
      </c>
      <c r="H724" s="46" t="n">
        <v>500</v>
      </c>
      <c r="I724" s="46" t="n">
        <v>315</v>
      </c>
      <c r="J724" s="46" t="n">
        <v>120</v>
      </c>
      <c r="K724" s="46" t="n">
        <v>404</v>
      </c>
      <c r="L724" s="46" t="n">
        <v>169</v>
      </c>
      <c r="M724" s="46">
        <f>N724-SUM(C724:L724)</f>
        <v/>
      </c>
      <c r="N724" s="47" t="n">
        <v>4512</v>
      </c>
      <c r="O724" s="46" t="n">
        <v>97</v>
      </c>
      <c r="P724" s="46" t="n">
        <v>0</v>
      </c>
      <c r="Q724" s="46" t="n">
        <v>921</v>
      </c>
      <c r="R724" s="46" t="n">
        <v>563</v>
      </c>
      <c r="S724" s="46" t="n">
        <v>451</v>
      </c>
      <c r="T724" s="46" t="n">
        <v>483</v>
      </c>
      <c r="U724" s="46" t="n">
        <v>327</v>
      </c>
      <c r="V724" s="46" t="n"/>
      <c r="W724" s="46" t="n">
        <v>514</v>
      </c>
      <c r="X724" s="46" t="n">
        <v>1052</v>
      </c>
      <c r="Y724" s="46" t="n">
        <v>104</v>
      </c>
    </row>
    <row r="725">
      <c r="A725" s="78" t="n">
        <v>46192</v>
      </c>
      <c r="B725" s="45" t="inlineStr">
        <is>
          <t>天籁·鸿蒙座舱</t>
        </is>
      </c>
      <c r="C725" s="46" t="n">
        <v>408</v>
      </c>
      <c r="D725" s="46" t="n">
        <v>459</v>
      </c>
      <c r="E725" s="46" t="n">
        <v>415</v>
      </c>
      <c r="F725" s="46" t="n">
        <v>738</v>
      </c>
      <c r="G725" s="46" t="n">
        <v>442</v>
      </c>
      <c r="H725" s="46" t="n">
        <v>500</v>
      </c>
      <c r="I725" s="46" t="n">
        <v>315</v>
      </c>
      <c r="J725" s="46" t="n">
        <v>120</v>
      </c>
      <c r="K725" s="46" t="n">
        <v>404</v>
      </c>
      <c r="L725" s="46" t="n">
        <v>169</v>
      </c>
      <c r="M725" s="46">
        <f>N725-SUM(C725:L725)</f>
        <v/>
      </c>
      <c r="N725" s="47" t="n">
        <v>4512</v>
      </c>
      <c r="O725" s="46" t="n">
        <v>97</v>
      </c>
      <c r="P725" s="46" t="n">
        <v>0</v>
      </c>
      <c r="Q725" s="46" t="n">
        <v>921</v>
      </c>
      <c r="R725" s="46" t="n">
        <v>563</v>
      </c>
      <c r="S725" s="46" t="n">
        <v>451</v>
      </c>
      <c r="T725" s="46" t="n">
        <v>483</v>
      </c>
      <c r="U725" s="46" t="n">
        <v>327</v>
      </c>
      <c r="V725" s="46" t="n"/>
      <c r="W725" s="46" t="n">
        <v>514</v>
      </c>
      <c r="X725" s="46" t="n">
        <v>1052</v>
      </c>
      <c r="Y725" s="46" t="n">
        <v>104</v>
      </c>
    </row>
    <row r="726">
      <c r="A726" s="78" t="n">
        <v>46193</v>
      </c>
      <c r="B726" s="45" t="inlineStr">
        <is>
          <t>天籁·鸿蒙座舱</t>
        </is>
      </c>
      <c r="C726" s="46" t="n">
        <v>495</v>
      </c>
      <c r="D726" s="46" t="n">
        <v>558</v>
      </c>
      <c r="E726" s="46" t="n">
        <v>505</v>
      </c>
      <c r="F726" s="46" t="n">
        <v>896</v>
      </c>
      <c r="G726" s="46" t="n">
        <v>537</v>
      </c>
      <c r="H726" s="46" t="n">
        <v>608</v>
      </c>
      <c r="I726" s="46" t="n">
        <v>382</v>
      </c>
      <c r="J726" s="46" t="n">
        <v>146</v>
      </c>
      <c r="K726" s="46" t="n">
        <v>491</v>
      </c>
      <c r="L726" s="46" t="n">
        <v>205</v>
      </c>
      <c r="M726" s="46">
        <f>N726-SUM(C726:L726)</f>
        <v/>
      </c>
      <c r="N726" s="47" t="n">
        <v>5480</v>
      </c>
      <c r="O726" s="46" t="n">
        <v>118</v>
      </c>
      <c r="P726" s="46" t="n">
        <v>0</v>
      </c>
      <c r="Q726" s="46" t="n">
        <v>1119</v>
      </c>
      <c r="R726" s="46" t="n">
        <v>684</v>
      </c>
      <c r="S726" s="46" t="n">
        <v>548</v>
      </c>
      <c r="T726" s="46" t="n">
        <v>586</v>
      </c>
      <c r="U726" s="46" t="n">
        <v>397</v>
      </c>
      <c r="V726" s="46" t="n"/>
      <c r="W726" s="46" t="n">
        <v>624</v>
      </c>
      <c r="X726" s="46" t="n">
        <v>1278</v>
      </c>
      <c r="Y726" s="46" t="n">
        <v>126</v>
      </c>
    </row>
    <row r="727">
      <c r="A727" s="78" t="n">
        <v>46194</v>
      </c>
      <c r="B727" s="45" t="inlineStr">
        <is>
          <t>天籁·鸿蒙座舱</t>
        </is>
      </c>
      <c r="C727" s="46" t="n">
        <v>495</v>
      </c>
      <c r="D727" s="46" t="n">
        <v>558</v>
      </c>
      <c r="E727" s="46" t="n">
        <v>505</v>
      </c>
      <c r="F727" s="46" t="n">
        <v>896</v>
      </c>
      <c r="G727" s="46" t="n">
        <v>537</v>
      </c>
      <c r="H727" s="46" t="n">
        <v>608</v>
      </c>
      <c r="I727" s="46" t="n">
        <v>382</v>
      </c>
      <c r="J727" s="46" t="n">
        <v>146</v>
      </c>
      <c r="K727" s="46" t="n">
        <v>491</v>
      </c>
      <c r="L727" s="46" t="n">
        <v>205</v>
      </c>
      <c r="M727" s="46">
        <f>N727-SUM(C727:L727)</f>
        <v/>
      </c>
      <c r="N727" s="47" t="n">
        <v>5480</v>
      </c>
      <c r="O727" s="46" t="n">
        <v>118</v>
      </c>
      <c r="P727" s="46" t="n">
        <v>0</v>
      </c>
      <c r="Q727" s="46" t="n">
        <v>1119</v>
      </c>
      <c r="R727" s="46" t="n">
        <v>684</v>
      </c>
      <c r="S727" s="46" t="n">
        <v>548</v>
      </c>
      <c r="T727" s="46" t="n">
        <v>586</v>
      </c>
      <c r="U727" s="46" t="n">
        <v>397</v>
      </c>
      <c r="V727" s="46" t="n"/>
      <c r="W727" s="46" t="n">
        <v>624</v>
      </c>
      <c r="X727" s="46" t="n">
        <v>1278</v>
      </c>
      <c r="Y727" s="46" t="n">
        <v>126</v>
      </c>
    </row>
    <row r="728">
      <c r="A728" s="78" t="n">
        <v>46195</v>
      </c>
      <c r="B728" s="45" t="inlineStr">
        <is>
          <t>天籁·鸿蒙座舱</t>
        </is>
      </c>
      <c r="C728" s="46" t="n">
        <v>466</v>
      </c>
      <c r="D728" s="46" t="n">
        <v>525</v>
      </c>
      <c r="E728" s="46" t="n">
        <v>475</v>
      </c>
      <c r="F728" s="46" t="n">
        <v>844</v>
      </c>
      <c r="G728" s="46" t="n">
        <v>505</v>
      </c>
      <c r="H728" s="46" t="n">
        <v>572</v>
      </c>
      <c r="I728" s="46" t="n">
        <v>360</v>
      </c>
      <c r="J728" s="46" t="n">
        <v>137</v>
      </c>
      <c r="K728" s="46" t="n">
        <v>462</v>
      </c>
      <c r="L728" s="46" t="n">
        <v>193</v>
      </c>
      <c r="M728" s="46">
        <f>N728-SUM(C728:L728)</f>
        <v/>
      </c>
      <c r="N728" s="47" t="n">
        <v>5157</v>
      </c>
      <c r="O728" s="46" t="n">
        <v>111</v>
      </c>
      <c r="P728" s="46" t="n">
        <v>0</v>
      </c>
      <c r="Q728" s="46" t="n">
        <v>1053</v>
      </c>
      <c r="R728" s="46" t="n">
        <v>643</v>
      </c>
      <c r="S728" s="46" t="n">
        <v>516</v>
      </c>
      <c r="T728" s="46" t="n">
        <v>552</v>
      </c>
      <c r="U728" s="46" t="n">
        <v>374</v>
      </c>
      <c r="V728" s="46" t="n"/>
      <c r="W728" s="46" t="n">
        <v>587</v>
      </c>
      <c r="X728" s="46" t="n">
        <v>1203</v>
      </c>
      <c r="Y728" s="46" t="n">
        <v>118</v>
      </c>
    </row>
    <row r="729">
      <c r="A729" s="78" t="n">
        <v>46196</v>
      </c>
      <c r="B729" s="45" t="inlineStr">
        <is>
          <t>天籁·鸿蒙座舱</t>
        </is>
      </c>
      <c r="C729" s="46" t="n">
        <v>466</v>
      </c>
      <c r="D729" s="46" t="n">
        <v>525</v>
      </c>
      <c r="E729" s="46" t="n">
        <v>475</v>
      </c>
      <c r="F729" s="46" t="n">
        <v>844</v>
      </c>
      <c r="G729" s="46" t="n">
        <v>505</v>
      </c>
      <c r="H729" s="46" t="n">
        <v>572</v>
      </c>
      <c r="I729" s="46" t="n">
        <v>360</v>
      </c>
      <c r="J729" s="46" t="n">
        <v>137</v>
      </c>
      <c r="K729" s="46" t="n">
        <v>462</v>
      </c>
      <c r="L729" s="46" t="n">
        <v>193</v>
      </c>
      <c r="M729" s="46">
        <f>N729-SUM(C729:L729)</f>
        <v/>
      </c>
      <c r="N729" s="47" t="n">
        <v>5157</v>
      </c>
      <c r="O729" s="46" t="n">
        <v>111</v>
      </c>
      <c r="P729" s="46" t="n">
        <v>0</v>
      </c>
      <c r="Q729" s="46" t="n">
        <v>1053</v>
      </c>
      <c r="R729" s="46" t="n">
        <v>643</v>
      </c>
      <c r="S729" s="46" t="n">
        <v>516</v>
      </c>
      <c r="T729" s="46" t="n">
        <v>552</v>
      </c>
      <c r="U729" s="46" t="n">
        <v>374</v>
      </c>
      <c r="V729" s="46" t="n"/>
      <c r="W729" s="46" t="n">
        <v>587</v>
      </c>
      <c r="X729" s="46" t="n">
        <v>1203</v>
      </c>
      <c r="Y729" s="46" t="n">
        <v>118</v>
      </c>
    </row>
    <row r="730">
      <c r="A730" s="78" t="n">
        <v>46197</v>
      </c>
      <c r="B730" s="45" t="inlineStr">
        <is>
          <t>天籁·鸿蒙座舱</t>
        </is>
      </c>
      <c r="C730" s="46" t="n">
        <v>466</v>
      </c>
      <c r="D730" s="46" t="n">
        <v>525</v>
      </c>
      <c r="E730" s="46" t="n">
        <v>475</v>
      </c>
      <c r="F730" s="46" t="n">
        <v>844</v>
      </c>
      <c r="G730" s="46" t="n">
        <v>505</v>
      </c>
      <c r="H730" s="46" t="n">
        <v>572</v>
      </c>
      <c r="I730" s="46" t="n">
        <v>360</v>
      </c>
      <c r="J730" s="46" t="n">
        <v>137</v>
      </c>
      <c r="K730" s="46" t="n">
        <v>462</v>
      </c>
      <c r="L730" s="46" t="n">
        <v>193</v>
      </c>
      <c r="M730" s="46">
        <f>N730-SUM(C730:L730)</f>
        <v/>
      </c>
      <c r="N730" s="47" t="n">
        <v>5157</v>
      </c>
      <c r="O730" s="46" t="n">
        <v>111</v>
      </c>
      <c r="P730" s="46" t="n">
        <v>0</v>
      </c>
      <c r="Q730" s="46" t="n">
        <v>1053</v>
      </c>
      <c r="R730" s="46" t="n">
        <v>643</v>
      </c>
      <c r="S730" s="46" t="n">
        <v>516</v>
      </c>
      <c r="T730" s="46" t="n">
        <v>552</v>
      </c>
      <c r="U730" s="46" t="n">
        <v>374</v>
      </c>
      <c r="V730" s="46" t="n"/>
      <c r="W730" s="46" t="n">
        <v>587</v>
      </c>
      <c r="X730" s="46" t="n">
        <v>1203</v>
      </c>
      <c r="Y730" s="46" t="n">
        <v>118</v>
      </c>
    </row>
    <row r="731">
      <c r="A731" s="78" t="n">
        <v>46198</v>
      </c>
      <c r="B731" s="45" t="inlineStr">
        <is>
          <t>天籁·鸿蒙座舱</t>
        </is>
      </c>
      <c r="C731" s="46" t="n">
        <v>466</v>
      </c>
      <c r="D731" s="46" t="n">
        <v>525</v>
      </c>
      <c r="E731" s="46" t="n">
        <v>475</v>
      </c>
      <c r="F731" s="46" t="n">
        <v>844</v>
      </c>
      <c r="G731" s="46" t="n">
        <v>505</v>
      </c>
      <c r="H731" s="46" t="n">
        <v>572</v>
      </c>
      <c r="I731" s="46" t="n">
        <v>360</v>
      </c>
      <c r="J731" s="46" t="n">
        <v>137</v>
      </c>
      <c r="K731" s="46" t="n">
        <v>462</v>
      </c>
      <c r="L731" s="46" t="n">
        <v>193</v>
      </c>
      <c r="M731" s="46">
        <f>N731-SUM(C731:L731)</f>
        <v/>
      </c>
      <c r="N731" s="47" t="n">
        <v>5157</v>
      </c>
      <c r="O731" s="46" t="n">
        <v>111</v>
      </c>
      <c r="P731" s="46" t="n">
        <v>0</v>
      </c>
      <c r="Q731" s="46" t="n">
        <v>1053</v>
      </c>
      <c r="R731" s="46" t="n">
        <v>643</v>
      </c>
      <c r="S731" s="46" t="n">
        <v>516</v>
      </c>
      <c r="T731" s="46" t="n">
        <v>552</v>
      </c>
      <c r="U731" s="46" t="n">
        <v>374</v>
      </c>
      <c r="V731" s="46" t="n"/>
      <c r="W731" s="46" t="n">
        <v>587</v>
      </c>
      <c r="X731" s="46" t="n">
        <v>1203</v>
      </c>
      <c r="Y731" s="46" t="n">
        <v>118</v>
      </c>
    </row>
    <row r="732">
      <c r="A732" s="78" t="n">
        <v>46199</v>
      </c>
      <c r="B732" s="45" t="inlineStr">
        <is>
          <t>天籁·鸿蒙座舱</t>
        </is>
      </c>
      <c r="C732" s="46" t="n">
        <v>466</v>
      </c>
      <c r="D732" s="46" t="n">
        <v>525</v>
      </c>
      <c r="E732" s="46" t="n">
        <v>475</v>
      </c>
      <c r="F732" s="46" t="n">
        <v>844</v>
      </c>
      <c r="G732" s="46" t="n">
        <v>505</v>
      </c>
      <c r="H732" s="46" t="n">
        <v>572</v>
      </c>
      <c r="I732" s="46" t="n">
        <v>360</v>
      </c>
      <c r="J732" s="46" t="n">
        <v>137</v>
      </c>
      <c r="K732" s="46" t="n">
        <v>462</v>
      </c>
      <c r="L732" s="46" t="n">
        <v>193</v>
      </c>
      <c r="M732" s="46">
        <f>N732-SUM(C732:L732)</f>
        <v/>
      </c>
      <c r="N732" s="47" t="n">
        <v>5157</v>
      </c>
      <c r="O732" s="46" t="n">
        <v>111</v>
      </c>
      <c r="P732" s="46" t="n">
        <v>0</v>
      </c>
      <c r="Q732" s="46" t="n">
        <v>1053</v>
      </c>
      <c r="R732" s="46" t="n">
        <v>643</v>
      </c>
      <c r="S732" s="46" t="n">
        <v>516</v>
      </c>
      <c r="T732" s="46" t="n">
        <v>552</v>
      </c>
      <c r="U732" s="46" t="n">
        <v>374</v>
      </c>
      <c r="V732" s="46" t="n"/>
      <c r="W732" s="46" t="n">
        <v>587</v>
      </c>
      <c r="X732" s="46" t="n">
        <v>1203</v>
      </c>
      <c r="Y732" s="46" t="n">
        <v>118</v>
      </c>
    </row>
    <row r="733">
      <c r="A733" s="78" t="n">
        <v>46200</v>
      </c>
      <c r="B733" s="45" t="inlineStr">
        <is>
          <t>天籁·鸿蒙座舱</t>
        </is>
      </c>
      <c r="C733" s="46" t="n">
        <v>553</v>
      </c>
      <c r="D733" s="46" t="n">
        <v>623</v>
      </c>
      <c r="E733" s="46" t="n">
        <v>564</v>
      </c>
      <c r="F733" s="46" t="n">
        <v>1002</v>
      </c>
      <c r="G733" s="46" t="n">
        <v>599</v>
      </c>
      <c r="H733" s="46" t="n">
        <v>679</v>
      </c>
      <c r="I733" s="46" t="n">
        <v>427</v>
      </c>
      <c r="J733" s="46" t="n">
        <v>163</v>
      </c>
      <c r="K733" s="46" t="n">
        <v>548</v>
      </c>
      <c r="L733" s="46" t="n">
        <v>230</v>
      </c>
      <c r="M733" s="46">
        <f>N733-SUM(C733:L733)</f>
        <v/>
      </c>
      <c r="N733" s="47" t="n">
        <v>6123</v>
      </c>
      <c r="O733" s="46" t="n">
        <v>131</v>
      </c>
      <c r="P733" s="46" t="n">
        <v>0</v>
      </c>
      <c r="Q733" s="46" t="n">
        <v>1250</v>
      </c>
      <c r="R733" s="46" t="n">
        <v>764</v>
      </c>
      <c r="S733" s="46" t="n">
        <v>613</v>
      </c>
      <c r="T733" s="46" t="n">
        <v>655</v>
      </c>
      <c r="U733" s="46" t="n">
        <v>444</v>
      </c>
      <c r="V733" s="46" t="n"/>
      <c r="W733" s="46" t="n">
        <v>697</v>
      </c>
      <c r="X733" s="46" t="n">
        <v>1428</v>
      </c>
      <c r="Y733" s="46" t="n">
        <v>141</v>
      </c>
    </row>
    <row r="734">
      <c r="A734" s="78" t="n">
        <v>46201</v>
      </c>
      <c r="B734" s="45" t="inlineStr">
        <is>
          <t>天籁·鸿蒙座舱</t>
        </is>
      </c>
      <c r="C734" s="46" t="n">
        <v>553</v>
      </c>
      <c r="D734" s="46" t="n">
        <v>623</v>
      </c>
      <c r="E734" s="46" t="n">
        <v>564</v>
      </c>
      <c r="F734" s="46" t="n">
        <v>1002</v>
      </c>
      <c r="G734" s="46" t="n">
        <v>599</v>
      </c>
      <c r="H734" s="46" t="n">
        <v>679</v>
      </c>
      <c r="I734" s="46" t="n">
        <v>427</v>
      </c>
      <c r="J734" s="46" t="n">
        <v>163</v>
      </c>
      <c r="K734" s="46" t="n">
        <v>548</v>
      </c>
      <c r="L734" s="46" t="n">
        <v>230</v>
      </c>
      <c r="M734" s="46">
        <f>N734-SUM(C734:L734)</f>
        <v/>
      </c>
      <c r="N734" s="47" t="n">
        <v>6123</v>
      </c>
      <c r="O734" s="46" t="n">
        <v>131</v>
      </c>
      <c r="P734" s="46" t="n">
        <v>0</v>
      </c>
      <c r="Q734" s="46" t="n">
        <v>1250</v>
      </c>
      <c r="R734" s="46" t="n">
        <v>764</v>
      </c>
      <c r="S734" s="46" t="n">
        <v>613</v>
      </c>
      <c r="T734" s="46" t="n">
        <v>655</v>
      </c>
      <c r="U734" s="46" t="n">
        <v>444</v>
      </c>
      <c r="V734" s="46" t="n"/>
      <c r="W734" s="46" t="n">
        <v>697</v>
      </c>
      <c r="X734" s="46" t="n">
        <v>1428</v>
      </c>
      <c r="Y734" s="46" t="n">
        <v>141</v>
      </c>
    </row>
    <row r="735">
      <c r="A735" s="78" t="n">
        <v>46202</v>
      </c>
      <c r="B735" s="45" t="inlineStr">
        <is>
          <t>天籁·鸿蒙座舱</t>
        </is>
      </c>
      <c r="C735" s="46" t="n">
        <v>640</v>
      </c>
      <c r="D735" s="46" t="n">
        <v>722</v>
      </c>
      <c r="E735" s="46" t="n">
        <v>653</v>
      </c>
      <c r="F735" s="46" t="n">
        <v>1160</v>
      </c>
      <c r="G735" s="46" t="n">
        <v>694</v>
      </c>
      <c r="H735" s="46" t="n">
        <v>787</v>
      </c>
      <c r="I735" s="46" t="n">
        <v>495</v>
      </c>
      <c r="J735" s="46" t="n">
        <v>189</v>
      </c>
      <c r="K735" s="46" t="n">
        <v>635</v>
      </c>
      <c r="L735" s="46" t="n">
        <v>265</v>
      </c>
      <c r="M735" s="46">
        <f>N735-SUM(C735:L735)</f>
        <v/>
      </c>
      <c r="N735" s="47" t="n">
        <v>7091</v>
      </c>
      <c r="O735" s="46" t="n">
        <v>152</v>
      </c>
      <c r="P735" s="46" t="n">
        <v>0</v>
      </c>
      <c r="Q735" s="46" t="n">
        <v>1448</v>
      </c>
      <c r="R735" s="46" t="n">
        <v>885</v>
      </c>
      <c r="S735" s="46" t="n">
        <v>709</v>
      </c>
      <c r="T735" s="46" t="n">
        <v>759</v>
      </c>
      <c r="U735" s="46" t="n">
        <v>514</v>
      </c>
      <c r="V735" s="46" t="n"/>
      <c r="W735" s="46" t="n">
        <v>807</v>
      </c>
      <c r="X735" s="46" t="n">
        <v>1654</v>
      </c>
      <c r="Y735" s="46" t="n">
        <v>163</v>
      </c>
    </row>
    <row r="736">
      <c r="A736" s="78" t="n">
        <v>46203</v>
      </c>
      <c r="B736" s="45" t="inlineStr">
        <is>
          <t>天籁·鸿蒙座舱</t>
        </is>
      </c>
      <c r="C736" s="46" t="n">
        <v>641</v>
      </c>
      <c r="D736" s="46" t="n">
        <v>722</v>
      </c>
      <c r="E736" s="46" t="n">
        <v>653</v>
      </c>
      <c r="F736" s="46" t="n">
        <v>1160</v>
      </c>
      <c r="G736" s="46" t="n">
        <v>694</v>
      </c>
      <c r="H736" s="46" t="n">
        <v>787</v>
      </c>
      <c r="I736" s="46" t="n">
        <v>495</v>
      </c>
      <c r="J736" s="46" t="n">
        <v>189</v>
      </c>
      <c r="K736" s="46" t="n">
        <v>635</v>
      </c>
      <c r="L736" s="46" t="n">
        <v>265</v>
      </c>
      <c r="M736" s="46">
        <f>N736-SUM(C736:L736)</f>
        <v/>
      </c>
      <c r="N736" s="47" t="n">
        <v>7091</v>
      </c>
      <c r="O736" s="46" t="n">
        <v>152</v>
      </c>
      <c r="P736" s="46" t="n">
        <v>0</v>
      </c>
      <c r="Q736" s="46" t="n">
        <v>1448</v>
      </c>
      <c r="R736" s="46" t="n">
        <v>885</v>
      </c>
      <c r="S736" s="46" t="n">
        <v>709</v>
      </c>
      <c r="T736" s="46" t="n">
        <v>759</v>
      </c>
      <c r="U736" s="46" t="n">
        <v>514</v>
      </c>
      <c r="V736" s="46" t="n"/>
      <c r="W736" s="46" t="n">
        <v>807</v>
      </c>
      <c r="X736" s="46" t="n">
        <v>1654</v>
      </c>
      <c r="Y736" s="46" t="n">
        <v>163</v>
      </c>
    </row>
    <row r="737">
      <c r="A737" s="78" t="n">
        <v>46204</v>
      </c>
      <c r="B737" s="45" t="inlineStr">
        <is>
          <t>天籁·鸿蒙座舱</t>
        </is>
      </c>
      <c r="C737" s="46" t="n">
        <v>280</v>
      </c>
      <c r="D737" s="46" t="n">
        <v>336</v>
      </c>
      <c r="E737" s="46" t="n">
        <v>308</v>
      </c>
      <c r="F737" s="46" t="n">
        <v>447</v>
      </c>
      <c r="G737" s="46" t="n">
        <v>308</v>
      </c>
      <c r="H737" s="46" t="n">
        <v>419</v>
      </c>
      <c r="I737" s="46" t="n">
        <v>224</v>
      </c>
      <c r="J737" s="46" t="n">
        <v>84</v>
      </c>
      <c r="K737" s="46" t="n">
        <v>280</v>
      </c>
      <c r="L737" s="46" t="n">
        <v>112</v>
      </c>
      <c r="M737" s="46">
        <f>N737-SUM(C737:L737)</f>
        <v/>
      </c>
      <c r="N737" s="47" t="n">
        <v>2943</v>
      </c>
      <c r="O737" s="46" t="n">
        <v>60</v>
      </c>
      <c r="P737" s="46" t="n">
        <v>0</v>
      </c>
      <c r="Q737" s="46" t="n">
        <v>730</v>
      </c>
      <c r="R737" s="46" t="n">
        <v>293</v>
      </c>
      <c r="S737" s="46" t="n">
        <v>216</v>
      </c>
      <c r="T737" s="46" t="n">
        <v>236</v>
      </c>
      <c r="U737" s="46" t="n">
        <v>67</v>
      </c>
      <c r="V737" s="46" t="n"/>
      <c r="W737" s="46" t="n">
        <v>563</v>
      </c>
      <c r="X737" s="46" t="n">
        <v>716</v>
      </c>
      <c r="Y737" s="46" t="n">
        <v>62</v>
      </c>
    </row>
    <row r="738">
      <c r="A738" s="78" t="n">
        <v>46205</v>
      </c>
      <c r="B738" s="45" t="inlineStr">
        <is>
          <t>天籁·鸿蒙座舱</t>
        </is>
      </c>
      <c r="C738" s="46" t="n">
        <v>280</v>
      </c>
      <c r="D738" s="46" t="n">
        <v>336</v>
      </c>
      <c r="E738" s="46" t="n">
        <v>308</v>
      </c>
      <c r="F738" s="46" t="n">
        <v>447</v>
      </c>
      <c r="G738" s="46" t="n">
        <v>308</v>
      </c>
      <c r="H738" s="46" t="n">
        <v>419</v>
      </c>
      <c r="I738" s="46" t="n">
        <v>224</v>
      </c>
      <c r="J738" s="46" t="n">
        <v>84</v>
      </c>
      <c r="K738" s="46" t="n">
        <v>280</v>
      </c>
      <c r="L738" s="46" t="n">
        <v>112</v>
      </c>
      <c r="M738" s="46">
        <f>N738-SUM(C738:L738)</f>
        <v/>
      </c>
      <c r="N738" s="47" t="n">
        <v>2943</v>
      </c>
      <c r="O738" s="46" t="n">
        <v>60</v>
      </c>
      <c r="P738" s="46" t="n">
        <v>0</v>
      </c>
      <c r="Q738" s="46" t="n">
        <v>730</v>
      </c>
      <c r="R738" s="46" t="n">
        <v>293</v>
      </c>
      <c r="S738" s="46" t="n">
        <v>216</v>
      </c>
      <c r="T738" s="46" t="n">
        <v>236</v>
      </c>
      <c r="U738" s="46" t="n">
        <v>67</v>
      </c>
      <c r="V738" s="46" t="n"/>
      <c r="W738" s="46" t="n">
        <v>563</v>
      </c>
      <c r="X738" s="46" t="n">
        <v>716</v>
      </c>
      <c r="Y738" s="46" t="n">
        <v>62</v>
      </c>
    </row>
    <row r="739">
      <c r="A739" s="78" t="n">
        <v>46206</v>
      </c>
      <c r="B739" s="45" t="inlineStr">
        <is>
          <t>天籁·鸿蒙座舱</t>
        </is>
      </c>
      <c r="C739" s="46" t="n">
        <v>280</v>
      </c>
      <c r="D739" s="46" t="n">
        <v>336</v>
      </c>
      <c r="E739" s="46" t="n">
        <v>308</v>
      </c>
      <c r="F739" s="46" t="n">
        <v>447</v>
      </c>
      <c r="G739" s="46" t="n">
        <v>308</v>
      </c>
      <c r="H739" s="46" t="n">
        <v>419</v>
      </c>
      <c r="I739" s="46" t="n">
        <v>224</v>
      </c>
      <c r="J739" s="46" t="n">
        <v>84</v>
      </c>
      <c r="K739" s="46" t="n">
        <v>280</v>
      </c>
      <c r="L739" s="46" t="n">
        <v>112</v>
      </c>
      <c r="M739" s="46">
        <f>N739-SUM(C739:L739)</f>
        <v/>
      </c>
      <c r="N739" s="47" t="n">
        <v>2943</v>
      </c>
      <c r="O739" s="46" t="n">
        <v>60</v>
      </c>
      <c r="P739" s="46" t="n">
        <v>0</v>
      </c>
      <c r="Q739" s="46" t="n">
        <v>730</v>
      </c>
      <c r="R739" s="46" t="n">
        <v>293</v>
      </c>
      <c r="S739" s="46" t="n">
        <v>216</v>
      </c>
      <c r="T739" s="46" t="n">
        <v>236</v>
      </c>
      <c r="U739" s="46" t="n">
        <v>67</v>
      </c>
      <c r="V739" s="46" t="n"/>
      <c r="W739" s="46" t="n">
        <v>563</v>
      </c>
      <c r="X739" s="46" t="n">
        <v>716</v>
      </c>
      <c r="Y739" s="46" t="n">
        <v>62</v>
      </c>
    </row>
    <row r="740">
      <c r="A740" s="78" t="n">
        <v>46207</v>
      </c>
      <c r="B740" s="45" t="inlineStr">
        <is>
          <t>天籁·鸿蒙座舱</t>
        </is>
      </c>
      <c r="C740" s="46" t="n">
        <v>322</v>
      </c>
      <c r="D740" s="46" t="n">
        <v>386</v>
      </c>
      <c r="E740" s="46" t="n">
        <v>354</v>
      </c>
      <c r="F740" s="46" t="n">
        <v>515</v>
      </c>
      <c r="G740" s="46" t="n">
        <v>354</v>
      </c>
      <c r="H740" s="46" t="n">
        <v>483</v>
      </c>
      <c r="I740" s="46" t="n">
        <v>257</v>
      </c>
      <c r="J740" s="46" t="n">
        <v>97</v>
      </c>
      <c r="K740" s="46" t="n">
        <v>322</v>
      </c>
      <c r="L740" s="46" t="n">
        <v>129</v>
      </c>
      <c r="M740" s="46">
        <f>N740-SUM(C740:L740)</f>
        <v/>
      </c>
      <c r="N740" s="47" t="n">
        <v>3388</v>
      </c>
      <c r="O740" s="46" t="n">
        <v>69</v>
      </c>
      <c r="P740" s="46" t="n">
        <v>0</v>
      </c>
      <c r="Q740" s="46" t="n">
        <v>840</v>
      </c>
      <c r="R740" s="46" t="n">
        <v>337</v>
      </c>
      <c r="S740" s="46" t="n">
        <v>248</v>
      </c>
      <c r="T740" s="46" t="n">
        <v>272</v>
      </c>
      <c r="U740" s="46" t="n">
        <v>78</v>
      </c>
      <c r="V740" s="46" t="n"/>
      <c r="W740" s="46" t="n">
        <v>648</v>
      </c>
      <c r="X740" s="46" t="n">
        <v>824</v>
      </c>
      <c r="Y740" s="46" t="n">
        <v>72</v>
      </c>
    </row>
    <row r="741">
      <c r="A741" s="78" t="n">
        <v>46208</v>
      </c>
      <c r="B741" s="45" t="inlineStr">
        <is>
          <t>天籁·鸿蒙座舱</t>
        </is>
      </c>
      <c r="C741" s="46" t="n">
        <v>322</v>
      </c>
      <c r="D741" s="46" t="n">
        <v>386</v>
      </c>
      <c r="E741" s="46" t="n">
        <v>354</v>
      </c>
      <c r="F741" s="46" t="n">
        <v>515</v>
      </c>
      <c r="G741" s="46" t="n">
        <v>354</v>
      </c>
      <c r="H741" s="46" t="n">
        <v>483</v>
      </c>
      <c r="I741" s="46" t="n">
        <v>258</v>
      </c>
      <c r="J741" s="46" t="n">
        <v>97</v>
      </c>
      <c r="K741" s="46" t="n">
        <v>322</v>
      </c>
      <c r="L741" s="46" t="n">
        <v>129</v>
      </c>
      <c r="M741" s="46">
        <f>N741-SUM(C741:L741)</f>
        <v/>
      </c>
      <c r="N741" s="47" t="n">
        <v>3389</v>
      </c>
      <c r="O741" s="46" t="n">
        <v>69</v>
      </c>
      <c r="P741" s="46" t="n">
        <v>0</v>
      </c>
      <c r="Q741" s="46" t="n">
        <v>840</v>
      </c>
      <c r="R741" s="46" t="n">
        <v>338</v>
      </c>
      <c r="S741" s="46" t="n">
        <v>248</v>
      </c>
      <c r="T741" s="46" t="n">
        <v>272</v>
      </c>
      <c r="U741" s="46" t="n">
        <v>78</v>
      </c>
      <c r="V741" s="46" t="n"/>
      <c r="W741" s="46" t="n">
        <v>648</v>
      </c>
      <c r="X741" s="46" t="n">
        <v>824</v>
      </c>
      <c r="Y741" s="46" t="n">
        <v>72</v>
      </c>
    </row>
    <row r="742">
      <c r="A742" s="78" t="n">
        <v>46209</v>
      </c>
      <c r="B742" s="45" t="inlineStr">
        <is>
          <t>天籁·鸿蒙座舱</t>
        </is>
      </c>
      <c r="C742" s="46" t="n">
        <v>280</v>
      </c>
      <c r="D742" s="46" t="n">
        <v>336</v>
      </c>
      <c r="E742" s="46" t="n">
        <v>308</v>
      </c>
      <c r="F742" s="46" t="n">
        <v>448</v>
      </c>
      <c r="G742" s="46" t="n">
        <v>308</v>
      </c>
      <c r="H742" s="46" t="n">
        <v>420</v>
      </c>
      <c r="I742" s="46" t="n">
        <v>224</v>
      </c>
      <c r="J742" s="46" t="n">
        <v>84</v>
      </c>
      <c r="K742" s="46" t="n">
        <v>280</v>
      </c>
      <c r="L742" s="46" t="n">
        <v>112</v>
      </c>
      <c r="M742" s="46">
        <f>N742-SUM(C742:L742)</f>
        <v/>
      </c>
      <c r="N742" s="47" t="n">
        <v>2947</v>
      </c>
      <c r="O742" s="46" t="n">
        <v>60</v>
      </c>
      <c r="P742" s="46" t="n">
        <v>0</v>
      </c>
      <c r="Q742" s="46" t="n">
        <v>730</v>
      </c>
      <c r="R742" s="46" t="n">
        <v>294</v>
      </c>
      <c r="S742" s="46" t="n">
        <v>216</v>
      </c>
      <c r="T742" s="46" t="n">
        <v>236</v>
      </c>
      <c r="U742" s="46" t="n">
        <v>67</v>
      </c>
      <c r="V742" s="46" t="n"/>
      <c r="W742" s="46" t="n">
        <v>564</v>
      </c>
      <c r="X742" s="46" t="n">
        <v>717</v>
      </c>
      <c r="Y742" s="46" t="n">
        <v>63</v>
      </c>
    </row>
    <row r="743">
      <c r="A743" s="78" t="n">
        <v>46210</v>
      </c>
      <c r="B743" s="45" t="inlineStr">
        <is>
          <t>天籁·鸿蒙座舱</t>
        </is>
      </c>
      <c r="C743" s="46" t="n">
        <v>280</v>
      </c>
      <c r="D743" s="46" t="n">
        <v>336</v>
      </c>
      <c r="E743" s="46" t="n">
        <v>308</v>
      </c>
      <c r="F743" s="46" t="n">
        <v>448</v>
      </c>
      <c r="G743" s="46" t="n">
        <v>308</v>
      </c>
      <c r="H743" s="46" t="n">
        <v>420</v>
      </c>
      <c r="I743" s="46" t="n">
        <v>224</v>
      </c>
      <c r="J743" s="46" t="n">
        <v>84</v>
      </c>
      <c r="K743" s="46" t="n">
        <v>280</v>
      </c>
      <c r="L743" s="46" t="n">
        <v>112</v>
      </c>
      <c r="M743" s="46">
        <f>N743-SUM(C743:L743)</f>
        <v/>
      </c>
      <c r="N743" s="47" t="n">
        <v>2948</v>
      </c>
      <c r="O743" s="46" t="n">
        <v>60</v>
      </c>
      <c r="P743" s="46" t="n">
        <v>0</v>
      </c>
      <c r="Q743" s="46" t="n">
        <v>730</v>
      </c>
      <c r="R743" s="46" t="n">
        <v>294</v>
      </c>
      <c r="S743" s="46" t="n">
        <v>217</v>
      </c>
      <c r="T743" s="46" t="n">
        <v>236</v>
      </c>
      <c r="U743" s="46" t="n">
        <v>67</v>
      </c>
      <c r="V743" s="46" t="n"/>
      <c r="W743" s="46" t="n">
        <v>564</v>
      </c>
      <c r="X743" s="46" t="n">
        <v>717</v>
      </c>
      <c r="Y743" s="46" t="n">
        <v>63</v>
      </c>
    </row>
    <row r="744">
      <c r="A744" s="78" t="n">
        <v>46211</v>
      </c>
      <c r="B744" s="45" t="inlineStr">
        <is>
          <t>天籁·鸿蒙座舱</t>
        </is>
      </c>
      <c r="C744" s="46" t="n">
        <v>280</v>
      </c>
      <c r="D744" s="46" t="n">
        <v>336</v>
      </c>
      <c r="E744" s="46" t="n">
        <v>308</v>
      </c>
      <c r="F744" s="46" t="n">
        <v>448</v>
      </c>
      <c r="G744" s="46" t="n">
        <v>308</v>
      </c>
      <c r="H744" s="46" t="n">
        <v>420</v>
      </c>
      <c r="I744" s="46" t="n">
        <v>224</v>
      </c>
      <c r="J744" s="46" t="n">
        <v>84</v>
      </c>
      <c r="K744" s="46" t="n">
        <v>280</v>
      </c>
      <c r="L744" s="46" t="n">
        <v>112</v>
      </c>
      <c r="M744" s="46">
        <f>N744-SUM(C744:L744)</f>
        <v/>
      </c>
      <c r="N744" s="47" t="n">
        <v>2948</v>
      </c>
      <c r="O744" s="46" t="n">
        <v>60</v>
      </c>
      <c r="P744" s="46" t="n">
        <v>0</v>
      </c>
      <c r="Q744" s="46" t="n">
        <v>730</v>
      </c>
      <c r="R744" s="46" t="n">
        <v>294</v>
      </c>
      <c r="S744" s="46" t="n">
        <v>217</v>
      </c>
      <c r="T744" s="46" t="n">
        <v>236</v>
      </c>
      <c r="U744" s="46" t="n">
        <v>67</v>
      </c>
      <c r="V744" s="46" t="n"/>
      <c r="W744" s="46" t="n">
        <v>564</v>
      </c>
      <c r="X744" s="46" t="n">
        <v>717</v>
      </c>
      <c r="Y744" s="46" t="n">
        <v>63</v>
      </c>
    </row>
    <row r="745">
      <c r="A745" s="78" t="n">
        <v>46212</v>
      </c>
      <c r="B745" s="45" t="inlineStr">
        <is>
          <t>天籁·鸿蒙座舱</t>
        </is>
      </c>
      <c r="C745" s="46" t="n">
        <v>280</v>
      </c>
      <c r="D745" s="46" t="n">
        <v>336</v>
      </c>
      <c r="E745" s="46" t="n">
        <v>308</v>
      </c>
      <c r="F745" s="46" t="n">
        <v>448</v>
      </c>
      <c r="G745" s="46" t="n">
        <v>308</v>
      </c>
      <c r="H745" s="46" t="n">
        <v>420</v>
      </c>
      <c r="I745" s="46" t="n">
        <v>224</v>
      </c>
      <c r="J745" s="46" t="n">
        <v>84</v>
      </c>
      <c r="K745" s="46" t="n">
        <v>280</v>
      </c>
      <c r="L745" s="46" t="n">
        <v>112</v>
      </c>
      <c r="M745" s="46">
        <f>N745-SUM(C745:L745)</f>
        <v/>
      </c>
      <c r="N745" s="47" t="n">
        <v>2948</v>
      </c>
      <c r="O745" s="46" t="n">
        <v>60</v>
      </c>
      <c r="P745" s="46" t="n">
        <v>0</v>
      </c>
      <c r="Q745" s="46" t="n">
        <v>730</v>
      </c>
      <c r="R745" s="46" t="n">
        <v>294</v>
      </c>
      <c r="S745" s="46" t="n">
        <v>217</v>
      </c>
      <c r="T745" s="46" t="n">
        <v>236</v>
      </c>
      <c r="U745" s="46" t="n">
        <v>67</v>
      </c>
      <c r="V745" s="46" t="n"/>
      <c r="W745" s="46" t="n">
        <v>564</v>
      </c>
      <c r="X745" s="46" t="n">
        <v>717</v>
      </c>
      <c r="Y745" s="46" t="n">
        <v>63</v>
      </c>
    </row>
    <row r="746">
      <c r="A746" s="78" t="n">
        <v>46213</v>
      </c>
      <c r="B746" s="45" t="inlineStr">
        <is>
          <t>天籁·鸿蒙座舱</t>
        </is>
      </c>
      <c r="C746" s="46" t="n">
        <v>280</v>
      </c>
      <c r="D746" s="46" t="n">
        <v>336</v>
      </c>
      <c r="E746" s="46" t="n">
        <v>308</v>
      </c>
      <c r="F746" s="46" t="n">
        <v>448</v>
      </c>
      <c r="G746" s="46" t="n">
        <v>308</v>
      </c>
      <c r="H746" s="46" t="n">
        <v>420</v>
      </c>
      <c r="I746" s="46" t="n">
        <v>224</v>
      </c>
      <c r="J746" s="46" t="n">
        <v>84</v>
      </c>
      <c r="K746" s="46" t="n">
        <v>280</v>
      </c>
      <c r="L746" s="46" t="n">
        <v>112</v>
      </c>
      <c r="M746" s="46">
        <f>N746-SUM(C746:L746)</f>
        <v/>
      </c>
      <c r="N746" s="47" t="n">
        <v>2948</v>
      </c>
      <c r="O746" s="46" t="n">
        <v>60</v>
      </c>
      <c r="P746" s="46" t="n">
        <v>0</v>
      </c>
      <c r="Q746" s="46" t="n">
        <v>730</v>
      </c>
      <c r="R746" s="46" t="n">
        <v>294</v>
      </c>
      <c r="S746" s="46" t="n">
        <v>217</v>
      </c>
      <c r="T746" s="46" t="n">
        <v>236</v>
      </c>
      <c r="U746" s="46" t="n">
        <v>67</v>
      </c>
      <c r="V746" s="46" t="n"/>
      <c r="W746" s="46" t="n">
        <v>564</v>
      </c>
      <c r="X746" s="46" t="n">
        <v>717</v>
      </c>
      <c r="Y746" s="46" t="n">
        <v>63</v>
      </c>
    </row>
    <row r="747">
      <c r="A747" s="78" t="n">
        <v>46214</v>
      </c>
      <c r="B747" s="45" t="inlineStr">
        <is>
          <t>天籁·鸿蒙座舱</t>
        </is>
      </c>
      <c r="C747" s="46" t="n">
        <v>322</v>
      </c>
      <c r="D747" s="46" t="n">
        <v>387</v>
      </c>
      <c r="E747" s="46" t="n">
        <v>354</v>
      </c>
      <c r="F747" s="46" t="n">
        <v>515</v>
      </c>
      <c r="G747" s="46" t="n">
        <v>354</v>
      </c>
      <c r="H747" s="46" t="n">
        <v>483</v>
      </c>
      <c r="I747" s="46" t="n">
        <v>258</v>
      </c>
      <c r="J747" s="46" t="n">
        <v>97</v>
      </c>
      <c r="K747" s="46" t="n">
        <v>322</v>
      </c>
      <c r="L747" s="46" t="n">
        <v>129</v>
      </c>
      <c r="M747" s="46">
        <f>N747-SUM(C747:L747)</f>
        <v/>
      </c>
      <c r="N747" s="47" t="n">
        <v>3391</v>
      </c>
      <c r="O747" s="46" t="n">
        <v>69</v>
      </c>
      <c r="P747" s="46" t="n">
        <v>0</v>
      </c>
      <c r="Q747" s="46" t="n">
        <v>840</v>
      </c>
      <c r="R747" s="46" t="n">
        <v>338</v>
      </c>
      <c r="S747" s="46" t="n">
        <v>249</v>
      </c>
      <c r="T747" s="46" t="n">
        <v>272</v>
      </c>
      <c r="U747" s="46" t="n">
        <v>78</v>
      </c>
      <c r="V747" s="46" t="n"/>
      <c r="W747" s="46" t="n">
        <v>649</v>
      </c>
      <c r="X747" s="46" t="n">
        <v>824</v>
      </c>
      <c r="Y747" s="46" t="n">
        <v>72</v>
      </c>
    </row>
    <row r="748">
      <c r="A748" s="78" t="n">
        <v>46215</v>
      </c>
      <c r="B748" s="45" t="inlineStr">
        <is>
          <t>天籁·鸿蒙座舱</t>
        </is>
      </c>
      <c r="C748" s="46" t="n">
        <v>322</v>
      </c>
      <c r="D748" s="46" t="n">
        <v>387</v>
      </c>
      <c r="E748" s="46" t="n">
        <v>354</v>
      </c>
      <c r="F748" s="46" t="n">
        <v>515</v>
      </c>
      <c r="G748" s="46" t="n">
        <v>354</v>
      </c>
      <c r="H748" s="46" t="n">
        <v>483</v>
      </c>
      <c r="I748" s="46" t="n">
        <v>258</v>
      </c>
      <c r="J748" s="46" t="n">
        <v>97</v>
      </c>
      <c r="K748" s="46" t="n">
        <v>322</v>
      </c>
      <c r="L748" s="46" t="n">
        <v>129</v>
      </c>
      <c r="M748" s="46">
        <f>N748-SUM(C748:L748)</f>
        <v/>
      </c>
      <c r="N748" s="47" t="n">
        <v>3391</v>
      </c>
      <c r="O748" s="46" t="n">
        <v>69</v>
      </c>
      <c r="P748" s="46" t="n">
        <v>0</v>
      </c>
      <c r="Q748" s="46" t="n">
        <v>840</v>
      </c>
      <c r="R748" s="46" t="n">
        <v>338</v>
      </c>
      <c r="S748" s="46" t="n">
        <v>249</v>
      </c>
      <c r="T748" s="46" t="n">
        <v>272</v>
      </c>
      <c r="U748" s="46" t="n">
        <v>78</v>
      </c>
      <c r="V748" s="46" t="n"/>
      <c r="W748" s="46" t="n">
        <v>649</v>
      </c>
      <c r="X748" s="46" t="n">
        <v>824</v>
      </c>
      <c r="Y748" s="46" t="n">
        <v>72</v>
      </c>
    </row>
    <row r="749">
      <c r="A749" s="78" t="n">
        <v>46216</v>
      </c>
      <c r="B749" s="45" t="inlineStr">
        <is>
          <t>天籁·鸿蒙座舱</t>
        </is>
      </c>
      <c r="C749" s="46" t="n">
        <v>280</v>
      </c>
      <c r="D749" s="46" t="n">
        <v>336</v>
      </c>
      <c r="E749" s="46" t="n">
        <v>308</v>
      </c>
      <c r="F749" s="46" t="n">
        <v>448</v>
      </c>
      <c r="G749" s="46" t="n">
        <v>308</v>
      </c>
      <c r="H749" s="46" t="n">
        <v>420</v>
      </c>
      <c r="I749" s="46" t="n">
        <v>224</v>
      </c>
      <c r="J749" s="46" t="n">
        <v>84</v>
      </c>
      <c r="K749" s="46" t="n">
        <v>280</v>
      </c>
      <c r="L749" s="46" t="n">
        <v>112</v>
      </c>
      <c r="M749" s="46">
        <f>N749-SUM(C749:L749)</f>
        <v/>
      </c>
      <c r="N749" s="47" t="n">
        <v>2948</v>
      </c>
      <c r="O749" s="46" t="n">
        <v>60</v>
      </c>
      <c r="P749" s="46" t="n">
        <v>0</v>
      </c>
      <c r="Q749" s="46" t="n">
        <v>730</v>
      </c>
      <c r="R749" s="46" t="n">
        <v>294</v>
      </c>
      <c r="S749" s="46" t="n">
        <v>217</v>
      </c>
      <c r="T749" s="46" t="n">
        <v>236</v>
      </c>
      <c r="U749" s="46" t="n">
        <v>67</v>
      </c>
      <c r="V749" s="46" t="n"/>
      <c r="W749" s="46" t="n">
        <v>564</v>
      </c>
      <c r="X749" s="46" t="n">
        <v>717</v>
      </c>
      <c r="Y749" s="46" t="n">
        <v>63</v>
      </c>
    </row>
    <row r="750">
      <c r="A750" s="78" t="n">
        <v>46217</v>
      </c>
      <c r="B750" s="45" t="inlineStr">
        <is>
          <t>天籁·鸿蒙座舱</t>
        </is>
      </c>
      <c r="C750" s="46" t="n">
        <v>280</v>
      </c>
      <c r="D750" s="46" t="n">
        <v>336</v>
      </c>
      <c r="E750" s="46" t="n">
        <v>308</v>
      </c>
      <c r="F750" s="46" t="n">
        <v>448</v>
      </c>
      <c r="G750" s="46" t="n">
        <v>308</v>
      </c>
      <c r="H750" s="46" t="n">
        <v>420</v>
      </c>
      <c r="I750" s="46" t="n">
        <v>224</v>
      </c>
      <c r="J750" s="46" t="n">
        <v>84</v>
      </c>
      <c r="K750" s="46" t="n">
        <v>280</v>
      </c>
      <c r="L750" s="46" t="n">
        <v>112</v>
      </c>
      <c r="M750" s="46">
        <f>N750-SUM(C750:L750)</f>
        <v/>
      </c>
      <c r="N750" s="47" t="n">
        <v>2948</v>
      </c>
      <c r="O750" s="46" t="n">
        <v>60</v>
      </c>
      <c r="P750" s="46" t="n">
        <v>0</v>
      </c>
      <c r="Q750" s="46" t="n">
        <v>730</v>
      </c>
      <c r="R750" s="46" t="n">
        <v>294</v>
      </c>
      <c r="S750" s="46" t="n">
        <v>217</v>
      </c>
      <c r="T750" s="46" t="n">
        <v>236</v>
      </c>
      <c r="U750" s="46" t="n">
        <v>67</v>
      </c>
      <c r="V750" s="46" t="n"/>
      <c r="W750" s="46" t="n">
        <v>564</v>
      </c>
      <c r="X750" s="46" t="n">
        <v>717</v>
      </c>
      <c r="Y750" s="46" t="n">
        <v>63</v>
      </c>
    </row>
    <row r="751">
      <c r="A751" s="78" t="n">
        <v>46218</v>
      </c>
      <c r="B751" s="45" t="inlineStr">
        <is>
          <t>天籁·鸿蒙座舱</t>
        </is>
      </c>
      <c r="C751" s="46" t="n">
        <v>280</v>
      </c>
      <c r="D751" s="46" t="n">
        <v>336</v>
      </c>
      <c r="E751" s="46" t="n">
        <v>308</v>
      </c>
      <c r="F751" s="46" t="n">
        <v>448</v>
      </c>
      <c r="G751" s="46" t="n">
        <v>308</v>
      </c>
      <c r="H751" s="46" t="n">
        <v>420</v>
      </c>
      <c r="I751" s="46" t="n">
        <v>224</v>
      </c>
      <c r="J751" s="46" t="n">
        <v>84</v>
      </c>
      <c r="K751" s="46" t="n">
        <v>280</v>
      </c>
      <c r="L751" s="46" t="n">
        <v>112</v>
      </c>
      <c r="M751" s="46">
        <f>N751-SUM(C751:L751)</f>
        <v/>
      </c>
      <c r="N751" s="47" t="n">
        <v>2948</v>
      </c>
      <c r="O751" s="46" t="n">
        <v>60</v>
      </c>
      <c r="P751" s="46" t="n">
        <v>0</v>
      </c>
      <c r="Q751" s="46" t="n">
        <v>730</v>
      </c>
      <c r="R751" s="46" t="n">
        <v>294</v>
      </c>
      <c r="S751" s="46" t="n">
        <v>217</v>
      </c>
      <c r="T751" s="46" t="n">
        <v>236</v>
      </c>
      <c r="U751" s="46" t="n">
        <v>67</v>
      </c>
      <c r="V751" s="46" t="n"/>
      <c r="W751" s="46" t="n">
        <v>564</v>
      </c>
      <c r="X751" s="46" t="n">
        <v>717</v>
      </c>
      <c r="Y751" s="46" t="n">
        <v>63</v>
      </c>
    </row>
    <row r="752">
      <c r="A752" s="78" t="n">
        <v>46219</v>
      </c>
      <c r="B752" s="45" t="inlineStr">
        <is>
          <t>天籁·鸿蒙座舱</t>
        </is>
      </c>
      <c r="C752" s="46" t="n">
        <v>280</v>
      </c>
      <c r="D752" s="46" t="n">
        <v>336</v>
      </c>
      <c r="E752" s="46" t="n">
        <v>308</v>
      </c>
      <c r="F752" s="46" t="n">
        <v>448</v>
      </c>
      <c r="G752" s="46" t="n">
        <v>308</v>
      </c>
      <c r="H752" s="46" t="n">
        <v>420</v>
      </c>
      <c r="I752" s="46" t="n">
        <v>224</v>
      </c>
      <c r="J752" s="46" t="n">
        <v>84</v>
      </c>
      <c r="K752" s="46" t="n">
        <v>280</v>
      </c>
      <c r="L752" s="46" t="n">
        <v>112</v>
      </c>
      <c r="M752" s="46">
        <f>N752-SUM(C752:L752)</f>
        <v/>
      </c>
      <c r="N752" s="47" t="n">
        <v>2948</v>
      </c>
      <c r="O752" s="46" t="n">
        <v>60</v>
      </c>
      <c r="P752" s="46" t="n">
        <v>0</v>
      </c>
      <c r="Q752" s="46" t="n">
        <v>730</v>
      </c>
      <c r="R752" s="46" t="n">
        <v>294</v>
      </c>
      <c r="S752" s="46" t="n">
        <v>217</v>
      </c>
      <c r="T752" s="46" t="n">
        <v>236</v>
      </c>
      <c r="U752" s="46" t="n">
        <v>67</v>
      </c>
      <c r="V752" s="46" t="n"/>
      <c r="W752" s="46" t="n">
        <v>564</v>
      </c>
      <c r="X752" s="46" t="n">
        <v>717</v>
      </c>
      <c r="Y752" s="46" t="n">
        <v>63</v>
      </c>
    </row>
    <row r="753">
      <c r="A753" s="78" t="n">
        <v>46220</v>
      </c>
      <c r="B753" s="45" t="inlineStr">
        <is>
          <t>天籁·鸿蒙座舱</t>
        </is>
      </c>
      <c r="C753" s="46" t="n">
        <v>280</v>
      </c>
      <c r="D753" s="46" t="n">
        <v>336</v>
      </c>
      <c r="E753" s="46" t="n">
        <v>308</v>
      </c>
      <c r="F753" s="46" t="n">
        <v>448</v>
      </c>
      <c r="G753" s="46" t="n">
        <v>308</v>
      </c>
      <c r="H753" s="46" t="n">
        <v>420</v>
      </c>
      <c r="I753" s="46" t="n">
        <v>224</v>
      </c>
      <c r="J753" s="46" t="n">
        <v>84</v>
      </c>
      <c r="K753" s="46" t="n">
        <v>280</v>
      </c>
      <c r="L753" s="46" t="n">
        <v>112</v>
      </c>
      <c r="M753" s="46">
        <f>N753-SUM(C753:L753)</f>
        <v/>
      </c>
      <c r="N753" s="47" t="n">
        <v>2948</v>
      </c>
      <c r="O753" s="46" t="n">
        <v>60</v>
      </c>
      <c r="P753" s="46" t="n">
        <v>0</v>
      </c>
      <c r="Q753" s="46" t="n">
        <v>730</v>
      </c>
      <c r="R753" s="46" t="n">
        <v>294</v>
      </c>
      <c r="S753" s="46" t="n">
        <v>217</v>
      </c>
      <c r="T753" s="46" t="n">
        <v>236</v>
      </c>
      <c r="U753" s="46" t="n">
        <v>67</v>
      </c>
      <c r="V753" s="46" t="n"/>
      <c r="W753" s="46" t="n">
        <v>564</v>
      </c>
      <c r="X753" s="46" t="n">
        <v>717</v>
      </c>
      <c r="Y753" s="46" t="n">
        <v>63</v>
      </c>
    </row>
    <row r="754">
      <c r="A754" s="78" t="n">
        <v>46221</v>
      </c>
      <c r="B754" s="45" t="inlineStr">
        <is>
          <t>天籁·鸿蒙座舱</t>
        </is>
      </c>
      <c r="C754" s="46" t="n">
        <v>322</v>
      </c>
      <c r="D754" s="46" t="n">
        <v>387</v>
      </c>
      <c r="E754" s="46" t="n">
        <v>354</v>
      </c>
      <c r="F754" s="46" t="n">
        <v>515</v>
      </c>
      <c r="G754" s="46" t="n">
        <v>354</v>
      </c>
      <c r="H754" s="46" t="n">
        <v>483</v>
      </c>
      <c r="I754" s="46" t="n">
        <v>258</v>
      </c>
      <c r="J754" s="46" t="n">
        <v>97</v>
      </c>
      <c r="K754" s="46" t="n">
        <v>322</v>
      </c>
      <c r="L754" s="46" t="n">
        <v>129</v>
      </c>
      <c r="M754" s="46">
        <f>N754-SUM(C754:L754)</f>
        <v/>
      </c>
      <c r="N754" s="47" t="n">
        <v>3391</v>
      </c>
      <c r="O754" s="46" t="n">
        <v>69</v>
      </c>
      <c r="P754" s="46" t="n">
        <v>0</v>
      </c>
      <c r="Q754" s="46" t="n">
        <v>840</v>
      </c>
      <c r="R754" s="46" t="n">
        <v>338</v>
      </c>
      <c r="S754" s="46" t="n">
        <v>249</v>
      </c>
      <c r="T754" s="46" t="n">
        <v>272</v>
      </c>
      <c r="U754" s="46" t="n">
        <v>78</v>
      </c>
      <c r="V754" s="46" t="n"/>
      <c r="W754" s="46" t="n">
        <v>649</v>
      </c>
      <c r="X754" s="46" t="n">
        <v>824</v>
      </c>
      <c r="Y754" s="46" t="n">
        <v>72</v>
      </c>
    </row>
    <row r="755">
      <c r="A755" s="78" t="n">
        <v>46222</v>
      </c>
      <c r="B755" s="45" t="inlineStr">
        <is>
          <t>天籁·鸿蒙座舱</t>
        </is>
      </c>
      <c r="C755" s="46" t="n">
        <v>322</v>
      </c>
      <c r="D755" s="46" t="n">
        <v>387</v>
      </c>
      <c r="E755" s="46" t="n">
        <v>354</v>
      </c>
      <c r="F755" s="46" t="n">
        <v>515</v>
      </c>
      <c r="G755" s="46" t="n">
        <v>354</v>
      </c>
      <c r="H755" s="46" t="n">
        <v>483</v>
      </c>
      <c r="I755" s="46" t="n">
        <v>258</v>
      </c>
      <c r="J755" s="46" t="n">
        <v>97</v>
      </c>
      <c r="K755" s="46" t="n">
        <v>322</v>
      </c>
      <c r="L755" s="46" t="n">
        <v>129</v>
      </c>
      <c r="M755" s="46">
        <f>N755-SUM(C755:L755)</f>
        <v/>
      </c>
      <c r="N755" s="47" t="n">
        <v>3391</v>
      </c>
      <c r="O755" s="46" t="n">
        <v>69</v>
      </c>
      <c r="P755" s="46" t="n">
        <v>0</v>
      </c>
      <c r="Q755" s="46" t="n">
        <v>840</v>
      </c>
      <c r="R755" s="46" t="n">
        <v>338</v>
      </c>
      <c r="S755" s="46" t="n">
        <v>249</v>
      </c>
      <c r="T755" s="46" t="n">
        <v>272</v>
      </c>
      <c r="U755" s="46" t="n">
        <v>78</v>
      </c>
      <c r="V755" s="46" t="n"/>
      <c r="W755" s="46" t="n">
        <v>649</v>
      </c>
      <c r="X755" s="46" t="n">
        <v>824</v>
      </c>
      <c r="Y755" s="46" t="n">
        <v>72</v>
      </c>
    </row>
    <row r="756">
      <c r="A756" s="78" t="n">
        <v>46223</v>
      </c>
      <c r="B756" s="45" t="inlineStr">
        <is>
          <t>天籁·鸿蒙座舱</t>
        </is>
      </c>
      <c r="C756" s="46" t="n">
        <v>280</v>
      </c>
      <c r="D756" s="46" t="n">
        <v>336</v>
      </c>
      <c r="E756" s="46" t="n">
        <v>308</v>
      </c>
      <c r="F756" s="46" t="n">
        <v>448</v>
      </c>
      <c r="G756" s="46" t="n">
        <v>308</v>
      </c>
      <c r="H756" s="46" t="n">
        <v>420</v>
      </c>
      <c r="I756" s="46" t="n">
        <v>224</v>
      </c>
      <c r="J756" s="46" t="n">
        <v>84</v>
      </c>
      <c r="K756" s="46" t="n">
        <v>280</v>
      </c>
      <c r="L756" s="46" t="n">
        <v>113</v>
      </c>
      <c r="M756" s="46">
        <f>N756-SUM(C756:L756)</f>
        <v/>
      </c>
      <c r="N756" s="47" t="n">
        <v>2948</v>
      </c>
      <c r="O756" s="46" t="n">
        <v>60</v>
      </c>
      <c r="P756" s="46" t="n">
        <v>0</v>
      </c>
      <c r="Q756" s="46" t="n">
        <v>730</v>
      </c>
      <c r="R756" s="46" t="n">
        <v>294</v>
      </c>
      <c r="S756" s="46" t="n">
        <v>217</v>
      </c>
      <c r="T756" s="46" t="n">
        <v>236</v>
      </c>
      <c r="U756" s="46" t="n">
        <v>67</v>
      </c>
      <c r="V756" s="46" t="n"/>
      <c r="W756" s="46" t="n">
        <v>564</v>
      </c>
      <c r="X756" s="46" t="n">
        <v>717</v>
      </c>
      <c r="Y756" s="46" t="n">
        <v>63</v>
      </c>
    </row>
    <row r="757">
      <c r="A757" s="78" t="n">
        <v>46224</v>
      </c>
      <c r="B757" s="45" t="inlineStr">
        <is>
          <t>天籁·鸿蒙座舱</t>
        </is>
      </c>
      <c r="C757" s="46" t="n">
        <v>280</v>
      </c>
      <c r="D757" s="46" t="n">
        <v>336</v>
      </c>
      <c r="E757" s="46" t="n">
        <v>308</v>
      </c>
      <c r="F757" s="46" t="n">
        <v>448</v>
      </c>
      <c r="G757" s="46" t="n">
        <v>308</v>
      </c>
      <c r="H757" s="46" t="n">
        <v>420</v>
      </c>
      <c r="I757" s="46" t="n">
        <v>224</v>
      </c>
      <c r="J757" s="46" t="n">
        <v>84</v>
      </c>
      <c r="K757" s="46" t="n">
        <v>280</v>
      </c>
      <c r="L757" s="46" t="n">
        <v>113</v>
      </c>
      <c r="M757" s="46">
        <f>N757-SUM(C757:L757)</f>
        <v/>
      </c>
      <c r="N757" s="47" t="n">
        <v>2948</v>
      </c>
      <c r="O757" s="46" t="n">
        <v>60</v>
      </c>
      <c r="P757" s="46" t="n">
        <v>0</v>
      </c>
      <c r="Q757" s="46" t="n">
        <v>730</v>
      </c>
      <c r="R757" s="46" t="n">
        <v>294</v>
      </c>
      <c r="S757" s="46" t="n">
        <v>217</v>
      </c>
      <c r="T757" s="46" t="n">
        <v>236</v>
      </c>
      <c r="U757" s="46" t="n">
        <v>67</v>
      </c>
      <c r="V757" s="46" t="n"/>
      <c r="W757" s="46" t="n">
        <v>564</v>
      </c>
      <c r="X757" s="46" t="n">
        <v>717</v>
      </c>
      <c r="Y757" s="46" t="n">
        <v>63</v>
      </c>
    </row>
    <row r="758">
      <c r="A758" s="78" t="n">
        <v>46225</v>
      </c>
      <c r="B758" s="45" t="inlineStr">
        <is>
          <t>天籁·鸿蒙座舱</t>
        </is>
      </c>
      <c r="C758" s="46" t="n">
        <v>280</v>
      </c>
      <c r="D758" s="46" t="n">
        <v>336</v>
      </c>
      <c r="E758" s="46" t="n">
        <v>308</v>
      </c>
      <c r="F758" s="46" t="n">
        <v>448</v>
      </c>
      <c r="G758" s="46" t="n">
        <v>308</v>
      </c>
      <c r="H758" s="46" t="n">
        <v>420</v>
      </c>
      <c r="I758" s="46" t="n">
        <v>224</v>
      </c>
      <c r="J758" s="46" t="n">
        <v>84</v>
      </c>
      <c r="K758" s="46" t="n">
        <v>280</v>
      </c>
      <c r="L758" s="46" t="n">
        <v>113</v>
      </c>
      <c r="M758" s="46">
        <f>N758-SUM(C758:L758)</f>
        <v/>
      </c>
      <c r="N758" s="47" t="n">
        <v>2949</v>
      </c>
      <c r="O758" s="46" t="n">
        <v>60</v>
      </c>
      <c r="P758" s="46" t="n">
        <v>1</v>
      </c>
      <c r="Q758" s="46" t="n">
        <v>730</v>
      </c>
      <c r="R758" s="46" t="n">
        <v>294</v>
      </c>
      <c r="S758" s="46" t="n">
        <v>217</v>
      </c>
      <c r="T758" s="46" t="n">
        <v>236</v>
      </c>
      <c r="U758" s="46" t="n">
        <v>67</v>
      </c>
      <c r="V758" s="46" t="n"/>
      <c r="W758" s="46" t="n">
        <v>564</v>
      </c>
      <c r="X758" s="46" t="n">
        <v>717</v>
      </c>
      <c r="Y758" s="46" t="n">
        <v>63</v>
      </c>
    </row>
    <row r="759">
      <c r="A759" s="78" t="n">
        <v>46226</v>
      </c>
      <c r="B759" s="45" t="inlineStr">
        <is>
          <t>天籁·鸿蒙座舱</t>
        </is>
      </c>
      <c r="C759" s="46" t="n">
        <v>280</v>
      </c>
      <c r="D759" s="46" t="n">
        <v>336</v>
      </c>
      <c r="E759" s="46" t="n">
        <v>308</v>
      </c>
      <c r="F759" s="46" t="n">
        <v>448</v>
      </c>
      <c r="G759" s="46" t="n">
        <v>308</v>
      </c>
      <c r="H759" s="46" t="n">
        <v>420</v>
      </c>
      <c r="I759" s="46" t="n">
        <v>224</v>
      </c>
      <c r="J759" s="46" t="n">
        <v>84</v>
      </c>
      <c r="K759" s="46" t="n">
        <v>280</v>
      </c>
      <c r="L759" s="46" t="n">
        <v>113</v>
      </c>
      <c r="M759" s="46">
        <f>N759-SUM(C759:L759)</f>
        <v/>
      </c>
      <c r="N759" s="47" t="n">
        <v>2949</v>
      </c>
      <c r="O759" s="46" t="n">
        <v>60</v>
      </c>
      <c r="P759" s="46" t="n">
        <v>1</v>
      </c>
      <c r="Q759" s="46" t="n">
        <v>730</v>
      </c>
      <c r="R759" s="46" t="n">
        <v>294</v>
      </c>
      <c r="S759" s="46" t="n">
        <v>217</v>
      </c>
      <c r="T759" s="46" t="n">
        <v>236</v>
      </c>
      <c r="U759" s="46" t="n">
        <v>67</v>
      </c>
      <c r="V759" s="46" t="n"/>
      <c r="W759" s="46" t="n">
        <v>564</v>
      </c>
      <c r="X759" s="46" t="n">
        <v>717</v>
      </c>
      <c r="Y759" s="46" t="n">
        <v>63</v>
      </c>
    </row>
    <row r="760">
      <c r="A760" s="78" t="n">
        <v>46227</v>
      </c>
      <c r="B760" s="45" t="inlineStr">
        <is>
          <t>天籁·鸿蒙座舱</t>
        </is>
      </c>
      <c r="C760" s="46" t="n">
        <v>280</v>
      </c>
      <c r="D760" s="46" t="n">
        <v>336</v>
      </c>
      <c r="E760" s="46" t="n">
        <v>308</v>
      </c>
      <c r="F760" s="46" t="n">
        <v>448</v>
      </c>
      <c r="G760" s="46" t="n">
        <v>308</v>
      </c>
      <c r="H760" s="46" t="n">
        <v>420</v>
      </c>
      <c r="I760" s="46" t="n">
        <v>224</v>
      </c>
      <c r="J760" s="46" t="n">
        <v>84</v>
      </c>
      <c r="K760" s="46" t="n">
        <v>280</v>
      </c>
      <c r="L760" s="46" t="n">
        <v>113</v>
      </c>
      <c r="M760" s="46">
        <f>N760-SUM(C760:L760)</f>
        <v/>
      </c>
      <c r="N760" s="47" t="n">
        <v>2949</v>
      </c>
      <c r="O760" s="46" t="n">
        <v>60</v>
      </c>
      <c r="P760" s="46" t="n">
        <v>1</v>
      </c>
      <c r="Q760" s="46" t="n">
        <v>730</v>
      </c>
      <c r="R760" s="46" t="n">
        <v>294</v>
      </c>
      <c r="S760" s="46" t="n">
        <v>217</v>
      </c>
      <c r="T760" s="46" t="n">
        <v>236</v>
      </c>
      <c r="U760" s="46" t="n">
        <v>67</v>
      </c>
      <c r="V760" s="46" t="n"/>
      <c r="W760" s="46" t="n">
        <v>564</v>
      </c>
      <c r="X760" s="46" t="n">
        <v>717</v>
      </c>
      <c r="Y760" s="46" t="n">
        <v>63</v>
      </c>
    </row>
    <row r="761">
      <c r="A761" s="78" t="n">
        <v>46228</v>
      </c>
      <c r="B761" s="45" t="inlineStr">
        <is>
          <t>天籁·鸿蒙座舱</t>
        </is>
      </c>
      <c r="C761" s="46" t="n">
        <v>322</v>
      </c>
      <c r="D761" s="46" t="n">
        <v>387</v>
      </c>
      <c r="E761" s="46" t="n">
        <v>355</v>
      </c>
      <c r="F761" s="46" t="n">
        <v>516</v>
      </c>
      <c r="G761" s="46" t="n">
        <v>355</v>
      </c>
      <c r="H761" s="46" t="n">
        <v>484</v>
      </c>
      <c r="I761" s="46" t="n">
        <v>258</v>
      </c>
      <c r="J761" s="46" t="n">
        <v>97</v>
      </c>
      <c r="K761" s="46" t="n">
        <v>322</v>
      </c>
      <c r="L761" s="46" t="n">
        <v>129</v>
      </c>
      <c r="M761" s="46">
        <f>N761-SUM(C761:L761)</f>
        <v/>
      </c>
      <c r="N761" s="47" t="n">
        <v>3393</v>
      </c>
      <c r="O761" s="46" t="n">
        <v>69</v>
      </c>
      <c r="P761" s="46" t="n">
        <v>1</v>
      </c>
      <c r="Q761" s="46" t="n">
        <v>840</v>
      </c>
      <c r="R761" s="46" t="n">
        <v>338</v>
      </c>
      <c r="S761" s="46" t="n">
        <v>249</v>
      </c>
      <c r="T761" s="46" t="n">
        <v>272</v>
      </c>
      <c r="U761" s="46" t="n">
        <v>79</v>
      </c>
      <c r="V761" s="46" t="n"/>
      <c r="W761" s="46" t="n">
        <v>649</v>
      </c>
      <c r="X761" s="46" t="n">
        <v>824</v>
      </c>
      <c r="Y761" s="46" t="n">
        <v>72</v>
      </c>
    </row>
    <row r="762">
      <c r="A762" s="78" t="n">
        <v>46229</v>
      </c>
      <c r="B762" s="45" t="inlineStr">
        <is>
          <t>天籁·鸿蒙座舱</t>
        </is>
      </c>
      <c r="C762" s="46" t="n">
        <v>322</v>
      </c>
      <c r="D762" s="46" t="n">
        <v>387</v>
      </c>
      <c r="E762" s="46" t="n">
        <v>355</v>
      </c>
      <c r="F762" s="46" t="n">
        <v>516</v>
      </c>
      <c r="G762" s="46" t="n">
        <v>355</v>
      </c>
      <c r="H762" s="46" t="n">
        <v>484</v>
      </c>
      <c r="I762" s="46" t="n">
        <v>258</v>
      </c>
      <c r="J762" s="46" t="n">
        <v>97</v>
      </c>
      <c r="K762" s="46" t="n">
        <v>322</v>
      </c>
      <c r="L762" s="46" t="n">
        <v>129</v>
      </c>
      <c r="M762" s="46">
        <f>N762-SUM(C762:L762)</f>
        <v/>
      </c>
      <c r="N762" s="47" t="n">
        <v>3394</v>
      </c>
      <c r="O762" s="46" t="n">
        <v>70</v>
      </c>
      <c r="P762" s="46" t="n">
        <v>1</v>
      </c>
      <c r="Q762" s="46" t="n">
        <v>840</v>
      </c>
      <c r="R762" s="46" t="n">
        <v>338</v>
      </c>
      <c r="S762" s="46" t="n">
        <v>249</v>
      </c>
      <c r="T762" s="46" t="n">
        <v>272</v>
      </c>
      <c r="U762" s="46" t="n">
        <v>79</v>
      </c>
      <c r="V762" s="46" t="n"/>
      <c r="W762" s="46" t="n">
        <v>649</v>
      </c>
      <c r="X762" s="46" t="n">
        <v>824</v>
      </c>
      <c r="Y762" s="46" t="n">
        <v>72</v>
      </c>
    </row>
    <row r="763">
      <c r="A763" s="78" t="n">
        <v>46230</v>
      </c>
      <c r="B763" s="45" t="inlineStr">
        <is>
          <t>天籁·鸿蒙座舱</t>
        </is>
      </c>
      <c r="C763" s="46" t="n">
        <v>280</v>
      </c>
      <c r="D763" s="46" t="n">
        <v>336</v>
      </c>
      <c r="E763" s="46" t="n">
        <v>308</v>
      </c>
      <c r="F763" s="46" t="n">
        <v>449</v>
      </c>
      <c r="G763" s="46" t="n">
        <v>308</v>
      </c>
      <c r="H763" s="46" t="n">
        <v>421</v>
      </c>
      <c r="I763" s="46" t="n">
        <v>224</v>
      </c>
      <c r="J763" s="46" t="n">
        <v>84</v>
      </c>
      <c r="K763" s="46" t="n">
        <v>280</v>
      </c>
      <c r="L763" s="46" t="n">
        <v>113</v>
      </c>
      <c r="M763" s="46">
        <f>N763-SUM(C763:L763)</f>
        <v/>
      </c>
      <c r="N763" s="47" t="n">
        <v>2951</v>
      </c>
      <c r="O763" s="46" t="n">
        <v>61</v>
      </c>
      <c r="P763" s="46" t="n">
        <v>1</v>
      </c>
      <c r="Q763" s="46" t="n">
        <v>730</v>
      </c>
      <c r="R763" s="46" t="n">
        <v>294</v>
      </c>
      <c r="S763" s="46" t="n">
        <v>217</v>
      </c>
      <c r="T763" s="46" t="n">
        <v>236</v>
      </c>
      <c r="U763" s="46" t="n">
        <v>68</v>
      </c>
      <c r="V763" s="46" t="n"/>
      <c r="W763" s="46" t="n">
        <v>564</v>
      </c>
      <c r="X763" s="46" t="n">
        <v>717</v>
      </c>
      <c r="Y763" s="46" t="n">
        <v>63</v>
      </c>
    </row>
    <row r="764">
      <c r="A764" s="78" t="n">
        <v>46231</v>
      </c>
      <c r="B764" s="45" t="inlineStr">
        <is>
          <t>天籁·鸿蒙座舱</t>
        </is>
      </c>
      <c r="C764" s="46" t="n">
        <v>280</v>
      </c>
      <c r="D764" s="46" t="n">
        <v>336</v>
      </c>
      <c r="E764" s="46" t="n">
        <v>308</v>
      </c>
      <c r="F764" s="46" t="n">
        <v>449</v>
      </c>
      <c r="G764" s="46" t="n">
        <v>308</v>
      </c>
      <c r="H764" s="46" t="n">
        <v>421</v>
      </c>
      <c r="I764" s="46" t="n">
        <v>224</v>
      </c>
      <c r="J764" s="46" t="n">
        <v>84</v>
      </c>
      <c r="K764" s="46" t="n">
        <v>280</v>
      </c>
      <c r="L764" s="46" t="n">
        <v>113</v>
      </c>
      <c r="M764" s="46">
        <f>N764-SUM(C764:L764)</f>
        <v/>
      </c>
      <c r="N764" s="47" t="n">
        <v>2951</v>
      </c>
      <c r="O764" s="46" t="n">
        <v>61</v>
      </c>
      <c r="P764" s="46" t="n">
        <v>1</v>
      </c>
      <c r="Q764" s="46" t="n">
        <v>730</v>
      </c>
      <c r="R764" s="46" t="n">
        <v>294</v>
      </c>
      <c r="S764" s="46" t="n">
        <v>217</v>
      </c>
      <c r="T764" s="46" t="n">
        <v>236</v>
      </c>
      <c r="U764" s="46" t="n">
        <v>68</v>
      </c>
      <c r="V764" s="46" t="n"/>
      <c r="W764" s="46" t="n">
        <v>564</v>
      </c>
      <c r="X764" s="46" t="n">
        <v>717</v>
      </c>
      <c r="Y764" s="46" t="n">
        <v>63</v>
      </c>
    </row>
    <row r="765">
      <c r="A765" s="78" t="n">
        <v>46232</v>
      </c>
      <c r="B765" s="45" t="inlineStr">
        <is>
          <t>天籁·鸿蒙座舱</t>
        </is>
      </c>
      <c r="C765" s="46" t="n">
        <v>280</v>
      </c>
      <c r="D765" s="46" t="n">
        <v>337</v>
      </c>
      <c r="E765" s="46" t="n">
        <v>308</v>
      </c>
      <c r="F765" s="46" t="n">
        <v>449</v>
      </c>
      <c r="G765" s="46" t="n">
        <v>308</v>
      </c>
      <c r="H765" s="46" t="n">
        <v>421</v>
      </c>
      <c r="I765" s="46" t="n">
        <v>224</v>
      </c>
      <c r="J765" s="46" t="n">
        <v>84</v>
      </c>
      <c r="K765" s="46" t="n">
        <v>280</v>
      </c>
      <c r="L765" s="46" t="n">
        <v>113</v>
      </c>
      <c r="M765" s="46">
        <f>N765-SUM(C765:L765)</f>
        <v/>
      </c>
      <c r="N765" s="47" t="n">
        <v>2952</v>
      </c>
      <c r="O765" s="46" t="n">
        <v>61</v>
      </c>
      <c r="P765" s="46" t="n">
        <v>1</v>
      </c>
      <c r="Q765" s="46" t="n">
        <v>731</v>
      </c>
      <c r="R765" s="46" t="n">
        <v>294</v>
      </c>
      <c r="S765" s="46" t="n">
        <v>217</v>
      </c>
      <c r="T765" s="46" t="n">
        <v>236</v>
      </c>
      <c r="U765" s="46" t="n">
        <v>68</v>
      </c>
      <c r="V765" s="46" t="n"/>
      <c r="W765" s="46" t="n">
        <v>564</v>
      </c>
      <c r="X765" s="46" t="n">
        <v>717</v>
      </c>
      <c r="Y765" s="46" t="n">
        <v>63</v>
      </c>
    </row>
    <row r="766">
      <c r="A766" s="78" t="n">
        <v>46233</v>
      </c>
      <c r="B766" s="45" t="inlineStr">
        <is>
          <t>天籁·鸿蒙座舱</t>
        </is>
      </c>
      <c r="C766" s="46" t="n">
        <v>280</v>
      </c>
      <c r="D766" s="46" t="n">
        <v>337</v>
      </c>
      <c r="E766" s="46" t="n">
        <v>308</v>
      </c>
      <c r="F766" s="46" t="n">
        <v>449</v>
      </c>
      <c r="G766" s="46" t="n">
        <v>308</v>
      </c>
      <c r="H766" s="46" t="n">
        <v>421</v>
      </c>
      <c r="I766" s="46" t="n">
        <v>224</v>
      </c>
      <c r="J766" s="46" t="n">
        <v>84</v>
      </c>
      <c r="K766" s="46" t="n">
        <v>280</v>
      </c>
      <c r="L766" s="46" t="n">
        <v>113</v>
      </c>
      <c r="M766" s="46">
        <f>N766-SUM(C766:L766)</f>
        <v/>
      </c>
      <c r="N766" s="47" t="n">
        <v>2952</v>
      </c>
      <c r="O766" s="46" t="n">
        <v>61</v>
      </c>
      <c r="P766" s="46" t="n">
        <v>1</v>
      </c>
      <c r="Q766" s="46" t="n">
        <v>731</v>
      </c>
      <c r="R766" s="46" t="n">
        <v>294</v>
      </c>
      <c r="S766" s="46" t="n">
        <v>217</v>
      </c>
      <c r="T766" s="46" t="n">
        <v>236</v>
      </c>
      <c r="U766" s="46" t="n">
        <v>68</v>
      </c>
      <c r="V766" s="46" t="n"/>
      <c r="W766" s="46" t="n">
        <v>564</v>
      </c>
      <c r="X766" s="46" t="n">
        <v>717</v>
      </c>
      <c r="Y766" s="46" t="n">
        <v>63</v>
      </c>
    </row>
    <row r="767">
      <c r="A767" s="78" t="n">
        <v>46234</v>
      </c>
      <c r="B767" s="45" t="inlineStr">
        <is>
          <t>天籁·鸿蒙座舱</t>
        </is>
      </c>
      <c r="C767" s="46" t="n">
        <v>280</v>
      </c>
      <c r="D767" s="46" t="n">
        <v>337</v>
      </c>
      <c r="E767" s="46" t="n">
        <v>308</v>
      </c>
      <c r="F767" s="46" t="n">
        <v>449</v>
      </c>
      <c r="G767" s="46" t="n">
        <v>308</v>
      </c>
      <c r="H767" s="46" t="n">
        <v>421</v>
      </c>
      <c r="I767" s="46" t="n">
        <v>224</v>
      </c>
      <c r="J767" s="46" t="n">
        <v>84</v>
      </c>
      <c r="K767" s="46" t="n">
        <v>280</v>
      </c>
      <c r="L767" s="46" t="n">
        <v>113</v>
      </c>
      <c r="M767" s="46">
        <f>N767-SUM(C767:L767)</f>
        <v/>
      </c>
      <c r="N767" s="47" t="n">
        <v>2952</v>
      </c>
      <c r="O767" s="46" t="n">
        <v>61</v>
      </c>
      <c r="P767" s="46" t="n">
        <v>1</v>
      </c>
      <c r="Q767" s="46" t="n">
        <v>731</v>
      </c>
      <c r="R767" s="46" t="n">
        <v>294</v>
      </c>
      <c r="S767" s="46" t="n">
        <v>217</v>
      </c>
      <c r="T767" s="46" t="n">
        <v>236</v>
      </c>
      <c r="U767" s="46" t="n">
        <v>68</v>
      </c>
      <c r="V767" s="46" t="n"/>
      <c r="W767" s="46" t="n">
        <v>564</v>
      </c>
      <c r="X767" s="46" t="n">
        <v>717</v>
      </c>
      <c r="Y767" s="46" t="n">
        <v>63</v>
      </c>
    </row>
    <row r="768">
      <c r="A768" s="78" t="n">
        <v>46235</v>
      </c>
      <c r="B768" s="45" t="inlineStr">
        <is>
          <t>天籁·鸿蒙座舱</t>
        </is>
      </c>
      <c r="C768" s="46" t="n">
        <v>261</v>
      </c>
      <c r="D768" s="46" t="n">
        <v>348</v>
      </c>
      <c r="E768" s="46" t="n">
        <v>348</v>
      </c>
      <c r="F768" s="46" t="n">
        <v>463</v>
      </c>
      <c r="G768" s="46" t="n">
        <v>348</v>
      </c>
      <c r="H768" s="46" t="n">
        <v>377</v>
      </c>
      <c r="I768" s="46" t="n">
        <v>232</v>
      </c>
      <c r="J768" s="46" t="n">
        <v>87</v>
      </c>
      <c r="K768" s="46" t="n">
        <v>319</v>
      </c>
      <c r="L768" s="46" t="n">
        <v>116</v>
      </c>
      <c r="M768" s="46">
        <f>N768-SUM(C768:L768)</f>
        <v/>
      </c>
      <c r="N768" s="47" t="n">
        <v>3148</v>
      </c>
      <c r="O768" s="46" t="n">
        <v>55</v>
      </c>
      <c r="P768" s="46" t="n">
        <v>0</v>
      </c>
      <c r="Q768" s="46" t="n">
        <v>889</v>
      </c>
      <c r="R768" s="46" t="n">
        <v>387</v>
      </c>
      <c r="S768" s="46" t="n">
        <v>219</v>
      </c>
      <c r="T768" s="46" t="n">
        <v>279</v>
      </c>
      <c r="U768" s="46" t="n">
        <v>96</v>
      </c>
      <c r="V768" s="46" t="n"/>
      <c r="W768" s="46" t="n">
        <v>680</v>
      </c>
      <c r="X768" s="46" t="n">
        <v>543</v>
      </c>
      <c r="Y768" s="46" t="n">
        <v>0</v>
      </c>
    </row>
    <row r="769">
      <c r="A769" s="78" t="n">
        <v>46236</v>
      </c>
      <c r="B769" s="45" t="inlineStr">
        <is>
          <t>天籁·鸿蒙座舱</t>
        </is>
      </c>
      <c r="C769" s="46" t="n">
        <v>261</v>
      </c>
      <c r="D769" s="46" t="n">
        <v>348</v>
      </c>
      <c r="E769" s="46" t="n">
        <v>348</v>
      </c>
      <c r="F769" s="46" t="n">
        <v>464</v>
      </c>
      <c r="G769" s="46" t="n">
        <v>348</v>
      </c>
      <c r="H769" s="46" t="n">
        <v>377</v>
      </c>
      <c r="I769" s="46" t="n">
        <v>232</v>
      </c>
      <c r="J769" s="46" t="n">
        <v>87</v>
      </c>
      <c r="K769" s="46" t="n">
        <v>319</v>
      </c>
      <c r="L769" s="46" t="n">
        <v>116</v>
      </c>
      <c r="M769" s="46">
        <f>N769-SUM(C769:L769)</f>
        <v/>
      </c>
      <c r="N769" s="47" t="n">
        <v>3154</v>
      </c>
      <c r="O769" s="46" t="n">
        <v>55</v>
      </c>
      <c r="P769" s="46" t="n">
        <v>0</v>
      </c>
      <c r="Q769" s="46" t="n">
        <v>889</v>
      </c>
      <c r="R769" s="46" t="n">
        <v>387</v>
      </c>
      <c r="S769" s="46" t="n">
        <v>219</v>
      </c>
      <c r="T769" s="46" t="n">
        <v>279</v>
      </c>
      <c r="U769" s="46" t="n">
        <v>96</v>
      </c>
      <c r="V769" s="46" t="n"/>
      <c r="W769" s="46" t="n">
        <v>680</v>
      </c>
      <c r="X769" s="46" t="n">
        <v>549</v>
      </c>
      <c r="Y769" s="46" t="n">
        <v>0</v>
      </c>
    </row>
    <row r="770">
      <c r="A770" s="78" t="n">
        <v>46237</v>
      </c>
      <c r="B770" s="45" t="inlineStr">
        <is>
          <t>天籁·鸿蒙座舱</t>
        </is>
      </c>
      <c r="C770" s="46" t="n">
        <v>241</v>
      </c>
      <c r="D770" s="46" t="n">
        <v>322</v>
      </c>
      <c r="E770" s="46" t="n">
        <v>322</v>
      </c>
      <c r="F770" s="46" t="n">
        <v>429</v>
      </c>
      <c r="G770" s="46" t="n">
        <v>322</v>
      </c>
      <c r="H770" s="46" t="n">
        <v>349</v>
      </c>
      <c r="I770" s="46" t="n">
        <v>215</v>
      </c>
      <c r="J770" s="46" t="n">
        <v>80</v>
      </c>
      <c r="K770" s="46" t="n">
        <v>295</v>
      </c>
      <c r="L770" s="46" t="n">
        <v>107</v>
      </c>
      <c r="M770" s="46">
        <f>N770-SUM(C770:L770)</f>
        <v/>
      </c>
      <c r="N770" s="47" t="n">
        <v>2916</v>
      </c>
      <c r="O770" s="46" t="n">
        <v>48</v>
      </c>
      <c r="P770" s="46" t="n">
        <v>0</v>
      </c>
      <c r="Q770" s="46" t="n">
        <v>773</v>
      </c>
      <c r="R770" s="46" t="n">
        <v>337</v>
      </c>
      <c r="S770" s="46" t="n">
        <v>190</v>
      </c>
      <c r="T770" s="46" t="n">
        <v>242</v>
      </c>
      <c r="U770" s="46" t="n">
        <v>84</v>
      </c>
      <c r="V770" s="46" t="n"/>
      <c r="W770" s="46" t="n">
        <v>591</v>
      </c>
      <c r="X770" s="46" t="n">
        <v>527</v>
      </c>
      <c r="Y770" s="46" t="n">
        <v>124</v>
      </c>
    </row>
    <row r="771">
      <c r="A771" s="78" t="n">
        <v>46238</v>
      </c>
      <c r="B771" s="45" t="inlineStr">
        <is>
          <t>天籁·鸿蒙座舱</t>
        </is>
      </c>
      <c r="C771" s="46" t="n">
        <v>243</v>
      </c>
      <c r="D771" s="46" t="n">
        <v>323</v>
      </c>
      <c r="E771" s="46" t="n">
        <v>323</v>
      </c>
      <c r="F771" s="46" t="n">
        <v>431</v>
      </c>
      <c r="G771" s="46" t="n">
        <v>323</v>
      </c>
      <c r="H771" s="46" t="n">
        <v>350</v>
      </c>
      <c r="I771" s="46" t="n">
        <v>216</v>
      </c>
      <c r="J771" s="46" t="n">
        <v>81</v>
      </c>
      <c r="K771" s="46" t="n">
        <v>297</v>
      </c>
      <c r="L771" s="46" t="n">
        <v>108</v>
      </c>
      <c r="M771" s="46">
        <f>N771-SUM(C771:L771)</f>
        <v/>
      </c>
      <c r="N771" s="47" t="n">
        <v>2930</v>
      </c>
      <c r="O771" s="46" t="n">
        <v>48</v>
      </c>
      <c r="P771" s="46" t="n">
        <v>0</v>
      </c>
      <c r="Q771" s="46" t="n">
        <v>773</v>
      </c>
      <c r="R771" s="46" t="n">
        <v>337</v>
      </c>
      <c r="S771" s="46" t="n">
        <v>190</v>
      </c>
      <c r="T771" s="46" t="n">
        <v>242</v>
      </c>
      <c r="U771" s="46" t="n">
        <v>84</v>
      </c>
      <c r="V771" s="46" t="n"/>
      <c r="W771" s="46" t="n">
        <v>591</v>
      </c>
      <c r="X771" s="46" t="n">
        <v>541</v>
      </c>
      <c r="Y771" s="46" t="n">
        <v>124</v>
      </c>
    </row>
    <row r="772">
      <c r="A772" s="78" t="n">
        <v>46239</v>
      </c>
      <c r="B772" s="45" t="inlineStr">
        <is>
          <t>天籁·鸿蒙座舱</t>
        </is>
      </c>
      <c r="C772" s="46" t="n">
        <v>243</v>
      </c>
      <c r="D772" s="46" t="n">
        <v>324</v>
      </c>
      <c r="E772" s="46" t="n">
        <v>324</v>
      </c>
      <c r="F772" s="46" t="n">
        <v>432</v>
      </c>
      <c r="G772" s="46" t="n">
        <v>324</v>
      </c>
      <c r="H772" s="46" t="n">
        <v>351</v>
      </c>
      <c r="I772" s="46" t="n">
        <v>216</v>
      </c>
      <c r="J772" s="46" t="n">
        <v>81</v>
      </c>
      <c r="K772" s="46" t="n">
        <v>297</v>
      </c>
      <c r="L772" s="46" t="n">
        <v>108</v>
      </c>
      <c r="M772" s="46">
        <f>N772-SUM(C772:L772)</f>
        <v/>
      </c>
      <c r="N772" s="47" t="n">
        <v>2937</v>
      </c>
      <c r="O772" s="46" t="n">
        <v>48</v>
      </c>
      <c r="P772" s="46" t="n">
        <v>0</v>
      </c>
      <c r="Q772" s="46" t="n">
        <v>773</v>
      </c>
      <c r="R772" s="46" t="n">
        <v>337</v>
      </c>
      <c r="S772" s="46" t="n">
        <v>190</v>
      </c>
      <c r="T772" s="46" t="n">
        <v>242</v>
      </c>
      <c r="U772" s="46" t="n">
        <v>84</v>
      </c>
      <c r="V772" s="46" t="n"/>
      <c r="W772" s="46" t="n">
        <v>591</v>
      </c>
      <c r="X772" s="46" t="n">
        <v>549</v>
      </c>
      <c r="Y772" s="46" t="n">
        <v>123</v>
      </c>
    </row>
    <row r="773">
      <c r="A773" s="78" t="n">
        <v>46240</v>
      </c>
      <c r="B773" s="45" t="inlineStr">
        <is>
          <t>天籁·鸿蒙座舱</t>
        </is>
      </c>
      <c r="C773" s="46" t="n">
        <v>242</v>
      </c>
      <c r="D773" s="46" t="n">
        <v>323</v>
      </c>
      <c r="E773" s="46" t="n">
        <v>323</v>
      </c>
      <c r="F773" s="46" t="n">
        <v>431</v>
      </c>
      <c r="G773" s="46" t="n">
        <v>323</v>
      </c>
      <c r="H773" s="46" t="n">
        <v>350</v>
      </c>
      <c r="I773" s="46" t="n">
        <v>216</v>
      </c>
      <c r="J773" s="46" t="n">
        <v>81</v>
      </c>
      <c r="K773" s="46" t="n">
        <v>296</v>
      </c>
      <c r="L773" s="46" t="n">
        <v>108</v>
      </c>
      <c r="M773" s="46">
        <f>N773-SUM(C773:L773)</f>
        <v/>
      </c>
      <c r="N773" s="47" t="n">
        <v>2928</v>
      </c>
      <c r="O773" s="46" t="n">
        <v>48</v>
      </c>
      <c r="P773" s="46" t="n">
        <v>0</v>
      </c>
      <c r="Q773" s="46" t="n">
        <v>774</v>
      </c>
      <c r="R773" s="46" t="n">
        <v>337</v>
      </c>
      <c r="S773" s="46" t="n">
        <v>190</v>
      </c>
      <c r="T773" s="46" t="n">
        <v>242</v>
      </c>
      <c r="U773" s="46" t="n">
        <v>84</v>
      </c>
      <c r="V773" s="46" t="n"/>
      <c r="W773" s="46" t="n">
        <v>591</v>
      </c>
      <c r="X773" s="46" t="n">
        <v>539</v>
      </c>
      <c r="Y773" s="46" t="n">
        <v>123</v>
      </c>
    </row>
    <row r="774">
      <c r="A774" s="78" t="n">
        <v>46241</v>
      </c>
      <c r="B774" s="45" t="inlineStr">
        <is>
          <t>天籁·鸿蒙座舱</t>
        </is>
      </c>
      <c r="C774" s="46" t="n">
        <v>244</v>
      </c>
      <c r="D774" s="46" t="n">
        <v>325</v>
      </c>
      <c r="E774" s="46" t="n">
        <v>325</v>
      </c>
      <c r="F774" s="46" t="n">
        <v>434</v>
      </c>
      <c r="G774" s="46" t="n">
        <v>325</v>
      </c>
      <c r="H774" s="46" t="n">
        <v>352</v>
      </c>
      <c r="I774" s="46" t="n">
        <v>217</v>
      </c>
      <c r="J774" s="46" t="n">
        <v>81</v>
      </c>
      <c r="K774" s="46" t="n">
        <v>298</v>
      </c>
      <c r="L774" s="46" t="n">
        <v>108</v>
      </c>
      <c r="M774" s="46">
        <f>N774-SUM(C774:L774)</f>
        <v/>
      </c>
      <c r="N774" s="47" t="n">
        <v>2945</v>
      </c>
      <c r="O774" s="46" t="n">
        <v>48</v>
      </c>
      <c r="P774" s="46" t="n">
        <v>0</v>
      </c>
      <c r="Q774" s="46" t="n">
        <v>774</v>
      </c>
      <c r="R774" s="46" t="n">
        <v>337</v>
      </c>
      <c r="S774" s="46" t="n">
        <v>190</v>
      </c>
      <c r="T774" s="46" t="n">
        <v>242</v>
      </c>
      <c r="U774" s="46" t="n">
        <v>84</v>
      </c>
      <c r="V774" s="46" t="n"/>
      <c r="W774" s="46" t="n">
        <v>591</v>
      </c>
      <c r="X774" s="46" t="n">
        <v>556</v>
      </c>
      <c r="Y774" s="46" t="n">
        <v>123</v>
      </c>
    </row>
    <row r="775">
      <c r="A775" s="78" t="n">
        <v>46242</v>
      </c>
      <c r="B775" s="45" t="inlineStr">
        <is>
          <t>天籁·鸿蒙座舱</t>
        </is>
      </c>
      <c r="C775" s="46" t="n">
        <v>267</v>
      </c>
      <c r="D775" s="46" t="n">
        <v>356</v>
      </c>
      <c r="E775" s="46" t="n">
        <v>356</v>
      </c>
      <c r="F775" s="46" t="n">
        <v>475</v>
      </c>
      <c r="G775" s="46" t="n">
        <v>356</v>
      </c>
      <c r="H775" s="46" t="n">
        <v>386</v>
      </c>
      <c r="I775" s="46" t="n">
        <v>237</v>
      </c>
      <c r="J775" s="46" t="n">
        <v>89</v>
      </c>
      <c r="K775" s="46" t="n">
        <v>326</v>
      </c>
      <c r="L775" s="46" t="n">
        <v>119</v>
      </c>
      <c r="M775" s="46">
        <f>N775-SUM(C775:L775)</f>
        <v/>
      </c>
      <c r="N775" s="47" t="n">
        <v>3224</v>
      </c>
      <c r="O775" s="46" t="n">
        <v>55</v>
      </c>
      <c r="P775" s="46" t="n">
        <v>0</v>
      </c>
      <c r="Q775" s="46" t="n">
        <v>890</v>
      </c>
      <c r="R775" s="46" t="n">
        <v>387</v>
      </c>
      <c r="S775" s="46" t="n">
        <v>219</v>
      </c>
      <c r="T775" s="46" t="n">
        <v>279</v>
      </c>
      <c r="U775" s="46" t="n">
        <v>97</v>
      </c>
      <c r="V775" s="46" t="n"/>
      <c r="W775" s="46" t="n">
        <v>680</v>
      </c>
      <c r="X775" s="46" t="n">
        <v>617</v>
      </c>
      <c r="Y775" s="46" t="n">
        <v>0</v>
      </c>
    </row>
    <row r="776">
      <c r="A776" s="78" t="n">
        <v>46243</v>
      </c>
      <c r="B776" s="45" t="inlineStr">
        <is>
          <t>天籁·鸿蒙座舱</t>
        </is>
      </c>
      <c r="C776" s="46" t="n">
        <v>267</v>
      </c>
      <c r="D776" s="46" t="n">
        <v>356</v>
      </c>
      <c r="E776" s="46" t="n">
        <v>356</v>
      </c>
      <c r="F776" s="46" t="n">
        <v>475</v>
      </c>
      <c r="G776" s="46" t="n">
        <v>356</v>
      </c>
      <c r="H776" s="46" t="n">
        <v>386</v>
      </c>
      <c r="I776" s="46" t="n">
        <v>237</v>
      </c>
      <c r="J776" s="46" t="n">
        <v>89</v>
      </c>
      <c r="K776" s="46" t="n">
        <v>326</v>
      </c>
      <c r="L776" s="46" t="n">
        <v>119</v>
      </c>
      <c r="M776" s="46">
        <f>N776-SUM(C776:L776)</f>
        <v/>
      </c>
      <c r="N776" s="47" t="n">
        <v>3225</v>
      </c>
      <c r="O776" s="46" t="n">
        <v>55</v>
      </c>
      <c r="P776" s="46" t="n">
        <v>0</v>
      </c>
      <c r="Q776" s="46" t="n">
        <v>891</v>
      </c>
      <c r="R776" s="46" t="n">
        <v>387</v>
      </c>
      <c r="S776" s="46" t="n">
        <v>219</v>
      </c>
      <c r="T776" s="46" t="n">
        <v>279</v>
      </c>
      <c r="U776" s="46" t="n">
        <v>97</v>
      </c>
      <c r="V776" s="46" t="n"/>
      <c r="W776" s="46" t="n">
        <v>680</v>
      </c>
      <c r="X776" s="46" t="n">
        <v>617</v>
      </c>
      <c r="Y776" s="46" t="n">
        <v>0</v>
      </c>
    </row>
    <row r="777">
      <c r="A777" s="78" t="n">
        <v>46244</v>
      </c>
      <c r="B777" s="45" t="inlineStr">
        <is>
          <t>天籁·鸿蒙座舱</t>
        </is>
      </c>
      <c r="C777" s="46" t="n">
        <v>326</v>
      </c>
      <c r="D777" s="46" t="n">
        <v>434</v>
      </c>
      <c r="E777" s="46" t="n">
        <v>434</v>
      </c>
      <c r="F777" s="46" t="n">
        <v>579</v>
      </c>
      <c r="G777" s="46" t="n">
        <v>434</v>
      </c>
      <c r="H777" s="46" t="n">
        <v>470</v>
      </c>
      <c r="I777" s="46" t="n">
        <v>289</v>
      </c>
      <c r="J777" s="46" t="n">
        <v>109</v>
      </c>
      <c r="K777" s="46" t="n">
        <v>398</v>
      </c>
      <c r="L777" s="46" t="n">
        <v>145</v>
      </c>
      <c r="M777" s="46">
        <f>N777-SUM(C777:L777)</f>
        <v/>
      </c>
      <c r="N777" s="47" t="n">
        <v>3933</v>
      </c>
      <c r="O777" s="46" t="n">
        <v>63</v>
      </c>
      <c r="P777" s="46" t="n">
        <v>0</v>
      </c>
      <c r="Q777" s="46" t="n">
        <v>1025</v>
      </c>
      <c r="R777" s="46" t="n">
        <v>446</v>
      </c>
      <c r="S777" s="46" t="n">
        <v>252</v>
      </c>
      <c r="T777" s="46" t="n">
        <v>320</v>
      </c>
      <c r="U777" s="46" t="n">
        <v>112</v>
      </c>
      <c r="V777" s="46" t="n"/>
      <c r="W777" s="46" t="n">
        <v>783</v>
      </c>
      <c r="X777" s="46" t="n">
        <v>767</v>
      </c>
      <c r="Y777" s="46" t="n">
        <v>165</v>
      </c>
    </row>
    <row r="778">
      <c r="A778" s="78" t="n">
        <v>46245</v>
      </c>
      <c r="B778" s="45" t="inlineStr">
        <is>
          <t>天籁·鸿蒙座舱</t>
        </is>
      </c>
      <c r="C778" s="46" t="n">
        <v>325</v>
      </c>
      <c r="D778" s="46" t="n">
        <v>433</v>
      </c>
      <c r="E778" s="46" t="n">
        <v>433</v>
      </c>
      <c r="F778" s="46" t="n">
        <v>577</v>
      </c>
      <c r="G778" s="46" t="n">
        <v>433</v>
      </c>
      <c r="H778" s="46" t="n">
        <v>469</v>
      </c>
      <c r="I778" s="46" t="n">
        <v>289</v>
      </c>
      <c r="J778" s="46" t="n">
        <v>108</v>
      </c>
      <c r="K778" s="46" t="n">
        <v>397</v>
      </c>
      <c r="L778" s="46" t="n">
        <v>144</v>
      </c>
      <c r="M778" s="46">
        <f>N778-SUM(C778:L778)</f>
        <v/>
      </c>
      <c r="N778" s="47" t="n">
        <v>3921</v>
      </c>
      <c r="O778" s="46" t="n">
        <v>63</v>
      </c>
      <c r="P778" s="46" t="n">
        <v>0</v>
      </c>
      <c r="Q778" s="46" t="n">
        <v>1025</v>
      </c>
      <c r="R778" s="46" t="n">
        <v>446</v>
      </c>
      <c r="S778" s="46" t="n">
        <v>252</v>
      </c>
      <c r="T778" s="46" t="n">
        <v>320</v>
      </c>
      <c r="U778" s="46" t="n">
        <v>112</v>
      </c>
      <c r="V778" s="46" t="n"/>
      <c r="W778" s="46" t="n">
        <v>783</v>
      </c>
      <c r="X778" s="46" t="n">
        <v>755</v>
      </c>
      <c r="Y778" s="46" t="n">
        <v>165</v>
      </c>
    </row>
    <row r="779">
      <c r="A779" s="78" t="n">
        <v>46246</v>
      </c>
      <c r="B779" s="45" t="inlineStr">
        <is>
          <t>天籁·鸿蒙座舱</t>
        </is>
      </c>
      <c r="C779" s="46" t="n">
        <v>326</v>
      </c>
      <c r="D779" s="46" t="n">
        <v>434</v>
      </c>
      <c r="E779" s="46" t="n">
        <v>434</v>
      </c>
      <c r="F779" s="46" t="n">
        <v>579</v>
      </c>
      <c r="G779" s="46" t="n">
        <v>434</v>
      </c>
      <c r="H779" s="46" t="n">
        <v>471</v>
      </c>
      <c r="I779" s="46" t="n">
        <v>290</v>
      </c>
      <c r="J779" s="46" t="n">
        <v>109</v>
      </c>
      <c r="K779" s="46" t="n">
        <v>398</v>
      </c>
      <c r="L779" s="46" t="n">
        <v>145</v>
      </c>
      <c r="M779" s="46">
        <f>N779-SUM(C779:L779)</f>
        <v/>
      </c>
      <c r="N779" s="47" t="n">
        <v>3934</v>
      </c>
      <c r="O779" s="46" t="n">
        <v>63</v>
      </c>
      <c r="P779" s="46" t="n">
        <v>0</v>
      </c>
      <c r="Q779" s="46" t="n">
        <v>1025</v>
      </c>
      <c r="R779" s="46" t="n">
        <v>446</v>
      </c>
      <c r="S779" s="46" t="n">
        <v>252</v>
      </c>
      <c r="T779" s="46" t="n">
        <v>320</v>
      </c>
      <c r="U779" s="46" t="n">
        <v>112</v>
      </c>
      <c r="V779" s="46" t="n"/>
      <c r="W779" s="46" t="n">
        <v>783</v>
      </c>
      <c r="X779" s="46" t="n">
        <v>768</v>
      </c>
      <c r="Y779" s="46" t="n">
        <v>165</v>
      </c>
    </row>
    <row r="780">
      <c r="A780" s="78" t="n">
        <v>46247</v>
      </c>
      <c r="B780" s="45" t="inlineStr">
        <is>
          <t>天籁·鸿蒙座舱</t>
        </is>
      </c>
      <c r="C780" s="46" t="n">
        <v>323</v>
      </c>
      <c r="D780" s="46" t="n">
        <v>431</v>
      </c>
      <c r="E780" s="46" t="n">
        <v>431</v>
      </c>
      <c r="F780" s="46" t="n">
        <v>575</v>
      </c>
      <c r="G780" s="46" t="n">
        <v>431</v>
      </c>
      <c r="H780" s="46" t="n">
        <v>467</v>
      </c>
      <c r="I780" s="46" t="n">
        <v>287</v>
      </c>
      <c r="J780" s="46" t="n">
        <v>108</v>
      </c>
      <c r="K780" s="46" t="n">
        <v>395</v>
      </c>
      <c r="L780" s="46" t="n">
        <v>144</v>
      </c>
      <c r="M780" s="46">
        <f>N780-SUM(C780:L780)</f>
        <v/>
      </c>
      <c r="N780" s="47" t="n">
        <v>3906</v>
      </c>
      <c r="O780" s="46" t="n">
        <v>63</v>
      </c>
      <c r="P780" s="46" t="n">
        <v>0</v>
      </c>
      <c r="Q780" s="46" t="n">
        <v>1025</v>
      </c>
      <c r="R780" s="46" t="n">
        <v>446</v>
      </c>
      <c r="S780" s="46" t="n">
        <v>252</v>
      </c>
      <c r="T780" s="46" t="n">
        <v>320</v>
      </c>
      <c r="U780" s="46" t="n">
        <v>112</v>
      </c>
      <c r="V780" s="46" t="n"/>
      <c r="W780" s="46" t="n">
        <v>783</v>
      </c>
      <c r="X780" s="46" t="n">
        <v>740</v>
      </c>
      <c r="Y780" s="46" t="n">
        <v>165</v>
      </c>
    </row>
    <row r="781">
      <c r="A781" s="78" t="n">
        <v>46248</v>
      </c>
      <c r="B781" s="45" t="inlineStr">
        <is>
          <t>天籁·鸿蒙座舱</t>
        </is>
      </c>
      <c r="C781" s="46" t="n">
        <v>313</v>
      </c>
      <c r="D781" s="46" t="n">
        <v>418</v>
      </c>
      <c r="E781" s="46" t="n">
        <v>418</v>
      </c>
      <c r="F781" s="46" t="n">
        <v>557</v>
      </c>
      <c r="G781" s="46" t="n">
        <v>418</v>
      </c>
      <c r="H781" s="46" t="n">
        <v>453</v>
      </c>
      <c r="I781" s="46" t="n">
        <v>279</v>
      </c>
      <c r="J781" s="46" t="n">
        <v>104</v>
      </c>
      <c r="K781" s="46" t="n">
        <v>383</v>
      </c>
      <c r="L781" s="46" t="n">
        <v>139</v>
      </c>
      <c r="M781" s="46">
        <f>N781-SUM(C781:L781)</f>
        <v/>
      </c>
      <c r="N781" s="47" t="n">
        <v>3786</v>
      </c>
      <c r="O781" s="46" t="n">
        <v>63</v>
      </c>
      <c r="P781" s="46" t="n">
        <v>0</v>
      </c>
      <c r="Q781" s="46" t="n">
        <v>1025</v>
      </c>
      <c r="R781" s="46" t="n">
        <v>446</v>
      </c>
      <c r="S781" s="46" t="n">
        <v>252</v>
      </c>
      <c r="T781" s="46" t="n">
        <v>320</v>
      </c>
      <c r="U781" s="46" t="n">
        <v>112</v>
      </c>
      <c r="V781" s="46" t="n"/>
      <c r="W781" s="46" t="n">
        <v>783</v>
      </c>
      <c r="X781" s="46" t="n">
        <v>785</v>
      </c>
      <c r="Y781" s="46" t="n">
        <v>0</v>
      </c>
    </row>
    <row r="782">
      <c r="A782" s="78" t="n">
        <v>46249</v>
      </c>
      <c r="B782" s="45" t="inlineStr">
        <is>
          <t>天籁·鸿蒙座舱</t>
        </is>
      </c>
      <c r="C782" s="46" t="n">
        <v>359</v>
      </c>
      <c r="D782" s="46" t="n">
        <v>479</v>
      </c>
      <c r="E782" s="46" t="n">
        <v>479</v>
      </c>
      <c r="F782" s="46" t="n">
        <v>639</v>
      </c>
      <c r="G782" s="46" t="n">
        <v>479</v>
      </c>
      <c r="H782" s="46" t="n">
        <v>519</v>
      </c>
      <c r="I782" s="46" t="n">
        <v>319</v>
      </c>
      <c r="J782" s="46" t="n">
        <v>120</v>
      </c>
      <c r="K782" s="46" t="n">
        <v>439</v>
      </c>
      <c r="L782" s="46" t="n">
        <v>160</v>
      </c>
      <c r="M782" s="46">
        <f>N782-SUM(C782:L782)</f>
        <v/>
      </c>
      <c r="N782" s="47" t="n">
        <v>4338</v>
      </c>
      <c r="O782" s="46" t="n">
        <v>73</v>
      </c>
      <c r="P782" s="46" t="n">
        <v>0</v>
      </c>
      <c r="Q782" s="46" t="n">
        <v>1179</v>
      </c>
      <c r="R782" s="46" t="n">
        <v>513</v>
      </c>
      <c r="S782" s="46" t="n">
        <v>289</v>
      </c>
      <c r="T782" s="46" t="n">
        <v>369</v>
      </c>
      <c r="U782" s="46" t="n">
        <v>128</v>
      </c>
      <c r="V782" s="46" t="n"/>
      <c r="W782" s="46" t="n">
        <v>900</v>
      </c>
      <c r="X782" s="46" t="n">
        <v>887</v>
      </c>
      <c r="Y782" s="46" t="n">
        <v>0</v>
      </c>
    </row>
    <row r="783">
      <c r="A783" s="78" t="n">
        <v>46250</v>
      </c>
      <c r="B783" s="45" t="inlineStr">
        <is>
          <t>天籁·鸿蒙座舱</t>
        </is>
      </c>
      <c r="C783" s="46" t="n">
        <v>375</v>
      </c>
      <c r="D783" s="46" t="n">
        <v>500</v>
      </c>
      <c r="E783" s="46" t="n">
        <v>500</v>
      </c>
      <c r="F783" s="46" t="n">
        <v>666</v>
      </c>
      <c r="G783" s="46" t="n">
        <v>500</v>
      </c>
      <c r="H783" s="46" t="n">
        <v>541</v>
      </c>
      <c r="I783" s="46" t="n">
        <v>333</v>
      </c>
      <c r="J783" s="46" t="n">
        <v>125</v>
      </c>
      <c r="K783" s="46" t="n">
        <v>458</v>
      </c>
      <c r="L783" s="46" t="n">
        <v>167</v>
      </c>
      <c r="M783" s="46">
        <f>N783-SUM(C783:L783)</f>
        <v/>
      </c>
      <c r="N783" s="47" t="n">
        <v>4526</v>
      </c>
      <c r="O783" s="46" t="n">
        <v>73</v>
      </c>
      <c r="P783" s="46" t="n">
        <v>0</v>
      </c>
      <c r="Q783" s="46" t="n">
        <v>1179</v>
      </c>
      <c r="R783" s="46" t="n">
        <v>513</v>
      </c>
      <c r="S783" s="46" t="n">
        <v>289</v>
      </c>
      <c r="T783" s="46" t="n">
        <v>369</v>
      </c>
      <c r="U783" s="46" t="n">
        <v>128</v>
      </c>
      <c r="V783" s="46" t="n"/>
      <c r="W783" s="46" t="n">
        <v>900</v>
      </c>
      <c r="X783" s="46" t="n">
        <v>910</v>
      </c>
      <c r="Y783" s="46" t="n">
        <v>165</v>
      </c>
    </row>
    <row r="784">
      <c r="A784" s="78" t="n">
        <v>46251</v>
      </c>
      <c r="B784" s="45" t="inlineStr">
        <is>
          <t>天籁·鸿蒙座舱</t>
        </is>
      </c>
      <c r="C784" s="46" t="n">
        <v>330</v>
      </c>
      <c r="D784" s="46" t="n">
        <v>440</v>
      </c>
      <c r="E784" s="46" t="n">
        <v>440</v>
      </c>
      <c r="F784" s="46" t="n">
        <v>587</v>
      </c>
      <c r="G784" s="46" t="n">
        <v>440</v>
      </c>
      <c r="H784" s="46" t="n">
        <v>477</v>
      </c>
      <c r="I784" s="46" t="n">
        <v>294</v>
      </c>
      <c r="J784" s="46" t="n">
        <v>110</v>
      </c>
      <c r="K784" s="46" t="n">
        <v>404</v>
      </c>
      <c r="L784" s="46" t="n">
        <v>147</v>
      </c>
      <c r="M784" s="46">
        <f>N784-SUM(C784:L784)</f>
        <v/>
      </c>
      <c r="N784" s="47" t="n">
        <v>3990</v>
      </c>
      <c r="O784" s="46" t="n">
        <v>63</v>
      </c>
      <c r="P784" s="46" t="n">
        <v>0</v>
      </c>
      <c r="Q784" s="46" t="n">
        <v>1025</v>
      </c>
      <c r="R784" s="46" t="n">
        <v>446</v>
      </c>
      <c r="S784" s="46" t="n">
        <v>252</v>
      </c>
      <c r="T784" s="46" t="n">
        <v>320</v>
      </c>
      <c r="U784" s="46" t="n">
        <v>112</v>
      </c>
      <c r="V784" s="46" t="n"/>
      <c r="W784" s="46" t="n">
        <v>783</v>
      </c>
      <c r="X784" s="46" t="n">
        <v>824</v>
      </c>
      <c r="Y784" s="46" t="n">
        <v>165</v>
      </c>
    </row>
    <row r="785">
      <c r="A785" s="78" t="n">
        <v>46252</v>
      </c>
      <c r="B785" s="45" t="inlineStr">
        <is>
          <t>天籁·鸿蒙座舱</t>
        </is>
      </c>
      <c r="C785" s="46" t="n">
        <v>328</v>
      </c>
      <c r="D785" s="46" t="n">
        <v>437</v>
      </c>
      <c r="E785" s="46" t="n">
        <v>437</v>
      </c>
      <c r="F785" s="46" t="n">
        <v>583</v>
      </c>
      <c r="G785" s="46" t="n">
        <v>437</v>
      </c>
      <c r="H785" s="46" t="n">
        <v>474</v>
      </c>
      <c r="I785" s="46" t="n">
        <v>292</v>
      </c>
      <c r="J785" s="46" t="n">
        <v>109</v>
      </c>
      <c r="K785" s="46" t="n">
        <v>401</v>
      </c>
      <c r="L785" s="46" t="n">
        <v>146</v>
      </c>
      <c r="M785" s="46">
        <f>N785-SUM(C785:L785)</f>
        <v/>
      </c>
      <c r="N785" s="47" t="n">
        <v>3961</v>
      </c>
      <c r="O785" s="46" t="n">
        <v>63</v>
      </c>
      <c r="P785" s="46" t="n">
        <v>0</v>
      </c>
      <c r="Q785" s="46" t="n">
        <v>1025</v>
      </c>
      <c r="R785" s="46" t="n">
        <v>446</v>
      </c>
      <c r="S785" s="46" t="n">
        <v>252</v>
      </c>
      <c r="T785" s="46" t="n">
        <v>320</v>
      </c>
      <c r="U785" s="46" t="n">
        <v>112</v>
      </c>
      <c r="V785" s="46" t="n"/>
      <c r="W785" s="46" t="n">
        <v>783</v>
      </c>
      <c r="X785" s="46" t="n">
        <v>795</v>
      </c>
      <c r="Y785" s="46" t="n">
        <v>165</v>
      </c>
    </row>
    <row r="786">
      <c r="A786" s="78" t="n">
        <v>46253</v>
      </c>
      <c r="B786" s="45" t="inlineStr">
        <is>
          <t>天籁·鸿蒙座舱</t>
        </is>
      </c>
      <c r="C786" s="46" t="n">
        <v>327</v>
      </c>
      <c r="D786" s="46" t="n">
        <v>436</v>
      </c>
      <c r="E786" s="46" t="n">
        <v>436</v>
      </c>
      <c r="F786" s="46" t="n">
        <v>581</v>
      </c>
      <c r="G786" s="46" t="n">
        <v>436</v>
      </c>
      <c r="H786" s="46" t="n">
        <v>472</v>
      </c>
      <c r="I786" s="46" t="n">
        <v>291</v>
      </c>
      <c r="J786" s="46" t="n">
        <v>109</v>
      </c>
      <c r="K786" s="46" t="n">
        <v>400</v>
      </c>
      <c r="L786" s="46" t="n">
        <v>145</v>
      </c>
      <c r="M786" s="46">
        <f>N786-SUM(C786:L786)</f>
        <v/>
      </c>
      <c r="N786" s="47" t="n">
        <v>3948</v>
      </c>
      <c r="O786" s="46" t="n">
        <v>63</v>
      </c>
      <c r="P786" s="46" t="n">
        <v>0</v>
      </c>
      <c r="Q786" s="46" t="n">
        <v>1025</v>
      </c>
      <c r="R786" s="46" t="n">
        <v>446</v>
      </c>
      <c r="S786" s="46" t="n">
        <v>252</v>
      </c>
      <c r="T786" s="46" t="n">
        <v>320</v>
      </c>
      <c r="U786" s="46" t="n">
        <v>112</v>
      </c>
      <c r="V786" s="46" t="n"/>
      <c r="W786" s="46" t="n">
        <v>783</v>
      </c>
      <c r="X786" s="46" t="n">
        <v>782</v>
      </c>
      <c r="Y786" s="46" t="n">
        <v>165</v>
      </c>
    </row>
    <row r="787">
      <c r="A787" s="78" t="n">
        <v>46254</v>
      </c>
      <c r="B787" s="45" t="inlineStr">
        <is>
          <t>天籁·鸿蒙座舱</t>
        </is>
      </c>
      <c r="C787" s="46" t="n">
        <v>333</v>
      </c>
      <c r="D787" s="46" t="n">
        <v>444</v>
      </c>
      <c r="E787" s="46" t="n">
        <v>444</v>
      </c>
      <c r="F787" s="46" t="n">
        <v>591</v>
      </c>
      <c r="G787" s="46" t="n">
        <v>444</v>
      </c>
      <c r="H787" s="46" t="n">
        <v>481</v>
      </c>
      <c r="I787" s="46" t="n">
        <v>296</v>
      </c>
      <c r="J787" s="46" t="n">
        <v>111</v>
      </c>
      <c r="K787" s="46" t="n">
        <v>407</v>
      </c>
      <c r="L787" s="46" t="n">
        <v>148</v>
      </c>
      <c r="M787" s="46">
        <f>N787-SUM(C787:L787)</f>
        <v/>
      </c>
      <c r="N787" s="47" t="n">
        <v>4018</v>
      </c>
      <c r="O787" s="46" t="n">
        <v>63</v>
      </c>
      <c r="P787" s="46" t="n">
        <v>0</v>
      </c>
      <c r="Q787" s="46" t="n">
        <v>1025</v>
      </c>
      <c r="R787" s="46" t="n">
        <v>446</v>
      </c>
      <c r="S787" s="46" t="n">
        <v>252</v>
      </c>
      <c r="T787" s="46" t="n">
        <v>322</v>
      </c>
      <c r="U787" s="46" t="n">
        <v>112</v>
      </c>
      <c r="V787" s="46" t="n"/>
      <c r="W787" s="46" t="n">
        <v>783</v>
      </c>
      <c r="X787" s="46" t="n">
        <v>850</v>
      </c>
      <c r="Y787" s="46" t="n">
        <v>165</v>
      </c>
    </row>
    <row r="788">
      <c r="A788" s="78" t="n">
        <v>46255</v>
      </c>
      <c r="B788" s="45" t="inlineStr">
        <is>
          <t>天籁·鸿蒙座舱</t>
        </is>
      </c>
      <c r="C788" s="46" t="n">
        <v>326</v>
      </c>
      <c r="D788" s="46" t="n">
        <v>435</v>
      </c>
      <c r="E788" s="46" t="n">
        <v>435</v>
      </c>
      <c r="F788" s="46" t="n">
        <v>580</v>
      </c>
      <c r="G788" s="46" t="n">
        <v>435</v>
      </c>
      <c r="H788" s="46" t="n">
        <v>471</v>
      </c>
      <c r="I788" s="46" t="n">
        <v>290</v>
      </c>
      <c r="J788" s="46" t="n">
        <v>109</v>
      </c>
      <c r="K788" s="46" t="n">
        <v>399</v>
      </c>
      <c r="L788" s="46" t="n">
        <v>145</v>
      </c>
      <c r="M788" s="46">
        <f>N788-SUM(C788:L788)</f>
        <v/>
      </c>
      <c r="N788" s="47" t="n">
        <v>3940</v>
      </c>
      <c r="O788" s="46" t="n">
        <v>63</v>
      </c>
      <c r="P788" s="46" t="n">
        <v>1</v>
      </c>
      <c r="Q788" s="46" t="n">
        <v>1025</v>
      </c>
      <c r="R788" s="46" t="n">
        <v>446</v>
      </c>
      <c r="S788" s="46" t="n">
        <v>252</v>
      </c>
      <c r="T788" s="46" t="n">
        <v>322</v>
      </c>
      <c r="U788" s="46" t="n">
        <v>112</v>
      </c>
      <c r="V788" s="46" t="n"/>
      <c r="W788" s="46" t="n">
        <v>783</v>
      </c>
      <c r="X788" s="46" t="n">
        <v>936</v>
      </c>
      <c r="Y788" s="46" t="n">
        <v>0</v>
      </c>
    </row>
    <row r="789">
      <c r="A789" s="78" t="n">
        <v>46256</v>
      </c>
      <c r="B789" s="45" t="inlineStr">
        <is>
          <t>天籁·鸿蒙座舱</t>
        </is>
      </c>
      <c r="C789" s="46" t="n">
        <v>366</v>
      </c>
      <c r="D789" s="46" t="n">
        <v>488</v>
      </c>
      <c r="E789" s="46" t="n">
        <v>488</v>
      </c>
      <c r="F789" s="46" t="n">
        <v>650</v>
      </c>
      <c r="G789" s="46" t="n">
        <v>488</v>
      </c>
      <c r="H789" s="46" t="n">
        <v>528</v>
      </c>
      <c r="I789" s="46" t="n">
        <v>325</v>
      </c>
      <c r="J789" s="46" t="n">
        <v>122</v>
      </c>
      <c r="K789" s="46" t="n">
        <v>447</v>
      </c>
      <c r="L789" s="46" t="n">
        <v>163</v>
      </c>
      <c r="M789" s="46">
        <f>N789-SUM(C789:L789)</f>
        <v/>
      </c>
      <c r="N789" s="47" t="n">
        <v>4417</v>
      </c>
      <c r="O789" s="46" t="n">
        <v>73</v>
      </c>
      <c r="P789" s="46" t="n">
        <v>1</v>
      </c>
      <c r="Q789" s="46" t="n">
        <v>1179</v>
      </c>
      <c r="R789" s="46" t="n">
        <v>513</v>
      </c>
      <c r="S789" s="46" t="n">
        <v>289</v>
      </c>
      <c r="T789" s="46" t="n">
        <v>370</v>
      </c>
      <c r="U789" s="46" t="n">
        <v>128</v>
      </c>
      <c r="V789" s="46" t="n"/>
      <c r="W789" s="46" t="n">
        <v>900</v>
      </c>
      <c r="X789" s="46" t="n">
        <v>964</v>
      </c>
      <c r="Y789" s="46" t="n">
        <v>0</v>
      </c>
    </row>
    <row r="790">
      <c r="A790" s="78" t="n">
        <v>46257</v>
      </c>
      <c r="B790" s="45" t="inlineStr">
        <is>
          <t>天籁·鸿蒙座舱</t>
        </is>
      </c>
      <c r="C790" s="46" t="n">
        <v>388</v>
      </c>
      <c r="D790" s="46" t="n">
        <v>518</v>
      </c>
      <c r="E790" s="46" t="n">
        <v>518</v>
      </c>
      <c r="F790" s="46" t="n">
        <v>691</v>
      </c>
      <c r="G790" s="46" t="n">
        <v>518</v>
      </c>
      <c r="H790" s="46" t="n">
        <v>561</v>
      </c>
      <c r="I790" s="46" t="n">
        <v>345</v>
      </c>
      <c r="J790" s="46" t="n">
        <v>129</v>
      </c>
      <c r="K790" s="46" t="n">
        <v>475</v>
      </c>
      <c r="L790" s="46" t="n">
        <v>173</v>
      </c>
      <c r="M790" s="46">
        <f>N790-SUM(C790:L790)</f>
        <v/>
      </c>
      <c r="N790" s="47" t="n">
        <v>4692</v>
      </c>
      <c r="O790" s="46" t="n">
        <v>73</v>
      </c>
      <c r="P790" s="46" t="n">
        <v>1</v>
      </c>
      <c r="Q790" s="46" t="n">
        <v>1179</v>
      </c>
      <c r="R790" s="46" t="n">
        <v>513</v>
      </c>
      <c r="S790" s="46" t="n">
        <v>289</v>
      </c>
      <c r="T790" s="46" t="n">
        <v>370</v>
      </c>
      <c r="U790" s="46" t="n">
        <v>128</v>
      </c>
      <c r="V790" s="46" t="n"/>
      <c r="W790" s="46" t="n">
        <v>900</v>
      </c>
      <c r="X790" s="46" t="n">
        <v>1074</v>
      </c>
      <c r="Y790" s="46" t="n">
        <v>165</v>
      </c>
    </row>
    <row r="791">
      <c r="A791" s="78" t="n">
        <v>46258</v>
      </c>
      <c r="B791" s="45" t="inlineStr">
        <is>
          <t>天籁·鸿蒙座舱</t>
        </is>
      </c>
      <c r="C791" s="46" t="n">
        <v>354</v>
      </c>
      <c r="D791" s="46" t="n">
        <v>472</v>
      </c>
      <c r="E791" s="46" t="n">
        <v>472</v>
      </c>
      <c r="F791" s="46" t="n">
        <v>629</v>
      </c>
      <c r="G791" s="46" t="n">
        <v>472</v>
      </c>
      <c r="H791" s="46" t="n">
        <v>511</v>
      </c>
      <c r="I791" s="46" t="n">
        <v>315</v>
      </c>
      <c r="J791" s="46" t="n">
        <v>118</v>
      </c>
      <c r="K791" s="46" t="n">
        <v>433</v>
      </c>
      <c r="L791" s="46" t="n">
        <v>157</v>
      </c>
      <c r="M791" s="46">
        <f>N791-SUM(C791:L791)</f>
        <v/>
      </c>
      <c r="N791" s="47" t="n">
        <v>4276</v>
      </c>
      <c r="O791" s="46" t="n">
        <v>65</v>
      </c>
      <c r="P791" s="46" t="n">
        <v>1</v>
      </c>
      <c r="Q791" s="46" t="n">
        <v>1025</v>
      </c>
      <c r="R791" s="46" t="n">
        <v>446</v>
      </c>
      <c r="S791" s="46" t="n">
        <v>252</v>
      </c>
      <c r="T791" s="46" t="n">
        <v>322</v>
      </c>
      <c r="U791" s="46" t="n">
        <v>112</v>
      </c>
      <c r="V791" s="46" t="n"/>
      <c r="W791" s="46" t="n">
        <v>784</v>
      </c>
      <c r="X791" s="46" t="n">
        <v>1104</v>
      </c>
      <c r="Y791" s="46" t="n">
        <v>165</v>
      </c>
    </row>
    <row r="792">
      <c r="A792" s="78" t="n">
        <v>46259</v>
      </c>
      <c r="B792" s="45" t="inlineStr">
        <is>
          <t>天籁·鸿蒙座舱</t>
        </is>
      </c>
      <c r="C792" s="46" t="n">
        <v>355</v>
      </c>
      <c r="D792" s="46" t="n">
        <v>474</v>
      </c>
      <c r="E792" s="46" t="n">
        <v>474</v>
      </c>
      <c r="F792" s="46" t="n">
        <v>632</v>
      </c>
      <c r="G792" s="46" t="n">
        <v>474</v>
      </c>
      <c r="H792" s="46" t="n">
        <v>513</v>
      </c>
      <c r="I792" s="46" t="n">
        <v>316</v>
      </c>
      <c r="J792" s="46" t="n">
        <v>118</v>
      </c>
      <c r="K792" s="46" t="n">
        <v>434</v>
      </c>
      <c r="L792" s="46" t="n">
        <v>158</v>
      </c>
      <c r="M792" s="46">
        <f>N792-SUM(C792:L792)</f>
        <v/>
      </c>
      <c r="N792" s="47" t="n">
        <v>4292</v>
      </c>
      <c r="O792" s="46" t="n">
        <v>65</v>
      </c>
      <c r="P792" s="46" t="n">
        <v>1</v>
      </c>
      <c r="Q792" s="46" t="n">
        <v>1025</v>
      </c>
      <c r="R792" s="46" t="n">
        <v>446</v>
      </c>
      <c r="S792" s="46" t="n">
        <v>252</v>
      </c>
      <c r="T792" s="46" t="n">
        <v>322</v>
      </c>
      <c r="U792" s="46" t="n">
        <v>112</v>
      </c>
      <c r="V792" s="46" t="n"/>
      <c r="W792" s="46" t="n">
        <v>784</v>
      </c>
      <c r="X792" s="46" t="n">
        <v>1120</v>
      </c>
      <c r="Y792" s="46" t="n">
        <v>165</v>
      </c>
    </row>
    <row r="793">
      <c r="A793" s="78" t="n">
        <v>46260</v>
      </c>
      <c r="B793" s="45" t="inlineStr">
        <is>
          <t>天籁·鸿蒙座舱</t>
        </is>
      </c>
      <c r="C793" s="46" t="n">
        <v>334</v>
      </c>
      <c r="D793" s="46" t="n">
        <v>445</v>
      </c>
      <c r="E793" s="46" t="n">
        <v>445</v>
      </c>
      <c r="F793" s="46" t="n">
        <v>593</v>
      </c>
      <c r="G793" s="46" t="n">
        <v>445</v>
      </c>
      <c r="H793" s="46" t="n">
        <v>482</v>
      </c>
      <c r="I793" s="46" t="n">
        <v>297</v>
      </c>
      <c r="J793" s="46" t="n">
        <v>111</v>
      </c>
      <c r="K793" s="46" t="n">
        <v>408</v>
      </c>
      <c r="L793" s="46" t="n">
        <v>148</v>
      </c>
      <c r="M793" s="46">
        <f>N793-SUM(C793:L793)</f>
        <v/>
      </c>
      <c r="N793" s="47" t="n">
        <v>4031</v>
      </c>
      <c r="O793" s="46" t="n">
        <v>65</v>
      </c>
      <c r="P793" s="46" t="n">
        <v>1</v>
      </c>
      <c r="Q793" s="46" t="n">
        <v>1025</v>
      </c>
      <c r="R793" s="46" t="n">
        <v>446</v>
      </c>
      <c r="S793" s="46" t="n">
        <v>252</v>
      </c>
      <c r="T793" s="46" t="n">
        <v>322</v>
      </c>
      <c r="U793" s="46" t="n">
        <v>112</v>
      </c>
      <c r="V793" s="46" t="n"/>
      <c r="W793" s="46" t="n">
        <v>784</v>
      </c>
      <c r="X793" s="46" t="n">
        <v>859</v>
      </c>
      <c r="Y793" s="46" t="n">
        <v>165</v>
      </c>
    </row>
    <row r="794">
      <c r="A794" s="78" t="n">
        <v>46261</v>
      </c>
      <c r="B794" s="45" t="inlineStr">
        <is>
          <t>天籁·鸿蒙座舱</t>
        </is>
      </c>
      <c r="C794" s="46" t="n">
        <v>335</v>
      </c>
      <c r="D794" s="46" t="n">
        <v>446</v>
      </c>
      <c r="E794" s="46" t="n">
        <v>446</v>
      </c>
      <c r="F794" s="46" t="n">
        <v>595</v>
      </c>
      <c r="G794" s="46" t="n">
        <v>446</v>
      </c>
      <c r="H794" s="46" t="n">
        <v>483</v>
      </c>
      <c r="I794" s="46" t="n">
        <v>297</v>
      </c>
      <c r="J794" s="46" t="n">
        <v>112</v>
      </c>
      <c r="K794" s="46" t="n">
        <v>409</v>
      </c>
      <c r="L794" s="46" t="n">
        <v>149</v>
      </c>
      <c r="M794" s="46">
        <f>N794-SUM(C794:L794)</f>
        <v/>
      </c>
      <c r="N794" s="47" t="n">
        <v>4041</v>
      </c>
      <c r="O794" s="46" t="n">
        <v>65</v>
      </c>
      <c r="P794" s="46" t="n">
        <v>1</v>
      </c>
      <c r="Q794" s="46" t="n">
        <v>1025</v>
      </c>
      <c r="R794" s="46" t="n">
        <v>446</v>
      </c>
      <c r="S794" s="46" t="n">
        <v>252</v>
      </c>
      <c r="T794" s="46" t="n">
        <v>322</v>
      </c>
      <c r="U794" s="46" t="n">
        <v>112</v>
      </c>
      <c r="V794" s="46" t="n"/>
      <c r="W794" s="46" t="n">
        <v>784</v>
      </c>
      <c r="X794" s="46" t="n">
        <v>869</v>
      </c>
      <c r="Y794" s="46" t="n">
        <v>165</v>
      </c>
    </row>
    <row r="795">
      <c r="A795" s="78" t="n">
        <v>46262</v>
      </c>
      <c r="B795" s="45" t="inlineStr">
        <is>
          <t>天籁·鸿蒙座舱</t>
        </is>
      </c>
      <c r="C795" s="46" t="n">
        <v>315</v>
      </c>
      <c r="D795" s="46" t="n">
        <v>421</v>
      </c>
      <c r="E795" s="46" t="n">
        <v>421</v>
      </c>
      <c r="F795" s="46" t="n">
        <v>561</v>
      </c>
      <c r="G795" s="46" t="n">
        <v>421</v>
      </c>
      <c r="H795" s="46" t="n">
        <v>456</v>
      </c>
      <c r="I795" s="46" t="n">
        <v>280</v>
      </c>
      <c r="J795" s="46" t="n">
        <v>105</v>
      </c>
      <c r="K795" s="46" t="n">
        <v>386</v>
      </c>
      <c r="L795" s="46" t="n">
        <v>140</v>
      </c>
      <c r="M795" s="46">
        <f>N795-SUM(C795:L795)</f>
        <v/>
      </c>
      <c r="N795" s="47" t="n">
        <v>3810</v>
      </c>
      <c r="O795" s="46" t="n">
        <v>65</v>
      </c>
      <c r="P795" s="46" t="n">
        <v>1</v>
      </c>
      <c r="Q795" s="46" t="n">
        <v>1025</v>
      </c>
      <c r="R795" s="46" t="n">
        <v>446</v>
      </c>
      <c r="S795" s="46" t="n">
        <v>252</v>
      </c>
      <c r="T795" s="46" t="n">
        <v>322</v>
      </c>
      <c r="U795" s="46" t="n">
        <v>112</v>
      </c>
      <c r="V795" s="46" t="n"/>
      <c r="W795" s="46" t="n">
        <v>784</v>
      </c>
      <c r="X795" s="46" t="n">
        <v>803</v>
      </c>
      <c r="Y795" s="46" t="n">
        <v>0</v>
      </c>
    </row>
    <row r="796">
      <c r="A796" s="78" t="n">
        <v>46263</v>
      </c>
      <c r="B796" s="45" t="inlineStr">
        <is>
          <t>天籁·鸿蒙座舱</t>
        </is>
      </c>
      <c r="C796" s="46" t="n">
        <v>356</v>
      </c>
      <c r="D796" s="46" t="n">
        <v>474</v>
      </c>
      <c r="E796" s="46" t="n">
        <v>474</v>
      </c>
      <c r="F796" s="46" t="n">
        <v>632</v>
      </c>
      <c r="G796" s="46" t="n">
        <v>474</v>
      </c>
      <c r="H796" s="46" t="n">
        <v>514</v>
      </c>
      <c r="I796" s="46" t="n">
        <v>316</v>
      </c>
      <c r="J796" s="46" t="n">
        <v>119</v>
      </c>
      <c r="K796" s="46" t="n">
        <v>435</v>
      </c>
      <c r="L796" s="46" t="n">
        <v>158</v>
      </c>
      <c r="M796" s="46">
        <f>N796-SUM(C796:L796)</f>
        <v/>
      </c>
      <c r="N796" s="47" t="n">
        <v>4296</v>
      </c>
      <c r="O796" s="46" t="n">
        <v>74</v>
      </c>
      <c r="P796" s="46" t="n">
        <v>1</v>
      </c>
      <c r="Q796" s="46" t="n">
        <v>1179</v>
      </c>
      <c r="R796" s="46" t="n">
        <v>513</v>
      </c>
      <c r="S796" s="46" t="n">
        <v>289</v>
      </c>
      <c r="T796" s="46" t="n">
        <v>370</v>
      </c>
      <c r="U796" s="46" t="n">
        <v>128</v>
      </c>
      <c r="V796" s="46" t="n"/>
      <c r="W796" s="46" t="n">
        <v>901</v>
      </c>
      <c r="X796" s="46" t="n">
        <v>841</v>
      </c>
      <c r="Y796" s="46" t="n">
        <v>0</v>
      </c>
    </row>
    <row r="797">
      <c r="A797" s="78" t="n">
        <v>46264</v>
      </c>
      <c r="B797" s="45" t="inlineStr">
        <is>
          <t>天籁·鸿蒙座舱</t>
        </is>
      </c>
      <c r="C797" s="46" t="n">
        <v>361</v>
      </c>
      <c r="D797" s="46" t="n">
        <v>481</v>
      </c>
      <c r="E797" s="46" t="n">
        <v>481</v>
      </c>
      <c r="F797" s="46" t="n">
        <v>641</v>
      </c>
      <c r="G797" s="46" t="n">
        <v>481</v>
      </c>
      <c r="H797" s="46" t="n">
        <v>521</v>
      </c>
      <c r="I797" s="46" t="n">
        <v>321</v>
      </c>
      <c r="J797" s="46" t="n">
        <v>120</v>
      </c>
      <c r="K797" s="46" t="n">
        <v>441</v>
      </c>
      <c r="L797" s="46" t="n">
        <v>160</v>
      </c>
      <c r="M797" s="46">
        <f>N797-SUM(C797:L797)</f>
        <v/>
      </c>
      <c r="N797" s="47" t="n">
        <v>4357</v>
      </c>
      <c r="O797" s="46" t="n">
        <v>74</v>
      </c>
      <c r="P797" s="46" t="n">
        <v>1</v>
      </c>
      <c r="Q797" s="46" t="n">
        <v>1179</v>
      </c>
      <c r="R797" s="46" t="n">
        <v>513</v>
      </c>
      <c r="S797" s="46" t="n">
        <v>289</v>
      </c>
      <c r="T797" s="46" t="n">
        <v>370</v>
      </c>
      <c r="U797" s="46" t="n">
        <v>129</v>
      </c>
      <c r="V797" s="46" t="n"/>
      <c r="W797" s="46" t="n">
        <v>901</v>
      </c>
      <c r="X797" s="46" t="n">
        <v>736</v>
      </c>
      <c r="Y797" s="46" t="n">
        <v>165</v>
      </c>
    </row>
    <row r="798">
      <c r="A798" s="78" t="n">
        <v>46265</v>
      </c>
      <c r="B798" s="45" t="inlineStr">
        <is>
          <t>天籁·鸿蒙座舱</t>
        </is>
      </c>
      <c r="C798" s="46" t="n">
        <v>317</v>
      </c>
      <c r="D798" s="46" t="n">
        <v>423</v>
      </c>
      <c r="E798" s="46" t="n">
        <v>423</v>
      </c>
      <c r="F798" s="46" t="n">
        <v>563</v>
      </c>
      <c r="G798" s="46" t="n">
        <v>423</v>
      </c>
      <c r="H798" s="46" t="n">
        <v>458</v>
      </c>
      <c r="I798" s="46" t="n">
        <v>282</v>
      </c>
      <c r="J798" s="46" t="n">
        <v>106</v>
      </c>
      <c r="K798" s="46" t="n">
        <v>387</v>
      </c>
      <c r="L798" s="46" t="n">
        <v>140</v>
      </c>
      <c r="M798" s="46">
        <f>N798-SUM(C798:L798)</f>
        <v/>
      </c>
      <c r="N798" s="47" t="n">
        <v>3827</v>
      </c>
      <c r="O798" s="46" t="n">
        <v>72</v>
      </c>
      <c r="P798" s="46" t="n">
        <v>1</v>
      </c>
      <c r="Q798" s="46" t="n">
        <v>1093</v>
      </c>
      <c r="R798" s="46" t="n">
        <v>484</v>
      </c>
      <c r="S798" s="46" t="n">
        <v>264</v>
      </c>
      <c r="T798" s="46" t="n">
        <v>342</v>
      </c>
      <c r="U798" s="46" t="n">
        <v>117</v>
      </c>
      <c r="V798" s="46" t="n"/>
      <c r="W798" s="46" t="n">
        <v>839</v>
      </c>
      <c r="X798" s="46" t="n">
        <v>497</v>
      </c>
      <c r="Y798" s="46" t="n">
        <v>118</v>
      </c>
    </row>
    <row r="799">
      <c r="A799" s="78" t="n">
        <v>46266</v>
      </c>
      <c r="B799" s="45" t="inlineStr">
        <is>
          <t>天籁·鸿蒙座舱</t>
        </is>
      </c>
      <c r="C799" s="46" t="n">
        <v>348</v>
      </c>
      <c r="D799" s="46" t="n">
        <v>514</v>
      </c>
      <c r="E799" s="46" t="n">
        <v>418</v>
      </c>
      <c r="F799" s="46" t="n">
        <v>715</v>
      </c>
      <c r="G799" s="46" t="n">
        <v>455</v>
      </c>
      <c r="H799" s="46" t="n">
        <v>547</v>
      </c>
      <c r="I799" s="46" t="n">
        <v>293</v>
      </c>
      <c r="J799" s="46" t="n">
        <v>101</v>
      </c>
      <c r="K799" s="46" t="n">
        <v>427</v>
      </c>
      <c r="L799" s="46" t="n">
        <v>175</v>
      </c>
      <c r="M799" s="46">
        <f>N799-SUM(C799:L799)</f>
        <v/>
      </c>
      <c r="N799" s="47" t="n">
        <v>4318</v>
      </c>
      <c r="O799" s="46" t="n">
        <v>41</v>
      </c>
      <c r="P799" s="46" t="n">
        <v>0</v>
      </c>
      <c r="Q799" s="46" t="n">
        <v>915</v>
      </c>
      <c r="R799" s="46" t="n">
        <v>723</v>
      </c>
      <c r="S799" s="46" t="n">
        <v>191</v>
      </c>
      <c r="T799" s="46" t="n">
        <v>236</v>
      </c>
      <c r="U799" s="46" t="n">
        <v>11</v>
      </c>
      <c r="V799" s="46" t="n">
        <v>49</v>
      </c>
      <c r="W799" s="46" t="n">
        <v>612</v>
      </c>
      <c r="X799" s="46" t="n">
        <v>1371</v>
      </c>
      <c r="Y799" s="46" t="n">
        <v>169</v>
      </c>
    </row>
    <row r="800">
      <c r="A800" s="78" t="n">
        <v>46267</v>
      </c>
      <c r="B800" s="45" t="inlineStr">
        <is>
          <t>天籁·鸿蒙座舱</t>
        </is>
      </c>
      <c r="C800" s="46" t="n">
        <v>348</v>
      </c>
      <c r="D800" s="46" t="n">
        <v>514</v>
      </c>
      <c r="E800" s="46" t="n">
        <v>418</v>
      </c>
      <c r="F800" s="46" t="n">
        <v>715</v>
      </c>
      <c r="G800" s="46" t="n">
        <v>455</v>
      </c>
      <c r="H800" s="46" t="n">
        <v>547</v>
      </c>
      <c r="I800" s="46" t="n">
        <v>293</v>
      </c>
      <c r="J800" s="46" t="n">
        <v>101</v>
      </c>
      <c r="K800" s="46" t="n">
        <v>427</v>
      </c>
      <c r="L800" s="46" t="n">
        <v>175</v>
      </c>
      <c r="M800" s="46">
        <f>N800-SUM(C800:L800)</f>
        <v/>
      </c>
      <c r="N800" s="47" t="n">
        <v>4318</v>
      </c>
      <c r="O800" s="46" t="n">
        <v>41</v>
      </c>
      <c r="P800" s="46" t="n">
        <v>0</v>
      </c>
      <c r="Q800" s="46" t="n">
        <v>915</v>
      </c>
      <c r="R800" s="46" t="n">
        <v>723</v>
      </c>
      <c r="S800" s="46" t="n">
        <v>191</v>
      </c>
      <c r="T800" s="46" t="n">
        <v>236</v>
      </c>
      <c r="U800" s="46" t="n">
        <v>11</v>
      </c>
      <c r="V800" s="46" t="n">
        <v>49</v>
      </c>
      <c r="W800" s="46" t="n">
        <v>612</v>
      </c>
      <c r="X800" s="46" t="n">
        <v>1371</v>
      </c>
      <c r="Y800" s="46" t="n">
        <v>169</v>
      </c>
    </row>
    <row r="801">
      <c r="A801" s="78" t="n">
        <v>46268</v>
      </c>
      <c r="B801" s="45" t="inlineStr">
        <is>
          <t>天籁·鸿蒙座舱</t>
        </is>
      </c>
      <c r="C801" s="46" t="n">
        <v>348</v>
      </c>
      <c r="D801" s="46" t="n">
        <v>514</v>
      </c>
      <c r="E801" s="46" t="n">
        <v>418</v>
      </c>
      <c r="F801" s="46" t="n">
        <v>715</v>
      </c>
      <c r="G801" s="46" t="n">
        <v>455</v>
      </c>
      <c r="H801" s="46" t="n">
        <v>547</v>
      </c>
      <c r="I801" s="46" t="n">
        <v>293</v>
      </c>
      <c r="J801" s="46" t="n">
        <v>101</v>
      </c>
      <c r="K801" s="46" t="n">
        <v>427</v>
      </c>
      <c r="L801" s="46" t="n">
        <v>175</v>
      </c>
      <c r="M801" s="46">
        <f>N801-SUM(C801:L801)</f>
        <v/>
      </c>
      <c r="N801" s="47" t="n">
        <v>4318</v>
      </c>
      <c r="O801" s="46" t="n">
        <v>41</v>
      </c>
      <c r="P801" s="46" t="n">
        <v>0</v>
      </c>
      <c r="Q801" s="46" t="n">
        <v>915</v>
      </c>
      <c r="R801" s="46" t="n">
        <v>723</v>
      </c>
      <c r="S801" s="46" t="n">
        <v>191</v>
      </c>
      <c r="T801" s="46" t="n">
        <v>236</v>
      </c>
      <c r="U801" s="46" t="n">
        <v>11</v>
      </c>
      <c r="V801" s="46" t="n">
        <v>49</v>
      </c>
      <c r="W801" s="46" t="n">
        <v>612</v>
      </c>
      <c r="X801" s="46" t="n">
        <v>1371</v>
      </c>
      <c r="Y801" s="46" t="n">
        <v>169</v>
      </c>
    </row>
    <row r="802">
      <c r="A802" s="78" t="n">
        <v>46269</v>
      </c>
      <c r="B802" s="45" t="inlineStr">
        <is>
          <t>天籁·鸿蒙座舱</t>
        </is>
      </c>
      <c r="C802" s="46" t="n">
        <v>349</v>
      </c>
      <c r="D802" s="46" t="n">
        <v>514</v>
      </c>
      <c r="E802" s="46" t="n">
        <v>418</v>
      </c>
      <c r="F802" s="46" t="n">
        <v>715</v>
      </c>
      <c r="G802" s="46" t="n">
        <v>455</v>
      </c>
      <c r="H802" s="46" t="n">
        <v>547</v>
      </c>
      <c r="I802" s="46" t="n">
        <v>293</v>
      </c>
      <c r="J802" s="46" t="n">
        <v>101</v>
      </c>
      <c r="K802" s="46" t="n">
        <v>427</v>
      </c>
      <c r="L802" s="46" t="n">
        <v>175</v>
      </c>
      <c r="M802" s="46">
        <f>N802-SUM(C802:L802)</f>
        <v/>
      </c>
      <c r="N802" s="47" t="n">
        <v>4319</v>
      </c>
      <c r="O802" s="46" t="n">
        <v>41</v>
      </c>
      <c r="P802" s="46" t="n">
        <v>0</v>
      </c>
      <c r="Q802" s="46" t="n">
        <v>915</v>
      </c>
      <c r="R802" s="46" t="n">
        <v>723</v>
      </c>
      <c r="S802" s="46" t="n">
        <v>191</v>
      </c>
      <c r="T802" s="46" t="n">
        <v>236</v>
      </c>
      <c r="U802" s="46" t="n">
        <v>11</v>
      </c>
      <c r="V802" s="46" t="n">
        <v>49</v>
      </c>
      <c r="W802" s="46" t="n">
        <v>612</v>
      </c>
      <c r="X802" s="46" t="n">
        <v>1371</v>
      </c>
      <c r="Y802" s="46" t="n">
        <v>170</v>
      </c>
    </row>
    <row r="803">
      <c r="A803" s="78" t="n">
        <v>46270</v>
      </c>
      <c r="B803" s="45" t="inlineStr">
        <is>
          <t>天籁·鸿蒙座舱</t>
        </is>
      </c>
      <c r="C803" s="46" t="n">
        <v>385</v>
      </c>
      <c r="D803" s="46" t="n">
        <v>568</v>
      </c>
      <c r="E803" s="46" t="n">
        <v>462</v>
      </c>
      <c r="F803" s="46" t="n">
        <v>790</v>
      </c>
      <c r="G803" s="46" t="n">
        <v>503</v>
      </c>
      <c r="H803" s="46" t="n">
        <v>605</v>
      </c>
      <c r="I803" s="46" t="n">
        <v>323</v>
      </c>
      <c r="J803" s="46" t="n">
        <v>111</v>
      </c>
      <c r="K803" s="46" t="n">
        <v>472</v>
      </c>
      <c r="L803" s="46" t="n">
        <v>193</v>
      </c>
      <c r="M803" s="46">
        <f>N803-SUM(C803:L803)</f>
        <v/>
      </c>
      <c r="N803" s="47" t="n">
        <v>4771</v>
      </c>
      <c r="O803" s="46" t="n">
        <v>48</v>
      </c>
      <c r="P803" s="46" t="n">
        <v>0</v>
      </c>
      <c r="Q803" s="46" t="n">
        <v>1052</v>
      </c>
      <c r="R803" s="46" t="n">
        <v>832</v>
      </c>
      <c r="S803" s="46" t="n">
        <v>220</v>
      </c>
      <c r="T803" s="46" t="n">
        <v>271</v>
      </c>
      <c r="U803" s="46" t="n">
        <v>12</v>
      </c>
      <c r="V803" s="46" t="n">
        <v>57</v>
      </c>
      <c r="W803" s="46" t="n">
        <v>703</v>
      </c>
      <c r="X803" s="46" t="n">
        <v>1576</v>
      </c>
      <c r="Y803" s="46" t="n">
        <v>0</v>
      </c>
    </row>
    <row r="804">
      <c r="A804" s="78" t="n">
        <v>46271</v>
      </c>
      <c r="B804" s="45" t="inlineStr">
        <is>
          <t>天籁·鸿蒙座舱</t>
        </is>
      </c>
      <c r="C804" s="46" t="n">
        <v>385</v>
      </c>
      <c r="D804" s="46" t="n">
        <v>568</v>
      </c>
      <c r="E804" s="46" t="n">
        <v>462</v>
      </c>
      <c r="F804" s="46" t="n">
        <v>790</v>
      </c>
      <c r="G804" s="46" t="n">
        <v>503</v>
      </c>
      <c r="H804" s="46" t="n">
        <v>605</v>
      </c>
      <c r="I804" s="46" t="n">
        <v>323</v>
      </c>
      <c r="J804" s="46" t="n">
        <v>111</v>
      </c>
      <c r="K804" s="46" t="n">
        <v>472</v>
      </c>
      <c r="L804" s="46" t="n">
        <v>193</v>
      </c>
      <c r="M804" s="46">
        <f>N804-SUM(C804:L804)</f>
        <v/>
      </c>
      <c r="N804" s="47" t="n">
        <v>4772</v>
      </c>
      <c r="O804" s="46" t="n">
        <v>48</v>
      </c>
      <c r="P804" s="46" t="n">
        <v>0</v>
      </c>
      <c r="Q804" s="46" t="n">
        <v>1052</v>
      </c>
      <c r="R804" s="46" t="n">
        <v>832</v>
      </c>
      <c r="S804" s="46" t="n">
        <v>220</v>
      </c>
      <c r="T804" s="46" t="n">
        <v>271</v>
      </c>
      <c r="U804" s="46" t="n">
        <v>12</v>
      </c>
      <c r="V804" s="46" t="n">
        <v>57</v>
      </c>
      <c r="W804" s="46" t="n">
        <v>704</v>
      </c>
      <c r="X804" s="46" t="n">
        <v>1576</v>
      </c>
      <c r="Y804" s="46" t="n">
        <v>0</v>
      </c>
    </row>
    <row r="805">
      <c r="A805" s="78" t="n">
        <v>46272</v>
      </c>
      <c r="B805" s="45" t="inlineStr">
        <is>
          <t>天籁·鸿蒙座舱</t>
        </is>
      </c>
      <c r="C805" s="46" t="n">
        <v>349</v>
      </c>
      <c r="D805" s="46" t="n">
        <v>514</v>
      </c>
      <c r="E805" s="46" t="n">
        <v>419</v>
      </c>
      <c r="F805" s="46" t="n">
        <v>715</v>
      </c>
      <c r="G805" s="46" t="n">
        <v>456</v>
      </c>
      <c r="H805" s="46" t="n">
        <v>547</v>
      </c>
      <c r="I805" s="46" t="n">
        <v>293</v>
      </c>
      <c r="J805" s="46" t="n">
        <v>101</v>
      </c>
      <c r="K805" s="46" t="n">
        <v>428</v>
      </c>
      <c r="L805" s="46" t="n">
        <v>175</v>
      </c>
      <c r="M805" s="46">
        <f>N805-SUM(C805:L805)</f>
        <v/>
      </c>
      <c r="N805" s="47" t="n">
        <v>4320</v>
      </c>
      <c r="O805" s="46" t="n">
        <v>41</v>
      </c>
      <c r="P805" s="46" t="n">
        <v>0</v>
      </c>
      <c r="Q805" s="46" t="n">
        <v>915</v>
      </c>
      <c r="R805" s="46" t="n">
        <v>723</v>
      </c>
      <c r="S805" s="46" t="n">
        <v>191</v>
      </c>
      <c r="T805" s="46" t="n">
        <v>236</v>
      </c>
      <c r="U805" s="46" t="n">
        <v>11</v>
      </c>
      <c r="V805" s="46" t="n">
        <v>49</v>
      </c>
      <c r="W805" s="46" t="n">
        <v>613</v>
      </c>
      <c r="X805" s="46" t="n">
        <v>1371</v>
      </c>
      <c r="Y805" s="46" t="n">
        <v>170</v>
      </c>
    </row>
    <row r="806">
      <c r="A806" s="78" t="n">
        <v>46273</v>
      </c>
      <c r="B806" s="45" t="inlineStr">
        <is>
          <t>天籁·鸿蒙座舱</t>
        </is>
      </c>
      <c r="C806" s="46" t="n">
        <v>349</v>
      </c>
      <c r="D806" s="46" t="n">
        <v>515</v>
      </c>
      <c r="E806" s="46" t="n">
        <v>419</v>
      </c>
      <c r="F806" s="46" t="n">
        <v>715</v>
      </c>
      <c r="G806" s="46" t="n">
        <v>456</v>
      </c>
      <c r="H806" s="46" t="n">
        <v>548</v>
      </c>
      <c r="I806" s="46" t="n">
        <v>293</v>
      </c>
      <c r="J806" s="46" t="n">
        <v>101</v>
      </c>
      <c r="K806" s="46" t="n">
        <v>428</v>
      </c>
      <c r="L806" s="46" t="n">
        <v>175</v>
      </c>
      <c r="M806" s="46">
        <f>N806-SUM(C806:L806)</f>
        <v/>
      </c>
      <c r="N806" s="47" t="n">
        <v>4321</v>
      </c>
      <c r="O806" s="46" t="n">
        <v>41</v>
      </c>
      <c r="P806" s="46" t="n">
        <v>0</v>
      </c>
      <c r="Q806" s="46" t="n">
        <v>915</v>
      </c>
      <c r="R806" s="46" t="n">
        <v>723</v>
      </c>
      <c r="S806" s="46" t="n">
        <v>191</v>
      </c>
      <c r="T806" s="46" t="n">
        <v>236</v>
      </c>
      <c r="U806" s="46" t="n">
        <v>12</v>
      </c>
      <c r="V806" s="46" t="n">
        <v>49</v>
      </c>
      <c r="W806" s="46" t="n">
        <v>613</v>
      </c>
      <c r="X806" s="46" t="n">
        <v>1371</v>
      </c>
      <c r="Y806" s="46" t="n">
        <v>170</v>
      </c>
    </row>
    <row r="807">
      <c r="A807" s="78" t="n">
        <v>46274</v>
      </c>
      <c r="B807" s="45" t="inlineStr">
        <is>
          <t>天籁·鸿蒙座舱</t>
        </is>
      </c>
      <c r="C807" s="46" t="n">
        <v>349</v>
      </c>
      <c r="D807" s="46" t="n">
        <v>515</v>
      </c>
      <c r="E807" s="46" t="n">
        <v>419</v>
      </c>
      <c r="F807" s="46" t="n">
        <v>716</v>
      </c>
      <c r="G807" s="46" t="n">
        <v>456</v>
      </c>
      <c r="H807" s="46" t="n">
        <v>548</v>
      </c>
      <c r="I807" s="46" t="n">
        <v>293</v>
      </c>
      <c r="J807" s="46" t="n">
        <v>101</v>
      </c>
      <c r="K807" s="46" t="n">
        <v>428</v>
      </c>
      <c r="L807" s="46" t="n">
        <v>175</v>
      </c>
      <c r="M807" s="46">
        <f>N807-SUM(C807:L807)</f>
        <v/>
      </c>
      <c r="N807" s="47" t="n">
        <v>4322</v>
      </c>
      <c r="O807" s="46" t="n">
        <v>41</v>
      </c>
      <c r="P807" s="46" t="n">
        <v>0</v>
      </c>
      <c r="Q807" s="46" t="n">
        <v>915</v>
      </c>
      <c r="R807" s="46" t="n">
        <v>723</v>
      </c>
      <c r="S807" s="46" t="n">
        <v>191</v>
      </c>
      <c r="T807" s="46" t="n">
        <v>236</v>
      </c>
      <c r="U807" s="46" t="n">
        <v>12</v>
      </c>
      <c r="V807" s="46" t="n">
        <v>49</v>
      </c>
      <c r="W807" s="46" t="n">
        <v>613</v>
      </c>
      <c r="X807" s="46" t="n">
        <v>1372</v>
      </c>
      <c r="Y807" s="46" t="n">
        <v>170</v>
      </c>
    </row>
    <row r="808">
      <c r="A808" s="78" t="n">
        <v>46275</v>
      </c>
      <c r="B808" s="45" t="inlineStr">
        <is>
          <t>天籁·鸿蒙座舱</t>
        </is>
      </c>
      <c r="C808" s="46" t="n">
        <v>349</v>
      </c>
      <c r="D808" s="46" t="n">
        <v>515</v>
      </c>
      <c r="E808" s="46" t="n">
        <v>419</v>
      </c>
      <c r="F808" s="46" t="n">
        <v>716</v>
      </c>
      <c r="G808" s="46" t="n">
        <v>456</v>
      </c>
      <c r="H808" s="46" t="n">
        <v>548</v>
      </c>
      <c r="I808" s="46" t="n">
        <v>293</v>
      </c>
      <c r="J808" s="46" t="n">
        <v>101</v>
      </c>
      <c r="K808" s="46" t="n">
        <v>428</v>
      </c>
      <c r="L808" s="46" t="n">
        <v>175</v>
      </c>
      <c r="M808" s="46">
        <f>N808-SUM(C808:L808)</f>
        <v/>
      </c>
      <c r="N808" s="47" t="n">
        <v>4322</v>
      </c>
      <c r="O808" s="46" t="n">
        <v>41</v>
      </c>
      <c r="P808" s="46" t="n">
        <v>0</v>
      </c>
      <c r="Q808" s="46" t="n">
        <v>915</v>
      </c>
      <c r="R808" s="46" t="n">
        <v>723</v>
      </c>
      <c r="S808" s="46" t="n">
        <v>191</v>
      </c>
      <c r="T808" s="46" t="n">
        <v>236</v>
      </c>
      <c r="U808" s="46" t="n">
        <v>12</v>
      </c>
      <c r="V808" s="46" t="n">
        <v>49</v>
      </c>
      <c r="W808" s="46" t="n">
        <v>613</v>
      </c>
      <c r="X808" s="46" t="n">
        <v>1372</v>
      </c>
      <c r="Y808" s="46" t="n">
        <v>170</v>
      </c>
    </row>
    <row r="809">
      <c r="A809" s="78" t="n">
        <v>46276</v>
      </c>
      <c r="B809" s="45" t="inlineStr">
        <is>
          <t>天籁·鸿蒙座舱</t>
        </is>
      </c>
      <c r="C809" s="46" t="n">
        <v>349</v>
      </c>
      <c r="D809" s="46" t="n">
        <v>515</v>
      </c>
      <c r="E809" s="46" t="n">
        <v>419</v>
      </c>
      <c r="F809" s="46" t="n">
        <v>716</v>
      </c>
      <c r="G809" s="46" t="n">
        <v>456</v>
      </c>
      <c r="H809" s="46" t="n">
        <v>548</v>
      </c>
      <c r="I809" s="46" t="n">
        <v>293</v>
      </c>
      <c r="J809" s="46" t="n">
        <v>101</v>
      </c>
      <c r="K809" s="46" t="n">
        <v>428</v>
      </c>
      <c r="L809" s="46" t="n">
        <v>175</v>
      </c>
      <c r="M809" s="46">
        <f>N809-SUM(C809:L809)</f>
        <v/>
      </c>
      <c r="N809" s="47" t="n">
        <v>4323</v>
      </c>
      <c r="O809" s="46" t="n">
        <v>41</v>
      </c>
      <c r="P809" s="46" t="n">
        <v>0</v>
      </c>
      <c r="Q809" s="46" t="n">
        <v>916</v>
      </c>
      <c r="R809" s="46" t="n">
        <v>723</v>
      </c>
      <c r="S809" s="46" t="n">
        <v>191</v>
      </c>
      <c r="T809" s="46" t="n">
        <v>236</v>
      </c>
      <c r="U809" s="46" t="n">
        <v>12</v>
      </c>
      <c r="V809" s="46" t="n">
        <v>49</v>
      </c>
      <c r="W809" s="46" t="n">
        <v>613</v>
      </c>
      <c r="X809" s="46" t="n">
        <v>1372</v>
      </c>
      <c r="Y809" s="46" t="n">
        <v>170</v>
      </c>
    </row>
    <row r="810">
      <c r="A810" s="78" t="n">
        <v>46277</v>
      </c>
      <c r="B810" s="45" t="inlineStr">
        <is>
          <t>天籁·鸿蒙座舱</t>
        </is>
      </c>
      <c r="C810" s="46" t="n">
        <v>385</v>
      </c>
      <c r="D810" s="46" t="n">
        <v>569</v>
      </c>
      <c r="E810" s="46" t="n">
        <v>463</v>
      </c>
      <c r="F810" s="46" t="n">
        <v>791</v>
      </c>
      <c r="G810" s="46" t="n">
        <v>504</v>
      </c>
      <c r="H810" s="46" t="n">
        <v>605</v>
      </c>
      <c r="I810" s="46" t="n">
        <v>324</v>
      </c>
      <c r="J810" s="46" t="n">
        <v>112</v>
      </c>
      <c r="K810" s="46" t="n">
        <v>473</v>
      </c>
      <c r="L810" s="46" t="n">
        <v>193</v>
      </c>
      <c r="M810" s="46">
        <f>N810-SUM(C810:L810)</f>
        <v/>
      </c>
      <c r="N810" s="47" t="n">
        <v>4776</v>
      </c>
      <c r="O810" s="46" t="n">
        <v>48</v>
      </c>
      <c r="P810" s="46" t="n">
        <v>0</v>
      </c>
      <c r="Q810" s="46" t="n">
        <v>1053</v>
      </c>
      <c r="R810" s="46" t="n">
        <v>832</v>
      </c>
      <c r="S810" s="46" t="n">
        <v>220</v>
      </c>
      <c r="T810" s="46" t="n">
        <v>272</v>
      </c>
      <c r="U810" s="46" t="n">
        <v>13</v>
      </c>
      <c r="V810" s="46" t="n">
        <v>57</v>
      </c>
      <c r="W810" s="46" t="n">
        <v>704</v>
      </c>
      <c r="X810" s="46" t="n">
        <v>1577</v>
      </c>
      <c r="Y810" s="46" t="n">
        <v>0</v>
      </c>
    </row>
    <row r="811">
      <c r="A811" s="78" t="n">
        <v>46278</v>
      </c>
      <c r="B811" s="45" t="inlineStr">
        <is>
          <t>天籁·鸿蒙座舱</t>
        </is>
      </c>
      <c r="C811" s="46" t="n">
        <v>385</v>
      </c>
      <c r="D811" s="46" t="n">
        <v>569</v>
      </c>
      <c r="E811" s="46" t="n">
        <v>463</v>
      </c>
      <c r="F811" s="46" t="n">
        <v>791</v>
      </c>
      <c r="G811" s="46" t="n">
        <v>504</v>
      </c>
      <c r="H811" s="46" t="n">
        <v>605</v>
      </c>
      <c r="I811" s="46" t="n">
        <v>324</v>
      </c>
      <c r="J811" s="46" t="n">
        <v>112</v>
      </c>
      <c r="K811" s="46" t="n">
        <v>473</v>
      </c>
      <c r="L811" s="46" t="n">
        <v>193</v>
      </c>
      <c r="M811" s="46">
        <f>N811-SUM(C811:L811)</f>
        <v/>
      </c>
      <c r="N811" s="47" t="n">
        <v>4776</v>
      </c>
      <c r="O811" s="46" t="n">
        <v>48</v>
      </c>
      <c r="P811" s="46" t="n">
        <v>0</v>
      </c>
      <c r="Q811" s="46" t="n">
        <v>1053</v>
      </c>
      <c r="R811" s="46" t="n">
        <v>832</v>
      </c>
      <c r="S811" s="46" t="n">
        <v>220</v>
      </c>
      <c r="T811" s="46" t="n">
        <v>272</v>
      </c>
      <c r="U811" s="46" t="n">
        <v>13</v>
      </c>
      <c r="V811" s="46" t="n">
        <v>57</v>
      </c>
      <c r="W811" s="46" t="n">
        <v>704</v>
      </c>
      <c r="X811" s="46" t="n">
        <v>1577</v>
      </c>
      <c r="Y811" s="46" t="n">
        <v>0</v>
      </c>
    </row>
    <row r="812">
      <c r="A812" s="78" t="n">
        <v>46279</v>
      </c>
      <c r="B812" s="45" t="inlineStr">
        <is>
          <t>天籁·鸿蒙座舱</t>
        </is>
      </c>
      <c r="C812" s="46" t="n">
        <v>349</v>
      </c>
      <c r="D812" s="46" t="n">
        <v>515</v>
      </c>
      <c r="E812" s="46" t="n">
        <v>419</v>
      </c>
      <c r="F812" s="46" t="n">
        <v>716</v>
      </c>
      <c r="G812" s="46" t="n">
        <v>456</v>
      </c>
      <c r="H812" s="46" t="n">
        <v>548</v>
      </c>
      <c r="I812" s="46" t="n">
        <v>293</v>
      </c>
      <c r="J812" s="46" t="n">
        <v>101</v>
      </c>
      <c r="K812" s="46" t="n">
        <v>428</v>
      </c>
      <c r="L812" s="46" t="n">
        <v>175</v>
      </c>
      <c r="M812" s="46">
        <f>N812-SUM(C812:L812)</f>
        <v/>
      </c>
      <c r="N812" s="47" t="n">
        <v>4324</v>
      </c>
      <c r="O812" s="46" t="n">
        <v>41</v>
      </c>
      <c r="P812" s="46" t="n">
        <v>0</v>
      </c>
      <c r="Q812" s="46" t="n">
        <v>916</v>
      </c>
      <c r="R812" s="46" t="n">
        <v>723</v>
      </c>
      <c r="S812" s="46" t="n">
        <v>191</v>
      </c>
      <c r="T812" s="46" t="n">
        <v>237</v>
      </c>
      <c r="U812" s="46" t="n">
        <v>12</v>
      </c>
      <c r="V812" s="46" t="n">
        <v>49</v>
      </c>
      <c r="W812" s="46" t="n">
        <v>613</v>
      </c>
      <c r="X812" s="46" t="n">
        <v>1372</v>
      </c>
      <c r="Y812" s="46" t="n">
        <v>170</v>
      </c>
    </row>
    <row r="813">
      <c r="A813" s="78" t="n">
        <v>46280</v>
      </c>
      <c r="B813" s="45" t="inlineStr">
        <is>
          <t>天籁·鸿蒙座舱</t>
        </is>
      </c>
      <c r="C813" s="46" t="n">
        <v>349</v>
      </c>
      <c r="D813" s="46" t="n">
        <v>515</v>
      </c>
      <c r="E813" s="46" t="n">
        <v>419</v>
      </c>
      <c r="F813" s="46" t="n">
        <v>716</v>
      </c>
      <c r="G813" s="46" t="n">
        <v>456</v>
      </c>
      <c r="H813" s="46" t="n">
        <v>548</v>
      </c>
      <c r="I813" s="46" t="n">
        <v>293</v>
      </c>
      <c r="J813" s="46" t="n">
        <v>101</v>
      </c>
      <c r="K813" s="46" t="n">
        <v>428</v>
      </c>
      <c r="L813" s="46" t="n">
        <v>175</v>
      </c>
      <c r="M813" s="46">
        <f>N813-SUM(C813:L813)</f>
        <v/>
      </c>
      <c r="N813" s="47" t="n">
        <v>4324</v>
      </c>
      <c r="O813" s="46" t="n">
        <v>41</v>
      </c>
      <c r="P813" s="46" t="n">
        <v>0</v>
      </c>
      <c r="Q813" s="46" t="n">
        <v>916</v>
      </c>
      <c r="R813" s="46" t="n">
        <v>723</v>
      </c>
      <c r="S813" s="46" t="n">
        <v>191</v>
      </c>
      <c r="T813" s="46" t="n">
        <v>237</v>
      </c>
      <c r="U813" s="46" t="n">
        <v>12</v>
      </c>
      <c r="V813" s="46" t="n">
        <v>49</v>
      </c>
      <c r="W813" s="46" t="n">
        <v>613</v>
      </c>
      <c r="X813" s="46" t="n">
        <v>1372</v>
      </c>
      <c r="Y813" s="46" t="n">
        <v>170</v>
      </c>
    </row>
    <row r="814">
      <c r="A814" s="78" t="n">
        <v>46281</v>
      </c>
      <c r="B814" s="45" t="inlineStr">
        <is>
          <t>天籁·鸿蒙座舱</t>
        </is>
      </c>
      <c r="C814" s="46" t="n">
        <v>349</v>
      </c>
      <c r="D814" s="46" t="n">
        <v>515</v>
      </c>
      <c r="E814" s="46" t="n">
        <v>419</v>
      </c>
      <c r="F814" s="46" t="n">
        <v>716</v>
      </c>
      <c r="G814" s="46" t="n">
        <v>456</v>
      </c>
      <c r="H814" s="46" t="n">
        <v>548</v>
      </c>
      <c r="I814" s="46" t="n">
        <v>293</v>
      </c>
      <c r="J814" s="46" t="n">
        <v>101</v>
      </c>
      <c r="K814" s="46" t="n">
        <v>428</v>
      </c>
      <c r="L814" s="46" t="n">
        <v>175</v>
      </c>
      <c r="M814" s="46">
        <f>N814-SUM(C814:L814)</f>
        <v/>
      </c>
      <c r="N814" s="47" t="n">
        <v>4324</v>
      </c>
      <c r="O814" s="46" t="n">
        <v>41</v>
      </c>
      <c r="P814" s="46" t="n">
        <v>0</v>
      </c>
      <c r="Q814" s="46" t="n">
        <v>916</v>
      </c>
      <c r="R814" s="46" t="n">
        <v>723</v>
      </c>
      <c r="S814" s="46" t="n">
        <v>191</v>
      </c>
      <c r="T814" s="46" t="n">
        <v>237</v>
      </c>
      <c r="U814" s="46" t="n">
        <v>12</v>
      </c>
      <c r="V814" s="46" t="n">
        <v>49</v>
      </c>
      <c r="W814" s="46" t="n">
        <v>613</v>
      </c>
      <c r="X814" s="46" t="n">
        <v>1372</v>
      </c>
      <c r="Y814" s="46" t="n">
        <v>170</v>
      </c>
    </row>
    <row r="815">
      <c r="A815" s="78" t="n">
        <v>46282</v>
      </c>
      <c r="B815" s="45" t="inlineStr">
        <is>
          <t>天籁·鸿蒙座舱</t>
        </is>
      </c>
      <c r="C815" s="46" t="n">
        <v>349</v>
      </c>
      <c r="D815" s="46" t="n">
        <v>515</v>
      </c>
      <c r="E815" s="46" t="n">
        <v>419</v>
      </c>
      <c r="F815" s="46" t="n">
        <v>716</v>
      </c>
      <c r="G815" s="46" t="n">
        <v>456</v>
      </c>
      <c r="H815" s="46" t="n">
        <v>548</v>
      </c>
      <c r="I815" s="46" t="n">
        <v>293</v>
      </c>
      <c r="J815" s="46" t="n">
        <v>101</v>
      </c>
      <c r="K815" s="46" t="n">
        <v>428</v>
      </c>
      <c r="L815" s="46" t="n">
        <v>175</v>
      </c>
      <c r="M815" s="46">
        <f>N815-SUM(C815:L815)</f>
        <v/>
      </c>
      <c r="N815" s="47" t="n">
        <v>4324</v>
      </c>
      <c r="O815" s="46" t="n">
        <v>41</v>
      </c>
      <c r="P815" s="46" t="n">
        <v>0</v>
      </c>
      <c r="Q815" s="46" t="n">
        <v>916</v>
      </c>
      <c r="R815" s="46" t="n">
        <v>723</v>
      </c>
      <c r="S815" s="46" t="n">
        <v>191</v>
      </c>
      <c r="T815" s="46" t="n">
        <v>237</v>
      </c>
      <c r="U815" s="46" t="n">
        <v>12</v>
      </c>
      <c r="V815" s="46" t="n">
        <v>49</v>
      </c>
      <c r="W815" s="46" t="n">
        <v>613</v>
      </c>
      <c r="X815" s="46" t="n">
        <v>1372</v>
      </c>
      <c r="Y815" s="46" t="n">
        <v>170</v>
      </c>
    </row>
    <row r="816">
      <c r="A816" s="78" t="n">
        <v>46283</v>
      </c>
      <c r="B816" s="45" t="inlineStr">
        <is>
          <t>天籁·鸿蒙座舱</t>
        </is>
      </c>
      <c r="C816" s="46" t="n">
        <v>349</v>
      </c>
      <c r="D816" s="46" t="n">
        <v>515</v>
      </c>
      <c r="E816" s="46" t="n">
        <v>419</v>
      </c>
      <c r="F816" s="46" t="n">
        <v>716</v>
      </c>
      <c r="G816" s="46" t="n">
        <v>456</v>
      </c>
      <c r="H816" s="46" t="n">
        <v>548</v>
      </c>
      <c r="I816" s="46" t="n">
        <v>293</v>
      </c>
      <c r="J816" s="46" t="n">
        <v>101</v>
      </c>
      <c r="K816" s="46" t="n">
        <v>428</v>
      </c>
      <c r="L816" s="46" t="n">
        <v>175</v>
      </c>
      <c r="M816" s="46">
        <f>N816-SUM(C816:L816)</f>
        <v/>
      </c>
      <c r="N816" s="47" t="n">
        <v>4324</v>
      </c>
      <c r="O816" s="46" t="n">
        <v>41</v>
      </c>
      <c r="P816" s="46" t="n">
        <v>0</v>
      </c>
      <c r="Q816" s="46" t="n">
        <v>916</v>
      </c>
      <c r="R816" s="46" t="n">
        <v>723</v>
      </c>
      <c r="S816" s="46" t="n">
        <v>191</v>
      </c>
      <c r="T816" s="46" t="n">
        <v>237</v>
      </c>
      <c r="U816" s="46" t="n">
        <v>12</v>
      </c>
      <c r="V816" s="46" t="n">
        <v>49</v>
      </c>
      <c r="W816" s="46" t="n">
        <v>613</v>
      </c>
      <c r="X816" s="46" t="n">
        <v>1372</v>
      </c>
      <c r="Y816" s="46" t="n">
        <v>170</v>
      </c>
    </row>
    <row r="817">
      <c r="A817" s="78" t="n">
        <v>46284</v>
      </c>
      <c r="B817" s="45" t="inlineStr">
        <is>
          <t>天籁·鸿蒙座舱</t>
        </is>
      </c>
      <c r="C817" s="46" t="n">
        <v>386</v>
      </c>
      <c r="D817" s="46" t="n">
        <v>569</v>
      </c>
      <c r="E817" s="46" t="n">
        <v>463</v>
      </c>
      <c r="F817" s="46" t="n">
        <v>791</v>
      </c>
      <c r="G817" s="46" t="n">
        <v>504</v>
      </c>
      <c r="H817" s="46" t="n">
        <v>605</v>
      </c>
      <c r="I817" s="46" t="n">
        <v>324</v>
      </c>
      <c r="J817" s="46" t="n">
        <v>112</v>
      </c>
      <c r="K817" s="46" t="n">
        <v>473</v>
      </c>
      <c r="L817" s="46" t="n">
        <v>193</v>
      </c>
      <c r="M817" s="46">
        <f>N817-SUM(C817:L817)</f>
        <v/>
      </c>
      <c r="N817" s="47" t="n">
        <v>4777</v>
      </c>
      <c r="O817" s="46" t="n">
        <v>48</v>
      </c>
      <c r="P817" s="46" t="n">
        <v>0</v>
      </c>
      <c r="Q817" s="46" t="n">
        <v>1053</v>
      </c>
      <c r="R817" s="46" t="n">
        <v>832</v>
      </c>
      <c r="S817" s="46" t="n">
        <v>221</v>
      </c>
      <c r="T817" s="46" t="n">
        <v>272</v>
      </c>
      <c r="U817" s="46" t="n">
        <v>13</v>
      </c>
      <c r="V817" s="46" t="n">
        <v>57</v>
      </c>
      <c r="W817" s="46" t="n">
        <v>704</v>
      </c>
      <c r="X817" s="46" t="n">
        <v>1577</v>
      </c>
      <c r="Y817" s="46" t="n">
        <v>0</v>
      </c>
    </row>
    <row r="818">
      <c r="A818" s="78" t="n">
        <v>46285</v>
      </c>
      <c r="B818" s="45" t="inlineStr">
        <is>
          <t>天籁·鸿蒙座舱</t>
        </is>
      </c>
      <c r="C818" s="46" t="n">
        <v>349</v>
      </c>
      <c r="D818" s="46" t="n">
        <v>515</v>
      </c>
      <c r="E818" s="46" t="n">
        <v>420</v>
      </c>
      <c r="F818" s="46" t="n">
        <v>716</v>
      </c>
      <c r="G818" s="46" t="n">
        <v>456</v>
      </c>
      <c r="H818" s="46" t="n">
        <v>548</v>
      </c>
      <c r="I818" s="46" t="n">
        <v>293</v>
      </c>
      <c r="J818" s="46" t="n">
        <v>101</v>
      </c>
      <c r="K818" s="46" t="n">
        <v>428</v>
      </c>
      <c r="L818" s="46" t="n">
        <v>175</v>
      </c>
      <c r="M818" s="46">
        <f>N818-SUM(C818:L818)</f>
        <v/>
      </c>
      <c r="N818" s="47" t="n">
        <v>4325</v>
      </c>
      <c r="O818" s="46" t="n">
        <v>41</v>
      </c>
      <c r="P818" s="46" t="n">
        <v>0</v>
      </c>
      <c r="Q818" s="46" t="n">
        <v>916</v>
      </c>
      <c r="R818" s="46" t="n">
        <v>723</v>
      </c>
      <c r="S818" s="46" t="n">
        <v>192</v>
      </c>
      <c r="T818" s="46" t="n">
        <v>237</v>
      </c>
      <c r="U818" s="46" t="n">
        <v>12</v>
      </c>
      <c r="V818" s="46" t="n">
        <v>49</v>
      </c>
      <c r="W818" s="46" t="n">
        <v>613</v>
      </c>
      <c r="X818" s="46" t="n">
        <v>1372</v>
      </c>
      <c r="Y818" s="46" t="n">
        <v>170</v>
      </c>
    </row>
    <row r="819">
      <c r="A819" s="78" t="n">
        <v>46286</v>
      </c>
      <c r="B819" s="45" t="inlineStr">
        <is>
          <t>天籁·鸿蒙座舱</t>
        </is>
      </c>
      <c r="C819" s="46" t="n">
        <v>349</v>
      </c>
      <c r="D819" s="46" t="n">
        <v>515</v>
      </c>
      <c r="E819" s="46" t="n">
        <v>420</v>
      </c>
      <c r="F819" s="46" t="n">
        <v>716</v>
      </c>
      <c r="G819" s="46" t="n">
        <v>456</v>
      </c>
      <c r="H819" s="46" t="n">
        <v>548</v>
      </c>
      <c r="I819" s="46" t="n">
        <v>293</v>
      </c>
      <c r="J819" s="46" t="n">
        <v>101</v>
      </c>
      <c r="K819" s="46" t="n">
        <v>428</v>
      </c>
      <c r="L819" s="46" t="n">
        <v>175</v>
      </c>
      <c r="M819" s="46">
        <f>N819-SUM(C819:L819)</f>
        <v/>
      </c>
      <c r="N819" s="47" t="n">
        <v>4325</v>
      </c>
      <c r="O819" s="46" t="n">
        <v>41</v>
      </c>
      <c r="P819" s="46" t="n">
        <v>0</v>
      </c>
      <c r="Q819" s="46" t="n">
        <v>916</v>
      </c>
      <c r="R819" s="46" t="n">
        <v>723</v>
      </c>
      <c r="S819" s="46" t="n">
        <v>192</v>
      </c>
      <c r="T819" s="46" t="n">
        <v>237</v>
      </c>
      <c r="U819" s="46" t="n">
        <v>12</v>
      </c>
      <c r="V819" s="46" t="n">
        <v>49</v>
      </c>
      <c r="W819" s="46" t="n">
        <v>613</v>
      </c>
      <c r="X819" s="46" t="n">
        <v>1372</v>
      </c>
      <c r="Y819" s="46" t="n">
        <v>170</v>
      </c>
    </row>
    <row r="820">
      <c r="A820" s="78" t="n">
        <v>46287</v>
      </c>
      <c r="B820" s="45" t="inlineStr">
        <is>
          <t>天籁·鸿蒙座舱</t>
        </is>
      </c>
      <c r="C820" s="46" t="n">
        <v>349</v>
      </c>
      <c r="D820" s="46" t="n">
        <v>515</v>
      </c>
      <c r="E820" s="46" t="n">
        <v>420</v>
      </c>
      <c r="F820" s="46" t="n">
        <v>716</v>
      </c>
      <c r="G820" s="46" t="n">
        <v>456</v>
      </c>
      <c r="H820" s="46" t="n">
        <v>548</v>
      </c>
      <c r="I820" s="46" t="n">
        <v>293</v>
      </c>
      <c r="J820" s="46" t="n">
        <v>101</v>
      </c>
      <c r="K820" s="46" t="n">
        <v>428</v>
      </c>
      <c r="L820" s="46" t="n">
        <v>175</v>
      </c>
      <c r="M820" s="46">
        <f>N820-SUM(C820:L820)</f>
        <v/>
      </c>
      <c r="N820" s="47" t="n">
        <v>4327</v>
      </c>
      <c r="O820" s="46" t="n">
        <v>41</v>
      </c>
      <c r="P820" s="46" t="n">
        <v>1</v>
      </c>
      <c r="Q820" s="46" t="n">
        <v>916</v>
      </c>
      <c r="R820" s="46" t="n">
        <v>724</v>
      </c>
      <c r="S820" s="46" t="n">
        <v>192</v>
      </c>
      <c r="T820" s="46" t="n">
        <v>237</v>
      </c>
      <c r="U820" s="46" t="n">
        <v>12</v>
      </c>
      <c r="V820" s="46" t="n">
        <v>49</v>
      </c>
      <c r="W820" s="46" t="n">
        <v>613</v>
      </c>
      <c r="X820" s="46" t="n">
        <v>1372</v>
      </c>
      <c r="Y820" s="46" t="n">
        <v>170</v>
      </c>
    </row>
    <row r="821">
      <c r="A821" s="78" t="n">
        <v>46288</v>
      </c>
      <c r="B821" s="45" t="inlineStr">
        <is>
          <t>天籁·鸿蒙座舱</t>
        </is>
      </c>
      <c r="C821" s="46" t="n">
        <v>349</v>
      </c>
      <c r="D821" s="46" t="n">
        <v>515</v>
      </c>
      <c r="E821" s="46" t="n">
        <v>420</v>
      </c>
      <c r="F821" s="46" t="n">
        <v>716</v>
      </c>
      <c r="G821" s="46" t="n">
        <v>456</v>
      </c>
      <c r="H821" s="46" t="n">
        <v>548</v>
      </c>
      <c r="I821" s="46" t="n">
        <v>293</v>
      </c>
      <c r="J821" s="46" t="n">
        <v>101</v>
      </c>
      <c r="K821" s="46" t="n">
        <v>428</v>
      </c>
      <c r="L821" s="46" t="n">
        <v>175</v>
      </c>
      <c r="M821" s="46">
        <f>N821-SUM(C821:L821)</f>
        <v/>
      </c>
      <c r="N821" s="47" t="n">
        <v>4327</v>
      </c>
      <c r="O821" s="46" t="n">
        <v>41</v>
      </c>
      <c r="P821" s="46" t="n">
        <v>1</v>
      </c>
      <c r="Q821" s="46" t="n">
        <v>916</v>
      </c>
      <c r="R821" s="46" t="n">
        <v>724</v>
      </c>
      <c r="S821" s="46" t="n">
        <v>192</v>
      </c>
      <c r="T821" s="46" t="n">
        <v>237</v>
      </c>
      <c r="U821" s="46" t="n">
        <v>12</v>
      </c>
      <c r="V821" s="46" t="n">
        <v>49</v>
      </c>
      <c r="W821" s="46" t="n">
        <v>613</v>
      </c>
      <c r="X821" s="46" t="n">
        <v>1372</v>
      </c>
      <c r="Y821" s="46" t="n">
        <v>170</v>
      </c>
    </row>
    <row r="822">
      <c r="A822" s="78" t="n">
        <v>46289</v>
      </c>
      <c r="B822" s="45" t="inlineStr">
        <is>
          <t>天籁·鸿蒙座舱</t>
        </is>
      </c>
      <c r="C822" s="46" t="n">
        <v>349</v>
      </c>
      <c r="D822" s="46" t="n">
        <v>515</v>
      </c>
      <c r="E822" s="46" t="n">
        <v>420</v>
      </c>
      <c r="F822" s="46" t="n">
        <v>717</v>
      </c>
      <c r="G822" s="46" t="n">
        <v>456</v>
      </c>
      <c r="H822" s="46" t="n">
        <v>548</v>
      </c>
      <c r="I822" s="46" t="n">
        <v>293</v>
      </c>
      <c r="J822" s="46" t="n">
        <v>101</v>
      </c>
      <c r="K822" s="46" t="n">
        <v>428</v>
      </c>
      <c r="L822" s="46" t="n">
        <v>175</v>
      </c>
      <c r="M822" s="46">
        <f>N822-SUM(C822:L822)</f>
        <v/>
      </c>
      <c r="N822" s="47" t="n">
        <v>4328</v>
      </c>
      <c r="O822" s="46" t="n">
        <v>42</v>
      </c>
      <c r="P822" s="46" t="n">
        <v>1</v>
      </c>
      <c r="Q822" s="46" t="n">
        <v>916</v>
      </c>
      <c r="R822" s="46" t="n">
        <v>724</v>
      </c>
      <c r="S822" s="46" t="n">
        <v>192</v>
      </c>
      <c r="T822" s="46" t="n">
        <v>237</v>
      </c>
      <c r="U822" s="46" t="n">
        <v>12</v>
      </c>
      <c r="V822" s="46" t="n">
        <v>49</v>
      </c>
      <c r="W822" s="46" t="n">
        <v>613</v>
      </c>
      <c r="X822" s="46" t="n">
        <v>1372</v>
      </c>
      <c r="Y822" s="46" t="n">
        <v>170</v>
      </c>
    </row>
    <row r="823">
      <c r="A823" s="78" t="n">
        <v>46290</v>
      </c>
      <c r="B823" s="45" t="inlineStr">
        <is>
          <t>天籁·鸿蒙座舱</t>
        </is>
      </c>
      <c r="C823" s="46" t="n">
        <v>386</v>
      </c>
      <c r="D823" s="46" t="n">
        <v>569</v>
      </c>
      <c r="E823" s="46" t="n">
        <v>463</v>
      </c>
      <c r="F823" s="46" t="n">
        <v>791</v>
      </c>
      <c r="G823" s="46" t="n">
        <v>504</v>
      </c>
      <c r="H823" s="46" t="n">
        <v>606</v>
      </c>
      <c r="I823" s="46" t="n">
        <v>324</v>
      </c>
      <c r="J823" s="46" t="n">
        <v>112</v>
      </c>
      <c r="K823" s="46" t="n">
        <v>473</v>
      </c>
      <c r="L823" s="46" t="n">
        <v>193</v>
      </c>
      <c r="M823" s="46">
        <f>N823-SUM(C823:L823)</f>
        <v/>
      </c>
      <c r="N823" s="47" t="n">
        <v>4780</v>
      </c>
      <c r="O823" s="46" t="n">
        <v>49</v>
      </c>
      <c r="P823" s="46" t="n">
        <v>1</v>
      </c>
      <c r="Q823" s="46" t="n">
        <v>1053</v>
      </c>
      <c r="R823" s="46" t="n">
        <v>833</v>
      </c>
      <c r="S823" s="46" t="n">
        <v>221</v>
      </c>
      <c r="T823" s="46" t="n">
        <v>272</v>
      </c>
      <c r="U823" s="46" t="n">
        <v>13</v>
      </c>
      <c r="V823" s="46" t="n">
        <v>57</v>
      </c>
      <c r="W823" s="46" t="n">
        <v>704</v>
      </c>
      <c r="X823" s="46" t="n">
        <v>1577</v>
      </c>
      <c r="Y823" s="46" t="n">
        <v>0</v>
      </c>
    </row>
    <row r="824">
      <c r="A824" s="78" t="n">
        <v>46291</v>
      </c>
      <c r="B824" s="45" t="inlineStr">
        <is>
          <t>天籁·鸿蒙座舱</t>
        </is>
      </c>
      <c r="C824" s="46" t="n">
        <v>386</v>
      </c>
      <c r="D824" s="46" t="n">
        <v>569</v>
      </c>
      <c r="E824" s="46" t="n">
        <v>463</v>
      </c>
      <c r="F824" s="46" t="n">
        <v>791</v>
      </c>
      <c r="G824" s="46" t="n">
        <v>504</v>
      </c>
      <c r="H824" s="46" t="n">
        <v>606</v>
      </c>
      <c r="I824" s="46" t="n">
        <v>324</v>
      </c>
      <c r="J824" s="46" t="n">
        <v>112</v>
      </c>
      <c r="K824" s="46" t="n">
        <v>473</v>
      </c>
      <c r="L824" s="46" t="n">
        <v>193</v>
      </c>
      <c r="M824" s="46">
        <f>N824-SUM(C824:L824)</f>
        <v/>
      </c>
      <c r="N824" s="47" t="n">
        <v>4780</v>
      </c>
      <c r="O824" s="46" t="n">
        <v>49</v>
      </c>
      <c r="P824" s="46" t="n">
        <v>1</v>
      </c>
      <c r="Q824" s="46" t="n">
        <v>1053</v>
      </c>
      <c r="R824" s="46" t="n">
        <v>833</v>
      </c>
      <c r="S824" s="46" t="n">
        <v>221</v>
      </c>
      <c r="T824" s="46" t="n">
        <v>272</v>
      </c>
      <c r="U824" s="46" t="n">
        <v>13</v>
      </c>
      <c r="V824" s="46" t="n">
        <v>57</v>
      </c>
      <c r="W824" s="46" t="n">
        <v>704</v>
      </c>
      <c r="X824" s="46" t="n">
        <v>1577</v>
      </c>
      <c r="Y824" s="46" t="n">
        <v>0</v>
      </c>
    </row>
    <row r="825">
      <c r="A825" s="78" t="n">
        <v>46292</v>
      </c>
      <c r="B825" s="45" t="inlineStr">
        <is>
          <t>天籁·鸿蒙座舱</t>
        </is>
      </c>
      <c r="C825" s="46" t="n">
        <v>386</v>
      </c>
      <c r="D825" s="46" t="n">
        <v>569</v>
      </c>
      <c r="E825" s="46" t="n">
        <v>463</v>
      </c>
      <c r="F825" s="46" t="n">
        <v>792</v>
      </c>
      <c r="G825" s="46" t="n">
        <v>504</v>
      </c>
      <c r="H825" s="46" t="n">
        <v>606</v>
      </c>
      <c r="I825" s="46" t="n">
        <v>324</v>
      </c>
      <c r="J825" s="46" t="n">
        <v>112</v>
      </c>
      <c r="K825" s="46" t="n">
        <v>473</v>
      </c>
      <c r="L825" s="46" t="n">
        <v>193</v>
      </c>
      <c r="M825" s="46">
        <f>N825-SUM(C825:L825)</f>
        <v/>
      </c>
      <c r="N825" s="47" t="n">
        <v>4781</v>
      </c>
      <c r="O825" s="46" t="n">
        <v>49</v>
      </c>
      <c r="P825" s="46" t="n">
        <v>1</v>
      </c>
      <c r="Q825" s="46" t="n">
        <v>1053</v>
      </c>
      <c r="R825" s="46" t="n">
        <v>833</v>
      </c>
      <c r="S825" s="46" t="n">
        <v>221</v>
      </c>
      <c r="T825" s="46" t="n">
        <v>272</v>
      </c>
      <c r="U825" s="46" t="n">
        <v>13</v>
      </c>
      <c r="V825" s="46" t="n">
        <v>58</v>
      </c>
      <c r="W825" s="46" t="n">
        <v>704</v>
      </c>
      <c r="X825" s="46" t="n">
        <v>1577</v>
      </c>
      <c r="Y825" s="46" t="n">
        <v>0</v>
      </c>
    </row>
    <row r="826">
      <c r="A826" s="78" t="n">
        <v>46293</v>
      </c>
      <c r="B826" s="45" t="inlineStr">
        <is>
          <t>天籁·鸿蒙座舱</t>
        </is>
      </c>
      <c r="C826" s="46" t="n">
        <v>349</v>
      </c>
      <c r="D826" s="46" t="n">
        <v>516</v>
      </c>
      <c r="E826" s="46" t="n">
        <v>420</v>
      </c>
      <c r="F826" s="46" t="n">
        <v>717</v>
      </c>
      <c r="G826" s="46" t="n">
        <v>456</v>
      </c>
      <c r="H826" s="46" t="n">
        <v>549</v>
      </c>
      <c r="I826" s="46" t="n">
        <v>293</v>
      </c>
      <c r="J826" s="46" t="n">
        <v>101</v>
      </c>
      <c r="K826" s="46" t="n">
        <v>428</v>
      </c>
      <c r="L826" s="46" t="n">
        <v>175</v>
      </c>
      <c r="M826" s="46">
        <f>N826-SUM(C826:L826)</f>
        <v/>
      </c>
      <c r="N826" s="47" t="n">
        <v>4329</v>
      </c>
      <c r="O826" s="46" t="n">
        <v>42</v>
      </c>
      <c r="P826" s="46" t="n">
        <v>1</v>
      </c>
      <c r="Q826" s="46" t="n">
        <v>916</v>
      </c>
      <c r="R826" s="46" t="n">
        <v>724</v>
      </c>
      <c r="S826" s="46" t="n">
        <v>192</v>
      </c>
      <c r="T826" s="46" t="n">
        <v>237</v>
      </c>
      <c r="U826" s="46" t="n">
        <v>12</v>
      </c>
      <c r="V826" s="46" t="n">
        <v>50</v>
      </c>
      <c r="W826" s="46" t="n">
        <v>613</v>
      </c>
      <c r="X826" s="46" t="n">
        <v>1372</v>
      </c>
      <c r="Y826" s="46" t="n">
        <v>170</v>
      </c>
    </row>
    <row r="827">
      <c r="A827" s="78" t="n">
        <v>46294</v>
      </c>
      <c r="B827" s="45" t="inlineStr">
        <is>
          <t>天籁·鸿蒙座舱</t>
        </is>
      </c>
      <c r="C827" s="46" t="n">
        <v>349</v>
      </c>
      <c r="D827" s="46" t="n">
        <v>516</v>
      </c>
      <c r="E827" s="46" t="n">
        <v>420</v>
      </c>
      <c r="F827" s="46" t="n">
        <v>717</v>
      </c>
      <c r="G827" s="46" t="n">
        <v>456</v>
      </c>
      <c r="H827" s="46" t="n">
        <v>549</v>
      </c>
      <c r="I827" s="46" t="n">
        <v>293</v>
      </c>
      <c r="J827" s="46" t="n">
        <v>101</v>
      </c>
      <c r="K827" s="46" t="n">
        <v>428</v>
      </c>
      <c r="L827" s="46" t="n">
        <v>175</v>
      </c>
      <c r="M827" s="46">
        <f>N827-SUM(C827:L827)</f>
        <v/>
      </c>
      <c r="N827" s="47" t="n">
        <v>4329</v>
      </c>
      <c r="O827" s="46" t="n">
        <v>42</v>
      </c>
      <c r="P827" s="46" t="n">
        <v>1</v>
      </c>
      <c r="Q827" s="46" t="n">
        <v>916</v>
      </c>
      <c r="R827" s="46" t="n">
        <v>724</v>
      </c>
      <c r="S827" s="46" t="n">
        <v>192</v>
      </c>
      <c r="T827" s="46" t="n">
        <v>237</v>
      </c>
      <c r="U827" s="46" t="n">
        <v>12</v>
      </c>
      <c r="V827" s="46" t="n">
        <v>50</v>
      </c>
      <c r="W827" s="46" t="n">
        <v>613</v>
      </c>
      <c r="X827" s="46" t="n">
        <v>1372</v>
      </c>
      <c r="Y827" s="46" t="n">
        <v>170</v>
      </c>
    </row>
    <row r="828">
      <c r="A828" s="78" t="n">
        <v>46295</v>
      </c>
      <c r="B828" s="45" t="inlineStr">
        <is>
          <t>天籁·鸿蒙座舱</t>
        </is>
      </c>
      <c r="C828" s="46" t="n">
        <v>349</v>
      </c>
      <c r="D828" s="46" t="n">
        <v>516</v>
      </c>
      <c r="E828" s="46" t="n">
        <v>420</v>
      </c>
      <c r="F828" s="46" t="n">
        <v>717</v>
      </c>
      <c r="G828" s="46" t="n">
        <v>456</v>
      </c>
      <c r="H828" s="46" t="n">
        <v>549</v>
      </c>
      <c r="I828" s="46" t="n">
        <v>293</v>
      </c>
      <c r="J828" s="46" t="n">
        <v>101</v>
      </c>
      <c r="K828" s="46" t="n">
        <v>428</v>
      </c>
      <c r="L828" s="46" t="n">
        <v>175</v>
      </c>
      <c r="M828" s="46">
        <f>N828-SUM(C828:L828)</f>
        <v/>
      </c>
      <c r="N828" s="47" t="n">
        <v>4329</v>
      </c>
      <c r="O828" s="46" t="n">
        <v>42</v>
      </c>
      <c r="P828" s="46" t="n">
        <v>1</v>
      </c>
      <c r="Q828" s="46" t="n">
        <v>916</v>
      </c>
      <c r="R828" s="46" t="n">
        <v>724</v>
      </c>
      <c r="S828" s="46" t="n">
        <v>192</v>
      </c>
      <c r="T828" s="46" t="n">
        <v>237</v>
      </c>
      <c r="U828" s="46" t="n">
        <v>12</v>
      </c>
      <c r="V828" s="46" t="n">
        <v>50</v>
      </c>
      <c r="W828" s="46" t="n">
        <v>613</v>
      </c>
      <c r="X828" s="46" t="n">
        <v>1372</v>
      </c>
      <c r="Y828" s="46" t="n">
        <v>170</v>
      </c>
    </row>
    <row r="829">
      <c r="A829" s="78" t="n">
        <v>46296</v>
      </c>
      <c r="B829" s="45" t="inlineStr">
        <is>
          <t>天籁·鸿蒙座舱</t>
        </is>
      </c>
      <c r="C829" s="46" t="n"/>
      <c r="D829" s="46" t="n"/>
      <c r="E829" s="46" t="n"/>
      <c r="F829" s="46" t="n"/>
      <c r="G829" s="46" t="n"/>
      <c r="H829" s="46" t="n"/>
      <c r="I829" s="46" t="n"/>
      <c r="J829" s="46" t="n"/>
      <c r="K829" s="46" t="n"/>
      <c r="L829" s="46" t="n"/>
      <c r="M829" s="46">
        <f>N829-SUM(C829:L829)</f>
        <v/>
      </c>
      <c r="N829" s="47" t="n">
        <v>0</v>
      </c>
      <c r="O829" s="46" t="n"/>
      <c r="P829" s="46" t="n"/>
      <c r="Q829" s="46" t="n"/>
      <c r="R829" s="46" t="n"/>
      <c r="S829" s="46" t="n"/>
      <c r="T829" s="46" t="n"/>
      <c r="U829" s="46" t="n"/>
      <c r="V829" s="46" t="n"/>
      <c r="W829" s="46" t="n"/>
      <c r="X829" s="46" t="n"/>
      <c r="Y829" s="46" t="n"/>
    </row>
    <row r="830">
      <c r="A830" s="78" t="n">
        <v>46297</v>
      </c>
      <c r="B830" s="45" t="inlineStr">
        <is>
          <t>天籁·鸿蒙座舱</t>
        </is>
      </c>
      <c r="C830" s="46" t="n"/>
      <c r="D830" s="46" t="n"/>
      <c r="E830" s="46" t="n"/>
      <c r="F830" s="46" t="n"/>
      <c r="G830" s="46" t="n"/>
      <c r="H830" s="46" t="n"/>
      <c r="I830" s="46" t="n"/>
      <c r="J830" s="46" t="n"/>
      <c r="K830" s="46" t="n"/>
      <c r="L830" s="46" t="n"/>
      <c r="M830" s="46">
        <f>N830-SUM(C830:L830)</f>
        <v/>
      </c>
      <c r="N830" s="47" t="n">
        <v>0</v>
      </c>
      <c r="O830" s="46" t="n"/>
      <c r="P830" s="46" t="n"/>
      <c r="Q830" s="46" t="n"/>
      <c r="R830" s="46" t="n"/>
      <c r="S830" s="46" t="n"/>
      <c r="T830" s="46" t="n"/>
      <c r="U830" s="46" t="n"/>
      <c r="V830" s="46" t="n"/>
      <c r="W830" s="46" t="n"/>
      <c r="X830" s="46" t="n"/>
      <c r="Y830" s="46" t="n"/>
    </row>
    <row r="831">
      <c r="A831" s="78" t="n">
        <v>46298</v>
      </c>
      <c r="B831" s="45" t="inlineStr">
        <is>
          <t>天籁·鸿蒙座舱</t>
        </is>
      </c>
      <c r="C831" s="46" t="n"/>
      <c r="D831" s="46" t="n"/>
      <c r="E831" s="46" t="n"/>
      <c r="F831" s="46" t="n"/>
      <c r="G831" s="46" t="n"/>
      <c r="H831" s="46" t="n"/>
      <c r="I831" s="46" t="n"/>
      <c r="J831" s="46" t="n"/>
      <c r="K831" s="46" t="n"/>
      <c r="L831" s="46" t="n"/>
      <c r="M831" s="46">
        <f>N831-SUM(C831:L831)</f>
        <v/>
      </c>
      <c r="N831" s="47" t="n">
        <v>0</v>
      </c>
      <c r="O831" s="46" t="n"/>
      <c r="P831" s="46" t="n"/>
      <c r="Q831" s="46" t="n"/>
      <c r="R831" s="46" t="n"/>
      <c r="S831" s="46" t="n"/>
      <c r="T831" s="46" t="n"/>
      <c r="U831" s="46" t="n"/>
      <c r="V831" s="46" t="n"/>
      <c r="W831" s="46" t="n"/>
      <c r="X831" s="46" t="n"/>
      <c r="Y831" s="46" t="n"/>
    </row>
    <row r="832">
      <c r="A832" s="78" t="n">
        <v>46299</v>
      </c>
      <c r="B832" s="45" t="inlineStr">
        <is>
          <t>天籁·鸿蒙座舱</t>
        </is>
      </c>
      <c r="C832" s="46" t="n"/>
      <c r="D832" s="46" t="n"/>
      <c r="E832" s="46" t="n"/>
      <c r="F832" s="46" t="n"/>
      <c r="G832" s="46" t="n"/>
      <c r="H832" s="46" t="n"/>
      <c r="I832" s="46" t="n"/>
      <c r="J832" s="46" t="n"/>
      <c r="K832" s="46" t="n"/>
      <c r="L832" s="46" t="n"/>
      <c r="M832" s="46">
        <f>N832-SUM(C832:L832)</f>
        <v/>
      </c>
      <c r="N832" s="47" t="n">
        <v>0</v>
      </c>
      <c r="O832" s="46" t="n"/>
      <c r="P832" s="46" t="n"/>
      <c r="Q832" s="46" t="n"/>
      <c r="R832" s="46" t="n"/>
      <c r="S832" s="46" t="n"/>
      <c r="T832" s="46" t="n"/>
      <c r="U832" s="46" t="n"/>
      <c r="V832" s="46" t="n"/>
      <c r="W832" s="46" t="n"/>
      <c r="X832" s="46" t="n"/>
      <c r="Y832" s="46" t="n"/>
    </row>
    <row r="833">
      <c r="A833" s="78" t="n">
        <v>46300</v>
      </c>
      <c r="B833" s="45" t="inlineStr">
        <is>
          <t>天籁·鸿蒙座舱</t>
        </is>
      </c>
      <c r="C833" s="46" t="n"/>
      <c r="D833" s="46" t="n"/>
      <c r="E833" s="46" t="n"/>
      <c r="F833" s="46" t="n"/>
      <c r="G833" s="46" t="n"/>
      <c r="H833" s="46" t="n"/>
      <c r="I833" s="46" t="n"/>
      <c r="J833" s="46" t="n"/>
      <c r="K833" s="46" t="n"/>
      <c r="L833" s="46" t="n"/>
      <c r="M833" s="46">
        <f>N833-SUM(C833:L833)</f>
        <v/>
      </c>
      <c r="N833" s="47" t="n">
        <v>0</v>
      </c>
      <c r="O833" s="46" t="n"/>
      <c r="P833" s="46" t="n"/>
      <c r="Q833" s="46" t="n"/>
      <c r="R833" s="46" t="n"/>
      <c r="S833" s="46" t="n"/>
      <c r="T833" s="46" t="n"/>
      <c r="U833" s="46" t="n"/>
      <c r="V833" s="46" t="n"/>
      <c r="W833" s="46" t="n"/>
      <c r="X833" s="46" t="n"/>
      <c r="Y833" s="46" t="n"/>
    </row>
    <row r="834">
      <c r="A834" s="78" t="n">
        <v>46301</v>
      </c>
      <c r="B834" s="45" t="inlineStr">
        <is>
          <t>天籁·鸿蒙座舱</t>
        </is>
      </c>
      <c r="C834" s="46" t="n"/>
      <c r="D834" s="46" t="n"/>
      <c r="E834" s="46" t="n"/>
      <c r="F834" s="46" t="n"/>
      <c r="G834" s="46" t="n"/>
      <c r="H834" s="46" t="n"/>
      <c r="I834" s="46" t="n"/>
      <c r="J834" s="46" t="n"/>
      <c r="K834" s="46" t="n"/>
      <c r="L834" s="46" t="n"/>
      <c r="M834" s="46">
        <f>N834-SUM(C834:L834)</f>
        <v/>
      </c>
      <c r="N834" s="47" t="n">
        <v>0</v>
      </c>
      <c r="O834" s="46" t="n"/>
      <c r="P834" s="46" t="n"/>
      <c r="Q834" s="46" t="n"/>
      <c r="R834" s="46" t="n"/>
      <c r="S834" s="46" t="n"/>
      <c r="T834" s="46" t="n"/>
      <c r="U834" s="46" t="n"/>
      <c r="V834" s="46" t="n"/>
      <c r="W834" s="46" t="n"/>
      <c r="X834" s="46" t="n"/>
      <c r="Y834" s="46" t="n"/>
    </row>
    <row r="835">
      <c r="A835" s="78" t="n">
        <v>46302</v>
      </c>
      <c r="B835" s="45" t="inlineStr">
        <is>
          <t>天籁·鸿蒙座舱</t>
        </is>
      </c>
      <c r="C835" s="46" t="n"/>
      <c r="D835" s="46" t="n"/>
      <c r="E835" s="46" t="n"/>
      <c r="F835" s="46" t="n"/>
      <c r="G835" s="46" t="n"/>
      <c r="H835" s="46" t="n"/>
      <c r="I835" s="46" t="n"/>
      <c r="J835" s="46" t="n"/>
      <c r="K835" s="46" t="n"/>
      <c r="L835" s="46" t="n"/>
      <c r="M835" s="46">
        <f>N835-SUM(C835:L835)</f>
        <v/>
      </c>
      <c r="N835" s="47" t="n">
        <v>0</v>
      </c>
      <c r="O835" s="46" t="n"/>
      <c r="P835" s="46" t="n"/>
      <c r="Q835" s="46" t="n"/>
      <c r="R835" s="46" t="n"/>
      <c r="S835" s="46" t="n"/>
      <c r="T835" s="46" t="n"/>
      <c r="U835" s="46" t="n"/>
      <c r="V835" s="46" t="n"/>
      <c r="W835" s="46" t="n"/>
      <c r="X835" s="46" t="n"/>
      <c r="Y835" s="46" t="n"/>
    </row>
    <row r="836">
      <c r="A836" s="78" t="n">
        <v>46303</v>
      </c>
      <c r="B836" s="45" t="inlineStr">
        <is>
          <t>天籁·鸿蒙座舱</t>
        </is>
      </c>
      <c r="C836" s="46" t="n"/>
      <c r="D836" s="46" t="n"/>
      <c r="E836" s="46" t="n"/>
      <c r="F836" s="46" t="n"/>
      <c r="G836" s="46" t="n"/>
      <c r="H836" s="46" t="n"/>
      <c r="I836" s="46" t="n"/>
      <c r="J836" s="46" t="n"/>
      <c r="K836" s="46" t="n"/>
      <c r="L836" s="46" t="n"/>
      <c r="M836" s="46">
        <f>N836-SUM(C836:L836)</f>
        <v/>
      </c>
      <c r="N836" s="47" t="n">
        <v>0</v>
      </c>
      <c r="O836" s="46" t="n"/>
      <c r="P836" s="46" t="n"/>
      <c r="Q836" s="46" t="n"/>
      <c r="R836" s="46" t="n"/>
      <c r="S836" s="46" t="n"/>
      <c r="T836" s="46" t="n"/>
      <c r="U836" s="46" t="n"/>
      <c r="V836" s="46" t="n"/>
      <c r="W836" s="46" t="n"/>
      <c r="X836" s="46" t="n"/>
      <c r="Y836" s="46" t="n"/>
    </row>
    <row r="837">
      <c r="A837" s="78" t="n">
        <v>46304</v>
      </c>
      <c r="B837" s="45" t="inlineStr">
        <is>
          <t>天籁·鸿蒙座舱</t>
        </is>
      </c>
      <c r="C837" s="46" t="n"/>
      <c r="D837" s="46" t="n"/>
      <c r="E837" s="46" t="n"/>
      <c r="F837" s="46" t="n"/>
      <c r="G837" s="46" t="n"/>
      <c r="H837" s="46" t="n"/>
      <c r="I837" s="46" t="n"/>
      <c r="J837" s="46" t="n"/>
      <c r="K837" s="46" t="n"/>
      <c r="L837" s="46" t="n"/>
      <c r="M837" s="46">
        <f>N837-SUM(C837:L837)</f>
        <v/>
      </c>
      <c r="N837" s="47" t="n">
        <v>0</v>
      </c>
      <c r="O837" s="46" t="n"/>
      <c r="P837" s="46" t="n"/>
      <c r="Q837" s="46" t="n"/>
      <c r="R837" s="46" t="n"/>
      <c r="S837" s="46" t="n"/>
      <c r="T837" s="46" t="n"/>
      <c r="U837" s="46" t="n"/>
      <c r="V837" s="46" t="n"/>
      <c r="W837" s="46" t="n"/>
      <c r="X837" s="46" t="n"/>
      <c r="Y837" s="46" t="n"/>
    </row>
    <row r="838">
      <c r="A838" s="78" t="n">
        <v>46305</v>
      </c>
      <c r="B838" s="45" t="inlineStr">
        <is>
          <t>天籁·鸿蒙座舱</t>
        </is>
      </c>
      <c r="C838" s="46" t="n"/>
      <c r="D838" s="46" t="n"/>
      <c r="E838" s="46" t="n"/>
      <c r="F838" s="46" t="n"/>
      <c r="G838" s="46" t="n"/>
      <c r="H838" s="46" t="n"/>
      <c r="I838" s="46" t="n"/>
      <c r="J838" s="46" t="n"/>
      <c r="K838" s="46" t="n"/>
      <c r="L838" s="46" t="n"/>
      <c r="M838" s="46">
        <f>N838-SUM(C838:L838)</f>
        <v/>
      </c>
      <c r="N838" s="47" t="n">
        <v>0</v>
      </c>
      <c r="O838" s="46" t="n"/>
      <c r="P838" s="46" t="n"/>
      <c r="Q838" s="46" t="n"/>
      <c r="R838" s="46" t="n"/>
      <c r="S838" s="46" t="n"/>
      <c r="T838" s="46" t="n"/>
      <c r="U838" s="46" t="n"/>
      <c r="V838" s="46" t="n"/>
      <c r="W838" s="46" t="n"/>
      <c r="X838" s="46" t="n"/>
      <c r="Y838" s="46" t="n"/>
    </row>
    <row r="839">
      <c r="A839" s="78" t="n">
        <v>46306</v>
      </c>
      <c r="B839" s="45" t="inlineStr">
        <is>
          <t>天籁·鸿蒙座舱</t>
        </is>
      </c>
      <c r="C839" s="46" t="n"/>
      <c r="D839" s="46" t="n"/>
      <c r="E839" s="46" t="n"/>
      <c r="F839" s="46" t="n"/>
      <c r="G839" s="46" t="n"/>
      <c r="H839" s="46" t="n"/>
      <c r="I839" s="46" t="n"/>
      <c r="J839" s="46" t="n"/>
      <c r="K839" s="46" t="n"/>
      <c r="L839" s="46" t="n"/>
      <c r="M839" s="46">
        <f>N839-SUM(C839:L839)</f>
        <v/>
      </c>
      <c r="N839" s="47" t="n">
        <v>0</v>
      </c>
      <c r="O839" s="46" t="n"/>
      <c r="P839" s="46" t="n"/>
      <c r="Q839" s="46" t="n"/>
      <c r="R839" s="46" t="n"/>
      <c r="S839" s="46" t="n"/>
      <c r="T839" s="46" t="n"/>
      <c r="U839" s="46" t="n"/>
      <c r="V839" s="46" t="n"/>
      <c r="W839" s="46" t="n"/>
      <c r="X839" s="46" t="n"/>
      <c r="Y839" s="46" t="n"/>
    </row>
    <row r="840">
      <c r="A840" s="78" t="n">
        <v>46307</v>
      </c>
      <c r="B840" s="45" t="inlineStr">
        <is>
          <t>天籁·鸿蒙座舱</t>
        </is>
      </c>
      <c r="C840" s="46" t="n"/>
      <c r="D840" s="46" t="n"/>
      <c r="E840" s="46" t="n"/>
      <c r="F840" s="46" t="n"/>
      <c r="G840" s="46" t="n"/>
      <c r="H840" s="46" t="n"/>
      <c r="I840" s="46" t="n"/>
      <c r="J840" s="46" t="n"/>
      <c r="K840" s="46" t="n"/>
      <c r="L840" s="46" t="n"/>
      <c r="M840" s="46">
        <f>N840-SUM(C840:L840)</f>
        <v/>
      </c>
      <c r="N840" s="47" t="n">
        <v>0</v>
      </c>
      <c r="O840" s="46" t="n"/>
      <c r="P840" s="46" t="n"/>
      <c r="Q840" s="46" t="n"/>
      <c r="R840" s="46" t="n"/>
      <c r="S840" s="46" t="n"/>
      <c r="T840" s="46" t="n"/>
      <c r="U840" s="46" t="n"/>
      <c r="V840" s="46" t="n"/>
      <c r="W840" s="46" t="n"/>
      <c r="X840" s="46" t="n"/>
      <c r="Y840" s="46" t="n"/>
    </row>
    <row r="841">
      <c r="A841" s="78" t="n">
        <v>46308</v>
      </c>
      <c r="B841" s="45" t="inlineStr">
        <is>
          <t>天籁·鸿蒙座舱</t>
        </is>
      </c>
      <c r="C841" s="46" t="n"/>
      <c r="D841" s="46" t="n"/>
      <c r="E841" s="46" t="n"/>
      <c r="F841" s="46" t="n"/>
      <c r="G841" s="46" t="n"/>
      <c r="H841" s="46" t="n"/>
      <c r="I841" s="46" t="n"/>
      <c r="J841" s="46" t="n"/>
      <c r="K841" s="46" t="n"/>
      <c r="L841" s="46" t="n"/>
      <c r="M841" s="46">
        <f>N841-SUM(C841:L841)</f>
        <v/>
      </c>
      <c r="N841" s="47" t="n">
        <v>0</v>
      </c>
      <c r="O841" s="46" t="n"/>
      <c r="P841" s="46" t="n"/>
      <c r="Q841" s="46" t="n"/>
      <c r="R841" s="46" t="n"/>
      <c r="S841" s="46" t="n"/>
      <c r="T841" s="46" t="n"/>
      <c r="U841" s="46" t="n"/>
      <c r="V841" s="46" t="n"/>
      <c r="W841" s="46" t="n"/>
      <c r="X841" s="46" t="n"/>
      <c r="Y841" s="46" t="n"/>
    </row>
    <row r="842">
      <c r="A842" s="78" t="n">
        <v>46309</v>
      </c>
      <c r="B842" s="45" t="inlineStr">
        <is>
          <t>天籁·鸿蒙座舱</t>
        </is>
      </c>
      <c r="C842" s="46" t="n"/>
      <c r="D842" s="46" t="n"/>
      <c r="E842" s="46" t="n"/>
      <c r="F842" s="46" t="n"/>
      <c r="G842" s="46" t="n"/>
      <c r="H842" s="46" t="n"/>
      <c r="I842" s="46" t="n"/>
      <c r="J842" s="46" t="n"/>
      <c r="K842" s="46" t="n"/>
      <c r="L842" s="46" t="n"/>
      <c r="M842" s="46">
        <f>N842-SUM(C842:L842)</f>
        <v/>
      </c>
      <c r="N842" s="47" t="n">
        <v>0</v>
      </c>
      <c r="O842" s="46" t="n"/>
      <c r="P842" s="46" t="n"/>
      <c r="Q842" s="46" t="n"/>
      <c r="R842" s="46" t="n"/>
      <c r="S842" s="46" t="n"/>
      <c r="T842" s="46" t="n"/>
      <c r="U842" s="46" t="n"/>
      <c r="V842" s="46" t="n"/>
      <c r="W842" s="46" t="n"/>
      <c r="X842" s="46" t="n"/>
      <c r="Y842" s="46" t="n"/>
    </row>
    <row r="843">
      <c r="A843" s="78" t="n">
        <v>46310</v>
      </c>
      <c r="B843" s="45" t="inlineStr">
        <is>
          <t>天籁·鸿蒙座舱</t>
        </is>
      </c>
      <c r="C843" s="46" t="n"/>
      <c r="D843" s="46" t="n"/>
      <c r="E843" s="46" t="n"/>
      <c r="F843" s="46" t="n"/>
      <c r="G843" s="46" t="n"/>
      <c r="H843" s="46" t="n"/>
      <c r="I843" s="46" t="n"/>
      <c r="J843" s="46" t="n"/>
      <c r="K843" s="46" t="n"/>
      <c r="L843" s="46" t="n"/>
      <c r="M843" s="46">
        <f>N843-SUM(C843:L843)</f>
        <v/>
      </c>
      <c r="N843" s="47" t="n">
        <v>0</v>
      </c>
      <c r="O843" s="46" t="n"/>
      <c r="P843" s="46" t="n"/>
      <c r="Q843" s="46" t="n"/>
      <c r="R843" s="46" t="n"/>
      <c r="S843" s="46" t="n"/>
      <c r="T843" s="46" t="n"/>
      <c r="U843" s="46" t="n"/>
      <c r="V843" s="46" t="n"/>
      <c r="W843" s="46" t="n"/>
      <c r="X843" s="46" t="n"/>
      <c r="Y843" s="46" t="n"/>
    </row>
    <row r="844">
      <c r="A844" s="78" t="n">
        <v>46311</v>
      </c>
      <c r="B844" s="45" t="inlineStr">
        <is>
          <t>天籁·鸿蒙座舱</t>
        </is>
      </c>
      <c r="C844" s="46" t="n"/>
      <c r="D844" s="46" t="n"/>
      <c r="E844" s="46" t="n"/>
      <c r="F844" s="46" t="n"/>
      <c r="G844" s="46" t="n"/>
      <c r="H844" s="46" t="n"/>
      <c r="I844" s="46" t="n"/>
      <c r="J844" s="46" t="n"/>
      <c r="K844" s="46" t="n"/>
      <c r="L844" s="46" t="n"/>
      <c r="M844" s="46">
        <f>N844-SUM(C844:L844)</f>
        <v/>
      </c>
      <c r="N844" s="47" t="n">
        <v>0</v>
      </c>
      <c r="O844" s="46" t="n"/>
      <c r="P844" s="46" t="n"/>
      <c r="Q844" s="46" t="n"/>
      <c r="R844" s="46" t="n"/>
      <c r="S844" s="46" t="n"/>
      <c r="T844" s="46" t="n"/>
      <c r="U844" s="46" t="n"/>
      <c r="V844" s="46" t="n"/>
      <c r="W844" s="46" t="n"/>
      <c r="X844" s="46" t="n"/>
      <c r="Y844" s="46" t="n"/>
    </row>
    <row r="845">
      <c r="A845" s="78" t="n">
        <v>46312</v>
      </c>
      <c r="B845" s="45" t="inlineStr">
        <is>
          <t>天籁·鸿蒙座舱</t>
        </is>
      </c>
      <c r="C845" s="46" t="n"/>
      <c r="D845" s="46" t="n"/>
      <c r="E845" s="46" t="n"/>
      <c r="F845" s="46" t="n"/>
      <c r="G845" s="46" t="n"/>
      <c r="H845" s="46" t="n"/>
      <c r="I845" s="46" t="n"/>
      <c r="J845" s="46" t="n"/>
      <c r="K845" s="46" t="n"/>
      <c r="L845" s="46" t="n"/>
      <c r="M845" s="46">
        <f>N845-SUM(C845:L845)</f>
        <v/>
      </c>
      <c r="N845" s="47" t="n">
        <v>0</v>
      </c>
      <c r="O845" s="46" t="n"/>
      <c r="P845" s="46" t="n"/>
      <c r="Q845" s="46" t="n"/>
      <c r="R845" s="46" t="n"/>
      <c r="S845" s="46" t="n"/>
      <c r="T845" s="46" t="n"/>
      <c r="U845" s="46" t="n"/>
      <c r="V845" s="46" t="n"/>
      <c r="W845" s="46" t="n"/>
      <c r="X845" s="46" t="n"/>
      <c r="Y845" s="46" t="n"/>
    </row>
    <row r="846">
      <c r="A846" s="78" t="n">
        <v>46313</v>
      </c>
      <c r="B846" s="45" t="inlineStr">
        <is>
          <t>天籁·鸿蒙座舱</t>
        </is>
      </c>
      <c r="C846" s="46" t="n"/>
      <c r="D846" s="46" t="n"/>
      <c r="E846" s="46" t="n"/>
      <c r="F846" s="46" t="n"/>
      <c r="G846" s="46" t="n"/>
      <c r="H846" s="46" t="n"/>
      <c r="I846" s="46" t="n"/>
      <c r="J846" s="46" t="n"/>
      <c r="K846" s="46" t="n"/>
      <c r="L846" s="46" t="n"/>
      <c r="M846" s="46">
        <f>N846-SUM(C846:L846)</f>
        <v/>
      </c>
      <c r="N846" s="47" t="n">
        <v>0</v>
      </c>
      <c r="O846" s="46" t="n"/>
      <c r="P846" s="46" t="n"/>
      <c r="Q846" s="46" t="n"/>
      <c r="R846" s="46" t="n"/>
      <c r="S846" s="46" t="n"/>
      <c r="T846" s="46" t="n"/>
      <c r="U846" s="46" t="n"/>
      <c r="V846" s="46" t="n"/>
      <c r="W846" s="46" t="n"/>
      <c r="X846" s="46" t="n"/>
      <c r="Y846" s="46" t="n"/>
    </row>
    <row r="847">
      <c r="A847" s="78" t="n">
        <v>46314</v>
      </c>
      <c r="B847" s="45" t="inlineStr">
        <is>
          <t>天籁·鸿蒙座舱</t>
        </is>
      </c>
      <c r="C847" s="46" t="n"/>
      <c r="D847" s="46" t="n"/>
      <c r="E847" s="46" t="n"/>
      <c r="F847" s="46" t="n"/>
      <c r="G847" s="46" t="n"/>
      <c r="H847" s="46" t="n"/>
      <c r="I847" s="46" t="n"/>
      <c r="J847" s="46" t="n"/>
      <c r="K847" s="46" t="n"/>
      <c r="L847" s="46" t="n"/>
      <c r="M847" s="46">
        <f>N847-SUM(C847:L847)</f>
        <v/>
      </c>
      <c r="N847" s="47" t="n">
        <v>0</v>
      </c>
      <c r="O847" s="46" t="n"/>
      <c r="P847" s="46" t="n"/>
      <c r="Q847" s="46" t="n"/>
      <c r="R847" s="46" t="n"/>
      <c r="S847" s="46" t="n"/>
      <c r="T847" s="46" t="n"/>
      <c r="U847" s="46" t="n"/>
      <c r="V847" s="46" t="n"/>
      <c r="W847" s="46" t="n"/>
      <c r="X847" s="46" t="n"/>
      <c r="Y847" s="46" t="n"/>
    </row>
    <row r="848">
      <c r="A848" s="78" t="n">
        <v>46315</v>
      </c>
      <c r="B848" s="45" t="inlineStr">
        <is>
          <t>天籁·鸿蒙座舱</t>
        </is>
      </c>
      <c r="C848" s="46" t="n"/>
      <c r="D848" s="46" t="n"/>
      <c r="E848" s="46" t="n"/>
      <c r="F848" s="46" t="n"/>
      <c r="G848" s="46" t="n"/>
      <c r="H848" s="46" t="n"/>
      <c r="I848" s="46" t="n"/>
      <c r="J848" s="46" t="n"/>
      <c r="K848" s="46" t="n"/>
      <c r="L848" s="46" t="n"/>
      <c r="M848" s="46">
        <f>N848-SUM(C848:L848)</f>
        <v/>
      </c>
      <c r="N848" s="47" t="n">
        <v>0</v>
      </c>
      <c r="O848" s="46" t="n"/>
      <c r="P848" s="46" t="n"/>
      <c r="Q848" s="46" t="n"/>
      <c r="R848" s="46" t="n"/>
      <c r="S848" s="46" t="n"/>
      <c r="T848" s="46" t="n"/>
      <c r="U848" s="46" t="n"/>
      <c r="V848" s="46" t="n"/>
      <c r="W848" s="46" t="n"/>
      <c r="X848" s="46" t="n"/>
      <c r="Y848" s="46" t="n"/>
    </row>
    <row r="849">
      <c r="A849" s="78" t="n">
        <v>46316</v>
      </c>
      <c r="B849" s="45" t="inlineStr">
        <is>
          <t>天籁·鸿蒙座舱</t>
        </is>
      </c>
      <c r="C849" s="46" t="n"/>
      <c r="D849" s="46" t="n"/>
      <c r="E849" s="46" t="n"/>
      <c r="F849" s="46" t="n"/>
      <c r="G849" s="46" t="n"/>
      <c r="H849" s="46" t="n"/>
      <c r="I849" s="46" t="n"/>
      <c r="J849" s="46" t="n"/>
      <c r="K849" s="46" t="n"/>
      <c r="L849" s="46" t="n"/>
      <c r="M849" s="46">
        <f>N849-SUM(C849:L849)</f>
        <v/>
      </c>
      <c r="N849" s="47" t="n">
        <v>0</v>
      </c>
      <c r="O849" s="46" t="n"/>
      <c r="P849" s="46" t="n"/>
      <c r="Q849" s="46" t="n"/>
      <c r="R849" s="46" t="n"/>
      <c r="S849" s="46" t="n"/>
      <c r="T849" s="46" t="n"/>
      <c r="U849" s="46" t="n"/>
      <c r="V849" s="46" t="n"/>
      <c r="W849" s="46" t="n"/>
      <c r="X849" s="46" t="n"/>
      <c r="Y849" s="46" t="n"/>
    </row>
    <row r="850">
      <c r="A850" s="78" t="n">
        <v>46317</v>
      </c>
      <c r="B850" s="45" t="inlineStr">
        <is>
          <t>天籁·鸿蒙座舱</t>
        </is>
      </c>
      <c r="C850" s="46" t="n"/>
      <c r="D850" s="46" t="n"/>
      <c r="E850" s="46" t="n"/>
      <c r="F850" s="46" t="n"/>
      <c r="G850" s="46" t="n"/>
      <c r="H850" s="46" t="n"/>
      <c r="I850" s="46" t="n"/>
      <c r="J850" s="46" t="n"/>
      <c r="K850" s="46" t="n"/>
      <c r="L850" s="46" t="n"/>
      <c r="M850" s="46">
        <f>N850-SUM(C850:L850)</f>
        <v/>
      </c>
      <c r="N850" s="47" t="n">
        <v>0</v>
      </c>
      <c r="O850" s="46" t="n"/>
      <c r="P850" s="46" t="n"/>
      <c r="Q850" s="46" t="n"/>
      <c r="R850" s="46" t="n"/>
      <c r="S850" s="46" t="n"/>
      <c r="T850" s="46" t="n"/>
      <c r="U850" s="46" t="n"/>
      <c r="V850" s="46" t="n"/>
      <c r="W850" s="46" t="n"/>
      <c r="X850" s="46" t="n"/>
      <c r="Y850" s="46" t="n"/>
    </row>
    <row r="851">
      <c r="A851" s="78" t="n">
        <v>46318</v>
      </c>
      <c r="B851" s="45" t="inlineStr">
        <is>
          <t>天籁·鸿蒙座舱</t>
        </is>
      </c>
      <c r="C851" s="46" t="n"/>
      <c r="D851" s="46" t="n"/>
      <c r="E851" s="46" t="n"/>
      <c r="F851" s="46" t="n"/>
      <c r="G851" s="46" t="n"/>
      <c r="H851" s="46" t="n"/>
      <c r="I851" s="46" t="n"/>
      <c r="J851" s="46" t="n"/>
      <c r="K851" s="46" t="n"/>
      <c r="L851" s="46" t="n"/>
      <c r="M851" s="46">
        <f>N851-SUM(C851:L851)</f>
        <v/>
      </c>
      <c r="N851" s="47" t="n">
        <v>0</v>
      </c>
      <c r="O851" s="46" t="n"/>
      <c r="P851" s="46" t="n"/>
      <c r="Q851" s="46" t="n"/>
      <c r="R851" s="46" t="n"/>
      <c r="S851" s="46" t="n"/>
      <c r="T851" s="46" t="n"/>
      <c r="U851" s="46" t="n"/>
      <c r="V851" s="46" t="n"/>
      <c r="W851" s="46" t="n"/>
      <c r="X851" s="46" t="n"/>
      <c r="Y851" s="46" t="n"/>
    </row>
    <row r="852">
      <c r="A852" s="78" t="n">
        <v>46319</v>
      </c>
      <c r="B852" s="45" t="inlineStr">
        <is>
          <t>天籁·鸿蒙座舱</t>
        </is>
      </c>
      <c r="C852" s="46" t="n"/>
      <c r="D852" s="46" t="n"/>
      <c r="E852" s="46" t="n"/>
      <c r="F852" s="46" t="n"/>
      <c r="G852" s="46" t="n"/>
      <c r="H852" s="46" t="n"/>
      <c r="I852" s="46" t="n"/>
      <c r="J852" s="46" t="n"/>
      <c r="K852" s="46" t="n"/>
      <c r="L852" s="46" t="n"/>
      <c r="M852" s="46">
        <f>N852-SUM(C852:L852)</f>
        <v/>
      </c>
      <c r="N852" s="47" t="n">
        <v>0</v>
      </c>
      <c r="O852" s="46" t="n"/>
      <c r="P852" s="46" t="n"/>
      <c r="Q852" s="46" t="n"/>
      <c r="R852" s="46" t="n"/>
      <c r="S852" s="46" t="n"/>
      <c r="T852" s="46" t="n"/>
      <c r="U852" s="46" t="n"/>
      <c r="V852" s="46" t="n"/>
      <c r="W852" s="46" t="n"/>
      <c r="X852" s="46" t="n"/>
      <c r="Y852" s="46" t="n"/>
    </row>
    <row r="853">
      <c r="A853" s="78" t="n">
        <v>46320</v>
      </c>
      <c r="B853" s="45" t="inlineStr">
        <is>
          <t>天籁·鸿蒙座舱</t>
        </is>
      </c>
      <c r="C853" s="46" t="n"/>
      <c r="D853" s="46" t="n"/>
      <c r="E853" s="46" t="n"/>
      <c r="F853" s="46" t="n"/>
      <c r="G853" s="46" t="n"/>
      <c r="H853" s="46" t="n"/>
      <c r="I853" s="46" t="n"/>
      <c r="J853" s="46" t="n"/>
      <c r="K853" s="46" t="n"/>
      <c r="L853" s="46" t="n"/>
      <c r="M853" s="46">
        <f>N853-SUM(C853:L853)</f>
        <v/>
      </c>
      <c r="N853" s="47" t="n">
        <v>0</v>
      </c>
      <c r="O853" s="46" t="n"/>
      <c r="P853" s="46" t="n"/>
      <c r="Q853" s="46" t="n"/>
      <c r="R853" s="46" t="n"/>
      <c r="S853" s="46" t="n"/>
      <c r="T853" s="46" t="n"/>
      <c r="U853" s="46" t="n"/>
      <c r="V853" s="46" t="n"/>
      <c r="W853" s="46" t="n"/>
      <c r="X853" s="46" t="n"/>
      <c r="Y853" s="46" t="n"/>
    </row>
    <row r="854">
      <c r="A854" s="78" t="n">
        <v>46321</v>
      </c>
      <c r="B854" s="45" t="inlineStr">
        <is>
          <t>天籁·鸿蒙座舱</t>
        </is>
      </c>
      <c r="C854" s="46" t="n"/>
      <c r="D854" s="46" t="n"/>
      <c r="E854" s="46" t="n"/>
      <c r="F854" s="46" t="n"/>
      <c r="G854" s="46" t="n"/>
      <c r="H854" s="46" t="n"/>
      <c r="I854" s="46" t="n"/>
      <c r="J854" s="46" t="n"/>
      <c r="K854" s="46" t="n"/>
      <c r="L854" s="46" t="n"/>
      <c r="M854" s="46">
        <f>N854-SUM(C854:L854)</f>
        <v/>
      </c>
      <c r="N854" s="47" t="n">
        <v>0</v>
      </c>
      <c r="O854" s="46" t="n"/>
      <c r="P854" s="46" t="n"/>
      <c r="Q854" s="46" t="n"/>
      <c r="R854" s="46" t="n"/>
      <c r="S854" s="46" t="n"/>
      <c r="T854" s="46" t="n"/>
      <c r="U854" s="46" t="n"/>
      <c r="V854" s="46" t="n"/>
      <c r="W854" s="46" t="n"/>
      <c r="X854" s="46" t="n"/>
      <c r="Y854" s="46" t="n"/>
    </row>
    <row r="855">
      <c r="A855" s="78" t="n">
        <v>46322</v>
      </c>
      <c r="B855" s="45" t="inlineStr">
        <is>
          <t>天籁·鸿蒙座舱</t>
        </is>
      </c>
      <c r="C855" s="46" t="n"/>
      <c r="D855" s="46" t="n"/>
      <c r="E855" s="46" t="n"/>
      <c r="F855" s="46" t="n"/>
      <c r="G855" s="46" t="n"/>
      <c r="H855" s="46" t="n"/>
      <c r="I855" s="46" t="n"/>
      <c r="J855" s="46" t="n"/>
      <c r="K855" s="46" t="n"/>
      <c r="L855" s="46" t="n"/>
      <c r="M855" s="46">
        <f>N855-SUM(C855:L855)</f>
        <v/>
      </c>
      <c r="N855" s="47" t="n">
        <v>0</v>
      </c>
      <c r="O855" s="46" t="n"/>
      <c r="P855" s="46" t="n"/>
      <c r="Q855" s="46" t="n"/>
      <c r="R855" s="46" t="n"/>
      <c r="S855" s="46" t="n"/>
      <c r="T855" s="46" t="n"/>
      <c r="U855" s="46" t="n"/>
      <c r="V855" s="46" t="n"/>
      <c r="W855" s="46" t="n"/>
      <c r="X855" s="46" t="n"/>
      <c r="Y855" s="46" t="n"/>
    </row>
    <row r="856">
      <c r="A856" s="78" t="n">
        <v>46323</v>
      </c>
      <c r="B856" s="45" t="inlineStr">
        <is>
          <t>天籁·鸿蒙座舱</t>
        </is>
      </c>
      <c r="C856" s="46" t="n"/>
      <c r="D856" s="46" t="n"/>
      <c r="E856" s="46" t="n"/>
      <c r="F856" s="46" t="n"/>
      <c r="G856" s="46" t="n"/>
      <c r="H856" s="46" t="n"/>
      <c r="I856" s="46" t="n"/>
      <c r="J856" s="46" t="n"/>
      <c r="K856" s="46" t="n"/>
      <c r="L856" s="46" t="n"/>
      <c r="M856" s="46">
        <f>N856-SUM(C856:L856)</f>
        <v/>
      </c>
      <c r="N856" s="47" t="n">
        <v>0</v>
      </c>
      <c r="O856" s="46" t="n"/>
      <c r="P856" s="46" t="n"/>
      <c r="Q856" s="46" t="n"/>
      <c r="R856" s="46" t="n"/>
      <c r="S856" s="46" t="n"/>
      <c r="T856" s="46" t="n"/>
      <c r="U856" s="46" t="n"/>
      <c r="V856" s="46" t="n"/>
      <c r="W856" s="46" t="n"/>
      <c r="X856" s="46" t="n"/>
      <c r="Y856" s="46" t="n"/>
    </row>
    <row r="857">
      <c r="A857" s="78" t="n">
        <v>46324</v>
      </c>
      <c r="B857" s="45" t="inlineStr">
        <is>
          <t>天籁·鸿蒙座舱</t>
        </is>
      </c>
      <c r="C857" s="46" t="n"/>
      <c r="D857" s="46" t="n"/>
      <c r="E857" s="46" t="n"/>
      <c r="F857" s="46" t="n"/>
      <c r="G857" s="46" t="n"/>
      <c r="H857" s="46" t="n"/>
      <c r="I857" s="46" t="n"/>
      <c r="J857" s="46" t="n"/>
      <c r="K857" s="46" t="n"/>
      <c r="L857" s="46" t="n"/>
      <c r="M857" s="46">
        <f>N857-SUM(C857:L857)</f>
        <v/>
      </c>
      <c r="N857" s="47" t="n">
        <v>0</v>
      </c>
      <c r="O857" s="46" t="n"/>
      <c r="P857" s="46" t="n"/>
      <c r="Q857" s="46" t="n"/>
      <c r="R857" s="46" t="n"/>
      <c r="S857" s="46" t="n"/>
      <c r="T857" s="46" t="n"/>
      <c r="U857" s="46" t="n"/>
      <c r="V857" s="46" t="n"/>
      <c r="W857" s="46" t="n"/>
      <c r="X857" s="46" t="n"/>
      <c r="Y857" s="46" t="n"/>
    </row>
    <row r="858">
      <c r="A858" s="78" t="n">
        <v>46325</v>
      </c>
      <c r="B858" s="45" t="inlineStr">
        <is>
          <t>天籁·鸿蒙座舱</t>
        </is>
      </c>
      <c r="C858" s="46" t="n"/>
      <c r="D858" s="46" t="n"/>
      <c r="E858" s="46" t="n"/>
      <c r="F858" s="46" t="n"/>
      <c r="G858" s="46" t="n"/>
      <c r="H858" s="46" t="n"/>
      <c r="I858" s="46" t="n"/>
      <c r="J858" s="46" t="n"/>
      <c r="K858" s="46" t="n"/>
      <c r="L858" s="46" t="n"/>
      <c r="M858" s="46">
        <f>N858-SUM(C858:L858)</f>
        <v/>
      </c>
      <c r="N858" s="47" t="n">
        <v>0</v>
      </c>
      <c r="O858" s="46" t="n"/>
      <c r="P858" s="46" t="n"/>
      <c r="Q858" s="46" t="n"/>
      <c r="R858" s="46" t="n"/>
      <c r="S858" s="46" t="n"/>
      <c r="T858" s="46" t="n"/>
      <c r="U858" s="46" t="n"/>
      <c r="V858" s="46" t="n"/>
      <c r="W858" s="46" t="n"/>
      <c r="X858" s="46" t="n"/>
      <c r="Y858" s="46" t="n"/>
    </row>
    <row r="859">
      <c r="A859" s="78" t="n">
        <v>46326</v>
      </c>
      <c r="B859" s="45" t="inlineStr">
        <is>
          <t>天籁·鸿蒙座舱</t>
        </is>
      </c>
      <c r="C859" s="46" t="n"/>
      <c r="D859" s="46" t="n"/>
      <c r="E859" s="46" t="n"/>
      <c r="F859" s="46" t="n"/>
      <c r="G859" s="46" t="n"/>
      <c r="H859" s="46" t="n"/>
      <c r="I859" s="46" t="n"/>
      <c r="J859" s="46" t="n"/>
      <c r="K859" s="46" t="n"/>
      <c r="L859" s="46" t="n"/>
      <c r="M859" s="46">
        <f>N859-SUM(C859:L859)</f>
        <v/>
      </c>
      <c r="N859" s="47" t="n">
        <v>0</v>
      </c>
      <c r="O859" s="46" t="n"/>
      <c r="P859" s="46" t="n"/>
      <c r="Q859" s="46" t="n"/>
      <c r="R859" s="46" t="n"/>
      <c r="S859" s="46" t="n"/>
      <c r="T859" s="46" t="n"/>
      <c r="U859" s="46" t="n"/>
      <c r="V859" s="46" t="n"/>
      <c r="W859" s="46" t="n"/>
      <c r="X859" s="46" t="n"/>
      <c r="Y859" s="46" t="n"/>
    </row>
    <row r="860">
      <c r="A860" s="78" t="n">
        <v>46327</v>
      </c>
      <c r="B860" s="45" t="inlineStr">
        <is>
          <t>天籁·鸿蒙座舱</t>
        </is>
      </c>
      <c r="C860" s="46" t="n"/>
      <c r="D860" s="46" t="n"/>
      <c r="E860" s="46" t="n"/>
      <c r="F860" s="46" t="n"/>
      <c r="G860" s="46" t="n"/>
      <c r="H860" s="46" t="n"/>
      <c r="I860" s="46" t="n"/>
      <c r="J860" s="46" t="n"/>
      <c r="K860" s="46" t="n"/>
      <c r="L860" s="46" t="n"/>
      <c r="M860" s="46">
        <f>N860-SUM(C860:L860)</f>
        <v/>
      </c>
      <c r="N860" s="47" t="n">
        <v>0</v>
      </c>
      <c r="O860" s="46" t="n"/>
      <c r="P860" s="46" t="n"/>
      <c r="Q860" s="46" t="n"/>
      <c r="R860" s="46" t="n"/>
      <c r="S860" s="46" t="n"/>
      <c r="T860" s="46" t="n"/>
      <c r="U860" s="46" t="n"/>
      <c r="V860" s="46" t="n"/>
      <c r="W860" s="46" t="n"/>
      <c r="X860" s="46" t="n"/>
      <c r="Y860" s="46" t="n"/>
    </row>
    <row r="861">
      <c r="A861" s="78" t="n">
        <v>46328</v>
      </c>
      <c r="B861" s="45" t="inlineStr">
        <is>
          <t>天籁·鸿蒙座舱</t>
        </is>
      </c>
      <c r="C861" s="46" t="n"/>
      <c r="D861" s="46" t="n"/>
      <c r="E861" s="46" t="n"/>
      <c r="F861" s="46" t="n"/>
      <c r="G861" s="46" t="n"/>
      <c r="H861" s="46" t="n"/>
      <c r="I861" s="46" t="n"/>
      <c r="J861" s="46" t="n"/>
      <c r="K861" s="46" t="n"/>
      <c r="L861" s="46" t="n"/>
      <c r="M861" s="46">
        <f>N861-SUM(C861:L861)</f>
        <v/>
      </c>
      <c r="N861" s="47" t="n">
        <v>0</v>
      </c>
      <c r="O861" s="46" t="n"/>
      <c r="P861" s="46" t="n"/>
      <c r="Q861" s="46" t="n"/>
      <c r="R861" s="46" t="n"/>
      <c r="S861" s="46" t="n"/>
      <c r="T861" s="46" t="n"/>
      <c r="U861" s="46" t="n"/>
      <c r="V861" s="46" t="n"/>
      <c r="W861" s="46" t="n"/>
      <c r="X861" s="46" t="n"/>
      <c r="Y861" s="46" t="n"/>
    </row>
    <row r="862">
      <c r="A862" s="78" t="n">
        <v>46329</v>
      </c>
      <c r="B862" s="45" t="inlineStr">
        <is>
          <t>天籁·鸿蒙座舱</t>
        </is>
      </c>
      <c r="C862" s="46" t="n"/>
      <c r="D862" s="46" t="n"/>
      <c r="E862" s="46" t="n"/>
      <c r="F862" s="46" t="n"/>
      <c r="G862" s="46" t="n"/>
      <c r="H862" s="46" t="n"/>
      <c r="I862" s="46" t="n"/>
      <c r="J862" s="46" t="n"/>
      <c r="K862" s="46" t="n"/>
      <c r="L862" s="46" t="n"/>
      <c r="M862" s="46">
        <f>N862-SUM(C862:L862)</f>
        <v/>
      </c>
      <c r="N862" s="47" t="n">
        <v>0</v>
      </c>
      <c r="O862" s="46" t="n"/>
      <c r="P862" s="46" t="n"/>
      <c r="Q862" s="46" t="n"/>
      <c r="R862" s="46" t="n"/>
      <c r="S862" s="46" t="n"/>
      <c r="T862" s="46" t="n"/>
      <c r="U862" s="46" t="n"/>
      <c r="V862" s="46" t="n"/>
      <c r="W862" s="46" t="n"/>
      <c r="X862" s="46" t="n"/>
      <c r="Y862" s="46" t="n"/>
    </row>
    <row r="863">
      <c r="A863" s="78" t="n">
        <v>46330</v>
      </c>
      <c r="B863" s="45" t="inlineStr">
        <is>
          <t>天籁·鸿蒙座舱</t>
        </is>
      </c>
      <c r="C863" s="46" t="n"/>
      <c r="D863" s="46" t="n"/>
      <c r="E863" s="46" t="n"/>
      <c r="F863" s="46" t="n"/>
      <c r="G863" s="46" t="n"/>
      <c r="H863" s="46" t="n"/>
      <c r="I863" s="46" t="n"/>
      <c r="J863" s="46" t="n"/>
      <c r="K863" s="46" t="n"/>
      <c r="L863" s="46" t="n"/>
      <c r="M863" s="46">
        <f>N863-SUM(C863:L863)</f>
        <v/>
      </c>
      <c r="N863" s="47" t="n">
        <v>0</v>
      </c>
      <c r="O863" s="46" t="n"/>
      <c r="P863" s="46" t="n"/>
      <c r="Q863" s="46" t="n"/>
      <c r="R863" s="46" t="n"/>
      <c r="S863" s="46" t="n"/>
      <c r="T863" s="46" t="n"/>
      <c r="U863" s="46" t="n"/>
      <c r="V863" s="46" t="n"/>
      <c r="W863" s="46" t="n"/>
      <c r="X863" s="46" t="n"/>
      <c r="Y863" s="46" t="n"/>
    </row>
    <row r="864">
      <c r="A864" s="78" t="n">
        <v>46331</v>
      </c>
      <c r="B864" s="45" t="inlineStr">
        <is>
          <t>天籁·鸿蒙座舱</t>
        </is>
      </c>
      <c r="C864" s="46" t="n"/>
      <c r="D864" s="46" t="n"/>
      <c r="E864" s="46" t="n"/>
      <c r="F864" s="46" t="n"/>
      <c r="G864" s="46" t="n"/>
      <c r="H864" s="46" t="n"/>
      <c r="I864" s="46" t="n"/>
      <c r="J864" s="46" t="n"/>
      <c r="K864" s="46" t="n"/>
      <c r="L864" s="46" t="n"/>
      <c r="M864" s="46">
        <f>N864-SUM(C864:L864)</f>
        <v/>
      </c>
      <c r="N864" s="47" t="n">
        <v>0</v>
      </c>
      <c r="O864" s="46" t="n"/>
      <c r="P864" s="46" t="n"/>
      <c r="Q864" s="46" t="n"/>
      <c r="R864" s="46" t="n"/>
      <c r="S864" s="46" t="n"/>
      <c r="T864" s="46" t="n"/>
      <c r="U864" s="46" t="n"/>
      <c r="V864" s="46" t="n"/>
      <c r="W864" s="46" t="n"/>
      <c r="X864" s="46" t="n"/>
      <c r="Y864" s="46" t="n"/>
    </row>
    <row r="865">
      <c r="A865" s="78" t="n">
        <v>46332</v>
      </c>
      <c r="B865" s="45" t="inlineStr">
        <is>
          <t>天籁·鸿蒙座舱</t>
        </is>
      </c>
      <c r="C865" s="46" t="n"/>
      <c r="D865" s="46" t="n"/>
      <c r="E865" s="46" t="n"/>
      <c r="F865" s="46" t="n"/>
      <c r="G865" s="46" t="n"/>
      <c r="H865" s="46" t="n"/>
      <c r="I865" s="46" t="n"/>
      <c r="J865" s="46" t="n"/>
      <c r="K865" s="46" t="n"/>
      <c r="L865" s="46" t="n"/>
      <c r="M865" s="46">
        <f>N865-SUM(C865:L865)</f>
        <v/>
      </c>
      <c r="N865" s="47" t="n">
        <v>0</v>
      </c>
      <c r="O865" s="46" t="n"/>
      <c r="P865" s="46" t="n"/>
      <c r="Q865" s="46" t="n"/>
      <c r="R865" s="46" t="n"/>
      <c r="S865" s="46" t="n"/>
      <c r="T865" s="46" t="n"/>
      <c r="U865" s="46" t="n"/>
      <c r="V865" s="46" t="n"/>
      <c r="W865" s="46" t="n"/>
      <c r="X865" s="46" t="n"/>
      <c r="Y865" s="46" t="n"/>
    </row>
    <row r="866">
      <c r="A866" s="78" t="n">
        <v>46333</v>
      </c>
      <c r="B866" s="45" t="inlineStr">
        <is>
          <t>天籁·鸿蒙座舱</t>
        </is>
      </c>
      <c r="C866" s="46" t="n"/>
      <c r="D866" s="46" t="n"/>
      <c r="E866" s="46" t="n"/>
      <c r="F866" s="46" t="n"/>
      <c r="G866" s="46" t="n"/>
      <c r="H866" s="46" t="n"/>
      <c r="I866" s="46" t="n"/>
      <c r="J866" s="46" t="n"/>
      <c r="K866" s="46" t="n"/>
      <c r="L866" s="46" t="n"/>
      <c r="M866" s="46">
        <f>N866-SUM(C866:L866)</f>
        <v/>
      </c>
      <c r="N866" s="47" t="n">
        <v>0</v>
      </c>
      <c r="O866" s="46" t="n"/>
      <c r="P866" s="46" t="n"/>
      <c r="Q866" s="46" t="n"/>
      <c r="R866" s="46" t="n"/>
      <c r="S866" s="46" t="n"/>
      <c r="T866" s="46" t="n"/>
      <c r="U866" s="46" t="n"/>
      <c r="V866" s="46" t="n"/>
      <c r="W866" s="46" t="n"/>
      <c r="X866" s="46" t="n"/>
      <c r="Y866" s="46" t="n"/>
    </row>
    <row r="867">
      <c r="A867" s="78" t="n">
        <v>46334</v>
      </c>
      <c r="B867" s="45" t="inlineStr">
        <is>
          <t>天籁·鸿蒙座舱</t>
        </is>
      </c>
      <c r="C867" s="46" t="n"/>
      <c r="D867" s="46" t="n"/>
      <c r="E867" s="46" t="n"/>
      <c r="F867" s="46" t="n"/>
      <c r="G867" s="46" t="n"/>
      <c r="H867" s="46" t="n"/>
      <c r="I867" s="46" t="n"/>
      <c r="J867" s="46" t="n"/>
      <c r="K867" s="46" t="n"/>
      <c r="L867" s="46" t="n"/>
      <c r="M867" s="46">
        <f>N867-SUM(C867:L867)</f>
        <v/>
      </c>
      <c r="N867" s="47" t="n">
        <v>0</v>
      </c>
      <c r="O867" s="46" t="n"/>
      <c r="P867" s="46" t="n"/>
      <c r="Q867" s="46" t="n"/>
      <c r="R867" s="46" t="n"/>
      <c r="S867" s="46" t="n"/>
      <c r="T867" s="46" t="n"/>
      <c r="U867" s="46" t="n"/>
      <c r="V867" s="46" t="n"/>
      <c r="W867" s="46" t="n"/>
      <c r="X867" s="46" t="n"/>
      <c r="Y867" s="46" t="n"/>
    </row>
    <row r="868">
      <c r="A868" s="78" t="n">
        <v>46335</v>
      </c>
      <c r="B868" s="45" t="inlineStr">
        <is>
          <t>天籁·鸿蒙座舱</t>
        </is>
      </c>
      <c r="C868" s="46" t="n"/>
      <c r="D868" s="46" t="n"/>
      <c r="E868" s="46" t="n"/>
      <c r="F868" s="46" t="n"/>
      <c r="G868" s="46" t="n"/>
      <c r="H868" s="46" t="n"/>
      <c r="I868" s="46" t="n"/>
      <c r="J868" s="46" t="n"/>
      <c r="K868" s="46" t="n"/>
      <c r="L868" s="46" t="n"/>
      <c r="M868" s="46">
        <f>N868-SUM(C868:L868)</f>
        <v/>
      </c>
      <c r="N868" s="47" t="n">
        <v>0</v>
      </c>
      <c r="O868" s="46" t="n"/>
      <c r="P868" s="46" t="n"/>
      <c r="Q868" s="46" t="n"/>
      <c r="R868" s="46" t="n"/>
      <c r="S868" s="46" t="n"/>
      <c r="T868" s="46" t="n"/>
      <c r="U868" s="46" t="n"/>
      <c r="V868" s="46" t="n"/>
      <c r="W868" s="46" t="n"/>
      <c r="X868" s="46" t="n"/>
      <c r="Y868" s="46" t="n"/>
    </row>
    <row r="869">
      <c r="A869" s="78" t="n">
        <v>46336</v>
      </c>
      <c r="B869" s="45" t="inlineStr">
        <is>
          <t>天籁·鸿蒙座舱</t>
        </is>
      </c>
      <c r="C869" s="46" t="n"/>
      <c r="D869" s="46" t="n"/>
      <c r="E869" s="46" t="n"/>
      <c r="F869" s="46" t="n"/>
      <c r="G869" s="46" t="n"/>
      <c r="H869" s="46" t="n"/>
      <c r="I869" s="46" t="n"/>
      <c r="J869" s="46" t="n"/>
      <c r="K869" s="46" t="n"/>
      <c r="L869" s="46" t="n"/>
      <c r="M869" s="46">
        <f>N869-SUM(C869:L869)</f>
        <v/>
      </c>
      <c r="N869" s="47" t="n">
        <v>0</v>
      </c>
      <c r="O869" s="46" t="n"/>
      <c r="P869" s="46" t="n"/>
      <c r="Q869" s="46" t="n"/>
      <c r="R869" s="46" t="n"/>
      <c r="S869" s="46" t="n"/>
      <c r="T869" s="46" t="n"/>
      <c r="U869" s="46" t="n"/>
      <c r="V869" s="46" t="n"/>
      <c r="W869" s="46" t="n"/>
      <c r="X869" s="46" t="n"/>
      <c r="Y869" s="46" t="n"/>
    </row>
    <row r="870">
      <c r="A870" s="78" t="n">
        <v>46337</v>
      </c>
      <c r="B870" s="45" t="inlineStr">
        <is>
          <t>天籁·鸿蒙座舱</t>
        </is>
      </c>
      <c r="C870" s="46" t="n"/>
      <c r="D870" s="46" t="n"/>
      <c r="E870" s="46" t="n"/>
      <c r="F870" s="46" t="n"/>
      <c r="G870" s="46" t="n"/>
      <c r="H870" s="46" t="n"/>
      <c r="I870" s="46" t="n"/>
      <c r="J870" s="46" t="n"/>
      <c r="K870" s="46" t="n"/>
      <c r="L870" s="46" t="n"/>
      <c r="M870" s="46">
        <f>N870-SUM(C870:L870)</f>
        <v/>
      </c>
      <c r="N870" s="47" t="n">
        <v>0</v>
      </c>
      <c r="O870" s="46" t="n"/>
      <c r="P870" s="46" t="n"/>
      <c r="Q870" s="46" t="n"/>
      <c r="R870" s="46" t="n"/>
      <c r="S870" s="46" t="n"/>
      <c r="T870" s="46" t="n"/>
      <c r="U870" s="46" t="n"/>
      <c r="V870" s="46" t="n"/>
      <c r="W870" s="46" t="n"/>
      <c r="X870" s="46" t="n"/>
      <c r="Y870" s="46" t="n"/>
    </row>
    <row r="871">
      <c r="A871" s="78" t="n">
        <v>46338</v>
      </c>
      <c r="B871" s="45" t="inlineStr">
        <is>
          <t>天籁·鸿蒙座舱</t>
        </is>
      </c>
      <c r="C871" s="46" t="n"/>
      <c r="D871" s="46" t="n"/>
      <c r="E871" s="46" t="n"/>
      <c r="F871" s="46" t="n"/>
      <c r="G871" s="46" t="n"/>
      <c r="H871" s="46" t="n"/>
      <c r="I871" s="46" t="n"/>
      <c r="J871" s="46" t="n"/>
      <c r="K871" s="46" t="n"/>
      <c r="L871" s="46" t="n"/>
      <c r="M871" s="46">
        <f>N871-SUM(C871:L871)</f>
        <v/>
      </c>
      <c r="N871" s="47" t="n">
        <v>0</v>
      </c>
      <c r="O871" s="46" t="n"/>
      <c r="P871" s="46" t="n"/>
      <c r="Q871" s="46" t="n"/>
      <c r="R871" s="46" t="n"/>
      <c r="S871" s="46" t="n"/>
      <c r="T871" s="46" t="n"/>
      <c r="U871" s="46" t="n"/>
      <c r="V871" s="46" t="n"/>
      <c r="W871" s="46" t="n"/>
      <c r="X871" s="46" t="n"/>
      <c r="Y871" s="46" t="n"/>
    </row>
    <row r="872">
      <c r="A872" s="78" t="n">
        <v>46339</v>
      </c>
      <c r="B872" s="45" t="inlineStr">
        <is>
          <t>天籁·鸿蒙座舱</t>
        </is>
      </c>
      <c r="C872" s="46" t="n"/>
      <c r="D872" s="46" t="n"/>
      <c r="E872" s="46" t="n"/>
      <c r="F872" s="46" t="n"/>
      <c r="G872" s="46" t="n"/>
      <c r="H872" s="46" t="n"/>
      <c r="I872" s="46" t="n"/>
      <c r="J872" s="46" t="n"/>
      <c r="K872" s="46" t="n"/>
      <c r="L872" s="46" t="n"/>
      <c r="M872" s="46">
        <f>N872-SUM(C872:L872)</f>
        <v/>
      </c>
      <c r="N872" s="47" t="n">
        <v>0</v>
      </c>
      <c r="O872" s="46" t="n"/>
      <c r="P872" s="46" t="n"/>
      <c r="Q872" s="46" t="n"/>
      <c r="R872" s="46" t="n"/>
      <c r="S872" s="46" t="n"/>
      <c r="T872" s="46" t="n"/>
      <c r="U872" s="46" t="n"/>
      <c r="V872" s="46" t="n"/>
      <c r="W872" s="46" t="n"/>
      <c r="X872" s="46" t="n"/>
      <c r="Y872" s="46" t="n"/>
    </row>
    <row r="873">
      <c r="A873" s="78" t="n">
        <v>46340</v>
      </c>
      <c r="B873" s="45" t="inlineStr">
        <is>
          <t>天籁·鸿蒙座舱</t>
        </is>
      </c>
      <c r="C873" s="46" t="n"/>
      <c r="D873" s="46" t="n"/>
      <c r="E873" s="46" t="n"/>
      <c r="F873" s="46" t="n"/>
      <c r="G873" s="46" t="n"/>
      <c r="H873" s="46" t="n"/>
      <c r="I873" s="46" t="n"/>
      <c r="J873" s="46" t="n"/>
      <c r="K873" s="46" t="n"/>
      <c r="L873" s="46" t="n"/>
      <c r="M873" s="46">
        <f>N873-SUM(C873:L873)</f>
        <v/>
      </c>
      <c r="N873" s="47" t="n">
        <v>0</v>
      </c>
      <c r="O873" s="46" t="n"/>
      <c r="P873" s="46" t="n"/>
      <c r="Q873" s="46" t="n"/>
      <c r="R873" s="46" t="n"/>
      <c r="S873" s="46" t="n"/>
      <c r="T873" s="46" t="n"/>
      <c r="U873" s="46" t="n"/>
      <c r="V873" s="46" t="n"/>
      <c r="W873" s="46" t="n"/>
      <c r="X873" s="46" t="n"/>
      <c r="Y873" s="46" t="n"/>
    </row>
    <row r="874">
      <c r="A874" s="78" t="n">
        <v>46341</v>
      </c>
      <c r="B874" s="45" t="inlineStr">
        <is>
          <t>天籁·鸿蒙座舱</t>
        </is>
      </c>
      <c r="C874" s="46" t="n"/>
      <c r="D874" s="46" t="n"/>
      <c r="E874" s="46" t="n"/>
      <c r="F874" s="46" t="n"/>
      <c r="G874" s="46" t="n"/>
      <c r="H874" s="46" t="n"/>
      <c r="I874" s="46" t="n"/>
      <c r="J874" s="46" t="n"/>
      <c r="K874" s="46" t="n"/>
      <c r="L874" s="46" t="n"/>
      <c r="M874" s="46">
        <f>N874-SUM(C874:L874)</f>
        <v/>
      </c>
      <c r="N874" s="47" t="n">
        <v>0</v>
      </c>
      <c r="O874" s="46" t="n"/>
      <c r="P874" s="46" t="n"/>
      <c r="Q874" s="46" t="n"/>
      <c r="R874" s="46" t="n"/>
      <c r="S874" s="46" t="n"/>
      <c r="T874" s="46" t="n"/>
      <c r="U874" s="46" t="n"/>
      <c r="V874" s="46" t="n"/>
      <c r="W874" s="46" t="n"/>
      <c r="X874" s="46" t="n"/>
      <c r="Y874" s="46" t="n"/>
    </row>
    <row r="875">
      <c r="A875" s="78" t="n">
        <v>46342</v>
      </c>
      <c r="B875" s="45" t="inlineStr">
        <is>
          <t>天籁·鸿蒙座舱</t>
        </is>
      </c>
      <c r="C875" s="46" t="n"/>
      <c r="D875" s="46" t="n"/>
      <c r="E875" s="46" t="n"/>
      <c r="F875" s="46" t="n"/>
      <c r="G875" s="46" t="n"/>
      <c r="H875" s="46" t="n"/>
      <c r="I875" s="46" t="n"/>
      <c r="J875" s="46" t="n"/>
      <c r="K875" s="46" t="n"/>
      <c r="L875" s="46" t="n"/>
      <c r="M875" s="46">
        <f>N875-SUM(C875:L875)</f>
        <v/>
      </c>
      <c r="N875" s="47" t="n">
        <v>0</v>
      </c>
      <c r="O875" s="46" t="n"/>
      <c r="P875" s="46" t="n"/>
      <c r="Q875" s="46" t="n"/>
      <c r="R875" s="46" t="n"/>
      <c r="S875" s="46" t="n"/>
      <c r="T875" s="46" t="n"/>
      <c r="U875" s="46" t="n"/>
      <c r="V875" s="46" t="n"/>
      <c r="W875" s="46" t="n"/>
      <c r="X875" s="46" t="n"/>
      <c r="Y875" s="46" t="n"/>
    </row>
    <row r="876">
      <c r="A876" s="78" t="n">
        <v>46343</v>
      </c>
      <c r="B876" s="45" t="inlineStr">
        <is>
          <t>天籁·鸿蒙座舱</t>
        </is>
      </c>
      <c r="C876" s="46" t="n"/>
      <c r="D876" s="46" t="n"/>
      <c r="E876" s="46" t="n"/>
      <c r="F876" s="46" t="n"/>
      <c r="G876" s="46" t="n"/>
      <c r="H876" s="46" t="n"/>
      <c r="I876" s="46" t="n"/>
      <c r="J876" s="46" t="n"/>
      <c r="K876" s="46" t="n"/>
      <c r="L876" s="46" t="n"/>
      <c r="M876" s="46">
        <f>N876-SUM(C876:L876)</f>
        <v/>
      </c>
      <c r="N876" s="47" t="n">
        <v>0</v>
      </c>
      <c r="O876" s="46" t="n"/>
      <c r="P876" s="46" t="n"/>
      <c r="Q876" s="46" t="n"/>
      <c r="R876" s="46" t="n"/>
      <c r="S876" s="46" t="n"/>
      <c r="T876" s="46" t="n"/>
      <c r="U876" s="46" t="n"/>
      <c r="V876" s="46" t="n"/>
      <c r="W876" s="46" t="n"/>
      <c r="X876" s="46" t="n"/>
      <c r="Y876" s="46" t="n"/>
    </row>
    <row r="877">
      <c r="A877" s="78" t="n">
        <v>46344</v>
      </c>
      <c r="B877" s="45" t="inlineStr">
        <is>
          <t>天籁·鸿蒙座舱</t>
        </is>
      </c>
      <c r="C877" s="46" t="n"/>
      <c r="D877" s="46" t="n"/>
      <c r="E877" s="46" t="n"/>
      <c r="F877" s="46" t="n"/>
      <c r="G877" s="46" t="n"/>
      <c r="H877" s="46" t="n"/>
      <c r="I877" s="46" t="n"/>
      <c r="J877" s="46" t="n"/>
      <c r="K877" s="46" t="n"/>
      <c r="L877" s="46" t="n"/>
      <c r="M877" s="46">
        <f>N877-SUM(C877:L877)</f>
        <v/>
      </c>
      <c r="N877" s="47" t="n">
        <v>0</v>
      </c>
      <c r="O877" s="46" t="n"/>
      <c r="P877" s="46" t="n"/>
      <c r="Q877" s="46" t="n"/>
      <c r="R877" s="46" t="n"/>
      <c r="S877" s="46" t="n"/>
      <c r="T877" s="46" t="n"/>
      <c r="U877" s="46" t="n"/>
      <c r="V877" s="46" t="n"/>
      <c r="W877" s="46" t="n"/>
      <c r="X877" s="46" t="n"/>
      <c r="Y877" s="46" t="n"/>
    </row>
    <row r="878">
      <c r="A878" s="78" t="n">
        <v>46345</v>
      </c>
      <c r="B878" s="45" t="inlineStr">
        <is>
          <t>天籁·鸿蒙座舱</t>
        </is>
      </c>
      <c r="C878" s="46" t="n"/>
      <c r="D878" s="46" t="n"/>
      <c r="E878" s="46" t="n"/>
      <c r="F878" s="46" t="n"/>
      <c r="G878" s="46" t="n"/>
      <c r="H878" s="46" t="n"/>
      <c r="I878" s="46" t="n"/>
      <c r="J878" s="46" t="n"/>
      <c r="K878" s="46" t="n"/>
      <c r="L878" s="46" t="n"/>
      <c r="M878" s="46">
        <f>N878-SUM(C878:L878)</f>
        <v/>
      </c>
      <c r="N878" s="47" t="n">
        <v>0</v>
      </c>
      <c r="O878" s="46" t="n"/>
      <c r="P878" s="46" t="n"/>
      <c r="Q878" s="46" t="n"/>
      <c r="R878" s="46" t="n"/>
      <c r="S878" s="46" t="n"/>
      <c r="T878" s="46" t="n"/>
      <c r="U878" s="46" t="n"/>
      <c r="V878" s="46" t="n"/>
      <c r="W878" s="46" t="n"/>
      <c r="X878" s="46" t="n"/>
      <c r="Y878" s="46" t="n"/>
    </row>
    <row r="879">
      <c r="A879" s="78" t="n">
        <v>46346</v>
      </c>
      <c r="B879" s="45" t="inlineStr">
        <is>
          <t>天籁·鸿蒙座舱</t>
        </is>
      </c>
      <c r="C879" s="46" t="n"/>
      <c r="D879" s="46" t="n"/>
      <c r="E879" s="46" t="n"/>
      <c r="F879" s="46" t="n"/>
      <c r="G879" s="46" t="n"/>
      <c r="H879" s="46" t="n"/>
      <c r="I879" s="46" t="n"/>
      <c r="J879" s="46" t="n"/>
      <c r="K879" s="46" t="n"/>
      <c r="L879" s="46" t="n"/>
      <c r="M879" s="46">
        <f>N879-SUM(C879:L879)</f>
        <v/>
      </c>
      <c r="N879" s="47" t="n">
        <v>0</v>
      </c>
      <c r="O879" s="46" t="n"/>
      <c r="P879" s="46" t="n"/>
      <c r="Q879" s="46" t="n"/>
      <c r="R879" s="46" t="n"/>
      <c r="S879" s="46" t="n"/>
      <c r="T879" s="46" t="n"/>
      <c r="U879" s="46" t="n"/>
      <c r="V879" s="46" t="n"/>
      <c r="W879" s="46" t="n"/>
      <c r="X879" s="46" t="n"/>
      <c r="Y879" s="46" t="n"/>
    </row>
    <row r="880">
      <c r="A880" s="78" t="n">
        <v>46347</v>
      </c>
      <c r="B880" s="45" t="inlineStr">
        <is>
          <t>天籁·鸿蒙座舱</t>
        </is>
      </c>
      <c r="C880" s="46" t="n"/>
      <c r="D880" s="46" t="n"/>
      <c r="E880" s="46" t="n"/>
      <c r="F880" s="46" t="n"/>
      <c r="G880" s="46" t="n"/>
      <c r="H880" s="46" t="n"/>
      <c r="I880" s="46" t="n"/>
      <c r="J880" s="46" t="n"/>
      <c r="K880" s="46" t="n"/>
      <c r="L880" s="46" t="n"/>
      <c r="M880" s="46">
        <f>N880-SUM(C880:L880)</f>
        <v/>
      </c>
      <c r="N880" s="47" t="n">
        <v>0</v>
      </c>
      <c r="O880" s="46" t="n"/>
      <c r="P880" s="46" t="n"/>
      <c r="Q880" s="46" t="n"/>
      <c r="R880" s="46" t="n"/>
      <c r="S880" s="46" t="n"/>
      <c r="T880" s="46" t="n"/>
      <c r="U880" s="46" t="n"/>
      <c r="V880" s="46" t="n"/>
      <c r="W880" s="46" t="n"/>
      <c r="X880" s="46" t="n"/>
      <c r="Y880" s="46" t="n"/>
    </row>
    <row r="881">
      <c r="A881" s="78" t="n">
        <v>46348</v>
      </c>
      <c r="B881" s="45" t="inlineStr">
        <is>
          <t>天籁·鸿蒙座舱</t>
        </is>
      </c>
      <c r="C881" s="46" t="n"/>
      <c r="D881" s="46" t="n"/>
      <c r="E881" s="46" t="n"/>
      <c r="F881" s="46" t="n"/>
      <c r="G881" s="46" t="n"/>
      <c r="H881" s="46" t="n"/>
      <c r="I881" s="46" t="n"/>
      <c r="J881" s="46" t="n"/>
      <c r="K881" s="46" t="n"/>
      <c r="L881" s="46" t="n"/>
      <c r="M881" s="46">
        <f>N881-SUM(C881:L881)</f>
        <v/>
      </c>
      <c r="N881" s="47" t="n">
        <v>0</v>
      </c>
      <c r="O881" s="46" t="n"/>
      <c r="P881" s="46" t="n"/>
      <c r="Q881" s="46" t="n"/>
      <c r="R881" s="46" t="n"/>
      <c r="S881" s="46" t="n"/>
      <c r="T881" s="46" t="n"/>
      <c r="U881" s="46" t="n"/>
      <c r="V881" s="46" t="n"/>
      <c r="W881" s="46" t="n"/>
      <c r="X881" s="46" t="n"/>
      <c r="Y881" s="46" t="n"/>
    </row>
    <row r="882">
      <c r="A882" s="78" t="n">
        <v>46349</v>
      </c>
      <c r="B882" s="45" t="inlineStr">
        <is>
          <t>天籁·鸿蒙座舱</t>
        </is>
      </c>
      <c r="C882" s="46" t="n"/>
      <c r="D882" s="46" t="n"/>
      <c r="E882" s="46" t="n"/>
      <c r="F882" s="46" t="n"/>
      <c r="G882" s="46" t="n"/>
      <c r="H882" s="46" t="n"/>
      <c r="I882" s="46" t="n"/>
      <c r="J882" s="46" t="n"/>
      <c r="K882" s="46" t="n"/>
      <c r="L882" s="46" t="n"/>
      <c r="M882" s="46">
        <f>N882-SUM(C882:L882)</f>
        <v/>
      </c>
      <c r="N882" s="47" t="n">
        <v>0</v>
      </c>
      <c r="O882" s="46" t="n"/>
      <c r="P882" s="46" t="n"/>
      <c r="Q882" s="46" t="n"/>
      <c r="R882" s="46" t="n"/>
      <c r="S882" s="46" t="n"/>
      <c r="T882" s="46" t="n"/>
      <c r="U882" s="46" t="n"/>
      <c r="V882" s="46" t="n"/>
      <c r="W882" s="46" t="n"/>
      <c r="X882" s="46" t="n"/>
      <c r="Y882" s="46" t="n"/>
    </row>
    <row r="883">
      <c r="A883" s="78" t="n">
        <v>46350</v>
      </c>
      <c r="B883" s="45" t="inlineStr">
        <is>
          <t>天籁·鸿蒙座舱</t>
        </is>
      </c>
      <c r="C883" s="46" t="n"/>
      <c r="D883" s="46" t="n"/>
      <c r="E883" s="46" t="n"/>
      <c r="F883" s="46" t="n"/>
      <c r="G883" s="46" t="n"/>
      <c r="H883" s="46" t="n"/>
      <c r="I883" s="46" t="n"/>
      <c r="J883" s="46" t="n"/>
      <c r="K883" s="46" t="n"/>
      <c r="L883" s="46" t="n"/>
      <c r="M883" s="46">
        <f>N883-SUM(C883:L883)</f>
        <v/>
      </c>
      <c r="N883" s="47" t="n">
        <v>0</v>
      </c>
      <c r="O883" s="46" t="n"/>
      <c r="P883" s="46" t="n"/>
      <c r="Q883" s="46" t="n"/>
      <c r="R883" s="46" t="n"/>
      <c r="S883" s="46" t="n"/>
      <c r="T883" s="46" t="n"/>
      <c r="U883" s="46" t="n"/>
      <c r="V883" s="46" t="n"/>
      <c r="W883" s="46" t="n"/>
      <c r="X883" s="46" t="n"/>
      <c r="Y883" s="46" t="n"/>
    </row>
    <row r="884">
      <c r="A884" s="78" t="n">
        <v>46351</v>
      </c>
      <c r="B884" s="45" t="inlineStr">
        <is>
          <t>天籁·鸿蒙座舱</t>
        </is>
      </c>
      <c r="C884" s="46" t="n"/>
      <c r="D884" s="46" t="n"/>
      <c r="E884" s="46" t="n"/>
      <c r="F884" s="46" t="n"/>
      <c r="G884" s="46" t="n"/>
      <c r="H884" s="46" t="n"/>
      <c r="I884" s="46" t="n"/>
      <c r="J884" s="46" t="n"/>
      <c r="K884" s="46" t="n"/>
      <c r="L884" s="46" t="n"/>
      <c r="M884" s="46">
        <f>N884-SUM(C884:L884)</f>
        <v/>
      </c>
      <c r="N884" s="47" t="n">
        <v>0</v>
      </c>
      <c r="O884" s="46" t="n"/>
      <c r="P884" s="46" t="n"/>
      <c r="Q884" s="46" t="n"/>
      <c r="R884" s="46" t="n"/>
      <c r="S884" s="46" t="n"/>
      <c r="T884" s="46" t="n"/>
      <c r="U884" s="46" t="n"/>
      <c r="V884" s="46" t="n"/>
      <c r="W884" s="46" t="n"/>
      <c r="X884" s="46" t="n"/>
      <c r="Y884" s="46" t="n"/>
    </row>
    <row r="885">
      <c r="A885" s="78" t="n">
        <v>46352</v>
      </c>
      <c r="B885" s="45" t="inlineStr">
        <is>
          <t>天籁·鸿蒙座舱</t>
        </is>
      </c>
      <c r="C885" s="46" t="n"/>
      <c r="D885" s="46" t="n"/>
      <c r="E885" s="46" t="n"/>
      <c r="F885" s="46" t="n"/>
      <c r="G885" s="46" t="n"/>
      <c r="H885" s="46" t="n"/>
      <c r="I885" s="46" t="n"/>
      <c r="J885" s="46" t="n"/>
      <c r="K885" s="46" t="n"/>
      <c r="L885" s="46" t="n"/>
      <c r="M885" s="46">
        <f>N885-SUM(C885:L885)</f>
        <v/>
      </c>
      <c r="N885" s="47" t="n">
        <v>0</v>
      </c>
      <c r="O885" s="46" t="n"/>
      <c r="P885" s="46" t="n"/>
      <c r="Q885" s="46" t="n"/>
      <c r="R885" s="46" t="n"/>
      <c r="S885" s="46" t="n"/>
      <c r="T885" s="46" t="n"/>
      <c r="U885" s="46" t="n"/>
      <c r="V885" s="46" t="n"/>
      <c r="W885" s="46" t="n"/>
      <c r="X885" s="46" t="n"/>
      <c r="Y885" s="46" t="n"/>
    </row>
    <row r="886">
      <c r="A886" s="78" t="n">
        <v>46353</v>
      </c>
      <c r="B886" s="45" t="inlineStr">
        <is>
          <t>天籁·鸿蒙座舱</t>
        </is>
      </c>
      <c r="C886" s="46" t="n"/>
      <c r="D886" s="46" t="n"/>
      <c r="E886" s="46" t="n"/>
      <c r="F886" s="46" t="n"/>
      <c r="G886" s="46" t="n"/>
      <c r="H886" s="46" t="n"/>
      <c r="I886" s="46" t="n"/>
      <c r="J886" s="46" t="n"/>
      <c r="K886" s="46" t="n"/>
      <c r="L886" s="46" t="n"/>
      <c r="M886" s="46">
        <f>N886-SUM(C886:L886)</f>
        <v/>
      </c>
      <c r="N886" s="47" t="n">
        <v>0</v>
      </c>
      <c r="O886" s="46" t="n"/>
      <c r="P886" s="46" t="n"/>
      <c r="Q886" s="46" t="n"/>
      <c r="R886" s="46" t="n"/>
      <c r="S886" s="46" t="n"/>
      <c r="T886" s="46" t="n"/>
      <c r="U886" s="46" t="n"/>
      <c r="V886" s="46" t="n"/>
      <c r="W886" s="46" t="n"/>
      <c r="X886" s="46" t="n"/>
      <c r="Y886" s="46" t="n"/>
    </row>
    <row r="887">
      <c r="A887" s="78" t="n">
        <v>46354</v>
      </c>
      <c r="B887" s="45" t="inlineStr">
        <is>
          <t>天籁·鸿蒙座舱</t>
        </is>
      </c>
      <c r="C887" s="46" t="n"/>
      <c r="D887" s="46" t="n"/>
      <c r="E887" s="46" t="n"/>
      <c r="F887" s="46" t="n"/>
      <c r="G887" s="46" t="n"/>
      <c r="H887" s="46" t="n"/>
      <c r="I887" s="46" t="n"/>
      <c r="J887" s="46" t="n"/>
      <c r="K887" s="46" t="n"/>
      <c r="L887" s="46" t="n"/>
      <c r="M887" s="46">
        <f>N887-SUM(C887:L887)</f>
        <v/>
      </c>
      <c r="N887" s="47" t="n">
        <v>0</v>
      </c>
      <c r="O887" s="46" t="n"/>
      <c r="P887" s="46" t="n"/>
      <c r="Q887" s="46" t="n"/>
      <c r="R887" s="46" t="n"/>
      <c r="S887" s="46" t="n"/>
      <c r="T887" s="46" t="n"/>
      <c r="U887" s="46" t="n"/>
      <c r="V887" s="46" t="n"/>
      <c r="W887" s="46" t="n"/>
      <c r="X887" s="46" t="n"/>
      <c r="Y887" s="46" t="n"/>
    </row>
    <row r="888">
      <c r="A888" s="78" t="n">
        <v>46355</v>
      </c>
      <c r="B888" s="45" t="inlineStr">
        <is>
          <t>天籁·鸿蒙座舱</t>
        </is>
      </c>
      <c r="C888" s="46" t="n"/>
      <c r="D888" s="46" t="n"/>
      <c r="E888" s="46" t="n"/>
      <c r="F888" s="46" t="n"/>
      <c r="G888" s="46" t="n"/>
      <c r="H888" s="46" t="n"/>
      <c r="I888" s="46" t="n"/>
      <c r="J888" s="46" t="n"/>
      <c r="K888" s="46" t="n"/>
      <c r="L888" s="46" t="n"/>
      <c r="M888" s="46">
        <f>N888-SUM(C888:L888)</f>
        <v/>
      </c>
      <c r="N888" s="47" t="n">
        <v>0</v>
      </c>
      <c r="O888" s="46" t="n"/>
      <c r="P888" s="46" t="n"/>
      <c r="Q888" s="46" t="n"/>
      <c r="R888" s="46" t="n"/>
      <c r="S888" s="46" t="n"/>
      <c r="T888" s="46" t="n"/>
      <c r="U888" s="46" t="n"/>
      <c r="V888" s="46" t="n"/>
      <c r="W888" s="46" t="n"/>
      <c r="X888" s="46" t="n"/>
      <c r="Y888" s="46" t="n"/>
    </row>
    <row r="889">
      <c r="A889" s="78" t="n">
        <v>46356</v>
      </c>
      <c r="B889" s="45" t="inlineStr">
        <is>
          <t>天籁·鸿蒙座舱</t>
        </is>
      </c>
      <c r="C889" s="46" t="n"/>
      <c r="D889" s="46" t="n"/>
      <c r="E889" s="46" t="n"/>
      <c r="F889" s="46" t="n"/>
      <c r="G889" s="46" t="n"/>
      <c r="H889" s="46" t="n"/>
      <c r="I889" s="46" t="n"/>
      <c r="J889" s="46" t="n"/>
      <c r="K889" s="46" t="n"/>
      <c r="L889" s="46" t="n"/>
      <c r="M889" s="46">
        <f>N889-SUM(C889:L889)</f>
        <v/>
      </c>
      <c r="N889" s="47" t="n">
        <v>0</v>
      </c>
      <c r="O889" s="46" t="n"/>
      <c r="P889" s="46" t="n"/>
      <c r="Q889" s="46" t="n"/>
      <c r="R889" s="46" t="n"/>
      <c r="S889" s="46" t="n"/>
      <c r="T889" s="46" t="n"/>
      <c r="U889" s="46" t="n"/>
      <c r="V889" s="46" t="n"/>
      <c r="W889" s="46" t="n"/>
      <c r="X889" s="46" t="n"/>
      <c r="Y889" s="46" t="n"/>
    </row>
    <row r="890">
      <c r="A890" s="78" t="n">
        <v>46357</v>
      </c>
      <c r="B890" s="45" t="inlineStr">
        <is>
          <t>天籁·鸿蒙座舱</t>
        </is>
      </c>
      <c r="C890" s="46" t="n"/>
      <c r="D890" s="46" t="n"/>
      <c r="E890" s="46" t="n"/>
      <c r="F890" s="46" t="n"/>
      <c r="G890" s="46" t="n"/>
      <c r="H890" s="46" t="n"/>
      <c r="I890" s="46" t="n"/>
      <c r="J890" s="46" t="n"/>
      <c r="K890" s="46" t="n"/>
      <c r="L890" s="46" t="n"/>
      <c r="M890" s="46">
        <f>N890-SUM(C890:L890)</f>
        <v/>
      </c>
      <c r="N890" s="47" t="n">
        <v>0</v>
      </c>
      <c r="O890" s="46" t="n"/>
      <c r="P890" s="46" t="n"/>
      <c r="Q890" s="46" t="n"/>
      <c r="R890" s="46" t="n"/>
      <c r="S890" s="46" t="n"/>
      <c r="T890" s="46" t="n"/>
      <c r="U890" s="46" t="n"/>
      <c r="V890" s="46" t="n"/>
      <c r="W890" s="46" t="n"/>
      <c r="X890" s="46" t="n"/>
      <c r="Y890" s="46" t="n"/>
    </row>
    <row r="891">
      <c r="A891" s="78" t="n">
        <v>46358</v>
      </c>
      <c r="B891" s="45" t="inlineStr">
        <is>
          <t>天籁·鸿蒙座舱</t>
        </is>
      </c>
      <c r="C891" s="46" t="n"/>
      <c r="D891" s="46" t="n"/>
      <c r="E891" s="46" t="n"/>
      <c r="F891" s="46" t="n"/>
      <c r="G891" s="46" t="n"/>
      <c r="H891" s="46" t="n"/>
      <c r="I891" s="46" t="n"/>
      <c r="J891" s="46" t="n"/>
      <c r="K891" s="46" t="n"/>
      <c r="L891" s="46" t="n"/>
      <c r="M891" s="46">
        <f>N891-SUM(C891:L891)</f>
        <v/>
      </c>
      <c r="N891" s="47" t="n">
        <v>0</v>
      </c>
      <c r="O891" s="46" t="n"/>
      <c r="P891" s="46" t="n"/>
      <c r="Q891" s="46" t="n"/>
      <c r="R891" s="46" t="n"/>
      <c r="S891" s="46" t="n"/>
      <c r="T891" s="46" t="n"/>
      <c r="U891" s="46" t="n"/>
      <c r="V891" s="46" t="n"/>
      <c r="W891" s="46" t="n"/>
      <c r="X891" s="46" t="n"/>
      <c r="Y891" s="46" t="n"/>
    </row>
    <row r="892">
      <c r="A892" s="78" t="n">
        <v>46359</v>
      </c>
      <c r="B892" s="45" t="inlineStr">
        <is>
          <t>天籁·鸿蒙座舱</t>
        </is>
      </c>
      <c r="C892" s="46" t="n"/>
      <c r="D892" s="46" t="n"/>
      <c r="E892" s="46" t="n"/>
      <c r="F892" s="46" t="n"/>
      <c r="G892" s="46" t="n"/>
      <c r="H892" s="46" t="n"/>
      <c r="I892" s="46" t="n"/>
      <c r="J892" s="46" t="n"/>
      <c r="K892" s="46" t="n"/>
      <c r="L892" s="46" t="n"/>
      <c r="M892" s="46">
        <f>N892-SUM(C892:L892)</f>
        <v/>
      </c>
      <c r="N892" s="47" t="n">
        <v>0</v>
      </c>
      <c r="O892" s="46" t="n"/>
      <c r="P892" s="46" t="n"/>
      <c r="Q892" s="46" t="n"/>
      <c r="R892" s="46" t="n"/>
      <c r="S892" s="46" t="n"/>
      <c r="T892" s="46" t="n"/>
      <c r="U892" s="46" t="n"/>
      <c r="V892" s="46" t="n"/>
      <c r="W892" s="46" t="n"/>
      <c r="X892" s="46" t="n"/>
      <c r="Y892" s="46" t="n"/>
    </row>
    <row r="893">
      <c r="A893" s="78" t="n">
        <v>46360</v>
      </c>
      <c r="B893" s="45" t="inlineStr">
        <is>
          <t>天籁·鸿蒙座舱</t>
        </is>
      </c>
      <c r="C893" s="46" t="n"/>
      <c r="D893" s="46" t="n"/>
      <c r="E893" s="46" t="n"/>
      <c r="F893" s="46" t="n"/>
      <c r="G893" s="46" t="n"/>
      <c r="H893" s="46" t="n"/>
      <c r="I893" s="46" t="n"/>
      <c r="J893" s="46" t="n"/>
      <c r="K893" s="46" t="n"/>
      <c r="L893" s="46" t="n"/>
      <c r="M893" s="46">
        <f>N893-SUM(C893:L893)</f>
        <v/>
      </c>
      <c r="N893" s="47" t="n">
        <v>0</v>
      </c>
      <c r="O893" s="46" t="n"/>
      <c r="P893" s="46" t="n"/>
      <c r="Q893" s="46" t="n"/>
      <c r="R893" s="46" t="n"/>
      <c r="S893" s="46" t="n"/>
      <c r="T893" s="46" t="n"/>
      <c r="U893" s="46" t="n"/>
      <c r="V893" s="46" t="n"/>
      <c r="W893" s="46" t="n"/>
      <c r="X893" s="46" t="n"/>
      <c r="Y893" s="46" t="n"/>
    </row>
    <row r="894">
      <c r="A894" s="78" t="n">
        <v>46361</v>
      </c>
      <c r="B894" s="45" t="inlineStr">
        <is>
          <t>天籁·鸿蒙座舱</t>
        </is>
      </c>
      <c r="C894" s="46" t="n"/>
      <c r="D894" s="46" t="n"/>
      <c r="E894" s="46" t="n"/>
      <c r="F894" s="46" t="n"/>
      <c r="G894" s="46" t="n"/>
      <c r="H894" s="46" t="n"/>
      <c r="I894" s="46" t="n"/>
      <c r="J894" s="46" t="n"/>
      <c r="K894" s="46" t="n"/>
      <c r="L894" s="46" t="n"/>
      <c r="M894" s="46">
        <f>N894-SUM(C894:L894)</f>
        <v/>
      </c>
      <c r="N894" s="47" t="n">
        <v>0</v>
      </c>
      <c r="O894" s="46" t="n"/>
      <c r="P894" s="46" t="n"/>
      <c r="Q894" s="46" t="n"/>
      <c r="R894" s="46" t="n"/>
      <c r="S894" s="46" t="n"/>
      <c r="T894" s="46" t="n"/>
      <c r="U894" s="46" t="n"/>
      <c r="V894" s="46" t="n"/>
      <c r="W894" s="46" t="n"/>
      <c r="X894" s="46" t="n"/>
      <c r="Y894" s="46" t="n"/>
    </row>
    <row r="895">
      <c r="A895" s="78" t="n">
        <v>46362</v>
      </c>
      <c r="B895" s="45" t="inlineStr">
        <is>
          <t>天籁·鸿蒙座舱</t>
        </is>
      </c>
      <c r="C895" s="46" t="n"/>
      <c r="D895" s="46" t="n"/>
      <c r="E895" s="46" t="n"/>
      <c r="F895" s="46" t="n"/>
      <c r="G895" s="46" t="n"/>
      <c r="H895" s="46" t="n"/>
      <c r="I895" s="46" t="n"/>
      <c r="J895" s="46" t="n"/>
      <c r="K895" s="46" t="n"/>
      <c r="L895" s="46" t="n"/>
      <c r="M895" s="46">
        <f>N895-SUM(C895:L895)</f>
        <v/>
      </c>
      <c r="N895" s="47" t="n">
        <v>0</v>
      </c>
      <c r="O895" s="46" t="n"/>
      <c r="P895" s="46" t="n"/>
      <c r="Q895" s="46" t="n"/>
      <c r="R895" s="46" t="n"/>
      <c r="S895" s="46" t="n"/>
      <c r="T895" s="46" t="n"/>
      <c r="U895" s="46" t="n"/>
      <c r="V895" s="46" t="n"/>
      <c r="W895" s="46" t="n"/>
      <c r="X895" s="46" t="n"/>
      <c r="Y895" s="46" t="n"/>
    </row>
    <row r="896">
      <c r="A896" s="78" t="n">
        <v>46363</v>
      </c>
      <c r="B896" s="45" t="inlineStr">
        <is>
          <t>天籁·鸿蒙座舱</t>
        </is>
      </c>
      <c r="C896" s="46" t="n"/>
      <c r="D896" s="46" t="n"/>
      <c r="E896" s="46" t="n"/>
      <c r="F896" s="46" t="n"/>
      <c r="G896" s="46" t="n"/>
      <c r="H896" s="46" t="n"/>
      <c r="I896" s="46" t="n"/>
      <c r="J896" s="46" t="n"/>
      <c r="K896" s="46" t="n"/>
      <c r="L896" s="46" t="n"/>
      <c r="M896" s="46">
        <f>N896-SUM(C896:L896)</f>
        <v/>
      </c>
      <c r="N896" s="47" t="n">
        <v>0</v>
      </c>
      <c r="O896" s="46" t="n"/>
      <c r="P896" s="46" t="n"/>
      <c r="Q896" s="46" t="n"/>
      <c r="R896" s="46" t="n"/>
      <c r="S896" s="46" t="n"/>
      <c r="T896" s="46" t="n"/>
      <c r="U896" s="46" t="n"/>
      <c r="V896" s="46" t="n"/>
      <c r="W896" s="46" t="n"/>
      <c r="X896" s="46" t="n"/>
      <c r="Y896" s="46" t="n"/>
    </row>
    <row r="897">
      <c r="A897" s="78" t="n">
        <v>46364</v>
      </c>
      <c r="B897" s="45" t="inlineStr">
        <is>
          <t>天籁·鸿蒙座舱</t>
        </is>
      </c>
      <c r="C897" s="46" t="n"/>
      <c r="D897" s="46" t="n"/>
      <c r="E897" s="46" t="n"/>
      <c r="F897" s="46" t="n"/>
      <c r="G897" s="46" t="n"/>
      <c r="H897" s="46" t="n"/>
      <c r="I897" s="46" t="n"/>
      <c r="J897" s="46" t="n"/>
      <c r="K897" s="46" t="n"/>
      <c r="L897" s="46" t="n"/>
      <c r="M897" s="46">
        <f>N897-SUM(C897:L897)</f>
        <v/>
      </c>
      <c r="N897" s="47" t="n">
        <v>0</v>
      </c>
      <c r="O897" s="46" t="n"/>
      <c r="P897" s="46" t="n"/>
      <c r="Q897" s="46" t="n"/>
      <c r="R897" s="46" t="n"/>
      <c r="S897" s="46" t="n"/>
      <c r="T897" s="46" t="n"/>
      <c r="U897" s="46" t="n"/>
      <c r="V897" s="46" t="n"/>
      <c r="W897" s="46" t="n"/>
      <c r="X897" s="46" t="n"/>
      <c r="Y897" s="46" t="n"/>
    </row>
    <row r="898">
      <c r="A898" s="78" t="n">
        <v>46365</v>
      </c>
      <c r="B898" s="45" t="inlineStr">
        <is>
          <t>天籁·鸿蒙座舱</t>
        </is>
      </c>
      <c r="C898" s="46" t="n"/>
      <c r="D898" s="46" t="n"/>
      <c r="E898" s="46" t="n"/>
      <c r="F898" s="46" t="n"/>
      <c r="G898" s="46" t="n"/>
      <c r="H898" s="46" t="n"/>
      <c r="I898" s="46" t="n"/>
      <c r="J898" s="46" t="n"/>
      <c r="K898" s="46" t="n"/>
      <c r="L898" s="46" t="n"/>
      <c r="M898" s="46">
        <f>N898-SUM(C898:L898)</f>
        <v/>
      </c>
      <c r="N898" s="47" t="n">
        <v>0</v>
      </c>
      <c r="O898" s="46" t="n"/>
      <c r="P898" s="46" t="n"/>
      <c r="Q898" s="46" t="n"/>
      <c r="R898" s="46" t="n"/>
      <c r="S898" s="46" t="n"/>
      <c r="T898" s="46" t="n"/>
      <c r="U898" s="46" t="n"/>
      <c r="V898" s="46" t="n"/>
      <c r="W898" s="46" t="n"/>
      <c r="X898" s="46" t="n"/>
      <c r="Y898" s="46" t="n"/>
    </row>
    <row r="899">
      <c r="A899" s="78" t="n">
        <v>46366</v>
      </c>
      <c r="B899" s="45" t="inlineStr">
        <is>
          <t>天籁·鸿蒙座舱</t>
        </is>
      </c>
      <c r="C899" s="46" t="n"/>
      <c r="D899" s="46" t="n"/>
      <c r="E899" s="46" t="n"/>
      <c r="F899" s="46" t="n"/>
      <c r="G899" s="46" t="n"/>
      <c r="H899" s="46" t="n"/>
      <c r="I899" s="46" t="n"/>
      <c r="J899" s="46" t="n"/>
      <c r="K899" s="46" t="n"/>
      <c r="L899" s="46" t="n"/>
      <c r="M899" s="46">
        <f>N899-SUM(C899:L899)</f>
        <v/>
      </c>
      <c r="N899" s="47" t="n">
        <v>0</v>
      </c>
      <c r="O899" s="46" t="n"/>
      <c r="P899" s="46" t="n"/>
      <c r="Q899" s="46" t="n"/>
      <c r="R899" s="46" t="n"/>
      <c r="S899" s="46" t="n"/>
      <c r="T899" s="46" t="n"/>
      <c r="U899" s="46" t="n"/>
      <c r="V899" s="46" t="n"/>
      <c r="W899" s="46" t="n"/>
      <c r="X899" s="46" t="n"/>
      <c r="Y899" s="46" t="n"/>
    </row>
    <row r="900">
      <c r="A900" s="78" t="n">
        <v>46367</v>
      </c>
      <c r="B900" s="45" t="inlineStr">
        <is>
          <t>天籁·鸿蒙座舱</t>
        </is>
      </c>
      <c r="C900" s="46" t="n"/>
      <c r="D900" s="46" t="n"/>
      <c r="E900" s="46" t="n"/>
      <c r="F900" s="46" t="n"/>
      <c r="G900" s="46" t="n"/>
      <c r="H900" s="46" t="n"/>
      <c r="I900" s="46" t="n"/>
      <c r="J900" s="46" t="n"/>
      <c r="K900" s="46" t="n"/>
      <c r="L900" s="46" t="n"/>
      <c r="M900" s="46">
        <f>N900-SUM(C900:L900)</f>
        <v/>
      </c>
      <c r="N900" s="47" t="n">
        <v>0</v>
      </c>
      <c r="O900" s="46" t="n"/>
      <c r="P900" s="46" t="n"/>
      <c r="Q900" s="46" t="n"/>
      <c r="R900" s="46" t="n"/>
      <c r="S900" s="46" t="n"/>
      <c r="T900" s="46" t="n"/>
      <c r="U900" s="46" t="n"/>
      <c r="V900" s="46" t="n"/>
      <c r="W900" s="46" t="n"/>
      <c r="X900" s="46" t="n"/>
      <c r="Y900" s="46" t="n"/>
    </row>
    <row r="901">
      <c r="A901" s="78" t="n">
        <v>46368</v>
      </c>
      <c r="B901" s="45" t="inlineStr">
        <is>
          <t>天籁·鸿蒙座舱</t>
        </is>
      </c>
      <c r="C901" s="46" t="n"/>
      <c r="D901" s="46" t="n"/>
      <c r="E901" s="46" t="n"/>
      <c r="F901" s="46" t="n"/>
      <c r="G901" s="46" t="n"/>
      <c r="H901" s="46" t="n"/>
      <c r="I901" s="46" t="n"/>
      <c r="J901" s="46" t="n"/>
      <c r="K901" s="46" t="n"/>
      <c r="L901" s="46" t="n"/>
      <c r="M901" s="46">
        <f>N901-SUM(C901:L901)</f>
        <v/>
      </c>
      <c r="N901" s="47" t="n">
        <v>0</v>
      </c>
      <c r="O901" s="46" t="n"/>
      <c r="P901" s="46" t="n"/>
      <c r="Q901" s="46" t="n"/>
      <c r="R901" s="46" t="n"/>
      <c r="S901" s="46" t="n"/>
      <c r="T901" s="46" t="n"/>
      <c r="U901" s="46" t="n"/>
      <c r="V901" s="46" t="n"/>
      <c r="W901" s="46" t="n"/>
      <c r="X901" s="46" t="n"/>
      <c r="Y901" s="46" t="n"/>
    </row>
    <row r="902">
      <c r="A902" s="78" t="n">
        <v>46369</v>
      </c>
      <c r="B902" s="45" t="inlineStr">
        <is>
          <t>天籁·鸿蒙座舱</t>
        </is>
      </c>
      <c r="C902" s="46" t="n"/>
      <c r="D902" s="46" t="n"/>
      <c r="E902" s="46" t="n"/>
      <c r="F902" s="46" t="n"/>
      <c r="G902" s="46" t="n"/>
      <c r="H902" s="46" t="n"/>
      <c r="I902" s="46" t="n"/>
      <c r="J902" s="46" t="n"/>
      <c r="K902" s="46" t="n"/>
      <c r="L902" s="46" t="n"/>
      <c r="M902" s="46">
        <f>N902-SUM(C902:L902)</f>
        <v/>
      </c>
      <c r="N902" s="47" t="n">
        <v>0</v>
      </c>
      <c r="O902" s="46" t="n"/>
      <c r="P902" s="46" t="n"/>
      <c r="Q902" s="46" t="n"/>
      <c r="R902" s="46" t="n"/>
      <c r="S902" s="46" t="n"/>
      <c r="T902" s="46" t="n"/>
      <c r="U902" s="46" t="n"/>
      <c r="V902" s="46" t="n"/>
      <c r="W902" s="46" t="n"/>
      <c r="X902" s="46" t="n"/>
      <c r="Y902" s="46" t="n"/>
    </row>
    <row r="903">
      <c r="A903" s="78" t="n">
        <v>46370</v>
      </c>
      <c r="B903" s="45" t="inlineStr">
        <is>
          <t>天籁·鸿蒙座舱</t>
        </is>
      </c>
      <c r="C903" s="46" t="n"/>
      <c r="D903" s="46" t="n"/>
      <c r="E903" s="46" t="n"/>
      <c r="F903" s="46" t="n"/>
      <c r="G903" s="46" t="n"/>
      <c r="H903" s="46" t="n"/>
      <c r="I903" s="46" t="n"/>
      <c r="J903" s="46" t="n"/>
      <c r="K903" s="46" t="n"/>
      <c r="L903" s="46" t="n"/>
      <c r="M903" s="46">
        <f>N903-SUM(C903:L903)</f>
        <v/>
      </c>
      <c r="N903" s="47" t="n">
        <v>0</v>
      </c>
      <c r="O903" s="46" t="n"/>
      <c r="P903" s="46" t="n"/>
      <c r="Q903" s="46" t="n"/>
      <c r="R903" s="46" t="n"/>
      <c r="S903" s="46" t="n"/>
      <c r="T903" s="46" t="n"/>
      <c r="U903" s="46" t="n"/>
      <c r="V903" s="46" t="n"/>
      <c r="W903" s="46" t="n"/>
      <c r="X903" s="46" t="n"/>
      <c r="Y903" s="46" t="n"/>
    </row>
    <row r="904">
      <c r="A904" s="78" t="n">
        <v>46371</v>
      </c>
      <c r="B904" s="45" t="inlineStr">
        <is>
          <t>天籁·鸿蒙座舱</t>
        </is>
      </c>
      <c r="C904" s="46" t="n"/>
      <c r="D904" s="46" t="n"/>
      <c r="E904" s="46" t="n"/>
      <c r="F904" s="46" t="n"/>
      <c r="G904" s="46" t="n"/>
      <c r="H904" s="46" t="n"/>
      <c r="I904" s="46" t="n"/>
      <c r="J904" s="46" t="n"/>
      <c r="K904" s="46" t="n"/>
      <c r="L904" s="46" t="n"/>
      <c r="M904" s="46">
        <f>N904-SUM(C904:L904)</f>
        <v/>
      </c>
      <c r="N904" s="47" t="n">
        <v>0</v>
      </c>
      <c r="O904" s="46" t="n"/>
      <c r="P904" s="46" t="n"/>
      <c r="Q904" s="46" t="n"/>
      <c r="R904" s="46" t="n"/>
      <c r="S904" s="46" t="n"/>
      <c r="T904" s="46" t="n"/>
      <c r="U904" s="46" t="n"/>
      <c r="V904" s="46" t="n"/>
      <c r="W904" s="46" t="n"/>
      <c r="X904" s="46" t="n"/>
      <c r="Y904" s="46" t="n"/>
    </row>
    <row r="905">
      <c r="A905" s="78" t="n">
        <v>46372</v>
      </c>
      <c r="B905" s="45" t="inlineStr">
        <is>
          <t>天籁·鸿蒙座舱</t>
        </is>
      </c>
      <c r="C905" s="46" t="n"/>
      <c r="D905" s="46" t="n"/>
      <c r="E905" s="46" t="n"/>
      <c r="F905" s="46" t="n"/>
      <c r="G905" s="46" t="n"/>
      <c r="H905" s="46" t="n"/>
      <c r="I905" s="46" t="n"/>
      <c r="J905" s="46" t="n"/>
      <c r="K905" s="46" t="n"/>
      <c r="L905" s="46" t="n"/>
      <c r="M905" s="46">
        <f>N905-SUM(C905:L905)</f>
        <v/>
      </c>
      <c r="N905" s="47" t="n">
        <v>0</v>
      </c>
      <c r="O905" s="46" t="n"/>
      <c r="P905" s="46" t="n"/>
      <c r="Q905" s="46" t="n"/>
      <c r="R905" s="46" t="n"/>
      <c r="S905" s="46" t="n"/>
      <c r="T905" s="46" t="n"/>
      <c r="U905" s="46" t="n"/>
      <c r="V905" s="46" t="n"/>
      <c r="W905" s="46" t="n"/>
      <c r="X905" s="46" t="n"/>
      <c r="Y905" s="46" t="n"/>
    </row>
    <row r="906">
      <c r="A906" s="78" t="n">
        <v>46373</v>
      </c>
      <c r="B906" s="45" t="inlineStr">
        <is>
          <t>天籁·鸿蒙座舱</t>
        </is>
      </c>
      <c r="C906" s="46" t="n"/>
      <c r="D906" s="46" t="n"/>
      <c r="E906" s="46" t="n"/>
      <c r="F906" s="46" t="n"/>
      <c r="G906" s="46" t="n"/>
      <c r="H906" s="46" t="n"/>
      <c r="I906" s="46" t="n"/>
      <c r="J906" s="46" t="n"/>
      <c r="K906" s="46" t="n"/>
      <c r="L906" s="46" t="n"/>
      <c r="M906" s="46">
        <f>N906-SUM(C906:L906)</f>
        <v/>
      </c>
      <c r="N906" s="47" t="n">
        <v>0</v>
      </c>
      <c r="O906" s="46" t="n"/>
      <c r="P906" s="46" t="n"/>
      <c r="Q906" s="46" t="n"/>
      <c r="R906" s="46" t="n"/>
      <c r="S906" s="46" t="n"/>
      <c r="T906" s="46" t="n"/>
      <c r="U906" s="46" t="n"/>
      <c r="V906" s="46" t="n"/>
      <c r="W906" s="46" t="n"/>
      <c r="X906" s="46" t="n"/>
      <c r="Y906" s="46" t="n"/>
    </row>
    <row r="907">
      <c r="A907" s="78" t="n">
        <v>46374</v>
      </c>
      <c r="B907" s="45" t="inlineStr">
        <is>
          <t>天籁·鸿蒙座舱</t>
        </is>
      </c>
      <c r="C907" s="46" t="n"/>
      <c r="D907" s="46" t="n"/>
      <c r="E907" s="46" t="n"/>
      <c r="F907" s="46" t="n"/>
      <c r="G907" s="46" t="n"/>
      <c r="H907" s="46" t="n"/>
      <c r="I907" s="46" t="n"/>
      <c r="J907" s="46" t="n"/>
      <c r="K907" s="46" t="n"/>
      <c r="L907" s="46" t="n"/>
      <c r="M907" s="46">
        <f>N907-SUM(C907:L907)</f>
        <v/>
      </c>
      <c r="N907" s="47" t="n">
        <v>0</v>
      </c>
      <c r="O907" s="46" t="n"/>
      <c r="P907" s="46" t="n"/>
      <c r="Q907" s="46" t="n"/>
      <c r="R907" s="46" t="n"/>
      <c r="S907" s="46" t="n"/>
      <c r="T907" s="46" t="n"/>
      <c r="U907" s="46" t="n"/>
      <c r="V907" s="46" t="n"/>
      <c r="W907" s="46" t="n"/>
      <c r="X907" s="46" t="n"/>
      <c r="Y907" s="46" t="n"/>
    </row>
    <row r="908">
      <c r="A908" s="78" t="n">
        <v>46375</v>
      </c>
      <c r="B908" s="45" t="inlineStr">
        <is>
          <t>天籁·鸿蒙座舱</t>
        </is>
      </c>
      <c r="C908" s="46" t="n"/>
      <c r="D908" s="46" t="n"/>
      <c r="E908" s="46" t="n"/>
      <c r="F908" s="46" t="n"/>
      <c r="G908" s="46" t="n"/>
      <c r="H908" s="46" t="n"/>
      <c r="I908" s="46" t="n"/>
      <c r="J908" s="46" t="n"/>
      <c r="K908" s="46" t="n"/>
      <c r="L908" s="46" t="n"/>
      <c r="M908" s="46">
        <f>N908-SUM(C908:L908)</f>
        <v/>
      </c>
      <c r="N908" s="47" t="n">
        <v>0</v>
      </c>
      <c r="O908" s="46" t="n"/>
      <c r="P908" s="46" t="n"/>
      <c r="Q908" s="46" t="n"/>
      <c r="R908" s="46" t="n"/>
      <c r="S908" s="46" t="n"/>
      <c r="T908" s="46" t="n"/>
      <c r="U908" s="46" t="n"/>
      <c r="V908" s="46" t="n"/>
      <c r="W908" s="46" t="n"/>
      <c r="X908" s="46" t="n"/>
      <c r="Y908" s="46" t="n"/>
    </row>
    <row r="909">
      <c r="A909" s="78" t="n">
        <v>46376</v>
      </c>
      <c r="B909" s="45" t="inlineStr">
        <is>
          <t>天籁·鸿蒙座舱</t>
        </is>
      </c>
      <c r="C909" s="46" t="n"/>
      <c r="D909" s="46" t="n"/>
      <c r="E909" s="46" t="n"/>
      <c r="F909" s="46" t="n"/>
      <c r="G909" s="46" t="n"/>
      <c r="H909" s="46" t="n"/>
      <c r="I909" s="46" t="n"/>
      <c r="J909" s="46" t="n"/>
      <c r="K909" s="46" t="n"/>
      <c r="L909" s="46" t="n"/>
      <c r="M909" s="46">
        <f>N909-SUM(C909:L909)</f>
        <v/>
      </c>
      <c r="N909" s="47" t="n">
        <v>0</v>
      </c>
      <c r="O909" s="46" t="n"/>
      <c r="P909" s="46" t="n"/>
      <c r="Q909" s="46" t="n"/>
      <c r="R909" s="46" t="n"/>
      <c r="S909" s="46" t="n"/>
      <c r="T909" s="46" t="n"/>
      <c r="U909" s="46" t="n"/>
      <c r="V909" s="46" t="n"/>
      <c r="W909" s="46" t="n"/>
      <c r="X909" s="46" t="n"/>
      <c r="Y909" s="46" t="n"/>
    </row>
    <row r="910">
      <c r="A910" s="78" t="n">
        <v>46377</v>
      </c>
      <c r="B910" s="45" t="inlineStr">
        <is>
          <t>天籁·鸿蒙座舱</t>
        </is>
      </c>
      <c r="C910" s="46" t="n"/>
      <c r="D910" s="46" t="n"/>
      <c r="E910" s="46" t="n"/>
      <c r="F910" s="46" t="n"/>
      <c r="G910" s="46" t="n"/>
      <c r="H910" s="46" t="n"/>
      <c r="I910" s="46" t="n"/>
      <c r="J910" s="46" t="n"/>
      <c r="K910" s="46" t="n"/>
      <c r="L910" s="46" t="n"/>
      <c r="M910" s="46">
        <f>N910-SUM(C910:L910)</f>
        <v/>
      </c>
      <c r="N910" s="47" t="n">
        <v>0</v>
      </c>
      <c r="O910" s="46" t="n"/>
      <c r="P910" s="46" t="n"/>
      <c r="Q910" s="46" t="n"/>
      <c r="R910" s="46" t="n"/>
      <c r="S910" s="46" t="n"/>
      <c r="T910" s="46" t="n"/>
      <c r="U910" s="46" t="n"/>
      <c r="V910" s="46" t="n"/>
      <c r="W910" s="46" t="n"/>
      <c r="X910" s="46" t="n"/>
      <c r="Y910" s="46" t="n"/>
    </row>
    <row r="911">
      <c r="A911" s="78" t="n">
        <v>46378</v>
      </c>
      <c r="B911" s="45" t="inlineStr">
        <is>
          <t>天籁·鸿蒙座舱</t>
        </is>
      </c>
      <c r="C911" s="46" t="n"/>
      <c r="D911" s="46" t="n"/>
      <c r="E911" s="46" t="n"/>
      <c r="F911" s="46" t="n"/>
      <c r="G911" s="46" t="n"/>
      <c r="H911" s="46" t="n"/>
      <c r="I911" s="46" t="n"/>
      <c r="J911" s="46" t="n"/>
      <c r="K911" s="46" t="n"/>
      <c r="L911" s="46" t="n"/>
      <c r="M911" s="46">
        <f>N911-SUM(C911:L911)</f>
        <v/>
      </c>
      <c r="N911" s="47" t="n">
        <v>0</v>
      </c>
      <c r="O911" s="46" t="n"/>
      <c r="P911" s="46" t="n"/>
      <c r="Q911" s="46" t="n"/>
      <c r="R911" s="46" t="n"/>
      <c r="S911" s="46" t="n"/>
      <c r="T911" s="46" t="n"/>
      <c r="U911" s="46" t="n"/>
      <c r="V911" s="46" t="n"/>
      <c r="W911" s="46" t="n"/>
      <c r="X911" s="46" t="n"/>
      <c r="Y911" s="46" t="n"/>
    </row>
    <row r="912">
      <c r="A912" s="78" t="n">
        <v>46379</v>
      </c>
      <c r="B912" s="45" t="inlineStr">
        <is>
          <t>天籁·鸿蒙座舱</t>
        </is>
      </c>
      <c r="C912" s="46" t="n"/>
      <c r="D912" s="46" t="n"/>
      <c r="E912" s="46" t="n"/>
      <c r="F912" s="46" t="n"/>
      <c r="G912" s="46" t="n"/>
      <c r="H912" s="46" t="n"/>
      <c r="I912" s="46" t="n"/>
      <c r="J912" s="46" t="n"/>
      <c r="K912" s="46" t="n"/>
      <c r="L912" s="46" t="n"/>
      <c r="M912" s="46">
        <f>N912-SUM(C912:L912)</f>
        <v/>
      </c>
      <c r="N912" s="47" t="n">
        <v>0</v>
      </c>
      <c r="O912" s="46" t="n"/>
      <c r="P912" s="46" t="n"/>
      <c r="Q912" s="46" t="n"/>
      <c r="R912" s="46" t="n"/>
      <c r="S912" s="46" t="n"/>
      <c r="T912" s="46" t="n"/>
      <c r="U912" s="46" t="n"/>
      <c r="V912" s="46" t="n"/>
      <c r="W912" s="46" t="n"/>
      <c r="X912" s="46" t="n"/>
      <c r="Y912" s="46" t="n"/>
    </row>
    <row r="913">
      <c r="A913" s="78" t="n">
        <v>46380</v>
      </c>
      <c r="B913" s="45" t="inlineStr">
        <is>
          <t>天籁·鸿蒙座舱</t>
        </is>
      </c>
      <c r="C913" s="46" t="n"/>
      <c r="D913" s="46" t="n"/>
      <c r="E913" s="46" t="n"/>
      <c r="F913" s="46" t="n"/>
      <c r="G913" s="46" t="n"/>
      <c r="H913" s="46" t="n"/>
      <c r="I913" s="46" t="n"/>
      <c r="J913" s="46" t="n"/>
      <c r="K913" s="46" t="n"/>
      <c r="L913" s="46" t="n"/>
      <c r="M913" s="46">
        <f>N913-SUM(C913:L913)</f>
        <v/>
      </c>
      <c r="N913" s="47" t="n">
        <v>0</v>
      </c>
      <c r="O913" s="46" t="n"/>
      <c r="P913" s="46" t="n"/>
      <c r="Q913" s="46" t="n"/>
      <c r="R913" s="46" t="n"/>
      <c r="S913" s="46" t="n"/>
      <c r="T913" s="46" t="n"/>
      <c r="U913" s="46" t="n"/>
      <c r="V913" s="46" t="n"/>
      <c r="W913" s="46" t="n"/>
      <c r="X913" s="46" t="n"/>
      <c r="Y913" s="46" t="n"/>
    </row>
    <row r="914">
      <c r="A914" s="78" t="n">
        <v>46381</v>
      </c>
      <c r="B914" s="45" t="inlineStr">
        <is>
          <t>天籁·鸿蒙座舱</t>
        </is>
      </c>
      <c r="C914" s="46" t="n"/>
      <c r="D914" s="46" t="n"/>
      <c r="E914" s="46" t="n"/>
      <c r="F914" s="46" t="n"/>
      <c r="G914" s="46" t="n"/>
      <c r="H914" s="46" t="n"/>
      <c r="I914" s="46" t="n"/>
      <c r="J914" s="46" t="n"/>
      <c r="K914" s="46" t="n"/>
      <c r="L914" s="46" t="n"/>
      <c r="M914" s="46">
        <f>N914-SUM(C914:L914)</f>
        <v/>
      </c>
      <c r="N914" s="47" t="n">
        <v>0</v>
      </c>
      <c r="O914" s="46" t="n"/>
      <c r="P914" s="46" t="n"/>
      <c r="Q914" s="46" t="n"/>
      <c r="R914" s="46" t="n"/>
      <c r="S914" s="46" t="n"/>
      <c r="T914" s="46" t="n"/>
      <c r="U914" s="46" t="n"/>
      <c r="V914" s="46" t="n"/>
      <c r="W914" s="46" t="n"/>
      <c r="X914" s="46" t="n"/>
      <c r="Y914" s="46" t="n"/>
    </row>
    <row r="915">
      <c r="A915" s="78" t="n">
        <v>46382</v>
      </c>
      <c r="B915" s="45" t="inlineStr">
        <is>
          <t>天籁·鸿蒙座舱</t>
        </is>
      </c>
      <c r="C915" s="46" t="n"/>
      <c r="D915" s="46" t="n"/>
      <c r="E915" s="46" t="n"/>
      <c r="F915" s="46" t="n"/>
      <c r="G915" s="46" t="n"/>
      <c r="H915" s="46" t="n"/>
      <c r="I915" s="46" t="n"/>
      <c r="J915" s="46" t="n"/>
      <c r="K915" s="46" t="n"/>
      <c r="L915" s="46" t="n"/>
      <c r="M915" s="46">
        <f>N915-SUM(C915:L915)</f>
        <v/>
      </c>
      <c r="N915" s="47" t="n">
        <v>0</v>
      </c>
      <c r="O915" s="46" t="n"/>
      <c r="P915" s="46" t="n"/>
      <c r="Q915" s="46" t="n"/>
      <c r="R915" s="46" t="n"/>
      <c r="S915" s="46" t="n"/>
      <c r="T915" s="46" t="n"/>
      <c r="U915" s="46" t="n"/>
      <c r="V915" s="46" t="n"/>
      <c r="W915" s="46" t="n"/>
      <c r="X915" s="46" t="n"/>
      <c r="Y915" s="46" t="n"/>
    </row>
    <row r="916">
      <c r="A916" s="78" t="n">
        <v>46383</v>
      </c>
      <c r="B916" s="45" t="inlineStr">
        <is>
          <t>天籁·鸿蒙座舱</t>
        </is>
      </c>
      <c r="C916" s="46" t="n"/>
      <c r="D916" s="46" t="n"/>
      <c r="E916" s="46" t="n"/>
      <c r="F916" s="46" t="n"/>
      <c r="G916" s="46" t="n"/>
      <c r="H916" s="46" t="n"/>
      <c r="I916" s="46" t="n"/>
      <c r="J916" s="46" t="n"/>
      <c r="K916" s="46" t="n"/>
      <c r="L916" s="46" t="n"/>
      <c r="M916" s="46">
        <f>N916-SUM(C916:L916)</f>
        <v/>
      </c>
      <c r="N916" s="47" t="n">
        <v>0</v>
      </c>
      <c r="O916" s="46" t="n"/>
      <c r="P916" s="46" t="n"/>
      <c r="Q916" s="46" t="n"/>
      <c r="R916" s="46" t="n"/>
      <c r="S916" s="46" t="n"/>
      <c r="T916" s="46" t="n"/>
      <c r="U916" s="46" t="n"/>
      <c r="V916" s="46" t="n"/>
      <c r="W916" s="46" t="n"/>
      <c r="X916" s="46" t="n"/>
      <c r="Y916" s="46" t="n"/>
    </row>
    <row r="917">
      <c r="A917" s="78" t="n">
        <v>46384</v>
      </c>
      <c r="B917" s="45" t="inlineStr">
        <is>
          <t>天籁·鸿蒙座舱</t>
        </is>
      </c>
      <c r="C917" s="46" t="n"/>
      <c r="D917" s="46" t="n"/>
      <c r="E917" s="46" t="n"/>
      <c r="F917" s="46" t="n"/>
      <c r="G917" s="46" t="n"/>
      <c r="H917" s="46" t="n"/>
      <c r="I917" s="46" t="n"/>
      <c r="J917" s="46" t="n"/>
      <c r="K917" s="46" t="n"/>
      <c r="L917" s="46" t="n"/>
      <c r="M917" s="46">
        <f>N917-SUM(C917:L917)</f>
        <v/>
      </c>
      <c r="N917" s="47" t="n">
        <v>0</v>
      </c>
      <c r="O917" s="46" t="n"/>
      <c r="P917" s="46" t="n"/>
      <c r="Q917" s="46" t="n"/>
      <c r="R917" s="46" t="n"/>
      <c r="S917" s="46" t="n"/>
      <c r="T917" s="46" t="n"/>
      <c r="U917" s="46" t="n"/>
      <c r="V917" s="46" t="n"/>
      <c r="W917" s="46" t="n"/>
      <c r="X917" s="46" t="n"/>
      <c r="Y917" s="46" t="n"/>
    </row>
    <row r="918">
      <c r="A918" s="78" t="n">
        <v>46385</v>
      </c>
      <c r="B918" s="45" t="inlineStr">
        <is>
          <t>天籁·鸿蒙座舱</t>
        </is>
      </c>
      <c r="C918" s="46" t="n"/>
      <c r="D918" s="46" t="n"/>
      <c r="E918" s="46" t="n"/>
      <c r="F918" s="46" t="n"/>
      <c r="G918" s="46" t="n"/>
      <c r="H918" s="46" t="n"/>
      <c r="I918" s="46" t="n"/>
      <c r="J918" s="46" t="n"/>
      <c r="K918" s="46" t="n"/>
      <c r="L918" s="46" t="n"/>
      <c r="M918" s="46">
        <f>N918-SUM(C918:L918)</f>
        <v/>
      </c>
      <c r="N918" s="47" t="n">
        <v>0</v>
      </c>
      <c r="O918" s="46" t="n"/>
      <c r="P918" s="46" t="n"/>
      <c r="Q918" s="46" t="n"/>
      <c r="R918" s="46" t="n"/>
      <c r="S918" s="46" t="n"/>
      <c r="T918" s="46" t="n"/>
      <c r="U918" s="46" t="n"/>
      <c r="V918" s="46" t="n"/>
      <c r="W918" s="46" t="n"/>
      <c r="X918" s="46" t="n"/>
      <c r="Y918" s="46" t="n"/>
    </row>
    <row r="919">
      <c r="A919" s="78" t="n">
        <v>46386</v>
      </c>
      <c r="B919" s="45" t="inlineStr">
        <is>
          <t>天籁·鸿蒙座舱</t>
        </is>
      </c>
      <c r="C919" s="46" t="n"/>
      <c r="D919" s="46" t="n"/>
      <c r="E919" s="46" t="n"/>
      <c r="F919" s="46" t="n"/>
      <c r="G919" s="46" t="n"/>
      <c r="H919" s="46" t="n"/>
      <c r="I919" s="46" t="n"/>
      <c r="J919" s="46" t="n"/>
      <c r="K919" s="46" t="n"/>
      <c r="L919" s="46" t="n"/>
      <c r="M919" s="46">
        <f>N919-SUM(C919:L919)</f>
        <v/>
      </c>
      <c r="N919" s="47" t="n">
        <v>0</v>
      </c>
      <c r="O919" s="46" t="n"/>
      <c r="P919" s="46" t="n"/>
      <c r="Q919" s="46" t="n"/>
      <c r="R919" s="46" t="n"/>
      <c r="S919" s="46" t="n"/>
      <c r="T919" s="46" t="n"/>
      <c r="U919" s="46" t="n"/>
      <c r="V919" s="46" t="n"/>
      <c r="W919" s="46" t="n"/>
      <c r="X919" s="46" t="n"/>
      <c r="Y919" s="46" t="n"/>
    </row>
    <row r="920">
      <c r="A920" s="78" t="n">
        <v>46387</v>
      </c>
      <c r="B920" s="45" t="inlineStr">
        <is>
          <t>天籁·鸿蒙座舱</t>
        </is>
      </c>
      <c r="C920" s="46" t="n"/>
      <c r="D920" s="46" t="n"/>
      <c r="E920" s="46" t="n"/>
      <c r="F920" s="46" t="n"/>
      <c r="G920" s="46" t="n"/>
      <c r="H920" s="46" t="n"/>
      <c r="I920" s="46" t="n"/>
      <c r="J920" s="46" t="n"/>
      <c r="K920" s="46" t="n"/>
      <c r="L920" s="46" t="n"/>
      <c r="M920" s="46">
        <f>N920-SUM(C920:L920)</f>
        <v/>
      </c>
      <c r="N920" s="47" t="n">
        <v>0</v>
      </c>
      <c r="O920" s="46" t="n"/>
      <c r="P920" s="46" t="n"/>
      <c r="Q920" s="46" t="n"/>
      <c r="R920" s="46" t="n"/>
      <c r="S920" s="46" t="n"/>
      <c r="T920" s="46" t="n"/>
      <c r="U920" s="46" t="n"/>
      <c r="V920" s="46" t="n"/>
      <c r="W920" s="46" t="n"/>
      <c r="X920" s="46" t="n"/>
      <c r="Y920" s="46" t="n"/>
    </row>
    <row r="921">
      <c r="A921" s="78" t="n">
        <v>46219</v>
      </c>
      <c r="B921" s="53" t="inlineStr">
        <is>
          <t>2026款探陆</t>
        </is>
      </c>
      <c r="C921" s="46" t="n"/>
      <c r="D921" s="46" t="n"/>
      <c r="E921" s="46" t="n"/>
      <c r="F921" s="46" t="n"/>
      <c r="G921" s="46" t="n"/>
      <c r="H921" s="46" t="n"/>
      <c r="I921" s="46" t="n"/>
      <c r="J921" s="46" t="n"/>
      <c r="K921" s="46" t="n"/>
      <c r="L921" s="46" t="n"/>
      <c r="M921" s="46">
        <f>N921-SUM(C921:L921)</f>
        <v/>
      </c>
      <c r="N921" s="47" t="n">
        <v>464</v>
      </c>
      <c r="O921" s="46" t="n">
        <v>8</v>
      </c>
      <c r="P921" s="46" t="n">
        <v>0</v>
      </c>
      <c r="Q921" s="46" t="n">
        <v>205</v>
      </c>
      <c r="R921" s="46" t="n">
        <v>158</v>
      </c>
      <c r="S921" s="46" t="n">
        <v>30</v>
      </c>
      <c r="T921" s="46" t="n">
        <v>3</v>
      </c>
      <c r="U921" s="46" t="n">
        <v>16</v>
      </c>
      <c r="V921" s="46" t="n"/>
      <c r="W921" s="46" t="n">
        <v>1</v>
      </c>
      <c r="X921" s="46" t="n">
        <v>42</v>
      </c>
      <c r="Y921" s="46" t="n">
        <v>1</v>
      </c>
    </row>
    <row r="922">
      <c r="A922" s="78" t="n">
        <v>46220</v>
      </c>
      <c r="B922" s="53" t="inlineStr">
        <is>
          <t>2026款探陆</t>
        </is>
      </c>
      <c r="C922" s="46" t="n"/>
      <c r="D922" s="46" t="n"/>
      <c r="E922" s="46" t="n"/>
      <c r="F922" s="46" t="n"/>
      <c r="G922" s="46" t="n"/>
      <c r="H922" s="46" t="n"/>
      <c r="I922" s="46" t="n"/>
      <c r="J922" s="46" t="n"/>
      <c r="K922" s="46" t="n"/>
      <c r="L922" s="46" t="n"/>
      <c r="M922" s="46">
        <f>N922-SUM(C922:L922)</f>
        <v/>
      </c>
      <c r="N922" s="47" t="n">
        <v>465</v>
      </c>
      <c r="O922" s="46" t="n">
        <v>8</v>
      </c>
      <c r="P922" s="46" t="n">
        <v>0</v>
      </c>
      <c r="Q922" s="46" t="n">
        <v>205</v>
      </c>
      <c r="R922" s="46" t="n">
        <v>158</v>
      </c>
      <c r="S922" s="46" t="n">
        <v>30</v>
      </c>
      <c r="T922" s="46" t="n">
        <v>4</v>
      </c>
      <c r="U922" s="46" t="n">
        <v>16</v>
      </c>
      <c r="V922" s="46" t="n"/>
      <c r="W922" s="46" t="n">
        <v>1</v>
      </c>
      <c r="X922" s="46" t="n">
        <v>42</v>
      </c>
      <c r="Y922" s="46" t="n">
        <v>1</v>
      </c>
    </row>
    <row r="923">
      <c r="A923" s="78" t="n">
        <v>46221</v>
      </c>
      <c r="B923" s="53" t="inlineStr">
        <is>
          <t>2026款探陆</t>
        </is>
      </c>
      <c r="C923" s="46" t="n"/>
      <c r="D923" s="46" t="n"/>
      <c r="E923" s="46" t="n"/>
      <c r="F923" s="46" t="n"/>
      <c r="G923" s="46" t="n"/>
      <c r="H923" s="46" t="n"/>
      <c r="I923" s="46" t="n"/>
      <c r="J923" s="46" t="n"/>
      <c r="K923" s="46" t="n"/>
      <c r="L923" s="46" t="n"/>
      <c r="M923" s="46">
        <f>N923-SUM(C923:L923)</f>
        <v/>
      </c>
      <c r="N923" s="47" t="n">
        <v>536</v>
      </c>
      <c r="O923" s="46" t="n">
        <v>9</v>
      </c>
      <c r="P923" s="46" t="n">
        <v>0</v>
      </c>
      <c r="Q923" s="46" t="n">
        <v>235</v>
      </c>
      <c r="R923" s="46" t="n">
        <v>182</v>
      </c>
      <c r="S923" s="46" t="n">
        <v>35</v>
      </c>
      <c r="T923" s="46" t="n">
        <v>4</v>
      </c>
      <c r="U923" s="46" t="n">
        <v>19</v>
      </c>
      <c r="V923" s="46" t="n"/>
      <c r="W923" s="46" t="n">
        <v>1</v>
      </c>
      <c r="X923" s="46" t="n">
        <v>49</v>
      </c>
      <c r="Y923" s="46" t="n">
        <v>2</v>
      </c>
    </row>
    <row r="924">
      <c r="A924" s="78" t="n">
        <v>46222</v>
      </c>
      <c r="B924" s="53" t="inlineStr">
        <is>
          <t>2026款探陆</t>
        </is>
      </c>
      <c r="C924" s="46" t="n"/>
      <c r="D924" s="46" t="n"/>
      <c r="E924" s="46" t="n"/>
      <c r="F924" s="46" t="n"/>
      <c r="G924" s="46" t="n"/>
      <c r="H924" s="46" t="n"/>
      <c r="I924" s="46" t="n"/>
      <c r="J924" s="46" t="n"/>
      <c r="K924" s="46" t="n"/>
      <c r="L924" s="46" t="n"/>
      <c r="M924" s="46">
        <f>N924-SUM(C924:L924)</f>
        <v/>
      </c>
      <c r="N924" s="47" t="n">
        <v>537</v>
      </c>
      <c r="O924" s="46" t="n">
        <v>9</v>
      </c>
      <c r="P924" s="46" t="n">
        <v>0</v>
      </c>
      <c r="Q924" s="46" t="n">
        <v>236</v>
      </c>
      <c r="R924" s="46" t="n">
        <v>182</v>
      </c>
      <c r="S924" s="46" t="n">
        <v>35</v>
      </c>
      <c r="T924" s="46" t="n">
        <v>4</v>
      </c>
      <c r="U924" s="46" t="n">
        <v>19</v>
      </c>
      <c r="V924" s="46" t="n"/>
      <c r="W924" s="46" t="n">
        <v>1</v>
      </c>
      <c r="X924" s="46" t="n">
        <v>49</v>
      </c>
      <c r="Y924" s="46" t="n">
        <v>2</v>
      </c>
    </row>
    <row r="925">
      <c r="A925" s="78" t="n">
        <v>46223</v>
      </c>
      <c r="B925" s="53" t="inlineStr">
        <is>
          <t>2026款探陆</t>
        </is>
      </c>
      <c r="C925" s="46" t="n"/>
      <c r="D925" s="46" t="n"/>
      <c r="E925" s="46" t="n"/>
      <c r="F925" s="46" t="n"/>
      <c r="G925" s="46" t="n"/>
      <c r="H925" s="46" t="n"/>
      <c r="I925" s="46" t="n"/>
      <c r="J925" s="46" t="n"/>
      <c r="K925" s="46" t="n"/>
      <c r="L925" s="46" t="n"/>
      <c r="M925" s="46">
        <f>N925-SUM(C925:L925)</f>
        <v/>
      </c>
      <c r="N925" s="47" t="n">
        <v>466</v>
      </c>
      <c r="O925" s="46" t="n">
        <v>8</v>
      </c>
      <c r="P925" s="46" t="n">
        <v>0</v>
      </c>
      <c r="Q925" s="46" t="n">
        <v>206</v>
      </c>
      <c r="R925" s="46" t="n">
        <v>158</v>
      </c>
      <c r="S925" s="46" t="n">
        <v>30</v>
      </c>
      <c r="T925" s="46" t="n">
        <v>4</v>
      </c>
      <c r="U925" s="46" t="n">
        <v>16</v>
      </c>
      <c r="V925" s="46" t="n"/>
      <c r="W925" s="46" t="n">
        <v>1</v>
      </c>
      <c r="X925" s="46" t="n">
        <v>42</v>
      </c>
      <c r="Y925" s="46" t="n">
        <v>1</v>
      </c>
    </row>
    <row r="926">
      <c r="A926" s="78" t="n">
        <v>46224</v>
      </c>
      <c r="B926" s="53" t="inlineStr">
        <is>
          <t>2026款探陆</t>
        </is>
      </c>
      <c r="C926" s="46" t="n"/>
      <c r="D926" s="46" t="n"/>
      <c r="E926" s="46" t="n"/>
      <c r="F926" s="46" t="n"/>
      <c r="G926" s="46" t="n"/>
      <c r="H926" s="46" t="n"/>
      <c r="I926" s="46" t="n"/>
      <c r="J926" s="46" t="n"/>
      <c r="K926" s="46" t="n"/>
      <c r="L926" s="46" t="n"/>
      <c r="M926" s="46">
        <f>N926-SUM(C926:L926)</f>
        <v/>
      </c>
      <c r="N926" s="47" t="n">
        <v>467</v>
      </c>
      <c r="O926" s="46" t="n">
        <v>8</v>
      </c>
      <c r="P926" s="46" t="n">
        <v>1</v>
      </c>
      <c r="Q926" s="46" t="n">
        <v>206</v>
      </c>
      <c r="R926" s="46" t="n">
        <v>158</v>
      </c>
      <c r="S926" s="46" t="n">
        <v>30</v>
      </c>
      <c r="T926" s="46" t="n">
        <v>4</v>
      </c>
      <c r="U926" s="46" t="n">
        <v>16</v>
      </c>
      <c r="V926" s="46" t="n"/>
      <c r="W926" s="46" t="n">
        <v>1</v>
      </c>
      <c r="X926" s="46" t="n">
        <v>42</v>
      </c>
      <c r="Y926" s="46" t="n">
        <v>1</v>
      </c>
    </row>
    <row r="927">
      <c r="A927" s="78" t="n">
        <v>46225</v>
      </c>
      <c r="B927" s="53" t="inlineStr">
        <is>
          <t>2026款探陆</t>
        </is>
      </c>
      <c r="C927" s="46" t="n"/>
      <c r="D927" s="46" t="n"/>
      <c r="E927" s="46" t="n"/>
      <c r="F927" s="46" t="n"/>
      <c r="G927" s="46" t="n"/>
      <c r="H927" s="46" t="n"/>
      <c r="I927" s="46" t="n"/>
      <c r="J927" s="46" t="n"/>
      <c r="K927" s="46" t="n"/>
      <c r="L927" s="46" t="n"/>
      <c r="M927" s="46">
        <f>N927-SUM(C927:L927)</f>
        <v/>
      </c>
      <c r="N927" s="47" t="n">
        <v>467</v>
      </c>
      <c r="O927" s="46" t="n">
        <v>8</v>
      </c>
      <c r="P927" s="46" t="n">
        <v>1</v>
      </c>
      <c r="Q927" s="46" t="n">
        <v>206</v>
      </c>
      <c r="R927" s="46" t="n">
        <v>158</v>
      </c>
      <c r="S927" s="46" t="n">
        <v>30</v>
      </c>
      <c r="T927" s="46" t="n">
        <v>4</v>
      </c>
      <c r="U927" s="46" t="n">
        <v>16</v>
      </c>
      <c r="V927" s="46" t="n"/>
      <c r="W927" s="46" t="n">
        <v>1</v>
      </c>
      <c r="X927" s="46" t="n">
        <v>42</v>
      </c>
      <c r="Y927" s="46" t="n">
        <v>1</v>
      </c>
    </row>
    <row r="928">
      <c r="A928" s="78" t="n">
        <v>46226</v>
      </c>
      <c r="B928" s="53" t="inlineStr">
        <is>
          <t>2026款探陆</t>
        </is>
      </c>
      <c r="C928" s="46" t="n"/>
      <c r="D928" s="46" t="n"/>
      <c r="E928" s="46" t="n"/>
      <c r="F928" s="46" t="n"/>
      <c r="G928" s="46" t="n"/>
      <c r="H928" s="46" t="n"/>
      <c r="I928" s="46" t="n"/>
      <c r="J928" s="46" t="n"/>
      <c r="K928" s="46" t="n"/>
      <c r="L928" s="46" t="n"/>
      <c r="M928" s="46">
        <f>N928-SUM(C928:L928)</f>
        <v/>
      </c>
      <c r="N928" s="47" t="n">
        <v>467</v>
      </c>
      <c r="O928" s="46" t="n">
        <v>8</v>
      </c>
      <c r="P928" s="46" t="n">
        <v>1</v>
      </c>
      <c r="Q928" s="46" t="n">
        <v>206</v>
      </c>
      <c r="R928" s="46" t="n">
        <v>158</v>
      </c>
      <c r="S928" s="46" t="n">
        <v>30</v>
      </c>
      <c r="T928" s="46" t="n">
        <v>4</v>
      </c>
      <c r="U928" s="46" t="n">
        <v>16</v>
      </c>
      <c r="V928" s="46" t="n"/>
      <c r="W928" s="46" t="n">
        <v>1</v>
      </c>
      <c r="X928" s="46" t="n">
        <v>42</v>
      </c>
      <c r="Y928" s="46" t="n">
        <v>1</v>
      </c>
    </row>
    <row r="929">
      <c r="A929" s="78" t="n">
        <v>46227</v>
      </c>
      <c r="B929" s="53" t="inlineStr">
        <is>
          <t>2026款探陆</t>
        </is>
      </c>
      <c r="C929" s="46" t="n"/>
      <c r="D929" s="46" t="n"/>
      <c r="E929" s="46" t="n"/>
      <c r="F929" s="46" t="n"/>
      <c r="G929" s="46" t="n"/>
      <c r="H929" s="46" t="n"/>
      <c r="I929" s="46" t="n"/>
      <c r="J929" s="46" t="n"/>
      <c r="K929" s="46" t="n"/>
      <c r="L929" s="46" t="n"/>
      <c r="M929" s="46">
        <f>N929-SUM(C929:L929)</f>
        <v/>
      </c>
      <c r="N929" s="47" t="n">
        <v>467</v>
      </c>
      <c r="O929" s="46" t="n">
        <v>8</v>
      </c>
      <c r="P929" s="46" t="n">
        <v>1</v>
      </c>
      <c r="Q929" s="46" t="n">
        <v>206</v>
      </c>
      <c r="R929" s="46" t="n">
        <v>158</v>
      </c>
      <c r="S929" s="46" t="n">
        <v>30</v>
      </c>
      <c r="T929" s="46" t="n">
        <v>4</v>
      </c>
      <c r="U929" s="46" t="n">
        <v>16</v>
      </c>
      <c r="V929" s="46" t="n"/>
      <c r="W929" s="46" t="n">
        <v>1</v>
      </c>
      <c r="X929" s="46" t="n">
        <v>42</v>
      </c>
      <c r="Y929" s="46" t="n">
        <v>1</v>
      </c>
    </row>
    <row r="930">
      <c r="A930" s="78" t="n">
        <v>46228</v>
      </c>
      <c r="B930" s="53" t="inlineStr">
        <is>
          <t>2026款探陆</t>
        </is>
      </c>
      <c r="C930" s="46" t="n"/>
      <c r="D930" s="46" t="n"/>
      <c r="E930" s="46" t="n"/>
      <c r="F930" s="46" t="n"/>
      <c r="G930" s="46" t="n"/>
      <c r="H930" s="46" t="n"/>
      <c r="I930" s="46" t="n"/>
      <c r="J930" s="46" t="n"/>
      <c r="K930" s="46" t="n"/>
      <c r="L930" s="46" t="n"/>
      <c r="M930" s="46">
        <f>N930-SUM(C930:L930)</f>
        <v/>
      </c>
      <c r="N930" s="47" t="n">
        <v>538</v>
      </c>
      <c r="O930" s="46" t="n">
        <v>9</v>
      </c>
      <c r="P930" s="46" t="n">
        <v>1</v>
      </c>
      <c r="Q930" s="46" t="n">
        <v>236</v>
      </c>
      <c r="R930" s="46" t="n">
        <v>182</v>
      </c>
      <c r="S930" s="46" t="n">
        <v>35</v>
      </c>
      <c r="T930" s="46" t="n">
        <v>4</v>
      </c>
      <c r="U930" s="46" t="n">
        <v>19</v>
      </c>
      <c r="V930" s="46" t="n"/>
      <c r="W930" s="46" t="n">
        <v>1</v>
      </c>
      <c r="X930" s="46" t="n">
        <v>49</v>
      </c>
      <c r="Y930" s="46" t="n">
        <v>2</v>
      </c>
    </row>
    <row r="931">
      <c r="A931" s="78" t="n">
        <v>46229</v>
      </c>
      <c r="B931" s="53" t="inlineStr">
        <is>
          <t>2026款探陆</t>
        </is>
      </c>
      <c r="C931" s="46" t="n"/>
      <c r="D931" s="46" t="n"/>
      <c r="E931" s="46" t="n"/>
      <c r="F931" s="46" t="n"/>
      <c r="G931" s="46" t="n"/>
      <c r="H931" s="46" t="n"/>
      <c r="I931" s="46" t="n"/>
      <c r="J931" s="46" t="n"/>
      <c r="K931" s="46" t="n"/>
      <c r="L931" s="46" t="n"/>
      <c r="M931" s="46">
        <f>N931-SUM(C931:L931)</f>
        <v/>
      </c>
      <c r="N931" s="47" t="n">
        <v>538</v>
      </c>
      <c r="O931" s="46" t="n">
        <v>9</v>
      </c>
      <c r="P931" s="46" t="n">
        <v>1</v>
      </c>
      <c r="Q931" s="46" t="n">
        <v>236</v>
      </c>
      <c r="R931" s="46" t="n">
        <v>182</v>
      </c>
      <c r="S931" s="46" t="n">
        <v>35</v>
      </c>
      <c r="T931" s="46" t="n">
        <v>4</v>
      </c>
      <c r="U931" s="46" t="n">
        <v>19</v>
      </c>
      <c r="V931" s="46" t="n"/>
      <c r="W931" s="46" t="n">
        <v>1</v>
      </c>
      <c r="X931" s="46" t="n">
        <v>49</v>
      </c>
      <c r="Y931" s="46" t="n">
        <v>2</v>
      </c>
    </row>
    <row r="932">
      <c r="A932" s="78" t="n">
        <v>46230</v>
      </c>
      <c r="B932" s="53" t="inlineStr">
        <is>
          <t>2026款探陆</t>
        </is>
      </c>
      <c r="C932" s="46" t="n"/>
      <c r="D932" s="46" t="n"/>
      <c r="E932" s="46" t="n"/>
      <c r="F932" s="46" t="n"/>
      <c r="G932" s="46" t="n"/>
      <c r="H932" s="46" t="n"/>
      <c r="I932" s="46" t="n"/>
      <c r="J932" s="46" t="n"/>
      <c r="K932" s="46" t="n"/>
      <c r="L932" s="46" t="n"/>
      <c r="M932" s="46">
        <f>N932-SUM(C932:L932)</f>
        <v/>
      </c>
      <c r="N932" s="47" t="n">
        <v>467</v>
      </c>
      <c r="O932" s="46" t="n">
        <v>8</v>
      </c>
      <c r="P932" s="46" t="n">
        <v>1</v>
      </c>
      <c r="Q932" s="46" t="n">
        <v>206</v>
      </c>
      <c r="R932" s="46" t="n">
        <v>158</v>
      </c>
      <c r="S932" s="46" t="n">
        <v>30</v>
      </c>
      <c r="T932" s="46" t="n">
        <v>4</v>
      </c>
      <c r="U932" s="46" t="n">
        <v>16</v>
      </c>
      <c r="V932" s="46" t="n"/>
      <c r="W932" s="46" t="n">
        <v>1</v>
      </c>
      <c r="X932" s="46" t="n">
        <v>42</v>
      </c>
      <c r="Y932" s="46" t="n">
        <v>1</v>
      </c>
    </row>
    <row r="933">
      <c r="A933" s="78" t="n">
        <v>46231</v>
      </c>
      <c r="B933" s="53" t="inlineStr">
        <is>
          <t>2026款探陆</t>
        </is>
      </c>
      <c r="C933" s="46" t="n"/>
      <c r="D933" s="46" t="n"/>
      <c r="E933" s="46" t="n"/>
      <c r="F933" s="46" t="n"/>
      <c r="G933" s="46" t="n"/>
      <c r="H933" s="46" t="n"/>
      <c r="I933" s="46" t="n"/>
      <c r="J933" s="46" t="n"/>
      <c r="K933" s="46" t="n"/>
      <c r="L933" s="46" t="n"/>
      <c r="M933" s="46">
        <f>N933-SUM(C933:L933)</f>
        <v/>
      </c>
      <c r="N933" s="47" t="n">
        <v>468</v>
      </c>
      <c r="O933" s="46" t="n">
        <v>8</v>
      </c>
      <c r="P933" s="46" t="n">
        <v>1</v>
      </c>
      <c r="Q933" s="46" t="n">
        <v>206</v>
      </c>
      <c r="R933" s="46" t="n">
        <v>158</v>
      </c>
      <c r="S933" s="46" t="n">
        <v>30</v>
      </c>
      <c r="T933" s="46" t="n">
        <v>4</v>
      </c>
      <c r="U933" s="46" t="n">
        <v>16</v>
      </c>
      <c r="V933" s="46" t="n"/>
      <c r="W933" s="46" t="n">
        <v>1</v>
      </c>
      <c r="X933" s="46" t="n">
        <v>43</v>
      </c>
      <c r="Y933" s="46" t="n">
        <v>1</v>
      </c>
    </row>
    <row r="934">
      <c r="A934" s="78" t="n">
        <v>46232</v>
      </c>
      <c r="B934" s="53" t="inlineStr">
        <is>
          <t>2026款探陆</t>
        </is>
      </c>
      <c r="C934" s="46" t="n"/>
      <c r="D934" s="46" t="n"/>
      <c r="E934" s="46" t="n"/>
      <c r="F934" s="46" t="n"/>
      <c r="G934" s="46" t="n"/>
      <c r="H934" s="46" t="n"/>
      <c r="I934" s="46" t="n"/>
      <c r="J934" s="46" t="n"/>
      <c r="K934" s="46" t="n"/>
      <c r="L934" s="46" t="n"/>
      <c r="M934" s="46">
        <f>N934-SUM(C934:L934)</f>
        <v/>
      </c>
      <c r="N934" s="47" t="n">
        <v>468</v>
      </c>
      <c r="O934" s="46" t="n">
        <v>8</v>
      </c>
      <c r="P934" s="46" t="n">
        <v>1</v>
      </c>
      <c r="Q934" s="46" t="n">
        <v>206</v>
      </c>
      <c r="R934" s="46" t="n">
        <v>158</v>
      </c>
      <c r="S934" s="46" t="n">
        <v>30</v>
      </c>
      <c r="T934" s="46" t="n">
        <v>4</v>
      </c>
      <c r="U934" s="46" t="n">
        <v>16</v>
      </c>
      <c r="V934" s="46" t="n"/>
      <c r="W934" s="46" t="n">
        <v>1</v>
      </c>
      <c r="X934" s="46" t="n">
        <v>43</v>
      </c>
      <c r="Y934" s="46" t="n">
        <v>1</v>
      </c>
    </row>
    <row r="935">
      <c r="A935" s="78" t="n">
        <v>46233</v>
      </c>
      <c r="B935" s="53" t="inlineStr">
        <is>
          <t>2026款探陆</t>
        </is>
      </c>
      <c r="C935" s="46" t="n"/>
      <c r="D935" s="46" t="n"/>
      <c r="E935" s="46" t="n"/>
      <c r="F935" s="46" t="n"/>
      <c r="G935" s="46" t="n"/>
      <c r="H935" s="46" t="n"/>
      <c r="I935" s="46" t="n"/>
      <c r="J935" s="46" t="n"/>
      <c r="K935" s="46" t="n"/>
      <c r="L935" s="46" t="n"/>
      <c r="M935" s="46">
        <f>N935-SUM(C935:L935)</f>
        <v/>
      </c>
      <c r="N935" s="47" t="n">
        <v>471</v>
      </c>
      <c r="O935" s="46" t="n">
        <v>8</v>
      </c>
      <c r="P935" s="46" t="n">
        <v>1</v>
      </c>
      <c r="Q935" s="46" t="n">
        <v>206</v>
      </c>
      <c r="R935" s="46" t="n">
        <v>158</v>
      </c>
      <c r="S935" s="46" t="n">
        <v>30</v>
      </c>
      <c r="T935" s="46" t="n">
        <v>4</v>
      </c>
      <c r="U935" s="46" t="n">
        <v>17</v>
      </c>
      <c r="V935" s="46" t="n"/>
      <c r="W935" s="46" t="n">
        <v>2</v>
      </c>
      <c r="X935" s="46" t="n">
        <v>43</v>
      </c>
      <c r="Y935" s="46" t="n">
        <v>2</v>
      </c>
    </row>
    <row r="936">
      <c r="A936" s="78" t="n">
        <v>46234</v>
      </c>
      <c r="B936" s="53" t="inlineStr">
        <is>
          <t>2026款探陆</t>
        </is>
      </c>
      <c r="C936" s="46" t="n"/>
      <c r="D936" s="46" t="n"/>
      <c r="E936" s="46" t="n"/>
      <c r="F936" s="46" t="n"/>
      <c r="G936" s="46" t="n"/>
      <c r="H936" s="46" t="n"/>
      <c r="I936" s="46" t="n"/>
      <c r="J936" s="46" t="n"/>
      <c r="K936" s="46" t="n"/>
      <c r="L936" s="46" t="n"/>
      <c r="M936" s="46">
        <f>N936-SUM(C936:L936)</f>
        <v/>
      </c>
      <c r="N936" s="47" t="n">
        <v>473</v>
      </c>
      <c r="O936" s="46" t="n">
        <v>9</v>
      </c>
      <c r="P936" s="46" t="n">
        <v>1</v>
      </c>
      <c r="Q936" s="46" t="n">
        <v>206</v>
      </c>
      <c r="R936" s="46" t="n">
        <v>159</v>
      </c>
      <c r="S936" s="46" t="n">
        <v>30</v>
      </c>
      <c r="T936" s="46" t="n">
        <v>4</v>
      </c>
      <c r="U936" s="46" t="n">
        <v>17</v>
      </c>
      <c r="V936" s="46" t="n"/>
      <c r="W936" s="46" t="n">
        <v>2</v>
      </c>
      <c r="X936" s="46" t="n">
        <v>43</v>
      </c>
      <c r="Y936" s="46" t="n">
        <v>2</v>
      </c>
    </row>
    <row r="937">
      <c r="A937" s="78" t="n">
        <v>46235</v>
      </c>
      <c r="B937" s="53" t="inlineStr">
        <is>
          <t>2026款探陆</t>
        </is>
      </c>
      <c r="C937" s="46" t="n"/>
      <c r="D937" s="46" t="n"/>
      <c r="E937" s="46" t="n"/>
      <c r="F937" s="46" t="n"/>
      <c r="G937" s="46" t="n"/>
      <c r="H937" s="46" t="n"/>
      <c r="I937" s="46" t="n"/>
      <c r="J937" s="46" t="n"/>
      <c r="K937" s="46" t="n"/>
      <c r="L937" s="46" t="n"/>
      <c r="M937" s="46">
        <f>N937-SUM(C937:L937)</f>
        <v/>
      </c>
      <c r="N937" s="47" t="n"/>
      <c r="O937" s="46" t="n"/>
      <c r="P937" s="46" t="n"/>
      <c r="Q937" s="46" t="n"/>
      <c r="R937" s="46" t="n"/>
      <c r="S937" s="46" t="n"/>
      <c r="T937" s="46" t="n"/>
      <c r="U937" s="46" t="n"/>
      <c r="V937" s="46" t="n"/>
      <c r="W937" s="46" t="n"/>
      <c r="X937" s="46" t="n"/>
      <c r="Y937" s="46" t="n"/>
    </row>
    <row r="938">
      <c r="A938" s="78" t="n">
        <v>46236</v>
      </c>
      <c r="B938" s="53" t="inlineStr">
        <is>
          <t>2026款探陆</t>
        </is>
      </c>
      <c r="C938" s="46" t="n"/>
      <c r="D938" s="46" t="n"/>
      <c r="E938" s="46" t="n"/>
      <c r="F938" s="46" t="n"/>
      <c r="G938" s="46" t="n"/>
      <c r="H938" s="46" t="n"/>
      <c r="I938" s="46" t="n"/>
      <c r="J938" s="46" t="n"/>
      <c r="K938" s="46" t="n"/>
      <c r="L938" s="46" t="n"/>
      <c r="M938" s="46">
        <f>N938-SUM(C938:L938)</f>
        <v/>
      </c>
      <c r="N938" s="47" t="n"/>
      <c r="O938" s="46" t="n"/>
      <c r="P938" s="46" t="n"/>
      <c r="Q938" s="46" t="n"/>
      <c r="R938" s="46" t="n"/>
      <c r="S938" s="46" t="n"/>
      <c r="T938" s="46" t="n"/>
      <c r="U938" s="46" t="n"/>
      <c r="V938" s="46" t="n"/>
      <c r="W938" s="46" t="n"/>
      <c r="X938" s="46" t="n"/>
      <c r="Y938" s="46" t="n"/>
    </row>
    <row r="939">
      <c r="A939" s="78" t="n">
        <v>46237</v>
      </c>
      <c r="B939" s="53" t="inlineStr">
        <is>
          <t>2026款探陆</t>
        </is>
      </c>
      <c r="C939" s="46" t="n"/>
      <c r="D939" s="46" t="n"/>
      <c r="E939" s="46" t="n"/>
      <c r="F939" s="46" t="n"/>
      <c r="G939" s="46" t="n"/>
      <c r="H939" s="46" t="n"/>
      <c r="I939" s="46" t="n"/>
      <c r="J939" s="46" t="n"/>
      <c r="K939" s="46" t="n"/>
      <c r="L939" s="46" t="n"/>
      <c r="M939" s="46">
        <f>N939-SUM(C939:L939)</f>
        <v/>
      </c>
      <c r="N939" s="47" t="n"/>
      <c r="O939" s="46" t="n"/>
      <c r="P939" s="46" t="n"/>
      <c r="Q939" s="46" t="n"/>
      <c r="R939" s="46" t="n"/>
      <c r="S939" s="46" t="n"/>
      <c r="T939" s="46" t="n"/>
      <c r="U939" s="46" t="n"/>
      <c r="V939" s="46" t="n"/>
      <c r="W939" s="46" t="n"/>
      <c r="X939" s="46" t="n"/>
      <c r="Y939" s="46" t="n"/>
    </row>
    <row r="940">
      <c r="A940" s="78" t="n">
        <v>46238</v>
      </c>
      <c r="B940" s="53" t="inlineStr">
        <is>
          <t>2026款探陆</t>
        </is>
      </c>
      <c r="C940" s="46" t="n"/>
      <c r="D940" s="46" t="n"/>
      <c r="E940" s="46" t="n"/>
      <c r="F940" s="46" t="n"/>
      <c r="G940" s="46" t="n"/>
      <c r="H940" s="46" t="n"/>
      <c r="I940" s="46" t="n"/>
      <c r="J940" s="46" t="n"/>
      <c r="K940" s="46" t="n"/>
      <c r="L940" s="46" t="n"/>
      <c r="M940" s="46">
        <f>N940-SUM(C940:L940)</f>
        <v/>
      </c>
      <c r="N940" s="47" t="n"/>
      <c r="O940" s="46" t="n"/>
      <c r="P940" s="46" t="n"/>
      <c r="Q940" s="46" t="n"/>
      <c r="R940" s="46" t="n"/>
      <c r="S940" s="46" t="n"/>
      <c r="T940" s="46" t="n"/>
      <c r="U940" s="46" t="n"/>
      <c r="V940" s="46" t="n"/>
      <c r="W940" s="46" t="n"/>
      <c r="X940" s="46" t="n"/>
      <c r="Y940" s="46" t="n"/>
    </row>
    <row r="941">
      <c r="A941" s="78" t="n">
        <v>46239</v>
      </c>
      <c r="B941" s="53" t="inlineStr">
        <is>
          <t>2026款探陆</t>
        </is>
      </c>
      <c r="C941" s="46" t="n"/>
      <c r="D941" s="46" t="n"/>
      <c r="E941" s="46" t="n"/>
      <c r="F941" s="46" t="n"/>
      <c r="G941" s="46" t="n"/>
      <c r="H941" s="46" t="n"/>
      <c r="I941" s="46" t="n"/>
      <c r="J941" s="46" t="n"/>
      <c r="K941" s="46" t="n"/>
      <c r="L941" s="46" t="n"/>
      <c r="M941" s="46">
        <f>N941-SUM(C941:L941)</f>
        <v/>
      </c>
      <c r="N941" s="47" t="n"/>
      <c r="O941" s="46" t="n"/>
      <c r="P941" s="46" t="n"/>
      <c r="Q941" s="46" t="n"/>
      <c r="R941" s="46" t="n"/>
      <c r="S941" s="46" t="n"/>
      <c r="T941" s="46" t="n"/>
      <c r="U941" s="46" t="n"/>
      <c r="V941" s="46" t="n"/>
      <c r="W941" s="46" t="n"/>
      <c r="X941" s="46" t="n"/>
      <c r="Y941" s="46" t="n"/>
    </row>
    <row r="942">
      <c r="A942" s="78" t="n">
        <v>46240</v>
      </c>
      <c r="B942" s="53" t="inlineStr">
        <is>
          <t>2026款探陆</t>
        </is>
      </c>
      <c r="C942" s="46" t="n"/>
      <c r="D942" s="46" t="n"/>
      <c r="E942" s="46" t="n"/>
      <c r="F942" s="46" t="n"/>
      <c r="G942" s="46" t="n"/>
      <c r="H942" s="46" t="n"/>
      <c r="I942" s="46" t="n"/>
      <c r="J942" s="46" t="n"/>
      <c r="K942" s="46" t="n"/>
      <c r="L942" s="46" t="n"/>
      <c r="M942" s="46">
        <f>N942-SUM(C942:L942)</f>
        <v/>
      </c>
      <c r="N942" s="47" t="n"/>
      <c r="O942" s="46" t="n"/>
      <c r="P942" s="46" t="n"/>
      <c r="Q942" s="46" t="n"/>
      <c r="R942" s="46" t="n"/>
      <c r="S942" s="46" t="n"/>
      <c r="T942" s="46" t="n"/>
      <c r="U942" s="46" t="n"/>
      <c r="V942" s="46" t="n"/>
      <c r="W942" s="46" t="n"/>
      <c r="X942" s="46" t="n"/>
      <c r="Y942" s="46" t="n"/>
    </row>
    <row r="943">
      <c r="A943" s="78" t="n">
        <v>46241</v>
      </c>
      <c r="B943" s="53" t="inlineStr">
        <is>
          <t>2026款探陆</t>
        </is>
      </c>
      <c r="C943" s="46" t="n"/>
      <c r="D943" s="46" t="n"/>
      <c r="E943" s="46" t="n"/>
      <c r="F943" s="46" t="n"/>
      <c r="G943" s="46" t="n"/>
      <c r="H943" s="46" t="n"/>
      <c r="I943" s="46" t="n"/>
      <c r="J943" s="46" t="n"/>
      <c r="K943" s="46" t="n"/>
      <c r="L943" s="46" t="n"/>
      <c r="M943" s="46">
        <f>N943-SUM(C943:L943)</f>
        <v/>
      </c>
      <c r="N943" s="47" t="n"/>
      <c r="O943" s="46" t="n"/>
      <c r="P943" s="46" t="n"/>
      <c r="Q943" s="46" t="n"/>
      <c r="R943" s="46" t="n"/>
      <c r="S943" s="46" t="n"/>
      <c r="T943" s="46" t="n"/>
      <c r="U943" s="46" t="n"/>
      <c r="V943" s="46" t="n"/>
      <c r="W943" s="46" t="n"/>
      <c r="X943" s="46" t="n"/>
      <c r="Y943" s="46" t="n"/>
    </row>
    <row r="944">
      <c r="A944" s="78" t="n">
        <v>46242</v>
      </c>
      <c r="B944" s="53" t="inlineStr">
        <is>
          <t>2026款探陆</t>
        </is>
      </c>
      <c r="C944" s="46" t="n"/>
      <c r="D944" s="46" t="n"/>
      <c r="E944" s="46" t="n"/>
      <c r="F944" s="46" t="n"/>
      <c r="G944" s="46" t="n"/>
      <c r="H944" s="46" t="n"/>
      <c r="I944" s="46" t="n"/>
      <c r="J944" s="46" t="n"/>
      <c r="K944" s="46" t="n"/>
      <c r="L944" s="46" t="n"/>
      <c r="M944" s="46">
        <f>N944-SUM(C944:L944)</f>
        <v/>
      </c>
      <c r="N944" s="47" t="n"/>
      <c r="O944" s="46" t="n"/>
      <c r="P944" s="46" t="n"/>
      <c r="Q944" s="46" t="n"/>
      <c r="R944" s="46" t="n"/>
      <c r="S944" s="46" t="n"/>
      <c r="T944" s="46" t="n"/>
      <c r="U944" s="46" t="n"/>
      <c r="V944" s="46" t="n"/>
      <c r="W944" s="46" t="n"/>
      <c r="X944" s="46" t="n"/>
      <c r="Y944" s="46" t="n"/>
    </row>
    <row r="945">
      <c r="A945" s="78" t="n">
        <v>46243</v>
      </c>
      <c r="B945" s="53" t="inlineStr">
        <is>
          <t>2026款探陆</t>
        </is>
      </c>
      <c r="C945" s="46" t="n"/>
      <c r="D945" s="46" t="n"/>
      <c r="E945" s="46" t="n"/>
      <c r="F945" s="46" t="n"/>
      <c r="G945" s="46" t="n"/>
      <c r="H945" s="46" t="n"/>
      <c r="I945" s="46" t="n"/>
      <c r="J945" s="46" t="n"/>
      <c r="K945" s="46" t="n"/>
      <c r="L945" s="46" t="n"/>
      <c r="M945" s="46">
        <f>N945-SUM(C945:L945)</f>
        <v/>
      </c>
      <c r="N945" s="47" t="n"/>
      <c r="O945" s="46" t="n"/>
      <c r="P945" s="46" t="n"/>
      <c r="Q945" s="46" t="n"/>
      <c r="R945" s="46" t="n"/>
      <c r="S945" s="46" t="n"/>
      <c r="T945" s="46" t="n"/>
      <c r="U945" s="46" t="n"/>
      <c r="V945" s="46" t="n"/>
      <c r="W945" s="46" t="n"/>
      <c r="X945" s="46" t="n"/>
      <c r="Y945" s="46" t="n"/>
    </row>
    <row r="946">
      <c r="A946" s="78" t="n">
        <v>46244</v>
      </c>
      <c r="B946" s="53" t="inlineStr">
        <is>
          <t>2026款探陆</t>
        </is>
      </c>
      <c r="C946" s="46" t="n"/>
      <c r="D946" s="46" t="n"/>
      <c r="E946" s="46" t="n"/>
      <c r="F946" s="46" t="n"/>
      <c r="G946" s="46" t="n"/>
      <c r="H946" s="46" t="n"/>
      <c r="I946" s="46" t="n"/>
      <c r="J946" s="46" t="n"/>
      <c r="K946" s="46" t="n"/>
      <c r="L946" s="46" t="n"/>
      <c r="M946" s="46">
        <f>N946-SUM(C946:L946)</f>
        <v/>
      </c>
      <c r="N946" s="47" t="n"/>
      <c r="O946" s="46" t="n"/>
      <c r="P946" s="46" t="n"/>
      <c r="Q946" s="46" t="n"/>
      <c r="R946" s="46" t="n"/>
      <c r="S946" s="46" t="n"/>
      <c r="T946" s="46" t="n"/>
      <c r="U946" s="46" t="n"/>
      <c r="V946" s="46" t="n"/>
      <c r="W946" s="46" t="n"/>
      <c r="X946" s="46" t="n"/>
      <c r="Y946" s="46" t="n"/>
    </row>
    <row r="947">
      <c r="A947" s="78" t="n">
        <v>46245</v>
      </c>
      <c r="B947" s="53" t="inlineStr">
        <is>
          <t>2026款探陆</t>
        </is>
      </c>
      <c r="C947" s="46" t="n"/>
      <c r="D947" s="46" t="n"/>
      <c r="E947" s="46" t="n"/>
      <c r="F947" s="46" t="n"/>
      <c r="G947" s="46" t="n"/>
      <c r="H947" s="46" t="n"/>
      <c r="I947" s="46" t="n"/>
      <c r="J947" s="46" t="n"/>
      <c r="K947" s="46" t="n"/>
      <c r="L947" s="46" t="n"/>
      <c r="M947" s="46">
        <f>N947-SUM(C947:L947)</f>
        <v/>
      </c>
      <c r="N947" s="47" t="n"/>
      <c r="O947" s="46" t="n"/>
      <c r="P947" s="46" t="n"/>
      <c r="Q947" s="46" t="n"/>
      <c r="R947" s="46" t="n"/>
      <c r="S947" s="46" t="n"/>
      <c r="T947" s="46" t="n"/>
      <c r="U947" s="46" t="n"/>
      <c r="V947" s="46" t="n"/>
      <c r="W947" s="46" t="n"/>
      <c r="X947" s="46" t="n"/>
      <c r="Y947" s="46" t="n"/>
    </row>
    <row r="948">
      <c r="A948" s="78" t="n">
        <v>46246</v>
      </c>
      <c r="B948" s="53" t="inlineStr">
        <is>
          <t>2026款探陆</t>
        </is>
      </c>
      <c r="C948" s="46" t="n"/>
      <c r="D948" s="46" t="n"/>
      <c r="E948" s="46" t="n"/>
      <c r="F948" s="46" t="n"/>
      <c r="G948" s="46" t="n"/>
      <c r="H948" s="46" t="n"/>
      <c r="I948" s="46" t="n"/>
      <c r="J948" s="46" t="n"/>
      <c r="K948" s="46" t="n"/>
      <c r="L948" s="46" t="n"/>
      <c r="M948" s="46">
        <f>N948-SUM(C948:L948)</f>
        <v/>
      </c>
      <c r="N948" s="47" t="n"/>
      <c r="O948" s="46" t="n"/>
      <c r="P948" s="46" t="n"/>
      <c r="Q948" s="46" t="n"/>
      <c r="R948" s="46" t="n"/>
      <c r="S948" s="46" t="n"/>
      <c r="T948" s="46" t="n"/>
      <c r="U948" s="46" t="n"/>
      <c r="V948" s="46" t="n"/>
      <c r="W948" s="46" t="n"/>
      <c r="X948" s="46" t="n"/>
      <c r="Y948" s="46" t="n"/>
    </row>
    <row r="949">
      <c r="A949" s="78" t="n">
        <v>46247</v>
      </c>
      <c r="B949" s="53" t="inlineStr">
        <is>
          <t>2026款探陆</t>
        </is>
      </c>
      <c r="C949" s="46" t="n"/>
      <c r="D949" s="46" t="n"/>
      <c r="E949" s="46" t="n"/>
      <c r="F949" s="46" t="n"/>
      <c r="G949" s="46" t="n"/>
      <c r="H949" s="46" t="n"/>
      <c r="I949" s="46" t="n"/>
      <c r="J949" s="46" t="n"/>
      <c r="K949" s="46" t="n"/>
      <c r="L949" s="46" t="n"/>
      <c r="M949" s="46">
        <f>N949-SUM(C949:L949)</f>
        <v/>
      </c>
      <c r="N949" s="47" t="n"/>
      <c r="O949" s="46" t="n"/>
      <c r="P949" s="46" t="n"/>
      <c r="Q949" s="46" t="n"/>
      <c r="R949" s="46" t="n"/>
      <c r="S949" s="46" t="n"/>
      <c r="T949" s="46" t="n"/>
      <c r="U949" s="46" t="n"/>
      <c r="V949" s="46" t="n"/>
      <c r="W949" s="46" t="n"/>
      <c r="X949" s="46" t="n"/>
      <c r="Y949" s="46" t="n"/>
    </row>
    <row r="950">
      <c r="A950" s="78" t="n">
        <v>46248</v>
      </c>
      <c r="B950" s="53" t="inlineStr">
        <is>
          <t>2026款探陆</t>
        </is>
      </c>
      <c r="C950" s="46" t="n"/>
      <c r="D950" s="46" t="n"/>
      <c r="E950" s="46" t="n"/>
      <c r="F950" s="46" t="n"/>
      <c r="G950" s="46" t="n"/>
      <c r="H950" s="46" t="n"/>
      <c r="I950" s="46" t="n"/>
      <c r="J950" s="46" t="n"/>
      <c r="K950" s="46" t="n"/>
      <c r="L950" s="46" t="n"/>
      <c r="M950" s="46">
        <f>N950-SUM(C950:L950)</f>
        <v/>
      </c>
      <c r="N950" s="47" t="n"/>
      <c r="O950" s="46" t="n"/>
      <c r="P950" s="46" t="n"/>
      <c r="Q950" s="46" t="n"/>
      <c r="R950" s="46" t="n"/>
      <c r="S950" s="46" t="n"/>
      <c r="T950" s="46" t="n"/>
      <c r="U950" s="46" t="n"/>
      <c r="V950" s="46" t="n"/>
      <c r="W950" s="46" t="n"/>
      <c r="X950" s="46" t="n"/>
      <c r="Y950" s="46" t="n"/>
    </row>
    <row r="951">
      <c r="A951" s="78" t="n">
        <v>46249</v>
      </c>
      <c r="B951" s="53" t="inlineStr">
        <is>
          <t>2026款探陆</t>
        </is>
      </c>
      <c r="C951" s="46" t="n"/>
      <c r="D951" s="46" t="n"/>
      <c r="E951" s="46" t="n"/>
      <c r="F951" s="46" t="n"/>
      <c r="G951" s="46" t="n"/>
      <c r="H951" s="46" t="n"/>
      <c r="I951" s="46" t="n"/>
      <c r="J951" s="46" t="n"/>
      <c r="K951" s="46" t="n"/>
      <c r="L951" s="46" t="n"/>
      <c r="M951" s="46">
        <f>N951-SUM(C951:L951)</f>
        <v/>
      </c>
      <c r="N951" s="47" t="n"/>
      <c r="O951" s="46" t="n"/>
      <c r="P951" s="46" t="n"/>
      <c r="Q951" s="46" t="n"/>
      <c r="R951" s="46" t="n"/>
      <c r="S951" s="46" t="n"/>
      <c r="T951" s="46" t="n"/>
      <c r="U951" s="46" t="n"/>
      <c r="V951" s="46" t="n"/>
      <c r="W951" s="46" t="n"/>
      <c r="X951" s="46" t="n"/>
      <c r="Y951" s="46" t="n"/>
    </row>
    <row r="952">
      <c r="A952" s="78" t="n">
        <v>46250</v>
      </c>
      <c r="B952" s="53" t="inlineStr">
        <is>
          <t>2026款探陆</t>
        </is>
      </c>
      <c r="C952" s="46" t="n"/>
      <c r="D952" s="46" t="n"/>
      <c r="E952" s="46" t="n"/>
      <c r="F952" s="46" t="n"/>
      <c r="G952" s="46" t="n"/>
      <c r="H952" s="46" t="n"/>
      <c r="I952" s="46" t="n"/>
      <c r="J952" s="46" t="n"/>
      <c r="K952" s="46" t="n"/>
      <c r="L952" s="46" t="n"/>
      <c r="M952" s="46">
        <f>N952-SUM(C952:L952)</f>
        <v/>
      </c>
      <c r="N952" s="47" t="n"/>
      <c r="O952" s="46" t="n"/>
      <c r="P952" s="46" t="n"/>
      <c r="Q952" s="46" t="n"/>
      <c r="R952" s="46" t="n"/>
      <c r="S952" s="46" t="n"/>
      <c r="T952" s="46" t="n"/>
      <c r="U952" s="46" t="n"/>
      <c r="V952" s="46" t="n"/>
      <c r="W952" s="46" t="n"/>
      <c r="X952" s="46" t="n"/>
      <c r="Y952" s="46" t="n"/>
    </row>
    <row r="953">
      <c r="A953" s="78" t="n">
        <v>46251</v>
      </c>
      <c r="B953" s="53" t="inlineStr">
        <is>
          <t>2026款探陆</t>
        </is>
      </c>
      <c r="C953" s="46" t="n"/>
      <c r="D953" s="46" t="n"/>
      <c r="E953" s="46" t="n"/>
      <c r="F953" s="46" t="n"/>
      <c r="G953" s="46" t="n"/>
      <c r="H953" s="46" t="n"/>
      <c r="I953" s="46" t="n"/>
      <c r="J953" s="46" t="n"/>
      <c r="K953" s="46" t="n"/>
      <c r="L953" s="46" t="n"/>
      <c r="M953" s="46">
        <f>N953-SUM(C953:L953)</f>
        <v/>
      </c>
      <c r="N953" s="47" t="n"/>
      <c r="O953" s="46" t="n"/>
      <c r="P953" s="46" t="n"/>
      <c r="Q953" s="46" t="n"/>
      <c r="R953" s="46" t="n"/>
      <c r="S953" s="46" t="n"/>
      <c r="T953" s="46" t="n"/>
      <c r="U953" s="46" t="n"/>
      <c r="V953" s="46" t="n"/>
      <c r="W953" s="46" t="n"/>
      <c r="X953" s="46" t="n"/>
      <c r="Y953" s="46" t="n"/>
    </row>
    <row r="954">
      <c r="A954" s="78" t="n">
        <v>46252</v>
      </c>
      <c r="B954" s="53" t="inlineStr">
        <is>
          <t>2026款探陆</t>
        </is>
      </c>
      <c r="C954" s="46" t="n"/>
      <c r="D954" s="46" t="n"/>
      <c r="E954" s="46" t="n"/>
      <c r="F954" s="46" t="n"/>
      <c r="G954" s="46" t="n"/>
      <c r="H954" s="46" t="n"/>
      <c r="I954" s="46" t="n"/>
      <c r="J954" s="46" t="n"/>
      <c r="K954" s="46" t="n"/>
      <c r="L954" s="46" t="n"/>
      <c r="M954" s="46">
        <f>N954-SUM(C954:L954)</f>
        <v/>
      </c>
      <c r="N954" s="47" t="n"/>
      <c r="O954" s="46" t="n"/>
      <c r="P954" s="46" t="n"/>
      <c r="Q954" s="46" t="n"/>
      <c r="R954" s="46" t="n"/>
      <c r="S954" s="46" t="n"/>
      <c r="T954" s="46" t="n"/>
      <c r="U954" s="46" t="n"/>
      <c r="V954" s="46" t="n"/>
      <c r="W954" s="46" t="n"/>
      <c r="X954" s="46" t="n"/>
      <c r="Y954" s="46" t="n"/>
    </row>
    <row r="955">
      <c r="A955" s="78" t="n">
        <v>46253</v>
      </c>
      <c r="B955" s="53" t="inlineStr">
        <is>
          <t>2026款探陆</t>
        </is>
      </c>
      <c r="C955" s="46" t="n"/>
      <c r="D955" s="46" t="n"/>
      <c r="E955" s="46" t="n"/>
      <c r="F955" s="46" t="n"/>
      <c r="G955" s="46" t="n"/>
      <c r="H955" s="46" t="n"/>
      <c r="I955" s="46" t="n"/>
      <c r="J955" s="46" t="n"/>
      <c r="K955" s="46" t="n"/>
      <c r="L955" s="46" t="n"/>
      <c r="M955" s="46">
        <f>N955-SUM(C955:L955)</f>
        <v/>
      </c>
      <c r="N955" s="47" t="n"/>
      <c r="O955" s="46" t="n"/>
      <c r="P955" s="46" t="n"/>
      <c r="Q955" s="46" t="n"/>
      <c r="R955" s="46" t="n"/>
      <c r="S955" s="46" t="n"/>
      <c r="T955" s="46" t="n"/>
      <c r="U955" s="46" t="n"/>
      <c r="V955" s="46" t="n"/>
      <c r="W955" s="46" t="n"/>
      <c r="X955" s="46" t="n"/>
      <c r="Y955" s="46" t="n"/>
    </row>
    <row r="956">
      <c r="A956" s="78" t="n">
        <v>46254</v>
      </c>
      <c r="B956" s="53" t="inlineStr">
        <is>
          <t>2026款探陆</t>
        </is>
      </c>
      <c r="C956" s="46" t="n"/>
      <c r="D956" s="46" t="n"/>
      <c r="E956" s="46" t="n"/>
      <c r="F956" s="46" t="n"/>
      <c r="G956" s="46" t="n"/>
      <c r="H956" s="46" t="n"/>
      <c r="I956" s="46" t="n"/>
      <c r="J956" s="46" t="n"/>
      <c r="K956" s="46" t="n"/>
      <c r="L956" s="46" t="n"/>
      <c r="M956" s="46">
        <f>N956-SUM(C956:L956)</f>
        <v/>
      </c>
      <c r="N956" s="47" t="n"/>
      <c r="O956" s="46" t="n"/>
      <c r="P956" s="46" t="n"/>
      <c r="Q956" s="46" t="n"/>
      <c r="R956" s="46" t="n"/>
      <c r="S956" s="46" t="n"/>
      <c r="T956" s="46" t="n"/>
      <c r="U956" s="46" t="n"/>
      <c r="V956" s="46" t="n"/>
      <c r="W956" s="46" t="n"/>
      <c r="X956" s="46" t="n"/>
      <c r="Y956" s="46" t="n"/>
    </row>
    <row r="957">
      <c r="A957" s="78" t="n">
        <v>46255</v>
      </c>
      <c r="B957" s="53" t="inlineStr">
        <is>
          <t>2026款探陆</t>
        </is>
      </c>
      <c r="C957" s="46" t="n"/>
      <c r="D957" s="46" t="n"/>
      <c r="E957" s="46" t="n"/>
      <c r="F957" s="46" t="n"/>
      <c r="G957" s="46" t="n"/>
      <c r="H957" s="46" t="n"/>
      <c r="I957" s="46" t="n"/>
      <c r="J957" s="46" t="n"/>
      <c r="K957" s="46" t="n"/>
      <c r="L957" s="46" t="n"/>
      <c r="M957" s="46">
        <f>N957-SUM(C957:L957)</f>
        <v/>
      </c>
      <c r="N957" s="47" t="n"/>
      <c r="O957" s="46" t="n"/>
      <c r="P957" s="46" t="n"/>
      <c r="Q957" s="46" t="n"/>
      <c r="R957" s="46" t="n"/>
      <c r="S957" s="46" t="n"/>
      <c r="T957" s="46" t="n"/>
      <c r="U957" s="46" t="n"/>
      <c r="V957" s="46" t="n"/>
      <c r="W957" s="46" t="n"/>
      <c r="X957" s="46" t="n"/>
      <c r="Y957" s="46" t="n"/>
    </row>
    <row r="958">
      <c r="A958" s="78" t="n">
        <v>46256</v>
      </c>
      <c r="B958" s="53" t="inlineStr">
        <is>
          <t>2026款探陆</t>
        </is>
      </c>
      <c r="C958" s="46" t="n"/>
      <c r="D958" s="46" t="n"/>
      <c r="E958" s="46" t="n"/>
      <c r="F958" s="46" t="n"/>
      <c r="G958" s="46" t="n"/>
      <c r="H958" s="46" t="n"/>
      <c r="I958" s="46" t="n"/>
      <c r="J958" s="46" t="n"/>
      <c r="K958" s="46" t="n"/>
      <c r="L958" s="46" t="n"/>
      <c r="M958" s="46">
        <f>N958-SUM(C958:L958)</f>
        <v/>
      </c>
      <c r="N958" s="47" t="n"/>
      <c r="O958" s="46" t="n"/>
      <c r="P958" s="46" t="n"/>
      <c r="Q958" s="46" t="n"/>
      <c r="R958" s="46" t="n"/>
      <c r="S958" s="46" t="n"/>
      <c r="T958" s="46" t="n"/>
      <c r="U958" s="46" t="n"/>
      <c r="V958" s="46" t="n"/>
      <c r="W958" s="46" t="n"/>
      <c r="X958" s="46" t="n"/>
      <c r="Y958" s="46" t="n"/>
    </row>
    <row r="959">
      <c r="A959" s="78" t="n">
        <v>46257</v>
      </c>
      <c r="B959" s="53" t="inlineStr">
        <is>
          <t>2026款探陆</t>
        </is>
      </c>
      <c r="C959" s="46" t="n"/>
      <c r="D959" s="46" t="n"/>
      <c r="E959" s="46" t="n"/>
      <c r="F959" s="46" t="n"/>
      <c r="G959" s="46" t="n"/>
      <c r="H959" s="46" t="n"/>
      <c r="I959" s="46" t="n"/>
      <c r="J959" s="46" t="n"/>
      <c r="K959" s="46" t="n"/>
      <c r="L959" s="46" t="n"/>
      <c r="M959" s="46">
        <f>N959-SUM(C959:L959)</f>
        <v/>
      </c>
      <c r="N959" s="47" t="n"/>
      <c r="O959" s="46" t="n"/>
      <c r="P959" s="46" t="n"/>
      <c r="Q959" s="46" t="n"/>
      <c r="R959" s="46" t="n"/>
      <c r="S959" s="46" t="n"/>
      <c r="T959" s="46" t="n"/>
      <c r="U959" s="46" t="n"/>
      <c r="V959" s="46" t="n"/>
      <c r="W959" s="46" t="n"/>
      <c r="X959" s="46" t="n"/>
      <c r="Y959" s="46" t="n"/>
    </row>
    <row r="960">
      <c r="A960" s="78" t="n">
        <v>46258</v>
      </c>
      <c r="B960" s="53" t="inlineStr">
        <is>
          <t>2026款探陆</t>
        </is>
      </c>
      <c r="C960" s="46" t="n"/>
      <c r="D960" s="46" t="n"/>
      <c r="E960" s="46" t="n"/>
      <c r="F960" s="46" t="n"/>
      <c r="G960" s="46" t="n"/>
      <c r="H960" s="46" t="n"/>
      <c r="I960" s="46" t="n"/>
      <c r="J960" s="46" t="n"/>
      <c r="K960" s="46" t="n"/>
      <c r="L960" s="46" t="n"/>
      <c r="M960" s="46">
        <f>N960-SUM(C960:L960)</f>
        <v/>
      </c>
      <c r="N960" s="47" t="n"/>
      <c r="O960" s="46" t="n"/>
      <c r="P960" s="46" t="n"/>
      <c r="Q960" s="46" t="n"/>
      <c r="R960" s="46" t="n"/>
      <c r="S960" s="46" t="n"/>
      <c r="T960" s="46" t="n"/>
      <c r="U960" s="46" t="n"/>
      <c r="V960" s="46" t="n"/>
      <c r="W960" s="46" t="n"/>
      <c r="X960" s="46" t="n"/>
      <c r="Y960" s="46" t="n"/>
    </row>
    <row r="961">
      <c r="A961" s="78" t="n">
        <v>46259</v>
      </c>
      <c r="B961" s="53" t="inlineStr">
        <is>
          <t>2026款探陆</t>
        </is>
      </c>
      <c r="C961" s="46" t="n"/>
      <c r="D961" s="46" t="n"/>
      <c r="E961" s="46" t="n"/>
      <c r="F961" s="46" t="n"/>
      <c r="G961" s="46" t="n"/>
      <c r="H961" s="46" t="n"/>
      <c r="I961" s="46" t="n"/>
      <c r="J961" s="46" t="n"/>
      <c r="K961" s="46" t="n"/>
      <c r="L961" s="46" t="n"/>
      <c r="M961" s="46">
        <f>N961-SUM(C961:L961)</f>
        <v/>
      </c>
      <c r="N961" s="47" t="n"/>
      <c r="O961" s="46" t="n"/>
      <c r="P961" s="46" t="n"/>
      <c r="Q961" s="46" t="n"/>
      <c r="R961" s="46" t="n"/>
      <c r="S961" s="46" t="n"/>
      <c r="T961" s="46" t="n"/>
      <c r="U961" s="46" t="n"/>
      <c r="V961" s="46" t="n"/>
      <c r="W961" s="46" t="n"/>
      <c r="X961" s="46" t="n"/>
      <c r="Y961" s="46" t="n"/>
    </row>
    <row r="962">
      <c r="A962" s="78" t="n">
        <v>46260</v>
      </c>
      <c r="B962" s="53" t="inlineStr">
        <is>
          <t>2026款探陆</t>
        </is>
      </c>
      <c r="C962" s="46" t="n"/>
      <c r="D962" s="46" t="n"/>
      <c r="E962" s="46" t="n"/>
      <c r="F962" s="46" t="n"/>
      <c r="G962" s="46" t="n"/>
      <c r="H962" s="46" t="n"/>
      <c r="I962" s="46" t="n"/>
      <c r="J962" s="46" t="n"/>
      <c r="K962" s="46" t="n"/>
      <c r="L962" s="46" t="n"/>
      <c r="M962" s="46">
        <f>N962-SUM(C962:L962)</f>
        <v/>
      </c>
      <c r="N962" s="47" t="n"/>
      <c r="O962" s="46" t="n"/>
      <c r="P962" s="46" t="n"/>
      <c r="Q962" s="46" t="n"/>
      <c r="R962" s="46" t="n"/>
      <c r="S962" s="46" t="n"/>
      <c r="T962" s="46" t="n"/>
      <c r="U962" s="46" t="n"/>
      <c r="V962" s="46" t="n"/>
      <c r="W962" s="46" t="n"/>
      <c r="X962" s="46" t="n"/>
      <c r="Y962" s="46" t="n"/>
    </row>
    <row r="963">
      <c r="A963" s="78" t="n">
        <v>46261</v>
      </c>
      <c r="B963" s="53" t="inlineStr">
        <is>
          <t>2026款探陆</t>
        </is>
      </c>
      <c r="C963" s="46" t="n"/>
      <c r="D963" s="46" t="n"/>
      <c r="E963" s="46" t="n"/>
      <c r="F963" s="46" t="n"/>
      <c r="G963" s="46" t="n"/>
      <c r="H963" s="46" t="n"/>
      <c r="I963" s="46" t="n"/>
      <c r="J963" s="46" t="n"/>
      <c r="K963" s="46" t="n"/>
      <c r="L963" s="46" t="n"/>
      <c r="M963" s="46">
        <f>N963-SUM(C963:L963)</f>
        <v/>
      </c>
      <c r="N963" s="47" t="n"/>
      <c r="O963" s="46" t="n"/>
      <c r="P963" s="46" t="n"/>
      <c r="Q963" s="46" t="n"/>
      <c r="R963" s="46" t="n"/>
      <c r="S963" s="46" t="n"/>
      <c r="T963" s="46" t="n"/>
      <c r="U963" s="46" t="n"/>
      <c r="V963" s="46" t="n"/>
      <c r="W963" s="46" t="n"/>
      <c r="X963" s="46" t="n"/>
      <c r="Y963" s="46" t="n"/>
    </row>
    <row r="964">
      <c r="A964" s="78" t="n">
        <v>46262</v>
      </c>
      <c r="B964" s="53" t="inlineStr">
        <is>
          <t>2026款探陆</t>
        </is>
      </c>
      <c r="C964" s="46" t="n"/>
      <c r="D964" s="46" t="n"/>
      <c r="E964" s="46" t="n"/>
      <c r="F964" s="46" t="n"/>
      <c r="G964" s="46" t="n"/>
      <c r="H964" s="46" t="n"/>
      <c r="I964" s="46" t="n"/>
      <c r="J964" s="46" t="n"/>
      <c r="K964" s="46" t="n"/>
      <c r="L964" s="46" t="n"/>
      <c r="M964" s="46">
        <f>N964-SUM(C964:L964)</f>
        <v/>
      </c>
      <c r="N964" s="47" t="n"/>
      <c r="O964" s="46" t="n"/>
      <c r="P964" s="46" t="n"/>
      <c r="Q964" s="46" t="n"/>
      <c r="R964" s="46" t="n"/>
      <c r="S964" s="46" t="n"/>
      <c r="T964" s="46" t="n"/>
      <c r="U964" s="46" t="n"/>
      <c r="V964" s="46" t="n"/>
      <c r="W964" s="46" t="n"/>
      <c r="X964" s="46" t="n"/>
      <c r="Y964" s="46" t="n"/>
    </row>
    <row r="965">
      <c r="A965" s="78" t="n">
        <v>46263</v>
      </c>
      <c r="B965" s="53" t="inlineStr">
        <is>
          <t>2026款探陆</t>
        </is>
      </c>
      <c r="C965" s="46" t="n"/>
      <c r="D965" s="46" t="n"/>
      <c r="E965" s="46" t="n"/>
      <c r="F965" s="46" t="n"/>
      <c r="G965" s="46" t="n"/>
      <c r="H965" s="46" t="n"/>
      <c r="I965" s="46" t="n"/>
      <c r="J965" s="46" t="n"/>
      <c r="K965" s="46" t="n"/>
      <c r="L965" s="46" t="n"/>
      <c r="M965" s="46">
        <f>N965-SUM(C965:L965)</f>
        <v/>
      </c>
      <c r="N965" s="47" t="n"/>
      <c r="O965" s="46" t="n"/>
      <c r="P965" s="46" t="n"/>
      <c r="Q965" s="46" t="n"/>
      <c r="R965" s="46" t="n"/>
      <c r="S965" s="46" t="n"/>
      <c r="T965" s="46" t="n"/>
      <c r="U965" s="46" t="n"/>
      <c r="V965" s="46" t="n"/>
      <c r="W965" s="46" t="n"/>
      <c r="X965" s="46" t="n"/>
      <c r="Y965" s="46" t="n"/>
    </row>
    <row r="966">
      <c r="A966" s="78" t="n">
        <v>46264</v>
      </c>
      <c r="B966" s="53" t="inlineStr">
        <is>
          <t>2026款探陆</t>
        </is>
      </c>
      <c r="C966" s="46" t="n"/>
      <c r="D966" s="46" t="n"/>
      <c r="E966" s="46" t="n"/>
      <c r="F966" s="46" t="n"/>
      <c r="G966" s="46" t="n"/>
      <c r="H966" s="46" t="n"/>
      <c r="I966" s="46" t="n"/>
      <c r="J966" s="46" t="n"/>
      <c r="K966" s="46" t="n"/>
      <c r="L966" s="46" t="n"/>
      <c r="M966" s="46">
        <f>N966-SUM(C966:L966)</f>
        <v/>
      </c>
      <c r="N966" s="47" t="n"/>
      <c r="O966" s="46" t="n"/>
      <c r="P966" s="46" t="n"/>
      <c r="Q966" s="46" t="n"/>
      <c r="R966" s="46" t="n"/>
      <c r="S966" s="46" t="n"/>
      <c r="T966" s="46" t="n"/>
      <c r="U966" s="46" t="n"/>
      <c r="V966" s="46" t="n"/>
      <c r="W966" s="46" t="n"/>
      <c r="X966" s="46" t="n"/>
      <c r="Y966" s="46" t="n"/>
    </row>
    <row r="967">
      <c r="A967" s="78" t="n">
        <v>46265</v>
      </c>
      <c r="B967" s="53" t="inlineStr">
        <is>
          <t>2026款探陆</t>
        </is>
      </c>
      <c r="C967" s="46" t="n"/>
      <c r="D967" s="46" t="n"/>
      <c r="E967" s="46" t="n"/>
      <c r="F967" s="46" t="n"/>
      <c r="G967" s="46" t="n"/>
      <c r="H967" s="46" t="n"/>
      <c r="I967" s="46" t="n"/>
      <c r="J967" s="46" t="n"/>
      <c r="K967" s="46" t="n"/>
      <c r="L967" s="46" t="n"/>
      <c r="M967" s="46">
        <f>N967-SUM(C967:L967)</f>
        <v/>
      </c>
      <c r="N967" s="47" t="n"/>
      <c r="O967" s="46" t="n"/>
      <c r="P967" s="46" t="n"/>
      <c r="Q967" s="46" t="n"/>
      <c r="R967" s="46" t="n"/>
      <c r="S967" s="46" t="n"/>
      <c r="T967" s="46" t="n"/>
      <c r="U967" s="46" t="n"/>
      <c r="V967" s="46" t="n"/>
      <c r="W967" s="46" t="n"/>
      <c r="X967" s="46" t="n"/>
      <c r="Y967" s="46" t="n"/>
    </row>
    <row r="968">
      <c r="A968" s="78" t="n">
        <v>46266</v>
      </c>
      <c r="B968" s="53" t="inlineStr">
        <is>
          <t>2026款探陆</t>
        </is>
      </c>
      <c r="C968" s="46" t="n"/>
      <c r="D968" s="46" t="n"/>
      <c r="E968" s="46" t="n"/>
      <c r="F968" s="46" t="n"/>
      <c r="G968" s="46" t="n"/>
      <c r="H968" s="46" t="n"/>
      <c r="I968" s="46" t="n"/>
      <c r="J968" s="46" t="n"/>
      <c r="K968" s="46" t="n"/>
      <c r="L968" s="46" t="n"/>
      <c r="M968" s="46">
        <f>N968-SUM(C968:L968)</f>
        <v/>
      </c>
      <c r="N968" s="47" t="n"/>
      <c r="O968" s="46" t="n"/>
      <c r="P968" s="46" t="n"/>
      <c r="Q968" s="46" t="n"/>
      <c r="R968" s="46" t="n"/>
      <c r="S968" s="46" t="n"/>
      <c r="T968" s="46" t="n"/>
      <c r="U968" s="46" t="n"/>
      <c r="V968" s="46" t="n"/>
      <c r="W968" s="46" t="n"/>
      <c r="X968" s="46" t="n"/>
      <c r="Y968" s="46" t="n"/>
    </row>
    <row r="969">
      <c r="A969" s="78" t="n">
        <v>46267</v>
      </c>
      <c r="B969" s="53" t="inlineStr">
        <is>
          <t>2026款探陆</t>
        </is>
      </c>
      <c r="C969" s="46" t="n"/>
      <c r="D969" s="46" t="n"/>
      <c r="E969" s="46" t="n"/>
      <c r="F969" s="46" t="n"/>
      <c r="G969" s="46" t="n"/>
      <c r="H969" s="46" t="n"/>
      <c r="I969" s="46" t="n"/>
      <c r="J969" s="46" t="n"/>
      <c r="K969" s="46" t="n"/>
      <c r="L969" s="46" t="n"/>
      <c r="M969" s="46">
        <f>N969-SUM(C969:L969)</f>
        <v/>
      </c>
      <c r="N969" s="47" t="n"/>
      <c r="O969" s="46" t="n"/>
      <c r="P969" s="46" t="n"/>
      <c r="Q969" s="46" t="n"/>
      <c r="R969" s="46" t="n"/>
      <c r="S969" s="46" t="n"/>
      <c r="T969" s="46" t="n"/>
      <c r="U969" s="46" t="n"/>
      <c r="V969" s="46" t="n"/>
      <c r="W969" s="46" t="n"/>
      <c r="X969" s="46" t="n"/>
      <c r="Y969" s="46" t="n"/>
    </row>
    <row r="970">
      <c r="A970" s="78" t="n">
        <v>46268</v>
      </c>
      <c r="B970" s="53" t="inlineStr">
        <is>
          <t>2026款探陆</t>
        </is>
      </c>
      <c r="C970" s="46" t="n"/>
      <c r="D970" s="46" t="n"/>
      <c r="E970" s="46" t="n"/>
      <c r="F970" s="46" t="n"/>
      <c r="G970" s="46" t="n"/>
      <c r="H970" s="46" t="n"/>
      <c r="I970" s="46" t="n"/>
      <c r="J970" s="46" t="n"/>
      <c r="K970" s="46" t="n"/>
      <c r="L970" s="46" t="n"/>
      <c r="M970" s="46">
        <f>N970-SUM(C970:L970)</f>
        <v/>
      </c>
      <c r="N970" s="47" t="n"/>
      <c r="O970" s="46" t="n"/>
      <c r="P970" s="46" t="n"/>
      <c r="Q970" s="46" t="n"/>
      <c r="R970" s="46" t="n"/>
      <c r="S970" s="46" t="n"/>
      <c r="T970" s="46" t="n"/>
      <c r="U970" s="46" t="n"/>
      <c r="V970" s="46" t="n"/>
      <c r="W970" s="46" t="n"/>
      <c r="X970" s="46" t="n"/>
      <c r="Y970" s="46" t="n"/>
    </row>
    <row r="971">
      <c r="A971" s="78" t="n">
        <v>46269</v>
      </c>
      <c r="B971" s="53" t="inlineStr">
        <is>
          <t>2026款探陆</t>
        </is>
      </c>
      <c r="C971" s="46" t="n"/>
      <c r="D971" s="46" t="n"/>
      <c r="E971" s="46" t="n"/>
      <c r="F971" s="46" t="n"/>
      <c r="G971" s="46" t="n"/>
      <c r="H971" s="46" t="n"/>
      <c r="I971" s="46" t="n"/>
      <c r="J971" s="46" t="n"/>
      <c r="K971" s="46" t="n"/>
      <c r="L971" s="46" t="n"/>
      <c r="M971" s="46">
        <f>N971-SUM(C971:L971)</f>
        <v/>
      </c>
      <c r="N971" s="47" t="n"/>
      <c r="O971" s="46" t="n"/>
      <c r="P971" s="46" t="n"/>
      <c r="Q971" s="46" t="n"/>
      <c r="R971" s="46" t="n"/>
      <c r="S971" s="46" t="n"/>
      <c r="T971" s="46" t="n"/>
      <c r="U971" s="46" t="n"/>
      <c r="V971" s="46" t="n"/>
      <c r="W971" s="46" t="n"/>
      <c r="X971" s="46" t="n"/>
      <c r="Y971" s="46" t="n"/>
    </row>
    <row r="972">
      <c r="A972" s="78" t="n">
        <v>46270</v>
      </c>
      <c r="B972" s="53" t="inlineStr">
        <is>
          <t>2026款探陆</t>
        </is>
      </c>
      <c r="C972" s="46" t="n"/>
      <c r="D972" s="46" t="n"/>
      <c r="E972" s="46" t="n"/>
      <c r="F972" s="46" t="n"/>
      <c r="G972" s="46" t="n"/>
      <c r="H972" s="46" t="n"/>
      <c r="I972" s="46" t="n"/>
      <c r="J972" s="46" t="n"/>
      <c r="K972" s="46" t="n"/>
      <c r="L972" s="46" t="n"/>
      <c r="M972" s="46">
        <f>N972-SUM(C972:L972)</f>
        <v/>
      </c>
      <c r="N972" s="47" t="n"/>
      <c r="O972" s="46" t="n"/>
      <c r="P972" s="46" t="n"/>
      <c r="Q972" s="46" t="n"/>
      <c r="R972" s="46" t="n"/>
      <c r="S972" s="46" t="n"/>
      <c r="T972" s="46" t="n"/>
      <c r="U972" s="46" t="n"/>
      <c r="V972" s="46" t="n"/>
      <c r="W972" s="46" t="n"/>
      <c r="X972" s="46" t="n"/>
      <c r="Y972" s="46" t="n"/>
    </row>
    <row r="973">
      <c r="A973" s="78" t="n">
        <v>46271</v>
      </c>
      <c r="B973" s="53" t="inlineStr">
        <is>
          <t>2026款探陆</t>
        </is>
      </c>
      <c r="C973" s="46" t="n"/>
      <c r="D973" s="46" t="n"/>
      <c r="E973" s="46" t="n"/>
      <c r="F973" s="46" t="n"/>
      <c r="G973" s="46" t="n"/>
      <c r="H973" s="46" t="n"/>
      <c r="I973" s="46" t="n"/>
      <c r="J973" s="46" t="n"/>
      <c r="K973" s="46" t="n"/>
      <c r="L973" s="46" t="n"/>
      <c r="M973" s="46">
        <f>N973-SUM(C973:L973)</f>
        <v/>
      </c>
      <c r="N973" s="47" t="n"/>
      <c r="O973" s="46" t="n"/>
      <c r="P973" s="46" t="n"/>
      <c r="Q973" s="46" t="n"/>
      <c r="R973" s="46" t="n"/>
      <c r="S973" s="46" t="n"/>
      <c r="T973" s="46" t="n"/>
      <c r="U973" s="46" t="n"/>
      <c r="V973" s="46" t="n"/>
      <c r="W973" s="46" t="n"/>
      <c r="X973" s="46" t="n"/>
      <c r="Y973" s="46" t="n"/>
    </row>
    <row r="974">
      <c r="A974" s="78" t="n">
        <v>46272</v>
      </c>
      <c r="B974" s="53" t="inlineStr">
        <is>
          <t>2026款探陆</t>
        </is>
      </c>
      <c r="C974" s="46" t="n"/>
      <c r="D974" s="46" t="n"/>
      <c r="E974" s="46" t="n"/>
      <c r="F974" s="46" t="n"/>
      <c r="G974" s="46" t="n"/>
      <c r="H974" s="46" t="n"/>
      <c r="I974" s="46" t="n"/>
      <c r="J974" s="46" t="n"/>
      <c r="K974" s="46" t="n"/>
      <c r="L974" s="46" t="n"/>
      <c r="M974" s="46">
        <f>N974-SUM(C974:L974)</f>
        <v/>
      </c>
      <c r="N974" s="47" t="n"/>
      <c r="O974" s="46" t="n"/>
      <c r="P974" s="46" t="n"/>
      <c r="Q974" s="46" t="n"/>
      <c r="R974" s="46" t="n"/>
      <c r="S974" s="46" t="n"/>
      <c r="T974" s="46" t="n"/>
      <c r="U974" s="46" t="n"/>
      <c r="V974" s="46" t="n"/>
      <c r="W974" s="46" t="n"/>
      <c r="X974" s="46" t="n"/>
      <c r="Y974" s="46" t="n"/>
    </row>
    <row r="975">
      <c r="A975" s="78" t="n">
        <v>46273</v>
      </c>
      <c r="B975" s="53" t="inlineStr">
        <is>
          <t>2026款探陆</t>
        </is>
      </c>
      <c r="C975" s="46" t="n"/>
      <c r="D975" s="46" t="n"/>
      <c r="E975" s="46" t="n"/>
      <c r="F975" s="46" t="n"/>
      <c r="G975" s="46" t="n"/>
      <c r="H975" s="46" t="n"/>
      <c r="I975" s="46" t="n"/>
      <c r="J975" s="46" t="n"/>
      <c r="K975" s="46" t="n"/>
      <c r="L975" s="46" t="n"/>
      <c r="M975" s="46">
        <f>N975-SUM(C975:L975)</f>
        <v/>
      </c>
      <c r="N975" s="47" t="n"/>
      <c r="O975" s="46" t="n"/>
      <c r="P975" s="46" t="n"/>
      <c r="Q975" s="46" t="n"/>
      <c r="R975" s="46" t="n"/>
      <c r="S975" s="46" t="n"/>
      <c r="T975" s="46" t="n"/>
      <c r="U975" s="46" t="n"/>
      <c r="V975" s="46" t="n"/>
      <c r="W975" s="46" t="n"/>
      <c r="X975" s="46" t="n"/>
      <c r="Y975" s="46" t="n"/>
    </row>
    <row r="976">
      <c r="A976" s="78" t="n">
        <v>46274</v>
      </c>
      <c r="B976" s="53" t="inlineStr">
        <is>
          <t>2026款探陆</t>
        </is>
      </c>
      <c r="C976" s="46" t="n"/>
      <c r="D976" s="46" t="n"/>
      <c r="E976" s="46" t="n"/>
      <c r="F976" s="46" t="n"/>
      <c r="G976" s="46" t="n"/>
      <c r="H976" s="46" t="n"/>
      <c r="I976" s="46" t="n"/>
      <c r="J976" s="46" t="n"/>
      <c r="K976" s="46" t="n"/>
      <c r="L976" s="46" t="n"/>
      <c r="M976" s="46">
        <f>N976-SUM(C976:L976)</f>
        <v/>
      </c>
      <c r="N976" s="47" t="n"/>
      <c r="O976" s="46" t="n"/>
      <c r="P976" s="46" t="n"/>
      <c r="Q976" s="46" t="n"/>
      <c r="R976" s="46" t="n"/>
      <c r="S976" s="46" t="n"/>
      <c r="T976" s="46" t="n"/>
      <c r="U976" s="46" t="n"/>
      <c r="V976" s="46" t="n"/>
      <c r="W976" s="46" t="n"/>
      <c r="X976" s="46" t="n"/>
      <c r="Y976" s="46" t="n"/>
    </row>
    <row r="977">
      <c r="A977" s="78" t="n">
        <v>46275</v>
      </c>
      <c r="B977" s="53" t="inlineStr">
        <is>
          <t>2026款探陆</t>
        </is>
      </c>
      <c r="C977" s="46" t="n"/>
      <c r="D977" s="46" t="n"/>
      <c r="E977" s="46" t="n"/>
      <c r="F977" s="46" t="n"/>
      <c r="G977" s="46" t="n"/>
      <c r="H977" s="46" t="n"/>
      <c r="I977" s="46" t="n"/>
      <c r="J977" s="46" t="n"/>
      <c r="K977" s="46" t="n"/>
      <c r="L977" s="46" t="n"/>
      <c r="M977" s="46">
        <f>N977-SUM(C977:L977)</f>
        <v/>
      </c>
      <c r="N977" s="47" t="n"/>
      <c r="O977" s="46" t="n"/>
      <c r="P977" s="46" t="n"/>
      <c r="Q977" s="46" t="n"/>
      <c r="R977" s="46" t="n"/>
      <c r="S977" s="46" t="n"/>
      <c r="T977" s="46" t="n"/>
      <c r="U977" s="46" t="n"/>
      <c r="V977" s="46" t="n"/>
      <c r="W977" s="46" t="n"/>
      <c r="X977" s="46" t="n"/>
      <c r="Y977" s="46" t="n"/>
    </row>
    <row r="978">
      <c r="A978" s="78" t="n">
        <v>46276</v>
      </c>
      <c r="B978" s="53" t="inlineStr">
        <is>
          <t>2026款探陆</t>
        </is>
      </c>
      <c r="C978" s="46" t="n"/>
      <c r="D978" s="46" t="n"/>
      <c r="E978" s="46" t="n"/>
      <c r="F978" s="46" t="n"/>
      <c r="G978" s="46" t="n"/>
      <c r="H978" s="46" t="n"/>
      <c r="I978" s="46" t="n"/>
      <c r="J978" s="46" t="n"/>
      <c r="K978" s="46" t="n"/>
      <c r="L978" s="46" t="n"/>
      <c r="M978" s="46">
        <f>N978-SUM(C978:L978)</f>
        <v/>
      </c>
      <c r="N978" s="47" t="n"/>
      <c r="O978" s="46" t="n"/>
      <c r="P978" s="46" t="n"/>
      <c r="Q978" s="46" t="n"/>
      <c r="R978" s="46" t="n"/>
      <c r="S978" s="46" t="n"/>
      <c r="T978" s="46" t="n"/>
      <c r="U978" s="46" t="n"/>
      <c r="V978" s="46" t="n"/>
      <c r="W978" s="46" t="n"/>
      <c r="X978" s="46" t="n"/>
      <c r="Y978" s="46" t="n"/>
    </row>
    <row r="979">
      <c r="A979" s="78" t="n">
        <v>46277</v>
      </c>
      <c r="B979" s="53" t="inlineStr">
        <is>
          <t>2026款探陆</t>
        </is>
      </c>
      <c r="C979" s="46" t="n"/>
      <c r="D979" s="46" t="n"/>
      <c r="E979" s="46" t="n"/>
      <c r="F979" s="46" t="n"/>
      <c r="G979" s="46" t="n"/>
      <c r="H979" s="46" t="n"/>
      <c r="I979" s="46" t="n"/>
      <c r="J979" s="46" t="n"/>
      <c r="K979" s="46" t="n"/>
      <c r="L979" s="46" t="n"/>
      <c r="M979" s="46">
        <f>N979-SUM(C979:L979)</f>
        <v/>
      </c>
      <c r="N979" s="47" t="n"/>
      <c r="O979" s="46" t="n"/>
      <c r="P979" s="46" t="n"/>
      <c r="Q979" s="46" t="n"/>
      <c r="R979" s="46" t="n"/>
      <c r="S979" s="46" t="n"/>
      <c r="T979" s="46" t="n"/>
      <c r="U979" s="46" t="n"/>
      <c r="V979" s="46" t="n"/>
      <c r="W979" s="46" t="n"/>
      <c r="X979" s="46" t="n"/>
      <c r="Y979" s="46" t="n"/>
    </row>
    <row r="980">
      <c r="A980" s="78" t="n">
        <v>46278</v>
      </c>
      <c r="B980" s="53" t="inlineStr">
        <is>
          <t>2026款探陆</t>
        </is>
      </c>
      <c r="C980" s="46" t="n"/>
      <c r="D980" s="46" t="n"/>
      <c r="E980" s="46" t="n"/>
      <c r="F980" s="46" t="n"/>
      <c r="G980" s="46" t="n"/>
      <c r="H980" s="46" t="n"/>
      <c r="I980" s="46" t="n"/>
      <c r="J980" s="46" t="n"/>
      <c r="K980" s="46" t="n"/>
      <c r="L980" s="46" t="n"/>
      <c r="M980" s="46">
        <f>N980-SUM(C980:L980)</f>
        <v/>
      </c>
      <c r="N980" s="47" t="n"/>
      <c r="O980" s="46" t="n"/>
      <c r="P980" s="46" t="n"/>
      <c r="Q980" s="46" t="n"/>
      <c r="R980" s="46" t="n"/>
      <c r="S980" s="46" t="n"/>
      <c r="T980" s="46" t="n"/>
      <c r="U980" s="46" t="n"/>
      <c r="V980" s="46" t="n"/>
      <c r="W980" s="46" t="n"/>
      <c r="X980" s="46" t="n"/>
      <c r="Y980" s="46" t="n"/>
    </row>
    <row r="981">
      <c r="A981" s="78" t="n">
        <v>46279</v>
      </c>
      <c r="B981" s="53" t="inlineStr">
        <is>
          <t>2026款探陆</t>
        </is>
      </c>
      <c r="C981" s="46" t="n"/>
      <c r="D981" s="46" t="n"/>
      <c r="E981" s="46" t="n"/>
      <c r="F981" s="46" t="n"/>
      <c r="G981" s="46" t="n"/>
      <c r="H981" s="46" t="n"/>
      <c r="I981" s="46" t="n"/>
      <c r="J981" s="46" t="n"/>
      <c r="K981" s="46" t="n"/>
      <c r="L981" s="46" t="n"/>
      <c r="M981" s="46">
        <f>N981-SUM(C981:L981)</f>
        <v/>
      </c>
      <c r="N981" s="47" t="n"/>
      <c r="O981" s="46" t="n"/>
      <c r="P981" s="46" t="n"/>
      <c r="Q981" s="46" t="n"/>
      <c r="R981" s="46" t="n"/>
      <c r="S981" s="46" t="n"/>
      <c r="T981" s="46" t="n"/>
      <c r="U981" s="46" t="n"/>
      <c r="V981" s="46" t="n"/>
      <c r="W981" s="46" t="n"/>
      <c r="X981" s="46" t="n"/>
      <c r="Y981" s="46" t="n"/>
    </row>
    <row r="982">
      <c r="A982" s="78" t="n">
        <v>46280</v>
      </c>
      <c r="B982" s="53" t="inlineStr">
        <is>
          <t>2026款探陆</t>
        </is>
      </c>
      <c r="C982" s="46" t="n"/>
      <c r="D982" s="46" t="n"/>
      <c r="E982" s="46" t="n"/>
      <c r="F982" s="46" t="n"/>
      <c r="G982" s="46" t="n"/>
      <c r="H982" s="46" t="n"/>
      <c r="I982" s="46" t="n"/>
      <c r="J982" s="46" t="n"/>
      <c r="K982" s="46" t="n"/>
      <c r="L982" s="46" t="n"/>
      <c r="M982" s="46">
        <f>N982-SUM(C982:L982)</f>
        <v/>
      </c>
      <c r="N982" s="47" t="n"/>
      <c r="O982" s="46" t="n"/>
      <c r="P982" s="46" t="n"/>
      <c r="Q982" s="46" t="n"/>
      <c r="R982" s="46" t="n"/>
      <c r="S982" s="46" t="n"/>
      <c r="T982" s="46" t="n"/>
      <c r="U982" s="46" t="n"/>
      <c r="V982" s="46" t="n"/>
      <c r="W982" s="46" t="n"/>
      <c r="X982" s="46" t="n"/>
      <c r="Y982" s="46" t="n"/>
    </row>
    <row r="983">
      <c r="A983" s="78" t="n">
        <v>46281</v>
      </c>
      <c r="B983" s="53" t="inlineStr">
        <is>
          <t>2026款探陆</t>
        </is>
      </c>
      <c r="C983" s="46" t="n"/>
      <c r="D983" s="46" t="n"/>
      <c r="E983" s="46" t="n"/>
      <c r="F983" s="46" t="n"/>
      <c r="G983" s="46" t="n"/>
      <c r="H983" s="46" t="n"/>
      <c r="I983" s="46" t="n"/>
      <c r="J983" s="46" t="n"/>
      <c r="K983" s="46" t="n"/>
      <c r="L983" s="46" t="n"/>
      <c r="M983" s="46">
        <f>N983-SUM(C983:L983)</f>
        <v/>
      </c>
      <c r="N983" s="47" t="n"/>
      <c r="O983" s="46" t="n"/>
      <c r="P983" s="46" t="n"/>
      <c r="Q983" s="46" t="n"/>
      <c r="R983" s="46" t="n"/>
      <c r="S983" s="46" t="n"/>
      <c r="T983" s="46" t="n"/>
      <c r="U983" s="46" t="n"/>
      <c r="V983" s="46" t="n"/>
      <c r="W983" s="46" t="n"/>
      <c r="X983" s="46" t="n"/>
      <c r="Y983" s="46" t="n"/>
    </row>
    <row r="984">
      <c r="A984" s="78" t="n">
        <v>46282</v>
      </c>
      <c r="B984" s="53" t="inlineStr">
        <is>
          <t>2026款探陆</t>
        </is>
      </c>
      <c r="C984" s="46" t="n"/>
      <c r="D984" s="46" t="n"/>
      <c r="E984" s="46" t="n"/>
      <c r="F984" s="46" t="n"/>
      <c r="G984" s="46" t="n"/>
      <c r="H984" s="46" t="n"/>
      <c r="I984" s="46" t="n"/>
      <c r="J984" s="46" t="n"/>
      <c r="K984" s="46" t="n"/>
      <c r="L984" s="46" t="n"/>
      <c r="M984" s="46">
        <f>N984-SUM(C984:L984)</f>
        <v/>
      </c>
      <c r="N984" s="47" t="n"/>
      <c r="O984" s="46" t="n"/>
      <c r="P984" s="46" t="n"/>
      <c r="Q984" s="46" t="n"/>
      <c r="R984" s="46" t="n"/>
      <c r="S984" s="46" t="n"/>
      <c r="T984" s="46" t="n"/>
      <c r="U984" s="46" t="n"/>
      <c r="V984" s="46" t="n"/>
      <c r="W984" s="46" t="n"/>
      <c r="X984" s="46" t="n"/>
      <c r="Y984" s="46" t="n"/>
    </row>
    <row r="985">
      <c r="A985" s="78" t="n">
        <v>46283</v>
      </c>
      <c r="B985" s="53" t="inlineStr">
        <is>
          <t>2026款探陆</t>
        </is>
      </c>
      <c r="C985" s="46" t="n"/>
      <c r="D985" s="46" t="n"/>
      <c r="E985" s="46" t="n"/>
      <c r="F985" s="46" t="n"/>
      <c r="G985" s="46" t="n"/>
      <c r="H985" s="46" t="n"/>
      <c r="I985" s="46" t="n"/>
      <c r="J985" s="46" t="n"/>
      <c r="K985" s="46" t="n"/>
      <c r="L985" s="46" t="n"/>
      <c r="M985" s="46">
        <f>N985-SUM(C985:L985)</f>
        <v/>
      </c>
      <c r="N985" s="47" t="n"/>
      <c r="O985" s="46" t="n"/>
      <c r="P985" s="46" t="n"/>
      <c r="Q985" s="46" t="n"/>
      <c r="R985" s="46" t="n"/>
      <c r="S985" s="46" t="n"/>
      <c r="T985" s="46" t="n"/>
      <c r="U985" s="46" t="n"/>
      <c r="V985" s="46" t="n"/>
      <c r="W985" s="46" t="n"/>
      <c r="X985" s="46" t="n"/>
      <c r="Y985" s="46" t="n"/>
    </row>
    <row r="986">
      <c r="A986" s="78" t="n">
        <v>46284</v>
      </c>
      <c r="B986" s="53" t="inlineStr">
        <is>
          <t>2026款探陆</t>
        </is>
      </c>
      <c r="C986" s="46" t="n"/>
      <c r="D986" s="46" t="n"/>
      <c r="E986" s="46" t="n"/>
      <c r="F986" s="46" t="n"/>
      <c r="G986" s="46" t="n"/>
      <c r="H986" s="46" t="n"/>
      <c r="I986" s="46" t="n"/>
      <c r="J986" s="46" t="n"/>
      <c r="K986" s="46" t="n"/>
      <c r="L986" s="46" t="n"/>
      <c r="M986" s="46">
        <f>N986-SUM(C986:L986)</f>
        <v/>
      </c>
      <c r="N986" s="47" t="n"/>
      <c r="O986" s="46" t="n"/>
      <c r="P986" s="46" t="n"/>
      <c r="Q986" s="46" t="n"/>
      <c r="R986" s="46" t="n"/>
      <c r="S986" s="46" t="n"/>
      <c r="T986" s="46" t="n"/>
      <c r="U986" s="46" t="n"/>
      <c r="V986" s="46" t="n"/>
      <c r="W986" s="46" t="n"/>
      <c r="X986" s="46" t="n"/>
      <c r="Y986" s="46" t="n"/>
    </row>
    <row r="987">
      <c r="A987" s="78" t="n">
        <v>46285</v>
      </c>
      <c r="B987" s="53" t="inlineStr">
        <is>
          <t>2026款探陆</t>
        </is>
      </c>
      <c r="C987" s="46" t="n"/>
      <c r="D987" s="46" t="n"/>
      <c r="E987" s="46" t="n"/>
      <c r="F987" s="46" t="n"/>
      <c r="G987" s="46" t="n"/>
      <c r="H987" s="46" t="n"/>
      <c r="I987" s="46" t="n"/>
      <c r="J987" s="46" t="n"/>
      <c r="K987" s="46" t="n"/>
      <c r="L987" s="46" t="n"/>
      <c r="M987" s="46">
        <f>N987-SUM(C987:L987)</f>
        <v/>
      </c>
      <c r="N987" s="47" t="n"/>
      <c r="O987" s="46" t="n"/>
      <c r="P987" s="46" t="n"/>
      <c r="Q987" s="46" t="n"/>
      <c r="R987" s="46" t="n"/>
      <c r="S987" s="46" t="n"/>
      <c r="T987" s="46" t="n"/>
      <c r="U987" s="46" t="n"/>
      <c r="V987" s="46" t="n"/>
      <c r="W987" s="46" t="n"/>
      <c r="X987" s="46" t="n"/>
      <c r="Y987" s="46" t="n"/>
    </row>
    <row r="988">
      <c r="A988" s="78" t="n">
        <v>46286</v>
      </c>
      <c r="B988" s="53" t="inlineStr">
        <is>
          <t>2026款探陆</t>
        </is>
      </c>
      <c r="C988" s="46" t="n"/>
      <c r="D988" s="46" t="n"/>
      <c r="E988" s="46" t="n"/>
      <c r="F988" s="46" t="n"/>
      <c r="G988" s="46" t="n"/>
      <c r="H988" s="46" t="n"/>
      <c r="I988" s="46" t="n"/>
      <c r="J988" s="46" t="n"/>
      <c r="K988" s="46" t="n"/>
      <c r="L988" s="46" t="n"/>
      <c r="M988" s="46">
        <f>N988-SUM(C988:L988)</f>
        <v/>
      </c>
      <c r="N988" s="47" t="n"/>
      <c r="O988" s="46" t="n"/>
      <c r="P988" s="46" t="n"/>
      <c r="Q988" s="46" t="n"/>
      <c r="R988" s="46" t="n"/>
      <c r="S988" s="46" t="n"/>
      <c r="T988" s="46" t="n"/>
      <c r="U988" s="46" t="n"/>
      <c r="V988" s="46" t="n"/>
      <c r="W988" s="46" t="n"/>
      <c r="X988" s="46" t="n"/>
      <c r="Y988" s="46" t="n"/>
    </row>
    <row r="989">
      <c r="A989" s="78" t="n">
        <v>46287</v>
      </c>
      <c r="B989" s="53" t="inlineStr">
        <is>
          <t>2026款探陆</t>
        </is>
      </c>
      <c r="C989" s="46" t="n"/>
      <c r="D989" s="46" t="n"/>
      <c r="E989" s="46" t="n"/>
      <c r="F989" s="46" t="n"/>
      <c r="G989" s="46" t="n"/>
      <c r="H989" s="46" t="n"/>
      <c r="I989" s="46" t="n"/>
      <c r="J989" s="46" t="n"/>
      <c r="K989" s="46" t="n"/>
      <c r="L989" s="46" t="n"/>
      <c r="M989" s="46">
        <f>N989-SUM(C989:L989)</f>
        <v/>
      </c>
      <c r="N989" s="47" t="n"/>
      <c r="O989" s="46" t="n"/>
      <c r="P989" s="46" t="n"/>
      <c r="Q989" s="46" t="n"/>
      <c r="R989" s="46" t="n"/>
      <c r="S989" s="46" t="n"/>
      <c r="T989" s="46" t="n"/>
      <c r="U989" s="46" t="n"/>
      <c r="V989" s="46" t="n"/>
      <c r="W989" s="46" t="n"/>
      <c r="X989" s="46" t="n"/>
      <c r="Y989" s="46" t="n"/>
    </row>
    <row r="990">
      <c r="A990" s="78" t="n">
        <v>46288</v>
      </c>
      <c r="B990" s="53" t="inlineStr">
        <is>
          <t>2026款探陆</t>
        </is>
      </c>
      <c r="C990" s="46" t="n"/>
      <c r="D990" s="46" t="n"/>
      <c r="E990" s="46" t="n"/>
      <c r="F990" s="46" t="n"/>
      <c r="G990" s="46" t="n"/>
      <c r="H990" s="46" t="n"/>
      <c r="I990" s="46" t="n"/>
      <c r="J990" s="46" t="n"/>
      <c r="K990" s="46" t="n"/>
      <c r="L990" s="46" t="n"/>
      <c r="M990" s="46">
        <f>N990-SUM(C990:L990)</f>
        <v/>
      </c>
      <c r="N990" s="47" t="n"/>
      <c r="O990" s="46" t="n"/>
      <c r="P990" s="46" t="n"/>
      <c r="Q990" s="46" t="n"/>
      <c r="R990" s="46" t="n"/>
      <c r="S990" s="46" t="n"/>
      <c r="T990" s="46" t="n"/>
      <c r="U990" s="46" t="n"/>
      <c r="V990" s="46" t="n"/>
      <c r="W990" s="46" t="n"/>
      <c r="X990" s="46" t="n"/>
      <c r="Y990" s="46" t="n"/>
    </row>
    <row r="991">
      <c r="A991" s="78" t="n">
        <v>46289</v>
      </c>
      <c r="B991" s="53" t="inlineStr">
        <is>
          <t>2026款探陆</t>
        </is>
      </c>
      <c r="C991" s="46" t="n"/>
      <c r="D991" s="46" t="n"/>
      <c r="E991" s="46" t="n"/>
      <c r="F991" s="46" t="n"/>
      <c r="G991" s="46" t="n"/>
      <c r="H991" s="46" t="n"/>
      <c r="I991" s="46" t="n"/>
      <c r="J991" s="46" t="n"/>
      <c r="K991" s="46" t="n"/>
      <c r="L991" s="46" t="n"/>
      <c r="M991" s="46">
        <f>N991-SUM(C991:L991)</f>
        <v/>
      </c>
      <c r="N991" s="47" t="n"/>
      <c r="O991" s="46" t="n"/>
      <c r="P991" s="46" t="n"/>
      <c r="Q991" s="46" t="n"/>
      <c r="R991" s="46" t="n"/>
      <c r="S991" s="46" t="n"/>
      <c r="T991" s="46" t="n"/>
      <c r="U991" s="46" t="n"/>
      <c r="V991" s="46" t="n"/>
      <c r="W991" s="46" t="n"/>
      <c r="X991" s="46" t="n"/>
      <c r="Y991" s="46" t="n"/>
    </row>
    <row r="992">
      <c r="A992" s="78" t="n">
        <v>46290</v>
      </c>
      <c r="B992" s="53" t="inlineStr">
        <is>
          <t>2026款探陆</t>
        </is>
      </c>
      <c r="C992" s="46" t="n"/>
      <c r="D992" s="46" t="n"/>
      <c r="E992" s="46" t="n"/>
      <c r="F992" s="46" t="n"/>
      <c r="G992" s="46" t="n"/>
      <c r="H992" s="46" t="n"/>
      <c r="I992" s="46" t="n"/>
      <c r="J992" s="46" t="n"/>
      <c r="K992" s="46" t="n"/>
      <c r="L992" s="46" t="n"/>
      <c r="M992" s="46">
        <f>N992-SUM(C992:L992)</f>
        <v/>
      </c>
      <c r="N992" s="47" t="n"/>
      <c r="O992" s="46" t="n"/>
      <c r="P992" s="46" t="n"/>
      <c r="Q992" s="46" t="n"/>
      <c r="R992" s="46" t="n"/>
      <c r="S992" s="46" t="n"/>
      <c r="T992" s="46" t="n"/>
      <c r="U992" s="46" t="n"/>
      <c r="V992" s="46" t="n"/>
      <c r="W992" s="46" t="n"/>
      <c r="X992" s="46" t="n"/>
      <c r="Y992" s="46" t="n"/>
    </row>
    <row r="993">
      <c r="A993" s="78" t="n">
        <v>46291</v>
      </c>
      <c r="B993" s="53" t="inlineStr">
        <is>
          <t>2026款探陆</t>
        </is>
      </c>
      <c r="C993" s="46" t="n"/>
      <c r="D993" s="46" t="n"/>
      <c r="E993" s="46" t="n"/>
      <c r="F993" s="46" t="n"/>
      <c r="G993" s="46" t="n"/>
      <c r="H993" s="46" t="n"/>
      <c r="I993" s="46" t="n"/>
      <c r="J993" s="46" t="n"/>
      <c r="K993" s="46" t="n"/>
      <c r="L993" s="46" t="n"/>
      <c r="M993" s="46">
        <f>N993-SUM(C993:L993)</f>
        <v/>
      </c>
      <c r="N993" s="47" t="n"/>
      <c r="O993" s="46" t="n"/>
      <c r="P993" s="46" t="n"/>
      <c r="Q993" s="46" t="n"/>
      <c r="R993" s="46" t="n"/>
      <c r="S993" s="46" t="n"/>
      <c r="T993" s="46" t="n"/>
      <c r="U993" s="46" t="n"/>
      <c r="V993" s="46" t="n"/>
      <c r="W993" s="46" t="n"/>
      <c r="X993" s="46" t="n"/>
      <c r="Y993" s="46" t="n"/>
    </row>
    <row r="994">
      <c r="A994" s="78" t="n">
        <v>46292</v>
      </c>
      <c r="B994" s="53" t="inlineStr">
        <is>
          <t>2026款探陆</t>
        </is>
      </c>
      <c r="C994" s="46" t="n"/>
      <c r="D994" s="46" t="n"/>
      <c r="E994" s="46" t="n"/>
      <c r="F994" s="46" t="n"/>
      <c r="G994" s="46" t="n"/>
      <c r="H994" s="46" t="n"/>
      <c r="I994" s="46" t="n"/>
      <c r="J994" s="46" t="n"/>
      <c r="K994" s="46" t="n"/>
      <c r="L994" s="46" t="n"/>
      <c r="M994" s="46">
        <f>N994-SUM(C994:L994)</f>
        <v/>
      </c>
      <c r="N994" s="47" t="n"/>
      <c r="O994" s="46" t="n"/>
      <c r="P994" s="46" t="n"/>
      <c r="Q994" s="46" t="n"/>
      <c r="R994" s="46" t="n"/>
      <c r="S994" s="46" t="n"/>
      <c r="T994" s="46" t="n"/>
      <c r="U994" s="46" t="n"/>
      <c r="V994" s="46" t="n"/>
      <c r="W994" s="46" t="n"/>
      <c r="X994" s="46" t="n"/>
      <c r="Y994" s="46" t="n"/>
    </row>
    <row r="995">
      <c r="A995" s="78" t="n">
        <v>46293</v>
      </c>
      <c r="B995" s="53" t="inlineStr">
        <is>
          <t>2026款探陆</t>
        </is>
      </c>
      <c r="C995" s="46" t="n"/>
      <c r="D995" s="46" t="n"/>
      <c r="E995" s="46" t="n"/>
      <c r="F995" s="46" t="n"/>
      <c r="G995" s="46" t="n"/>
      <c r="H995" s="46" t="n"/>
      <c r="I995" s="46" t="n"/>
      <c r="J995" s="46" t="n"/>
      <c r="K995" s="46" t="n"/>
      <c r="L995" s="46" t="n"/>
      <c r="M995" s="46">
        <f>N995-SUM(C995:L995)</f>
        <v/>
      </c>
      <c r="N995" s="47" t="n"/>
      <c r="O995" s="46" t="n"/>
      <c r="P995" s="46" t="n"/>
      <c r="Q995" s="46" t="n"/>
      <c r="R995" s="46" t="n"/>
      <c r="S995" s="46" t="n"/>
      <c r="T995" s="46" t="n"/>
      <c r="U995" s="46" t="n"/>
      <c r="V995" s="46" t="n"/>
      <c r="W995" s="46" t="n"/>
      <c r="X995" s="46" t="n"/>
      <c r="Y995" s="46" t="n"/>
    </row>
    <row r="996">
      <c r="A996" s="78" t="n">
        <v>46294</v>
      </c>
      <c r="B996" s="53" t="inlineStr">
        <is>
          <t>2026款探陆</t>
        </is>
      </c>
      <c r="C996" s="46" t="n"/>
      <c r="D996" s="46" t="n"/>
      <c r="E996" s="46" t="n"/>
      <c r="F996" s="46" t="n"/>
      <c r="G996" s="46" t="n"/>
      <c r="H996" s="46" t="n"/>
      <c r="I996" s="46" t="n"/>
      <c r="J996" s="46" t="n"/>
      <c r="K996" s="46" t="n"/>
      <c r="L996" s="46" t="n"/>
      <c r="M996" s="46">
        <f>N996-SUM(C996:L996)</f>
        <v/>
      </c>
      <c r="N996" s="47" t="n"/>
      <c r="O996" s="46" t="n"/>
      <c r="P996" s="46" t="n"/>
      <c r="Q996" s="46" t="n"/>
      <c r="R996" s="46" t="n"/>
      <c r="S996" s="46" t="n"/>
      <c r="T996" s="46" t="n"/>
      <c r="U996" s="46" t="n"/>
      <c r="V996" s="46" t="n"/>
      <c r="W996" s="46" t="n"/>
      <c r="X996" s="46" t="n"/>
      <c r="Y996" s="46" t="n"/>
    </row>
    <row r="997">
      <c r="A997" s="78" t="n">
        <v>46295</v>
      </c>
      <c r="B997" s="53" t="inlineStr">
        <is>
          <t>2026款探陆</t>
        </is>
      </c>
      <c r="C997" s="46" t="n"/>
      <c r="D997" s="46" t="n"/>
      <c r="E997" s="46" t="n"/>
      <c r="F997" s="46" t="n"/>
      <c r="G997" s="46" t="n"/>
      <c r="H997" s="46" t="n"/>
      <c r="I997" s="46" t="n"/>
      <c r="J997" s="46" t="n"/>
      <c r="K997" s="46" t="n"/>
      <c r="L997" s="46" t="n"/>
      <c r="M997" s="46">
        <f>N997-SUM(C997:L997)</f>
        <v/>
      </c>
      <c r="N997" s="47" t="n"/>
      <c r="O997" s="46" t="n"/>
      <c r="P997" s="46" t="n"/>
      <c r="Q997" s="46" t="n"/>
      <c r="R997" s="46" t="n"/>
      <c r="S997" s="46" t="n"/>
      <c r="T997" s="46" t="n"/>
      <c r="U997" s="46" t="n"/>
      <c r="V997" s="46" t="n"/>
      <c r="W997" s="46" t="n"/>
      <c r="X997" s="46" t="n"/>
      <c r="Y997" s="46" t="n"/>
    </row>
    <row r="998">
      <c r="A998" s="78" t="n">
        <v>46296</v>
      </c>
      <c r="B998" s="53" t="inlineStr">
        <is>
          <t>2026款探陆</t>
        </is>
      </c>
      <c r="C998" s="46" t="n"/>
      <c r="D998" s="46" t="n"/>
      <c r="E998" s="46" t="n"/>
      <c r="F998" s="46" t="n"/>
      <c r="G998" s="46" t="n"/>
      <c r="H998" s="46" t="n"/>
      <c r="I998" s="46" t="n"/>
      <c r="J998" s="46" t="n"/>
      <c r="K998" s="46" t="n"/>
      <c r="L998" s="46" t="n"/>
      <c r="M998" s="46">
        <f>N998-SUM(C998:L998)</f>
        <v/>
      </c>
      <c r="N998" s="47" t="n"/>
      <c r="O998" s="46" t="n"/>
      <c r="P998" s="46" t="n"/>
      <c r="Q998" s="46" t="n"/>
      <c r="R998" s="46" t="n"/>
      <c r="S998" s="46" t="n"/>
      <c r="T998" s="46" t="n"/>
      <c r="U998" s="46" t="n"/>
      <c r="V998" s="46" t="n"/>
      <c r="W998" s="46" t="n"/>
      <c r="X998" s="46" t="n"/>
      <c r="Y998" s="46" t="n"/>
    </row>
    <row r="999">
      <c r="A999" s="78" t="n">
        <v>46297</v>
      </c>
      <c r="B999" s="53" t="inlineStr">
        <is>
          <t>2026款探陆</t>
        </is>
      </c>
      <c r="C999" s="46" t="n"/>
      <c r="D999" s="46" t="n"/>
      <c r="E999" s="46" t="n"/>
      <c r="F999" s="46" t="n"/>
      <c r="G999" s="46" t="n"/>
      <c r="H999" s="46" t="n"/>
      <c r="I999" s="46" t="n"/>
      <c r="J999" s="46" t="n"/>
      <c r="K999" s="46" t="n"/>
      <c r="L999" s="46" t="n"/>
      <c r="M999" s="46">
        <f>N999-SUM(C999:L999)</f>
        <v/>
      </c>
      <c r="N999" s="47" t="n"/>
      <c r="O999" s="46" t="n"/>
      <c r="P999" s="46" t="n"/>
      <c r="Q999" s="46" t="n"/>
      <c r="R999" s="46" t="n"/>
      <c r="S999" s="46" t="n"/>
      <c r="T999" s="46" t="n"/>
      <c r="U999" s="46" t="n"/>
      <c r="V999" s="46" t="n"/>
      <c r="W999" s="46" t="n"/>
      <c r="X999" s="46" t="n"/>
      <c r="Y999" s="46" t="n"/>
    </row>
    <row r="1000">
      <c r="A1000" s="78" t="n">
        <v>46298</v>
      </c>
      <c r="B1000" s="53" t="inlineStr">
        <is>
          <t>2026款探陆</t>
        </is>
      </c>
      <c r="C1000" s="46" t="n"/>
      <c r="D1000" s="46" t="n"/>
      <c r="E1000" s="46" t="n"/>
      <c r="F1000" s="46" t="n"/>
      <c r="G1000" s="46" t="n"/>
      <c r="H1000" s="46" t="n"/>
      <c r="I1000" s="46" t="n"/>
      <c r="J1000" s="46" t="n"/>
      <c r="K1000" s="46" t="n"/>
      <c r="L1000" s="46" t="n"/>
      <c r="M1000" s="46">
        <f>N1000-SUM(C1000:L1000)</f>
        <v/>
      </c>
      <c r="N1000" s="47" t="n"/>
      <c r="O1000" s="46" t="n"/>
      <c r="P1000" s="46" t="n"/>
      <c r="Q1000" s="46" t="n"/>
      <c r="R1000" s="46" t="n"/>
      <c r="S1000" s="46" t="n"/>
      <c r="T1000" s="46" t="n"/>
      <c r="U1000" s="46" t="n"/>
      <c r="V1000" s="46" t="n"/>
      <c r="W1000" s="46" t="n"/>
      <c r="X1000" s="46" t="n"/>
      <c r="Y1000" s="46" t="n"/>
    </row>
    <row r="1001">
      <c r="A1001" s="78" t="n">
        <v>46299</v>
      </c>
      <c r="B1001" s="53" t="inlineStr">
        <is>
          <t>2026款探陆</t>
        </is>
      </c>
      <c r="C1001" s="46" t="n"/>
      <c r="D1001" s="46" t="n"/>
      <c r="E1001" s="46" t="n"/>
      <c r="F1001" s="46" t="n"/>
      <c r="G1001" s="46" t="n"/>
      <c r="H1001" s="46" t="n"/>
      <c r="I1001" s="46" t="n"/>
      <c r="J1001" s="46" t="n"/>
      <c r="K1001" s="46" t="n"/>
      <c r="L1001" s="46" t="n"/>
      <c r="M1001" s="46">
        <f>N1001-SUM(C1001:L1001)</f>
        <v/>
      </c>
      <c r="N1001" s="47" t="n"/>
      <c r="O1001" s="46" t="n"/>
      <c r="P1001" s="46" t="n"/>
      <c r="Q1001" s="46" t="n"/>
      <c r="R1001" s="46" t="n"/>
      <c r="S1001" s="46" t="n"/>
      <c r="T1001" s="46" t="n"/>
      <c r="U1001" s="46" t="n"/>
      <c r="V1001" s="46" t="n"/>
      <c r="W1001" s="46" t="n"/>
      <c r="X1001" s="46" t="n"/>
      <c r="Y1001" s="46" t="n"/>
    </row>
    <row r="1002">
      <c r="A1002" s="78" t="n">
        <v>46300</v>
      </c>
      <c r="B1002" s="53" t="inlineStr">
        <is>
          <t>2026款探陆</t>
        </is>
      </c>
      <c r="C1002" s="46" t="n"/>
      <c r="D1002" s="46" t="n"/>
      <c r="E1002" s="46" t="n"/>
      <c r="F1002" s="46" t="n"/>
      <c r="G1002" s="46" t="n"/>
      <c r="H1002" s="46" t="n"/>
      <c r="I1002" s="46" t="n"/>
      <c r="J1002" s="46" t="n"/>
      <c r="K1002" s="46" t="n"/>
      <c r="L1002" s="46" t="n"/>
      <c r="M1002" s="46">
        <f>N1002-SUM(C1002:L1002)</f>
        <v/>
      </c>
      <c r="N1002" s="47" t="n"/>
      <c r="O1002" s="46" t="n"/>
      <c r="P1002" s="46" t="n"/>
      <c r="Q1002" s="46" t="n"/>
      <c r="R1002" s="46" t="n"/>
      <c r="S1002" s="46" t="n"/>
      <c r="T1002" s="46" t="n"/>
      <c r="U1002" s="46" t="n"/>
      <c r="V1002" s="46" t="n"/>
      <c r="W1002" s="46" t="n"/>
      <c r="X1002" s="46" t="n"/>
      <c r="Y1002" s="46" t="n"/>
    </row>
    <row r="1003">
      <c r="A1003" s="78" t="n">
        <v>46301</v>
      </c>
      <c r="B1003" s="53" t="inlineStr">
        <is>
          <t>2026款探陆</t>
        </is>
      </c>
      <c r="C1003" s="46" t="n"/>
      <c r="D1003" s="46" t="n"/>
      <c r="E1003" s="46" t="n"/>
      <c r="F1003" s="46" t="n"/>
      <c r="G1003" s="46" t="n"/>
      <c r="H1003" s="46" t="n"/>
      <c r="I1003" s="46" t="n"/>
      <c r="J1003" s="46" t="n"/>
      <c r="K1003" s="46" t="n"/>
      <c r="L1003" s="46" t="n"/>
      <c r="M1003" s="46">
        <f>N1003-SUM(C1003:L1003)</f>
        <v/>
      </c>
      <c r="N1003" s="47" t="n"/>
      <c r="O1003" s="46" t="n"/>
      <c r="P1003" s="46" t="n"/>
      <c r="Q1003" s="46" t="n"/>
      <c r="R1003" s="46" t="n"/>
      <c r="S1003" s="46" t="n"/>
      <c r="T1003" s="46" t="n"/>
      <c r="U1003" s="46" t="n"/>
      <c r="V1003" s="46" t="n"/>
      <c r="W1003" s="46" t="n"/>
      <c r="X1003" s="46" t="n"/>
      <c r="Y1003" s="46" t="n"/>
    </row>
    <row r="1004">
      <c r="A1004" s="78" t="n">
        <v>46302</v>
      </c>
      <c r="B1004" s="53" t="inlineStr">
        <is>
          <t>2026款探陆</t>
        </is>
      </c>
      <c r="C1004" s="46" t="n"/>
      <c r="D1004" s="46" t="n"/>
      <c r="E1004" s="46" t="n"/>
      <c r="F1004" s="46" t="n"/>
      <c r="G1004" s="46" t="n"/>
      <c r="H1004" s="46" t="n"/>
      <c r="I1004" s="46" t="n"/>
      <c r="J1004" s="46" t="n"/>
      <c r="K1004" s="46" t="n"/>
      <c r="L1004" s="46" t="n"/>
      <c r="M1004" s="46">
        <f>N1004-SUM(C1004:L1004)</f>
        <v/>
      </c>
      <c r="N1004" s="47" t="n"/>
      <c r="O1004" s="46" t="n"/>
      <c r="P1004" s="46" t="n"/>
      <c r="Q1004" s="46" t="n"/>
      <c r="R1004" s="46" t="n"/>
      <c r="S1004" s="46" t="n"/>
      <c r="T1004" s="46" t="n"/>
      <c r="U1004" s="46" t="n"/>
      <c r="V1004" s="46" t="n"/>
      <c r="W1004" s="46" t="n"/>
      <c r="X1004" s="46" t="n"/>
      <c r="Y1004" s="46" t="n"/>
    </row>
    <row r="1005">
      <c r="A1005" s="78" t="n">
        <v>46303</v>
      </c>
      <c r="B1005" s="53" t="inlineStr">
        <is>
          <t>2026款探陆</t>
        </is>
      </c>
      <c r="C1005" s="46" t="n"/>
      <c r="D1005" s="46" t="n"/>
      <c r="E1005" s="46" t="n"/>
      <c r="F1005" s="46" t="n"/>
      <c r="G1005" s="46" t="n"/>
      <c r="H1005" s="46" t="n"/>
      <c r="I1005" s="46" t="n"/>
      <c r="J1005" s="46" t="n"/>
      <c r="K1005" s="46" t="n"/>
      <c r="L1005" s="46" t="n"/>
      <c r="M1005" s="46">
        <f>N1005-SUM(C1005:L1005)</f>
        <v/>
      </c>
      <c r="N1005" s="47" t="n"/>
      <c r="O1005" s="46" t="n"/>
      <c r="P1005" s="46" t="n"/>
      <c r="Q1005" s="46" t="n"/>
      <c r="R1005" s="46" t="n"/>
      <c r="S1005" s="46" t="n"/>
      <c r="T1005" s="46" t="n"/>
      <c r="U1005" s="46" t="n"/>
      <c r="V1005" s="46" t="n"/>
      <c r="W1005" s="46" t="n"/>
      <c r="X1005" s="46" t="n"/>
      <c r="Y1005" s="46" t="n"/>
    </row>
    <row r="1006">
      <c r="A1006" s="78" t="n">
        <v>46304</v>
      </c>
      <c r="B1006" s="53" t="inlineStr">
        <is>
          <t>2026款探陆</t>
        </is>
      </c>
      <c r="C1006" s="46" t="n"/>
      <c r="D1006" s="46" t="n"/>
      <c r="E1006" s="46" t="n"/>
      <c r="F1006" s="46" t="n"/>
      <c r="G1006" s="46" t="n"/>
      <c r="H1006" s="46" t="n"/>
      <c r="I1006" s="46" t="n"/>
      <c r="J1006" s="46" t="n"/>
      <c r="K1006" s="46" t="n"/>
      <c r="L1006" s="46" t="n"/>
      <c r="M1006" s="46">
        <f>N1006-SUM(C1006:L1006)</f>
        <v/>
      </c>
      <c r="N1006" s="47" t="n"/>
      <c r="O1006" s="46" t="n"/>
      <c r="P1006" s="46" t="n"/>
      <c r="Q1006" s="46" t="n"/>
      <c r="R1006" s="46" t="n"/>
      <c r="S1006" s="46" t="n"/>
      <c r="T1006" s="46" t="n"/>
      <c r="U1006" s="46" t="n"/>
      <c r="V1006" s="46" t="n"/>
      <c r="W1006" s="46" t="n"/>
      <c r="X1006" s="46" t="n"/>
      <c r="Y1006" s="46" t="n"/>
    </row>
    <row r="1007">
      <c r="A1007" s="78" t="n">
        <v>46305</v>
      </c>
      <c r="B1007" s="53" t="inlineStr">
        <is>
          <t>2026款探陆</t>
        </is>
      </c>
      <c r="C1007" s="46" t="n"/>
      <c r="D1007" s="46" t="n"/>
      <c r="E1007" s="46" t="n"/>
      <c r="F1007" s="46" t="n"/>
      <c r="G1007" s="46" t="n"/>
      <c r="H1007" s="46" t="n"/>
      <c r="I1007" s="46" t="n"/>
      <c r="J1007" s="46" t="n"/>
      <c r="K1007" s="46" t="n"/>
      <c r="L1007" s="46" t="n"/>
      <c r="M1007" s="46">
        <f>N1007-SUM(C1007:L1007)</f>
        <v/>
      </c>
      <c r="N1007" s="47" t="n"/>
      <c r="O1007" s="46" t="n"/>
      <c r="P1007" s="46" t="n"/>
      <c r="Q1007" s="46" t="n"/>
      <c r="R1007" s="46" t="n"/>
      <c r="S1007" s="46" t="n"/>
      <c r="T1007" s="46" t="n"/>
      <c r="U1007" s="46" t="n"/>
      <c r="V1007" s="46" t="n"/>
      <c r="W1007" s="46" t="n"/>
      <c r="X1007" s="46" t="n"/>
      <c r="Y1007" s="46" t="n"/>
    </row>
    <row r="1008">
      <c r="A1008" s="78" t="n">
        <v>46306</v>
      </c>
      <c r="B1008" s="53" t="inlineStr">
        <is>
          <t>2026款探陆</t>
        </is>
      </c>
      <c r="C1008" s="46" t="n"/>
      <c r="D1008" s="46" t="n"/>
      <c r="E1008" s="46" t="n"/>
      <c r="F1008" s="46" t="n"/>
      <c r="G1008" s="46" t="n"/>
      <c r="H1008" s="46" t="n"/>
      <c r="I1008" s="46" t="n"/>
      <c r="J1008" s="46" t="n"/>
      <c r="K1008" s="46" t="n"/>
      <c r="L1008" s="46" t="n"/>
      <c r="M1008" s="46">
        <f>N1008-SUM(C1008:L1008)</f>
        <v/>
      </c>
      <c r="N1008" s="47" t="n"/>
      <c r="O1008" s="46" t="n"/>
      <c r="P1008" s="46" t="n"/>
      <c r="Q1008" s="46" t="n"/>
      <c r="R1008" s="46" t="n"/>
      <c r="S1008" s="46" t="n"/>
      <c r="T1008" s="46" t="n"/>
      <c r="U1008" s="46" t="n"/>
      <c r="V1008" s="46" t="n"/>
      <c r="W1008" s="46" t="n"/>
      <c r="X1008" s="46" t="n"/>
      <c r="Y1008" s="46" t="n"/>
    </row>
    <row r="1009">
      <c r="A1009" s="78" t="n">
        <v>46307</v>
      </c>
      <c r="B1009" s="53" t="inlineStr">
        <is>
          <t>2026款探陆</t>
        </is>
      </c>
      <c r="C1009" s="46" t="n"/>
      <c r="D1009" s="46" t="n"/>
      <c r="E1009" s="46" t="n"/>
      <c r="F1009" s="46" t="n"/>
      <c r="G1009" s="46" t="n"/>
      <c r="H1009" s="46" t="n"/>
      <c r="I1009" s="46" t="n"/>
      <c r="J1009" s="46" t="n"/>
      <c r="K1009" s="46" t="n"/>
      <c r="L1009" s="46" t="n"/>
      <c r="M1009" s="46">
        <f>N1009-SUM(C1009:L1009)</f>
        <v/>
      </c>
      <c r="N1009" s="47" t="n"/>
      <c r="O1009" s="46" t="n"/>
      <c r="P1009" s="46" t="n"/>
      <c r="Q1009" s="46" t="n"/>
      <c r="R1009" s="46" t="n"/>
      <c r="S1009" s="46" t="n"/>
      <c r="T1009" s="46" t="n"/>
      <c r="U1009" s="46" t="n"/>
      <c r="V1009" s="46" t="n"/>
      <c r="W1009" s="46" t="n"/>
      <c r="X1009" s="46" t="n"/>
      <c r="Y1009" s="46" t="n"/>
    </row>
    <row r="1010">
      <c r="A1010" s="78" t="n">
        <v>46308</v>
      </c>
      <c r="B1010" s="53" t="inlineStr">
        <is>
          <t>2026款探陆</t>
        </is>
      </c>
      <c r="C1010" s="46" t="n"/>
      <c r="D1010" s="46" t="n"/>
      <c r="E1010" s="46" t="n"/>
      <c r="F1010" s="46" t="n"/>
      <c r="G1010" s="46" t="n"/>
      <c r="H1010" s="46" t="n"/>
      <c r="I1010" s="46" t="n"/>
      <c r="J1010" s="46" t="n"/>
      <c r="K1010" s="46" t="n"/>
      <c r="L1010" s="46" t="n"/>
      <c r="M1010" s="46">
        <f>N1010-SUM(C1010:L1010)</f>
        <v/>
      </c>
      <c r="N1010" s="47" t="n"/>
      <c r="O1010" s="46" t="n"/>
      <c r="P1010" s="46" t="n"/>
      <c r="Q1010" s="46" t="n"/>
      <c r="R1010" s="46" t="n"/>
      <c r="S1010" s="46" t="n"/>
      <c r="T1010" s="46" t="n"/>
      <c r="U1010" s="46" t="n"/>
      <c r="V1010" s="46" t="n"/>
      <c r="W1010" s="46" t="n"/>
      <c r="X1010" s="46" t="n"/>
      <c r="Y1010" s="46" t="n"/>
    </row>
    <row r="1011">
      <c r="A1011" s="78" t="n">
        <v>46309</v>
      </c>
      <c r="B1011" s="53" t="inlineStr">
        <is>
          <t>2026款探陆</t>
        </is>
      </c>
      <c r="C1011" s="46" t="n"/>
      <c r="D1011" s="46" t="n"/>
      <c r="E1011" s="46" t="n"/>
      <c r="F1011" s="46" t="n"/>
      <c r="G1011" s="46" t="n"/>
      <c r="H1011" s="46" t="n"/>
      <c r="I1011" s="46" t="n"/>
      <c r="J1011" s="46" t="n"/>
      <c r="K1011" s="46" t="n"/>
      <c r="L1011" s="46" t="n"/>
      <c r="M1011" s="46">
        <f>N1011-SUM(C1011:L1011)</f>
        <v/>
      </c>
      <c r="N1011" s="47" t="n"/>
      <c r="O1011" s="46" t="n"/>
      <c r="P1011" s="46" t="n"/>
      <c r="Q1011" s="46" t="n"/>
      <c r="R1011" s="46" t="n"/>
      <c r="S1011" s="46" t="n"/>
      <c r="T1011" s="46" t="n"/>
      <c r="U1011" s="46" t="n"/>
      <c r="V1011" s="46" t="n"/>
      <c r="W1011" s="46" t="n"/>
      <c r="X1011" s="46" t="n"/>
      <c r="Y1011" s="46" t="n"/>
    </row>
    <row r="1012">
      <c r="A1012" s="78" t="n">
        <v>46310</v>
      </c>
      <c r="B1012" s="53" t="inlineStr">
        <is>
          <t>2026款探陆</t>
        </is>
      </c>
      <c r="C1012" s="46" t="n"/>
      <c r="D1012" s="46" t="n"/>
      <c r="E1012" s="46" t="n"/>
      <c r="F1012" s="46" t="n"/>
      <c r="G1012" s="46" t="n"/>
      <c r="H1012" s="46" t="n"/>
      <c r="I1012" s="46" t="n"/>
      <c r="J1012" s="46" t="n"/>
      <c r="K1012" s="46" t="n"/>
      <c r="L1012" s="46" t="n"/>
      <c r="M1012" s="46">
        <f>N1012-SUM(C1012:L1012)</f>
        <v/>
      </c>
      <c r="N1012" s="47" t="n"/>
      <c r="O1012" s="46" t="n"/>
      <c r="P1012" s="46" t="n"/>
      <c r="Q1012" s="46" t="n"/>
      <c r="R1012" s="46" t="n"/>
      <c r="S1012" s="46" t="n"/>
      <c r="T1012" s="46" t="n"/>
      <c r="U1012" s="46" t="n"/>
      <c r="V1012" s="46" t="n"/>
      <c r="W1012" s="46" t="n"/>
      <c r="X1012" s="46" t="n"/>
      <c r="Y1012" s="46" t="n"/>
    </row>
    <row r="1013">
      <c r="A1013" s="78" t="n">
        <v>46311</v>
      </c>
      <c r="B1013" s="53" t="inlineStr">
        <is>
          <t>2026款探陆</t>
        </is>
      </c>
      <c r="C1013" s="46" t="n"/>
      <c r="D1013" s="46" t="n"/>
      <c r="E1013" s="46" t="n"/>
      <c r="F1013" s="46" t="n"/>
      <c r="G1013" s="46" t="n"/>
      <c r="H1013" s="46" t="n"/>
      <c r="I1013" s="46" t="n"/>
      <c r="J1013" s="46" t="n"/>
      <c r="K1013" s="46" t="n"/>
      <c r="L1013" s="46" t="n"/>
      <c r="M1013" s="46">
        <f>N1013-SUM(C1013:L1013)</f>
        <v/>
      </c>
      <c r="N1013" s="47" t="n"/>
      <c r="O1013" s="46" t="n"/>
      <c r="P1013" s="46" t="n"/>
      <c r="Q1013" s="46" t="n"/>
      <c r="R1013" s="46" t="n"/>
      <c r="S1013" s="46" t="n"/>
      <c r="T1013" s="46" t="n"/>
      <c r="U1013" s="46" t="n"/>
      <c r="V1013" s="46" t="n"/>
      <c r="W1013" s="46" t="n"/>
      <c r="X1013" s="46" t="n"/>
      <c r="Y1013" s="46" t="n"/>
    </row>
    <row r="1014">
      <c r="A1014" s="78" t="n">
        <v>46312</v>
      </c>
      <c r="B1014" s="53" t="inlineStr">
        <is>
          <t>2026款探陆</t>
        </is>
      </c>
      <c r="C1014" s="46" t="n"/>
      <c r="D1014" s="46" t="n"/>
      <c r="E1014" s="46" t="n"/>
      <c r="F1014" s="46" t="n"/>
      <c r="G1014" s="46" t="n"/>
      <c r="H1014" s="46" t="n"/>
      <c r="I1014" s="46" t="n"/>
      <c r="J1014" s="46" t="n"/>
      <c r="K1014" s="46" t="n"/>
      <c r="L1014" s="46" t="n"/>
      <c r="M1014" s="46">
        <f>N1014-SUM(C1014:L1014)</f>
        <v/>
      </c>
      <c r="N1014" s="47" t="n"/>
      <c r="O1014" s="46" t="n"/>
      <c r="P1014" s="46" t="n"/>
      <c r="Q1014" s="46" t="n"/>
      <c r="R1014" s="46" t="n"/>
      <c r="S1014" s="46" t="n"/>
      <c r="T1014" s="46" t="n"/>
      <c r="U1014" s="46" t="n"/>
      <c r="V1014" s="46" t="n"/>
      <c r="W1014" s="46" t="n"/>
      <c r="X1014" s="46" t="n"/>
      <c r="Y1014" s="46" t="n"/>
    </row>
    <row r="1015">
      <c r="A1015" s="78" t="n">
        <v>46313</v>
      </c>
      <c r="B1015" s="53" t="inlineStr">
        <is>
          <t>2026款探陆</t>
        </is>
      </c>
      <c r="C1015" s="46" t="n"/>
      <c r="D1015" s="46" t="n"/>
      <c r="E1015" s="46" t="n"/>
      <c r="F1015" s="46" t="n"/>
      <c r="G1015" s="46" t="n"/>
      <c r="H1015" s="46" t="n"/>
      <c r="I1015" s="46" t="n"/>
      <c r="J1015" s="46" t="n"/>
      <c r="K1015" s="46" t="n"/>
      <c r="L1015" s="46" t="n"/>
      <c r="M1015" s="46">
        <f>N1015-SUM(C1015:L1015)</f>
        <v/>
      </c>
      <c r="N1015" s="47" t="n"/>
      <c r="O1015" s="46" t="n"/>
      <c r="P1015" s="46" t="n"/>
      <c r="Q1015" s="46" t="n"/>
      <c r="R1015" s="46" t="n"/>
      <c r="S1015" s="46" t="n"/>
      <c r="T1015" s="46" t="n"/>
      <c r="U1015" s="46" t="n"/>
      <c r="V1015" s="46" t="n"/>
      <c r="W1015" s="46" t="n"/>
      <c r="X1015" s="46" t="n"/>
      <c r="Y1015" s="46" t="n"/>
    </row>
    <row r="1016">
      <c r="A1016" s="78" t="n">
        <v>46314</v>
      </c>
      <c r="B1016" s="53" t="inlineStr">
        <is>
          <t>2026款探陆</t>
        </is>
      </c>
      <c r="C1016" s="46" t="n"/>
      <c r="D1016" s="46" t="n"/>
      <c r="E1016" s="46" t="n"/>
      <c r="F1016" s="46" t="n"/>
      <c r="G1016" s="46" t="n"/>
      <c r="H1016" s="46" t="n"/>
      <c r="I1016" s="46" t="n"/>
      <c r="J1016" s="46" t="n"/>
      <c r="K1016" s="46" t="n"/>
      <c r="L1016" s="46" t="n"/>
      <c r="M1016" s="46">
        <f>N1016-SUM(C1016:L1016)</f>
        <v/>
      </c>
      <c r="N1016" s="47" t="n"/>
      <c r="O1016" s="46" t="n"/>
      <c r="P1016" s="46" t="n"/>
      <c r="Q1016" s="46" t="n"/>
      <c r="R1016" s="46" t="n"/>
      <c r="S1016" s="46" t="n"/>
      <c r="T1016" s="46" t="n"/>
      <c r="U1016" s="46" t="n"/>
      <c r="V1016" s="46" t="n"/>
      <c r="W1016" s="46" t="n"/>
      <c r="X1016" s="46" t="n"/>
      <c r="Y1016" s="46" t="n"/>
    </row>
    <row r="1017">
      <c r="A1017" s="78" t="n">
        <v>46315</v>
      </c>
      <c r="B1017" s="53" t="inlineStr">
        <is>
          <t>2026款探陆</t>
        </is>
      </c>
      <c r="C1017" s="46" t="n"/>
      <c r="D1017" s="46" t="n"/>
      <c r="E1017" s="46" t="n"/>
      <c r="F1017" s="46" t="n"/>
      <c r="G1017" s="46" t="n"/>
      <c r="H1017" s="46" t="n"/>
      <c r="I1017" s="46" t="n"/>
      <c r="J1017" s="46" t="n"/>
      <c r="K1017" s="46" t="n"/>
      <c r="L1017" s="46" t="n"/>
      <c r="M1017" s="46">
        <f>N1017-SUM(C1017:L1017)</f>
        <v/>
      </c>
      <c r="N1017" s="47" t="n"/>
      <c r="O1017" s="46" t="n"/>
      <c r="P1017" s="46" t="n"/>
      <c r="Q1017" s="46" t="n"/>
      <c r="R1017" s="46" t="n"/>
      <c r="S1017" s="46" t="n"/>
      <c r="T1017" s="46" t="n"/>
      <c r="U1017" s="46" t="n"/>
      <c r="V1017" s="46" t="n"/>
      <c r="W1017" s="46" t="n"/>
      <c r="X1017" s="46" t="n"/>
      <c r="Y1017" s="46" t="n"/>
    </row>
    <row r="1018">
      <c r="A1018" s="78" t="n">
        <v>46316</v>
      </c>
      <c r="B1018" s="53" t="inlineStr">
        <is>
          <t>2026款探陆</t>
        </is>
      </c>
      <c r="C1018" s="46" t="n"/>
      <c r="D1018" s="46" t="n"/>
      <c r="E1018" s="46" t="n"/>
      <c r="F1018" s="46" t="n"/>
      <c r="G1018" s="46" t="n"/>
      <c r="H1018" s="46" t="n"/>
      <c r="I1018" s="46" t="n"/>
      <c r="J1018" s="46" t="n"/>
      <c r="K1018" s="46" t="n"/>
      <c r="L1018" s="46" t="n"/>
      <c r="M1018" s="46">
        <f>N1018-SUM(C1018:L1018)</f>
        <v/>
      </c>
      <c r="N1018" s="47" t="n"/>
      <c r="O1018" s="46" t="n"/>
      <c r="P1018" s="46" t="n"/>
      <c r="Q1018" s="46" t="n"/>
      <c r="R1018" s="46" t="n"/>
      <c r="S1018" s="46" t="n"/>
      <c r="T1018" s="46" t="n"/>
      <c r="U1018" s="46" t="n"/>
      <c r="V1018" s="46" t="n"/>
      <c r="W1018" s="46" t="n"/>
      <c r="X1018" s="46" t="n"/>
      <c r="Y1018" s="46" t="n"/>
    </row>
    <row r="1019">
      <c r="A1019" s="78" t="n">
        <v>46317</v>
      </c>
      <c r="B1019" s="53" t="inlineStr">
        <is>
          <t>2026款探陆</t>
        </is>
      </c>
      <c r="C1019" s="46" t="n"/>
      <c r="D1019" s="46" t="n"/>
      <c r="E1019" s="46" t="n"/>
      <c r="F1019" s="46" t="n"/>
      <c r="G1019" s="46" t="n"/>
      <c r="H1019" s="46" t="n"/>
      <c r="I1019" s="46" t="n"/>
      <c r="J1019" s="46" t="n"/>
      <c r="K1019" s="46" t="n"/>
      <c r="L1019" s="46" t="n"/>
      <c r="M1019" s="46">
        <f>N1019-SUM(C1019:L1019)</f>
        <v/>
      </c>
      <c r="N1019" s="47" t="n"/>
      <c r="O1019" s="46" t="n"/>
      <c r="P1019" s="46" t="n"/>
      <c r="Q1019" s="46" t="n"/>
      <c r="R1019" s="46" t="n"/>
      <c r="S1019" s="46" t="n"/>
      <c r="T1019" s="46" t="n"/>
      <c r="U1019" s="46" t="n"/>
      <c r="V1019" s="46" t="n"/>
      <c r="W1019" s="46" t="n"/>
      <c r="X1019" s="46" t="n"/>
      <c r="Y1019" s="46" t="n"/>
    </row>
    <row r="1020">
      <c r="A1020" s="78" t="n">
        <v>46318</v>
      </c>
      <c r="B1020" s="53" t="inlineStr">
        <is>
          <t>2026款探陆</t>
        </is>
      </c>
      <c r="C1020" s="46" t="n"/>
      <c r="D1020" s="46" t="n"/>
      <c r="E1020" s="46" t="n"/>
      <c r="F1020" s="46" t="n"/>
      <c r="G1020" s="46" t="n"/>
      <c r="H1020" s="46" t="n"/>
      <c r="I1020" s="46" t="n"/>
      <c r="J1020" s="46" t="n"/>
      <c r="K1020" s="46" t="n"/>
      <c r="L1020" s="46" t="n"/>
      <c r="M1020" s="46">
        <f>N1020-SUM(C1020:L1020)</f>
        <v/>
      </c>
      <c r="N1020" s="47" t="n"/>
      <c r="O1020" s="46" t="n"/>
      <c r="P1020" s="46" t="n"/>
      <c r="Q1020" s="46" t="n"/>
      <c r="R1020" s="46" t="n"/>
      <c r="S1020" s="46" t="n"/>
      <c r="T1020" s="46" t="n"/>
      <c r="U1020" s="46" t="n"/>
      <c r="V1020" s="46" t="n"/>
      <c r="W1020" s="46" t="n"/>
      <c r="X1020" s="46" t="n"/>
      <c r="Y1020" s="46" t="n"/>
    </row>
    <row r="1021">
      <c r="A1021" s="78" t="n">
        <v>46319</v>
      </c>
      <c r="B1021" s="53" t="inlineStr">
        <is>
          <t>2026款探陆</t>
        </is>
      </c>
      <c r="C1021" s="46" t="n"/>
      <c r="D1021" s="46" t="n"/>
      <c r="E1021" s="46" t="n"/>
      <c r="F1021" s="46" t="n"/>
      <c r="G1021" s="46" t="n"/>
      <c r="H1021" s="46" t="n"/>
      <c r="I1021" s="46" t="n"/>
      <c r="J1021" s="46" t="n"/>
      <c r="K1021" s="46" t="n"/>
      <c r="L1021" s="46" t="n"/>
      <c r="M1021" s="46">
        <f>N1021-SUM(C1021:L1021)</f>
        <v/>
      </c>
      <c r="N1021" s="47" t="n"/>
      <c r="O1021" s="46" t="n"/>
      <c r="P1021" s="46" t="n"/>
      <c r="Q1021" s="46" t="n"/>
      <c r="R1021" s="46" t="n"/>
      <c r="S1021" s="46" t="n"/>
      <c r="T1021" s="46" t="n"/>
      <c r="U1021" s="46" t="n"/>
      <c r="V1021" s="46" t="n"/>
      <c r="W1021" s="46" t="n"/>
      <c r="X1021" s="46" t="n"/>
      <c r="Y1021" s="46" t="n"/>
    </row>
    <row r="1022">
      <c r="A1022" s="78" t="n">
        <v>46320</v>
      </c>
      <c r="B1022" s="53" t="inlineStr">
        <is>
          <t>2026款探陆</t>
        </is>
      </c>
      <c r="C1022" s="46" t="n"/>
      <c r="D1022" s="46" t="n"/>
      <c r="E1022" s="46" t="n"/>
      <c r="F1022" s="46" t="n"/>
      <c r="G1022" s="46" t="n"/>
      <c r="H1022" s="46" t="n"/>
      <c r="I1022" s="46" t="n"/>
      <c r="J1022" s="46" t="n"/>
      <c r="K1022" s="46" t="n"/>
      <c r="L1022" s="46" t="n"/>
      <c r="M1022" s="46">
        <f>N1022-SUM(C1022:L1022)</f>
        <v/>
      </c>
      <c r="N1022" s="47" t="n"/>
      <c r="O1022" s="46" t="n"/>
      <c r="P1022" s="46" t="n"/>
      <c r="Q1022" s="46" t="n"/>
      <c r="R1022" s="46" t="n"/>
      <c r="S1022" s="46" t="n"/>
      <c r="T1022" s="46" t="n"/>
      <c r="U1022" s="46" t="n"/>
      <c r="V1022" s="46" t="n"/>
      <c r="W1022" s="46" t="n"/>
      <c r="X1022" s="46" t="n"/>
      <c r="Y1022" s="46" t="n"/>
    </row>
    <row r="1023">
      <c r="A1023" s="78" t="n">
        <v>46321</v>
      </c>
      <c r="B1023" s="53" t="inlineStr">
        <is>
          <t>2026款探陆</t>
        </is>
      </c>
      <c r="C1023" s="46" t="n"/>
      <c r="D1023" s="46" t="n"/>
      <c r="E1023" s="46" t="n"/>
      <c r="F1023" s="46" t="n"/>
      <c r="G1023" s="46" t="n"/>
      <c r="H1023" s="46" t="n"/>
      <c r="I1023" s="46" t="n"/>
      <c r="J1023" s="46" t="n"/>
      <c r="K1023" s="46" t="n"/>
      <c r="L1023" s="46" t="n"/>
      <c r="M1023" s="46">
        <f>N1023-SUM(C1023:L1023)</f>
        <v/>
      </c>
      <c r="N1023" s="47" t="n"/>
      <c r="O1023" s="46" t="n"/>
      <c r="P1023" s="46" t="n"/>
      <c r="Q1023" s="46" t="n"/>
      <c r="R1023" s="46" t="n"/>
      <c r="S1023" s="46" t="n"/>
      <c r="T1023" s="46" t="n"/>
      <c r="U1023" s="46" t="n"/>
      <c r="V1023" s="46" t="n"/>
      <c r="W1023" s="46" t="n"/>
      <c r="X1023" s="46" t="n"/>
      <c r="Y1023" s="46" t="n"/>
    </row>
    <row r="1024">
      <c r="A1024" s="78" t="n">
        <v>46322</v>
      </c>
      <c r="B1024" s="53" t="inlineStr">
        <is>
          <t>2026款探陆</t>
        </is>
      </c>
      <c r="C1024" s="46" t="n"/>
      <c r="D1024" s="46" t="n"/>
      <c r="E1024" s="46" t="n"/>
      <c r="F1024" s="46" t="n"/>
      <c r="G1024" s="46" t="n"/>
      <c r="H1024" s="46" t="n"/>
      <c r="I1024" s="46" t="n"/>
      <c r="J1024" s="46" t="n"/>
      <c r="K1024" s="46" t="n"/>
      <c r="L1024" s="46" t="n"/>
      <c r="M1024" s="46">
        <f>N1024-SUM(C1024:L1024)</f>
        <v/>
      </c>
      <c r="N1024" s="47" t="n"/>
      <c r="O1024" s="46" t="n"/>
      <c r="P1024" s="46" t="n"/>
      <c r="Q1024" s="46" t="n"/>
      <c r="R1024" s="46" t="n"/>
      <c r="S1024" s="46" t="n"/>
      <c r="T1024" s="46" t="n"/>
      <c r="U1024" s="46" t="n"/>
      <c r="V1024" s="46" t="n"/>
      <c r="W1024" s="46" t="n"/>
      <c r="X1024" s="46" t="n"/>
      <c r="Y1024" s="46" t="n"/>
    </row>
    <row r="1025">
      <c r="A1025" s="78" t="n">
        <v>46323</v>
      </c>
      <c r="B1025" s="53" t="inlineStr">
        <is>
          <t>2026款探陆</t>
        </is>
      </c>
      <c r="C1025" s="46" t="n"/>
      <c r="D1025" s="46" t="n"/>
      <c r="E1025" s="46" t="n"/>
      <c r="F1025" s="46" t="n"/>
      <c r="G1025" s="46" t="n"/>
      <c r="H1025" s="46" t="n"/>
      <c r="I1025" s="46" t="n"/>
      <c r="J1025" s="46" t="n"/>
      <c r="K1025" s="46" t="n"/>
      <c r="L1025" s="46" t="n"/>
      <c r="M1025" s="46">
        <f>N1025-SUM(C1025:L1025)</f>
        <v/>
      </c>
      <c r="N1025" s="47" t="n"/>
      <c r="O1025" s="46" t="n"/>
      <c r="P1025" s="46" t="n"/>
      <c r="Q1025" s="46" t="n"/>
      <c r="R1025" s="46" t="n"/>
      <c r="S1025" s="46" t="n"/>
      <c r="T1025" s="46" t="n"/>
      <c r="U1025" s="46" t="n"/>
      <c r="V1025" s="46" t="n"/>
      <c r="W1025" s="46" t="n"/>
      <c r="X1025" s="46" t="n"/>
      <c r="Y1025" s="46" t="n"/>
    </row>
    <row r="1026">
      <c r="A1026" s="78" t="n">
        <v>46324</v>
      </c>
      <c r="B1026" s="53" t="inlineStr">
        <is>
          <t>2026款探陆</t>
        </is>
      </c>
      <c r="C1026" s="46" t="n"/>
      <c r="D1026" s="46" t="n"/>
      <c r="E1026" s="46" t="n"/>
      <c r="F1026" s="46" t="n"/>
      <c r="G1026" s="46" t="n"/>
      <c r="H1026" s="46" t="n"/>
      <c r="I1026" s="46" t="n"/>
      <c r="J1026" s="46" t="n"/>
      <c r="K1026" s="46" t="n"/>
      <c r="L1026" s="46" t="n"/>
      <c r="M1026" s="46">
        <f>N1026-SUM(C1026:L1026)</f>
        <v/>
      </c>
      <c r="N1026" s="47" t="n"/>
      <c r="O1026" s="46" t="n"/>
      <c r="P1026" s="46" t="n"/>
      <c r="Q1026" s="46" t="n"/>
      <c r="R1026" s="46" t="n"/>
      <c r="S1026" s="46" t="n"/>
      <c r="T1026" s="46" t="n"/>
      <c r="U1026" s="46" t="n"/>
      <c r="V1026" s="46" t="n"/>
      <c r="W1026" s="46" t="n"/>
      <c r="X1026" s="46" t="n"/>
      <c r="Y1026" s="46" t="n"/>
    </row>
    <row r="1027">
      <c r="A1027" s="78" t="n">
        <v>46325</v>
      </c>
      <c r="B1027" s="53" t="inlineStr">
        <is>
          <t>2026款探陆</t>
        </is>
      </c>
      <c r="C1027" s="46" t="n"/>
      <c r="D1027" s="46" t="n"/>
      <c r="E1027" s="46" t="n"/>
      <c r="F1027" s="46" t="n"/>
      <c r="G1027" s="46" t="n"/>
      <c r="H1027" s="46" t="n"/>
      <c r="I1027" s="46" t="n"/>
      <c r="J1027" s="46" t="n"/>
      <c r="K1027" s="46" t="n"/>
      <c r="L1027" s="46" t="n"/>
      <c r="M1027" s="46">
        <f>N1027-SUM(C1027:L1027)</f>
        <v/>
      </c>
      <c r="N1027" s="47" t="n"/>
      <c r="O1027" s="46" t="n"/>
      <c r="P1027" s="46" t="n"/>
      <c r="Q1027" s="46" t="n"/>
      <c r="R1027" s="46" t="n"/>
      <c r="S1027" s="46" t="n"/>
      <c r="T1027" s="46" t="n"/>
      <c r="U1027" s="46" t="n"/>
      <c r="V1027" s="46" t="n"/>
      <c r="W1027" s="46" t="n"/>
      <c r="X1027" s="46" t="n"/>
      <c r="Y1027" s="46" t="n"/>
    </row>
    <row r="1028">
      <c r="A1028" s="78" t="n">
        <v>46326</v>
      </c>
      <c r="B1028" s="53" t="inlineStr">
        <is>
          <t>2026款探陆</t>
        </is>
      </c>
      <c r="C1028" s="46" t="n"/>
      <c r="D1028" s="46" t="n"/>
      <c r="E1028" s="46" t="n"/>
      <c r="F1028" s="46" t="n"/>
      <c r="G1028" s="46" t="n"/>
      <c r="H1028" s="46" t="n"/>
      <c r="I1028" s="46" t="n"/>
      <c r="J1028" s="46" t="n"/>
      <c r="K1028" s="46" t="n"/>
      <c r="L1028" s="46" t="n"/>
      <c r="M1028" s="46">
        <f>N1028-SUM(C1028:L1028)</f>
        <v/>
      </c>
      <c r="N1028" s="47" t="n"/>
      <c r="O1028" s="46" t="n"/>
      <c r="P1028" s="46" t="n"/>
      <c r="Q1028" s="46" t="n"/>
      <c r="R1028" s="46" t="n"/>
      <c r="S1028" s="46" t="n"/>
      <c r="T1028" s="46" t="n"/>
      <c r="U1028" s="46" t="n"/>
      <c r="V1028" s="46" t="n"/>
      <c r="W1028" s="46" t="n"/>
      <c r="X1028" s="46" t="n"/>
      <c r="Y1028" s="46" t="n"/>
    </row>
    <row r="1029">
      <c r="A1029" s="78" t="n">
        <v>46327</v>
      </c>
      <c r="B1029" s="53" t="inlineStr">
        <is>
          <t>2026款探陆</t>
        </is>
      </c>
      <c r="C1029" s="46" t="n"/>
      <c r="D1029" s="46" t="n"/>
      <c r="E1029" s="46" t="n"/>
      <c r="F1029" s="46" t="n"/>
      <c r="G1029" s="46" t="n"/>
      <c r="H1029" s="46" t="n"/>
      <c r="I1029" s="46" t="n"/>
      <c r="J1029" s="46" t="n"/>
      <c r="K1029" s="46" t="n"/>
      <c r="L1029" s="46" t="n"/>
      <c r="M1029" s="46">
        <f>N1029-SUM(C1029:L1029)</f>
        <v/>
      </c>
      <c r="N1029" s="47" t="n"/>
      <c r="O1029" s="46" t="n"/>
      <c r="P1029" s="46" t="n"/>
      <c r="Q1029" s="46" t="n"/>
      <c r="R1029" s="46" t="n"/>
      <c r="S1029" s="46" t="n"/>
      <c r="T1029" s="46" t="n"/>
      <c r="U1029" s="46" t="n"/>
      <c r="V1029" s="46" t="n"/>
      <c r="W1029" s="46" t="n"/>
      <c r="X1029" s="46" t="n"/>
      <c r="Y1029" s="46" t="n"/>
    </row>
    <row r="1030">
      <c r="A1030" s="78" t="n">
        <v>46328</v>
      </c>
      <c r="B1030" s="53" t="inlineStr">
        <is>
          <t>2026款探陆</t>
        </is>
      </c>
      <c r="C1030" s="46" t="n"/>
      <c r="D1030" s="46" t="n"/>
      <c r="E1030" s="46" t="n"/>
      <c r="F1030" s="46" t="n"/>
      <c r="G1030" s="46" t="n"/>
      <c r="H1030" s="46" t="n"/>
      <c r="I1030" s="46" t="n"/>
      <c r="J1030" s="46" t="n"/>
      <c r="K1030" s="46" t="n"/>
      <c r="L1030" s="46" t="n"/>
      <c r="M1030" s="46">
        <f>N1030-SUM(C1030:L1030)</f>
        <v/>
      </c>
      <c r="N1030" s="47" t="n"/>
      <c r="O1030" s="46" t="n"/>
      <c r="P1030" s="46" t="n"/>
      <c r="Q1030" s="46" t="n"/>
      <c r="R1030" s="46" t="n"/>
      <c r="S1030" s="46" t="n"/>
      <c r="T1030" s="46" t="n"/>
      <c r="U1030" s="46" t="n"/>
      <c r="V1030" s="46" t="n"/>
      <c r="W1030" s="46" t="n"/>
      <c r="X1030" s="46" t="n"/>
      <c r="Y1030" s="46" t="n"/>
    </row>
    <row r="1031">
      <c r="A1031" s="78" t="n">
        <v>46329</v>
      </c>
      <c r="B1031" s="53" t="inlineStr">
        <is>
          <t>2026款探陆</t>
        </is>
      </c>
      <c r="C1031" s="46" t="n"/>
      <c r="D1031" s="46" t="n"/>
      <c r="E1031" s="46" t="n"/>
      <c r="F1031" s="46" t="n"/>
      <c r="G1031" s="46" t="n"/>
      <c r="H1031" s="46" t="n"/>
      <c r="I1031" s="46" t="n"/>
      <c r="J1031" s="46" t="n"/>
      <c r="K1031" s="46" t="n"/>
      <c r="L1031" s="46" t="n"/>
      <c r="M1031" s="46">
        <f>N1031-SUM(C1031:L1031)</f>
        <v/>
      </c>
      <c r="N1031" s="47" t="n"/>
      <c r="O1031" s="46" t="n"/>
      <c r="P1031" s="46" t="n"/>
      <c r="Q1031" s="46" t="n"/>
      <c r="R1031" s="46" t="n"/>
      <c r="S1031" s="46" t="n"/>
      <c r="T1031" s="46" t="n"/>
      <c r="U1031" s="46" t="n"/>
      <c r="V1031" s="46" t="n"/>
      <c r="W1031" s="46" t="n"/>
      <c r="X1031" s="46" t="n"/>
      <c r="Y1031" s="46" t="n"/>
    </row>
    <row r="1032">
      <c r="A1032" s="78" t="n">
        <v>46330</v>
      </c>
      <c r="B1032" s="53" t="inlineStr">
        <is>
          <t>2026款探陆</t>
        </is>
      </c>
      <c r="C1032" s="46" t="n"/>
      <c r="D1032" s="46" t="n"/>
      <c r="E1032" s="46" t="n"/>
      <c r="F1032" s="46" t="n"/>
      <c r="G1032" s="46" t="n"/>
      <c r="H1032" s="46" t="n"/>
      <c r="I1032" s="46" t="n"/>
      <c r="J1032" s="46" t="n"/>
      <c r="K1032" s="46" t="n"/>
      <c r="L1032" s="46" t="n"/>
      <c r="M1032" s="46">
        <f>N1032-SUM(C1032:L1032)</f>
        <v/>
      </c>
      <c r="N1032" s="47" t="n"/>
      <c r="O1032" s="46" t="n"/>
      <c r="P1032" s="46" t="n"/>
      <c r="Q1032" s="46" t="n"/>
      <c r="R1032" s="46" t="n"/>
      <c r="S1032" s="46" t="n"/>
      <c r="T1032" s="46" t="n"/>
      <c r="U1032" s="46" t="n"/>
      <c r="V1032" s="46" t="n"/>
      <c r="W1032" s="46" t="n"/>
      <c r="X1032" s="46" t="n"/>
      <c r="Y1032" s="46" t="n"/>
    </row>
    <row r="1033">
      <c r="A1033" s="78" t="n">
        <v>46331</v>
      </c>
      <c r="B1033" s="53" t="inlineStr">
        <is>
          <t>2026款探陆</t>
        </is>
      </c>
      <c r="C1033" s="46" t="n"/>
      <c r="D1033" s="46" t="n"/>
      <c r="E1033" s="46" t="n"/>
      <c r="F1033" s="46" t="n"/>
      <c r="G1033" s="46" t="n"/>
      <c r="H1033" s="46" t="n"/>
      <c r="I1033" s="46" t="n"/>
      <c r="J1033" s="46" t="n"/>
      <c r="K1033" s="46" t="n"/>
      <c r="L1033" s="46" t="n"/>
      <c r="M1033" s="46">
        <f>N1033-SUM(C1033:L1033)</f>
        <v/>
      </c>
      <c r="N1033" s="47" t="n"/>
      <c r="O1033" s="46" t="n"/>
      <c r="P1033" s="46" t="n"/>
      <c r="Q1033" s="46" t="n"/>
      <c r="R1033" s="46" t="n"/>
      <c r="S1033" s="46" t="n"/>
      <c r="T1033" s="46" t="n"/>
      <c r="U1033" s="46" t="n"/>
      <c r="V1033" s="46" t="n"/>
      <c r="W1033" s="46" t="n"/>
      <c r="X1033" s="46" t="n"/>
      <c r="Y1033" s="46" t="n"/>
    </row>
    <row r="1034">
      <c r="A1034" s="78" t="n">
        <v>46332</v>
      </c>
      <c r="B1034" s="53" t="inlineStr">
        <is>
          <t>2026款探陆</t>
        </is>
      </c>
      <c r="C1034" s="46" t="n"/>
      <c r="D1034" s="46" t="n"/>
      <c r="E1034" s="46" t="n"/>
      <c r="F1034" s="46" t="n"/>
      <c r="G1034" s="46" t="n"/>
      <c r="H1034" s="46" t="n"/>
      <c r="I1034" s="46" t="n"/>
      <c r="J1034" s="46" t="n"/>
      <c r="K1034" s="46" t="n"/>
      <c r="L1034" s="46" t="n"/>
      <c r="M1034" s="46">
        <f>N1034-SUM(C1034:L1034)</f>
        <v/>
      </c>
      <c r="N1034" s="47" t="n"/>
      <c r="O1034" s="46" t="n"/>
      <c r="P1034" s="46" t="n"/>
      <c r="Q1034" s="46" t="n"/>
      <c r="R1034" s="46" t="n"/>
      <c r="S1034" s="46" t="n"/>
      <c r="T1034" s="46" t="n"/>
      <c r="U1034" s="46" t="n"/>
      <c r="V1034" s="46" t="n"/>
      <c r="W1034" s="46" t="n"/>
      <c r="X1034" s="46" t="n"/>
      <c r="Y1034" s="46" t="n"/>
    </row>
    <row r="1035">
      <c r="A1035" s="78" t="n">
        <v>46333</v>
      </c>
      <c r="B1035" s="53" t="inlineStr">
        <is>
          <t>2026款探陆</t>
        </is>
      </c>
      <c r="C1035" s="46" t="n"/>
      <c r="D1035" s="46" t="n"/>
      <c r="E1035" s="46" t="n"/>
      <c r="F1035" s="46" t="n"/>
      <c r="G1035" s="46" t="n"/>
      <c r="H1035" s="46" t="n"/>
      <c r="I1035" s="46" t="n"/>
      <c r="J1035" s="46" t="n"/>
      <c r="K1035" s="46" t="n"/>
      <c r="L1035" s="46" t="n"/>
      <c r="M1035" s="46">
        <f>N1035-SUM(C1035:L1035)</f>
        <v/>
      </c>
      <c r="N1035" s="47" t="n"/>
      <c r="O1035" s="46" t="n"/>
      <c r="P1035" s="46" t="n"/>
      <c r="Q1035" s="46" t="n"/>
      <c r="R1035" s="46" t="n"/>
      <c r="S1035" s="46" t="n"/>
      <c r="T1035" s="46" t="n"/>
      <c r="U1035" s="46" t="n"/>
      <c r="V1035" s="46" t="n"/>
      <c r="W1035" s="46" t="n"/>
      <c r="X1035" s="46" t="n"/>
      <c r="Y1035" s="46" t="n"/>
    </row>
    <row r="1036">
      <c r="A1036" s="78" t="n">
        <v>46334</v>
      </c>
      <c r="B1036" s="53" t="inlineStr">
        <is>
          <t>2026款探陆</t>
        </is>
      </c>
      <c r="C1036" s="46" t="n"/>
      <c r="D1036" s="46" t="n"/>
      <c r="E1036" s="46" t="n"/>
      <c r="F1036" s="46" t="n"/>
      <c r="G1036" s="46" t="n"/>
      <c r="H1036" s="46" t="n"/>
      <c r="I1036" s="46" t="n"/>
      <c r="J1036" s="46" t="n"/>
      <c r="K1036" s="46" t="n"/>
      <c r="L1036" s="46" t="n"/>
      <c r="M1036" s="46">
        <f>N1036-SUM(C1036:L1036)</f>
        <v/>
      </c>
      <c r="N1036" s="47" t="n"/>
      <c r="O1036" s="46" t="n"/>
      <c r="P1036" s="46" t="n"/>
      <c r="Q1036" s="46" t="n"/>
      <c r="R1036" s="46" t="n"/>
      <c r="S1036" s="46" t="n"/>
      <c r="T1036" s="46" t="n"/>
      <c r="U1036" s="46" t="n"/>
      <c r="V1036" s="46" t="n"/>
      <c r="W1036" s="46" t="n"/>
      <c r="X1036" s="46" t="n"/>
      <c r="Y1036" s="46" t="n"/>
    </row>
    <row r="1037">
      <c r="A1037" s="78" t="n">
        <v>46335</v>
      </c>
      <c r="B1037" s="53" t="inlineStr">
        <is>
          <t>2026款探陆</t>
        </is>
      </c>
      <c r="C1037" s="46" t="n"/>
      <c r="D1037" s="46" t="n"/>
      <c r="E1037" s="46" t="n"/>
      <c r="F1037" s="46" t="n"/>
      <c r="G1037" s="46" t="n"/>
      <c r="H1037" s="46" t="n"/>
      <c r="I1037" s="46" t="n"/>
      <c r="J1037" s="46" t="n"/>
      <c r="K1037" s="46" t="n"/>
      <c r="L1037" s="46" t="n"/>
      <c r="M1037" s="46">
        <f>N1037-SUM(C1037:L1037)</f>
        <v/>
      </c>
      <c r="N1037" s="47" t="n"/>
      <c r="O1037" s="46" t="n"/>
      <c r="P1037" s="46" t="n"/>
      <c r="Q1037" s="46" t="n"/>
      <c r="R1037" s="46" t="n"/>
      <c r="S1037" s="46" t="n"/>
      <c r="T1037" s="46" t="n"/>
      <c r="U1037" s="46" t="n"/>
      <c r="V1037" s="46" t="n"/>
      <c r="W1037" s="46" t="n"/>
      <c r="X1037" s="46" t="n"/>
      <c r="Y1037" s="46" t="n"/>
    </row>
    <row r="1038">
      <c r="A1038" s="78" t="n">
        <v>46336</v>
      </c>
      <c r="B1038" s="53" t="inlineStr">
        <is>
          <t>2026款探陆</t>
        </is>
      </c>
      <c r="C1038" s="46" t="n"/>
      <c r="D1038" s="46" t="n"/>
      <c r="E1038" s="46" t="n"/>
      <c r="F1038" s="46" t="n"/>
      <c r="G1038" s="46" t="n"/>
      <c r="H1038" s="46" t="n"/>
      <c r="I1038" s="46" t="n"/>
      <c r="J1038" s="46" t="n"/>
      <c r="K1038" s="46" t="n"/>
      <c r="L1038" s="46" t="n"/>
      <c r="M1038" s="46">
        <f>N1038-SUM(C1038:L1038)</f>
        <v/>
      </c>
      <c r="N1038" s="47" t="n"/>
      <c r="O1038" s="46" t="n"/>
      <c r="P1038" s="46" t="n"/>
      <c r="Q1038" s="46" t="n"/>
      <c r="R1038" s="46" t="n"/>
      <c r="S1038" s="46" t="n"/>
      <c r="T1038" s="46" t="n"/>
      <c r="U1038" s="46" t="n"/>
      <c r="V1038" s="46" t="n"/>
      <c r="W1038" s="46" t="n"/>
      <c r="X1038" s="46" t="n"/>
      <c r="Y1038" s="46" t="n"/>
    </row>
    <row r="1039">
      <c r="A1039" s="78" t="n">
        <v>46337</v>
      </c>
      <c r="B1039" s="53" t="inlineStr">
        <is>
          <t>2026款探陆</t>
        </is>
      </c>
      <c r="C1039" s="46" t="n"/>
      <c r="D1039" s="46" t="n"/>
      <c r="E1039" s="46" t="n"/>
      <c r="F1039" s="46" t="n"/>
      <c r="G1039" s="46" t="n"/>
      <c r="H1039" s="46" t="n"/>
      <c r="I1039" s="46" t="n"/>
      <c r="J1039" s="46" t="n"/>
      <c r="K1039" s="46" t="n"/>
      <c r="L1039" s="46" t="n"/>
      <c r="M1039" s="46">
        <f>N1039-SUM(C1039:L1039)</f>
        <v/>
      </c>
      <c r="N1039" s="47" t="n"/>
      <c r="O1039" s="46" t="n"/>
      <c r="P1039" s="46" t="n"/>
      <c r="Q1039" s="46" t="n"/>
      <c r="R1039" s="46" t="n"/>
      <c r="S1039" s="46" t="n"/>
      <c r="T1039" s="46" t="n"/>
      <c r="U1039" s="46" t="n"/>
      <c r="V1039" s="46" t="n"/>
      <c r="W1039" s="46" t="n"/>
      <c r="X1039" s="46" t="n"/>
      <c r="Y1039" s="46" t="n"/>
    </row>
    <row r="1040">
      <c r="A1040" s="78" t="n">
        <v>46338</v>
      </c>
      <c r="B1040" s="53" t="inlineStr">
        <is>
          <t>2026款探陆</t>
        </is>
      </c>
      <c r="C1040" s="46" t="n"/>
      <c r="D1040" s="46" t="n"/>
      <c r="E1040" s="46" t="n"/>
      <c r="F1040" s="46" t="n"/>
      <c r="G1040" s="46" t="n"/>
      <c r="H1040" s="46" t="n"/>
      <c r="I1040" s="46" t="n"/>
      <c r="J1040" s="46" t="n"/>
      <c r="K1040" s="46" t="n"/>
      <c r="L1040" s="46" t="n"/>
      <c r="M1040" s="46">
        <f>N1040-SUM(C1040:L1040)</f>
        <v/>
      </c>
      <c r="N1040" s="47" t="n"/>
      <c r="O1040" s="46" t="n"/>
      <c r="P1040" s="46" t="n"/>
      <c r="Q1040" s="46" t="n"/>
      <c r="R1040" s="46" t="n"/>
      <c r="S1040" s="46" t="n"/>
      <c r="T1040" s="46" t="n"/>
      <c r="U1040" s="46" t="n"/>
      <c r="V1040" s="46" t="n"/>
      <c r="W1040" s="46" t="n"/>
      <c r="X1040" s="46" t="n"/>
      <c r="Y1040" s="46" t="n"/>
    </row>
    <row r="1041">
      <c r="A1041" s="78" t="n">
        <v>46339</v>
      </c>
      <c r="B1041" s="53" t="inlineStr">
        <is>
          <t>2026款探陆</t>
        </is>
      </c>
      <c r="C1041" s="46" t="n"/>
      <c r="D1041" s="46" t="n"/>
      <c r="E1041" s="46" t="n"/>
      <c r="F1041" s="46" t="n"/>
      <c r="G1041" s="46" t="n"/>
      <c r="H1041" s="46" t="n"/>
      <c r="I1041" s="46" t="n"/>
      <c r="J1041" s="46" t="n"/>
      <c r="K1041" s="46" t="n"/>
      <c r="L1041" s="46" t="n"/>
      <c r="M1041" s="46">
        <f>N1041-SUM(C1041:L1041)</f>
        <v/>
      </c>
      <c r="N1041" s="47" t="n"/>
      <c r="O1041" s="46" t="n"/>
      <c r="P1041" s="46" t="n"/>
      <c r="Q1041" s="46" t="n"/>
      <c r="R1041" s="46" t="n"/>
      <c r="S1041" s="46" t="n"/>
      <c r="T1041" s="46" t="n"/>
      <c r="U1041" s="46" t="n"/>
      <c r="V1041" s="46" t="n"/>
      <c r="W1041" s="46" t="n"/>
      <c r="X1041" s="46" t="n"/>
      <c r="Y1041" s="46" t="n"/>
    </row>
    <row r="1042">
      <c r="A1042" s="78" t="n">
        <v>46340</v>
      </c>
      <c r="B1042" s="53" t="inlineStr">
        <is>
          <t>2026款探陆</t>
        </is>
      </c>
      <c r="C1042" s="46" t="n"/>
      <c r="D1042" s="46" t="n"/>
      <c r="E1042" s="46" t="n"/>
      <c r="F1042" s="46" t="n"/>
      <c r="G1042" s="46" t="n"/>
      <c r="H1042" s="46" t="n"/>
      <c r="I1042" s="46" t="n"/>
      <c r="J1042" s="46" t="n"/>
      <c r="K1042" s="46" t="n"/>
      <c r="L1042" s="46" t="n"/>
      <c r="M1042" s="46">
        <f>N1042-SUM(C1042:L1042)</f>
        <v/>
      </c>
      <c r="N1042" s="47" t="n"/>
      <c r="O1042" s="46" t="n"/>
      <c r="P1042" s="46" t="n"/>
      <c r="Q1042" s="46" t="n"/>
      <c r="R1042" s="46" t="n"/>
      <c r="S1042" s="46" t="n"/>
      <c r="T1042" s="46" t="n"/>
      <c r="U1042" s="46" t="n"/>
      <c r="V1042" s="46" t="n"/>
      <c r="W1042" s="46" t="n"/>
      <c r="X1042" s="46" t="n"/>
      <c r="Y1042" s="46" t="n"/>
    </row>
    <row r="1043">
      <c r="A1043" s="78" t="n">
        <v>46341</v>
      </c>
      <c r="B1043" s="53" t="inlineStr">
        <is>
          <t>2026款探陆</t>
        </is>
      </c>
      <c r="C1043" s="46" t="n"/>
      <c r="D1043" s="46" t="n"/>
      <c r="E1043" s="46" t="n"/>
      <c r="F1043" s="46" t="n"/>
      <c r="G1043" s="46" t="n"/>
      <c r="H1043" s="46" t="n"/>
      <c r="I1043" s="46" t="n"/>
      <c r="J1043" s="46" t="n"/>
      <c r="K1043" s="46" t="n"/>
      <c r="L1043" s="46" t="n"/>
      <c r="M1043" s="46">
        <f>N1043-SUM(C1043:L1043)</f>
        <v/>
      </c>
      <c r="N1043" s="47" t="n"/>
      <c r="O1043" s="46" t="n"/>
      <c r="P1043" s="46" t="n"/>
      <c r="Q1043" s="46" t="n"/>
      <c r="R1043" s="46" t="n"/>
      <c r="S1043" s="46" t="n"/>
      <c r="T1043" s="46" t="n"/>
      <c r="U1043" s="46" t="n"/>
      <c r="V1043" s="46" t="n"/>
      <c r="W1043" s="46" t="n"/>
      <c r="X1043" s="46" t="n"/>
      <c r="Y1043" s="46" t="n"/>
    </row>
    <row r="1044">
      <c r="A1044" s="78" t="n">
        <v>46342</v>
      </c>
      <c r="B1044" s="53" t="inlineStr">
        <is>
          <t>2026款探陆</t>
        </is>
      </c>
      <c r="C1044" s="46" t="n"/>
      <c r="D1044" s="46" t="n"/>
      <c r="E1044" s="46" t="n"/>
      <c r="F1044" s="46" t="n"/>
      <c r="G1044" s="46" t="n"/>
      <c r="H1044" s="46" t="n"/>
      <c r="I1044" s="46" t="n"/>
      <c r="J1044" s="46" t="n"/>
      <c r="K1044" s="46" t="n"/>
      <c r="L1044" s="46" t="n"/>
      <c r="M1044" s="46">
        <f>N1044-SUM(C1044:L1044)</f>
        <v/>
      </c>
      <c r="N1044" s="47" t="n"/>
      <c r="O1044" s="46" t="n"/>
      <c r="P1044" s="46" t="n"/>
      <c r="Q1044" s="46" t="n"/>
      <c r="R1044" s="46" t="n"/>
      <c r="S1044" s="46" t="n"/>
      <c r="T1044" s="46" t="n"/>
      <c r="U1044" s="46" t="n"/>
      <c r="V1044" s="46" t="n"/>
      <c r="W1044" s="46" t="n"/>
      <c r="X1044" s="46" t="n"/>
      <c r="Y1044" s="46" t="n"/>
    </row>
    <row r="1045">
      <c r="A1045" s="78" t="n">
        <v>46343</v>
      </c>
      <c r="B1045" s="53" t="inlineStr">
        <is>
          <t>2026款探陆</t>
        </is>
      </c>
      <c r="C1045" s="46" t="n"/>
      <c r="D1045" s="46" t="n"/>
      <c r="E1045" s="46" t="n"/>
      <c r="F1045" s="46" t="n"/>
      <c r="G1045" s="46" t="n"/>
      <c r="H1045" s="46" t="n"/>
      <c r="I1045" s="46" t="n"/>
      <c r="J1045" s="46" t="n"/>
      <c r="K1045" s="46" t="n"/>
      <c r="L1045" s="46" t="n"/>
      <c r="M1045" s="46">
        <f>N1045-SUM(C1045:L1045)</f>
        <v/>
      </c>
      <c r="N1045" s="47" t="n"/>
      <c r="O1045" s="46" t="n"/>
      <c r="P1045" s="46" t="n"/>
      <c r="Q1045" s="46" t="n"/>
      <c r="R1045" s="46" t="n"/>
      <c r="S1045" s="46" t="n"/>
      <c r="T1045" s="46" t="n"/>
      <c r="U1045" s="46" t="n"/>
      <c r="V1045" s="46" t="n"/>
      <c r="W1045" s="46" t="n"/>
      <c r="X1045" s="46" t="n"/>
      <c r="Y1045" s="46" t="n"/>
    </row>
    <row r="1046">
      <c r="A1046" s="78" t="n">
        <v>46344</v>
      </c>
      <c r="B1046" s="53" t="inlineStr">
        <is>
          <t>2026款探陆</t>
        </is>
      </c>
      <c r="C1046" s="46" t="n"/>
      <c r="D1046" s="46" t="n"/>
      <c r="E1046" s="46" t="n"/>
      <c r="F1046" s="46" t="n"/>
      <c r="G1046" s="46" t="n"/>
      <c r="H1046" s="46" t="n"/>
      <c r="I1046" s="46" t="n"/>
      <c r="J1046" s="46" t="n"/>
      <c r="K1046" s="46" t="n"/>
      <c r="L1046" s="46" t="n"/>
      <c r="M1046" s="46">
        <f>N1046-SUM(C1046:L1046)</f>
        <v/>
      </c>
      <c r="N1046" s="47" t="n"/>
      <c r="O1046" s="46" t="n"/>
      <c r="P1046" s="46" t="n"/>
      <c r="Q1046" s="46" t="n"/>
      <c r="R1046" s="46" t="n"/>
      <c r="S1046" s="46" t="n"/>
      <c r="T1046" s="46" t="n"/>
      <c r="U1046" s="46" t="n"/>
      <c r="V1046" s="46" t="n"/>
      <c r="W1046" s="46" t="n"/>
      <c r="X1046" s="46" t="n"/>
      <c r="Y1046" s="46" t="n"/>
    </row>
    <row r="1047">
      <c r="A1047" s="78" t="n">
        <v>46345</v>
      </c>
      <c r="B1047" s="53" t="inlineStr">
        <is>
          <t>2026款探陆</t>
        </is>
      </c>
      <c r="C1047" s="46" t="n"/>
      <c r="D1047" s="46" t="n"/>
      <c r="E1047" s="46" t="n"/>
      <c r="F1047" s="46" t="n"/>
      <c r="G1047" s="46" t="n"/>
      <c r="H1047" s="46" t="n"/>
      <c r="I1047" s="46" t="n"/>
      <c r="J1047" s="46" t="n"/>
      <c r="K1047" s="46" t="n"/>
      <c r="L1047" s="46" t="n"/>
      <c r="M1047" s="46">
        <f>N1047-SUM(C1047:L1047)</f>
        <v/>
      </c>
      <c r="N1047" s="47" t="n"/>
      <c r="O1047" s="46" t="n"/>
      <c r="P1047" s="46" t="n"/>
      <c r="Q1047" s="46" t="n"/>
      <c r="R1047" s="46" t="n"/>
      <c r="S1047" s="46" t="n"/>
      <c r="T1047" s="46" t="n"/>
      <c r="U1047" s="46" t="n"/>
      <c r="V1047" s="46" t="n"/>
      <c r="W1047" s="46" t="n"/>
      <c r="X1047" s="46" t="n"/>
      <c r="Y1047" s="46" t="n"/>
    </row>
    <row r="1048">
      <c r="A1048" s="78" t="n">
        <v>46346</v>
      </c>
      <c r="B1048" s="53" t="inlineStr">
        <is>
          <t>2026款探陆</t>
        </is>
      </c>
      <c r="C1048" s="46" t="n"/>
      <c r="D1048" s="46" t="n"/>
      <c r="E1048" s="46" t="n"/>
      <c r="F1048" s="46" t="n"/>
      <c r="G1048" s="46" t="n"/>
      <c r="H1048" s="46" t="n"/>
      <c r="I1048" s="46" t="n"/>
      <c r="J1048" s="46" t="n"/>
      <c r="K1048" s="46" t="n"/>
      <c r="L1048" s="46" t="n"/>
      <c r="M1048" s="46">
        <f>N1048-SUM(C1048:L1048)</f>
        <v/>
      </c>
      <c r="N1048" s="47" t="n"/>
      <c r="O1048" s="46" t="n"/>
      <c r="P1048" s="46" t="n"/>
      <c r="Q1048" s="46" t="n"/>
      <c r="R1048" s="46" t="n"/>
      <c r="S1048" s="46" t="n"/>
      <c r="T1048" s="46" t="n"/>
      <c r="U1048" s="46" t="n"/>
      <c r="V1048" s="46" t="n"/>
      <c r="W1048" s="46" t="n"/>
      <c r="X1048" s="46" t="n"/>
      <c r="Y1048" s="46" t="n"/>
    </row>
    <row r="1049">
      <c r="A1049" s="78" t="n">
        <v>46347</v>
      </c>
      <c r="B1049" s="53" t="inlineStr">
        <is>
          <t>2026款探陆</t>
        </is>
      </c>
      <c r="C1049" s="46" t="n"/>
      <c r="D1049" s="46" t="n"/>
      <c r="E1049" s="46" t="n"/>
      <c r="F1049" s="46" t="n"/>
      <c r="G1049" s="46" t="n"/>
      <c r="H1049" s="46" t="n"/>
      <c r="I1049" s="46" t="n"/>
      <c r="J1049" s="46" t="n"/>
      <c r="K1049" s="46" t="n"/>
      <c r="L1049" s="46" t="n"/>
      <c r="M1049" s="46">
        <f>N1049-SUM(C1049:L1049)</f>
        <v/>
      </c>
      <c r="N1049" s="47" t="n"/>
      <c r="O1049" s="46" t="n"/>
      <c r="P1049" s="46" t="n"/>
      <c r="Q1049" s="46" t="n"/>
      <c r="R1049" s="46" t="n"/>
      <c r="S1049" s="46" t="n"/>
      <c r="T1049" s="46" t="n"/>
      <c r="U1049" s="46" t="n"/>
      <c r="V1049" s="46" t="n"/>
      <c r="W1049" s="46" t="n"/>
      <c r="X1049" s="46" t="n"/>
      <c r="Y1049" s="46" t="n"/>
    </row>
    <row r="1050">
      <c r="A1050" s="78" t="n">
        <v>46348</v>
      </c>
      <c r="B1050" s="53" t="inlineStr">
        <is>
          <t>2026款探陆</t>
        </is>
      </c>
      <c r="C1050" s="46" t="n"/>
      <c r="D1050" s="46" t="n"/>
      <c r="E1050" s="46" t="n"/>
      <c r="F1050" s="46" t="n"/>
      <c r="G1050" s="46" t="n"/>
      <c r="H1050" s="46" t="n"/>
      <c r="I1050" s="46" t="n"/>
      <c r="J1050" s="46" t="n"/>
      <c r="K1050" s="46" t="n"/>
      <c r="L1050" s="46" t="n"/>
      <c r="M1050" s="46">
        <f>N1050-SUM(C1050:L1050)</f>
        <v/>
      </c>
      <c r="N1050" s="47" t="n"/>
      <c r="O1050" s="46" t="n"/>
      <c r="P1050" s="46" t="n"/>
      <c r="Q1050" s="46" t="n"/>
      <c r="R1050" s="46" t="n"/>
      <c r="S1050" s="46" t="n"/>
      <c r="T1050" s="46" t="n"/>
      <c r="U1050" s="46" t="n"/>
      <c r="V1050" s="46" t="n"/>
      <c r="W1050" s="46" t="n"/>
      <c r="X1050" s="46" t="n"/>
      <c r="Y1050" s="46" t="n"/>
    </row>
    <row r="1051">
      <c r="A1051" s="78" t="n">
        <v>46349</v>
      </c>
      <c r="B1051" s="53" t="inlineStr">
        <is>
          <t>2026款探陆</t>
        </is>
      </c>
      <c r="C1051" s="46" t="n"/>
      <c r="D1051" s="46" t="n"/>
      <c r="E1051" s="46" t="n"/>
      <c r="F1051" s="46" t="n"/>
      <c r="G1051" s="46" t="n"/>
      <c r="H1051" s="46" t="n"/>
      <c r="I1051" s="46" t="n"/>
      <c r="J1051" s="46" t="n"/>
      <c r="K1051" s="46" t="n"/>
      <c r="L1051" s="46" t="n"/>
      <c r="M1051" s="46">
        <f>N1051-SUM(C1051:L1051)</f>
        <v/>
      </c>
      <c r="N1051" s="47" t="n"/>
      <c r="O1051" s="46" t="n"/>
      <c r="P1051" s="46" t="n"/>
      <c r="Q1051" s="46" t="n"/>
      <c r="R1051" s="46" t="n"/>
      <c r="S1051" s="46" t="n"/>
      <c r="T1051" s="46" t="n"/>
      <c r="U1051" s="46" t="n"/>
      <c r="V1051" s="46" t="n"/>
      <c r="W1051" s="46" t="n"/>
      <c r="X1051" s="46" t="n"/>
      <c r="Y1051" s="46" t="n"/>
    </row>
    <row r="1052">
      <c r="A1052" s="78" t="n">
        <v>46350</v>
      </c>
      <c r="B1052" s="53" t="inlineStr">
        <is>
          <t>2026款探陆</t>
        </is>
      </c>
      <c r="C1052" s="46" t="n"/>
      <c r="D1052" s="46" t="n"/>
      <c r="E1052" s="46" t="n"/>
      <c r="F1052" s="46" t="n"/>
      <c r="G1052" s="46" t="n"/>
      <c r="H1052" s="46" t="n"/>
      <c r="I1052" s="46" t="n"/>
      <c r="J1052" s="46" t="n"/>
      <c r="K1052" s="46" t="n"/>
      <c r="L1052" s="46" t="n"/>
      <c r="M1052" s="46">
        <f>N1052-SUM(C1052:L1052)</f>
        <v/>
      </c>
      <c r="N1052" s="47" t="n"/>
      <c r="O1052" s="46" t="n"/>
      <c r="P1052" s="46" t="n"/>
      <c r="Q1052" s="46" t="n"/>
      <c r="R1052" s="46" t="n"/>
      <c r="S1052" s="46" t="n"/>
      <c r="T1052" s="46" t="n"/>
      <c r="U1052" s="46" t="n"/>
      <c r="V1052" s="46" t="n"/>
      <c r="W1052" s="46" t="n"/>
      <c r="X1052" s="46" t="n"/>
      <c r="Y1052" s="46" t="n"/>
    </row>
    <row r="1053">
      <c r="A1053" s="78" t="n">
        <v>46351</v>
      </c>
      <c r="B1053" s="53" t="inlineStr">
        <is>
          <t>2026款探陆</t>
        </is>
      </c>
      <c r="C1053" s="46" t="n"/>
      <c r="D1053" s="46" t="n"/>
      <c r="E1053" s="46" t="n"/>
      <c r="F1053" s="46" t="n"/>
      <c r="G1053" s="46" t="n"/>
      <c r="H1053" s="46" t="n"/>
      <c r="I1053" s="46" t="n"/>
      <c r="J1053" s="46" t="n"/>
      <c r="K1053" s="46" t="n"/>
      <c r="L1053" s="46" t="n"/>
      <c r="M1053" s="46">
        <f>N1053-SUM(C1053:L1053)</f>
        <v/>
      </c>
      <c r="N1053" s="47" t="n"/>
      <c r="O1053" s="46" t="n"/>
      <c r="P1053" s="46" t="n"/>
      <c r="Q1053" s="46" t="n"/>
      <c r="R1053" s="46" t="n"/>
      <c r="S1053" s="46" t="n"/>
      <c r="T1053" s="46" t="n"/>
      <c r="U1053" s="46" t="n"/>
      <c r="V1053" s="46" t="n"/>
      <c r="W1053" s="46" t="n"/>
      <c r="X1053" s="46" t="n"/>
      <c r="Y1053" s="46" t="n"/>
    </row>
    <row r="1054">
      <c r="A1054" s="78" t="n">
        <v>46352</v>
      </c>
      <c r="B1054" s="53" t="inlineStr">
        <is>
          <t>2026款探陆</t>
        </is>
      </c>
      <c r="C1054" s="46" t="n"/>
      <c r="D1054" s="46" t="n"/>
      <c r="E1054" s="46" t="n"/>
      <c r="F1054" s="46" t="n"/>
      <c r="G1054" s="46" t="n"/>
      <c r="H1054" s="46" t="n"/>
      <c r="I1054" s="46" t="n"/>
      <c r="J1054" s="46" t="n"/>
      <c r="K1054" s="46" t="n"/>
      <c r="L1054" s="46" t="n"/>
      <c r="M1054" s="46">
        <f>N1054-SUM(C1054:L1054)</f>
        <v/>
      </c>
      <c r="N1054" s="47" t="n"/>
      <c r="O1054" s="46" t="n"/>
      <c r="P1054" s="46" t="n"/>
      <c r="Q1054" s="46" t="n"/>
      <c r="R1054" s="46" t="n"/>
      <c r="S1054" s="46" t="n"/>
      <c r="T1054" s="46" t="n"/>
      <c r="U1054" s="46" t="n"/>
      <c r="V1054" s="46" t="n"/>
      <c r="W1054" s="46" t="n"/>
      <c r="X1054" s="46" t="n"/>
      <c r="Y1054" s="46" t="n"/>
    </row>
    <row r="1055">
      <c r="A1055" s="78" t="n">
        <v>46353</v>
      </c>
      <c r="B1055" s="53" t="inlineStr">
        <is>
          <t>2026款探陆</t>
        </is>
      </c>
      <c r="C1055" s="46" t="n"/>
      <c r="D1055" s="46" t="n"/>
      <c r="E1055" s="46" t="n"/>
      <c r="F1055" s="46" t="n"/>
      <c r="G1055" s="46" t="n"/>
      <c r="H1055" s="46" t="n"/>
      <c r="I1055" s="46" t="n"/>
      <c r="J1055" s="46" t="n"/>
      <c r="K1055" s="46" t="n"/>
      <c r="L1055" s="46" t="n"/>
      <c r="M1055" s="46">
        <f>N1055-SUM(C1055:L1055)</f>
        <v/>
      </c>
      <c r="N1055" s="47" t="n"/>
      <c r="O1055" s="46" t="n"/>
      <c r="P1055" s="46" t="n"/>
      <c r="Q1055" s="46" t="n"/>
      <c r="R1055" s="46" t="n"/>
      <c r="S1055" s="46" t="n"/>
      <c r="T1055" s="46" t="n"/>
      <c r="U1055" s="46" t="n"/>
      <c r="V1055" s="46" t="n"/>
      <c r="W1055" s="46" t="n"/>
      <c r="X1055" s="46" t="n"/>
      <c r="Y1055" s="46" t="n"/>
    </row>
    <row r="1056">
      <c r="A1056" s="78" t="n">
        <v>46354</v>
      </c>
      <c r="B1056" s="53" t="inlineStr">
        <is>
          <t>2026款探陆</t>
        </is>
      </c>
      <c r="C1056" s="46" t="n"/>
      <c r="D1056" s="46" t="n"/>
      <c r="E1056" s="46" t="n"/>
      <c r="F1056" s="46" t="n"/>
      <c r="G1056" s="46" t="n"/>
      <c r="H1056" s="46" t="n"/>
      <c r="I1056" s="46" t="n"/>
      <c r="J1056" s="46" t="n"/>
      <c r="K1056" s="46" t="n"/>
      <c r="L1056" s="46" t="n"/>
      <c r="M1056" s="46">
        <f>N1056-SUM(C1056:L1056)</f>
        <v/>
      </c>
      <c r="N1056" s="47" t="n"/>
      <c r="O1056" s="46" t="n"/>
      <c r="P1056" s="46" t="n"/>
      <c r="Q1056" s="46" t="n"/>
      <c r="R1056" s="46" t="n"/>
      <c r="S1056" s="46" t="n"/>
      <c r="T1056" s="46" t="n"/>
      <c r="U1056" s="46" t="n"/>
      <c r="V1056" s="46" t="n"/>
      <c r="W1056" s="46" t="n"/>
      <c r="X1056" s="46" t="n"/>
      <c r="Y1056" s="46" t="n"/>
    </row>
    <row r="1057">
      <c r="A1057" s="78" t="n">
        <v>46355</v>
      </c>
      <c r="B1057" s="53" t="inlineStr">
        <is>
          <t>2026款探陆</t>
        </is>
      </c>
      <c r="C1057" s="46" t="n"/>
      <c r="D1057" s="46" t="n"/>
      <c r="E1057" s="46" t="n"/>
      <c r="F1057" s="46" t="n"/>
      <c r="G1057" s="46" t="n"/>
      <c r="H1057" s="46" t="n"/>
      <c r="I1057" s="46" t="n"/>
      <c r="J1057" s="46" t="n"/>
      <c r="K1057" s="46" t="n"/>
      <c r="L1057" s="46" t="n"/>
      <c r="M1057" s="46">
        <f>N1057-SUM(C1057:L1057)</f>
        <v/>
      </c>
      <c r="N1057" s="47" t="n"/>
      <c r="O1057" s="46" t="n"/>
      <c r="P1057" s="46" t="n"/>
      <c r="Q1057" s="46" t="n"/>
      <c r="R1057" s="46" t="n"/>
      <c r="S1057" s="46" t="n"/>
      <c r="T1057" s="46" t="n"/>
      <c r="U1057" s="46" t="n"/>
      <c r="V1057" s="46" t="n"/>
      <c r="W1057" s="46" t="n"/>
      <c r="X1057" s="46" t="n"/>
      <c r="Y1057" s="46" t="n"/>
    </row>
    <row r="1058">
      <c r="A1058" s="78" t="n">
        <v>46356</v>
      </c>
      <c r="B1058" s="53" t="inlineStr">
        <is>
          <t>2026款探陆</t>
        </is>
      </c>
      <c r="C1058" s="46" t="n"/>
      <c r="D1058" s="46" t="n"/>
      <c r="E1058" s="46" t="n"/>
      <c r="F1058" s="46" t="n"/>
      <c r="G1058" s="46" t="n"/>
      <c r="H1058" s="46" t="n"/>
      <c r="I1058" s="46" t="n"/>
      <c r="J1058" s="46" t="n"/>
      <c r="K1058" s="46" t="n"/>
      <c r="L1058" s="46" t="n"/>
      <c r="M1058" s="46">
        <f>N1058-SUM(C1058:L1058)</f>
        <v/>
      </c>
      <c r="N1058" s="47" t="n"/>
      <c r="O1058" s="46" t="n"/>
      <c r="P1058" s="46" t="n"/>
      <c r="Q1058" s="46" t="n"/>
      <c r="R1058" s="46" t="n"/>
      <c r="S1058" s="46" t="n"/>
      <c r="T1058" s="46" t="n"/>
      <c r="U1058" s="46" t="n"/>
      <c r="V1058" s="46" t="n"/>
      <c r="W1058" s="46" t="n"/>
      <c r="X1058" s="46" t="n"/>
      <c r="Y1058" s="46" t="n"/>
    </row>
    <row r="1059">
      <c r="A1059" s="78" t="n">
        <v>46357</v>
      </c>
      <c r="B1059" s="53" t="inlineStr">
        <is>
          <t>2026款探陆</t>
        </is>
      </c>
      <c r="C1059" s="46" t="n"/>
      <c r="D1059" s="46" t="n"/>
      <c r="E1059" s="46" t="n"/>
      <c r="F1059" s="46" t="n"/>
      <c r="G1059" s="46" t="n"/>
      <c r="H1059" s="46" t="n"/>
      <c r="I1059" s="46" t="n"/>
      <c r="J1059" s="46" t="n"/>
      <c r="K1059" s="46" t="n"/>
      <c r="L1059" s="46" t="n"/>
      <c r="M1059" s="46">
        <f>N1059-SUM(C1059:L1059)</f>
        <v/>
      </c>
      <c r="N1059" s="47" t="n"/>
      <c r="O1059" s="46" t="n"/>
      <c r="P1059" s="46" t="n"/>
      <c r="Q1059" s="46" t="n"/>
      <c r="R1059" s="46" t="n"/>
      <c r="S1059" s="46" t="n"/>
      <c r="T1059" s="46" t="n"/>
      <c r="U1059" s="46" t="n"/>
      <c r="V1059" s="46" t="n"/>
      <c r="W1059" s="46" t="n"/>
      <c r="X1059" s="46" t="n"/>
      <c r="Y1059" s="46" t="n"/>
    </row>
    <row r="1060">
      <c r="A1060" s="78" t="n">
        <v>46358</v>
      </c>
      <c r="B1060" s="53" t="inlineStr">
        <is>
          <t>2026款探陆</t>
        </is>
      </c>
      <c r="C1060" s="46" t="n"/>
      <c r="D1060" s="46" t="n"/>
      <c r="E1060" s="46" t="n"/>
      <c r="F1060" s="46" t="n"/>
      <c r="G1060" s="46" t="n"/>
      <c r="H1060" s="46" t="n"/>
      <c r="I1060" s="46" t="n"/>
      <c r="J1060" s="46" t="n"/>
      <c r="K1060" s="46" t="n"/>
      <c r="L1060" s="46" t="n"/>
      <c r="M1060" s="46">
        <f>N1060-SUM(C1060:L1060)</f>
        <v/>
      </c>
      <c r="N1060" s="47" t="n"/>
      <c r="O1060" s="46" t="n"/>
      <c r="P1060" s="46" t="n"/>
      <c r="Q1060" s="46" t="n"/>
      <c r="R1060" s="46" t="n"/>
      <c r="S1060" s="46" t="n"/>
      <c r="T1060" s="46" t="n"/>
      <c r="U1060" s="46" t="n"/>
      <c r="V1060" s="46" t="n"/>
      <c r="W1060" s="46" t="n"/>
      <c r="X1060" s="46" t="n"/>
      <c r="Y1060" s="46" t="n"/>
    </row>
    <row r="1061">
      <c r="A1061" s="78" t="n">
        <v>46359</v>
      </c>
      <c r="B1061" s="53" t="inlineStr">
        <is>
          <t>2026款探陆</t>
        </is>
      </c>
      <c r="C1061" s="46" t="n"/>
      <c r="D1061" s="46" t="n"/>
      <c r="E1061" s="46" t="n"/>
      <c r="F1061" s="46" t="n"/>
      <c r="G1061" s="46" t="n"/>
      <c r="H1061" s="46" t="n"/>
      <c r="I1061" s="46" t="n"/>
      <c r="J1061" s="46" t="n"/>
      <c r="K1061" s="46" t="n"/>
      <c r="L1061" s="46" t="n"/>
      <c r="M1061" s="46">
        <f>N1061-SUM(C1061:L1061)</f>
        <v/>
      </c>
      <c r="N1061" s="47" t="n"/>
      <c r="O1061" s="46" t="n"/>
      <c r="P1061" s="46" t="n"/>
      <c r="Q1061" s="46" t="n"/>
      <c r="R1061" s="46" t="n"/>
      <c r="S1061" s="46" t="n"/>
      <c r="T1061" s="46" t="n"/>
      <c r="U1061" s="46" t="n"/>
      <c r="V1061" s="46" t="n"/>
      <c r="W1061" s="46" t="n"/>
      <c r="X1061" s="46" t="n"/>
      <c r="Y1061" s="46" t="n"/>
    </row>
    <row r="1062">
      <c r="A1062" s="78" t="n">
        <v>46360</v>
      </c>
      <c r="B1062" s="53" t="inlineStr">
        <is>
          <t>2026款探陆</t>
        </is>
      </c>
      <c r="C1062" s="46" t="n"/>
      <c r="D1062" s="46" t="n"/>
      <c r="E1062" s="46" t="n"/>
      <c r="F1062" s="46" t="n"/>
      <c r="G1062" s="46" t="n"/>
      <c r="H1062" s="46" t="n"/>
      <c r="I1062" s="46" t="n"/>
      <c r="J1062" s="46" t="n"/>
      <c r="K1062" s="46" t="n"/>
      <c r="L1062" s="46" t="n"/>
      <c r="M1062" s="46">
        <f>N1062-SUM(C1062:L1062)</f>
        <v/>
      </c>
      <c r="N1062" s="47" t="n"/>
      <c r="O1062" s="46" t="n"/>
      <c r="P1062" s="46" t="n"/>
      <c r="Q1062" s="46" t="n"/>
      <c r="R1062" s="46" t="n"/>
      <c r="S1062" s="46" t="n"/>
      <c r="T1062" s="46" t="n"/>
      <c r="U1062" s="46" t="n"/>
      <c r="V1062" s="46" t="n"/>
      <c r="W1062" s="46" t="n"/>
      <c r="X1062" s="46" t="n"/>
      <c r="Y1062" s="46" t="n"/>
    </row>
    <row r="1063">
      <c r="A1063" s="78" t="n">
        <v>46361</v>
      </c>
      <c r="B1063" s="53" t="inlineStr">
        <is>
          <t>2026款探陆</t>
        </is>
      </c>
      <c r="C1063" s="46" t="n"/>
      <c r="D1063" s="46" t="n"/>
      <c r="E1063" s="46" t="n"/>
      <c r="F1063" s="46" t="n"/>
      <c r="G1063" s="46" t="n"/>
      <c r="H1063" s="46" t="n"/>
      <c r="I1063" s="46" t="n"/>
      <c r="J1063" s="46" t="n"/>
      <c r="K1063" s="46" t="n"/>
      <c r="L1063" s="46" t="n"/>
      <c r="M1063" s="46">
        <f>N1063-SUM(C1063:L1063)</f>
        <v/>
      </c>
      <c r="N1063" s="47" t="n"/>
      <c r="O1063" s="46" t="n"/>
      <c r="P1063" s="46" t="n"/>
      <c r="Q1063" s="46" t="n"/>
      <c r="R1063" s="46" t="n"/>
      <c r="S1063" s="46" t="n"/>
      <c r="T1063" s="46" t="n"/>
      <c r="U1063" s="46" t="n"/>
      <c r="V1063" s="46" t="n"/>
      <c r="W1063" s="46" t="n"/>
      <c r="X1063" s="46" t="n"/>
      <c r="Y1063" s="46" t="n"/>
    </row>
    <row r="1064">
      <c r="A1064" s="78" t="n">
        <v>46362</v>
      </c>
      <c r="B1064" s="53" t="inlineStr">
        <is>
          <t>2026款探陆</t>
        </is>
      </c>
      <c r="C1064" s="46" t="n"/>
      <c r="D1064" s="46" t="n"/>
      <c r="E1064" s="46" t="n"/>
      <c r="F1064" s="46" t="n"/>
      <c r="G1064" s="46" t="n"/>
      <c r="H1064" s="46" t="n"/>
      <c r="I1064" s="46" t="n"/>
      <c r="J1064" s="46" t="n"/>
      <c r="K1064" s="46" t="n"/>
      <c r="L1064" s="46" t="n"/>
      <c r="M1064" s="46">
        <f>N1064-SUM(C1064:L1064)</f>
        <v/>
      </c>
      <c r="N1064" s="47" t="n"/>
      <c r="O1064" s="46" t="n"/>
      <c r="P1064" s="46" t="n"/>
      <c r="Q1064" s="46" t="n"/>
      <c r="R1064" s="46" t="n"/>
      <c r="S1064" s="46" t="n"/>
      <c r="T1064" s="46" t="n"/>
      <c r="U1064" s="46" t="n"/>
      <c r="V1064" s="46" t="n"/>
      <c r="W1064" s="46" t="n"/>
      <c r="X1064" s="46" t="n"/>
      <c r="Y1064" s="46" t="n"/>
    </row>
    <row r="1065">
      <c r="A1065" s="78" t="n">
        <v>46363</v>
      </c>
      <c r="B1065" s="53" t="inlineStr">
        <is>
          <t>2026款探陆</t>
        </is>
      </c>
      <c r="C1065" s="46" t="n"/>
      <c r="D1065" s="46" t="n"/>
      <c r="E1065" s="46" t="n"/>
      <c r="F1065" s="46" t="n"/>
      <c r="G1065" s="46" t="n"/>
      <c r="H1065" s="46" t="n"/>
      <c r="I1065" s="46" t="n"/>
      <c r="J1065" s="46" t="n"/>
      <c r="K1065" s="46" t="n"/>
      <c r="L1065" s="46" t="n"/>
      <c r="M1065" s="46">
        <f>N1065-SUM(C1065:L1065)</f>
        <v/>
      </c>
      <c r="N1065" s="47" t="n"/>
      <c r="O1065" s="46" t="n"/>
      <c r="P1065" s="46" t="n"/>
      <c r="Q1065" s="46" t="n"/>
      <c r="R1065" s="46" t="n"/>
      <c r="S1065" s="46" t="n"/>
      <c r="T1065" s="46" t="n"/>
      <c r="U1065" s="46" t="n"/>
      <c r="V1065" s="46" t="n"/>
      <c r="W1065" s="46" t="n"/>
      <c r="X1065" s="46" t="n"/>
      <c r="Y1065" s="46" t="n"/>
    </row>
    <row r="1066">
      <c r="A1066" s="78" t="n">
        <v>46364</v>
      </c>
      <c r="B1066" s="53" t="inlineStr">
        <is>
          <t>2026款探陆</t>
        </is>
      </c>
      <c r="C1066" s="46" t="n"/>
      <c r="D1066" s="46" t="n"/>
      <c r="E1066" s="46" t="n"/>
      <c r="F1066" s="46" t="n"/>
      <c r="G1066" s="46" t="n"/>
      <c r="H1066" s="46" t="n"/>
      <c r="I1066" s="46" t="n"/>
      <c r="J1066" s="46" t="n"/>
      <c r="K1066" s="46" t="n"/>
      <c r="L1066" s="46" t="n"/>
      <c r="M1066" s="46">
        <f>N1066-SUM(C1066:L1066)</f>
        <v/>
      </c>
      <c r="N1066" s="47" t="n"/>
      <c r="O1066" s="46" t="n"/>
      <c r="P1066" s="46" t="n"/>
      <c r="Q1066" s="46" t="n"/>
      <c r="R1066" s="46" t="n"/>
      <c r="S1066" s="46" t="n"/>
      <c r="T1066" s="46" t="n"/>
      <c r="U1066" s="46" t="n"/>
      <c r="V1066" s="46" t="n"/>
      <c r="W1066" s="46" t="n"/>
      <c r="X1066" s="46" t="n"/>
      <c r="Y1066" s="46" t="n"/>
    </row>
    <row r="1067">
      <c r="A1067" s="78" t="n">
        <v>46365</v>
      </c>
      <c r="B1067" s="53" t="inlineStr">
        <is>
          <t>2026款探陆</t>
        </is>
      </c>
      <c r="C1067" s="46" t="n"/>
      <c r="D1067" s="46" t="n"/>
      <c r="E1067" s="46" t="n"/>
      <c r="F1067" s="46" t="n"/>
      <c r="G1067" s="46" t="n"/>
      <c r="H1067" s="46" t="n"/>
      <c r="I1067" s="46" t="n"/>
      <c r="J1067" s="46" t="n"/>
      <c r="K1067" s="46" t="n"/>
      <c r="L1067" s="46" t="n"/>
      <c r="M1067" s="46">
        <f>N1067-SUM(C1067:L1067)</f>
        <v/>
      </c>
      <c r="N1067" s="47" t="n"/>
      <c r="O1067" s="46" t="n"/>
      <c r="P1067" s="46" t="n"/>
      <c r="Q1067" s="46" t="n"/>
      <c r="R1067" s="46" t="n"/>
      <c r="S1067" s="46" t="n"/>
      <c r="T1067" s="46" t="n"/>
      <c r="U1067" s="46" t="n"/>
      <c r="V1067" s="46" t="n"/>
      <c r="W1067" s="46" t="n"/>
      <c r="X1067" s="46" t="n"/>
      <c r="Y1067" s="46" t="n"/>
    </row>
    <row r="1068">
      <c r="A1068" s="78" t="n">
        <v>46366</v>
      </c>
      <c r="B1068" s="53" t="inlineStr">
        <is>
          <t>2026款探陆</t>
        </is>
      </c>
      <c r="C1068" s="46" t="n"/>
      <c r="D1068" s="46" t="n"/>
      <c r="E1068" s="46" t="n"/>
      <c r="F1068" s="46" t="n"/>
      <c r="G1068" s="46" t="n"/>
      <c r="H1068" s="46" t="n"/>
      <c r="I1068" s="46" t="n"/>
      <c r="J1068" s="46" t="n"/>
      <c r="K1068" s="46" t="n"/>
      <c r="L1068" s="46" t="n"/>
      <c r="M1068" s="46">
        <f>N1068-SUM(C1068:L1068)</f>
        <v/>
      </c>
      <c r="N1068" s="47" t="n"/>
      <c r="O1068" s="46" t="n"/>
      <c r="P1068" s="46" t="n"/>
      <c r="Q1068" s="46" t="n"/>
      <c r="R1068" s="46" t="n"/>
      <c r="S1068" s="46" t="n"/>
      <c r="T1068" s="46" t="n"/>
      <c r="U1068" s="46" t="n"/>
      <c r="V1068" s="46" t="n"/>
      <c r="W1068" s="46" t="n"/>
      <c r="X1068" s="46" t="n"/>
      <c r="Y1068" s="46" t="n"/>
    </row>
    <row r="1069">
      <c r="A1069" s="78" t="n">
        <v>46367</v>
      </c>
      <c r="B1069" s="53" t="inlineStr">
        <is>
          <t>2026款探陆</t>
        </is>
      </c>
      <c r="C1069" s="46" t="n"/>
      <c r="D1069" s="46" t="n"/>
      <c r="E1069" s="46" t="n"/>
      <c r="F1069" s="46" t="n"/>
      <c r="G1069" s="46" t="n"/>
      <c r="H1069" s="46" t="n"/>
      <c r="I1069" s="46" t="n"/>
      <c r="J1069" s="46" t="n"/>
      <c r="K1069" s="46" t="n"/>
      <c r="L1069" s="46" t="n"/>
      <c r="M1069" s="46">
        <f>N1069-SUM(C1069:L1069)</f>
        <v/>
      </c>
      <c r="N1069" s="47" t="n"/>
      <c r="O1069" s="46" t="n"/>
      <c r="P1069" s="46" t="n"/>
      <c r="Q1069" s="46" t="n"/>
      <c r="R1069" s="46" t="n"/>
      <c r="S1069" s="46" t="n"/>
      <c r="T1069" s="46" t="n"/>
      <c r="U1069" s="46" t="n"/>
      <c r="V1069" s="46" t="n"/>
      <c r="W1069" s="46" t="n"/>
      <c r="X1069" s="46" t="n"/>
      <c r="Y1069" s="46" t="n"/>
    </row>
    <row r="1070">
      <c r="A1070" s="78" t="n">
        <v>46368</v>
      </c>
      <c r="B1070" s="53" t="inlineStr">
        <is>
          <t>2026款探陆</t>
        </is>
      </c>
      <c r="C1070" s="46" t="n"/>
      <c r="D1070" s="46" t="n"/>
      <c r="E1070" s="46" t="n"/>
      <c r="F1070" s="46" t="n"/>
      <c r="G1070" s="46" t="n"/>
      <c r="H1070" s="46" t="n"/>
      <c r="I1070" s="46" t="n"/>
      <c r="J1070" s="46" t="n"/>
      <c r="K1070" s="46" t="n"/>
      <c r="L1070" s="46" t="n"/>
      <c r="M1070" s="46">
        <f>N1070-SUM(C1070:L1070)</f>
        <v/>
      </c>
      <c r="N1070" s="47" t="n"/>
      <c r="O1070" s="46" t="n"/>
      <c r="P1070" s="46" t="n"/>
      <c r="Q1070" s="46" t="n"/>
      <c r="R1070" s="46" t="n"/>
      <c r="S1070" s="46" t="n"/>
      <c r="T1070" s="46" t="n"/>
      <c r="U1070" s="46" t="n"/>
      <c r="V1070" s="46" t="n"/>
      <c r="W1070" s="46" t="n"/>
      <c r="X1070" s="46" t="n"/>
      <c r="Y1070" s="46" t="n"/>
    </row>
    <row r="1071">
      <c r="A1071" s="78" t="n">
        <v>46369</v>
      </c>
      <c r="B1071" s="53" t="inlineStr">
        <is>
          <t>2026款探陆</t>
        </is>
      </c>
      <c r="C1071" s="46" t="n"/>
      <c r="D1071" s="46" t="n"/>
      <c r="E1071" s="46" t="n"/>
      <c r="F1071" s="46" t="n"/>
      <c r="G1071" s="46" t="n"/>
      <c r="H1071" s="46" t="n"/>
      <c r="I1071" s="46" t="n"/>
      <c r="J1071" s="46" t="n"/>
      <c r="K1071" s="46" t="n"/>
      <c r="L1071" s="46" t="n"/>
      <c r="M1071" s="46">
        <f>N1071-SUM(C1071:L1071)</f>
        <v/>
      </c>
      <c r="N1071" s="47" t="n"/>
      <c r="O1071" s="46" t="n"/>
      <c r="P1071" s="46" t="n"/>
      <c r="Q1071" s="46" t="n"/>
      <c r="R1071" s="46" t="n"/>
      <c r="S1071" s="46" t="n"/>
      <c r="T1071" s="46" t="n"/>
      <c r="U1071" s="46" t="n"/>
      <c r="V1071" s="46" t="n"/>
      <c r="W1071" s="46" t="n"/>
      <c r="X1071" s="46" t="n"/>
      <c r="Y1071" s="46" t="n"/>
    </row>
    <row r="1072">
      <c r="A1072" s="78" t="n">
        <v>46370</v>
      </c>
      <c r="B1072" s="53" t="inlineStr">
        <is>
          <t>2026款探陆</t>
        </is>
      </c>
      <c r="C1072" s="46" t="n"/>
      <c r="D1072" s="46" t="n"/>
      <c r="E1072" s="46" t="n"/>
      <c r="F1072" s="46" t="n"/>
      <c r="G1072" s="46" t="n"/>
      <c r="H1072" s="46" t="n"/>
      <c r="I1072" s="46" t="n"/>
      <c r="J1072" s="46" t="n"/>
      <c r="K1072" s="46" t="n"/>
      <c r="L1072" s="46" t="n"/>
      <c r="M1072" s="46">
        <f>N1072-SUM(C1072:L1072)</f>
        <v/>
      </c>
      <c r="N1072" s="47" t="n"/>
      <c r="O1072" s="46" t="n"/>
      <c r="P1072" s="46" t="n"/>
      <c r="Q1072" s="46" t="n"/>
      <c r="R1072" s="46" t="n"/>
      <c r="S1072" s="46" t="n"/>
      <c r="T1072" s="46" t="n"/>
      <c r="U1072" s="46" t="n"/>
      <c r="V1072" s="46" t="n"/>
      <c r="W1072" s="46" t="n"/>
      <c r="X1072" s="46" t="n"/>
      <c r="Y1072" s="46" t="n"/>
    </row>
    <row r="1073">
      <c r="A1073" s="78" t="n">
        <v>46371</v>
      </c>
      <c r="B1073" s="53" t="inlineStr">
        <is>
          <t>2026款探陆</t>
        </is>
      </c>
      <c r="C1073" s="46" t="n"/>
      <c r="D1073" s="46" t="n"/>
      <c r="E1073" s="46" t="n"/>
      <c r="F1073" s="46" t="n"/>
      <c r="G1073" s="46" t="n"/>
      <c r="H1073" s="46" t="n"/>
      <c r="I1073" s="46" t="n"/>
      <c r="J1073" s="46" t="n"/>
      <c r="K1073" s="46" t="n"/>
      <c r="L1073" s="46" t="n"/>
      <c r="M1073" s="46">
        <f>N1073-SUM(C1073:L1073)</f>
        <v/>
      </c>
      <c r="N1073" s="47" t="n"/>
      <c r="O1073" s="46" t="n"/>
      <c r="P1073" s="46" t="n"/>
      <c r="Q1073" s="46" t="n"/>
      <c r="R1073" s="46" t="n"/>
      <c r="S1073" s="46" t="n"/>
      <c r="T1073" s="46" t="n"/>
      <c r="U1073" s="46" t="n"/>
      <c r="V1073" s="46" t="n"/>
      <c r="W1073" s="46" t="n"/>
      <c r="X1073" s="46" t="n"/>
      <c r="Y1073" s="46" t="n"/>
    </row>
    <row r="1074">
      <c r="A1074" s="78" t="n">
        <v>46372</v>
      </c>
      <c r="B1074" s="53" t="inlineStr">
        <is>
          <t>2026款探陆</t>
        </is>
      </c>
      <c r="C1074" s="46" t="n"/>
      <c r="D1074" s="46" t="n"/>
      <c r="E1074" s="46" t="n"/>
      <c r="F1074" s="46" t="n"/>
      <c r="G1074" s="46" t="n"/>
      <c r="H1074" s="46" t="n"/>
      <c r="I1074" s="46" t="n"/>
      <c r="J1074" s="46" t="n"/>
      <c r="K1074" s="46" t="n"/>
      <c r="L1074" s="46" t="n"/>
      <c r="M1074" s="46">
        <f>N1074-SUM(C1074:L1074)</f>
        <v/>
      </c>
      <c r="N1074" s="47" t="n"/>
      <c r="O1074" s="46" t="n"/>
      <c r="P1074" s="46" t="n"/>
      <c r="Q1074" s="46" t="n"/>
      <c r="R1074" s="46" t="n"/>
      <c r="S1074" s="46" t="n"/>
      <c r="T1074" s="46" t="n"/>
      <c r="U1074" s="46" t="n"/>
      <c r="V1074" s="46" t="n"/>
      <c r="W1074" s="46" t="n"/>
      <c r="X1074" s="46" t="n"/>
      <c r="Y1074" s="46" t="n"/>
    </row>
    <row r="1075">
      <c r="A1075" s="78" t="n">
        <v>46373</v>
      </c>
      <c r="B1075" s="53" t="inlineStr">
        <is>
          <t>2026款探陆</t>
        </is>
      </c>
      <c r="C1075" s="46" t="n"/>
      <c r="D1075" s="46" t="n"/>
      <c r="E1075" s="46" t="n"/>
      <c r="F1075" s="46" t="n"/>
      <c r="G1075" s="46" t="n"/>
      <c r="H1075" s="46" t="n"/>
      <c r="I1075" s="46" t="n"/>
      <c r="J1075" s="46" t="n"/>
      <c r="K1075" s="46" t="n"/>
      <c r="L1075" s="46" t="n"/>
      <c r="M1075" s="46">
        <f>N1075-SUM(C1075:L1075)</f>
        <v/>
      </c>
      <c r="N1075" s="47" t="n"/>
      <c r="O1075" s="46" t="n"/>
      <c r="P1075" s="46" t="n"/>
      <c r="Q1075" s="46" t="n"/>
      <c r="R1075" s="46" t="n"/>
      <c r="S1075" s="46" t="n"/>
      <c r="T1075" s="46" t="n"/>
      <c r="U1075" s="46" t="n"/>
      <c r="V1075" s="46" t="n"/>
      <c r="W1075" s="46" t="n"/>
      <c r="X1075" s="46" t="n"/>
      <c r="Y1075" s="46" t="n"/>
    </row>
    <row r="1076">
      <c r="A1076" s="78" t="n">
        <v>46374</v>
      </c>
      <c r="B1076" s="53" t="inlineStr">
        <is>
          <t>2026款探陆</t>
        </is>
      </c>
      <c r="C1076" s="46" t="n"/>
      <c r="D1076" s="46" t="n"/>
      <c r="E1076" s="46" t="n"/>
      <c r="F1076" s="46" t="n"/>
      <c r="G1076" s="46" t="n"/>
      <c r="H1076" s="46" t="n"/>
      <c r="I1076" s="46" t="n"/>
      <c r="J1076" s="46" t="n"/>
      <c r="K1076" s="46" t="n"/>
      <c r="L1076" s="46" t="n"/>
      <c r="M1076" s="46">
        <f>N1076-SUM(C1076:L1076)</f>
        <v/>
      </c>
      <c r="N1076" s="47" t="n"/>
      <c r="O1076" s="46" t="n"/>
      <c r="P1076" s="46" t="n"/>
      <c r="Q1076" s="46" t="n"/>
      <c r="R1076" s="46" t="n"/>
      <c r="S1076" s="46" t="n"/>
      <c r="T1076" s="46" t="n"/>
      <c r="U1076" s="46" t="n"/>
      <c r="V1076" s="46" t="n"/>
      <c r="W1076" s="46" t="n"/>
      <c r="X1076" s="46" t="n"/>
      <c r="Y1076" s="46" t="n"/>
    </row>
    <row r="1077">
      <c r="A1077" s="78" t="n">
        <v>46375</v>
      </c>
      <c r="B1077" s="53" t="inlineStr">
        <is>
          <t>2026款探陆</t>
        </is>
      </c>
      <c r="C1077" s="46" t="n"/>
      <c r="D1077" s="46" t="n"/>
      <c r="E1077" s="46" t="n"/>
      <c r="F1077" s="46" t="n"/>
      <c r="G1077" s="46" t="n"/>
      <c r="H1077" s="46" t="n"/>
      <c r="I1077" s="46" t="n"/>
      <c r="J1077" s="46" t="n"/>
      <c r="K1077" s="46" t="n"/>
      <c r="L1077" s="46" t="n"/>
      <c r="M1077" s="46">
        <f>N1077-SUM(C1077:L1077)</f>
        <v/>
      </c>
      <c r="N1077" s="47" t="n"/>
      <c r="O1077" s="46" t="n"/>
      <c r="P1077" s="46" t="n"/>
      <c r="Q1077" s="46" t="n"/>
      <c r="R1077" s="46" t="n"/>
      <c r="S1077" s="46" t="n"/>
      <c r="T1077" s="46" t="n"/>
      <c r="U1077" s="46" t="n"/>
      <c r="V1077" s="46" t="n"/>
      <c r="W1077" s="46" t="n"/>
      <c r="X1077" s="46" t="n"/>
      <c r="Y1077" s="46" t="n"/>
    </row>
    <row r="1078">
      <c r="A1078" s="78" t="n">
        <v>46376</v>
      </c>
      <c r="B1078" s="53" t="inlineStr">
        <is>
          <t>2026款探陆</t>
        </is>
      </c>
      <c r="C1078" s="46" t="n"/>
      <c r="D1078" s="46" t="n"/>
      <c r="E1078" s="46" t="n"/>
      <c r="F1078" s="46" t="n"/>
      <c r="G1078" s="46" t="n"/>
      <c r="H1078" s="46" t="n"/>
      <c r="I1078" s="46" t="n"/>
      <c r="J1078" s="46" t="n"/>
      <c r="K1078" s="46" t="n"/>
      <c r="L1078" s="46" t="n"/>
      <c r="M1078" s="46">
        <f>N1078-SUM(C1078:L1078)</f>
        <v/>
      </c>
      <c r="N1078" s="47" t="n"/>
      <c r="O1078" s="46" t="n"/>
      <c r="P1078" s="46" t="n"/>
      <c r="Q1078" s="46" t="n"/>
      <c r="R1078" s="46" t="n"/>
      <c r="S1078" s="46" t="n"/>
      <c r="T1078" s="46" t="n"/>
      <c r="U1078" s="46" t="n"/>
      <c r="V1078" s="46" t="n"/>
      <c r="W1078" s="46" t="n"/>
      <c r="X1078" s="46" t="n"/>
      <c r="Y1078" s="46" t="n"/>
    </row>
    <row r="1079">
      <c r="A1079" s="78" t="n">
        <v>46377</v>
      </c>
      <c r="B1079" s="53" t="inlineStr">
        <is>
          <t>2026款探陆</t>
        </is>
      </c>
      <c r="C1079" s="46" t="n"/>
      <c r="D1079" s="46" t="n"/>
      <c r="E1079" s="46" t="n"/>
      <c r="F1079" s="46" t="n"/>
      <c r="G1079" s="46" t="n"/>
      <c r="H1079" s="46" t="n"/>
      <c r="I1079" s="46" t="n"/>
      <c r="J1079" s="46" t="n"/>
      <c r="K1079" s="46" t="n"/>
      <c r="L1079" s="46" t="n"/>
      <c r="M1079" s="46">
        <f>N1079-SUM(C1079:L1079)</f>
        <v/>
      </c>
      <c r="N1079" s="47" t="n"/>
      <c r="O1079" s="46" t="n"/>
      <c r="P1079" s="46" t="n"/>
      <c r="Q1079" s="46" t="n"/>
      <c r="R1079" s="46" t="n"/>
      <c r="S1079" s="46" t="n"/>
      <c r="T1079" s="46" t="n"/>
      <c r="U1079" s="46" t="n"/>
      <c r="V1079" s="46" t="n"/>
      <c r="W1079" s="46" t="n"/>
      <c r="X1079" s="46" t="n"/>
      <c r="Y1079" s="46" t="n"/>
    </row>
    <row r="1080">
      <c r="A1080" s="78" t="n">
        <v>46378</v>
      </c>
      <c r="B1080" s="53" t="inlineStr">
        <is>
          <t>2026款探陆</t>
        </is>
      </c>
      <c r="C1080" s="46" t="n"/>
      <c r="D1080" s="46" t="n"/>
      <c r="E1080" s="46" t="n"/>
      <c r="F1080" s="46" t="n"/>
      <c r="G1080" s="46" t="n"/>
      <c r="H1080" s="46" t="n"/>
      <c r="I1080" s="46" t="n"/>
      <c r="J1080" s="46" t="n"/>
      <c r="K1080" s="46" t="n"/>
      <c r="L1080" s="46" t="n"/>
      <c r="M1080" s="46">
        <f>N1080-SUM(C1080:L1080)</f>
        <v/>
      </c>
      <c r="N1080" s="47" t="n"/>
      <c r="O1080" s="46" t="n"/>
      <c r="P1080" s="46" t="n"/>
      <c r="Q1080" s="46" t="n"/>
      <c r="R1080" s="46" t="n"/>
      <c r="S1080" s="46" t="n"/>
      <c r="T1080" s="46" t="n"/>
      <c r="U1080" s="46" t="n"/>
      <c r="V1080" s="46" t="n"/>
      <c r="W1080" s="46" t="n"/>
      <c r="X1080" s="46" t="n"/>
      <c r="Y1080" s="46" t="n"/>
    </row>
    <row r="1081">
      <c r="A1081" s="78" t="n">
        <v>46379</v>
      </c>
      <c r="B1081" s="53" t="inlineStr">
        <is>
          <t>2026款探陆</t>
        </is>
      </c>
      <c r="C1081" s="46" t="n"/>
      <c r="D1081" s="46" t="n"/>
      <c r="E1081" s="46" t="n"/>
      <c r="F1081" s="46" t="n"/>
      <c r="G1081" s="46" t="n"/>
      <c r="H1081" s="46" t="n"/>
      <c r="I1081" s="46" t="n"/>
      <c r="J1081" s="46" t="n"/>
      <c r="K1081" s="46" t="n"/>
      <c r="L1081" s="46" t="n"/>
      <c r="M1081" s="46">
        <f>N1081-SUM(C1081:L1081)</f>
        <v/>
      </c>
      <c r="N1081" s="47" t="n"/>
      <c r="O1081" s="46" t="n"/>
      <c r="P1081" s="46" t="n"/>
      <c r="Q1081" s="46" t="n"/>
      <c r="R1081" s="46" t="n"/>
      <c r="S1081" s="46" t="n"/>
      <c r="T1081" s="46" t="n"/>
      <c r="U1081" s="46" t="n"/>
      <c r="V1081" s="46" t="n"/>
      <c r="W1081" s="46" t="n"/>
      <c r="X1081" s="46" t="n"/>
      <c r="Y1081" s="46" t="n"/>
    </row>
    <row r="1082">
      <c r="A1082" s="78" t="n">
        <v>46380</v>
      </c>
      <c r="B1082" s="53" t="inlineStr">
        <is>
          <t>2026款探陆</t>
        </is>
      </c>
      <c r="C1082" s="46" t="n"/>
      <c r="D1082" s="46" t="n"/>
      <c r="E1082" s="46" t="n"/>
      <c r="F1082" s="46" t="n"/>
      <c r="G1082" s="46" t="n"/>
      <c r="H1082" s="46" t="n"/>
      <c r="I1082" s="46" t="n"/>
      <c r="J1082" s="46" t="n"/>
      <c r="K1082" s="46" t="n"/>
      <c r="L1082" s="46" t="n"/>
      <c r="M1082" s="46">
        <f>N1082-SUM(C1082:L1082)</f>
        <v/>
      </c>
      <c r="N1082" s="47" t="n"/>
      <c r="O1082" s="46" t="n"/>
      <c r="P1082" s="46" t="n"/>
      <c r="Q1082" s="46" t="n"/>
      <c r="R1082" s="46" t="n"/>
      <c r="S1082" s="46" t="n"/>
      <c r="T1082" s="46" t="n"/>
      <c r="U1082" s="46" t="n"/>
      <c r="V1082" s="46" t="n"/>
      <c r="W1082" s="46" t="n"/>
      <c r="X1082" s="46" t="n"/>
      <c r="Y1082" s="46" t="n"/>
    </row>
    <row r="1083">
      <c r="A1083" s="78" t="n">
        <v>46381</v>
      </c>
      <c r="B1083" s="53" t="inlineStr">
        <is>
          <t>2026款探陆</t>
        </is>
      </c>
      <c r="C1083" s="46" t="n"/>
      <c r="D1083" s="46" t="n"/>
      <c r="E1083" s="46" t="n"/>
      <c r="F1083" s="46" t="n"/>
      <c r="G1083" s="46" t="n"/>
      <c r="H1083" s="46" t="n"/>
      <c r="I1083" s="46" t="n"/>
      <c r="J1083" s="46" t="n"/>
      <c r="K1083" s="46" t="n"/>
      <c r="L1083" s="46" t="n"/>
      <c r="M1083" s="46">
        <f>N1083-SUM(C1083:L1083)</f>
        <v/>
      </c>
      <c r="N1083" s="47" t="n"/>
      <c r="O1083" s="46" t="n"/>
      <c r="P1083" s="46" t="n"/>
      <c r="Q1083" s="46" t="n"/>
      <c r="R1083" s="46" t="n"/>
      <c r="S1083" s="46" t="n"/>
      <c r="T1083" s="46" t="n"/>
      <c r="U1083" s="46" t="n"/>
      <c r="V1083" s="46" t="n"/>
      <c r="W1083" s="46" t="n"/>
      <c r="X1083" s="46" t="n"/>
      <c r="Y1083" s="46" t="n"/>
    </row>
    <row r="1084">
      <c r="A1084" s="78" t="n">
        <v>46382</v>
      </c>
      <c r="B1084" s="53" t="inlineStr">
        <is>
          <t>2026款探陆</t>
        </is>
      </c>
      <c r="C1084" s="46" t="n"/>
      <c r="D1084" s="46" t="n"/>
      <c r="E1084" s="46" t="n"/>
      <c r="F1084" s="46" t="n"/>
      <c r="G1084" s="46" t="n"/>
      <c r="H1084" s="46" t="n"/>
      <c r="I1084" s="46" t="n"/>
      <c r="J1084" s="46" t="n"/>
      <c r="K1084" s="46" t="n"/>
      <c r="L1084" s="46" t="n"/>
      <c r="M1084" s="46">
        <f>N1084-SUM(C1084:L1084)</f>
        <v/>
      </c>
      <c r="N1084" s="47" t="n"/>
      <c r="O1084" s="46" t="n"/>
      <c r="P1084" s="46" t="n"/>
      <c r="Q1084" s="46" t="n"/>
      <c r="R1084" s="46" t="n"/>
      <c r="S1084" s="46" t="n"/>
      <c r="T1084" s="46" t="n"/>
      <c r="U1084" s="46" t="n"/>
      <c r="V1084" s="46" t="n"/>
      <c r="W1084" s="46" t="n"/>
      <c r="X1084" s="46" t="n"/>
      <c r="Y1084" s="46" t="n"/>
    </row>
    <row r="1085">
      <c r="A1085" s="78" t="n">
        <v>46383</v>
      </c>
      <c r="B1085" s="53" t="inlineStr">
        <is>
          <t>2026款探陆</t>
        </is>
      </c>
      <c r="C1085" s="46" t="n"/>
      <c r="D1085" s="46" t="n"/>
      <c r="E1085" s="46" t="n"/>
      <c r="F1085" s="46" t="n"/>
      <c r="G1085" s="46" t="n"/>
      <c r="H1085" s="46" t="n"/>
      <c r="I1085" s="46" t="n"/>
      <c r="J1085" s="46" t="n"/>
      <c r="K1085" s="46" t="n"/>
      <c r="L1085" s="46" t="n"/>
      <c r="M1085" s="46">
        <f>N1085-SUM(C1085:L1085)</f>
        <v/>
      </c>
      <c r="N1085" s="47" t="n"/>
      <c r="O1085" s="46" t="n"/>
      <c r="P1085" s="46" t="n"/>
      <c r="Q1085" s="46" t="n"/>
      <c r="R1085" s="46" t="n"/>
      <c r="S1085" s="46" t="n"/>
      <c r="T1085" s="46" t="n"/>
      <c r="U1085" s="46" t="n"/>
      <c r="V1085" s="46" t="n"/>
      <c r="W1085" s="46" t="n"/>
      <c r="X1085" s="46" t="n"/>
      <c r="Y1085" s="46" t="n"/>
    </row>
    <row r="1086">
      <c r="A1086" s="78" t="n">
        <v>46384</v>
      </c>
      <c r="B1086" s="53" t="inlineStr">
        <is>
          <t>2026款探陆</t>
        </is>
      </c>
      <c r="C1086" s="46" t="n"/>
      <c r="D1086" s="46" t="n"/>
      <c r="E1086" s="46" t="n"/>
      <c r="F1086" s="46" t="n"/>
      <c r="G1086" s="46" t="n"/>
      <c r="H1086" s="46" t="n"/>
      <c r="I1086" s="46" t="n"/>
      <c r="J1086" s="46" t="n"/>
      <c r="K1086" s="46" t="n"/>
      <c r="L1086" s="46" t="n"/>
      <c r="M1086" s="46">
        <f>N1086-SUM(C1086:L1086)</f>
        <v/>
      </c>
      <c r="N1086" s="47" t="n"/>
      <c r="O1086" s="46" t="n"/>
      <c r="P1086" s="46" t="n"/>
      <c r="Q1086" s="46" t="n"/>
      <c r="R1086" s="46" t="n"/>
      <c r="S1086" s="46" t="n"/>
      <c r="T1086" s="46" t="n"/>
      <c r="U1086" s="46" t="n"/>
      <c r="V1086" s="46" t="n"/>
      <c r="W1086" s="46" t="n"/>
      <c r="X1086" s="46" t="n"/>
      <c r="Y1086" s="46" t="n"/>
    </row>
    <row r="1087">
      <c r="A1087" s="78" t="n">
        <v>46385</v>
      </c>
      <c r="B1087" s="53" t="inlineStr">
        <is>
          <t>2026款探陆</t>
        </is>
      </c>
      <c r="C1087" s="46" t="n"/>
      <c r="D1087" s="46" t="n"/>
      <c r="E1087" s="46" t="n"/>
      <c r="F1087" s="46" t="n"/>
      <c r="G1087" s="46" t="n"/>
      <c r="H1087" s="46" t="n"/>
      <c r="I1087" s="46" t="n"/>
      <c r="J1087" s="46" t="n"/>
      <c r="K1087" s="46" t="n"/>
      <c r="L1087" s="46" t="n"/>
      <c r="M1087" s="46">
        <f>N1087-SUM(C1087:L1087)</f>
        <v/>
      </c>
      <c r="N1087" s="47" t="n"/>
      <c r="O1087" s="46" t="n"/>
      <c r="P1087" s="46" t="n"/>
      <c r="Q1087" s="46" t="n"/>
      <c r="R1087" s="46" t="n"/>
      <c r="S1087" s="46" t="n"/>
      <c r="T1087" s="46" t="n"/>
      <c r="U1087" s="46" t="n"/>
      <c r="V1087" s="46" t="n"/>
      <c r="W1087" s="46" t="n"/>
      <c r="X1087" s="46" t="n"/>
      <c r="Y1087" s="46" t="n"/>
    </row>
    <row r="1088">
      <c r="A1088" s="78" t="n">
        <v>46386</v>
      </c>
      <c r="B1088" s="53" t="inlineStr">
        <is>
          <t>2026款探陆</t>
        </is>
      </c>
      <c r="C1088" s="46" t="n"/>
      <c r="D1088" s="46" t="n"/>
      <c r="E1088" s="46" t="n"/>
      <c r="F1088" s="46" t="n"/>
      <c r="G1088" s="46" t="n"/>
      <c r="H1088" s="46" t="n"/>
      <c r="I1088" s="46" t="n"/>
      <c r="J1088" s="46" t="n"/>
      <c r="K1088" s="46" t="n"/>
      <c r="L1088" s="46" t="n"/>
      <c r="M1088" s="46">
        <f>N1088-SUM(C1088:L1088)</f>
        <v/>
      </c>
      <c r="N1088" s="47" t="n"/>
      <c r="O1088" s="46" t="n"/>
      <c r="P1088" s="46" t="n"/>
      <c r="Q1088" s="46" t="n"/>
      <c r="R1088" s="46" t="n"/>
      <c r="S1088" s="46" t="n"/>
      <c r="T1088" s="46" t="n"/>
      <c r="U1088" s="46" t="n"/>
      <c r="V1088" s="46" t="n"/>
      <c r="W1088" s="46" t="n"/>
      <c r="X1088" s="46" t="n"/>
      <c r="Y1088" s="46" t="n"/>
    </row>
    <row r="1089">
      <c r="A1089" s="78" t="n">
        <v>46387</v>
      </c>
      <c r="B1089" s="53" t="inlineStr">
        <is>
          <t>2026款探陆</t>
        </is>
      </c>
      <c r="C1089" s="46" t="n"/>
      <c r="D1089" s="46" t="n"/>
      <c r="E1089" s="46" t="n"/>
      <c r="F1089" s="46" t="n"/>
      <c r="G1089" s="46" t="n"/>
      <c r="H1089" s="46" t="n"/>
      <c r="I1089" s="46" t="n"/>
      <c r="J1089" s="46" t="n"/>
      <c r="K1089" s="46" t="n"/>
      <c r="L1089" s="46" t="n"/>
      <c r="M1089" s="46">
        <f>N1089-SUM(C1089:L1089)</f>
        <v/>
      </c>
      <c r="N1089" s="47" t="n"/>
      <c r="O1089" s="46" t="n"/>
      <c r="P1089" s="46" t="n"/>
      <c r="Q1089" s="46" t="n"/>
      <c r="R1089" s="46" t="n"/>
      <c r="S1089" s="46" t="n"/>
      <c r="T1089" s="46" t="n"/>
      <c r="U1089" s="46" t="n"/>
      <c r="V1089" s="46" t="n"/>
      <c r="W1089" s="46" t="n"/>
      <c r="X1089" s="46" t="n"/>
      <c r="Y1089" s="46" t="n"/>
    </row>
    <row r="1090">
      <c r="A1090" s="78" t="n">
        <v>46082</v>
      </c>
      <c r="B1090" s="45" t="inlineStr">
        <is>
          <t>NX8</t>
        </is>
      </c>
      <c r="C1090" s="46" t="n"/>
      <c r="D1090" s="46" t="n"/>
      <c r="E1090" s="46" t="n"/>
      <c r="F1090" s="46" t="n"/>
      <c r="G1090" s="46" t="n"/>
      <c r="H1090" s="46" t="n"/>
      <c r="I1090" s="46" t="n"/>
      <c r="J1090" s="46" t="n"/>
      <c r="K1090" s="46" t="n"/>
      <c r="L1090" s="46" t="n"/>
      <c r="M1090" s="46">
        <f>N1090-SUM(C1090:L1090)</f>
        <v/>
      </c>
      <c r="N1090" s="47" t="n"/>
      <c r="O1090" s="46" t="n"/>
      <c r="P1090" s="46" t="n"/>
      <c r="Q1090" s="46" t="n"/>
      <c r="R1090" s="46" t="n"/>
      <c r="S1090" s="46" t="n"/>
      <c r="T1090" s="46" t="n"/>
      <c r="U1090" s="46" t="n"/>
      <c r="V1090" s="46" t="n"/>
      <c r="W1090" s="46" t="n"/>
      <c r="X1090" s="46" t="n"/>
      <c r="Y1090" s="46" t="n"/>
    </row>
    <row r="1091">
      <c r="A1091" s="78" t="n">
        <v>46083</v>
      </c>
      <c r="B1091" s="45" t="inlineStr">
        <is>
          <t>NX8</t>
        </is>
      </c>
      <c r="C1091" s="46" t="n"/>
      <c r="D1091" s="46" t="n"/>
      <c r="E1091" s="46" t="n"/>
      <c r="F1091" s="46" t="n"/>
      <c r="G1091" s="46" t="n"/>
      <c r="H1091" s="46" t="n"/>
      <c r="I1091" s="46" t="n"/>
      <c r="J1091" s="46" t="n"/>
      <c r="K1091" s="46" t="n"/>
      <c r="L1091" s="46" t="n"/>
      <c r="M1091" s="46">
        <f>N1091-SUM(C1091:L1091)</f>
        <v/>
      </c>
      <c r="N1091" s="47" t="n"/>
      <c r="O1091" s="46" t="n"/>
      <c r="P1091" s="46" t="n"/>
      <c r="Q1091" s="46" t="n"/>
      <c r="R1091" s="46" t="n"/>
      <c r="S1091" s="46" t="n"/>
      <c r="T1091" s="46" t="n"/>
      <c r="U1091" s="46" t="n"/>
      <c r="V1091" s="46" t="n"/>
      <c r="W1091" s="46" t="n"/>
      <c r="X1091" s="46" t="n"/>
      <c r="Y1091" s="46" t="n"/>
    </row>
    <row r="1092">
      <c r="A1092" s="78" t="n">
        <v>46084</v>
      </c>
      <c r="B1092" s="45" t="inlineStr">
        <is>
          <t>NX8</t>
        </is>
      </c>
      <c r="C1092" s="46" t="n"/>
      <c r="D1092" s="46" t="n"/>
      <c r="E1092" s="46" t="n"/>
      <c r="F1092" s="46" t="n"/>
      <c r="G1092" s="46" t="n"/>
      <c r="H1092" s="46" t="n"/>
      <c r="I1092" s="46" t="n"/>
      <c r="J1092" s="46" t="n"/>
      <c r="K1092" s="46" t="n"/>
      <c r="L1092" s="46" t="n"/>
      <c r="M1092" s="46">
        <f>N1092-SUM(C1092:L1092)</f>
        <v/>
      </c>
      <c r="N1092" s="47" t="n"/>
      <c r="O1092" s="46" t="n"/>
      <c r="P1092" s="46" t="n"/>
      <c r="Q1092" s="46" t="n"/>
      <c r="R1092" s="46" t="n"/>
      <c r="S1092" s="46" t="n"/>
      <c r="T1092" s="46" t="n"/>
      <c r="U1092" s="46" t="n"/>
      <c r="V1092" s="46" t="n"/>
      <c r="W1092" s="46" t="n"/>
      <c r="X1092" s="46" t="n"/>
      <c r="Y1092" s="46" t="n"/>
    </row>
    <row r="1093">
      <c r="A1093" s="78" t="n">
        <v>46085</v>
      </c>
      <c r="B1093" s="45" t="inlineStr">
        <is>
          <t>NX8</t>
        </is>
      </c>
      <c r="C1093" s="46" t="n"/>
      <c r="D1093" s="46" t="n"/>
      <c r="E1093" s="46" t="n"/>
      <c r="F1093" s="46" t="n"/>
      <c r="G1093" s="46" t="n"/>
      <c r="H1093" s="46" t="n"/>
      <c r="I1093" s="46" t="n"/>
      <c r="J1093" s="46" t="n"/>
      <c r="K1093" s="46" t="n"/>
      <c r="L1093" s="46" t="n"/>
      <c r="M1093" s="46">
        <f>N1093-SUM(C1093:L1093)</f>
        <v/>
      </c>
      <c r="N1093" s="47" t="n"/>
      <c r="O1093" s="46" t="n"/>
      <c r="P1093" s="46" t="n"/>
      <c r="Q1093" s="46" t="n"/>
      <c r="R1093" s="46" t="n"/>
      <c r="S1093" s="46" t="n"/>
      <c r="T1093" s="46" t="n"/>
      <c r="U1093" s="46" t="n"/>
      <c r="V1093" s="46" t="n"/>
      <c r="W1093" s="46" t="n"/>
      <c r="X1093" s="46" t="n"/>
      <c r="Y1093" s="46" t="n"/>
    </row>
    <row r="1094">
      <c r="A1094" s="78" t="n">
        <v>46086</v>
      </c>
      <c r="B1094" s="45" t="inlineStr">
        <is>
          <t>NX8</t>
        </is>
      </c>
      <c r="C1094" s="46" t="n"/>
      <c r="D1094" s="46" t="n"/>
      <c r="E1094" s="46" t="n"/>
      <c r="F1094" s="46" t="n"/>
      <c r="G1094" s="46" t="n"/>
      <c r="H1094" s="46" t="n"/>
      <c r="I1094" s="46" t="n"/>
      <c r="J1094" s="46" t="n"/>
      <c r="K1094" s="46" t="n"/>
      <c r="L1094" s="46" t="n"/>
      <c r="M1094" s="46">
        <f>N1094-SUM(C1094:L1094)</f>
        <v/>
      </c>
      <c r="N1094" s="47" t="n"/>
      <c r="O1094" s="46" t="n"/>
      <c r="P1094" s="46" t="n"/>
      <c r="Q1094" s="46" t="n"/>
      <c r="R1094" s="46" t="n"/>
      <c r="S1094" s="46" t="n"/>
      <c r="T1094" s="46" t="n"/>
      <c r="U1094" s="46" t="n"/>
      <c r="V1094" s="46" t="n"/>
      <c r="W1094" s="46" t="n"/>
      <c r="X1094" s="46" t="n"/>
      <c r="Y1094" s="46" t="n"/>
    </row>
    <row r="1095">
      <c r="A1095" s="78" t="n">
        <v>46087</v>
      </c>
      <c r="B1095" s="45" t="inlineStr">
        <is>
          <t>NX8</t>
        </is>
      </c>
      <c r="C1095" s="46" t="n"/>
      <c r="D1095" s="46" t="n"/>
      <c r="E1095" s="46" t="n"/>
      <c r="F1095" s="46" t="n"/>
      <c r="G1095" s="46" t="n"/>
      <c r="H1095" s="46" t="n"/>
      <c r="I1095" s="46" t="n"/>
      <c r="J1095" s="46" t="n"/>
      <c r="K1095" s="46" t="n"/>
      <c r="L1095" s="46" t="n"/>
      <c r="M1095" s="46">
        <f>N1095-SUM(C1095:L1095)</f>
        <v/>
      </c>
      <c r="N1095" s="47" t="n"/>
      <c r="O1095" s="46" t="n"/>
      <c r="P1095" s="46" t="n"/>
      <c r="Q1095" s="46" t="n"/>
      <c r="R1095" s="46" t="n"/>
      <c r="S1095" s="46" t="n"/>
      <c r="T1095" s="46" t="n"/>
      <c r="U1095" s="46" t="n"/>
      <c r="V1095" s="46" t="n"/>
      <c r="W1095" s="46" t="n"/>
      <c r="X1095" s="46" t="n"/>
      <c r="Y1095" s="46" t="n"/>
    </row>
    <row r="1096">
      <c r="A1096" s="78" t="n">
        <v>46088</v>
      </c>
      <c r="B1096" s="45" t="inlineStr">
        <is>
          <t>NX8</t>
        </is>
      </c>
      <c r="C1096" s="46" t="n"/>
      <c r="D1096" s="46" t="n"/>
      <c r="E1096" s="46" t="n"/>
      <c r="F1096" s="46" t="n"/>
      <c r="G1096" s="46" t="n"/>
      <c r="H1096" s="46" t="n"/>
      <c r="I1096" s="46" t="n"/>
      <c r="J1096" s="46" t="n"/>
      <c r="K1096" s="46" t="n"/>
      <c r="L1096" s="46" t="n"/>
      <c r="M1096" s="46">
        <f>N1096-SUM(C1096:L1096)</f>
        <v/>
      </c>
      <c r="N1096" s="47" t="n"/>
      <c r="O1096" s="46" t="n"/>
      <c r="P1096" s="46" t="n"/>
      <c r="Q1096" s="46" t="n"/>
      <c r="R1096" s="46" t="n"/>
      <c r="S1096" s="46" t="n"/>
      <c r="T1096" s="46" t="n"/>
      <c r="U1096" s="46" t="n"/>
      <c r="V1096" s="46" t="n"/>
      <c r="W1096" s="46" t="n"/>
      <c r="X1096" s="46" t="n"/>
      <c r="Y1096" s="46" t="n"/>
    </row>
    <row r="1097">
      <c r="A1097" s="78" t="n">
        <v>46089</v>
      </c>
      <c r="B1097" s="45" t="inlineStr">
        <is>
          <t>NX8</t>
        </is>
      </c>
      <c r="C1097" s="46" t="n"/>
      <c r="D1097" s="46" t="n"/>
      <c r="E1097" s="46" t="n"/>
      <c r="F1097" s="46" t="n"/>
      <c r="G1097" s="46" t="n"/>
      <c r="H1097" s="46" t="n"/>
      <c r="I1097" s="46" t="n"/>
      <c r="J1097" s="46" t="n"/>
      <c r="K1097" s="46" t="n"/>
      <c r="L1097" s="46" t="n"/>
      <c r="M1097" s="46">
        <f>N1097-SUM(C1097:L1097)</f>
        <v/>
      </c>
      <c r="N1097" s="47" t="n"/>
      <c r="O1097" s="46" t="n"/>
      <c r="P1097" s="46" t="n"/>
      <c r="Q1097" s="46" t="n"/>
      <c r="R1097" s="46" t="n"/>
      <c r="S1097" s="46" t="n"/>
      <c r="T1097" s="46" t="n"/>
      <c r="U1097" s="46" t="n"/>
      <c r="V1097" s="46" t="n"/>
      <c r="W1097" s="46" t="n"/>
      <c r="X1097" s="46" t="n"/>
      <c r="Y1097" s="46" t="n"/>
    </row>
    <row r="1098">
      <c r="A1098" s="78" t="n">
        <v>46090</v>
      </c>
      <c r="B1098" s="45" t="inlineStr">
        <is>
          <t>NX8</t>
        </is>
      </c>
      <c r="C1098" s="46" t="n"/>
      <c r="D1098" s="46" t="n"/>
      <c r="E1098" s="46" t="n"/>
      <c r="F1098" s="46" t="n"/>
      <c r="G1098" s="46" t="n"/>
      <c r="H1098" s="46" t="n"/>
      <c r="I1098" s="46" t="n"/>
      <c r="J1098" s="46" t="n"/>
      <c r="K1098" s="46" t="n"/>
      <c r="L1098" s="46" t="n"/>
      <c r="M1098" s="46">
        <f>N1098-SUM(C1098:L1098)</f>
        <v/>
      </c>
      <c r="N1098" s="47" t="n"/>
      <c r="O1098" s="46" t="n"/>
      <c r="P1098" s="46" t="n"/>
      <c r="Q1098" s="46" t="n"/>
      <c r="R1098" s="46" t="n"/>
      <c r="S1098" s="46" t="n"/>
      <c r="T1098" s="46" t="n"/>
      <c r="U1098" s="46" t="n"/>
      <c r="V1098" s="46" t="n"/>
      <c r="W1098" s="46" t="n"/>
      <c r="X1098" s="46" t="n"/>
      <c r="Y1098" s="46" t="n"/>
    </row>
    <row r="1099">
      <c r="A1099" s="78" t="n">
        <v>46091</v>
      </c>
      <c r="B1099" s="45" t="inlineStr">
        <is>
          <t>NX8</t>
        </is>
      </c>
      <c r="C1099" s="46" t="n"/>
      <c r="D1099" s="46" t="n"/>
      <c r="E1099" s="46" t="n"/>
      <c r="F1099" s="46" t="n"/>
      <c r="G1099" s="46" t="n"/>
      <c r="H1099" s="46" t="n"/>
      <c r="I1099" s="46" t="n"/>
      <c r="J1099" s="46" t="n"/>
      <c r="K1099" s="46" t="n"/>
      <c r="L1099" s="46" t="n"/>
      <c r="M1099" s="46">
        <f>N1099-SUM(C1099:L1099)</f>
        <v/>
      </c>
      <c r="N1099" s="47" t="n"/>
      <c r="O1099" s="46" t="n"/>
      <c r="P1099" s="46" t="n"/>
      <c r="Q1099" s="46" t="n"/>
      <c r="R1099" s="46" t="n"/>
      <c r="S1099" s="46" t="n"/>
      <c r="T1099" s="46" t="n"/>
      <c r="U1099" s="46" t="n"/>
      <c r="V1099" s="46" t="n"/>
      <c r="W1099" s="46" t="n"/>
      <c r="X1099" s="46" t="n"/>
      <c r="Y1099" s="46" t="n"/>
    </row>
    <row r="1100">
      <c r="A1100" s="78" t="n">
        <v>46092</v>
      </c>
      <c r="B1100" s="45" t="inlineStr">
        <is>
          <t>NX8</t>
        </is>
      </c>
      <c r="C1100" s="46" t="n"/>
      <c r="D1100" s="46" t="n"/>
      <c r="E1100" s="46" t="n"/>
      <c r="F1100" s="46" t="n"/>
      <c r="G1100" s="46" t="n"/>
      <c r="H1100" s="46" t="n"/>
      <c r="I1100" s="46" t="n"/>
      <c r="J1100" s="46" t="n"/>
      <c r="K1100" s="46" t="n"/>
      <c r="L1100" s="46" t="n"/>
      <c r="M1100" s="46">
        <f>N1100-SUM(C1100:L1100)</f>
        <v/>
      </c>
      <c r="N1100" s="47" t="n"/>
      <c r="O1100" s="46" t="n"/>
      <c r="P1100" s="46" t="n"/>
      <c r="Q1100" s="46" t="n"/>
      <c r="R1100" s="46" t="n"/>
      <c r="S1100" s="46" t="n"/>
      <c r="T1100" s="46" t="n"/>
      <c r="U1100" s="46" t="n"/>
      <c r="V1100" s="46" t="n"/>
      <c r="W1100" s="46" t="n"/>
      <c r="X1100" s="46" t="n"/>
      <c r="Y1100" s="46" t="n"/>
    </row>
    <row r="1101">
      <c r="A1101" s="78" t="n">
        <v>46093</v>
      </c>
      <c r="B1101" s="45" t="inlineStr">
        <is>
          <t>NX8</t>
        </is>
      </c>
      <c r="C1101" s="46" t="n"/>
      <c r="D1101" s="46" t="n"/>
      <c r="E1101" s="46" t="n"/>
      <c r="F1101" s="46" t="n"/>
      <c r="G1101" s="46" t="n"/>
      <c r="H1101" s="46" t="n"/>
      <c r="I1101" s="46" t="n"/>
      <c r="J1101" s="46" t="n"/>
      <c r="K1101" s="46" t="n"/>
      <c r="L1101" s="46" t="n"/>
      <c r="M1101" s="46">
        <f>N1101-SUM(C1101:L1101)</f>
        <v/>
      </c>
      <c r="N1101" s="47" t="n"/>
      <c r="O1101" s="46" t="n"/>
      <c r="P1101" s="46" t="n"/>
      <c r="Q1101" s="46" t="n"/>
      <c r="R1101" s="46" t="n"/>
      <c r="S1101" s="46" t="n"/>
      <c r="T1101" s="46" t="n"/>
      <c r="U1101" s="46" t="n"/>
      <c r="V1101" s="46" t="n"/>
      <c r="W1101" s="46" t="n"/>
      <c r="X1101" s="46" t="n"/>
      <c r="Y1101" s="46" t="n"/>
    </row>
    <row r="1102">
      <c r="A1102" s="78" t="n">
        <v>46094</v>
      </c>
      <c r="B1102" s="45" t="inlineStr">
        <is>
          <t>NX8</t>
        </is>
      </c>
      <c r="C1102" s="46" t="n"/>
      <c r="D1102" s="46" t="n"/>
      <c r="E1102" s="46" t="n"/>
      <c r="F1102" s="46" t="n"/>
      <c r="G1102" s="46" t="n"/>
      <c r="H1102" s="46" t="n"/>
      <c r="I1102" s="46" t="n"/>
      <c r="J1102" s="46" t="n"/>
      <c r="K1102" s="46" t="n"/>
      <c r="L1102" s="46" t="n"/>
      <c r="M1102" s="46">
        <f>N1102-SUM(C1102:L1102)</f>
        <v/>
      </c>
      <c r="N1102" s="47" t="n"/>
      <c r="O1102" s="46" t="n"/>
      <c r="P1102" s="46" t="n"/>
      <c r="Q1102" s="46" t="n"/>
      <c r="R1102" s="46" t="n"/>
      <c r="S1102" s="46" t="n"/>
      <c r="T1102" s="46" t="n"/>
      <c r="U1102" s="46" t="n"/>
      <c r="V1102" s="46" t="n"/>
      <c r="W1102" s="46" t="n"/>
      <c r="X1102" s="46" t="n"/>
      <c r="Y1102" s="46" t="n"/>
    </row>
    <row r="1103">
      <c r="A1103" s="78" t="n">
        <v>46095</v>
      </c>
      <c r="B1103" s="45" t="inlineStr">
        <is>
          <t>NX8</t>
        </is>
      </c>
      <c r="C1103" s="46" t="n"/>
      <c r="D1103" s="46" t="n"/>
      <c r="E1103" s="46" t="n"/>
      <c r="F1103" s="46" t="n"/>
      <c r="G1103" s="46" t="n"/>
      <c r="H1103" s="46" t="n"/>
      <c r="I1103" s="46" t="n"/>
      <c r="J1103" s="46" t="n"/>
      <c r="K1103" s="46" t="n"/>
      <c r="L1103" s="46" t="n"/>
      <c r="M1103" s="46">
        <f>N1103-SUM(C1103:L1103)</f>
        <v/>
      </c>
      <c r="N1103" s="47" t="n"/>
      <c r="O1103" s="46" t="n"/>
      <c r="P1103" s="46" t="n"/>
      <c r="Q1103" s="46" t="n"/>
      <c r="R1103" s="46" t="n"/>
      <c r="S1103" s="46" t="n"/>
      <c r="T1103" s="46" t="n"/>
      <c r="U1103" s="46" t="n"/>
      <c r="V1103" s="46" t="n"/>
      <c r="W1103" s="46" t="n"/>
      <c r="X1103" s="46" t="n"/>
      <c r="Y1103" s="46" t="n"/>
    </row>
    <row r="1104">
      <c r="A1104" s="78" t="n">
        <v>46096</v>
      </c>
      <c r="B1104" s="45" t="inlineStr">
        <is>
          <t>NX8</t>
        </is>
      </c>
      <c r="C1104" s="46" t="n"/>
      <c r="D1104" s="46" t="n"/>
      <c r="E1104" s="46" t="n"/>
      <c r="F1104" s="46" t="n"/>
      <c r="G1104" s="46" t="n"/>
      <c r="H1104" s="46" t="n"/>
      <c r="I1104" s="46" t="n"/>
      <c r="J1104" s="46" t="n"/>
      <c r="K1104" s="46" t="n"/>
      <c r="L1104" s="46" t="n"/>
      <c r="M1104" s="46">
        <f>N1104-SUM(C1104:L1104)</f>
        <v/>
      </c>
      <c r="N1104" s="47" t="n"/>
      <c r="O1104" s="46" t="n"/>
      <c r="P1104" s="46" t="n"/>
      <c r="Q1104" s="46" t="n"/>
      <c r="R1104" s="46" t="n"/>
      <c r="S1104" s="46" t="n"/>
      <c r="T1104" s="46" t="n"/>
      <c r="U1104" s="46" t="n"/>
      <c r="V1104" s="46" t="n"/>
      <c r="W1104" s="46" t="n"/>
      <c r="X1104" s="46" t="n"/>
      <c r="Y1104" s="46" t="n"/>
    </row>
    <row r="1105">
      <c r="A1105" s="78" t="n">
        <v>46097</v>
      </c>
      <c r="B1105" s="45" t="inlineStr">
        <is>
          <t>NX8</t>
        </is>
      </c>
      <c r="C1105" s="46" t="n"/>
      <c r="D1105" s="46" t="n"/>
      <c r="E1105" s="46" t="n"/>
      <c r="F1105" s="46" t="n"/>
      <c r="G1105" s="46" t="n"/>
      <c r="H1105" s="46" t="n"/>
      <c r="I1105" s="46" t="n"/>
      <c r="J1105" s="46" t="n"/>
      <c r="K1105" s="46" t="n"/>
      <c r="L1105" s="46" t="n"/>
      <c r="M1105" s="46">
        <f>N1105-SUM(C1105:L1105)</f>
        <v/>
      </c>
      <c r="N1105" s="47" t="n"/>
      <c r="O1105" s="46" t="n"/>
      <c r="P1105" s="46" t="n"/>
      <c r="Q1105" s="46" t="n"/>
      <c r="R1105" s="46" t="n"/>
      <c r="S1105" s="46" t="n"/>
      <c r="T1105" s="46" t="n"/>
      <c r="U1105" s="46" t="n"/>
      <c r="V1105" s="46" t="n"/>
      <c r="W1105" s="46" t="n"/>
      <c r="X1105" s="46" t="n"/>
      <c r="Y1105" s="46" t="n"/>
    </row>
    <row r="1106">
      <c r="A1106" s="78" t="n">
        <v>46098</v>
      </c>
      <c r="B1106" s="45" t="inlineStr">
        <is>
          <t>NX8</t>
        </is>
      </c>
      <c r="C1106" s="46" t="n"/>
      <c r="D1106" s="46" t="n"/>
      <c r="E1106" s="46" t="n"/>
      <c r="F1106" s="46" t="n"/>
      <c r="G1106" s="46" t="n"/>
      <c r="H1106" s="46" t="n"/>
      <c r="I1106" s="46" t="n"/>
      <c r="J1106" s="46" t="n"/>
      <c r="K1106" s="46" t="n"/>
      <c r="L1106" s="46" t="n"/>
      <c r="M1106" s="46">
        <f>N1106-SUM(C1106:L1106)</f>
        <v/>
      </c>
      <c r="N1106" s="47" t="n"/>
      <c r="O1106" s="46" t="n"/>
      <c r="P1106" s="46" t="n"/>
      <c r="Q1106" s="46" t="n"/>
      <c r="R1106" s="46" t="n"/>
      <c r="S1106" s="46" t="n"/>
      <c r="T1106" s="46" t="n"/>
      <c r="U1106" s="46" t="n"/>
      <c r="V1106" s="46" t="n"/>
      <c r="W1106" s="46" t="n"/>
      <c r="X1106" s="46" t="n"/>
      <c r="Y1106" s="46" t="n"/>
    </row>
    <row r="1107">
      <c r="A1107" s="78" t="n">
        <v>46099</v>
      </c>
      <c r="B1107" s="45" t="inlineStr">
        <is>
          <t>NX8</t>
        </is>
      </c>
      <c r="C1107" s="46" t="n"/>
      <c r="D1107" s="46" t="n"/>
      <c r="E1107" s="46" t="n"/>
      <c r="F1107" s="46" t="n"/>
      <c r="G1107" s="46" t="n"/>
      <c r="H1107" s="46" t="n"/>
      <c r="I1107" s="46" t="n"/>
      <c r="J1107" s="46" t="n"/>
      <c r="K1107" s="46" t="n"/>
      <c r="L1107" s="46" t="n"/>
      <c r="M1107" s="46">
        <f>N1107-SUM(C1107:L1107)</f>
        <v/>
      </c>
      <c r="N1107" s="47" t="n"/>
      <c r="O1107" s="46" t="n"/>
      <c r="P1107" s="46" t="n"/>
      <c r="Q1107" s="46" t="n"/>
      <c r="R1107" s="46" t="n"/>
      <c r="S1107" s="46" t="n"/>
      <c r="T1107" s="46" t="n"/>
      <c r="U1107" s="46" t="n"/>
      <c r="V1107" s="46" t="n"/>
      <c r="W1107" s="46" t="n"/>
      <c r="X1107" s="46" t="n"/>
      <c r="Y1107" s="46" t="n"/>
    </row>
    <row r="1108">
      <c r="A1108" s="78" t="n">
        <v>46100</v>
      </c>
      <c r="B1108" s="45" t="inlineStr">
        <is>
          <t>NX8</t>
        </is>
      </c>
      <c r="C1108" s="46" t="n"/>
      <c r="D1108" s="46" t="n"/>
      <c r="E1108" s="46" t="n"/>
      <c r="F1108" s="46" t="n"/>
      <c r="G1108" s="46" t="n"/>
      <c r="H1108" s="46" t="n"/>
      <c r="I1108" s="46" t="n"/>
      <c r="J1108" s="46" t="n"/>
      <c r="K1108" s="46" t="n"/>
      <c r="L1108" s="46" t="n"/>
      <c r="M1108" s="46">
        <f>N1108-SUM(C1108:L1108)</f>
        <v/>
      </c>
      <c r="N1108" s="47" t="n"/>
      <c r="O1108" s="46" t="n"/>
      <c r="P1108" s="46" t="n"/>
      <c r="Q1108" s="46" t="n"/>
      <c r="R1108" s="46" t="n"/>
      <c r="S1108" s="46" t="n"/>
      <c r="T1108" s="46" t="n"/>
      <c r="U1108" s="46" t="n"/>
      <c r="V1108" s="46" t="n"/>
      <c r="W1108" s="46" t="n"/>
      <c r="X1108" s="46" t="n"/>
      <c r="Y1108" s="46" t="n"/>
    </row>
    <row r="1109">
      <c r="A1109" s="78" t="n">
        <v>46101</v>
      </c>
      <c r="B1109" s="45" t="inlineStr">
        <is>
          <t>NX8</t>
        </is>
      </c>
      <c r="C1109" s="46" t="n"/>
      <c r="D1109" s="46" t="n"/>
      <c r="E1109" s="46" t="n"/>
      <c r="F1109" s="46" t="n"/>
      <c r="G1109" s="46" t="n"/>
      <c r="H1109" s="46" t="n"/>
      <c r="I1109" s="46" t="n"/>
      <c r="J1109" s="46" t="n"/>
      <c r="K1109" s="46" t="n"/>
      <c r="L1109" s="46" t="n"/>
      <c r="M1109" s="46">
        <f>N1109-SUM(C1109:L1109)</f>
        <v/>
      </c>
      <c r="N1109" s="47">
        <f>SUM(O1109:Y1109)</f>
        <v/>
      </c>
      <c r="O1109" s="18" t="n">
        <v>110</v>
      </c>
      <c r="P1109" s="18" t="n">
        <v>1</v>
      </c>
      <c r="Q1109" s="18" t="n">
        <v>120</v>
      </c>
      <c r="R1109" s="18" t="n">
        <v>530</v>
      </c>
      <c r="S1109" s="18" t="n">
        <v>200</v>
      </c>
      <c r="T1109" s="18" t="n">
        <v>815</v>
      </c>
      <c r="U1109" s="18" t="n">
        <v>0</v>
      </c>
      <c r="V1109" s="18" t="n"/>
      <c r="W1109" s="18" t="n">
        <v>170</v>
      </c>
      <c r="X1109" s="9" t="n">
        <v>139</v>
      </c>
      <c r="Y1109" s="18" t="n">
        <v>18</v>
      </c>
    </row>
    <row r="1110">
      <c r="A1110" s="78" t="n">
        <v>46102</v>
      </c>
      <c r="B1110" s="45" t="inlineStr">
        <is>
          <t>NX8</t>
        </is>
      </c>
      <c r="C1110" s="46" t="n"/>
      <c r="D1110" s="46" t="n"/>
      <c r="E1110" s="46" t="n"/>
      <c r="F1110" s="46" t="n"/>
      <c r="G1110" s="46" t="n"/>
      <c r="H1110" s="46" t="n"/>
      <c r="I1110" s="46" t="n"/>
      <c r="J1110" s="46" t="n"/>
      <c r="K1110" s="46" t="n"/>
      <c r="L1110" s="46" t="n"/>
      <c r="M1110" s="46">
        <f>N1110-SUM(C1110:L1110)</f>
        <v/>
      </c>
      <c r="N1110" s="47">
        <f>SUM(O1110:Y1110)</f>
        <v/>
      </c>
      <c r="O1110" s="18" t="n">
        <v>110</v>
      </c>
      <c r="P1110" s="18" t="n">
        <v>1</v>
      </c>
      <c r="Q1110" s="18" t="n">
        <v>120</v>
      </c>
      <c r="R1110" s="18" t="n">
        <v>530</v>
      </c>
      <c r="S1110" s="18" t="n">
        <v>300</v>
      </c>
      <c r="T1110" s="18" t="n">
        <v>815</v>
      </c>
      <c r="U1110" s="18" t="n">
        <v>0</v>
      </c>
      <c r="V1110" s="18" t="n"/>
      <c r="W1110" s="18" t="n">
        <v>170</v>
      </c>
      <c r="X1110" s="9" t="n">
        <v>110</v>
      </c>
      <c r="Y1110" s="18" t="n">
        <v>0</v>
      </c>
    </row>
    <row r="1111">
      <c r="A1111" s="78" t="n">
        <v>46103</v>
      </c>
      <c r="B1111" s="45" t="inlineStr">
        <is>
          <t>NX8</t>
        </is>
      </c>
      <c r="C1111" s="46" t="n"/>
      <c r="D1111" s="46" t="n"/>
      <c r="E1111" s="46" t="n"/>
      <c r="F1111" s="46" t="n"/>
      <c r="G1111" s="46" t="n"/>
      <c r="H1111" s="46" t="n"/>
      <c r="I1111" s="46" t="n"/>
      <c r="J1111" s="46" t="n"/>
      <c r="K1111" s="46" t="n"/>
      <c r="L1111" s="46" t="n"/>
      <c r="M1111" s="46">
        <f>N1111-SUM(C1111:L1111)</f>
        <v/>
      </c>
      <c r="N1111" s="47">
        <f>SUM(O1111:Y1111)</f>
        <v/>
      </c>
      <c r="O1111" s="18" t="n">
        <v>110</v>
      </c>
      <c r="P1111" s="18" t="n">
        <v>1</v>
      </c>
      <c r="Q1111" s="18" t="n">
        <v>120</v>
      </c>
      <c r="R1111" s="18" t="n">
        <v>530</v>
      </c>
      <c r="S1111" s="18" t="n">
        <v>300</v>
      </c>
      <c r="T1111" s="18" t="n">
        <v>815</v>
      </c>
      <c r="U1111" s="18" t="n">
        <v>0</v>
      </c>
      <c r="V1111" s="18" t="n"/>
      <c r="W1111" s="18" t="n">
        <v>170</v>
      </c>
      <c r="X1111" s="9" t="n">
        <v>104</v>
      </c>
      <c r="Y1111" s="18" t="n">
        <v>0</v>
      </c>
    </row>
    <row r="1112">
      <c r="A1112" s="78" t="n">
        <v>46104</v>
      </c>
      <c r="B1112" s="45" t="inlineStr">
        <is>
          <t>NX8</t>
        </is>
      </c>
      <c r="C1112" s="46" t="n"/>
      <c r="D1112" s="46" t="n"/>
      <c r="E1112" s="46" t="n"/>
      <c r="F1112" s="46" t="n"/>
      <c r="G1112" s="46" t="n"/>
      <c r="H1112" s="46" t="n"/>
      <c r="I1112" s="46" t="n"/>
      <c r="J1112" s="46" t="n"/>
      <c r="K1112" s="46" t="n"/>
      <c r="L1112" s="46" t="n"/>
      <c r="M1112" s="46">
        <f>N1112-SUM(C1112:L1112)</f>
        <v/>
      </c>
      <c r="N1112" s="47">
        <f>SUM(O1112:Y1112)</f>
        <v/>
      </c>
      <c r="O1112" s="18" t="n">
        <v>110</v>
      </c>
      <c r="P1112" s="18" t="n">
        <v>1</v>
      </c>
      <c r="Q1112" s="18" t="n">
        <v>120</v>
      </c>
      <c r="R1112" s="18" t="n">
        <v>530</v>
      </c>
      <c r="S1112" s="18" t="n">
        <v>150</v>
      </c>
      <c r="T1112" s="18" t="n">
        <v>815</v>
      </c>
      <c r="U1112" s="18" t="n">
        <v>0</v>
      </c>
      <c r="V1112" s="18" t="n"/>
      <c r="W1112" s="18" t="n">
        <v>170</v>
      </c>
      <c r="X1112" s="9" t="n">
        <v>106</v>
      </c>
      <c r="Y1112" s="18" t="n">
        <v>18</v>
      </c>
    </row>
    <row r="1113">
      <c r="A1113" s="78" t="n">
        <v>46105</v>
      </c>
      <c r="B1113" s="45" t="inlineStr">
        <is>
          <t>NX8</t>
        </is>
      </c>
      <c r="C1113" s="46" t="n"/>
      <c r="D1113" s="46" t="n"/>
      <c r="E1113" s="46" t="n"/>
      <c r="F1113" s="46" t="n"/>
      <c r="G1113" s="46" t="n"/>
      <c r="H1113" s="46" t="n"/>
      <c r="I1113" s="46" t="n"/>
      <c r="J1113" s="46" t="n"/>
      <c r="K1113" s="46" t="n"/>
      <c r="L1113" s="46" t="n"/>
      <c r="M1113" s="46">
        <f>N1113-SUM(C1113:L1113)</f>
        <v/>
      </c>
      <c r="N1113" s="47">
        <f>SUM(O1113:Y1113)</f>
        <v/>
      </c>
      <c r="O1113" s="18" t="n">
        <v>110</v>
      </c>
      <c r="P1113" s="18" t="n">
        <v>1</v>
      </c>
      <c r="Q1113" s="18" t="n">
        <v>120</v>
      </c>
      <c r="R1113" s="18" t="n">
        <v>530</v>
      </c>
      <c r="S1113" s="18" t="n">
        <v>150</v>
      </c>
      <c r="T1113" s="18" t="n">
        <v>815</v>
      </c>
      <c r="U1113" s="18" t="n">
        <v>0</v>
      </c>
      <c r="V1113" s="18" t="n"/>
      <c r="W1113" s="18" t="n">
        <v>170</v>
      </c>
      <c r="X1113" s="9" t="n">
        <v>104</v>
      </c>
      <c r="Y1113" s="18" t="n">
        <v>18</v>
      </c>
    </row>
    <row r="1114">
      <c r="A1114" s="78" t="n">
        <v>46106</v>
      </c>
      <c r="B1114" s="45" t="inlineStr">
        <is>
          <t>NX8</t>
        </is>
      </c>
      <c r="C1114" s="46" t="n"/>
      <c r="D1114" s="46" t="n"/>
      <c r="E1114" s="46" t="n"/>
      <c r="F1114" s="46" t="n"/>
      <c r="G1114" s="46" t="n"/>
      <c r="H1114" s="46" t="n"/>
      <c r="I1114" s="46" t="n"/>
      <c r="J1114" s="46" t="n"/>
      <c r="K1114" s="46" t="n"/>
      <c r="L1114" s="46" t="n"/>
      <c r="M1114" s="46">
        <f>N1114-SUM(C1114:L1114)</f>
        <v/>
      </c>
      <c r="N1114" s="47">
        <f>SUM(O1114:Y1114)</f>
        <v/>
      </c>
      <c r="O1114" s="18" t="n">
        <v>110</v>
      </c>
      <c r="P1114" s="18" t="n">
        <v>1</v>
      </c>
      <c r="Q1114" s="18" t="n">
        <v>120</v>
      </c>
      <c r="R1114" s="18" t="n">
        <v>530</v>
      </c>
      <c r="S1114" s="18" t="n">
        <v>150</v>
      </c>
      <c r="T1114" s="18" t="n">
        <v>815</v>
      </c>
      <c r="U1114" s="18" t="n">
        <v>0</v>
      </c>
      <c r="V1114" s="18" t="n"/>
      <c r="W1114" s="18" t="n">
        <v>170</v>
      </c>
      <c r="X1114" s="9" t="n">
        <v>102</v>
      </c>
      <c r="Y1114" s="18" t="n">
        <v>18</v>
      </c>
    </row>
    <row r="1115">
      <c r="A1115" s="78" t="n">
        <v>46107</v>
      </c>
      <c r="B1115" s="45" t="inlineStr">
        <is>
          <t>NX8</t>
        </is>
      </c>
      <c r="C1115" s="46" t="n"/>
      <c r="D1115" s="46" t="n"/>
      <c r="E1115" s="46" t="n"/>
      <c r="F1115" s="46" t="n"/>
      <c r="G1115" s="46" t="n"/>
      <c r="H1115" s="46" t="n"/>
      <c r="I1115" s="46" t="n"/>
      <c r="J1115" s="46" t="n"/>
      <c r="K1115" s="46" t="n"/>
      <c r="L1115" s="46" t="n"/>
      <c r="M1115" s="46">
        <f>N1115-SUM(C1115:L1115)</f>
        <v/>
      </c>
      <c r="N1115" s="47">
        <f>SUM(O1115:Y1115)</f>
        <v/>
      </c>
      <c r="O1115" s="18" t="n">
        <v>110</v>
      </c>
      <c r="P1115" s="18" t="n">
        <v>1</v>
      </c>
      <c r="Q1115" s="18" t="n">
        <v>120</v>
      </c>
      <c r="R1115" s="18" t="n">
        <v>530</v>
      </c>
      <c r="S1115" s="18" t="n">
        <v>150</v>
      </c>
      <c r="T1115" s="18" t="n">
        <v>815</v>
      </c>
      <c r="U1115" s="18" t="n">
        <v>1072</v>
      </c>
      <c r="V1115" s="18" t="n"/>
      <c r="W1115" s="18" t="n">
        <v>170</v>
      </c>
      <c r="X1115" s="9" t="n">
        <v>102</v>
      </c>
      <c r="Y1115" s="18" t="n">
        <v>18</v>
      </c>
    </row>
    <row r="1116">
      <c r="A1116" s="78" t="n">
        <v>46108</v>
      </c>
      <c r="B1116" s="45" t="inlineStr">
        <is>
          <t>NX8</t>
        </is>
      </c>
      <c r="C1116" s="46" t="n"/>
      <c r="D1116" s="46" t="n"/>
      <c r="E1116" s="46" t="n"/>
      <c r="F1116" s="46" t="n"/>
      <c r="G1116" s="46" t="n"/>
      <c r="H1116" s="46" t="n"/>
      <c r="I1116" s="46" t="n"/>
      <c r="J1116" s="46" t="n"/>
      <c r="K1116" s="46" t="n"/>
      <c r="L1116" s="46" t="n"/>
      <c r="M1116" s="46">
        <f>N1116-SUM(C1116:L1116)</f>
        <v/>
      </c>
      <c r="N1116" s="47">
        <f>SUM(O1116:Y1116)</f>
        <v/>
      </c>
      <c r="O1116" s="18" t="n">
        <v>110</v>
      </c>
      <c r="P1116" s="18" t="n">
        <v>1</v>
      </c>
      <c r="Q1116" s="18" t="n">
        <v>120</v>
      </c>
      <c r="R1116" s="18" t="n">
        <v>530</v>
      </c>
      <c r="S1116" s="18" t="n">
        <v>150</v>
      </c>
      <c r="T1116" s="18" t="n">
        <v>815</v>
      </c>
      <c r="U1116" s="18" t="n">
        <v>1072</v>
      </c>
      <c r="V1116" s="18" t="n"/>
      <c r="W1116" s="18" t="n">
        <v>170</v>
      </c>
      <c r="X1116" s="9" t="n">
        <v>111</v>
      </c>
      <c r="Y1116" s="18" t="n">
        <v>18</v>
      </c>
    </row>
    <row r="1117">
      <c r="A1117" s="78" t="n">
        <v>46109</v>
      </c>
      <c r="B1117" s="45" t="inlineStr">
        <is>
          <t>NX8</t>
        </is>
      </c>
      <c r="C1117" s="46" t="n"/>
      <c r="D1117" s="46" t="n"/>
      <c r="E1117" s="46" t="n"/>
      <c r="F1117" s="46" t="n"/>
      <c r="G1117" s="46" t="n"/>
      <c r="H1117" s="46" t="n"/>
      <c r="I1117" s="46" t="n"/>
      <c r="J1117" s="46" t="n"/>
      <c r="K1117" s="46" t="n"/>
      <c r="L1117" s="46" t="n"/>
      <c r="M1117" s="46">
        <f>N1117-SUM(C1117:L1117)</f>
        <v/>
      </c>
      <c r="N1117" s="47">
        <f>SUM(O1117:Y1117)</f>
        <v/>
      </c>
      <c r="O1117" s="18" t="n">
        <v>110</v>
      </c>
      <c r="P1117" s="18" t="n">
        <v>1</v>
      </c>
      <c r="Q1117" s="18" t="n">
        <v>120</v>
      </c>
      <c r="R1117" s="18" t="n">
        <v>530</v>
      </c>
      <c r="S1117" s="18" t="n">
        <v>300</v>
      </c>
      <c r="T1117" s="18" t="n">
        <v>815</v>
      </c>
      <c r="U1117" s="18" t="n">
        <v>1072</v>
      </c>
      <c r="V1117" s="18" t="n"/>
      <c r="W1117" s="18" t="n">
        <v>170</v>
      </c>
      <c r="X1117" s="9" t="n">
        <v>119</v>
      </c>
      <c r="Y1117" s="18" t="n">
        <v>0</v>
      </c>
    </row>
    <row r="1118">
      <c r="A1118" s="78" t="n">
        <v>46110</v>
      </c>
      <c r="B1118" s="45" t="inlineStr">
        <is>
          <t>NX8</t>
        </is>
      </c>
      <c r="C1118" s="46" t="n"/>
      <c r="D1118" s="46" t="n"/>
      <c r="E1118" s="46" t="n"/>
      <c r="F1118" s="46" t="n"/>
      <c r="G1118" s="46" t="n"/>
      <c r="H1118" s="46" t="n"/>
      <c r="I1118" s="46" t="n"/>
      <c r="J1118" s="46" t="n"/>
      <c r="K1118" s="46" t="n"/>
      <c r="L1118" s="46" t="n"/>
      <c r="M1118" s="46">
        <f>N1118-SUM(C1118:L1118)</f>
        <v/>
      </c>
      <c r="N1118" s="47">
        <f>SUM(O1118:Y1118)</f>
        <v/>
      </c>
      <c r="O1118" s="18" t="n">
        <v>110</v>
      </c>
      <c r="P1118" s="18" t="n">
        <v>1</v>
      </c>
      <c r="Q1118" s="18" t="n">
        <v>120</v>
      </c>
      <c r="R1118" s="18" t="n">
        <v>530</v>
      </c>
      <c r="S1118" s="18" t="n">
        <v>300</v>
      </c>
      <c r="T1118" s="18" t="n">
        <v>815</v>
      </c>
      <c r="U1118" s="18" t="n">
        <v>1072</v>
      </c>
      <c r="V1118" s="18" t="n"/>
      <c r="W1118" s="18" t="n">
        <v>170</v>
      </c>
      <c r="X1118" s="9" t="n">
        <v>104</v>
      </c>
      <c r="Y1118" s="18" t="n">
        <v>0</v>
      </c>
    </row>
    <row r="1119">
      <c r="A1119" s="78" t="n">
        <v>46111</v>
      </c>
      <c r="B1119" s="45" t="inlineStr">
        <is>
          <t>NX8</t>
        </is>
      </c>
      <c r="C1119" s="46" t="n"/>
      <c r="D1119" s="46" t="n"/>
      <c r="E1119" s="46" t="n"/>
      <c r="F1119" s="46" t="n"/>
      <c r="G1119" s="46" t="n"/>
      <c r="H1119" s="46" t="n"/>
      <c r="I1119" s="46" t="n"/>
      <c r="J1119" s="46" t="n"/>
      <c r="K1119" s="46" t="n"/>
      <c r="L1119" s="46" t="n"/>
      <c r="M1119" s="46">
        <f>N1119-SUM(C1119:L1119)</f>
        <v/>
      </c>
      <c r="N1119" s="47">
        <f>SUM(O1119:Y1119)</f>
        <v/>
      </c>
      <c r="O1119" s="18" t="n">
        <v>110</v>
      </c>
      <c r="P1119" s="18" t="n">
        <v>1</v>
      </c>
      <c r="Q1119" s="18" t="n">
        <v>120</v>
      </c>
      <c r="R1119" s="18" t="n">
        <v>530</v>
      </c>
      <c r="S1119" s="18" t="n">
        <v>150</v>
      </c>
      <c r="T1119" s="18" t="n">
        <v>815</v>
      </c>
      <c r="U1119" s="18" t="n">
        <v>0</v>
      </c>
      <c r="V1119" s="18" t="n"/>
      <c r="W1119" s="18" t="n">
        <v>170</v>
      </c>
      <c r="X1119" s="9" t="n">
        <v>144</v>
      </c>
      <c r="Y1119" s="18" t="n">
        <v>18</v>
      </c>
    </row>
    <row r="1120">
      <c r="A1120" s="78" t="n">
        <v>46112</v>
      </c>
      <c r="B1120" s="45" t="inlineStr">
        <is>
          <t>NX8</t>
        </is>
      </c>
      <c r="C1120" s="46" t="n"/>
      <c r="D1120" s="46" t="n"/>
      <c r="E1120" s="46" t="n"/>
      <c r="F1120" s="46" t="n"/>
      <c r="G1120" s="46" t="n"/>
      <c r="H1120" s="46" t="n"/>
      <c r="I1120" s="46" t="n"/>
      <c r="J1120" s="46" t="n"/>
      <c r="K1120" s="46" t="n"/>
      <c r="L1120" s="46" t="n"/>
      <c r="M1120" s="46">
        <f>N1120-SUM(C1120:L1120)</f>
        <v/>
      </c>
      <c r="N1120" s="47">
        <f>SUM(O1120:Y1120)</f>
        <v/>
      </c>
      <c r="O1120" s="18" t="n">
        <v>110</v>
      </c>
      <c r="P1120" s="18" t="n">
        <v>1</v>
      </c>
      <c r="Q1120" s="18" t="n">
        <v>120</v>
      </c>
      <c r="R1120" s="18" t="n">
        <v>530</v>
      </c>
      <c r="S1120" s="18" t="n">
        <v>150</v>
      </c>
      <c r="T1120" s="18" t="n">
        <v>815</v>
      </c>
      <c r="U1120" s="18" t="n">
        <v>0</v>
      </c>
      <c r="V1120" s="18" t="n"/>
      <c r="W1120" s="18" t="n">
        <v>170</v>
      </c>
      <c r="X1120" s="9" t="n">
        <v>138</v>
      </c>
      <c r="Y1120" s="18" t="n">
        <v>20</v>
      </c>
    </row>
    <row r="1121">
      <c r="A1121" s="78" t="n">
        <v>46113</v>
      </c>
      <c r="B1121" s="45" t="inlineStr">
        <is>
          <t>NX8</t>
        </is>
      </c>
      <c r="C1121" s="46" t="n">
        <v>154.33684</v>
      </c>
      <c r="D1121" s="46" t="n">
        <v>123.91236</v>
      </c>
      <c r="E1121" s="46" t="n">
        <v>91.9474</v>
      </c>
      <c r="F1121" s="46" t="n">
        <v>257.35644</v>
      </c>
      <c r="G1121" s="46" t="n">
        <v>134.11804</v>
      </c>
      <c r="H1121" s="46" t="n">
        <v>144.70884</v>
      </c>
      <c r="I1121" s="46" t="n">
        <v>133.25152</v>
      </c>
      <c r="J1121" s="46" t="n">
        <v>101.96052</v>
      </c>
      <c r="K1121" s="46" t="n">
        <v>163.1946</v>
      </c>
      <c r="L1121" s="46" t="n">
        <v>139.41344</v>
      </c>
      <c r="M1121" s="46">
        <f>N1121-SUM(C1121:L1121)</f>
        <v/>
      </c>
      <c r="N1121" s="47" t="n">
        <v>2407</v>
      </c>
      <c r="O1121" s="46" t="n">
        <v>132</v>
      </c>
      <c r="P1121" s="46" t="n">
        <v>2</v>
      </c>
      <c r="Q1121" s="46" t="n">
        <v>130</v>
      </c>
      <c r="R1121" s="46" t="n">
        <v>546</v>
      </c>
      <c r="S1121" s="46" t="n">
        <v>150</v>
      </c>
      <c r="T1121" s="46" t="n">
        <v>834</v>
      </c>
      <c r="U1121" s="46" t="n">
        <v>0</v>
      </c>
      <c r="V1121" s="46" t="n"/>
      <c r="W1121" s="46" t="n">
        <v>186</v>
      </c>
      <c r="X1121" s="46" t="n">
        <v>407</v>
      </c>
      <c r="Y1121" s="46" t="n">
        <v>20</v>
      </c>
    </row>
    <row r="1122">
      <c r="A1122" s="78" t="n">
        <v>46114</v>
      </c>
      <c r="B1122" s="45" t="inlineStr">
        <is>
          <t>NX8</t>
        </is>
      </c>
      <c r="C1122" s="46" t="n">
        <v>153.95212</v>
      </c>
      <c r="D1122" s="46" t="n">
        <v>123.60348</v>
      </c>
      <c r="E1122" s="46" t="n">
        <v>91.7182</v>
      </c>
      <c r="F1122" s="46" t="n">
        <v>256.71492</v>
      </c>
      <c r="G1122" s="46" t="n">
        <v>133.78372</v>
      </c>
      <c r="H1122" s="46" t="n">
        <v>144.34812</v>
      </c>
      <c r="I1122" s="46" t="n">
        <v>132.91936</v>
      </c>
      <c r="J1122" s="46" t="n">
        <v>101.70636</v>
      </c>
      <c r="K1122" s="46" t="n">
        <v>162.7878</v>
      </c>
      <c r="L1122" s="46" t="n">
        <v>139.06592</v>
      </c>
      <c r="M1122" s="46">
        <f>N1122-SUM(C1122:L1122)</f>
        <v/>
      </c>
      <c r="N1122" s="47" t="n">
        <v>2401</v>
      </c>
      <c r="O1122" s="46" t="n">
        <v>132</v>
      </c>
      <c r="P1122" s="46" t="n">
        <v>2</v>
      </c>
      <c r="Q1122" s="46" t="n">
        <v>130</v>
      </c>
      <c r="R1122" s="46" t="n">
        <v>546</v>
      </c>
      <c r="S1122" s="46" t="n">
        <v>150</v>
      </c>
      <c r="T1122" s="46" t="n">
        <v>834</v>
      </c>
      <c r="U1122" s="46" t="n">
        <v>0</v>
      </c>
      <c r="V1122" s="46" t="n"/>
      <c r="W1122" s="46" t="n">
        <v>186</v>
      </c>
      <c r="X1122" s="46" t="n">
        <v>401</v>
      </c>
      <c r="Y1122" s="46" t="n">
        <v>20</v>
      </c>
    </row>
    <row r="1123">
      <c r="A1123" s="78" t="n">
        <v>46115</v>
      </c>
      <c r="B1123" s="45" t="inlineStr">
        <is>
          <t>NX8</t>
        </is>
      </c>
      <c r="C1123" s="46" t="n">
        <v>173.05988</v>
      </c>
      <c r="D1123" s="46" t="n">
        <v>138.94452</v>
      </c>
      <c r="E1123" s="46" t="n">
        <v>103.1018</v>
      </c>
      <c r="F1123" s="46" t="n">
        <v>288.57708</v>
      </c>
      <c r="G1123" s="46" t="n">
        <v>150.38828</v>
      </c>
      <c r="H1123" s="46" t="n">
        <v>162.26388</v>
      </c>
      <c r="I1123" s="46" t="n">
        <v>149.41664</v>
      </c>
      <c r="J1123" s="46" t="n">
        <v>114.32964</v>
      </c>
      <c r="K1123" s="46" t="n">
        <v>182.9922</v>
      </c>
      <c r="L1123" s="46" t="n">
        <v>156.32608</v>
      </c>
      <c r="M1123" s="46">
        <f>N1123-SUM(C1123:L1123)</f>
        <v/>
      </c>
      <c r="N1123" s="47" t="n">
        <v>2699</v>
      </c>
      <c r="O1123" s="46" t="n">
        <v>132</v>
      </c>
      <c r="P1123" s="46" t="n">
        <v>2</v>
      </c>
      <c r="Q1123" s="46" t="n">
        <v>130</v>
      </c>
      <c r="R1123" s="46" t="n">
        <v>546</v>
      </c>
      <c r="S1123" s="46" t="n">
        <v>300</v>
      </c>
      <c r="T1123" s="46" t="n">
        <v>834</v>
      </c>
      <c r="U1123" s="46" t="n">
        <v>100</v>
      </c>
      <c r="V1123" s="46" t="n"/>
      <c r="W1123" s="46" t="n">
        <v>186</v>
      </c>
      <c r="X1123" s="46" t="n">
        <v>449</v>
      </c>
      <c r="Y1123" s="46" t="n">
        <v>20</v>
      </c>
    </row>
    <row r="1124">
      <c r="A1124" s="78" t="n">
        <v>46116</v>
      </c>
      <c r="B1124" s="45" t="inlineStr">
        <is>
          <t>NX8</t>
        </is>
      </c>
      <c r="C1124" s="46" t="n">
        <v>169.46916</v>
      </c>
      <c r="D1124" s="46" t="n">
        <v>136.06164</v>
      </c>
      <c r="E1124" s="46" t="n">
        <v>100.9626</v>
      </c>
      <c r="F1124" s="46" t="n">
        <v>282.58956</v>
      </c>
      <c r="G1124" s="46" t="n">
        <v>147.26796</v>
      </c>
      <c r="H1124" s="46" t="n">
        <v>158.89716</v>
      </c>
      <c r="I1124" s="46" t="n">
        <v>146.31648</v>
      </c>
      <c r="J1124" s="46" t="n">
        <v>111.95748</v>
      </c>
      <c r="K1124" s="46" t="n">
        <v>179.1954</v>
      </c>
      <c r="L1124" s="46" t="n">
        <v>153.08256</v>
      </c>
      <c r="M1124" s="46">
        <f>N1124-SUM(C1124:L1124)</f>
        <v/>
      </c>
      <c r="N1124" s="47" t="n">
        <v>2643</v>
      </c>
      <c r="O1124" s="46" t="n">
        <v>132</v>
      </c>
      <c r="P1124" s="46" t="n">
        <v>2</v>
      </c>
      <c r="Q1124" s="46" t="n">
        <v>130</v>
      </c>
      <c r="R1124" s="46" t="n">
        <v>546</v>
      </c>
      <c r="S1124" s="46" t="n">
        <v>300</v>
      </c>
      <c r="T1124" s="46" t="n">
        <v>834</v>
      </c>
      <c r="U1124" s="46" t="n">
        <v>100</v>
      </c>
      <c r="V1124" s="46" t="n"/>
      <c r="W1124" s="46" t="n">
        <v>186</v>
      </c>
      <c r="X1124" s="46" t="n">
        <v>413</v>
      </c>
      <c r="Y1124" s="46" t="n">
        <v>0</v>
      </c>
    </row>
    <row r="1125">
      <c r="A1125" s="78" t="n">
        <v>46117</v>
      </c>
      <c r="B1125" s="45" t="inlineStr">
        <is>
          <t>NX8</t>
        </is>
      </c>
      <c r="C1125" s="46" t="n">
        <v>171.45688</v>
      </c>
      <c r="D1125" s="46" t="n">
        <v>137.65752</v>
      </c>
      <c r="E1125" s="46" t="n">
        <v>102.1468</v>
      </c>
      <c r="F1125" s="46" t="n">
        <v>285.90408</v>
      </c>
      <c r="G1125" s="46" t="n">
        <v>148.99528</v>
      </c>
      <c r="H1125" s="46" t="n">
        <v>160.76088</v>
      </c>
      <c r="I1125" s="46" t="n">
        <v>148.03264</v>
      </c>
      <c r="J1125" s="46" t="n">
        <v>113.27064</v>
      </c>
      <c r="K1125" s="46" t="n">
        <v>181.2972</v>
      </c>
      <c r="L1125" s="46" t="n">
        <v>154.87808</v>
      </c>
      <c r="M1125" s="46">
        <f>N1125-SUM(C1125:L1125)</f>
        <v/>
      </c>
      <c r="N1125" s="47" t="n">
        <v>2674</v>
      </c>
      <c r="O1125" s="46" t="n">
        <v>132</v>
      </c>
      <c r="P1125" s="46" t="n">
        <v>2</v>
      </c>
      <c r="Q1125" s="46" t="n">
        <v>130</v>
      </c>
      <c r="R1125" s="46" t="n">
        <v>546</v>
      </c>
      <c r="S1125" s="46" t="n">
        <v>300</v>
      </c>
      <c r="T1125" s="46" t="n">
        <v>834</v>
      </c>
      <c r="U1125" s="46" t="n">
        <v>100</v>
      </c>
      <c r="V1125" s="46" t="n"/>
      <c r="W1125" s="46" t="n">
        <v>186</v>
      </c>
      <c r="X1125" s="46" t="n">
        <v>444</v>
      </c>
      <c r="Y1125" s="46" t="n">
        <v>0</v>
      </c>
    </row>
    <row r="1126">
      <c r="A1126" s="78" t="n">
        <v>46118</v>
      </c>
      <c r="B1126" s="45" t="inlineStr">
        <is>
          <t>NX8</t>
        </is>
      </c>
      <c r="C1126" s="46" t="n">
        <v>162.73656</v>
      </c>
      <c r="D1126" s="46" t="n">
        <v>130.65624</v>
      </c>
      <c r="E1126" s="46" t="n">
        <v>96.95159999999998</v>
      </c>
      <c r="F1126" s="46" t="n">
        <v>271.36296</v>
      </c>
      <c r="G1126" s="46" t="n">
        <v>141.41736</v>
      </c>
      <c r="H1126" s="46" t="n">
        <v>152.58456</v>
      </c>
      <c r="I1126" s="46" t="n">
        <v>140.50368</v>
      </c>
      <c r="J1126" s="46" t="n">
        <v>107.50968</v>
      </c>
      <c r="K1126" s="46" t="n">
        <v>172.0764</v>
      </c>
      <c r="L1126" s="46" t="n">
        <v>147.00096</v>
      </c>
      <c r="M1126" s="46">
        <f>N1126-SUM(C1126:L1126)</f>
        <v/>
      </c>
      <c r="N1126" s="47" t="n">
        <v>2538</v>
      </c>
      <c r="O1126" s="46" t="n">
        <v>132</v>
      </c>
      <c r="P1126" s="46" t="n">
        <v>2</v>
      </c>
      <c r="Q1126" s="46" t="n">
        <v>130</v>
      </c>
      <c r="R1126" s="46" t="n">
        <v>546</v>
      </c>
      <c r="S1126" s="46" t="n">
        <v>130</v>
      </c>
      <c r="T1126" s="46" t="n">
        <v>834</v>
      </c>
      <c r="U1126" s="46" t="n">
        <v>100</v>
      </c>
      <c r="V1126" s="46" t="n"/>
      <c r="W1126" s="46" t="n">
        <v>186</v>
      </c>
      <c r="X1126" s="46" t="n">
        <v>458</v>
      </c>
      <c r="Y1126" s="46" t="n">
        <v>20</v>
      </c>
    </row>
    <row r="1127">
      <c r="A1127" s="78" t="n">
        <v>46119</v>
      </c>
      <c r="B1127" s="45" t="inlineStr">
        <is>
          <t>NX8</t>
        </is>
      </c>
      <c r="C1127" s="46" t="n">
        <v>169.5974</v>
      </c>
      <c r="D1127" s="46" t="n">
        <v>136.1646</v>
      </c>
      <c r="E1127" s="46" t="n">
        <v>101.039</v>
      </c>
      <c r="F1127" s="46" t="n">
        <v>282.8034</v>
      </c>
      <c r="G1127" s="46" t="n">
        <v>147.3794</v>
      </c>
      <c r="H1127" s="46" t="n">
        <v>159.0174</v>
      </c>
      <c r="I1127" s="46" t="n">
        <v>146.4272</v>
      </c>
      <c r="J1127" s="46" t="n">
        <v>112.0422</v>
      </c>
      <c r="K1127" s="46" t="n">
        <v>179.331</v>
      </c>
      <c r="L1127" s="46" t="n">
        <v>153.1984</v>
      </c>
      <c r="M1127" s="46">
        <f>N1127-SUM(C1127:L1127)</f>
        <v/>
      </c>
      <c r="N1127" s="47" t="n">
        <v>2645</v>
      </c>
      <c r="O1127" s="46" t="n">
        <v>133</v>
      </c>
      <c r="P1127" s="46" t="n">
        <v>4</v>
      </c>
      <c r="Q1127" s="46" t="n">
        <v>132</v>
      </c>
      <c r="R1127" s="46" t="n">
        <v>547</v>
      </c>
      <c r="S1127" s="46" t="n">
        <v>151</v>
      </c>
      <c r="T1127" s="46" t="n">
        <v>837</v>
      </c>
      <c r="U1127" s="46" t="n">
        <v>100</v>
      </c>
      <c r="V1127" s="46" t="n"/>
      <c r="W1127" s="46" t="n">
        <v>188</v>
      </c>
      <c r="X1127" s="46" t="n">
        <v>533</v>
      </c>
      <c r="Y1127" s="46" t="n">
        <v>20</v>
      </c>
    </row>
    <row r="1128">
      <c r="A1128" s="78" t="n">
        <v>46120</v>
      </c>
      <c r="B1128" s="45" t="inlineStr">
        <is>
          <t>NX8</t>
        </is>
      </c>
      <c r="C1128" s="46" t="n">
        <v>573.9381199999999</v>
      </c>
      <c r="D1128" s="46" t="n">
        <v>460.79748</v>
      </c>
      <c r="E1128" s="46" t="n">
        <v>341.9281999999999</v>
      </c>
      <c r="F1128" s="46" t="n">
        <v>957.0409199999999</v>
      </c>
      <c r="G1128" s="46" t="n">
        <v>498.74972</v>
      </c>
      <c r="H1128" s="46" t="n">
        <v>538.1341199999999</v>
      </c>
      <c r="I1128" s="46" t="n">
        <v>495.5273599999999</v>
      </c>
      <c r="J1128" s="46" t="n">
        <v>379.1643599999999</v>
      </c>
      <c r="K1128" s="46" t="n">
        <v>606.8778</v>
      </c>
      <c r="L1128" s="46" t="n">
        <v>518.44192</v>
      </c>
      <c r="M1128" s="46">
        <f>N1128-SUM(C1128:L1128)</f>
        <v/>
      </c>
      <c r="N1128" s="47" t="n">
        <v>8951</v>
      </c>
      <c r="O1128" s="46" t="n">
        <v>963</v>
      </c>
      <c r="P1128" s="46" t="n">
        <v>31</v>
      </c>
      <c r="Q1128" s="46" t="n">
        <v>1298</v>
      </c>
      <c r="R1128" s="46" t="n">
        <v>1308</v>
      </c>
      <c r="S1128" s="46" t="n">
        <v>1172</v>
      </c>
      <c r="T1128" s="46" t="n">
        <v>1308</v>
      </c>
      <c r="U1128" s="46" t="n">
        <v>1486</v>
      </c>
      <c r="V1128" s="46" t="n"/>
      <c r="W1128" s="46" t="n">
        <v>491</v>
      </c>
      <c r="X1128" s="46" t="n">
        <v>852</v>
      </c>
      <c r="Y1128" s="46" t="n">
        <v>42</v>
      </c>
    </row>
    <row r="1129">
      <c r="A1129" s="78" t="n">
        <v>46121</v>
      </c>
      <c r="B1129" s="45" t="inlineStr">
        <is>
          <t>NX8</t>
        </is>
      </c>
      <c r="C1129" s="46" t="n">
        <v>574.38696</v>
      </c>
      <c r="D1129" s="46" t="n">
        <v>461.15784</v>
      </c>
      <c r="E1129" s="46" t="n">
        <v>342.1956</v>
      </c>
      <c r="F1129" s="46" t="n">
        <v>957.78936</v>
      </c>
      <c r="G1129" s="46" t="n">
        <v>499.13976</v>
      </c>
      <c r="H1129" s="46" t="n">
        <v>538.5549600000001</v>
      </c>
      <c r="I1129" s="46" t="n">
        <v>495.91488</v>
      </c>
      <c r="J1129" s="46" t="n">
        <v>379.46088</v>
      </c>
      <c r="K1129" s="46" t="n">
        <v>607.3524</v>
      </c>
      <c r="L1129" s="46" t="n">
        <v>518.84736</v>
      </c>
      <c r="M1129" s="46">
        <f>N1129-SUM(C1129:L1129)</f>
        <v/>
      </c>
      <c r="N1129" s="47" t="n">
        <v>8958</v>
      </c>
      <c r="O1129" s="46" t="n">
        <v>961</v>
      </c>
      <c r="P1129" s="46" t="n">
        <v>27</v>
      </c>
      <c r="Q1129" s="46" t="n">
        <v>1287</v>
      </c>
      <c r="R1129" s="46" t="n">
        <v>1315</v>
      </c>
      <c r="S1129" s="46" t="n">
        <v>1179</v>
      </c>
      <c r="T1129" s="46" t="n">
        <v>1315</v>
      </c>
      <c r="U1129" s="46" t="n">
        <v>1487</v>
      </c>
      <c r="V1129" s="46" t="n"/>
      <c r="W1129" s="46" t="n">
        <v>499</v>
      </c>
      <c r="X1129" s="46" t="n">
        <v>852</v>
      </c>
      <c r="Y1129" s="46" t="n">
        <v>36</v>
      </c>
    </row>
    <row r="1130">
      <c r="A1130" s="78" t="n">
        <v>46122</v>
      </c>
      <c r="B1130" s="45" t="inlineStr">
        <is>
          <t>NX8</t>
        </is>
      </c>
      <c r="C1130" s="46" t="n">
        <v>573.6175199999999</v>
      </c>
      <c r="D1130" s="46" t="n">
        <v>460.5400799999999</v>
      </c>
      <c r="E1130" s="46" t="n">
        <v>341.7372</v>
      </c>
      <c r="F1130" s="46" t="n">
        <v>956.5063199999998</v>
      </c>
      <c r="G1130" s="46" t="n">
        <v>498.4711199999999</v>
      </c>
      <c r="H1130" s="46" t="n">
        <v>537.8335199999999</v>
      </c>
      <c r="I1130" s="46" t="n">
        <v>495.25056</v>
      </c>
      <c r="J1130" s="46" t="n">
        <v>378.9525599999999</v>
      </c>
      <c r="K1130" s="46" t="n">
        <v>606.5387999999999</v>
      </c>
      <c r="L1130" s="46" t="n">
        <v>518.1523199999999</v>
      </c>
      <c r="M1130" s="46">
        <f>N1130-SUM(C1130:L1130)</f>
        <v/>
      </c>
      <c r="N1130" s="47" t="n">
        <v>8946</v>
      </c>
      <c r="O1130" s="46" t="n">
        <v>961</v>
      </c>
      <c r="P1130" s="46" t="n">
        <v>27</v>
      </c>
      <c r="Q1130" s="46" t="n">
        <v>1287</v>
      </c>
      <c r="R1130" s="46" t="n">
        <v>1315</v>
      </c>
      <c r="S1130" s="46" t="n">
        <v>1179</v>
      </c>
      <c r="T1130" s="46" t="n">
        <v>1315</v>
      </c>
      <c r="U1130" s="46" t="n">
        <v>1487</v>
      </c>
      <c r="V1130" s="46" t="n"/>
      <c r="W1130" s="46" t="n">
        <v>499</v>
      </c>
      <c r="X1130" s="46" t="n">
        <v>840</v>
      </c>
      <c r="Y1130" s="46" t="n">
        <v>36</v>
      </c>
    </row>
    <row r="1131">
      <c r="A1131" s="78" t="n">
        <v>46123</v>
      </c>
      <c r="B1131" s="45" t="inlineStr">
        <is>
          <t>NX8</t>
        </is>
      </c>
      <c r="C1131" s="46" t="n">
        <v>579.83716</v>
      </c>
      <c r="D1131" s="46" t="n">
        <v>465.53364</v>
      </c>
      <c r="E1131" s="46" t="n">
        <v>345.4426</v>
      </c>
      <c r="F1131" s="46" t="n">
        <v>966.87756</v>
      </c>
      <c r="G1131" s="46" t="n">
        <v>503.87596</v>
      </c>
      <c r="H1131" s="46" t="n">
        <v>543.66516</v>
      </c>
      <c r="I1131" s="46" t="n">
        <v>500.62048</v>
      </c>
      <c r="J1131" s="46" t="n">
        <v>383.06148</v>
      </c>
      <c r="K1131" s="46" t="n">
        <v>613.1154</v>
      </c>
      <c r="L1131" s="46" t="n">
        <v>523.77056</v>
      </c>
      <c r="M1131" s="46">
        <f>N1131-SUM(C1131:L1131)</f>
        <v/>
      </c>
      <c r="N1131" s="47" t="n">
        <v>9043</v>
      </c>
      <c r="O1131" s="46" t="n">
        <v>961</v>
      </c>
      <c r="P1131" s="46" t="n">
        <v>27</v>
      </c>
      <c r="Q1131" s="46" t="n">
        <v>1287</v>
      </c>
      <c r="R1131" s="46" t="n">
        <v>1315</v>
      </c>
      <c r="S1131" s="46" t="n">
        <v>1179</v>
      </c>
      <c r="T1131" s="46" t="n">
        <v>1315</v>
      </c>
      <c r="U1131" s="46" t="n">
        <v>1487</v>
      </c>
      <c r="V1131" s="46" t="n"/>
      <c r="W1131" s="46" t="n">
        <v>499</v>
      </c>
      <c r="X1131" s="46" t="n">
        <v>937</v>
      </c>
      <c r="Y1131" s="46" t="n">
        <v>36</v>
      </c>
    </row>
    <row r="1132">
      <c r="A1132" s="78" t="n">
        <v>46124</v>
      </c>
      <c r="B1132" s="45" t="inlineStr">
        <is>
          <t>NX8</t>
        </is>
      </c>
      <c r="C1132" s="46" t="n">
        <v>580.79896</v>
      </c>
      <c r="D1132" s="46" t="n">
        <v>466.30584</v>
      </c>
      <c r="E1132" s="46" t="n">
        <v>346.0156</v>
      </c>
      <c r="F1132" s="46" t="n">
        <v>968.48136</v>
      </c>
      <c r="G1132" s="46" t="n">
        <v>504.71176</v>
      </c>
      <c r="H1132" s="46" t="n">
        <v>544.56696</v>
      </c>
      <c r="I1132" s="46" t="n">
        <v>501.45088</v>
      </c>
      <c r="J1132" s="46" t="n">
        <v>383.69688</v>
      </c>
      <c r="K1132" s="46" t="n">
        <v>614.1324000000001</v>
      </c>
      <c r="L1132" s="46" t="n">
        <v>524.63936</v>
      </c>
      <c r="M1132" s="46">
        <f>N1132-SUM(C1132:L1132)</f>
        <v/>
      </c>
      <c r="N1132" s="47" t="n">
        <v>9058</v>
      </c>
      <c r="O1132" s="46" t="n">
        <v>961</v>
      </c>
      <c r="P1132" s="46" t="n">
        <v>27</v>
      </c>
      <c r="Q1132" s="46" t="n">
        <v>1287</v>
      </c>
      <c r="R1132" s="46" t="n">
        <v>1315</v>
      </c>
      <c r="S1132" s="46" t="n">
        <v>1179</v>
      </c>
      <c r="T1132" s="46" t="n">
        <v>1315</v>
      </c>
      <c r="U1132" s="46" t="n">
        <v>1487</v>
      </c>
      <c r="V1132" s="46" t="n"/>
      <c r="W1132" s="46" t="n">
        <v>499</v>
      </c>
      <c r="X1132" s="46" t="n">
        <v>952</v>
      </c>
      <c r="Y1132" s="46" t="n">
        <v>36</v>
      </c>
    </row>
    <row r="1133">
      <c r="A1133" s="78" t="n">
        <v>46125</v>
      </c>
      <c r="B1133" s="45" t="inlineStr">
        <is>
          <t>NX8</t>
        </is>
      </c>
      <c r="C1133" s="46" t="n">
        <v>576.63116</v>
      </c>
      <c r="D1133" s="46" t="n">
        <v>462.95964</v>
      </c>
      <c r="E1133" s="46" t="n">
        <v>343.5326</v>
      </c>
      <c r="F1133" s="46" t="n">
        <v>961.53156</v>
      </c>
      <c r="G1133" s="46" t="n">
        <v>501.08996</v>
      </c>
      <c r="H1133" s="46" t="n">
        <v>540.65916</v>
      </c>
      <c r="I1133" s="46" t="n">
        <v>497.85248</v>
      </c>
      <c r="J1133" s="46" t="n">
        <v>380.94348</v>
      </c>
      <c r="K1133" s="46" t="n">
        <v>609.7254</v>
      </c>
      <c r="L1133" s="46" t="n">
        <v>520.87456</v>
      </c>
      <c r="M1133" s="46">
        <f>N1133-SUM(C1133:L1133)</f>
        <v/>
      </c>
      <c r="N1133" s="47" t="n">
        <v>8993</v>
      </c>
      <c r="O1133" s="46" t="n">
        <v>961</v>
      </c>
      <c r="P1133" s="46" t="n">
        <v>27</v>
      </c>
      <c r="Q1133" s="46" t="n">
        <v>1287</v>
      </c>
      <c r="R1133" s="46" t="n">
        <v>1315</v>
      </c>
      <c r="S1133" s="46" t="n">
        <v>1179</v>
      </c>
      <c r="T1133" s="46" t="n">
        <v>1315</v>
      </c>
      <c r="U1133" s="46" t="n">
        <v>1487</v>
      </c>
      <c r="V1133" s="46" t="n"/>
      <c r="W1133" s="46" t="n">
        <v>499</v>
      </c>
      <c r="X1133" s="46" t="n">
        <v>887</v>
      </c>
      <c r="Y1133" s="46" t="n">
        <v>36</v>
      </c>
    </row>
    <row r="1134">
      <c r="A1134" s="78" t="n">
        <v>46126</v>
      </c>
      <c r="B1134" s="45" t="inlineStr">
        <is>
          <t>NX8</t>
        </is>
      </c>
      <c r="C1134" s="46" t="n">
        <v>572.271</v>
      </c>
      <c r="D1134" s="46" t="n">
        <v>459.459</v>
      </c>
      <c r="E1134" s="46" t="n">
        <v>340.935</v>
      </c>
      <c r="F1134" s="46" t="n">
        <v>954.261</v>
      </c>
      <c r="G1134" s="46" t="n">
        <v>497.301</v>
      </c>
      <c r="H1134" s="46" t="n">
        <v>536.571</v>
      </c>
      <c r="I1134" s="46" t="n">
        <v>494.088</v>
      </c>
      <c r="J1134" s="46" t="n">
        <v>378.063</v>
      </c>
      <c r="K1134" s="46" t="n">
        <v>605.115</v>
      </c>
      <c r="L1134" s="46" t="n">
        <v>516.936</v>
      </c>
      <c r="M1134" s="46">
        <f>N1134-SUM(C1134:L1134)</f>
        <v/>
      </c>
      <c r="N1134" s="47" t="n">
        <v>8925</v>
      </c>
      <c r="O1134" s="46" t="n">
        <v>961</v>
      </c>
      <c r="P1134" s="46" t="n">
        <v>27</v>
      </c>
      <c r="Q1134" s="46" t="n">
        <v>1287</v>
      </c>
      <c r="R1134" s="46" t="n">
        <v>1315</v>
      </c>
      <c r="S1134" s="46" t="n">
        <v>1179</v>
      </c>
      <c r="T1134" s="46" t="n">
        <v>1315</v>
      </c>
      <c r="U1134" s="46" t="n">
        <v>1487</v>
      </c>
      <c r="V1134" s="46" t="n"/>
      <c r="W1134" s="46" t="n">
        <v>499</v>
      </c>
      <c r="X1134" s="46" t="n">
        <v>819</v>
      </c>
      <c r="Y1134" s="46" t="n">
        <v>36</v>
      </c>
    </row>
    <row r="1135">
      <c r="A1135" s="78" t="n">
        <v>46127</v>
      </c>
      <c r="B1135" s="45" t="inlineStr">
        <is>
          <t>NX8</t>
        </is>
      </c>
      <c r="C1135" s="46" t="n">
        <v>569.7062</v>
      </c>
      <c r="D1135" s="46" t="n">
        <v>457.3998</v>
      </c>
      <c r="E1135" s="46" t="n">
        <v>339.407</v>
      </c>
      <c r="F1135" s="46" t="n">
        <v>949.9842</v>
      </c>
      <c r="G1135" s="46" t="n">
        <v>495.0722</v>
      </c>
      <c r="H1135" s="46" t="n">
        <v>534.1662</v>
      </c>
      <c r="I1135" s="46" t="n">
        <v>491.8736</v>
      </c>
      <c r="J1135" s="46" t="n">
        <v>376.3686</v>
      </c>
      <c r="K1135" s="46" t="n">
        <v>602.403</v>
      </c>
      <c r="L1135" s="46" t="n">
        <v>514.6192</v>
      </c>
      <c r="M1135" s="46">
        <f>N1135-SUM(C1135:L1135)</f>
        <v/>
      </c>
      <c r="N1135" s="47" t="n">
        <v>8885</v>
      </c>
      <c r="O1135" s="46" t="n">
        <v>961</v>
      </c>
      <c r="P1135" s="46" t="n">
        <v>27</v>
      </c>
      <c r="Q1135" s="46" t="n">
        <v>1287</v>
      </c>
      <c r="R1135" s="46" t="n">
        <v>1315</v>
      </c>
      <c r="S1135" s="46" t="n">
        <v>1179</v>
      </c>
      <c r="T1135" s="46" t="n">
        <v>1315</v>
      </c>
      <c r="U1135" s="46" t="n">
        <v>1487</v>
      </c>
      <c r="V1135" s="46" t="n"/>
      <c r="W1135" s="46" t="n">
        <v>499</v>
      </c>
      <c r="X1135" s="46" t="n">
        <v>779</v>
      </c>
      <c r="Y1135" s="46" t="n">
        <v>36</v>
      </c>
    </row>
    <row r="1136">
      <c r="A1136" s="78" t="n">
        <v>46128</v>
      </c>
      <c r="B1136" s="45" t="inlineStr">
        <is>
          <t>NX8</t>
        </is>
      </c>
      <c r="C1136" s="46" t="n">
        <v>573.48928</v>
      </c>
      <c r="D1136" s="46" t="n">
        <v>460.43712</v>
      </c>
      <c r="E1136" s="46" t="n">
        <v>341.6607999999999</v>
      </c>
      <c r="F1136" s="46" t="n">
        <v>956.29248</v>
      </c>
      <c r="G1136" s="46" t="n">
        <v>498.35968</v>
      </c>
      <c r="H1136" s="46" t="n">
        <v>537.7132799999999</v>
      </c>
      <c r="I1136" s="46" t="n">
        <v>495.1398399999999</v>
      </c>
      <c r="J1136" s="46" t="n">
        <v>378.8678399999999</v>
      </c>
      <c r="K1136" s="46" t="n">
        <v>606.4032</v>
      </c>
      <c r="L1136" s="46" t="n">
        <v>518.03648</v>
      </c>
      <c r="M1136" s="46">
        <f>N1136-SUM(C1136:L1136)</f>
        <v/>
      </c>
      <c r="N1136" s="47" t="n">
        <v>8944</v>
      </c>
      <c r="O1136" s="46" t="n">
        <v>961</v>
      </c>
      <c r="P1136" s="46" t="n">
        <v>27</v>
      </c>
      <c r="Q1136" s="46" t="n">
        <v>1287</v>
      </c>
      <c r="R1136" s="46" t="n">
        <v>1315</v>
      </c>
      <c r="S1136" s="46" t="n">
        <v>1179</v>
      </c>
      <c r="T1136" s="46" t="n">
        <v>1315</v>
      </c>
      <c r="U1136" s="46" t="n">
        <v>1487</v>
      </c>
      <c r="V1136" s="46" t="n"/>
      <c r="W1136" s="46" t="n">
        <v>499</v>
      </c>
      <c r="X1136" s="46" t="n">
        <v>838</v>
      </c>
      <c r="Y1136" s="46" t="n">
        <v>36</v>
      </c>
    </row>
    <row r="1137">
      <c r="A1137" s="78" t="n">
        <v>46129</v>
      </c>
      <c r="B1137" s="45" t="inlineStr">
        <is>
          <t>NX8</t>
        </is>
      </c>
      <c r="C1137" s="46" t="n">
        <v>575.477</v>
      </c>
      <c r="D1137" s="46" t="n">
        <v>462.033</v>
      </c>
      <c r="E1137" s="46" t="n">
        <v>342.845</v>
      </c>
      <c r="F1137" s="46" t="n">
        <v>959.607</v>
      </c>
      <c r="G1137" s="46" t="n">
        <v>500.087</v>
      </c>
      <c r="H1137" s="46" t="n">
        <v>539.577</v>
      </c>
      <c r="I1137" s="46" t="n">
        <v>496.856</v>
      </c>
      <c r="J1137" s="46" t="n">
        <v>380.181</v>
      </c>
      <c r="K1137" s="46" t="n">
        <v>608.505</v>
      </c>
      <c r="L1137" s="46" t="n">
        <v>519.832</v>
      </c>
      <c r="M1137" s="46">
        <f>N1137-SUM(C1137:L1137)</f>
        <v/>
      </c>
      <c r="N1137" s="47" t="n">
        <v>8975</v>
      </c>
      <c r="O1137" s="46" t="n">
        <v>961</v>
      </c>
      <c r="P1137" s="46" t="n">
        <v>27</v>
      </c>
      <c r="Q1137" s="46" t="n">
        <v>1287</v>
      </c>
      <c r="R1137" s="46" t="n">
        <v>1315</v>
      </c>
      <c r="S1137" s="46" t="n">
        <v>1179</v>
      </c>
      <c r="T1137" s="46" t="n">
        <v>1315</v>
      </c>
      <c r="U1137" s="46" t="n">
        <v>1487</v>
      </c>
      <c r="V1137" s="46" t="n"/>
      <c r="W1137" s="46" t="n">
        <v>499</v>
      </c>
      <c r="X1137" s="46" t="n">
        <v>869</v>
      </c>
      <c r="Y1137" s="46" t="n">
        <v>36</v>
      </c>
    </row>
    <row r="1138">
      <c r="A1138" s="78" t="n">
        <v>46130</v>
      </c>
      <c r="B1138" s="45" t="inlineStr">
        <is>
          <t>NX8</t>
        </is>
      </c>
      <c r="C1138" s="46" t="n">
        <v>576.05408</v>
      </c>
      <c r="D1138" s="46" t="n">
        <v>462.49632</v>
      </c>
      <c r="E1138" s="46" t="n">
        <v>343.1888</v>
      </c>
      <c r="F1138" s="46" t="n">
        <v>960.5692799999999</v>
      </c>
      <c r="G1138" s="46" t="n">
        <v>500.5884799999999</v>
      </c>
      <c r="H1138" s="46" t="n">
        <v>540.11808</v>
      </c>
      <c r="I1138" s="46" t="n">
        <v>497.3542399999999</v>
      </c>
      <c r="J1138" s="46" t="n">
        <v>380.56224</v>
      </c>
      <c r="K1138" s="46" t="n">
        <v>609.1152</v>
      </c>
      <c r="L1138" s="46" t="n">
        <v>520.3532799999999</v>
      </c>
      <c r="M1138" s="46">
        <f>N1138-SUM(C1138:L1138)</f>
        <v/>
      </c>
      <c r="N1138" s="47" t="n">
        <v>8984</v>
      </c>
      <c r="O1138" s="46" t="n">
        <v>961</v>
      </c>
      <c r="P1138" s="46" t="n">
        <v>27</v>
      </c>
      <c r="Q1138" s="46" t="n">
        <v>1287</v>
      </c>
      <c r="R1138" s="46" t="n">
        <v>1315</v>
      </c>
      <c r="S1138" s="46" t="n">
        <v>1179</v>
      </c>
      <c r="T1138" s="46" t="n">
        <v>1315</v>
      </c>
      <c r="U1138" s="46" t="n">
        <v>1487</v>
      </c>
      <c r="V1138" s="46" t="n"/>
      <c r="W1138" s="46" t="n">
        <v>499</v>
      </c>
      <c r="X1138" s="46" t="n">
        <v>878</v>
      </c>
      <c r="Y1138" s="46" t="n">
        <v>36</v>
      </c>
    </row>
    <row r="1139">
      <c r="A1139" s="78" t="n">
        <v>46131</v>
      </c>
      <c r="B1139" s="45" t="inlineStr">
        <is>
          <t>NX8</t>
        </is>
      </c>
      <c r="C1139" s="46" t="n">
        <v>580.6066</v>
      </c>
      <c r="D1139" s="46" t="n">
        <v>466.1514</v>
      </c>
      <c r="E1139" s="46" t="n">
        <v>345.901</v>
      </c>
      <c r="F1139" s="46" t="n">
        <v>968.1605999999999</v>
      </c>
      <c r="G1139" s="46" t="n">
        <v>504.5446</v>
      </c>
      <c r="H1139" s="46" t="n">
        <v>544.3865999999999</v>
      </c>
      <c r="I1139" s="46" t="n">
        <v>501.2848</v>
      </c>
      <c r="J1139" s="46" t="n">
        <v>383.5698</v>
      </c>
      <c r="K1139" s="46" t="n">
        <v>613.929</v>
      </c>
      <c r="L1139" s="46" t="n">
        <v>524.4656</v>
      </c>
      <c r="M1139" s="46">
        <f>N1139-SUM(C1139:L1139)</f>
        <v/>
      </c>
      <c r="N1139" s="47" t="n">
        <v>9055</v>
      </c>
      <c r="O1139" s="46" t="n">
        <v>961</v>
      </c>
      <c r="P1139" s="46" t="n">
        <v>27</v>
      </c>
      <c r="Q1139" s="46" t="n">
        <v>1287</v>
      </c>
      <c r="R1139" s="46" t="n">
        <v>1315</v>
      </c>
      <c r="S1139" s="46" t="n">
        <v>1179</v>
      </c>
      <c r="T1139" s="46" t="n">
        <v>1315</v>
      </c>
      <c r="U1139" s="46" t="n">
        <v>1487</v>
      </c>
      <c r="V1139" s="46" t="n"/>
      <c r="W1139" s="46" t="n">
        <v>499</v>
      </c>
      <c r="X1139" s="46" t="n">
        <v>949</v>
      </c>
      <c r="Y1139" s="46" t="n">
        <v>36</v>
      </c>
    </row>
    <row r="1140">
      <c r="A1140" s="78" t="n">
        <v>46132</v>
      </c>
      <c r="B1140" s="45" t="inlineStr">
        <is>
          <t>NX8</t>
        </is>
      </c>
      <c r="C1140" s="46" t="n">
        <v>580.2218799999999</v>
      </c>
      <c r="D1140" s="46" t="n">
        <v>465.84252</v>
      </c>
      <c r="E1140" s="46" t="n">
        <v>345.6718</v>
      </c>
      <c r="F1140" s="46" t="n">
        <v>967.5190799999999</v>
      </c>
      <c r="G1140" s="46" t="n">
        <v>504.21028</v>
      </c>
      <c r="H1140" s="46" t="n">
        <v>544.0258799999999</v>
      </c>
      <c r="I1140" s="46" t="n">
        <v>500.95264</v>
      </c>
      <c r="J1140" s="46" t="n">
        <v>383.31564</v>
      </c>
      <c r="K1140" s="46" t="n">
        <v>613.5222</v>
      </c>
      <c r="L1140" s="46" t="n">
        <v>524.11808</v>
      </c>
      <c r="M1140" s="46">
        <f>N1140-SUM(C1140:L1140)</f>
        <v/>
      </c>
      <c r="N1140" s="47" t="n">
        <v>9049</v>
      </c>
      <c r="O1140" s="46" t="n">
        <v>961</v>
      </c>
      <c r="P1140" s="46" t="n">
        <v>27</v>
      </c>
      <c r="Q1140" s="46" t="n">
        <v>1287</v>
      </c>
      <c r="R1140" s="46" t="n">
        <v>1315</v>
      </c>
      <c r="S1140" s="46" t="n">
        <v>1179</v>
      </c>
      <c r="T1140" s="46" t="n">
        <v>1315</v>
      </c>
      <c r="U1140" s="46" t="n">
        <v>1487</v>
      </c>
      <c r="V1140" s="46" t="n"/>
      <c r="W1140" s="46" t="n">
        <v>499</v>
      </c>
      <c r="X1140" s="46" t="n">
        <v>943</v>
      </c>
      <c r="Y1140" s="46" t="n">
        <v>36</v>
      </c>
    </row>
    <row r="1141">
      <c r="A1141" s="78" t="n">
        <v>46133</v>
      </c>
      <c r="B1141" s="45" t="inlineStr">
        <is>
          <t>NX8</t>
        </is>
      </c>
      <c r="C1141" s="46" t="n">
        <v>582.2737199999999</v>
      </c>
      <c r="D1141" s="46" t="n">
        <v>467.48988</v>
      </c>
      <c r="E1141" s="46" t="n">
        <v>346.8942</v>
      </c>
      <c r="F1141" s="46" t="n">
        <v>970.9405199999999</v>
      </c>
      <c r="G1141" s="46" t="n">
        <v>505.9933199999999</v>
      </c>
      <c r="H1141" s="46" t="n">
        <v>545.94972</v>
      </c>
      <c r="I1141" s="46" t="n">
        <v>502.7241599999999</v>
      </c>
      <c r="J1141" s="46" t="n">
        <v>384.6711599999999</v>
      </c>
      <c r="K1141" s="46" t="n">
        <v>615.6917999999999</v>
      </c>
      <c r="L1141" s="46" t="n">
        <v>525.9715199999999</v>
      </c>
      <c r="M1141" s="46">
        <f>N1141-SUM(C1141:L1141)</f>
        <v/>
      </c>
      <c r="N1141" s="47" t="n">
        <v>9081</v>
      </c>
      <c r="O1141" s="46" t="n">
        <v>961</v>
      </c>
      <c r="P1141" s="46" t="n">
        <v>27</v>
      </c>
      <c r="Q1141" s="46" t="n">
        <v>1287</v>
      </c>
      <c r="R1141" s="46" t="n">
        <v>1315</v>
      </c>
      <c r="S1141" s="46" t="n">
        <v>1179</v>
      </c>
      <c r="T1141" s="46" t="n">
        <v>1315</v>
      </c>
      <c r="U1141" s="46" t="n">
        <v>1487</v>
      </c>
      <c r="V1141" s="46" t="n"/>
      <c r="W1141" s="46" t="n">
        <v>499</v>
      </c>
      <c r="X1141" s="46" t="n">
        <v>975</v>
      </c>
      <c r="Y1141" s="46" t="n">
        <v>36</v>
      </c>
    </row>
    <row r="1142">
      <c r="A1142" s="78" t="n">
        <v>46134</v>
      </c>
      <c r="B1142" s="45" t="inlineStr">
        <is>
          <t>NX8</t>
        </is>
      </c>
      <c r="C1142" s="46" t="n">
        <v>579.9654</v>
      </c>
      <c r="D1142" s="46" t="n">
        <v>465.6366</v>
      </c>
      <c r="E1142" s="46" t="n">
        <v>345.519</v>
      </c>
      <c r="F1142" s="46" t="n">
        <v>967.0914</v>
      </c>
      <c r="G1142" s="46" t="n">
        <v>503.9874</v>
      </c>
      <c r="H1142" s="46" t="n">
        <v>543.7854</v>
      </c>
      <c r="I1142" s="46" t="n">
        <v>500.7312</v>
      </c>
      <c r="J1142" s="46" t="n">
        <v>383.1462</v>
      </c>
      <c r="K1142" s="46" t="n">
        <v>613.251</v>
      </c>
      <c r="L1142" s="46" t="n">
        <v>523.8864</v>
      </c>
      <c r="M1142" s="46">
        <f>N1142-SUM(C1142:L1142)</f>
        <v/>
      </c>
      <c r="N1142" s="47" t="n">
        <v>9045</v>
      </c>
      <c r="O1142" s="46" t="n">
        <v>961</v>
      </c>
      <c r="P1142" s="46" t="n">
        <v>27</v>
      </c>
      <c r="Q1142" s="46" t="n">
        <v>1287</v>
      </c>
      <c r="R1142" s="46" t="n">
        <v>1315</v>
      </c>
      <c r="S1142" s="46" t="n">
        <v>1179</v>
      </c>
      <c r="T1142" s="46" t="n">
        <v>1315</v>
      </c>
      <c r="U1142" s="46" t="n">
        <v>1487</v>
      </c>
      <c r="V1142" s="46" t="n"/>
      <c r="W1142" s="46" t="n">
        <v>499</v>
      </c>
      <c r="X1142" s="46" t="n">
        <v>939</v>
      </c>
      <c r="Y1142" s="46" t="n">
        <v>36</v>
      </c>
    </row>
    <row r="1143">
      <c r="A1143" s="78" t="n">
        <v>46135</v>
      </c>
      <c r="B1143" s="45" t="inlineStr">
        <is>
          <t>NX8</t>
        </is>
      </c>
      <c r="C1143" s="46" t="n">
        <v>579.9654</v>
      </c>
      <c r="D1143" s="46" t="n">
        <v>465.6366</v>
      </c>
      <c r="E1143" s="46" t="n">
        <v>345.519</v>
      </c>
      <c r="F1143" s="46" t="n">
        <v>967.0914</v>
      </c>
      <c r="G1143" s="46" t="n">
        <v>503.9874</v>
      </c>
      <c r="H1143" s="46" t="n">
        <v>543.7854</v>
      </c>
      <c r="I1143" s="46" t="n">
        <v>500.7312</v>
      </c>
      <c r="J1143" s="46" t="n">
        <v>383.1462</v>
      </c>
      <c r="K1143" s="46" t="n">
        <v>613.251</v>
      </c>
      <c r="L1143" s="46" t="n">
        <v>523.8864</v>
      </c>
      <c r="M1143" s="46">
        <f>N1143-SUM(C1143:L1143)</f>
        <v/>
      </c>
      <c r="N1143" s="47" t="n">
        <v>9045</v>
      </c>
      <c r="O1143" s="46" t="n">
        <v>961</v>
      </c>
      <c r="P1143" s="46" t="n">
        <v>27</v>
      </c>
      <c r="Q1143" s="46" t="n">
        <v>1287</v>
      </c>
      <c r="R1143" s="46" t="n">
        <v>1315</v>
      </c>
      <c r="S1143" s="46" t="n">
        <v>1179</v>
      </c>
      <c r="T1143" s="46" t="n">
        <v>1315</v>
      </c>
      <c r="U1143" s="46" t="n">
        <v>1487</v>
      </c>
      <c r="V1143" s="46" t="n"/>
      <c r="W1143" s="46" t="n">
        <v>499</v>
      </c>
      <c r="X1143" s="46" t="n">
        <v>939</v>
      </c>
      <c r="Y1143" s="46" t="n">
        <v>36</v>
      </c>
    </row>
    <row r="1144">
      <c r="A1144" s="78" t="n">
        <v>46136</v>
      </c>
      <c r="B1144" s="45" t="inlineStr">
        <is>
          <t>NX8</t>
        </is>
      </c>
      <c r="C1144" s="46" t="n">
        <v>582.72256</v>
      </c>
      <c r="D1144" s="46" t="n">
        <v>467.85024</v>
      </c>
      <c r="E1144" s="46" t="n">
        <v>347.1616</v>
      </c>
      <c r="F1144" s="46" t="n">
        <v>971.6889600000001</v>
      </c>
      <c r="G1144" s="46" t="n">
        <v>506.38336</v>
      </c>
      <c r="H1144" s="46" t="n">
        <v>546.37056</v>
      </c>
      <c r="I1144" s="46" t="n">
        <v>503.11168</v>
      </c>
      <c r="J1144" s="46" t="n">
        <v>384.96768</v>
      </c>
      <c r="K1144" s="46" t="n">
        <v>616.1664000000001</v>
      </c>
      <c r="L1144" s="46" t="n">
        <v>526.3769600000001</v>
      </c>
      <c r="M1144" s="46">
        <f>N1144-SUM(C1144:L1144)</f>
        <v/>
      </c>
      <c r="N1144" s="47" t="n">
        <v>9088</v>
      </c>
      <c r="O1144" s="46" t="n">
        <v>961</v>
      </c>
      <c r="P1144" s="46" t="n">
        <v>27</v>
      </c>
      <c r="Q1144" s="46" t="n">
        <v>1287</v>
      </c>
      <c r="R1144" s="46" t="n">
        <v>1315</v>
      </c>
      <c r="S1144" s="46" t="n">
        <v>1179</v>
      </c>
      <c r="T1144" s="46" t="n">
        <v>1315</v>
      </c>
      <c r="U1144" s="46" t="n">
        <v>1487</v>
      </c>
      <c r="V1144" s="46" t="n"/>
      <c r="W1144" s="46" t="n">
        <v>499</v>
      </c>
      <c r="X1144" s="46" t="n">
        <v>982</v>
      </c>
      <c r="Y1144" s="46" t="n">
        <v>36</v>
      </c>
    </row>
    <row r="1145">
      <c r="A1145" s="78" t="n">
        <v>46137</v>
      </c>
      <c r="B1145" s="45" t="inlineStr">
        <is>
          <t>NX8</t>
        </is>
      </c>
      <c r="C1145" s="46" t="n">
        <v>587.9162799999999</v>
      </c>
      <c r="D1145" s="46" t="n">
        <v>472.02012</v>
      </c>
      <c r="E1145" s="46" t="n">
        <v>350.2558</v>
      </c>
      <c r="F1145" s="46" t="n">
        <v>980.34948</v>
      </c>
      <c r="G1145" s="46" t="n">
        <v>510.8966799999999</v>
      </c>
      <c r="H1145" s="46" t="n">
        <v>551.24028</v>
      </c>
      <c r="I1145" s="46" t="n">
        <v>507.59584</v>
      </c>
      <c r="J1145" s="46" t="n">
        <v>388.39884</v>
      </c>
      <c r="K1145" s="46" t="n">
        <v>621.6582</v>
      </c>
      <c r="L1145" s="46" t="n">
        <v>531.0684799999999</v>
      </c>
      <c r="M1145" s="46">
        <f>N1145-SUM(C1145:L1145)</f>
        <v/>
      </c>
      <c r="N1145" s="47" t="n">
        <v>9169</v>
      </c>
      <c r="O1145" s="46" t="n">
        <v>961</v>
      </c>
      <c r="P1145" s="46" t="n">
        <v>27</v>
      </c>
      <c r="Q1145" s="46" t="n">
        <v>1287</v>
      </c>
      <c r="R1145" s="46" t="n">
        <v>1315</v>
      </c>
      <c r="S1145" s="46" t="n">
        <v>1179</v>
      </c>
      <c r="T1145" s="46" t="n">
        <v>1315</v>
      </c>
      <c r="U1145" s="46" t="n">
        <v>1487</v>
      </c>
      <c r="V1145" s="46" t="n"/>
      <c r="W1145" s="46" t="n">
        <v>499</v>
      </c>
      <c r="X1145" s="46" t="n">
        <v>1063</v>
      </c>
      <c r="Y1145" s="46" t="n">
        <v>36</v>
      </c>
    </row>
    <row r="1146">
      <c r="A1146" s="78" t="n">
        <v>46138</v>
      </c>
      <c r="B1146" s="45" t="inlineStr">
        <is>
          <t>NX8</t>
        </is>
      </c>
      <c r="C1146" s="46" t="n">
        <v>574.89992</v>
      </c>
      <c r="D1146" s="46" t="n">
        <v>461.5696799999999</v>
      </c>
      <c r="E1146" s="46" t="n">
        <v>342.5011999999999</v>
      </c>
      <c r="F1146" s="46" t="n">
        <v>958.6447199999999</v>
      </c>
      <c r="G1146" s="46" t="n">
        <v>499.58552</v>
      </c>
      <c r="H1146" s="46" t="n">
        <v>539.0359199999999</v>
      </c>
      <c r="I1146" s="46" t="n">
        <v>496.3577599999999</v>
      </c>
      <c r="J1146" s="46" t="n">
        <v>379.7997599999999</v>
      </c>
      <c r="K1146" s="46" t="n">
        <v>607.8947999999999</v>
      </c>
      <c r="L1146" s="46" t="n">
        <v>519.3107199999999</v>
      </c>
      <c r="M1146" s="46">
        <f>N1146-SUM(C1146:L1146)</f>
        <v/>
      </c>
      <c r="N1146" s="47" t="n">
        <v>8966</v>
      </c>
      <c r="O1146" s="46" t="n">
        <v>961</v>
      </c>
      <c r="P1146" s="46" t="n">
        <v>27</v>
      </c>
      <c r="Q1146" s="46" t="n">
        <v>1287</v>
      </c>
      <c r="R1146" s="46" t="n">
        <v>1315</v>
      </c>
      <c r="S1146" s="46" t="n">
        <v>1179</v>
      </c>
      <c r="T1146" s="46" t="n">
        <v>1315</v>
      </c>
      <c r="U1146" s="46" t="n">
        <v>1487</v>
      </c>
      <c r="V1146" s="46" t="n"/>
      <c r="W1146" s="46" t="n">
        <v>499</v>
      </c>
      <c r="X1146" s="46" t="n">
        <v>860</v>
      </c>
      <c r="Y1146" s="46" t="n">
        <v>36</v>
      </c>
    </row>
    <row r="1147">
      <c r="A1147" s="78" t="n">
        <v>46139</v>
      </c>
      <c r="B1147" s="45" t="inlineStr">
        <is>
          <t>NX8</t>
        </is>
      </c>
      <c r="C1147" s="46" t="n">
        <v>575.1564</v>
      </c>
      <c r="D1147" s="46" t="n">
        <v>461.7756</v>
      </c>
      <c r="E1147" s="46" t="n">
        <v>342.654</v>
      </c>
      <c r="F1147" s="46" t="n">
        <v>959.0724</v>
      </c>
      <c r="G1147" s="46" t="n">
        <v>499.8084</v>
      </c>
      <c r="H1147" s="46" t="n">
        <v>539.2764</v>
      </c>
      <c r="I1147" s="46" t="n">
        <v>496.5792</v>
      </c>
      <c r="J1147" s="46" t="n">
        <v>379.9692</v>
      </c>
      <c r="K1147" s="46" t="n">
        <v>608.1660000000001</v>
      </c>
      <c r="L1147" s="46" t="n">
        <v>519.5424</v>
      </c>
      <c r="M1147" s="46">
        <f>N1147-SUM(C1147:L1147)</f>
        <v/>
      </c>
      <c r="N1147" s="47" t="n">
        <v>8970</v>
      </c>
      <c r="O1147" s="46" t="n">
        <v>961</v>
      </c>
      <c r="P1147" s="46" t="n">
        <v>27</v>
      </c>
      <c r="Q1147" s="46" t="n">
        <v>1287</v>
      </c>
      <c r="R1147" s="46" t="n">
        <v>1315</v>
      </c>
      <c r="S1147" s="46" t="n">
        <v>1179</v>
      </c>
      <c r="T1147" s="46" t="n">
        <v>1315</v>
      </c>
      <c r="U1147" s="46" t="n">
        <v>1487</v>
      </c>
      <c r="V1147" s="46" t="n"/>
      <c r="W1147" s="46" t="n">
        <v>499</v>
      </c>
      <c r="X1147" s="46" t="n">
        <v>864</v>
      </c>
      <c r="Y1147" s="46" t="n">
        <v>36</v>
      </c>
    </row>
    <row r="1148">
      <c r="A1148" s="78" t="n">
        <v>46140</v>
      </c>
      <c r="B1148" s="45" t="inlineStr">
        <is>
          <t>NX8</t>
        </is>
      </c>
      <c r="C1148" s="46" t="n">
        <v>578.10592</v>
      </c>
      <c r="D1148" s="46" t="n">
        <v>464.14368</v>
      </c>
      <c r="E1148" s="46" t="n">
        <v>344.4112</v>
      </c>
      <c r="F1148" s="46" t="n">
        <v>963.9907199999999</v>
      </c>
      <c r="G1148" s="46" t="n">
        <v>502.37152</v>
      </c>
      <c r="H1148" s="46" t="n">
        <v>542.0419199999999</v>
      </c>
      <c r="I1148" s="46" t="n">
        <v>499.12576</v>
      </c>
      <c r="J1148" s="46" t="n">
        <v>381.9177599999999</v>
      </c>
      <c r="K1148" s="46" t="n">
        <v>611.2847999999999</v>
      </c>
      <c r="L1148" s="46" t="n">
        <v>522.2067199999999</v>
      </c>
      <c r="M1148" s="46">
        <f>N1148-SUM(C1148:L1148)</f>
        <v/>
      </c>
      <c r="N1148" s="47" t="n">
        <v>9016</v>
      </c>
      <c r="O1148" s="46" t="n">
        <v>961</v>
      </c>
      <c r="P1148" s="46" t="n">
        <v>27</v>
      </c>
      <c r="Q1148" s="46" t="n">
        <v>1287</v>
      </c>
      <c r="R1148" s="46" t="n">
        <v>1315</v>
      </c>
      <c r="S1148" s="46" t="n">
        <v>1179</v>
      </c>
      <c r="T1148" s="46" t="n">
        <v>1315</v>
      </c>
      <c r="U1148" s="46" t="n">
        <v>1487</v>
      </c>
      <c r="V1148" s="46" t="n"/>
      <c r="W1148" s="46" t="n">
        <v>499</v>
      </c>
      <c r="X1148" s="46" t="n">
        <v>910</v>
      </c>
      <c r="Y1148" s="46" t="n">
        <v>36</v>
      </c>
    </row>
    <row r="1149">
      <c r="A1149" s="78" t="n">
        <v>46141</v>
      </c>
      <c r="B1149" s="45" t="inlineStr">
        <is>
          <t>NX8</t>
        </is>
      </c>
      <c r="C1149" s="46" t="n">
        <v>577.84944</v>
      </c>
      <c r="D1149" s="46" t="n">
        <v>463.93776</v>
      </c>
      <c r="E1149" s="46" t="n">
        <v>344.2584</v>
      </c>
      <c r="F1149" s="46" t="n">
        <v>963.56304</v>
      </c>
      <c r="G1149" s="46" t="n">
        <v>502.14864</v>
      </c>
      <c r="H1149" s="46" t="n">
        <v>541.80144</v>
      </c>
      <c r="I1149" s="46" t="n">
        <v>498.90432</v>
      </c>
      <c r="J1149" s="46" t="n">
        <v>381.74832</v>
      </c>
      <c r="K1149" s="46" t="n">
        <v>611.0136</v>
      </c>
      <c r="L1149" s="46" t="n">
        <v>521.9750399999999</v>
      </c>
      <c r="M1149" s="46">
        <f>N1149-SUM(C1149:L1149)</f>
        <v/>
      </c>
      <c r="N1149" s="47" t="n">
        <v>9012</v>
      </c>
      <c r="O1149" s="46" t="n">
        <v>961</v>
      </c>
      <c r="P1149" s="46" t="n">
        <v>27</v>
      </c>
      <c r="Q1149" s="46" t="n">
        <v>1287</v>
      </c>
      <c r="R1149" s="46" t="n">
        <v>1315</v>
      </c>
      <c r="S1149" s="46" t="n">
        <v>1179</v>
      </c>
      <c r="T1149" s="46" t="n">
        <v>1315</v>
      </c>
      <c r="U1149" s="46" t="n">
        <v>1487</v>
      </c>
      <c r="V1149" s="46" t="n"/>
      <c r="W1149" s="46" t="n">
        <v>499</v>
      </c>
      <c r="X1149" s="46" t="n">
        <v>906</v>
      </c>
      <c r="Y1149" s="46" t="n">
        <v>36</v>
      </c>
    </row>
    <row r="1150">
      <c r="A1150" s="78" t="n">
        <v>46142</v>
      </c>
      <c r="B1150" s="45" t="inlineStr">
        <is>
          <t>NX8</t>
        </is>
      </c>
      <c r="C1150" s="46" t="n">
        <v>579.5806799999999</v>
      </c>
      <c r="D1150" s="46" t="n">
        <v>465.32772</v>
      </c>
      <c r="E1150" s="46" t="n">
        <v>345.2898</v>
      </c>
      <c r="F1150" s="46" t="n">
        <v>966.4498799999999</v>
      </c>
      <c r="G1150" s="46" t="n">
        <v>503.65308</v>
      </c>
      <c r="H1150" s="46" t="n">
        <v>543.42468</v>
      </c>
      <c r="I1150" s="46" t="n">
        <v>500.39904</v>
      </c>
      <c r="J1150" s="46" t="n">
        <v>382.89204</v>
      </c>
      <c r="K1150" s="46" t="n">
        <v>612.8442</v>
      </c>
      <c r="L1150" s="46" t="n">
        <v>523.5388799999999</v>
      </c>
      <c r="M1150" s="46">
        <f>N1150-SUM(C1150:L1150)</f>
        <v/>
      </c>
      <c r="N1150" s="47" t="n">
        <v>9039</v>
      </c>
      <c r="O1150" s="46" t="n">
        <v>961</v>
      </c>
      <c r="P1150" s="46" t="n">
        <v>27</v>
      </c>
      <c r="Q1150" s="46" t="n">
        <v>1287</v>
      </c>
      <c r="R1150" s="46" t="n">
        <v>1315</v>
      </c>
      <c r="S1150" s="46" t="n">
        <v>1179</v>
      </c>
      <c r="T1150" s="46" t="n">
        <v>1315</v>
      </c>
      <c r="U1150" s="46" t="n">
        <v>1487</v>
      </c>
      <c r="V1150" s="46" t="n"/>
      <c r="W1150" s="46" t="n">
        <v>499</v>
      </c>
      <c r="X1150" s="46" t="n">
        <v>933</v>
      </c>
      <c r="Y1150" s="46" t="n">
        <v>36</v>
      </c>
    </row>
    <row r="1151">
      <c r="A1151" s="78" t="n">
        <v>46143</v>
      </c>
      <c r="B1151" s="45" t="inlineStr">
        <is>
          <t>NX8</t>
        </is>
      </c>
      <c r="C1151" s="52" t="n">
        <v>908.0573538461539</v>
      </c>
      <c r="D1151" s="52" t="n">
        <v>721.1043692307693</v>
      </c>
      <c r="E1151" s="52" t="n">
        <v>640.9816615384617</v>
      </c>
      <c r="F1151" s="52" t="n">
        <v>1415.501169230769</v>
      </c>
      <c r="G1151" s="52" t="n">
        <v>841.2884307692308</v>
      </c>
      <c r="H1151" s="52" t="n">
        <v>827.9346461538463</v>
      </c>
      <c r="I1151" s="52" t="n">
        <v>747.8119384615385</v>
      </c>
      <c r="J1151" s="52" t="n">
        <v>654.3354461538462</v>
      </c>
      <c r="K1151" s="52" t="n">
        <v>1095.010338461539</v>
      </c>
      <c r="L1151" s="52" t="n">
        <v>827.9346461538463</v>
      </c>
      <c r="M1151" s="46">
        <f>N1151-SUM(C1151:L1151)</f>
        <v/>
      </c>
      <c r="N1151" s="47" t="n">
        <v>10716</v>
      </c>
      <c r="O1151" s="51" t="n">
        <v>328</v>
      </c>
      <c r="P1151" s="51" t="n">
        <v>6</v>
      </c>
      <c r="Q1151" s="51" t="n">
        <v>686</v>
      </c>
      <c r="R1151" s="51" t="n">
        <v>787</v>
      </c>
      <c r="S1151" s="51" t="n">
        <v>820</v>
      </c>
      <c r="T1151" s="51" t="n">
        <v>1500</v>
      </c>
      <c r="U1151" s="51" t="n">
        <v>5174</v>
      </c>
      <c r="V1151" s="51" t="n"/>
      <c r="W1151" s="51" t="n">
        <v>415</v>
      </c>
      <c r="X1151" s="51" t="n">
        <v>1000</v>
      </c>
      <c r="Y1151" s="51" t="n">
        <v>0</v>
      </c>
    </row>
    <row r="1152">
      <c r="A1152" s="78" t="n">
        <v>46144</v>
      </c>
      <c r="B1152" s="45" t="inlineStr">
        <is>
          <t>NX8</t>
        </is>
      </c>
      <c r="C1152" s="52" t="n">
        <v>903.312</v>
      </c>
      <c r="D1152" s="52" t="n">
        <v>717.336</v>
      </c>
      <c r="E1152" s="52" t="n">
        <v>637.6320000000001</v>
      </c>
      <c r="F1152" s="52" t="n">
        <v>1408.104</v>
      </c>
      <c r="G1152" s="52" t="n">
        <v>836.8919999999999</v>
      </c>
      <c r="H1152" s="52" t="n">
        <v>823.6080000000001</v>
      </c>
      <c r="I1152" s="52" t="n">
        <v>743.904</v>
      </c>
      <c r="J1152" s="52" t="n">
        <v>650.9160000000001</v>
      </c>
      <c r="K1152" s="52" t="n">
        <v>1089.288</v>
      </c>
      <c r="L1152" s="52" t="n">
        <v>823.6080000000001</v>
      </c>
      <c r="M1152" s="46">
        <f>N1152-SUM(C1152:L1152)</f>
        <v/>
      </c>
      <c r="N1152" s="47" t="n">
        <v>10660</v>
      </c>
      <c r="O1152" s="51" t="n">
        <v>328</v>
      </c>
      <c r="P1152" s="51" t="n">
        <v>6</v>
      </c>
      <c r="Q1152" s="51" t="n">
        <v>689</v>
      </c>
      <c r="R1152" s="51" t="n">
        <v>787</v>
      </c>
      <c r="S1152" s="51" t="n">
        <v>800</v>
      </c>
      <c r="T1152" s="51" t="n">
        <v>1500</v>
      </c>
      <c r="U1152" s="51" t="n">
        <v>5174</v>
      </c>
      <c r="V1152" s="51" t="n"/>
      <c r="W1152" s="51" t="n">
        <v>415</v>
      </c>
      <c r="X1152" s="51" t="n">
        <v>961</v>
      </c>
      <c r="Y1152" s="51" t="n">
        <v>0</v>
      </c>
    </row>
    <row r="1153">
      <c r="A1153" s="78" t="n">
        <v>46145</v>
      </c>
      <c r="B1153" s="45" t="inlineStr">
        <is>
          <t>NX8</t>
        </is>
      </c>
      <c r="C1153" s="52" t="n">
        <v>901.6172307692309</v>
      </c>
      <c r="D1153" s="52" t="n">
        <v>715.9901538461539</v>
      </c>
      <c r="E1153" s="52" t="n">
        <v>636.4356923076924</v>
      </c>
      <c r="F1153" s="52" t="n">
        <v>1405.462153846154</v>
      </c>
      <c r="G1153" s="52" t="n">
        <v>835.3218461538462</v>
      </c>
      <c r="H1153" s="52" t="n">
        <v>822.0627692307694</v>
      </c>
      <c r="I1153" s="52" t="n">
        <v>742.5083076923078</v>
      </c>
      <c r="J1153" s="52" t="n">
        <v>649.6947692307693</v>
      </c>
      <c r="K1153" s="52" t="n">
        <v>1087.244307692308</v>
      </c>
      <c r="L1153" s="52" t="n">
        <v>822.0627692307694</v>
      </c>
      <c r="M1153" s="46">
        <f>N1153-SUM(C1153:L1153)</f>
        <v/>
      </c>
      <c r="N1153" s="47" t="n">
        <v>10640</v>
      </c>
      <c r="O1153" s="51" t="n">
        <v>328</v>
      </c>
      <c r="P1153" s="51" t="n">
        <v>6</v>
      </c>
      <c r="Q1153" s="51" t="n">
        <v>689</v>
      </c>
      <c r="R1153" s="51" t="n">
        <v>787</v>
      </c>
      <c r="S1153" s="51" t="n">
        <v>800</v>
      </c>
      <c r="T1153" s="51" t="n">
        <v>1500</v>
      </c>
      <c r="U1153" s="51" t="n">
        <v>5141</v>
      </c>
      <c r="V1153" s="51" t="n"/>
      <c r="W1153" s="51" t="n">
        <v>415</v>
      </c>
      <c r="X1153" s="51" t="n">
        <v>974</v>
      </c>
      <c r="Y1153" s="51" t="n">
        <v>0</v>
      </c>
    </row>
    <row r="1154">
      <c r="A1154" s="78" t="n">
        <v>46146</v>
      </c>
      <c r="B1154" s="45" t="inlineStr">
        <is>
          <t>NX8</t>
        </is>
      </c>
      <c r="C1154" s="52" t="n">
        <v>831.0300923076923</v>
      </c>
      <c r="D1154" s="52" t="n">
        <v>659.9356615384615</v>
      </c>
      <c r="E1154" s="52" t="n">
        <v>586.609476923077</v>
      </c>
      <c r="F1154" s="52" t="n">
        <v>1295.429261538461</v>
      </c>
      <c r="G1154" s="52" t="n">
        <v>769.9249384615384</v>
      </c>
      <c r="H1154" s="52" t="n">
        <v>757.7039076923077</v>
      </c>
      <c r="I1154" s="52" t="n">
        <v>684.3777230769231</v>
      </c>
      <c r="J1154" s="52" t="n">
        <v>598.8305076923077</v>
      </c>
      <c r="K1154" s="52" t="n">
        <v>1002.124523076923</v>
      </c>
      <c r="L1154" s="52" t="n">
        <v>757.7039076923077</v>
      </c>
      <c r="M1154" s="46">
        <f>N1154-SUM(C1154:L1154)</f>
        <v/>
      </c>
      <c r="N1154" s="47" t="n">
        <v>9807</v>
      </c>
      <c r="O1154" s="51" t="n">
        <v>328</v>
      </c>
      <c r="P1154" s="51" t="n">
        <v>6</v>
      </c>
      <c r="Q1154" s="51" t="n">
        <v>689</v>
      </c>
      <c r="R1154" s="51" t="n">
        <v>787</v>
      </c>
      <c r="S1154" s="51" t="n">
        <v>800</v>
      </c>
      <c r="T1154" s="51" t="n">
        <v>1500</v>
      </c>
      <c r="U1154" s="51" t="n">
        <v>4330</v>
      </c>
      <c r="V1154" s="51" t="n"/>
      <c r="W1154" s="51" t="n">
        <v>415</v>
      </c>
      <c r="X1154" s="51" t="n">
        <v>952</v>
      </c>
      <c r="Y1154" s="51" t="n">
        <v>0</v>
      </c>
    </row>
    <row r="1155">
      <c r="A1155" s="78" t="n">
        <v>46147</v>
      </c>
      <c r="B1155" s="45" t="inlineStr">
        <is>
          <t>NX8</t>
        </is>
      </c>
      <c r="C1155" s="52" t="n">
        <v>730.0218461538461</v>
      </c>
      <c r="D1155" s="52" t="n">
        <v>579.7232307692308</v>
      </c>
      <c r="E1155" s="52" t="n">
        <v>515.3095384615385</v>
      </c>
      <c r="F1155" s="52" t="n">
        <v>1137.975230769231</v>
      </c>
      <c r="G1155" s="52" t="n">
        <v>676.3437692307692</v>
      </c>
      <c r="H1155" s="52" t="n">
        <v>665.6081538461539</v>
      </c>
      <c r="I1155" s="52" t="n">
        <v>601.1944615384616</v>
      </c>
      <c r="J1155" s="52" t="n">
        <v>526.0451538461539</v>
      </c>
      <c r="K1155" s="52" t="n">
        <v>880.3204615384616</v>
      </c>
      <c r="L1155" s="52" t="n">
        <v>665.6081538461539</v>
      </c>
      <c r="M1155" s="46">
        <f>N1155-SUM(C1155:L1155)</f>
        <v/>
      </c>
      <c r="N1155" s="47" t="n">
        <v>8615</v>
      </c>
      <c r="O1155" s="51" t="n">
        <v>328</v>
      </c>
      <c r="P1155" s="51" t="n">
        <v>6</v>
      </c>
      <c r="Q1155" s="51" t="n">
        <v>689</v>
      </c>
      <c r="R1155" s="51" t="n">
        <v>787</v>
      </c>
      <c r="S1155" s="51" t="n">
        <v>800</v>
      </c>
      <c r="T1155" s="51" t="n">
        <v>1500</v>
      </c>
      <c r="U1155" s="51" t="n">
        <v>3201</v>
      </c>
      <c r="V1155" s="51" t="n"/>
      <c r="W1155" s="51" t="n">
        <v>416</v>
      </c>
      <c r="X1155" s="51" t="n">
        <v>888</v>
      </c>
      <c r="Y1155" s="51" t="n">
        <v>0</v>
      </c>
    </row>
    <row r="1156">
      <c r="A1156" s="78" t="n">
        <v>46148</v>
      </c>
      <c r="B1156" s="45" t="inlineStr">
        <is>
          <t>NX8</t>
        </is>
      </c>
      <c r="C1156" s="52" t="n">
        <v>478.6028307692308</v>
      </c>
      <c r="D1156" s="52" t="n">
        <v>380.0669538461539</v>
      </c>
      <c r="E1156" s="52" t="n">
        <v>337.8372923076923</v>
      </c>
      <c r="F1156" s="52" t="n">
        <v>746.0573538461538</v>
      </c>
      <c r="G1156" s="52" t="n">
        <v>443.4114461538462</v>
      </c>
      <c r="H1156" s="52" t="n">
        <v>436.3731692307692</v>
      </c>
      <c r="I1156" s="52" t="n">
        <v>394.1435076923077</v>
      </c>
      <c r="J1156" s="52" t="n">
        <v>344.8755692307693</v>
      </c>
      <c r="K1156" s="52" t="n">
        <v>577.1387076923077</v>
      </c>
      <c r="L1156" s="52" t="n">
        <v>436.3731692307692</v>
      </c>
      <c r="M1156" s="46">
        <f>N1156-SUM(C1156:L1156)</f>
        <v/>
      </c>
      <c r="N1156" s="47" t="n">
        <v>5648</v>
      </c>
      <c r="O1156" s="51" t="n">
        <v>173</v>
      </c>
      <c r="P1156" s="51" t="n">
        <v>4</v>
      </c>
      <c r="Q1156" s="51" t="n">
        <v>460</v>
      </c>
      <c r="R1156" s="51" t="n">
        <v>787</v>
      </c>
      <c r="S1156" s="51" t="n">
        <v>500</v>
      </c>
      <c r="T1156" s="51" t="n">
        <v>1200</v>
      </c>
      <c r="U1156" s="51" t="n">
        <v>1049</v>
      </c>
      <c r="V1156" s="51" t="n"/>
      <c r="W1156" s="51" t="n">
        <v>416</v>
      </c>
      <c r="X1156" s="51" t="n">
        <v>841</v>
      </c>
      <c r="Y1156" s="51" t="n">
        <v>218</v>
      </c>
    </row>
    <row r="1157">
      <c r="A1157" s="78" t="n">
        <v>46149</v>
      </c>
      <c r="B1157" s="45" t="inlineStr">
        <is>
          <t>NX8</t>
        </is>
      </c>
      <c r="C1157" s="52" t="n">
        <v>465.6378461538462</v>
      </c>
      <c r="D1157" s="52" t="n">
        <v>369.7712307692308</v>
      </c>
      <c r="E1157" s="52" t="n">
        <v>328.6855384615386</v>
      </c>
      <c r="F1157" s="52" t="n">
        <v>725.8472307692308</v>
      </c>
      <c r="G1157" s="52" t="n">
        <v>431.3997692307693</v>
      </c>
      <c r="H1157" s="52" t="n">
        <v>424.5521538461539</v>
      </c>
      <c r="I1157" s="52" t="n">
        <v>383.4664615384616</v>
      </c>
      <c r="J1157" s="52" t="n">
        <v>335.5331538461539</v>
      </c>
      <c r="K1157" s="52" t="n">
        <v>561.5044615384616</v>
      </c>
      <c r="L1157" s="52" t="n">
        <v>424.5521538461539</v>
      </c>
      <c r="M1157" s="46">
        <f>N1157-SUM(C1157:L1157)</f>
        <v/>
      </c>
      <c r="N1157" s="47" t="n">
        <v>5495</v>
      </c>
      <c r="O1157" s="51" t="n">
        <v>170</v>
      </c>
      <c r="P1157" s="51" t="n">
        <v>4</v>
      </c>
      <c r="Q1157" s="51" t="n">
        <v>460</v>
      </c>
      <c r="R1157" s="51" t="n">
        <v>787</v>
      </c>
      <c r="S1157" s="51" t="n">
        <v>500</v>
      </c>
      <c r="T1157" s="51" t="n">
        <v>1200</v>
      </c>
      <c r="U1157" s="51" t="n">
        <v>923</v>
      </c>
      <c r="V1157" s="51" t="n"/>
      <c r="W1157" s="51" t="n">
        <v>416</v>
      </c>
      <c r="X1157" s="51" t="n">
        <v>817</v>
      </c>
      <c r="Y1157" s="51" t="n">
        <v>218</v>
      </c>
    </row>
    <row r="1158">
      <c r="A1158" s="78" t="n">
        <v>46150</v>
      </c>
      <c r="B1158" s="45" t="inlineStr">
        <is>
          <t>NX8</t>
        </is>
      </c>
      <c r="C1158" s="52" t="n">
        <v>452.3339076923077</v>
      </c>
      <c r="D1158" s="52" t="n">
        <v>359.2063384615385</v>
      </c>
      <c r="E1158" s="52" t="n">
        <v>319.2945230769232</v>
      </c>
      <c r="F1158" s="52" t="n">
        <v>705.1087384615386</v>
      </c>
      <c r="G1158" s="52" t="n">
        <v>419.0740615384616</v>
      </c>
      <c r="H1158" s="52" t="n">
        <v>412.4220923076924</v>
      </c>
      <c r="I1158" s="52" t="n">
        <v>372.510276923077</v>
      </c>
      <c r="J1158" s="52" t="n">
        <v>325.9464923076923</v>
      </c>
      <c r="K1158" s="52" t="n">
        <v>545.4614769230769</v>
      </c>
      <c r="L1158" s="52" t="n">
        <v>412.4220923076924</v>
      </c>
      <c r="M1158" s="46">
        <f>N1158-SUM(C1158:L1158)</f>
        <v/>
      </c>
      <c r="N1158" s="47" t="n">
        <v>5338</v>
      </c>
      <c r="O1158" s="51" t="n">
        <v>170</v>
      </c>
      <c r="P1158" s="51" t="n">
        <v>3</v>
      </c>
      <c r="Q1158" s="51" t="n">
        <v>460</v>
      </c>
      <c r="R1158" s="51" t="n">
        <v>787</v>
      </c>
      <c r="S1158" s="51" t="n">
        <v>500</v>
      </c>
      <c r="T1158" s="51" t="n">
        <v>1200</v>
      </c>
      <c r="U1158" s="51" t="n">
        <v>783</v>
      </c>
      <c r="V1158" s="51" t="n"/>
      <c r="W1158" s="51" t="n">
        <v>416</v>
      </c>
      <c r="X1158" s="51" t="n">
        <v>801</v>
      </c>
      <c r="Y1158" s="51" t="n">
        <v>218</v>
      </c>
    </row>
    <row r="1159">
      <c r="A1159" s="78" t="n">
        <v>46151</v>
      </c>
      <c r="B1159" s="45" t="inlineStr">
        <is>
          <t>NX8</t>
        </is>
      </c>
      <c r="C1159" s="52" t="n">
        <v>497.0758153846153</v>
      </c>
      <c r="D1159" s="52" t="n">
        <v>394.7366769230769</v>
      </c>
      <c r="E1159" s="52" t="n">
        <v>350.8770461538462</v>
      </c>
      <c r="F1159" s="52" t="n">
        <v>774.8534769230769</v>
      </c>
      <c r="G1159" s="52" t="n">
        <v>460.5261230769231</v>
      </c>
      <c r="H1159" s="52" t="n">
        <v>453.2161846153846</v>
      </c>
      <c r="I1159" s="52" t="n">
        <v>409.3565538461538</v>
      </c>
      <c r="J1159" s="52" t="n">
        <v>358.1869846153846</v>
      </c>
      <c r="K1159" s="52" t="n">
        <v>599.4149538461538</v>
      </c>
      <c r="L1159" s="52" t="n">
        <v>453.2161846153846</v>
      </c>
      <c r="M1159" s="46">
        <f>N1159-SUM(C1159:L1159)</f>
        <v/>
      </c>
      <c r="N1159" s="47" t="n">
        <v>5866</v>
      </c>
      <c r="O1159" s="51" t="n">
        <v>170</v>
      </c>
      <c r="P1159" s="51" t="n">
        <v>3</v>
      </c>
      <c r="Q1159" s="51" t="n">
        <v>460</v>
      </c>
      <c r="R1159" s="51" t="n">
        <v>787</v>
      </c>
      <c r="S1159" s="51" t="n">
        <v>500</v>
      </c>
      <c r="T1159" s="51" t="n">
        <v>1200</v>
      </c>
      <c r="U1159" s="51" t="n">
        <v>1260</v>
      </c>
      <c r="V1159" s="51" t="n"/>
      <c r="W1159" s="51" t="n">
        <v>416</v>
      </c>
      <c r="X1159" s="51" t="n">
        <v>852</v>
      </c>
      <c r="Y1159" s="51" t="n">
        <v>218</v>
      </c>
    </row>
    <row r="1160">
      <c r="A1160" s="78" t="n">
        <v>46152</v>
      </c>
      <c r="B1160" s="45" t="inlineStr">
        <is>
          <t>NX8</t>
        </is>
      </c>
      <c r="C1160" s="52" t="n">
        <v>510.5492307692307</v>
      </c>
      <c r="D1160" s="52" t="n">
        <v>405.4361538461538</v>
      </c>
      <c r="E1160" s="52" t="n">
        <v>360.3876923076924</v>
      </c>
      <c r="F1160" s="52" t="n">
        <v>795.8561538461538</v>
      </c>
      <c r="G1160" s="52" t="n">
        <v>473.0088461538462</v>
      </c>
      <c r="H1160" s="52" t="n">
        <v>465.5007692307693</v>
      </c>
      <c r="I1160" s="52" t="n">
        <v>420.4523076923077</v>
      </c>
      <c r="J1160" s="52" t="n">
        <v>367.8957692307692</v>
      </c>
      <c r="K1160" s="52" t="n">
        <v>615.6623076923076</v>
      </c>
      <c r="L1160" s="52" t="n">
        <v>465.5007692307693</v>
      </c>
      <c r="M1160" s="46">
        <f>N1160-SUM(C1160:L1160)</f>
        <v/>
      </c>
      <c r="N1160" s="47" t="n">
        <v>6025</v>
      </c>
      <c r="O1160" s="51" t="n">
        <v>250</v>
      </c>
      <c r="P1160" s="51" t="n">
        <v>4</v>
      </c>
      <c r="Q1160" s="51" t="n">
        <v>689</v>
      </c>
      <c r="R1160" s="51" t="n">
        <v>787</v>
      </c>
      <c r="S1160" s="51" t="n">
        <v>565</v>
      </c>
      <c r="T1160" s="51" t="n">
        <v>1200</v>
      </c>
      <c r="U1160" s="51" t="n">
        <v>1260</v>
      </c>
      <c r="V1160" s="51" t="n"/>
      <c r="W1160" s="51" t="n">
        <v>416</v>
      </c>
      <c r="X1160" s="51" t="n">
        <v>854</v>
      </c>
      <c r="Y1160" s="51" t="n">
        <v>0</v>
      </c>
    </row>
    <row r="1161">
      <c r="A1161" s="78" t="n">
        <v>46153</v>
      </c>
      <c r="B1161" s="45" t="inlineStr">
        <is>
          <t>NX8</t>
        </is>
      </c>
      <c r="C1161" s="52" t="n">
        <v>431.3187692307692</v>
      </c>
      <c r="D1161" s="52" t="n">
        <v>342.5178461538462</v>
      </c>
      <c r="E1161" s="52" t="n">
        <v>304.4603076923078</v>
      </c>
      <c r="F1161" s="52" t="n">
        <v>672.3498461538462</v>
      </c>
      <c r="G1161" s="52" t="n">
        <v>399.6041538461538</v>
      </c>
      <c r="H1161" s="52" t="n">
        <v>393.2612307692308</v>
      </c>
      <c r="I1161" s="52" t="n">
        <v>355.2036923076923</v>
      </c>
      <c r="J1161" s="52" t="n">
        <v>310.8032307692308</v>
      </c>
      <c r="K1161" s="52" t="n">
        <v>520.1196923076924</v>
      </c>
      <c r="L1161" s="52" t="n">
        <v>393.2612307692308</v>
      </c>
      <c r="M1161" s="46">
        <f>N1161-SUM(C1161:L1161)</f>
        <v/>
      </c>
      <c r="N1161" s="47" t="n">
        <v>5090</v>
      </c>
      <c r="O1161" s="51" t="n">
        <v>170</v>
      </c>
      <c r="P1161" s="51" t="n">
        <v>3</v>
      </c>
      <c r="Q1161" s="51" t="n">
        <v>460</v>
      </c>
      <c r="R1161" s="51" t="n">
        <v>787</v>
      </c>
      <c r="S1161" s="51" t="n">
        <v>500</v>
      </c>
      <c r="T1161" s="51" t="n">
        <v>1200</v>
      </c>
      <c r="U1161" s="51" t="n">
        <v>480</v>
      </c>
      <c r="V1161" s="51" t="n"/>
      <c r="W1161" s="51" t="n">
        <v>416</v>
      </c>
      <c r="X1161" s="51" t="n">
        <v>855</v>
      </c>
      <c r="Y1161" s="51" t="n">
        <v>219</v>
      </c>
    </row>
    <row r="1162">
      <c r="A1162" s="78" t="n">
        <v>46154</v>
      </c>
      <c r="B1162" s="45" t="inlineStr">
        <is>
          <t>NX8</t>
        </is>
      </c>
      <c r="C1162" s="52" t="n">
        <v>418.0995692307692</v>
      </c>
      <c r="D1162" s="52" t="n">
        <v>332.0202461538462</v>
      </c>
      <c r="E1162" s="52" t="n">
        <v>295.1291076923077</v>
      </c>
      <c r="F1162" s="52" t="n">
        <v>651.7434461538462</v>
      </c>
      <c r="G1162" s="52" t="n">
        <v>387.3569538461539</v>
      </c>
      <c r="H1162" s="52" t="n">
        <v>381.2084307692308</v>
      </c>
      <c r="I1162" s="52" t="n">
        <v>344.3172923076924</v>
      </c>
      <c r="J1162" s="52" t="n">
        <v>301.2776307692308</v>
      </c>
      <c r="K1162" s="52" t="n">
        <v>504.1788923076923</v>
      </c>
      <c r="L1162" s="52" t="n">
        <v>381.2084307692308</v>
      </c>
      <c r="M1162" s="46">
        <f>N1162-SUM(C1162:L1162)</f>
        <v/>
      </c>
      <c r="N1162" s="47" t="n">
        <v>4934</v>
      </c>
      <c r="O1162" s="51" t="n">
        <v>170</v>
      </c>
      <c r="P1162" s="51" t="n">
        <v>3</v>
      </c>
      <c r="Q1162" s="51" t="n">
        <v>460</v>
      </c>
      <c r="R1162" s="51" t="n">
        <v>787</v>
      </c>
      <c r="S1162" s="51" t="n">
        <v>500</v>
      </c>
      <c r="T1162" s="51" t="n">
        <v>1200</v>
      </c>
      <c r="U1162" s="51" t="n">
        <v>361</v>
      </c>
      <c r="V1162" s="51" t="n"/>
      <c r="W1162" s="51" t="n">
        <v>416</v>
      </c>
      <c r="X1162" s="51" t="n">
        <v>818</v>
      </c>
      <c r="Y1162" s="51" t="n">
        <v>219</v>
      </c>
    </row>
    <row r="1163">
      <c r="A1163" s="78" t="n">
        <v>46155</v>
      </c>
      <c r="B1163" s="45" t="inlineStr">
        <is>
          <t>NX8</t>
        </is>
      </c>
      <c r="C1163" s="52" t="n">
        <v>411.4052307692307</v>
      </c>
      <c r="D1163" s="52" t="n">
        <v>326.7041538461539</v>
      </c>
      <c r="E1163" s="52" t="n">
        <v>290.4036923076923</v>
      </c>
      <c r="F1163" s="52" t="n">
        <v>641.3081538461538</v>
      </c>
      <c r="G1163" s="52" t="n">
        <v>381.1548461538462</v>
      </c>
      <c r="H1163" s="52" t="n">
        <v>375.1047692307693</v>
      </c>
      <c r="I1163" s="52" t="n">
        <v>338.8043076923077</v>
      </c>
      <c r="J1163" s="52" t="n">
        <v>296.4537692307692</v>
      </c>
      <c r="K1163" s="52" t="n">
        <v>496.1063076923077</v>
      </c>
      <c r="L1163" s="52" t="n">
        <v>375.1047692307693</v>
      </c>
      <c r="M1163" s="46">
        <f>N1163-SUM(C1163:L1163)</f>
        <v/>
      </c>
      <c r="N1163" s="47" t="n">
        <v>4855</v>
      </c>
      <c r="O1163" s="51" t="n">
        <v>170</v>
      </c>
      <c r="P1163" s="51" t="n">
        <v>3</v>
      </c>
      <c r="Q1163" s="51" t="n">
        <v>460</v>
      </c>
      <c r="R1163" s="51" t="n">
        <v>787</v>
      </c>
      <c r="S1163" s="51" t="n">
        <v>500</v>
      </c>
      <c r="T1163" s="51" t="n">
        <v>1200</v>
      </c>
      <c r="U1163" s="51" t="n">
        <v>282</v>
      </c>
      <c r="V1163" s="51" t="n"/>
      <c r="W1163" s="51" t="n">
        <v>415</v>
      </c>
      <c r="X1163" s="51" t="n">
        <v>819</v>
      </c>
      <c r="Y1163" s="51" t="n">
        <v>219</v>
      </c>
    </row>
    <row r="1164">
      <c r="A1164" s="78" t="n">
        <v>46156</v>
      </c>
      <c r="B1164" s="45" t="inlineStr">
        <is>
          <t>NX8</t>
        </is>
      </c>
      <c r="C1164" s="52" t="n">
        <v>425.8955076923077</v>
      </c>
      <c r="D1164" s="52" t="n">
        <v>338.2111384615385</v>
      </c>
      <c r="E1164" s="52" t="n">
        <v>300.6321230769231</v>
      </c>
      <c r="F1164" s="52" t="n">
        <v>663.8959384615384</v>
      </c>
      <c r="G1164" s="52" t="n">
        <v>394.5796615384616</v>
      </c>
      <c r="H1164" s="52" t="n">
        <v>388.3164923076923</v>
      </c>
      <c r="I1164" s="52" t="n">
        <v>350.7374769230769</v>
      </c>
      <c r="J1164" s="52" t="n">
        <v>306.8952923076923</v>
      </c>
      <c r="K1164" s="52" t="n">
        <v>513.5798769230769</v>
      </c>
      <c r="L1164" s="52" t="n">
        <v>388.3164923076923</v>
      </c>
      <c r="M1164" s="46">
        <f>N1164-SUM(C1164:L1164)</f>
        <v/>
      </c>
      <c r="N1164" s="47" t="n">
        <v>5026</v>
      </c>
      <c r="O1164" s="51" t="n">
        <v>170</v>
      </c>
      <c r="P1164" s="51" t="n">
        <v>3</v>
      </c>
      <c r="Q1164" s="51" t="n">
        <v>460</v>
      </c>
      <c r="R1164" s="51" t="n">
        <v>787</v>
      </c>
      <c r="S1164" s="51" t="n">
        <v>500</v>
      </c>
      <c r="T1164" s="51" t="n">
        <v>1200</v>
      </c>
      <c r="U1164" s="51" t="n">
        <v>426</v>
      </c>
      <c r="V1164" s="51" t="n"/>
      <c r="W1164" s="51" t="n">
        <v>415</v>
      </c>
      <c r="X1164" s="51" t="n">
        <v>846</v>
      </c>
      <c r="Y1164" s="51" t="n">
        <v>219</v>
      </c>
    </row>
    <row r="1165">
      <c r="A1165" s="78" t="n">
        <v>46157</v>
      </c>
      <c r="B1165" s="45" t="inlineStr">
        <is>
          <t>NX8</t>
        </is>
      </c>
      <c r="C1165" s="52" t="n">
        <v>428.0987076923077</v>
      </c>
      <c r="D1165" s="52" t="n">
        <v>339.9607384615385</v>
      </c>
      <c r="E1165" s="52" t="n">
        <v>302.1873230769231</v>
      </c>
      <c r="F1165" s="52" t="n">
        <v>667.3303384615384</v>
      </c>
      <c r="G1165" s="52" t="n">
        <v>396.6208615384616</v>
      </c>
      <c r="H1165" s="52" t="n">
        <v>390.3252923076923</v>
      </c>
      <c r="I1165" s="52" t="n">
        <v>352.5518769230769</v>
      </c>
      <c r="J1165" s="52" t="n">
        <v>308.4828923076923</v>
      </c>
      <c r="K1165" s="52" t="n">
        <v>516.236676923077</v>
      </c>
      <c r="L1165" s="52" t="n">
        <v>390.3252923076923</v>
      </c>
      <c r="M1165" s="46">
        <f>N1165-SUM(C1165:L1165)</f>
        <v/>
      </c>
      <c r="N1165" s="47" t="n">
        <v>5052</v>
      </c>
      <c r="O1165" s="51" t="n">
        <v>170</v>
      </c>
      <c r="P1165" s="51" t="n">
        <v>3</v>
      </c>
      <c r="Q1165" s="51" t="n">
        <v>460</v>
      </c>
      <c r="R1165" s="51" t="n">
        <v>787</v>
      </c>
      <c r="S1165" s="51" t="n">
        <v>500</v>
      </c>
      <c r="T1165" s="51" t="n">
        <v>1200</v>
      </c>
      <c r="U1165" s="51" t="n">
        <v>432</v>
      </c>
      <c r="V1165" s="51" t="n"/>
      <c r="W1165" s="51" t="n">
        <v>416</v>
      </c>
      <c r="X1165" s="51" t="n">
        <v>865</v>
      </c>
      <c r="Y1165" s="51" t="n">
        <v>219</v>
      </c>
    </row>
    <row r="1166">
      <c r="A1166" s="78" t="n">
        <v>46158</v>
      </c>
      <c r="B1166" s="45" t="inlineStr">
        <is>
          <t>NX8</t>
        </is>
      </c>
      <c r="C1166" s="52" t="n">
        <v>465.1294153846154</v>
      </c>
      <c r="D1166" s="52" t="n">
        <v>369.3674769230769</v>
      </c>
      <c r="E1166" s="52" t="n">
        <v>328.3266461538462</v>
      </c>
      <c r="F1166" s="52" t="n">
        <v>725.0546769230768</v>
      </c>
      <c r="G1166" s="52" t="n">
        <v>430.9287230769231</v>
      </c>
      <c r="H1166" s="52" t="n">
        <v>424.0885846153847</v>
      </c>
      <c r="I1166" s="52" t="n">
        <v>383.0477538461539</v>
      </c>
      <c r="J1166" s="52" t="n">
        <v>335.1667846153846</v>
      </c>
      <c r="K1166" s="52" t="n">
        <v>560.8913538461538</v>
      </c>
      <c r="L1166" s="52" t="n">
        <v>424.0885846153847</v>
      </c>
      <c r="M1166" s="46">
        <f>N1166-SUM(C1166:L1166)</f>
        <v/>
      </c>
      <c r="N1166" s="47" t="n">
        <v>5489</v>
      </c>
      <c r="O1166" s="51" t="n">
        <v>250</v>
      </c>
      <c r="P1166" s="51" t="n">
        <v>4</v>
      </c>
      <c r="Q1166" s="51" t="n">
        <v>689</v>
      </c>
      <c r="R1166" s="51" t="n">
        <v>787</v>
      </c>
      <c r="S1166" s="51" t="n">
        <v>565</v>
      </c>
      <c r="T1166" s="51" t="n">
        <v>1200</v>
      </c>
      <c r="U1166" s="51" t="n">
        <v>616</v>
      </c>
      <c r="V1166" s="51" t="n"/>
      <c r="W1166" s="51" t="n">
        <v>416</v>
      </c>
      <c r="X1166" s="51" t="n">
        <v>962</v>
      </c>
      <c r="Y1166" s="51" t="n">
        <v>0</v>
      </c>
    </row>
    <row r="1167">
      <c r="A1167" s="78" t="n">
        <v>46159</v>
      </c>
      <c r="B1167" s="45" t="inlineStr">
        <is>
          <t>NX8</t>
        </is>
      </c>
      <c r="C1167" s="52" t="n">
        <v>465.3836307692308</v>
      </c>
      <c r="D1167" s="52" t="n">
        <v>369.5693538461539</v>
      </c>
      <c r="E1167" s="52" t="n">
        <v>328.5060923076924</v>
      </c>
      <c r="F1167" s="52" t="n">
        <v>725.4509538461539</v>
      </c>
      <c r="G1167" s="52" t="n">
        <v>431.1642461538462</v>
      </c>
      <c r="H1167" s="52" t="n">
        <v>424.3203692307693</v>
      </c>
      <c r="I1167" s="52" t="n">
        <v>383.2571076923077</v>
      </c>
      <c r="J1167" s="52" t="n">
        <v>335.3499692307693</v>
      </c>
      <c r="K1167" s="52" t="n">
        <v>561.1979076923077</v>
      </c>
      <c r="L1167" s="52" t="n">
        <v>424.3203692307693</v>
      </c>
      <c r="M1167" s="46">
        <f>N1167-SUM(C1167:L1167)</f>
        <v/>
      </c>
      <c r="N1167" s="47" t="n">
        <v>5492</v>
      </c>
      <c r="O1167" s="51" t="n">
        <v>250</v>
      </c>
      <c r="P1167" s="51" t="n">
        <v>4</v>
      </c>
      <c r="Q1167" s="51" t="n">
        <v>689</v>
      </c>
      <c r="R1167" s="51" t="n">
        <v>787</v>
      </c>
      <c r="S1167" s="51" t="n">
        <v>565</v>
      </c>
      <c r="T1167" s="51" t="n">
        <v>1200</v>
      </c>
      <c r="U1167" s="51" t="n">
        <v>557</v>
      </c>
      <c r="V1167" s="51" t="n"/>
      <c r="W1167" s="51" t="n">
        <v>416</v>
      </c>
      <c r="X1167" s="51" t="n">
        <v>1024</v>
      </c>
      <c r="Y1167" s="51" t="n">
        <v>0</v>
      </c>
    </row>
    <row r="1168">
      <c r="A1168" s="78" t="n">
        <v>46160</v>
      </c>
      <c r="B1168" s="45" t="inlineStr">
        <is>
          <t>NX8</t>
        </is>
      </c>
      <c r="C1168" s="52" t="n">
        <v>423.0991384615385</v>
      </c>
      <c r="D1168" s="52" t="n">
        <v>335.9904923076924</v>
      </c>
      <c r="E1168" s="52" t="n">
        <v>298.6582153846155</v>
      </c>
      <c r="F1168" s="52" t="n">
        <v>659.5368923076924</v>
      </c>
      <c r="G1168" s="52" t="n">
        <v>391.9889076923077</v>
      </c>
      <c r="H1168" s="52" t="n">
        <v>385.7668615384616</v>
      </c>
      <c r="I1168" s="52" t="n">
        <v>348.4345846153846</v>
      </c>
      <c r="J1168" s="52" t="n">
        <v>304.8802615384616</v>
      </c>
      <c r="K1168" s="52" t="n">
        <v>510.2077846153846</v>
      </c>
      <c r="L1168" s="52" t="n">
        <v>385.7668615384616</v>
      </c>
      <c r="M1168" s="46">
        <f>N1168-SUM(C1168:L1168)</f>
        <v/>
      </c>
      <c r="N1168" s="47" t="n">
        <v>4993</v>
      </c>
      <c r="O1168" s="51" t="n">
        <v>170</v>
      </c>
      <c r="P1168" s="51" t="n">
        <v>3</v>
      </c>
      <c r="Q1168" s="51" t="n">
        <v>460</v>
      </c>
      <c r="R1168" s="51" t="n">
        <v>787</v>
      </c>
      <c r="S1168" s="51" t="n">
        <v>500</v>
      </c>
      <c r="T1168" s="51" t="n">
        <v>1200</v>
      </c>
      <c r="U1168" s="51" t="n">
        <v>235</v>
      </c>
      <c r="V1168" s="51" t="n"/>
      <c r="W1168" s="51" t="n">
        <v>416</v>
      </c>
      <c r="X1168" s="51" t="n">
        <v>1003</v>
      </c>
      <c r="Y1168" s="51" t="n">
        <v>219</v>
      </c>
    </row>
    <row r="1169">
      <c r="A1169" s="78" t="n">
        <v>46161</v>
      </c>
      <c r="B1169" s="45" t="inlineStr">
        <is>
          <t>NX8</t>
        </is>
      </c>
      <c r="C1169" s="52" t="n">
        <v>413.7779076923077</v>
      </c>
      <c r="D1169" s="52" t="n">
        <v>328.5883384615385</v>
      </c>
      <c r="E1169" s="52" t="n">
        <v>292.0785230769231</v>
      </c>
      <c r="F1169" s="52" t="n">
        <v>645.0067384615385</v>
      </c>
      <c r="G1169" s="52" t="n">
        <v>383.3530615384616</v>
      </c>
      <c r="H1169" s="52" t="n">
        <v>377.2680923076924</v>
      </c>
      <c r="I1169" s="52" t="n">
        <v>340.7582769230769</v>
      </c>
      <c r="J1169" s="52" t="n">
        <v>298.1634923076924</v>
      </c>
      <c r="K1169" s="52" t="n">
        <v>498.967476923077</v>
      </c>
      <c r="L1169" s="52" t="n">
        <v>377.2680923076924</v>
      </c>
      <c r="M1169" s="46">
        <f>N1169-SUM(C1169:L1169)</f>
        <v/>
      </c>
      <c r="N1169" s="47" t="n">
        <v>4883</v>
      </c>
      <c r="O1169" s="51" t="n">
        <v>170</v>
      </c>
      <c r="P1169" s="51" t="n">
        <v>3</v>
      </c>
      <c r="Q1169" s="51" t="n">
        <v>460</v>
      </c>
      <c r="R1169" s="51" t="n">
        <v>787</v>
      </c>
      <c r="S1169" s="51" t="n">
        <v>500</v>
      </c>
      <c r="T1169" s="51" t="n">
        <v>1200</v>
      </c>
      <c r="U1169" s="51" t="n">
        <v>107</v>
      </c>
      <c r="V1169" s="51" t="n"/>
      <c r="W1169" s="51" t="n">
        <v>416</v>
      </c>
      <c r="X1169" s="51" t="n">
        <v>1021</v>
      </c>
      <c r="Y1169" s="51" t="n">
        <v>219</v>
      </c>
    </row>
    <row r="1170">
      <c r="A1170" s="78" t="n">
        <v>46162</v>
      </c>
      <c r="B1170" s="45" t="inlineStr">
        <is>
          <t>NX8</t>
        </is>
      </c>
      <c r="C1170" s="52" t="n">
        <v>409.2867692307692</v>
      </c>
      <c r="D1170" s="52" t="n">
        <v>325.0218461538462</v>
      </c>
      <c r="E1170" s="52" t="n">
        <v>288.9083076923077</v>
      </c>
      <c r="F1170" s="52" t="n">
        <v>638.0058461538462</v>
      </c>
      <c r="G1170" s="52" t="n">
        <v>379.1921538461538</v>
      </c>
      <c r="H1170" s="52" t="n">
        <v>373.1732307692308</v>
      </c>
      <c r="I1170" s="52" t="n">
        <v>337.0596923076923</v>
      </c>
      <c r="J1170" s="52" t="n">
        <v>294.9272307692308</v>
      </c>
      <c r="K1170" s="52" t="n">
        <v>493.5516923076923</v>
      </c>
      <c r="L1170" s="52" t="n">
        <v>373.1732307692308</v>
      </c>
      <c r="M1170" s="46">
        <f>N1170-SUM(C1170:L1170)</f>
        <v/>
      </c>
      <c r="N1170" s="47" t="n">
        <v>4830</v>
      </c>
      <c r="O1170" s="51" t="n">
        <v>170</v>
      </c>
      <c r="P1170" s="51" t="n">
        <v>3</v>
      </c>
      <c r="Q1170" s="51" t="n">
        <v>460</v>
      </c>
      <c r="R1170" s="51" t="n">
        <v>787</v>
      </c>
      <c r="S1170" s="51" t="n">
        <v>500</v>
      </c>
      <c r="T1170" s="51" t="n">
        <v>1200</v>
      </c>
      <c r="U1170" s="51" t="n">
        <v>40</v>
      </c>
      <c r="V1170" s="51" t="n"/>
      <c r="W1170" s="51" t="n">
        <v>416</v>
      </c>
      <c r="X1170" s="51" t="n">
        <v>1035</v>
      </c>
      <c r="Y1170" s="51" t="n">
        <v>219</v>
      </c>
    </row>
    <row r="1171">
      <c r="A1171" s="78" t="n">
        <v>46163</v>
      </c>
      <c r="B1171" s="45" t="inlineStr">
        <is>
          <t>NX8</t>
        </is>
      </c>
      <c r="C1171" s="52" t="n">
        <v>412.2526153846154</v>
      </c>
      <c r="D1171" s="52" t="n">
        <v>327.3770769230769</v>
      </c>
      <c r="E1171" s="52" t="n">
        <v>291.0018461538462</v>
      </c>
      <c r="F1171" s="52" t="n">
        <v>642.6290769230769</v>
      </c>
      <c r="G1171" s="52" t="n">
        <v>381.939923076923</v>
      </c>
      <c r="H1171" s="52" t="n">
        <v>375.8773846153846</v>
      </c>
      <c r="I1171" s="52" t="n">
        <v>339.5021538461538</v>
      </c>
      <c r="J1171" s="52" t="n">
        <v>297.0643846153846</v>
      </c>
      <c r="K1171" s="52" t="n">
        <v>497.1281538461538</v>
      </c>
      <c r="L1171" s="52" t="n">
        <v>375.8773846153846</v>
      </c>
      <c r="M1171" s="46">
        <f>N1171-SUM(C1171:L1171)</f>
        <v/>
      </c>
      <c r="N1171" s="47" t="n">
        <v>4865</v>
      </c>
      <c r="O1171" s="51" t="n">
        <v>170</v>
      </c>
      <c r="P1171" s="51" t="n">
        <v>2</v>
      </c>
      <c r="Q1171" s="51" t="n">
        <v>460</v>
      </c>
      <c r="R1171" s="51" t="n">
        <v>787</v>
      </c>
      <c r="S1171" s="51" t="n">
        <v>500</v>
      </c>
      <c r="T1171" s="51" t="n">
        <v>1200</v>
      </c>
      <c r="U1171" s="51" t="n">
        <v>40</v>
      </c>
      <c r="V1171" s="51" t="n"/>
      <c r="W1171" s="51" t="n">
        <v>416</v>
      </c>
      <c r="X1171" s="51" t="n">
        <v>1071</v>
      </c>
      <c r="Y1171" s="51" t="n">
        <v>219</v>
      </c>
    </row>
    <row r="1172">
      <c r="A1172" s="78" t="n">
        <v>46164</v>
      </c>
      <c r="B1172" s="45" t="inlineStr">
        <is>
          <t>NX8</t>
        </is>
      </c>
      <c r="C1172" s="52" t="n">
        <v>414.2863384615384</v>
      </c>
      <c r="D1172" s="52" t="n">
        <v>328.9920923076923</v>
      </c>
      <c r="E1172" s="52" t="n">
        <v>292.4374153846154</v>
      </c>
      <c r="F1172" s="52" t="n">
        <v>645.7992923076923</v>
      </c>
      <c r="G1172" s="52" t="n">
        <v>383.8241076923077</v>
      </c>
      <c r="H1172" s="52" t="n">
        <v>377.7316615384615</v>
      </c>
      <c r="I1172" s="52" t="n">
        <v>341.1769846153846</v>
      </c>
      <c r="J1172" s="52" t="n">
        <v>298.5298615384615</v>
      </c>
      <c r="K1172" s="52" t="n">
        <v>499.5805846153846</v>
      </c>
      <c r="L1172" s="52" t="n">
        <v>377.7316615384615</v>
      </c>
      <c r="M1172" s="46">
        <f>N1172-SUM(C1172:L1172)</f>
        <v/>
      </c>
      <c r="N1172" s="47" t="n">
        <v>4889</v>
      </c>
      <c r="O1172" s="51" t="n">
        <v>170</v>
      </c>
      <c r="P1172" s="51" t="n">
        <v>2</v>
      </c>
      <c r="Q1172" s="51" t="n">
        <v>460</v>
      </c>
      <c r="R1172" s="51" t="n">
        <v>787</v>
      </c>
      <c r="S1172" s="51" t="n">
        <v>500</v>
      </c>
      <c r="T1172" s="51" t="n">
        <v>1200</v>
      </c>
      <c r="U1172" s="51" t="n">
        <v>63</v>
      </c>
      <c r="V1172" s="51" t="n"/>
      <c r="W1172" s="51" t="n">
        <v>416</v>
      </c>
      <c r="X1172" s="51" t="n">
        <v>1072</v>
      </c>
      <c r="Y1172" s="51" t="n">
        <v>219</v>
      </c>
    </row>
    <row r="1173">
      <c r="A1173" s="78" t="n">
        <v>46165</v>
      </c>
      <c r="B1173" s="45" t="inlineStr">
        <is>
          <t>NX8</t>
        </is>
      </c>
      <c r="C1173" s="52" t="n">
        <v>450.7238769230769</v>
      </c>
      <c r="D1173" s="52" t="n">
        <v>357.9277846153847</v>
      </c>
      <c r="E1173" s="52" t="n">
        <v>318.1580307692308</v>
      </c>
      <c r="F1173" s="52" t="n">
        <v>702.5989846153847</v>
      </c>
      <c r="G1173" s="52" t="n">
        <v>417.5824153846154</v>
      </c>
      <c r="H1173" s="52" t="n">
        <v>410.9541230769231</v>
      </c>
      <c r="I1173" s="52" t="n">
        <v>371.1843692307692</v>
      </c>
      <c r="J1173" s="52" t="n">
        <v>324.7863230769231</v>
      </c>
      <c r="K1173" s="52" t="n">
        <v>543.5199692307692</v>
      </c>
      <c r="L1173" s="52" t="n">
        <v>410.9541230769231</v>
      </c>
      <c r="M1173" s="46">
        <f>N1173-SUM(C1173:L1173)</f>
        <v/>
      </c>
      <c r="N1173" s="47" t="n">
        <v>5319</v>
      </c>
      <c r="O1173" s="51" t="n">
        <v>250</v>
      </c>
      <c r="P1173" s="51" t="n">
        <v>4</v>
      </c>
      <c r="Q1173" s="51" t="n">
        <v>689</v>
      </c>
      <c r="R1173" s="51" t="n">
        <v>787</v>
      </c>
      <c r="S1173" s="51" t="n">
        <v>565</v>
      </c>
      <c r="T1173" s="51" t="n">
        <v>1200</v>
      </c>
      <c r="U1173" s="51" t="n">
        <v>293</v>
      </c>
      <c r="V1173" s="51" t="n"/>
      <c r="W1173" s="51" t="n">
        <v>416</v>
      </c>
      <c r="X1173" s="51" t="n">
        <v>1115</v>
      </c>
      <c r="Y1173" s="51" t="n">
        <v>0</v>
      </c>
    </row>
    <row r="1174">
      <c r="A1174" s="78" t="n">
        <v>46166</v>
      </c>
      <c r="B1174" s="45" t="inlineStr">
        <is>
          <t>NX8</t>
        </is>
      </c>
      <c r="C1174" s="52" t="n">
        <v>451.7407384615385</v>
      </c>
      <c r="D1174" s="52" t="n">
        <v>358.7352923076924</v>
      </c>
      <c r="E1174" s="52" t="n">
        <v>318.8758153846155</v>
      </c>
      <c r="F1174" s="52" t="n">
        <v>704.1840923076924</v>
      </c>
      <c r="G1174" s="52" t="n">
        <v>418.5245076923077</v>
      </c>
      <c r="H1174" s="52" t="n">
        <v>411.8812615384616</v>
      </c>
      <c r="I1174" s="52" t="n">
        <v>372.0217846153847</v>
      </c>
      <c r="J1174" s="52" t="n">
        <v>325.5190615384616</v>
      </c>
      <c r="K1174" s="52" t="n">
        <v>544.7461846153847</v>
      </c>
      <c r="L1174" s="52" t="n">
        <v>411.8812615384616</v>
      </c>
      <c r="M1174" s="46">
        <f>N1174-SUM(C1174:L1174)</f>
        <v/>
      </c>
      <c r="N1174" s="47" t="n">
        <v>5331</v>
      </c>
      <c r="O1174" s="51" t="n">
        <v>250</v>
      </c>
      <c r="P1174" s="51" t="n">
        <v>4</v>
      </c>
      <c r="Q1174" s="51" t="n">
        <v>689</v>
      </c>
      <c r="R1174" s="51" t="n">
        <v>787</v>
      </c>
      <c r="S1174" s="51" t="n">
        <v>565</v>
      </c>
      <c r="T1174" s="51" t="n">
        <v>1200</v>
      </c>
      <c r="U1174" s="51" t="n">
        <v>293</v>
      </c>
      <c r="V1174" s="51" t="n"/>
      <c r="W1174" s="51" t="n">
        <v>416</v>
      </c>
      <c r="X1174" s="51" t="n">
        <v>1127</v>
      </c>
      <c r="Y1174" s="51" t="n">
        <v>0</v>
      </c>
    </row>
    <row r="1175">
      <c r="A1175" s="78" t="n">
        <v>46167</v>
      </c>
      <c r="B1175" s="45" t="inlineStr">
        <is>
          <t>NX8</t>
        </is>
      </c>
      <c r="C1175" s="52" t="n">
        <v>418.4385230769231</v>
      </c>
      <c r="D1175" s="52" t="n">
        <v>332.2894153846154</v>
      </c>
      <c r="E1175" s="52" t="n">
        <v>295.3683692307692</v>
      </c>
      <c r="F1175" s="52" t="n">
        <v>652.2718153846154</v>
      </c>
      <c r="G1175" s="52" t="n">
        <v>387.6709846153846</v>
      </c>
      <c r="H1175" s="52" t="n">
        <v>381.517476923077</v>
      </c>
      <c r="I1175" s="52" t="n">
        <v>344.5964307692308</v>
      </c>
      <c r="J1175" s="52" t="n">
        <v>301.5218769230769</v>
      </c>
      <c r="K1175" s="52" t="n">
        <v>504.5876307692308</v>
      </c>
      <c r="L1175" s="52" t="n">
        <v>381.517476923077</v>
      </c>
      <c r="M1175" s="46">
        <f>N1175-SUM(C1175:L1175)</f>
        <v/>
      </c>
      <c r="N1175" s="47" t="n">
        <v>4938</v>
      </c>
      <c r="O1175" s="51" t="n">
        <v>170</v>
      </c>
      <c r="P1175" s="51" t="n">
        <v>2</v>
      </c>
      <c r="Q1175" s="51" t="n">
        <v>460</v>
      </c>
      <c r="R1175" s="51" t="n">
        <v>787</v>
      </c>
      <c r="S1175" s="51" t="n">
        <v>500</v>
      </c>
      <c r="T1175" s="51" t="n">
        <v>1200</v>
      </c>
      <c r="U1175" s="51" t="n">
        <v>118</v>
      </c>
      <c r="V1175" s="51" t="n"/>
      <c r="W1175" s="51" t="n">
        <v>416</v>
      </c>
      <c r="X1175" s="51" t="n">
        <v>1066</v>
      </c>
      <c r="Y1175" s="51" t="n">
        <v>219</v>
      </c>
    </row>
    <row r="1176">
      <c r="A1176" s="78" t="n">
        <v>46168</v>
      </c>
      <c r="B1176" s="45" t="inlineStr">
        <is>
          <t>NX8</t>
        </is>
      </c>
      <c r="C1176" s="52" t="n">
        <v>410.8968</v>
      </c>
      <c r="D1176" s="52" t="n">
        <v>326.3004</v>
      </c>
      <c r="E1176" s="52" t="n">
        <v>290.0448</v>
      </c>
      <c r="F1176" s="52" t="n">
        <v>640.5155999999999</v>
      </c>
      <c r="G1176" s="52" t="n">
        <v>380.6838</v>
      </c>
      <c r="H1176" s="52" t="n">
        <v>374.6412</v>
      </c>
      <c r="I1176" s="52" t="n">
        <v>338.3856</v>
      </c>
      <c r="J1176" s="52" t="n">
        <v>296.0874</v>
      </c>
      <c r="K1176" s="52" t="n">
        <v>495.4931999999999</v>
      </c>
      <c r="L1176" s="52" t="n">
        <v>374.6412</v>
      </c>
      <c r="M1176" s="46">
        <f>N1176-SUM(C1176:L1176)</f>
        <v/>
      </c>
      <c r="N1176" s="47" t="n">
        <v>4849</v>
      </c>
      <c r="O1176" s="51" t="n">
        <v>170</v>
      </c>
      <c r="P1176" s="51" t="n">
        <v>2</v>
      </c>
      <c r="Q1176" s="51" t="n">
        <v>460</v>
      </c>
      <c r="R1176" s="51" t="n">
        <v>787</v>
      </c>
      <c r="S1176" s="51" t="n">
        <v>500</v>
      </c>
      <c r="T1176" s="51" t="n">
        <v>1200</v>
      </c>
      <c r="U1176" s="51" t="n">
        <v>40</v>
      </c>
      <c r="V1176" s="51" t="n"/>
      <c r="W1176" s="51" t="n">
        <v>416</v>
      </c>
      <c r="X1176" s="51" t="n">
        <v>1055</v>
      </c>
      <c r="Y1176" s="51" t="n">
        <v>219</v>
      </c>
    </row>
    <row r="1177">
      <c r="A1177" s="78" t="n">
        <v>46169</v>
      </c>
      <c r="B1177" s="45" t="inlineStr">
        <is>
          <t>NX8</t>
        </is>
      </c>
      <c r="C1177" s="52" t="n">
        <v>407.7614769230769</v>
      </c>
      <c r="D1177" s="52" t="n">
        <v>323.8105846153846</v>
      </c>
      <c r="E1177" s="52" t="n">
        <v>287.8316307692308</v>
      </c>
      <c r="F1177" s="52" t="n">
        <v>635.6281846153846</v>
      </c>
      <c r="G1177" s="52" t="n">
        <v>377.7790153846154</v>
      </c>
      <c r="H1177" s="52" t="n">
        <v>371.7825230769231</v>
      </c>
      <c r="I1177" s="52" t="n">
        <v>335.8035692307693</v>
      </c>
      <c r="J1177" s="52" t="n">
        <v>293.8281230769231</v>
      </c>
      <c r="K1177" s="52" t="n">
        <v>491.7123692307692</v>
      </c>
      <c r="L1177" s="52" t="n">
        <v>371.7825230769231</v>
      </c>
      <c r="M1177" s="46">
        <f>N1177-SUM(C1177:L1177)</f>
        <v/>
      </c>
      <c r="N1177" s="47" t="n">
        <v>4812</v>
      </c>
      <c r="O1177" s="51" t="n">
        <v>170</v>
      </c>
      <c r="P1177" s="51" t="n">
        <v>2</v>
      </c>
      <c r="Q1177" s="51" t="n">
        <v>460</v>
      </c>
      <c r="R1177" s="51" t="n">
        <v>787</v>
      </c>
      <c r="S1177" s="51" t="n">
        <v>500</v>
      </c>
      <c r="T1177" s="51" t="n">
        <v>1200</v>
      </c>
      <c r="U1177" s="51" t="n">
        <v>21</v>
      </c>
      <c r="V1177" s="51" t="n"/>
      <c r="W1177" s="51" t="n">
        <v>416</v>
      </c>
      <c r="X1177" s="51" t="n">
        <v>1037</v>
      </c>
      <c r="Y1177" s="51" t="n">
        <v>219</v>
      </c>
    </row>
    <row r="1178">
      <c r="A1178" s="78" t="n">
        <v>46170</v>
      </c>
      <c r="B1178" s="45" t="inlineStr">
        <is>
          <t>NX8</t>
        </is>
      </c>
      <c r="C1178" s="52" t="n">
        <v>410.4731076923077</v>
      </c>
      <c r="D1178" s="52" t="n">
        <v>325.9639384615385</v>
      </c>
      <c r="E1178" s="52" t="n">
        <v>289.7457230769231</v>
      </c>
      <c r="F1178" s="52" t="n">
        <v>639.8551384615384</v>
      </c>
      <c r="G1178" s="52" t="n">
        <v>380.2912615384615</v>
      </c>
      <c r="H1178" s="52" t="n">
        <v>374.2548923076923</v>
      </c>
      <c r="I1178" s="52" t="n">
        <v>338.0366769230769</v>
      </c>
      <c r="J1178" s="52" t="n">
        <v>295.7820923076923</v>
      </c>
      <c r="K1178" s="52" t="n">
        <v>494.9822769230769</v>
      </c>
      <c r="L1178" s="52" t="n">
        <v>374.2548923076923</v>
      </c>
      <c r="M1178" s="46">
        <f>N1178-SUM(C1178:L1178)</f>
        <v/>
      </c>
      <c r="N1178" s="47" t="n">
        <v>4844</v>
      </c>
      <c r="O1178" s="51" t="n">
        <v>170</v>
      </c>
      <c r="P1178" s="51" t="n">
        <v>2</v>
      </c>
      <c r="Q1178" s="51" t="n">
        <v>460</v>
      </c>
      <c r="R1178" s="51" t="n">
        <v>787</v>
      </c>
      <c r="S1178" s="51" t="n">
        <v>500</v>
      </c>
      <c r="T1178" s="51" t="n">
        <v>1200</v>
      </c>
      <c r="U1178" s="51" t="n">
        <v>21</v>
      </c>
      <c r="V1178" s="51" t="n"/>
      <c r="W1178" s="51" t="n">
        <v>416</v>
      </c>
      <c r="X1178" s="51" t="n">
        <v>1069</v>
      </c>
      <c r="Y1178" s="51" t="n">
        <v>219</v>
      </c>
    </row>
    <row r="1179">
      <c r="A1179" s="78" t="n">
        <v>46171</v>
      </c>
      <c r="B1179" s="45" t="inlineStr">
        <is>
          <t>NX8</t>
        </is>
      </c>
      <c r="C1179" s="52" t="n">
        <v>416.4048</v>
      </c>
      <c r="D1179" s="52" t="n">
        <v>330.6744</v>
      </c>
      <c r="E1179" s="52" t="n">
        <v>293.9328</v>
      </c>
      <c r="F1179" s="52" t="n">
        <v>649.1016</v>
      </c>
      <c r="G1179" s="52" t="n">
        <v>385.7868</v>
      </c>
      <c r="H1179" s="52" t="n">
        <v>379.6632</v>
      </c>
      <c r="I1179" s="52" t="n">
        <v>342.9216</v>
      </c>
      <c r="J1179" s="52" t="n">
        <v>300.0564</v>
      </c>
      <c r="K1179" s="52" t="n">
        <v>502.1352</v>
      </c>
      <c r="L1179" s="52" t="n">
        <v>379.6632</v>
      </c>
      <c r="M1179" s="46">
        <f>N1179-SUM(C1179:L1179)</f>
        <v/>
      </c>
      <c r="N1179" s="47" t="n">
        <v>4914</v>
      </c>
      <c r="O1179" s="51" t="n">
        <v>170</v>
      </c>
      <c r="P1179" s="51" t="n">
        <v>2</v>
      </c>
      <c r="Q1179" s="51" t="n">
        <v>460</v>
      </c>
      <c r="R1179" s="51" t="n">
        <v>787</v>
      </c>
      <c r="S1179" s="51" t="n">
        <v>565</v>
      </c>
      <c r="T1179" s="51" t="n">
        <v>1200</v>
      </c>
      <c r="U1179" s="51" t="n">
        <v>21</v>
      </c>
      <c r="V1179" s="51" t="n"/>
      <c r="W1179" s="51" t="n">
        <v>416</v>
      </c>
      <c r="X1179" s="51" t="n">
        <v>1074</v>
      </c>
      <c r="Y1179" s="51" t="n">
        <v>219</v>
      </c>
    </row>
    <row r="1180">
      <c r="A1180" s="78" t="n">
        <v>46172</v>
      </c>
      <c r="B1180" s="45" t="inlineStr">
        <is>
          <t>NX8</t>
        </is>
      </c>
      <c r="C1180" s="52" t="n">
        <v>439.0299692307693</v>
      </c>
      <c r="D1180" s="52" t="n">
        <v>348.6414461538462</v>
      </c>
      <c r="E1180" s="52" t="n">
        <v>309.9035076923078</v>
      </c>
      <c r="F1180" s="52" t="n">
        <v>684.3702461538462</v>
      </c>
      <c r="G1180" s="52" t="n">
        <v>406.7483538461539</v>
      </c>
      <c r="H1180" s="52" t="n">
        <v>400.2920307692308</v>
      </c>
      <c r="I1180" s="52" t="n">
        <v>361.5540923076923</v>
      </c>
      <c r="J1180" s="52" t="n">
        <v>316.3598307692308</v>
      </c>
      <c r="K1180" s="52" t="n">
        <v>529.4184923076923</v>
      </c>
      <c r="L1180" s="52" t="n">
        <v>400.2920307692308</v>
      </c>
      <c r="M1180" s="46">
        <f>N1180-SUM(C1180:L1180)</f>
        <v/>
      </c>
      <c r="N1180" s="47" t="n">
        <v>5181</v>
      </c>
      <c r="O1180" s="51" t="n">
        <v>250</v>
      </c>
      <c r="P1180" s="51" t="n">
        <v>4</v>
      </c>
      <c r="Q1180" s="51" t="n">
        <v>689</v>
      </c>
      <c r="R1180" s="51" t="n">
        <v>787</v>
      </c>
      <c r="S1180" s="51" t="n">
        <v>565</v>
      </c>
      <c r="T1180" s="51" t="n">
        <v>1252</v>
      </c>
      <c r="U1180" s="51" t="n">
        <v>130</v>
      </c>
      <c r="V1180" s="51" t="n"/>
      <c r="W1180" s="51" t="n">
        <v>416</v>
      </c>
      <c r="X1180" s="51" t="n">
        <v>1088</v>
      </c>
      <c r="Y1180" s="51" t="n">
        <v>0</v>
      </c>
    </row>
    <row r="1181">
      <c r="A1181" s="78" t="n">
        <v>46173</v>
      </c>
      <c r="B1181" s="45" t="inlineStr">
        <is>
          <t>NX8</t>
        </is>
      </c>
      <c r="C1181" s="52" t="n">
        <v>535.3775999999999</v>
      </c>
      <c r="D1181" s="52" t="n">
        <v>425.1528</v>
      </c>
      <c r="E1181" s="52" t="n">
        <v>377.9136</v>
      </c>
      <c r="F1181" s="52" t="n">
        <v>834.5591999999999</v>
      </c>
      <c r="G1181" s="52" t="n">
        <v>496.0116</v>
      </c>
      <c r="H1181" s="52" t="n">
        <v>488.1384</v>
      </c>
      <c r="I1181" s="52" t="n">
        <v>440.8992</v>
      </c>
      <c r="J1181" s="52" t="n">
        <v>385.7868</v>
      </c>
      <c r="K1181" s="52" t="n">
        <v>645.6024</v>
      </c>
      <c r="L1181" s="52" t="n">
        <v>488.1384</v>
      </c>
      <c r="M1181" s="46">
        <f>N1181-SUM(C1181:L1181)</f>
        <v/>
      </c>
      <c r="N1181" s="47" t="n">
        <v>6318</v>
      </c>
      <c r="O1181" s="51" t="n">
        <v>250</v>
      </c>
      <c r="P1181" s="51" t="n">
        <v>4</v>
      </c>
      <c r="Q1181" s="51" t="n">
        <v>689</v>
      </c>
      <c r="R1181" s="51" t="n">
        <v>788</v>
      </c>
      <c r="S1181" s="51" t="n">
        <v>565</v>
      </c>
      <c r="T1181" s="51" t="n">
        <v>2400</v>
      </c>
      <c r="U1181" s="51" t="n">
        <v>130</v>
      </c>
      <c r="V1181" s="51" t="n"/>
      <c r="W1181" s="51" t="n">
        <v>416</v>
      </c>
      <c r="X1181" s="51" t="n">
        <v>1076</v>
      </c>
      <c r="Y1181" s="51" t="n">
        <v>0</v>
      </c>
    </row>
    <row r="1182">
      <c r="A1182" s="78" t="n">
        <v>46174</v>
      </c>
      <c r="B1182" s="45" t="inlineStr">
        <is>
          <t>NX8</t>
        </is>
      </c>
      <c r="C1182" s="46" t="n">
        <v>480</v>
      </c>
      <c r="D1182" s="46" t="n">
        <v>404</v>
      </c>
      <c r="E1182" s="46" t="n">
        <v>436</v>
      </c>
      <c r="F1182" s="46" t="n">
        <v>853</v>
      </c>
      <c r="G1182" s="46" t="n">
        <v>444</v>
      </c>
      <c r="H1182" s="46" t="n">
        <v>427</v>
      </c>
      <c r="I1182" s="46" t="n">
        <v>450</v>
      </c>
      <c r="J1182" s="46" t="n">
        <v>669</v>
      </c>
      <c r="K1182" s="46" t="n">
        <v>682</v>
      </c>
      <c r="L1182" s="46" t="n">
        <v>458</v>
      </c>
      <c r="M1182" s="46">
        <f>N1182-SUM(C1182:L1182)</f>
        <v/>
      </c>
      <c r="N1182" s="47" t="n">
        <v>6164</v>
      </c>
      <c r="O1182" s="46" t="n">
        <v>258</v>
      </c>
      <c r="P1182" s="46" t="n">
        <v>12</v>
      </c>
      <c r="Q1182" s="46" t="n">
        <v>437</v>
      </c>
      <c r="R1182" s="46" t="n">
        <v>1042</v>
      </c>
      <c r="S1182" s="46" t="n">
        <v>863</v>
      </c>
      <c r="T1182" s="46" t="n">
        <v>1215</v>
      </c>
      <c r="U1182" s="46" t="n">
        <v>796</v>
      </c>
      <c r="V1182" s="46" t="n"/>
      <c r="W1182" s="46" t="n">
        <v>462</v>
      </c>
      <c r="X1182" s="46" t="n">
        <v>956</v>
      </c>
      <c r="Y1182" s="46" t="n">
        <v>123</v>
      </c>
    </row>
    <row r="1183">
      <c r="A1183" s="78" t="n">
        <v>46175</v>
      </c>
      <c r="B1183" s="45" t="inlineStr">
        <is>
          <t>NX8</t>
        </is>
      </c>
      <c r="C1183" s="46" t="n">
        <v>480</v>
      </c>
      <c r="D1183" s="46" t="n">
        <v>404</v>
      </c>
      <c r="E1183" s="46" t="n">
        <v>436</v>
      </c>
      <c r="F1183" s="46" t="n">
        <v>853</v>
      </c>
      <c r="G1183" s="46" t="n">
        <v>444</v>
      </c>
      <c r="H1183" s="46" t="n">
        <v>427</v>
      </c>
      <c r="I1183" s="46" t="n">
        <v>450</v>
      </c>
      <c r="J1183" s="46" t="n">
        <v>669</v>
      </c>
      <c r="K1183" s="46" t="n">
        <v>682</v>
      </c>
      <c r="L1183" s="46" t="n">
        <v>458</v>
      </c>
      <c r="M1183" s="46">
        <f>N1183-SUM(C1183:L1183)</f>
        <v/>
      </c>
      <c r="N1183" s="47" t="n">
        <v>6166</v>
      </c>
      <c r="O1183" s="46" t="n">
        <v>258</v>
      </c>
      <c r="P1183" s="46" t="n">
        <v>12</v>
      </c>
      <c r="Q1183" s="46" t="n">
        <v>437</v>
      </c>
      <c r="R1183" s="46" t="n">
        <v>1042</v>
      </c>
      <c r="S1183" s="46" t="n">
        <v>863</v>
      </c>
      <c r="T1183" s="46" t="n">
        <v>1216</v>
      </c>
      <c r="U1183" s="46" t="n">
        <v>796</v>
      </c>
      <c r="V1183" s="46" t="n"/>
      <c r="W1183" s="46" t="n">
        <v>463</v>
      </c>
      <c r="X1183" s="46" t="n">
        <v>956</v>
      </c>
      <c r="Y1183" s="46" t="n">
        <v>123</v>
      </c>
    </row>
    <row r="1184">
      <c r="A1184" s="78" t="n">
        <v>46176</v>
      </c>
      <c r="B1184" s="45" t="inlineStr">
        <is>
          <t>NX8</t>
        </is>
      </c>
      <c r="C1184" s="46" t="n">
        <v>480</v>
      </c>
      <c r="D1184" s="46" t="n">
        <v>404</v>
      </c>
      <c r="E1184" s="46" t="n">
        <v>436</v>
      </c>
      <c r="F1184" s="46" t="n">
        <v>853</v>
      </c>
      <c r="G1184" s="46" t="n">
        <v>444</v>
      </c>
      <c r="H1184" s="46" t="n">
        <v>428</v>
      </c>
      <c r="I1184" s="46" t="n">
        <v>450</v>
      </c>
      <c r="J1184" s="46" t="n">
        <v>669</v>
      </c>
      <c r="K1184" s="46" t="n">
        <v>682</v>
      </c>
      <c r="L1184" s="46" t="n">
        <v>458</v>
      </c>
      <c r="M1184" s="46">
        <f>N1184-SUM(C1184:L1184)</f>
        <v/>
      </c>
      <c r="N1184" s="47" t="n">
        <v>6167</v>
      </c>
      <c r="O1184" s="46" t="n">
        <v>258</v>
      </c>
      <c r="P1184" s="46" t="n">
        <v>12</v>
      </c>
      <c r="Q1184" s="46" t="n">
        <v>437</v>
      </c>
      <c r="R1184" s="46" t="n">
        <v>1042</v>
      </c>
      <c r="S1184" s="46" t="n">
        <v>864</v>
      </c>
      <c r="T1184" s="46" t="n">
        <v>1216</v>
      </c>
      <c r="U1184" s="46" t="n">
        <v>796</v>
      </c>
      <c r="V1184" s="46" t="n"/>
      <c r="W1184" s="46" t="n">
        <v>463</v>
      </c>
      <c r="X1184" s="46" t="n">
        <v>956</v>
      </c>
      <c r="Y1184" s="46" t="n">
        <v>123</v>
      </c>
    </row>
    <row r="1185">
      <c r="A1185" s="78" t="n">
        <v>46177</v>
      </c>
      <c r="B1185" s="45" t="inlineStr">
        <is>
          <t>NX8</t>
        </is>
      </c>
      <c r="C1185" s="46" t="n">
        <v>480</v>
      </c>
      <c r="D1185" s="46" t="n">
        <v>404</v>
      </c>
      <c r="E1185" s="46" t="n">
        <v>436</v>
      </c>
      <c r="F1185" s="46" t="n">
        <v>854</v>
      </c>
      <c r="G1185" s="46" t="n">
        <v>444</v>
      </c>
      <c r="H1185" s="46" t="n">
        <v>428</v>
      </c>
      <c r="I1185" s="46" t="n">
        <v>450</v>
      </c>
      <c r="J1185" s="46" t="n">
        <v>669</v>
      </c>
      <c r="K1185" s="46" t="n">
        <v>682</v>
      </c>
      <c r="L1185" s="46" t="n">
        <v>458</v>
      </c>
      <c r="M1185" s="46">
        <f>N1185-SUM(C1185:L1185)</f>
        <v/>
      </c>
      <c r="N1185" s="47" t="n">
        <v>6168</v>
      </c>
      <c r="O1185" s="46" t="n">
        <v>258</v>
      </c>
      <c r="P1185" s="46" t="n">
        <v>12</v>
      </c>
      <c r="Q1185" s="46" t="n">
        <v>437</v>
      </c>
      <c r="R1185" s="46" t="n">
        <v>1043</v>
      </c>
      <c r="S1185" s="46" t="n">
        <v>864</v>
      </c>
      <c r="T1185" s="46" t="n">
        <v>1216</v>
      </c>
      <c r="U1185" s="46" t="n">
        <v>796</v>
      </c>
      <c r="V1185" s="46" t="n"/>
      <c r="W1185" s="46" t="n">
        <v>463</v>
      </c>
      <c r="X1185" s="46" t="n">
        <v>956</v>
      </c>
      <c r="Y1185" s="46" t="n">
        <v>123</v>
      </c>
    </row>
    <row r="1186">
      <c r="A1186" s="78" t="n">
        <v>46178</v>
      </c>
      <c r="B1186" s="45" t="inlineStr">
        <is>
          <t>NX8</t>
        </is>
      </c>
      <c r="C1186" s="46" t="n">
        <v>480</v>
      </c>
      <c r="D1186" s="46" t="n">
        <v>404</v>
      </c>
      <c r="E1186" s="46" t="n">
        <v>436</v>
      </c>
      <c r="F1186" s="46" t="n">
        <v>854</v>
      </c>
      <c r="G1186" s="46" t="n">
        <v>444</v>
      </c>
      <c r="H1186" s="46" t="n">
        <v>428</v>
      </c>
      <c r="I1186" s="46" t="n">
        <v>450</v>
      </c>
      <c r="J1186" s="46" t="n">
        <v>669</v>
      </c>
      <c r="K1186" s="46" t="n">
        <v>682</v>
      </c>
      <c r="L1186" s="46" t="n">
        <v>458</v>
      </c>
      <c r="M1186" s="46">
        <f>N1186-SUM(C1186:L1186)</f>
        <v/>
      </c>
      <c r="N1186" s="47" t="n">
        <v>6168</v>
      </c>
      <c r="O1186" s="46" t="n">
        <v>258</v>
      </c>
      <c r="P1186" s="46" t="n">
        <v>12</v>
      </c>
      <c r="Q1186" s="46" t="n">
        <v>437</v>
      </c>
      <c r="R1186" s="46" t="n">
        <v>1043</v>
      </c>
      <c r="S1186" s="46" t="n">
        <v>864</v>
      </c>
      <c r="T1186" s="46" t="n">
        <v>1216</v>
      </c>
      <c r="U1186" s="46" t="n">
        <v>796</v>
      </c>
      <c r="V1186" s="46" t="n"/>
      <c r="W1186" s="46" t="n">
        <v>463</v>
      </c>
      <c r="X1186" s="46" t="n">
        <v>956</v>
      </c>
      <c r="Y1186" s="46" t="n">
        <v>123</v>
      </c>
    </row>
    <row r="1187">
      <c r="A1187" s="78" t="n">
        <v>46179</v>
      </c>
      <c r="B1187" s="45" t="inlineStr">
        <is>
          <t>NX8</t>
        </is>
      </c>
      <c r="C1187" s="46" t="n">
        <v>960</v>
      </c>
      <c r="D1187" s="46" t="n">
        <v>809</v>
      </c>
      <c r="E1187" s="46" t="n">
        <v>872</v>
      </c>
      <c r="F1187" s="46" t="n">
        <v>1709</v>
      </c>
      <c r="G1187" s="46" t="n">
        <v>889</v>
      </c>
      <c r="H1187" s="46" t="n">
        <v>856</v>
      </c>
      <c r="I1187" s="46" t="n">
        <v>902</v>
      </c>
      <c r="J1187" s="46" t="n">
        <v>1339</v>
      </c>
      <c r="K1187" s="46" t="n">
        <v>1366</v>
      </c>
      <c r="L1187" s="46" t="n">
        <v>916</v>
      </c>
      <c r="M1187" s="46">
        <f>N1187-SUM(C1187:L1187)</f>
        <v/>
      </c>
      <c r="N1187" s="47" t="n">
        <v>12346</v>
      </c>
      <c r="O1187" s="46" t="n">
        <v>519</v>
      </c>
      <c r="P1187" s="46" t="n">
        <v>25</v>
      </c>
      <c r="Q1187" s="46" t="n">
        <v>876</v>
      </c>
      <c r="R1187" s="46" t="n">
        <v>2087</v>
      </c>
      <c r="S1187" s="46" t="n">
        <v>1728</v>
      </c>
      <c r="T1187" s="46" t="n">
        <v>2432</v>
      </c>
      <c r="U1187" s="46" t="n">
        <v>1593</v>
      </c>
      <c r="V1187" s="46" t="n"/>
      <c r="W1187" s="46" t="n">
        <v>926</v>
      </c>
      <c r="X1187" s="46" t="n">
        <v>1913</v>
      </c>
      <c r="Y1187" s="46" t="n">
        <v>247</v>
      </c>
    </row>
    <row r="1188">
      <c r="A1188" s="78" t="n">
        <v>46180</v>
      </c>
      <c r="B1188" s="45" t="inlineStr">
        <is>
          <t>NX8</t>
        </is>
      </c>
      <c r="C1188" s="46" t="n">
        <v>961</v>
      </c>
      <c r="D1188" s="46" t="n">
        <v>809</v>
      </c>
      <c r="E1188" s="46" t="n">
        <v>872</v>
      </c>
      <c r="F1188" s="46" t="n">
        <v>1709</v>
      </c>
      <c r="G1188" s="46" t="n">
        <v>889</v>
      </c>
      <c r="H1188" s="46" t="n">
        <v>856</v>
      </c>
      <c r="I1188" s="46" t="n">
        <v>902</v>
      </c>
      <c r="J1188" s="46" t="n">
        <v>1340</v>
      </c>
      <c r="K1188" s="46" t="n">
        <v>1366</v>
      </c>
      <c r="L1188" s="46" t="n">
        <v>916</v>
      </c>
      <c r="M1188" s="46">
        <f>N1188-SUM(C1188:L1188)</f>
        <v/>
      </c>
      <c r="N1188" s="47" t="n">
        <v>12347</v>
      </c>
      <c r="O1188" s="46" t="n">
        <v>519</v>
      </c>
      <c r="P1188" s="46" t="n">
        <v>25</v>
      </c>
      <c r="Q1188" s="46" t="n">
        <v>877</v>
      </c>
      <c r="R1188" s="46" t="n">
        <v>2087</v>
      </c>
      <c r="S1188" s="46" t="n">
        <v>1728</v>
      </c>
      <c r="T1188" s="46" t="n">
        <v>2432</v>
      </c>
      <c r="U1188" s="46" t="n">
        <v>1593</v>
      </c>
      <c r="V1188" s="46" t="n"/>
      <c r="W1188" s="46" t="n">
        <v>926</v>
      </c>
      <c r="X1188" s="46" t="n">
        <v>1913</v>
      </c>
      <c r="Y1188" s="46" t="n">
        <v>247</v>
      </c>
    </row>
    <row r="1189">
      <c r="A1189" s="78" t="n">
        <v>46181</v>
      </c>
      <c r="B1189" s="45" t="inlineStr">
        <is>
          <t>NX8</t>
        </is>
      </c>
      <c r="C1189" s="46" t="n">
        <v>512</v>
      </c>
      <c r="D1189" s="46" t="n">
        <v>431</v>
      </c>
      <c r="E1189" s="46" t="n">
        <v>465</v>
      </c>
      <c r="F1189" s="46" t="n">
        <v>911</v>
      </c>
      <c r="G1189" s="46" t="n">
        <v>474</v>
      </c>
      <c r="H1189" s="46" t="n">
        <v>457</v>
      </c>
      <c r="I1189" s="46" t="n">
        <v>481</v>
      </c>
      <c r="J1189" s="46" t="n">
        <v>715</v>
      </c>
      <c r="K1189" s="46" t="n">
        <v>728</v>
      </c>
      <c r="L1189" s="46" t="n">
        <v>489</v>
      </c>
      <c r="M1189" s="46">
        <f>N1189-SUM(C1189:L1189)</f>
        <v/>
      </c>
      <c r="N1189" s="47" t="n">
        <v>6586</v>
      </c>
      <c r="O1189" s="46" t="n">
        <v>277</v>
      </c>
      <c r="P1189" s="46" t="n">
        <v>13</v>
      </c>
      <c r="Q1189" s="46" t="n">
        <v>468</v>
      </c>
      <c r="R1189" s="46" t="n">
        <v>1113</v>
      </c>
      <c r="S1189" s="46" t="n">
        <v>922</v>
      </c>
      <c r="T1189" s="46" t="n">
        <v>1297</v>
      </c>
      <c r="U1189" s="46" t="n">
        <v>849</v>
      </c>
      <c r="V1189" s="46" t="n"/>
      <c r="W1189" s="46" t="n">
        <v>494</v>
      </c>
      <c r="X1189" s="46" t="n">
        <v>1021</v>
      </c>
      <c r="Y1189" s="46" t="n">
        <v>132</v>
      </c>
    </row>
    <row r="1190">
      <c r="A1190" s="78" t="n">
        <v>46182</v>
      </c>
      <c r="B1190" s="45" t="inlineStr">
        <is>
          <t>NX8</t>
        </is>
      </c>
      <c r="C1190" s="46" t="n">
        <v>512</v>
      </c>
      <c r="D1190" s="46" t="n">
        <v>431</v>
      </c>
      <c r="E1190" s="46" t="n">
        <v>465</v>
      </c>
      <c r="F1190" s="46" t="n">
        <v>911</v>
      </c>
      <c r="G1190" s="46" t="n">
        <v>474</v>
      </c>
      <c r="H1190" s="46" t="n">
        <v>457</v>
      </c>
      <c r="I1190" s="46" t="n">
        <v>481</v>
      </c>
      <c r="J1190" s="46" t="n">
        <v>715</v>
      </c>
      <c r="K1190" s="46" t="n">
        <v>728</v>
      </c>
      <c r="L1190" s="46" t="n">
        <v>489</v>
      </c>
      <c r="M1190" s="46">
        <f>N1190-SUM(C1190:L1190)</f>
        <v/>
      </c>
      <c r="N1190" s="47" t="n">
        <v>6586</v>
      </c>
      <c r="O1190" s="46" t="n">
        <v>277</v>
      </c>
      <c r="P1190" s="46" t="n">
        <v>13</v>
      </c>
      <c r="Q1190" s="46" t="n">
        <v>468</v>
      </c>
      <c r="R1190" s="46" t="n">
        <v>1113</v>
      </c>
      <c r="S1190" s="46" t="n">
        <v>922</v>
      </c>
      <c r="T1190" s="46" t="n">
        <v>1297</v>
      </c>
      <c r="U1190" s="46" t="n">
        <v>849</v>
      </c>
      <c r="V1190" s="46" t="n"/>
      <c r="W1190" s="46" t="n">
        <v>494</v>
      </c>
      <c r="X1190" s="46" t="n">
        <v>1021</v>
      </c>
      <c r="Y1190" s="46" t="n">
        <v>132</v>
      </c>
    </row>
    <row r="1191">
      <c r="A1191" s="78" t="n">
        <v>46183</v>
      </c>
      <c r="B1191" s="45" t="inlineStr">
        <is>
          <t>NX8</t>
        </is>
      </c>
      <c r="C1191" s="46" t="n">
        <v>512</v>
      </c>
      <c r="D1191" s="46" t="n">
        <v>431</v>
      </c>
      <c r="E1191" s="46" t="n">
        <v>465</v>
      </c>
      <c r="F1191" s="46" t="n">
        <v>911</v>
      </c>
      <c r="G1191" s="46" t="n">
        <v>474</v>
      </c>
      <c r="H1191" s="46" t="n">
        <v>457</v>
      </c>
      <c r="I1191" s="46" t="n">
        <v>481</v>
      </c>
      <c r="J1191" s="46" t="n">
        <v>715</v>
      </c>
      <c r="K1191" s="46" t="n">
        <v>728</v>
      </c>
      <c r="L1191" s="46" t="n">
        <v>489</v>
      </c>
      <c r="M1191" s="46">
        <f>N1191-SUM(C1191:L1191)</f>
        <v/>
      </c>
      <c r="N1191" s="47" t="n">
        <v>6586</v>
      </c>
      <c r="O1191" s="46" t="n">
        <v>277</v>
      </c>
      <c r="P1191" s="46" t="n">
        <v>13</v>
      </c>
      <c r="Q1191" s="46" t="n">
        <v>468</v>
      </c>
      <c r="R1191" s="46" t="n">
        <v>1113</v>
      </c>
      <c r="S1191" s="46" t="n">
        <v>922</v>
      </c>
      <c r="T1191" s="46" t="n">
        <v>1297</v>
      </c>
      <c r="U1191" s="46" t="n">
        <v>849</v>
      </c>
      <c r="V1191" s="46" t="n"/>
      <c r="W1191" s="46" t="n">
        <v>494</v>
      </c>
      <c r="X1191" s="46" t="n">
        <v>1021</v>
      </c>
      <c r="Y1191" s="46" t="n">
        <v>132</v>
      </c>
    </row>
    <row r="1192">
      <c r="A1192" s="78" t="n">
        <v>46184</v>
      </c>
      <c r="B1192" s="45" t="inlineStr">
        <is>
          <t>NX8</t>
        </is>
      </c>
      <c r="C1192" s="46" t="n">
        <v>512</v>
      </c>
      <c r="D1192" s="46" t="n">
        <v>431</v>
      </c>
      <c r="E1192" s="46" t="n">
        <v>465</v>
      </c>
      <c r="F1192" s="46" t="n">
        <v>911</v>
      </c>
      <c r="G1192" s="46" t="n">
        <v>474</v>
      </c>
      <c r="H1192" s="46" t="n">
        <v>457</v>
      </c>
      <c r="I1192" s="46" t="n">
        <v>481</v>
      </c>
      <c r="J1192" s="46" t="n">
        <v>715</v>
      </c>
      <c r="K1192" s="46" t="n">
        <v>728</v>
      </c>
      <c r="L1192" s="46" t="n">
        <v>489</v>
      </c>
      <c r="M1192" s="46">
        <f>N1192-SUM(C1192:L1192)</f>
        <v/>
      </c>
      <c r="N1192" s="47" t="n">
        <v>6586</v>
      </c>
      <c r="O1192" s="46" t="n">
        <v>277</v>
      </c>
      <c r="P1192" s="46" t="n">
        <v>13</v>
      </c>
      <c r="Q1192" s="46" t="n">
        <v>468</v>
      </c>
      <c r="R1192" s="46" t="n">
        <v>1113</v>
      </c>
      <c r="S1192" s="46" t="n">
        <v>922</v>
      </c>
      <c r="T1192" s="46" t="n">
        <v>1297</v>
      </c>
      <c r="U1192" s="46" t="n">
        <v>849</v>
      </c>
      <c r="V1192" s="46" t="n"/>
      <c r="W1192" s="46" t="n">
        <v>494</v>
      </c>
      <c r="X1192" s="46" t="n">
        <v>1021</v>
      </c>
      <c r="Y1192" s="46" t="n">
        <v>132</v>
      </c>
    </row>
    <row r="1193">
      <c r="A1193" s="78" t="n">
        <v>46185</v>
      </c>
      <c r="B1193" s="45" t="inlineStr">
        <is>
          <t>NX8</t>
        </is>
      </c>
      <c r="C1193" s="46" t="n">
        <v>512</v>
      </c>
      <c r="D1193" s="46" t="n">
        <v>431</v>
      </c>
      <c r="E1193" s="46" t="n">
        <v>465</v>
      </c>
      <c r="F1193" s="46" t="n">
        <v>911</v>
      </c>
      <c r="G1193" s="46" t="n">
        <v>474</v>
      </c>
      <c r="H1193" s="46" t="n">
        <v>457</v>
      </c>
      <c r="I1193" s="46" t="n">
        <v>481</v>
      </c>
      <c r="J1193" s="46" t="n">
        <v>715</v>
      </c>
      <c r="K1193" s="46" t="n">
        <v>728</v>
      </c>
      <c r="L1193" s="46" t="n">
        <v>489</v>
      </c>
      <c r="M1193" s="46">
        <f>N1193-SUM(C1193:L1193)</f>
        <v/>
      </c>
      <c r="N1193" s="47" t="n">
        <v>6586</v>
      </c>
      <c r="O1193" s="46" t="n">
        <v>277</v>
      </c>
      <c r="P1193" s="46" t="n">
        <v>13</v>
      </c>
      <c r="Q1193" s="46" t="n">
        <v>468</v>
      </c>
      <c r="R1193" s="46" t="n">
        <v>1113</v>
      </c>
      <c r="S1193" s="46" t="n">
        <v>922</v>
      </c>
      <c r="T1193" s="46" t="n">
        <v>1297</v>
      </c>
      <c r="U1193" s="46" t="n">
        <v>849</v>
      </c>
      <c r="V1193" s="46" t="n"/>
      <c r="W1193" s="46" t="n">
        <v>494</v>
      </c>
      <c r="X1193" s="46" t="n">
        <v>1021</v>
      </c>
      <c r="Y1193" s="46" t="n">
        <v>132</v>
      </c>
    </row>
    <row r="1194">
      <c r="A1194" s="78" t="n">
        <v>46186</v>
      </c>
      <c r="B1194" s="45" t="inlineStr">
        <is>
          <t>NX8</t>
        </is>
      </c>
      <c r="C1194" s="46" t="n">
        <v>1025</v>
      </c>
      <c r="D1194" s="46" t="n">
        <v>862</v>
      </c>
      <c r="E1194" s="46" t="n">
        <v>930</v>
      </c>
      <c r="F1194" s="46" t="n">
        <v>1823</v>
      </c>
      <c r="G1194" s="46" t="n">
        <v>948</v>
      </c>
      <c r="H1194" s="46" t="n">
        <v>913</v>
      </c>
      <c r="I1194" s="46" t="n">
        <v>962</v>
      </c>
      <c r="J1194" s="46" t="n">
        <v>1429</v>
      </c>
      <c r="K1194" s="46" t="n">
        <v>1457</v>
      </c>
      <c r="L1194" s="46" t="n">
        <v>977</v>
      </c>
      <c r="M1194" s="46">
        <f>N1194-SUM(C1194:L1194)</f>
        <v/>
      </c>
      <c r="N1194" s="47" t="n">
        <v>13169</v>
      </c>
      <c r="O1194" s="46" t="n">
        <v>553</v>
      </c>
      <c r="P1194" s="46" t="n">
        <v>26</v>
      </c>
      <c r="Q1194" s="46" t="n">
        <v>935</v>
      </c>
      <c r="R1194" s="46" t="n">
        <v>2226</v>
      </c>
      <c r="S1194" s="46" t="n">
        <v>1844</v>
      </c>
      <c r="T1194" s="46" t="n">
        <v>2594</v>
      </c>
      <c r="U1194" s="46" t="n">
        <v>1699</v>
      </c>
      <c r="V1194" s="46" t="n"/>
      <c r="W1194" s="46" t="n">
        <v>988</v>
      </c>
      <c r="X1194" s="46" t="n">
        <v>2041</v>
      </c>
      <c r="Y1194" s="46" t="n">
        <v>263</v>
      </c>
    </row>
    <row r="1195">
      <c r="A1195" s="78" t="n">
        <v>46187</v>
      </c>
      <c r="B1195" s="45" t="inlineStr">
        <is>
          <t>NX8</t>
        </is>
      </c>
      <c r="C1195" s="46" t="n">
        <v>1025</v>
      </c>
      <c r="D1195" s="46" t="n">
        <v>862</v>
      </c>
      <c r="E1195" s="46" t="n">
        <v>930</v>
      </c>
      <c r="F1195" s="46" t="n">
        <v>1823</v>
      </c>
      <c r="G1195" s="46" t="n">
        <v>948</v>
      </c>
      <c r="H1195" s="46" t="n">
        <v>913</v>
      </c>
      <c r="I1195" s="46" t="n">
        <v>962</v>
      </c>
      <c r="J1195" s="46" t="n">
        <v>1429</v>
      </c>
      <c r="K1195" s="46" t="n">
        <v>1457</v>
      </c>
      <c r="L1195" s="46" t="n">
        <v>977</v>
      </c>
      <c r="M1195" s="46">
        <f>N1195-SUM(C1195:L1195)</f>
        <v/>
      </c>
      <c r="N1195" s="47" t="n">
        <v>13169</v>
      </c>
      <c r="O1195" s="46" t="n">
        <v>553</v>
      </c>
      <c r="P1195" s="46" t="n">
        <v>26</v>
      </c>
      <c r="Q1195" s="46" t="n">
        <v>935</v>
      </c>
      <c r="R1195" s="46" t="n">
        <v>2226</v>
      </c>
      <c r="S1195" s="46" t="n">
        <v>1844</v>
      </c>
      <c r="T1195" s="46" t="n">
        <v>2594</v>
      </c>
      <c r="U1195" s="46" t="n">
        <v>1699</v>
      </c>
      <c r="V1195" s="46" t="n"/>
      <c r="W1195" s="46" t="n">
        <v>988</v>
      </c>
      <c r="X1195" s="46" t="n">
        <v>2041</v>
      </c>
      <c r="Y1195" s="46" t="n">
        <v>263</v>
      </c>
    </row>
    <row r="1196">
      <c r="A1196" s="78" t="n">
        <v>46188</v>
      </c>
      <c r="B1196" s="45" t="inlineStr">
        <is>
          <t>NX8</t>
        </is>
      </c>
      <c r="C1196" s="46" t="n">
        <v>512</v>
      </c>
      <c r="D1196" s="46" t="n">
        <v>431</v>
      </c>
      <c r="E1196" s="46" t="n">
        <v>465</v>
      </c>
      <c r="F1196" s="46" t="n">
        <v>911</v>
      </c>
      <c r="G1196" s="46" t="n">
        <v>474</v>
      </c>
      <c r="H1196" s="46" t="n">
        <v>457</v>
      </c>
      <c r="I1196" s="46" t="n">
        <v>481</v>
      </c>
      <c r="J1196" s="46" t="n">
        <v>715</v>
      </c>
      <c r="K1196" s="46" t="n">
        <v>728</v>
      </c>
      <c r="L1196" s="46" t="n">
        <v>489</v>
      </c>
      <c r="M1196" s="46">
        <f>N1196-SUM(C1196:L1196)</f>
        <v/>
      </c>
      <c r="N1196" s="47" t="n">
        <v>6586</v>
      </c>
      <c r="O1196" s="46" t="n">
        <v>277</v>
      </c>
      <c r="P1196" s="46" t="n">
        <v>13</v>
      </c>
      <c r="Q1196" s="46" t="n">
        <v>468</v>
      </c>
      <c r="R1196" s="46" t="n">
        <v>1113</v>
      </c>
      <c r="S1196" s="46" t="n">
        <v>922</v>
      </c>
      <c r="T1196" s="46" t="n">
        <v>1297</v>
      </c>
      <c r="U1196" s="46" t="n">
        <v>849</v>
      </c>
      <c r="V1196" s="46" t="n"/>
      <c r="W1196" s="46" t="n">
        <v>494</v>
      </c>
      <c r="X1196" s="46" t="n">
        <v>1021</v>
      </c>
      <c r="Y1196" s="46" t="n">
        <v>132</v>
      </c>
    </row>
    <row r="1197">
      <c r="A1197" s="78" t="n">
        <v>46189</v>
      </c>
      <c r="B1197" s="45" t="inlineStr">
        <is>
          <t>NX8</t>
        </is>
      </c>
      <c r="C1197" s="46" t="n">
        <v>1121</v>
      </c>
      <c r="D1197" s="46" t="n">
        <v>943</v>
      </c>
      <c r="E1197" s="46" t="n">
        <v>1018</v>
      </c>
      <c r="F1197" s="46" t="n">
        <v>1994</v>
      </c>
      <c r="G1197" s="46" t="n">
        <v>1037</v>
      </c>
      <c r="H1197" s="46" t="n">
        <v>999</v>
      </c>
      <c r="I1197" s="46" t="n">
        <v>1052</v>
      </c>
      <c r="J1197" s="46" t="n">
        <v>1563</v>
      </c>
      <c r="K1197" s="46" t="n">
        <v>1593</v>
      </c>
      <c r="L1197" s="46" t="n">
        <v>1069</v>
      </c>
      <c r="M1197" s="46">
        <f>N1197-SUM(C1197:L1197)</f>
        <v/>
      </c>
      <c r="N1197" s="47" t="n">
        <v>14405</v>
      </c>
      <c r="O1197" s="46" t="n">
        <v>605</v>
      </c>
      <c r="P1197" s="46" t="n">
        <v>29</v>
      </c>
      <c r="Q1197" s="46" t="n">
        <v>1023</v>
      </c>
      <c r="R1197" s="46" t="n">
        <v>2434</v>
      </c>
      <c r="S1197" s="46" t="n">
        <v>2017</v>
      </c>
      <c r="T1197" s="46" t="n">
        <v>2838</v>
      </c>
      <c r="U1197" s="46" t="n">
        <v>1858</v>
      </c>
      <c r="V1197" s="46" t="n"/>
      <c r="W1197" s="46" t="n">
        <v>1080</v>
      </c>
      <c r="X1197" s="46" t="n">
        <v>2233</v>
      </c>
      <c r="Y1197" s="46" t="n">
        <v>288</v>
      </c>
    </row>
    <row r="1198">
      <c r="A1198" s="78" t="n">
        <v>46190</v>
      </c>
      <c r="B1198" s="45" t="inlineStr">
        <is>
          <t>NX8</t>
        </is>
      </c>
      <c r="C1198" s="46" t="n">
        <v>512</v>
      </c>
      <c r="D1198" s="46" t="n">
        <v>431</v>
      </c>
      <c r="E1198" s="46" t="n">
        <v>465</v>
      </c>
      <c r="F1198" s="46" t="n">
        <v>911</v>
      </c>
      <c r="G1198" s="46" t="n">
        <v>474</v>
      </c>
      <c r="H1198" s="46" t="n">
        <v>457</v>
      </c>
      <c r="I1198" s="46" t="n">
        <v>481</v>
      </c>
      <c r="J1198" s="46" t="n">
        <v>715</v>
      </c>
      <c r="K1198" s="46" t="n">
        <v>728</v>
      </c>
      <c r="L1198" s="46" t="n">
        <v>489</v>
      </c>
      <c r="M1198" s="46">
        <f>N1198-SUM(C1198:L1198)</f>
        <v/>
      </c>
      <c r="N1198" s="47" t="n">
        <v>6586</v>
      </c>
      <c r="O1198" s="46" t="n">
        <v>277</v>
      </c>
      <c r="P1198" s="46" t="n">
        <v>13</v>
      </c>
      <c r="Q1198" s="46" t="n">
        <v>468</v>
      </c>
      <c r="R1198" s="46" t="n">
        <v>1113</v>
      </c>
      <c r="S1198" s="46" t="n">
        <v>922</v>
      </c>
      <c r="T1198" s="46" t="n">
        <v>1297</v>
      </c>
      <c r="U1198" s="46" t="n">
        <v>849</v>
      </c>
      <c r="V1198" s="46" t="n"/>
      <c r="W1198" s="46" t="n">
        <v>494</v>
      </c>
      <c r="X1198" s="46" t="n">
        <v>1021</v>
      </c>
      <c r="Y1198" s="46" t="n">
        <v>132</v>
      </c>
    </row>
    <row r="1199">
      <c r="A1199" s="78" t="n">
        <v>46191</v>
      </c>
      <c r="B1199" s="45" t="inlineStr">
        <is>
          <t>NX8</t>
        </is>
      </c>
      <c r="C1199" s="46" t="n">
        <v>512</v>
      </c>
      <c r="D1199" s="46" t="n">
        <v>431</v>
      </c>
      <c r="E1199" s="46" t="n">
        <v>465</v>
      </c>
      <c r="F1199" s="46" t="n">
        <v>911</v>
      </c>
      <c r="G1199" s="46" t="n">
        <v>474</v>
      </c>
      <c r="H1199" s="46" t="n">
        <v>457</v>
      </c>
      <c r="I1199" s="46" t="n">
        <v>481</v>
      </c>
      <c r="J1199" s="46" t="n">
        <v>715</v>
      </c>
      <c r="K1199" s="46" t="n">
        <v>728</v>
      </c>
      <c r="L1199" s="46" t="n">
        <v>489</v>
      </c>
      <c r="M1199" s="46">
        <f>N1199-SUM(C1199:L1199)</f>
        <v/>
      </c>
      <c r="N1199" s="47" t="n">
        <v>6586</v>
      </c>
      <c r="O1199" s="46" t="n">
        <v>277</v>
      </c>
      <c r="P1199" s="46" t="n">
        <v>13</v>
      </c>
      <c r="Q1199" s="46" t="n">
        <v>468</v>
      </c>
      <c r="R1199" s="46" t="n">
        <v>1113</v>
      </c>
      <c r="S1199" s="46" t="n">
        <v>922</v>
      </c>
      <c r="T1199" s="46" t="n">
        <v>1297</v>
      </c>
      <c r="U1199" s="46" t="n">
        <v>849</v>
      </c>
      <c r="V1199" s="46" t="n"/>
      <c r="W1199" s="46" t="n">
        <v>494</v>
      </c>
      <c r="X1199" s="46" t="n">
        <v>1021</v>
      </c>
      <c r="Y1199" s="46" t="n">
        <v>132</v>
      </c>
    </row>
    <row r="1200">
      <c r="A1200" s="78" t="n">
        <v>46192</v>
      </c>
      <c r="B1200" s="45" t="inlineStr">
        <is>
          <t>NX8</t>
        </is>
      </c>
      <c r="C1200" s="46" t="n">
        <v>1121</v>
      </c>
      <c r="D1200" s="46" t="n">
        <v>943</v>
      </c>
      <c r="E1200" s="46" t="n">
        <v>1018</v>
      </c>
      <c r="F1200" s="46" t="n">
        <v>1994</v>
      </c>
      <c r="G1200" s="46" t="n">
        <v>1037</v>
      </c>
      <c r="H1200" s="46" t="n">
        <v>999</v>
      </c>
      <c r="I1200" s="46" t="n">
        <v>1052</v>
      </c>
      <c r="J1200" s="46" t="n">
        <v>1563</v>
      </c>
      <c r="K1200" s="46" t="n">
        <v>1593</v>
      </c>
      <c r="L1200" s="46" t="n">
        <v>1069</v>
      </c>
      <c r="M1200" s="46">
        <f>N1200-SUM(C1200:L1200)</f>
        <v/>
      </c>
      <c r="N1200" s="47" t="n">
        <v>14405</v>
      </c>
      <c r="O1200" s="46" t="n">
        <v>605</v>
      </c>
      <c r="P1200" s="46" t="n">
        <v>29</v>
      </c>
      <c r="Q1200" s="46" t="n">
        <v>1023</v>
      </c>
      <c r="R1200" s="46" t="n">
        <v>2434</v>
      </c>
      <c r="S1200" s="46" t="n">
        <v>2017</v>
      </c>
      <c r="T1200" s="46" t="n">
        <v>2838</v>
      </c>
      <c r="U1200" s="46" t="n">
        <v>1858</v>
      </c>
      <c r="V1200" s="46" t="n"/>
      <c r="W1200" s="46" t="n">
        <v>1080</v>
      </c>
      <c r="X1200" s="46" t="n">
        <v>2233</v>
      </c>
      <c r="Y1200" s="46" t="n">
        <v>288</v>
      </c>
    </row>
    <row r="1201">
      <c r="A1201" s="78" t="n">
        <v>46193</v>
      </c>
      <c r="B1201" s="45" t="inlineStr">
        <is>
          <t>NX8</t>
        </is>
      </c>
      <c r="C1201" s="46" t="n">
        <v>1121</v>
      </c>
      <c r="D1201" s="46" t="n">
        <v>943</v>
      </c>
      <c r="E1201" s="46" t="n">
        <v>1018</v>
      </c>
      <c r="F1201" s="46" t="n">
        <v>1994</v>
      </c>
      <c r="G1201" s="46" t="n">
        <v>1037</v>
      </c>
      <c r="H1201" s="46" t="n">
        <v>999</v>
      </c>
      <c r="I1201" s="46" t="n">
        <v>1052</v>
      </c>
      <c r="J1201" s="46" t="n">
        <v>1563</v>
      </c>
      <c r="K1201" s="46" t="n">
        <v>1593</v>
      </c>
      <c r="L1201" s="46" t="n">
        <v>1069</v>
      </c>
      <c r="M1201" s="46">
        <f>N1201-SUM(C1201:L1201)</f>
        <v/>
      </c>
      <c r="N1201" s="47" t="n">
        <v>14405</v>
      </c>
      <c r="O1201" s="46" t="n">
        <v>605</v>
      </c>
      <c r="P1201" s="46" t="n">
        <v>29</v>
      </c>
      <c r="Q1201" s="46" t="n">
        <v>1023</v>
      </c>
      <c r="R1201" s="46" t="n">
        <v>2434</v>
      </c>
      <c r="S1201" s="46" t="n">
        <v>2017</v>
      </c>
      <c r="T1201" s="46" t="n">
        <v>2838</v>
      </c>
      <c r="U1201" s="46" t="n">
        <v>1858</v>
      </c>
      <c r="V1201" s="46" t="n"/>
      <c r="W1201" s="46" t="n">
        <v>1080</v>
      </c>
      <c r="X1201" s="46" t="n">
        <v>2233</v>
      </c>
      <c r="Y1201" s="46" t="n">
        <v>288</v>
      </c>
    </row>
    <row r="1202">
      <c r="A1202" s="78" t="n">
        <v>46194</v>
      </c>
      <c r="B1202" s="45" t="inlineStr">
        <is>
          <t>NX8</t>
        </is>
      </c>
      <c r="C1202" s="46" t="n">
        <v>1121</v>
      </c>
      <c r="D1202" s="46" t="n">
        <v>943</v>
      </c>
      <c r="E1202" s="46" t="n">
        <v>1018</v>
      </c>
      <c r="F1202" s="46" t="n">
        <v>1994</v>
      </c>
      <c r="G1202" s="46" t="n">
        <v>1037</v>
      </c>
      <c r="H1202" s="46" t="n">
        <v>999</v>
      </c>
      <c r="I1202" s="46" t="n">
        <v>1052</v>
      </c>
      <c r="J1202" s="46" t="n">
        <v>1563</v>
      </c>
      <c r="K1202" s="46" t="n">
        <v>1593</v>
      </c>
      <c r="L1202" s="46" t="n">
        <v>1069</v>
      </c>
      <c r="M1202" s="46">
        <f>N1202-SUM(C1202:L1202)</f>
        <v/>
      </c>
      <c r="N1202" s="47" t="n">
        <v>14405</v>
      </c>
      <c r="O1202" s="46" t="n">
        <v>605</v>
      </c>
      <c r="P1202" s="46" t="n">
        <v>29</v>
      </c>
      <c r="Q1202" s="46" t="n">
        <v>1023</v>
      </c>
      <c r="R1202" s="46" t="n">
        <v>2434</v>
      </c>
      <c r="S1202" s="46" t="n">
        <v>2017</v>
      </c>
      <c r="T1202" s="46" t="n">
        <v>2838</v>
      </c>
      <c r="U1202" s="46" t="n">
        <v>1858</v>
      </c>
      <c r="V1202" s="46" t="n"/>
      <c r="W1202" s="46" t="n">
        <v>1080</v>
      </c>
      <c r="X1202" s="46" t="n">
        <v>2233</v>
      </c>
      <c r="Y1202" s="46" t="n">
        <v>288</v>
      </c>
    </row>
    <row r="1203">
      <c r="A1203" s="78" t="n">
        <v>46195</v>
      </c>
      <c r="B1203" s="45" t="inlineStr">
        <is>
          <t>NX8</t>
        </is>
      </c>
      <c r="C1203" s="46" t="n">
        <v>480</v>
      </c>
      <c r="D1203" s="46" t="n">
        <v>404</v>
      </c>
      <c r="E1203" s="46" t="n">
        <v>436</v>
      </c>
      <c r="F1203" s="46" t="n">
        <v>854</v>
      </c>
      <c r="G1203" s="46" t="n">
        <v>444</v>
      </c>
      <c r="H1203" s="46" t="n">
        <v>428</v>
      </c>
      <c r="I1203" s="46" t="n">
        <v>451</v>
      </c>
      <c r="J1203" s="46" t="n">
        <v>670</v>
      </c>
      <c r="K1203" s="46" t="n">
        <v>683</v>
      </c>
      <c r="L1203" s="46" t="n">
        <v>458</v>
      </c>
      <c r="M1203" s="46">
        <f>N1203-SUM(C1203:L1203)</f>
        <v/>
      </c>
      <c r="N1203" s="47" t="n">
        <v>6171</v>
      </c>
      <c r="O1203" s="46" t="n">
        <v>259</v>
      </c>
      <c r="P1203" s="46" t="n">
        <v>12</v>
      </c>
      <c r="Q1203" s="46" t="n">
        <v>438</v>
      </c>
      <c r="R1203" s="46" t="n">
        <v>1043</v>
      </c>
      <c r="S1203" s="46" t="n">
        <v>864</v>
      </c>
      <c r="T1203" s="46" t="n">
        <v>1216</v>
      </c>
      <c r="U1203" s="46" t="n">
        <v>796</v>
      </c>
      <c r="V1203" s="46" t="n"/>
      <c r="W1203" s="46" t="n">
        <v>463</v>
      </c>
      <c r="X1203" s="46" t="n">
        <v>957</v>
      </c>
      <c r="Y1203" s="46" t="n">
        <v>123</v>
      </c>
    </row>
    <row r="1204">
      <c r="A1204" s="78" t="n">
        <v>46196</v>
      </c>
      <c r="B1204" s="45" t="inlineStr">
        <is>
          <t>NX8</t>
        </is>
      </c>
      <c r="C1204" s="46" t="n">
        <v>512</v>
      </c>
      <c r="D1204" s="46" t="n">
        <v>431</v>
      </c>
      <c r="E1204" s="46" t="n">
        <v>465</v>
      </c>
      <c r="F1204" s="46" t="n">
        <v>911</v>
      </c>
      <c r="G1204" s="46" t="n">
        <v>474</v>
      </c>
      <c r="H1204" s="46" t="n">
        <v>457</v>
      </c>
      <c r="I1204" s="46" t="n">
        <v>481</v>
      </c>
      <c r="J1204" s="46" t="n">
        <v>715</v>
      </c>
      <c r="K1204" s="46" t="n">
        <v>728</v>
      </c>
      <c r="L1204" s="46" t="n">
        <v>489</v>
      </c>
      <c r="M1204" s="46">
        <f>N1204-SUM(C1204:L1204)</f>
        <v/>
      </c>
      <c r="N1204" s="47" t="n">
        <v>6586</v>
      </c>
      <c r="O1204" s="46" t="n">
        <v>277</v>
      </c>
      <c r="P1204" s="46" t="n">
        <v>13</v>
      </c>
      <c r="Q1204" s="46" t="n">
        <v>468</v>
      </c>
      <c r="R1204" s="46" t="n">
        <v>1113</v>
      </c>
      <c r="S1204" s="46" t="n">
        <v>922</v>
      </c>
      <c r="T1204" s="46" t="n">
        <v>1297</v>
      </c>
      <c r="U1204" s="46" t="n">
        <v>849</v>
      </c>
      <c r="V1204" s="46" t="n"/>
      <c r="W1204" s="46" t="n">
        <v>494</v>
      </c>
      <c r="X1204" s="46" t="n">
        <v>1021</v>
      </c>
      <c r="Y1204" s="46" t="n">
        <v>132</v>
      </c>
    </row>
    <row r="1205">
      <c r="A1205" s="78" t="n">
        <v>46197</v>
      </c>
      <c r="B1205" s="45" t="inlineStr">
        <is>
          <t>NX8</t>
        </is>
      </c>
      <c r="C1205" s="46" t="n">
        <v>512</v>
      </c>
      <c r="D1205" s="46" t="n">
        <v>431</v>
      </c>
      <c r="E1205" s="46" t="n">
        <v>465</v>
      </c>
      <c r="F1205" s="46" t="n">
        <v>911</v>
      </c>
      <c r="G1205" s="46" t="n">
        <v>474</v>
      </c>
      <c r="H1205" s="46" t="n">
        <v>457</v>
      </c>
      <c r="I1205" s="46" t="n">
        <v>481</v>
      </c>
      <c r="J1205" s="46" t="n">
        <v>715</v>
      </c>
      <c r="K1205" s="46" t="n">
        <v>728</v>
      </c>
      <c r="L1205" s="46" t="n">
        <v>489</v>
      </c>
      <c r="M1205" s="46">
        <f>N1205-SUM(C1205:L1205)</f>
        <v/>
      </c>
      <c r="N1205" s="47" t="n">
        <v>6586</v>
      </c>
      <c r="O1205" s="46" t="n">
        <v>277</v>
      </c>
      <c r="P1205" s="46" t="n">
        <v>13</v>
      </c>
      <c r="Q1205" s="46" t="n">
        <v>468</v>
      </c>
      <c r="R1205" s="46" t="n">
        <v>1113</v>
      </c>
      <c r="S1205" s="46" t="n">
        <v>922</v>
      </c>
      <c r="T1205" s="46" t="n">
        <v>1297</v>
      </c>
      <c r="U1205" s="46" t="n">
        <v>849</v>
      </c>
      <c r="V1205" s="46" t="n"/>
      <c r="W1205" s="46" t="n">
        <v>494</v>
      </c>
      <c r="X1205" s="46" t="n">
        <v>1021</v>
      </c>
      <c r="Y1205" s="46" t="n">
        <v>132</v>
      </c>
    </row>
    <row r="1206">
      <c r="A1206" s="78" t="n">
        <v>46198</v>
      </c>
      <c r="B1206" s="45" t="inlineStr">
        <is>
          <t>NX8</t>
        </is>
      </c>
      <c r="C1206" s="46" t="n">
        <v>512</v>
      </c>
      <c r="D1206" s="46" t="n">
        <v>431</v>
      </c>
      <c r="E1206" s="46" t="n">
        <v>465</v>
      </c>
      <c r="F1206" s="46" t="n">
        <v>912</v>
      </c>
      <c r="G1206" s="46" t="n">
        <v>474</v>
      </c>
      <c r="H1206" s="46" t="n">
        <v>457</v>
      </c>
      <c r="I1206" s="46" t="n">
        <v>481</v>
      </c>
      <c r="J1206" s="46" t="n">
        <v>715</v>
      </c>
      <c r="K1206" s="46" t="n">
        <v>729</v>
      </c>
      <c r="L1206" s="46" t="n">
        <v>489</v>
      </c>
      <c r="M1206" s="46">
        <f>N1206-SUM(C1206:L1206)</f>
        <v/>
      </c>
      <c r="N1206" s="47" t="n">
        <v>6587</v>
      </c>
      <c r="O1206" s="46" t="n">
        <v>277</v>
      </c>
      <c r="P1206" s="46" t="n">
        <v>13</v>
      </c>
      <c r="Q1206" s="46" t="n">
        <v>468</v>
      </c>
      <c r="R1206" s="46" t="n">
        <v>1113</v>
      </c>
      <c r="S1206" s="46" t="n">
        <v>922</v>
      </c>
      <c r="T1206" s="46" t="n">
        <v>1297</v>
      </c>
      <c r="U1206" s="46" t="n">
        <v>850</v>
      </c>
      <c r="V1206" s="46" t="n"/>
      <c r="W1206" s="46" t="n">
        <v>494</v>
      </c>
      <c r="X1206" s="46" t="n">
        <v>1021</v>
      </c>
      <c r="Y1206" s="46" t="n">
        <v>132</v>
      </c>
    </row>
    <row r="1207">
      <c r="A1207" s="78" t="n">
        <v>46199</v>
      </c>
      <c r="B1207" s="45" t="inlineStr">
        <is>
          <t>NX8</t>
        </is>
      </c>
      <c r="C1207" s="46" t="n">
        <v>513</v>
      </c>
      <c r="D1207" s="46" t="n">
        <v>431</v>
      </c>
      <c r="E1207" s="46" t="n">
        <v>465</v>
      </c>
      <c r="F1207" s="46" t="n">
        <v>912</v>
      </c>
      <c r="G1207" s="46" t="n">
        <v>474</v>
      </c>
      <c r="H1207" s="46" t="n">
        <v>457</v>
      </c>
      <c r="I1207" s="46" t="n">
        <v>481</v>
      </c>
      <c r="J1207" s="46" t="n">
        <v>715</v>
      </c>
      <c r="K1207" s="46" t="n">
        <v>729</v>
      </c>
      <c r="L1207" s="46" t="n">
        <v>489</v>
      </c>
      <c r="M1207" s="46">
        <f>N1207-SUM(C1207:L1207)</f>
        <v/>
      </c>
      <c r="N1207" s="47" t="n">
        <v>6588</v>
      </c>
      <c r="O1207" s="46" t="n">
        <v>277</v>
      </c>
      <c r="P1207" s="46" t="n">
        <v>14</v>
      </c>
      <c r="Q1207" s="46" t="n">
        <v>468</v>
      </c>
      <c r="R1207" s="46" t="n">
        <v>1113</v>
      </c>
      <c r="S1207" s="46" t="n">
        <v>922</v>
      </c>
      <c r="T1207" s="46" t="n">
        <v>1297</v>
      </c>
      <c r="U1207" s="46" t="n">
        <v>850</v>
      </c>
      <c r="V1207" s="46" t="n"/>
      <c r="W1207" s="46" t="n">
        <v>494</v>
      </c>
      <c r="X1207" s="46" t="n">
        <v>1021</v>
      </c>
      <c r="Y1207" s="46" t="n">
        <v>132</v>
      </c>
    </row>
    <row r="1208">
      <c r="A1208" s="78" t="n">
        <v>46200</v>
      </c>
      <c r="B1208" s="45" t="inlineStr">
        <is>
          <t>NX8</t>
        </is>
      </c>
      <c r="C1208" s="46" t="n">
        <v>1025</v>
      </c>
      <c r="D1208" s="46" t="n">
        <v>863</v>
      </c>
      <c r="E1208" s="46" t="n">
        <v>931</v>
      </c>
      <c r="F1208" s="46" t="n">
        <v>1823</v>
      </c>
      <c r="G1208" s="46" t="n">
        <v>948</v>
      </c>
      <c r="H1208" s="46" t="n">
        <v>913</v>
      </c>
      <c r="I1208" s="46" t="n">
        <v>962</v>
      </c>
      <c r="J1208" s="46" t="n">
        <v>1429</v>
      </c>
      <c r="K1208" s="46" t="n">
        <v>1457</v>
      </c>
      <c r="L1208" s="46" t="n">
        <v>978</v>
      </c>
      <c r="M1208" s="46">
        <f>N1208-SUM(C1208:L1208)</f>
        <v/>
      </c>
      <c r="N1208" s="47" t="n">
        <v>13172</v>
      </c>
      <c r="O1208" s="46" t="n">
        <v>553</v>
      </c>
      <c r="P1208" s="46" t="n">
        <v>27</v>
      </c>
      <c r="Q1208" s="46" t="n">
        <v>935</v>
      </c>
      <c r="R1208" s="46" t="n">
        <v>2226</v>
      </c>
      <c r="S1208" s="46" t="n">
        <v>1844</v>
      </c>
      <c r="T1208" s="46" t="n">
        <v>2595</v>
      </c>
      <c r="U1208" s="46" t="n">
        <v>1700</v>
      </c>
      <c r="V1208" s="46" t="n"/>
      <c r="W1208" s="46" t="n">
        <v>988</v>
      </c>
      <c r="X1208" s="46" t="n">
        <v>2041</v>
      </c>
      <c r="Y1208" s="46" t="n">
        <v>263</v>
      </c>
    </row>
    <row r="1209">
      <c r="A1209" s="78" t="n">
        <v>46201</v>
      </c>
      <c r="B1209" s="45" t="inlineStr">
        <is>
          <t>NX8</t>
        </is>
      </c>
      <c r="C1209" s="46" t="n">
        <v>1025</v>
      </c>
      <c r="D1209" s="46" t="n">
        <v>863</v>
      </c>
      <c r="E1209" s="46" t="n">
        <v>931</v>
      </c>
      <c r="F1209" s="46" t="n">
        <v>1823</v>
      </c>
      <c r="G1209" s="46" t="n">
        <v>948</v>
      </c>
      <c r="H1209" s="46" t="n">
        <v>913</v>
      </c>
      <c r="I1209" s="46" t="n">
        <v>962</v>
      </c>
      <c r="J1209" s="46" t="n">
        <v>1429</v>
      </c>
      <c r="K1209" s="46" t="n">
        <v>1457</v>
      </c>
      <c r="L1209" s="46" t="n">
        <v>978</v>
      </c>
      <c r="M1209" s="46">
        <f>N1209-SUM(C1209:L1209)</f>
        <v/>
      </c>
      <c r="N1209" s="47" t="n">
        <v>13172</v>
      </c>
      <c r="O1209" s="46" t="n">
        <v>553</v>
      </c>
      <c r="P1209" s="46" t="n">
        <v>27</v>
      </c>
      <c r="Q1209" s="46" t="n">
        <v>935</v>
      </c>
      <c r="R1209" s="46" t="n">
        <v>2226</v>
      </c>
      <c r="S1209" s="46" t="n">
        <v>1844</v>
      </c>
      <c r="T1209" s="46" t="n">
        <v>2595</v>
      </c>
      <c r="U1209" s="46" t="n">
        <v>1700</v>
      </c>
      <c r="V1209" s="46" t="n"/>
      <c r="W1209" s="46" t="n">
        <v>988</v>
      </c>
      <c r="X1209" s="46" t="n">
        <v>2041</v>
      </c>
      <c r="Y1209" s="46" t="n">
        <v>263</v>
      </c>
    </row>
    <row r="1210">
      <c r="A1210" s="78" t="n">
        <v>46202</v>
      </c>
      <c r="B1210" s="45" t="inlineStr">
        <is>
          <t>NX8</t>
        </is>
      </c>
      <c r="C1210" s="46" t="n">
        <v>641</v>
      </c>
      <c r="D1210" s="46" t="n">
        <v>539</v>
      </c>
      <c r="E1210" s="46" t="n">
        <v>582</v>
      </c>
      <c r="F1210" s="46" t="n">
        <v>1139</v>
      </c>
      <c r="G1210" s="46" t="n">
        <v>593</v>
      </c>
      <c r="H1210" s="46" t="n">
        <v>571</v>
      </c>
      <c r="I1210" s="46" t="n">
        <v>601</v>
      </c>
      <c r="J1210" s="46" t="n">
        <v>893</v>
      </c>
      <c r="K1210" s="46" t="n">
        <v>910</v>
      </c>
      <c r="L1210" s="46" t="n">
        <v>610</v>
      </c>
      <c r="M1210" s="46">
        <f>N1210-SUM(C1210:L1210)</f>
        <v/>
      </c>
      <c r="N1210" s="47" t="n">
        <v>8233</v>
      </c>
      <c r="O1210" s="46" t="n">
        <v>346</v>
      </c>
      <c r="P1210" s="46" t="n">
        <v>17</v>
      </c>
      <c r="Q1210" s="46" t="n">
        <v>584</v>
      </c>
      <c r="R1210" s="46" t="n">
        <v>1391</v>
      </c>
      <c r="S1210" s="46" t="n">
        <v>1152</v>
      </c>
      <c r="T1210" s="46" t="n">
        <v>1622</v>
      </c>
      <c r="U1210" s="46" t="n">
        <v>1063</v>
      </c>
      <c r="V1210" s="46" t="n"/>
      <c r="W1210" s="46" t="n">
        <v>617</v>
      </c>
      <c r="X1210" s="46" t="n">
        <v>1276</v>
      </c>
      <c r="Y1210" s="46" t="n">
        <v>165</v>
      </c>
    </row>
    <row r="1211">
      <c r="A1211" s="78" t="n">
        <v>46203</v>
      </c>
      <c r="B1211" s="45" t="inlineStr">
        <is>
          <t>NX8</t>
        </is>
      </c>
      <c r="C1211" s="46" t="n">
        <v>641</v>
      </c>
      <c r="D1211" s="46" t="n">
        <v>539</v>
      </c>
      <c r="E1211" s="46" t="n">
        <v>582</v>
      </c>
      <c r="F1211" s="46" t="n">
        <v>1139</v>
      </c>
      <c r="G1211" s="46" t="n">
        <v>593</v>
      </c>
      <c r="H1211" s="46" t="n">
        <v>571</v>
      </c>
      <c r="I1211" s="46" t="n">
        <v>600</v>
      </c>
      <c r="J1211" s="46" t="n">
        <v>893</v>
      </c>
      <c r="K1211" s="46" t="n">
        <v>910</v>
      </c>
      <c r="L1211" s="46" t="n">
        <v>610</v>
      </c>
      <c r="M1211" s="46">
        <f>N1211-SUM(C1211:L1211)</f>
        <v/>
      </c>
      <c r="N1211" s="47" t="n">
        <v>8233</v>
      </c>
      <c r="O1211" s="46" t="n">
        <v>346</v>
      </c>
      <c r="P1211" s="46" t="n">
        <v>17</v>
      </c>
      <c r="Q1211" s="46" t="n">
        <v>584</v>
      </c>
      <c r="R1211" s="46" t="n">
        <v>1391</v>
      </c>
      <c r="S1211" s="46" t="n">
        <v>1152</v>
      </c>
      <c r="T1211" s="46" t="n">
        <v>1622</v>
      </c>
      <c r="U1211" s="46" t="n">
        <v>1063</v>
      </c>
      <c r="V1211" s="46" t="n"/>
      <c r="W1211" s="46" t="n">
        <v>617</v>
      </c>
      <c r="X1211" s="46" t="n">
        <v>1276</v>
      </c>
      <c r="Y1211" s="46" t="n">
        <v>165</v>
      </c>
    </row>
    <row r="1212">
      <c r="A1212" s="78" t="n">
        <v>46204</v>
      </c>
      <c r="B1212" s="45" t="inlineStr">
        <is>
          <t>NX8</t>
        </is>
      </c>
      <c r="C1212" s="46" t="n">
        <v>453</v>
      </c>
      <c r="D1212" s="46" t="n">
        <v>413</v>
      </c>
      <c r="E1212" s="46" t="n">
        <v>438</v>
      </c>
      <c r="F1212" s="46" t="n">
        <v>765</v>
      </c>
      <c r="G1212" s="46" t="n">
        <v>462</v>
      </c>
      <c r="H1212" s="46" t="n">
        <v>385</v>
      </c>
      <c r="I1212" s="46" t="n">
        <v>443</v>
      </c>
      <c r="J1212" s="46" t="n">
        <v>521</v>
      </c>
      <c r="K1212" s="46" t="n">
        <v>745</v>
      </c>
      <c r="L1212" s="46" t="n">
        <v>420</v>
      </c>
      <c r="M1212" s="46">
        <f>N1212-SUM(C1212:L1212)</f>
        <v/>
      </c>
      <c r="N1212" s="47" t="n">
        <v>5969</v>
      </c>
      <c r="O1212" s="46" t="n">
        <v>242</v>
      </c>
      <c r="P1212" s="46" t="n">
        <v>0</v>
      </c>
      <c r="Q1212" s="46" t="n">
        <v>354</v>
      </c>
      <c r="R1212" s="46" t="n">
        <v>1364</v>
      </c>
      <c r="S1212" s="46" t="n">
        <v>354</v>
      </c>
      <c r="T1212" s="46" t="n">
        <v>781</v>
      </c>
      <c r="U1212" s="46" t="n">
        <v>1004</v>
      </c>
      <c r="V1212" s="46" t="n"/>
      <c r="W1212" s="46" t="n">
        <v>806</v>
      </c>
      <c r="X1212" s="46" t="n">
        <v>898</v>
      </c>
      <c r="Y1212" s="46" t="n">
        <v>166</v>
      </c>
    </row>
    <row r="1213">
      <c r="A1213" s="78" t="n">
        <v>46205</v>
      </c>
      <c r="B1213" s="45" t="inlineStr">
        <is>
          <t>NX8</t>
        </is>
      </c>
      <c r="C1213" s="46" t="n">
        <v>453</v>
      </c>
      <c r="D1213" s="46" t="n">
        <v>413</v>
      </c>
      <c r="E1213" s="46" t="n">
        <v>438</v>
      </c>
      <c r="F1213" s="46" t="n">
        <v>765</v>
      </c>
      <c r="G1213" s="46" t="n">
        <v>462</v>
      </c>
      <c r="H1213" s="46" t="n">
        <v>385</v>
      </c>
      <c r="I1213" s="46" t="n">
        <v>443</v>
      </c>
      <c r="J1213" s="46" t="n">
        <v>521</v>
      </c>
      <c r="K1213" s="46" t="n">
        <v>745</v>
      </c>
      <c r="L1213" s="46" t="n">
        <v>420</v>
      </c>
      <c r="M1213" s="46">
        <f>N1213-SUM(C1213:L1213)</f>
        <v/>
      </c>
      <c r="N1213" s="47" t="n">
        <v>5969</v>
      </c>
      <c r="O1213" s="46" t="n">
        <v>242</v>
      </c>
      <c r="P1213" s="46" t="n">
        <v>0</v>
      </c>
      <c r="Q1213" s="46" t="n">
        <v>354</v>
      </c>
      <c r="R1213" s="46" t="n">
        <v>1364</v>
      </c>
      <c r="S1213" s="46" t="n">
        <v>354</v>
      </c>
      <c r="T1213" s="46" t="n">
        <v>781</v>
      </c>
      <c r="U1213" s="46" t="n">
        <v>1004</v>
      </c>
      <c r="V1213" s="46" t="n"/>
      <c r="W1213" s="46" t="n">
        <v>806</v>
      </c>
      <c r="X1213" s="46" t="n">
        <v>898</v>
      </c>
      <c r="Y1213" s="46" t="n">
        <v>166</v>
      </c>
    </row>
    <row r="1214">
      <c r="A1214" s="78" t="n">
        <v>46206</v>
      </c>
      <c r="B1214" s="45" t="inlineStr">
        <is>
          <t>NX8</t>
        </is>
      </c>
      <c r="C1214" s="46" t="n">
        <v>453</v>
      </c>
      <c r="D1214" s="46" t="n">
        <v>413</v>
      </c>
      <c r="E1214" s="46" t="n">
        <v>438</v>
      </c>
      <c r="F1214" s="46" t="n">
        <v>765</v>
      </c>
      <c r="G1214" s="46" t="n">
        <v>462</v>
      </c>
      <c r="H1214" s="46" t="n">
        <v>385</v>
      </c>
      <c r="I1214" s="46" t="n">
        <v>443</v>
      </c>
      <c r="J1214" s="46" t="n">
        <v>521</v>
      </c>
      <c r="K1214" s="46" t="n">
        <v>745</v>
      </c>
      <c r="L1214" s="46" t="n">
        <v>420</v>
      </c>
      <c r="M1214" s="46">
        <f>N1214-SUM(C1214:L1214)</f>
        <v/>
      </c>
      <c r="N1214" s="47" t="n">
        <v>5969</v>
      </c>
      <c r="O1214" s="46" t="n">
        <v>242</v>
      </c>
      <c r="P1214" s="46" t="n">
        <v>0</v>
      </c>
      <c r="Q1214" s="46" t="n">
        <v>354</v>
      </c>
      <c r="R1214" s="46" t="n">
        <v>1364</v>
      </c>
      <c r="S1214" s="46" t="n">
        <v>354</v>
      </c>
      <c r="T1214" s="46" t="n">
        <v>781</v>
      </c>
      <c r="U1214" s="46" t="n">
        <v>1004</v>
      </c>
      <c r="V1214" s="46" t="n"/>
      <c r="W1214" s="46" t="n">
        <v>806</v>
      </c>
      <c r="X1214" s="46" t="n">
        <v>898</v>
      </c>
      <c r="Y1214" s="46" t="n">
        <v>166</v>
      </c>
    </row>
    <row r="1215">
      <c r="A1215" s="78" t="n">
        <v>46207</v>
      </c>
      <c r="B1215" s="45" t="inlineStr">
        <is>
          <t>NX8</t>
        </is>
      </c>
      <c r="C1215" s="46" t="n">
        <v>521</v>
      </c>
      <c r="D1215" s="46" t="n">
        <v>475</v>
      </c>
      <c r="E1215" s="46" t="n">
        <v>504</v>
      </c>
      <c r="F1215" s="46" t="n">
        <v>879</v>
      </c>
      <c r="G1215" s="46" t="n">
        <v>531</v>
      </c>
      <c r="H1215" s="46" t="n">
        <v>443</v>
      </c>
      <c r="I1215" s="46" t="n">
        <v>509</v>
      </c>
      <c r="J1215" s="46" t="n">
        <v>599</v>
      </c>
      <c r="K1215" s="46" t="n">
        <v>857</v>
      </c>
      <c r="L1215" s="46" t="n">
        <v>483</v>
      </c>
      <c r="M1215" s="46">
        <f>N1215-SUM(C1215:L1215)</f>
        <v/>
      </c>
      <c r="N1215" s="47" t="n">
        <v>6865</v>
      </c>
      <c r="O1215" s="46" t="n">
        <v>278</v>
      </c>
      <c r="P1215" s="46" t="n">
        <v>0</v>
      </c>
      <c r="Q1215" s="46" t="n">
        <v>407</v>
      </c>
      <c r="R1215" s="46" t="n">
        <v>1569</v>
      </c>
      <c r="S1215" s="46" t="n">
        <v>407</v>
      </c>
      <c r="T1215" s="46" t="n">
        <v>899</v>
      </c>
      <c r="U1215" s="46" t="n">
        <v>1154</v>
      </c>
      <c r="V1215" s="46" t="n"/>
      <c r="W1215" s="46" t="n">
        <v>927</v>
      </c>
      <c r="X1215" s="46" t="n">
        <v>1033</v>
      </c>
      <c r="Y1215" s="46" t="n">
        <v>191</v>
      </c>
    </row>
    <row r="1216">
      <c r="A1216" s="78" t="n">
        <v>46208</v>
      </c>
      <c r="B1216" s="45" t="inlineStr">
        <is>
          <t>NX8</t>
        </is>
      </c>
      <c r="C1216" s="46" t="n">
        <v>521</v>
      </c>
      <c r="D1216" s="46" t="n">
        <v>475</v>
      </c>
      <c r="E1216" s="46" t="n">
        <v>504</v>
      </c>
      <c r="F1216" s="46" t="n">
        <v>879</v>
      </c>
      <c r="G1216" s="46" t="n">
        <v>531</v>
      </c>
      <c r="H1216" s="46" t="n">
        <v>443</v>
      </c>
      <c r="I1216" s="46" t="n">
        <v>509</v>
      </c>
      <c r="J1216" s="46" t="n">
        <v>599</v>
      </c>
      <c r="K1216" s="46" t="n">
        <v>857</v>
      </c>
      <c r="L1216" s="46" t="n">
        <v>483</v>
      </c>
      <c r="M1216" s="46">
        <f>N1216-SUM(C1216:L1216)</f>
        <v/>
      </c>
      <c r="N1216" s="47" t="n">
        <v>6865</v>
      </c>
      <c r="O1216" s="46" t="n">
        <v>278</v>
      </c>
      <c r="P1216" s="46" t="n">
        <v>0</v>
      </c>
      <c r="Q1216" s="46" t="n">
        <v>407</v>
      </c>
      <c r="R1216" s="46" t="n">
        <v>1569</v>
      </c>
      <c r="S1216" s="46" t="n">
        <v>407</v>
      </c>
      <c r="T1216" s="46" t="n">
        <v>899</v>
      </c>
      <c r="U1216" s="46" t="n">
        <v>1154</v>
      </c>
      <c r="V1216" s="46" t="n"/>
      <c r="W1216" s="46" t="n">
        <v>927</v>
      </c>
      <c r="X1216" s="46" t="n">
        <v>1033</v>
      </c>
      <c r="Y1216" s="46" t="n">
        <v>191</v>
      </c>
    </row>
    <row r="1217">
      <c r="A1217" s="78" t="n">
        <v>46209</v>
      </c>
      <c r="B1217" s="45" t="inlineStr">
        <is>
          <t>NX8</t>
        </is>
      </c>
      <c r="C1217" s="46" t="n">
        <v>453</v>
      </c>
      <c r="D1217" s="46" t="n">
        <v>413</v>
      </c>
      <c r="E1217" s="46" t="n">
        <v>438</v>
      </c>
      <c r="F1217" s="46" t="n">
        <v>765</v>
      </c>
      <c r="G1217" s="46" t="n">
        <v>462</v>
      </c>
      <c r="H1217" s="46" t="n">
        <v>385</v>
      </c>
      <c r="I1217" s="46" t="n">
        <v>443</v>
      </c>
      <c r="J1217" s="46" t="n">
        <v>521</v>
      </c>
      <c r="K1217" s="46" t="n">
        <v>745</v>
      </c>
      <c r="L1217" s="46" t="n">
        <v>420</v>
      </c>
      <c r="M1217" s="46">
        <f>N1217-SUM(C1217:L1217)</f>
        <v/>
      </c>
      <c r="N1217" s="47" t="n">
        <v>5969</v>
      </c>
      <c r="O1217" s="46" t="n">
        <v>242</v>
      </c>
      <c r="P1217" s="46" t="n">
        <v>0</v>
      </c>
      <c r="Q1217" s="46" t="n">
        <v>354</v>
      </c>
      <c r="R1217" s="46" t="n">
        <v>1364</v>
      </c>
      <c r="S1217" s="46" t="n">
        <v>354</v>
      </c>
      <c r="T1217" s="46" t="n">
        <v>781</v>
      </c>
      <c r="U1217" s="46" t="n">
        <v>1004</v>
      </c>
      <c r="V1217" s="46" t="n"/>
      <c r="W1217" s="46" t="n">
        <v>806</v>
      </c>
      <c r="X1217" s="46" t="n">
        <v>898</v>
      </c>
      <c r="Y1217" s="46" t="n">
        <v>166</v>
      </c>
    </row>
    <row r="1218">
      <c r="A1218" s="78" t="n">
        <v>46210</v>
      </c>
      <c r="B1218" s="45" t="inlineStr">
        <is>
          <t>NX8</t>
        </is>
      </c>
      <c r="C1218" s="46" t="n">
        <v>453</v>
      </c>
      <c r="D1218" s="46" t="n">
        <v>413</v>
      </c>
      <c r="E1218" s="46" t="n">
        <v>438</v>
      </c>
      <c r="F1218" s="46" t="n">
        <v>765</v>
      </c>
      <c r="G1218" s="46" t="n">
        <v>462</v>
      </c>
      <c r="H1218" s="46" t="n">
        <v>385</v>
      </c>
      <c r="I1218" s="46" t="n">
        <v>443</v>
      </c>
      <c r="J1218" s="46" t="n">
        <v>521</v>
      </c>
      <c r="K1218" s="46" t="n">
        <v>745</v>
      </c>
      <c r="L1218" s="46" t="n">
        <v>420</v>
      </c>
      <c r="M1218" s="46">
        <f>N1218-SUM(C1218:L1218)</f>
        <v/>
      </c>
      <c r="N1218" s="47" t="n">
        <v>5969</v>
      </c>
      <c r="O1218" s="46" t="n">
        <v>242</v>
      </c>
      <c r="P1218" s="46" t="n">
        <v>0</v>
      </c>
      <c r="Q1218" s="46" t="n">
        <v>354</v>
      </c>
      <c r="R1218" s="46" t="n">
        <v>1364</v>
      </c>
      <c r="S1218" s="46" t="n">
        <v>354</v>
      </c>
      <c r="T1218" s="46" t="n">
        <v>781</v>
      </c>
      <c r="U1218" s="46" t="n">
        <v>1004</v>
      </c>
      <c r="V1218" s="46" t="n"/>
      <c r="W1218" s="46" t="n">
        <v>806</v>
      </c>
      <c r="X1218" s="46" t="n">
        <v>898</v>
      </c>
      <c r="Y1218" s="46" t="n">
        <v>166</v>
      </c>
    </row>
    <row r="1219">
      <c r="A1219" s="78" t="n">
        <v>46211</v>
      </c>
      <c r="B1219" s="45" t="inlineStr">
        <is>
          <t>NX8</t>
        </is>
      </c>
      <c r="C1219" s="46" t="n">
        <v>453</v>
      </c>
      <c r="D1219" s="46" t="n">
        <v>413</v>
      </c>
      <c r="E1219" s="46" t="n">
        <v>438</v>
      </c>
      <c r="F1219" s="46" t="n">
        <v>765</v>
      </c>
      <c r="G1219" s="46" t="n">
        <v>462</v>
      </c>
      <c r="H1219" s="46" t="n">
        <v>385</v>
      </c>
      <c r="I1219" s="46" t="n">
        <v>443</v>
      </c>
      <c r="J1219" s="46" t="n">
        <v>521</v>
      </c>
      <c r="K1219" s="46" t="n">
        <v>746</v>
      </c>
      <c r="L1219" s="46" t="n">
        <v>420</v>
      </c>
      <c r="M1219" s="46">
        <f>N1219-SUM(C1219:L1219)</f>
        <v/>
      </c>
      <c r="N1219" s="47" t="n">
        <v>5970</v>
      </c>
      <c r="O1219" s="46" t="n">
        <v>242</v>
      </c>
      <c r="P1219" s="46" t="n">
        <v>0</v>
      </c>
      <c r="Q1219" s="46" t="n">
        <v>354</v>
      </c>
      <c r="R1219" s="46" t="n">
        <v>1364</v>
      </c>
      <c r="S1219" s="46" t="n">
        <v>354</v>
      </c>
      <c r="T1219" s="46" t="n">
        <v>781</v>
      </c>
      <c r="U1219" s="46" t="n">
        <v>1005</v>
      </c>
      <c r="V1219" s="46" t="n"/>
      <c r="W1219" s="46" t="n">
        <v>806</v>
      </c>
      <c r="X1219" s="46" t="n">
        <v>898</v>
      </c>
      <c r="Y1219" s="46" t="n">
        <v>166</v>
      </c>
    </row>
    <row r="1220">
      <c r="A1220" s="78" t="n">
        <v>46212</v>
      </c>
      <c r="B1220" s="45" t="inlineStr">
        <is>
          <t>NX8</t>
        </is>
      </c>
      <c r="C1220" s="46" t="n">
        <v>453</v>
      </c>
      <c r="D1220" s="46" t="n">
        <v>413</v>
      </c>
      <c r="E1220" s="46" t="n">
        <v>438</v>
      </c>
      <c r="F1220" s="46" t="n">
        <v>765</v>
      </c>
      <c r="G1220" s="46" t="n">
        <v>462</v>
      </c>
      <c r="H1220" s="46" t="n">
        <v>385</v>
      </c>
      <c r="I1220" s="46" t="n">
        <v>443</v>
      </c>
      <c r="J1220" s="46" t="n">
        <v>521</v>
      </c>
      <c r="K1220" s="46" t="n">
        <v>746</v>
      </c>
      <c r="L1220" s="46" t="n">
        <v>420</v>
      </c>
      <c r="M1220" s="46">
        <f>N1220-SUM(C1220:L1220)</f>
        <v/>
      </c>
      <c r="N1220" s="47" t="n">
        <v>5971</v>
      </c>
      <c r="O1220" s="46" t="n">
        <v>242</v>
      </c>
      <c r="P1220" s="46" t="n">
        <v>1</v>
      </c>
      <c r="Q1220" s="46" t="n">
        <v>354</v>
      </c>
      <c r="R1220" s="46" t="n">
        <v>1364</v>
      </c>
      <c r="S1220" s="46" t="n">
        <v>354</v>
      </c>
      <c r="T1220" s="46" t="n">
        <v>781</v>
      </c>
      <c r="U1220" s="46" t="n">
        <v>1005</v>
      </c>
      <c r="V1220" s="46" t="n"/>
      <c r="W1220" s="46" t="n">
        <v>806</v>
      </c>
      <c r="X1220" s="46" t="n">
        <v>898</v>
      </c>
      <c r="Y1220" s="46" t="n">
        <v>166</v>
      </c>
    </row>
    <row r="1221">
      <c r="A1221" s="78" t="n">
        <v>46213</v>
      </c>
      <c r="B1221" s="45" t="inlineStr">
        <is>
          <t>NX8</t>
        </is>
      </c>
      <c r="C1221" s="46" t="n">
        <v>453</v>
      </c>
      <c r="D1221" s="46" t="n">
        <v>413</v>
      </c>
      <c r="E1221" s="46" t="n">
        <v>438</v>
      </c>
      <c r="F1221" s="46" t="n">
        <v>765</v>
      </c>
      <c r="G1221" s="46" t="n">
        <v>462</v>
      </c>
      <c r="H1221" s="46" t="n">
        <v>386</v>
      </c>
      <c r="I1221" s="46" t="n">
        <v>443</v>
      </c>
      <c r="J1221" s="46" t="n">
        <v>521</v>
      </c>
      <c r="K1221" s="46" t="n">
        <v>746</v>
      </c>
      <c r="L1221" s="46" t="n">
        <v>420</v>
      </c>
      <c r="M1221" s="46">
        <f>N1221-SUM(C1221:L1221)</f>
        <v/>
      </c>
      <c r="N1221" s="47" t="n">
        <v>5972</v>
      </c>
      <c r="O1221" s="46" t="n">
        <v>242</v>
      </c>
      <c r="P1221" s="46" t="n">
        <v>1</v>
      </c>
      <c r="Q1221" s="46" t="n">
        <v>354</v>
      </c>
      <c r="R1221" s="46" t="n">
        <v>1364</v>
      </c>
      <c r="S1221" s="46" t="n">
        <v>354</v>
      </c>
      <c r="T1221" s="46" t="n">
        <v>781</v>
      </c>
      <c r="U1221" s="46" t="n">
        <v>1005</v>
      </c>
      <c r="V1221" s="46" t="n"/>
      <c r="W1221" s="46" t="n">
        <v>806</v>
      </c>
      <c r="X1221" s="46" t="n">
        <v>898</v>
      </c>
      <c r="Y1221" s="46" t="n">
        <v>167</v>
      </c>
    </row>
    <row r="1222">
      <c r="A1222" s="78" t="n">
        <v>46214</v>
      </c>
      <c r="B1222" s="45" t="inlineStr">
        <is>
          <t>NX8</t>
        </is>
      </c>
      <c r="C1222" s="46" t="n">
        <v>521</v>
      </c>
      <c r="D1222" s="46" t="n">
        <v>475</v>
      </c>
      <c r="E1222" s="46" t="n">
        <v>504</v>
      </c>
      <c r="F1222" s="46" t="n">
        <v>880</v>
      </c>
      <c r="G1222" s="46" t="n">
        <v>532</v>
      </c>
      <c r="H1222" s="46" t="n">
        <v>443</v>
      </c>
      <c r="I1222" s="46" t="n">
        <v>510</v>
      </c>
      <c r="J1222" s="46" t="n">
        <v>599</v>
      </c>
      <c r="K1222" s="46" t="n">
        <v>858</v>
      </c>
      <c r="L1222" s="46" t="n">
        <v>483</v>
      </c>
      <c r="M1222" s="46">
        <f>N1222-SUM(C1222:L1222)</f>
        <v/>
      </c>
      <c r="N1222" s="47" t="n">
        <v>6868</v>
      </c>
      <c r="O1222" s="46" t="n">
        <v>278</v>
      </c>
      <c r="P1222" s="46" t="n">
        <v>1</v>
      </c>
      <c r="Q1222" s="46" t="n">
        <v>407</v>
      </c>
      <c r="R1222" s="46" t="n">
        <v>1569</v>
      </c>
      <c r="S1222" s="46" t="n">
        <v>407</v>
      </c>
      <c r="T1222" s="46" t="n">
        <v>899</v>
      </c>
      <c r="U1222" s="46" t="n">
        <v>1155</v>
      </c>
      <c r="V1222" s="46" t="n"/>
      <c r="W1222" s="46" t="n">
        <v>927</v>
      </c>
      <c r="X1222" s="46" t="n">
        <v>1033</v>
      </c>
      <c r="Y1222" s="46" t="n">
        <v>192</v>
      </c>
    </row>
    <row r="1223">
      <c r="A1223" s="78" t="n">
        <v>46215</v>
      </c>
      <c r="B1223" s="45" t="inlineStr">
        <is>
          <t>NX8</t>
        </is>
      </c>
      <c r="C1223" s="46" t="n">
        <v>521</v>
      </c>
      <c r="D1223" s="46" t="n">
        <v>475</v>
      </c>
      <c r="E1223" s="46" t="n">
        <v>504</v>
      </c>
      <c r="F1223" s="46" t="n">
        <v>880</v>
      </c>
      <c r="G1223" s="46" t="n">
        <v>532</v>
      </c>
      <c r="H1223" s="46" t="n">
        <v>443</v>
      </c>
      <c r="I1223" s="46" t="n">
        <v>510</v>
      </c>
      <c r="J1223" s="46" t="n">
        <v>599</v>
      </c>
      <c r="K1223" s="46" t="n">
        <v>858</v>
      </c>
      <c r="L1223" s="46" t="n">
        <v>483</v>
      </c>
      <c r="M1223" s="46">
        <f>N1223-SUM(C1223:L1223)</f>
        <v/>
      </c>
      <c r="N1223" s="47" t="n">
        <v>6868</v>
      </c>
      <c r="O1223" s="46" t="n">
        <v>278</v>
      </c>
      <c r="P1223" s="46" t="n">
        <v>1</v>
      </c>
      <c r="Q1223" s="46" t="n">
        <v>407</v>
      </c>
      <c r="R1223" s="46" t="n">
        <v>1569</v>
      </c>
      <c r="S1223" s="46" t="n">
        <v>407</v>
      </c>
      <c r="T1223" s="46" t="n">
        <v>899</v>
      </c>
      <c r="U1223" s="46" t="n">
        <v>1155</v>
      </c>
      <c r="V1223" s="46" t="n"/>
      <c r="W1223" s="46" t="n">
        <v>927</v>
      </c>
      <c r="X1223" s="46" t="n">
        <v>1033</v>
      </c>
      <c r="Y1223" s="46" t="n">
        <v>192</v>
      </c>
    </row>
    <row r="1224">
      <c r="A1224" s="78" t="n">
        <v>46216</v>
      </c>
      <c r="B1224" s="45" t="inlineStr">
        <is>
          <t>NX8</t>
        </is>
      </c>
      <c r="C1224" s="46" t="n">
        <v>453</v>
      </c>
      <c r="D1224" s="46" t="n">
        <v>413</v>
      </c>
      <c r="E1224" s="46" t="n">
        <v>438</v>
      </c>
      <c r="F1224" s="46" t="n">
        <v>765</v>
      </c>
      <c r="G1224" s="46" t="n">
        <v>462</v>
      </c>
      <c r="H1224" s="46" t="n">
        <v>386</v>
      </c>
      <c r="I1224" s="46" t="n">
        <v>443</v>
      </c>
      <c r="J1224" s="46" t="n">
        <v>521</v>
      </c>
      <c r="K1224" s="46" t="n">
        <v>746</v>
      </c>
      <c r="L1224" s="46" t="n">
        <v>420</v>
      </c>
      <c r="M1224" s="46">
        <f>N1224-SUM(C1224:L1224)</f>
        <v/>
      </c>
      <c r="N1224" s="47" t="n">
        <v>5972</v>
      </c>
      <c r="O1224" s="46" t="n">
        <v>242</v>
      </c>
      <c r="P1224" s="46" t="n">
        <v>1</v>
      </c>
      <c r="Q1224" s="46" t="n">
        <v>354</v>
      </c>
      <c r="R1224" s="46" t="n">
        <v>1364</v>
      </c>
      <c r="S1224" s="46" t="n">
        <v>354</v>
      </c>
      <c r="T1224" s="46" t="n">
        <v>781</v>
      </c>
      <c r="U1224" s="46" t="n">
        <v>1005</v>
      </c>
      <c r="V1224" s="46" t="n"/>
      <c r="W1224" s="46" t="n">
        <v>806</v>
      </c>
      <c r="X1224" s="46" t="n">
        <v>898</v>
      </c>
      <c r="Y1224" s="46" t="n">
        <v>167</v>
      </c>
    </row>
    <row r="1225">
      <c r="A1225" s="78" t="n">
        <v>46217</v>
      </c>
      <c r="B1225" s="45" t="inlineStr">
        <is>
          <t>NX8</t>
        </is>
      </c>
      <c r="C1225" s="46" t="n">
        <v>453</v>
      </c>
      <c r="D1225" s="46" t="n">
        <v>413</v>
      </c>
      <c r="E1225" s="46" t="n">
        <v>438</v>
      </c>
      <c r="F1225" s="46" t="n">
        <v>765</v>
      </c>
      <c r="G1225" s="46" t="n">
        <v>462</v>
      </c>
      <c r="H1225" s="46" t="n">
        <v>386</v>
      </c>
      <c r="I1225" s="46" t="n">
        <v>443</v>
      </c>
      <c r="J1225" s="46" t="n">
        <v>521</v>
      </c>
      <c r="K1225" s="46" t="n">
        <v>746</v>
      </c>
      <c r="L1225" s="46" t="n">
        <v>420</v>
      </c>
      <c r="M1225" s="46">
        <f>N1225-SUM(C1225:L1225)</f>
        <v/>
      </c>
      <c r="N1225" s="47" t="n">
        <v>5972</v>
      </c>
      <c r="O1225" s="46" t="n">
        <v>242</v>
      </c>
      <c r="P1225" s="46" t="n">
        <v>1</v>
      </c>
      <c r="Q1225" s="46" t="n">
        <v>354</v>
      </c>
      <c r="R1225" s="46" t="n">
        <v>1364</v>
      </c>
      <c r="S1225" s="46" t="n">
        <v>354</v>
      </c>
      <c r="T1225" s="46" t="n">
        <v>781</v>
      </c>
      <c r="U1225" s="46" t="n">
        <v>1005</v>
      </c>
      <c r="V1225" s="46" t="n"/>
      <c r="W1225" s="46" t="n">
        <v>806</v>
      </c>
      <c r="X1225" s="46" t="n">
        <v>898</v>
      </c>
      <c r="Y1225" s="46" t="n">
        <v>167</v>
      </c>
    </row>
    <row r="1226">
      <c r="A1226" s="78" t="n">
        <v>46218</v>
      </c>
      <c r="B1226" s="45" t="inlineStr">
        <is>
          <t>NX8</t>
        </is>
      </c>
      <c r="C1226" s="46" t="n">
        <v>453</v>
      </c>
      <c r="D1226" s="46" t="n">
        <v>413</v>
      </c>
      <c r="E1226" s="46" t="n">
        <v>438</v>
      </c>
      <c r="F1226" s="46" t="n">
        <v>765</v>
      </c>
      <c r="G1226" s="46" t="n">
        <v>462</v>
      </c>
      <c r="H1226" s="46" t="n">
        <v>386</v>
      </c>
      <c r="I1226" s="46" t="n">
        <v>443</v>
      </c>
      <c r="J1226" s="46" t="n">
        <v>521</v>
      </c>
      <c r="K1226" s="46" t="n">
        <v>746</v>
      </c>
      <c r="L1226" s="46" t="n">
        <v>420</v>
      </c>
      <c r="M1226" s="46">
        <f>N1226-SUM(C1226:L1226)</f>
        <v/>
      </c>
      <c r="N1226" s="47" t="n">
        <v>5972</v>
      </c>
      <c r="O1226" s="46" t="n">
        <v>242</v>
      </c>
      <c r="P1226" s="46" t="n">
        <v>1</v>
      </c>
      <c r="Q1226" s="46" t="n">
        <v>354</v>
      </c>
      <c r="R1226" s="46" t="n">
        <v>1364</v>
      </c>
      <c r="S1226" s="46" t="n">
        <v>354</v>
      </c>
      <c r="T1226" s="46" t="n">
        <v>781</v>
      </c>
      <c r="U1226" s="46" t="n">
        <v>1005</v>
      </c>
      <c r="V1226" s="46" t="n"/>
      <c r="W1226" s="46" t="n">
        <v>806</v>
      </c>
      <c r="X1226" s="46" t="n">
        <v>898</v>
      </c>
      <c r="Y1226" s="46" t="n">
        <v>167</v>
      </c>
    </row>
    <row r="1227">
      <c r="A1227" s="78" t="n">
        <v>46219</v>
      </c>
      <c r="B1227" s="45" t="inlineStr">
        <is>
          <t>NX8</t>
        </is>
      </c>
      <c r="C1227" s="46" t="n">
        <v>453</v>
      </c>
      <c r="D1227" s="46" t="n">
        <v>413</v>
      </c>
      <c r="E1227" s="46" t="n">
        <v>438</v>
      </c>
      <c r="F1227" s="46" t="n">
        <v>765</v>
      </c>
      <c r="G1227" s="46" t="n">
        <v>462</v>
      </c>
      <c r="H1227" s="46" t="n">
        <v>386</v>
      </c>
      <c r="I1227" s="46" t="n">
        <v>443</v>
      </c>
      <c r="J1227" s="46" t="n">
        <v>521</v>
      </c>
      <c r="K1227" s="46" t="n">
        <v>746</v>
      </c>
      <c r="L1227" s="46" t="n">
        <v>420</v>
      </c>
      <c r="M1227" s="46">
        <f>N1227-SUM(C1227:L1227)</f>
        <v/>
      </c>
      <c r="N1227" s="47" t="n">
        <v>5972</v>
      </c>
      <c r="O1227" s="46" t="n">
        <v>242</v>
      </c>
      <c r="P1227" s="46" t="n">
        <v>1</v>
      </c>
      <c r="Q1227" s="46" t="n">
        <v>354</v>
      </c>
      <c r="R1227" s="46" t="n">
        <v>1364</v>
      </c>
      <c r="S1227" s="46" t="n">
        <v>354</v>
      </c>
      <c r="T1227" s="46" t="n">
        <v>781</v>
      </c>
      <c r="U1227" s="46" t="n">
        <v>1005</v>
      </c>
      <c r="V1227" s="46" t="n"/>
      <c r="W1227" s="46" t="n">
        <v>806</v>
      </c>
      <c r="X1227" s="46" t="n">
        <v>898</v>
      </c>
      <c r="Y1227" s="46" t="n">
        <v>167</v>
      </c>
    </row>
    <row r="1228">
      <c r="A1228" s="78" t="n">
        <v>46220</v>
      </c>
      <c r="B1228" s="45" t="inlineStr">
        <is>
          <t>NX8</t>
        </is>
      </c>
      <c r="C1228" s="46" t="n">
        <v>453</v>
      </c>
      <c r="D1228" s="46" t="n">
        <v>413</v>
      </c>
      <c r="E1228" s="46" t="n">
        <v>438</v>
      </c>
      <c r="F1228" s="46" t="n">
        <v>765</v>
      </c>
      <c r="G1228" s="46" t="n">
        <v>462</v>
      </c>
      <c r="H1228" s="46" t="n">
        <v>386</v>
      </c>
      <c r="I1228" s="46" t="n">
        <v>443</v>
      </c>
      <c r="J1228" s="46" t="n">
        <v>521</v>
      </c>
      <c r="K1228" s="46" t="n">
        <v>746</v>
      </c>
      <c r="L1228" s="46" t="n">
        <v>420</v>
      </c>
      <c r="M1228" s="46">
        <f>N1228-SUM(C1228:L1228)</f>
        <v/>
      </c>
      <c r="N1228" s="47" t="n">
        <v>5972</v>
      </c>
      <c r="O1228" s="46" t="n">
        <v>242</v>
      </c>
      <c r="P1228" s="46" t="n">
        <v>1</v>
      </c>
      <c r="Q1228" s="46" t="n">
        <v>354</v>
      </c>
      <c r="R1228" s="46" t="n">
        <v>1364</v>
      </c>
      <c r="S1228" s="46" t="n">
        <v>354</v>
      </c>
      <c r="T1228" s="46" t="n">
        <v>781</v>
      </c>
      <c r="U1228" s="46" t="n">
        <v>1005</v>
      </c>
      <c r="V1228" s="46" t="n"/>
      <c r="W1228" s="46" t="n">
        <v>806</v>
      </c>
      <c r="X1228" s="46" t="n">
        <v>898</v>
      </c>
      <c r="Y1228" s="46" t="n">
        <v>167</v>
      </c>
    </row>
    <row r="1229">
      <c r="A1229" s="78" t="n">
        <v>46221</v>
      </c>
      <c r="B1229" s="45" t="inlineStr">
        <is>
          <t>NX8</t>
        </is>
      </c>
      <c r="C1229" s="46" t="n">
        <v>521</v>
      </c>
      <c r="D1229" s="46" t="n">
        <v>475</v>
      </c>
      <c r="E1229" s="46" t="n">
        <v>503</v>
      </c>
      <c r="F1229" s="46" t="n">
        <v>880</v>
      </c>
      <c r="G1229" s="46" t="n">
        <v>532</v>
      </c>
      <c r="H1229" s="46" t="n">
        <v>443</v>
      </c>
      <c r="I1229" s="46" t="n">
        <v>510</v>
      </c>
      <c r="J1229" s="46" t="n">
        <v>599</v>
      </c>
      <c r="K1229" s="46" t="n">
        <v>858</v>
      </c>
      <c r="L1229" s="46" t="n">
        <v>483</v>
      </c>
      <c r="M1229" s="46">
        <f>N1229-SUM(C1229:L1229)</f>
        <v/>
      </c>
      <c r="N1229" s="47" t="n">
        <v>6868</v>
      </c>
      <c r="O1229" s="46" t="n">
        <v>278</v>
      </c>
      <c r="P1229" s="46" t="n">
        <v>1</v>
      </c>
      <c r="Q1229" s="46" t="n">
        <v>407</v>
      </c>
      <c r="R1229" s="46" t="n">
        <v>1569</v>
      </c>
      <c r="S1229" s="46" t="n">
        <v>407</v>
      </c>
      <c r="T1229" s="46" t="n">
        <v>899</v>
      </c>
      <c r="U1229" s="46" t="n">
        <v>1155</v>
      </c>
      <c r="V1229" s="46" t="n"/>
      <c r="W1229" s="46" t="n">
        <v>927</v>
      </c>
      <c r="X1229" s="46" t="n">
        <v>1033</v>
      </c>
      <c r="Y1229" s="46" t="n">
        <v>192</v>
      </c>
    </row>
    <row r="1230">
      <c r="A1230" s="78" t="n">
        <v>46222</v>
      </c>
      <c r="B1230" s="45" t="inlineStr">
        <is>
          <t>NX8</t>
        </is>
      </c>
      <c r="C1230" s="46" t="n">
        <v>521</v>
      </c>
      <c r="D1230" s="46" t="n">
        <v>475</v>
      </c>
      <c r="E1230" s="46" t="n">
        <v>503</v>
      </c>
      <c r="F1230" s="46" t="n">
        <v>880</v>
      </c>
      <c r="G1230" s="46" t="n">
        <v>532</v>
      </c>
      <c r="H1230" s="46" t="n">
        <v>443</v>
      </c>
      <c r="I1230" s="46" t="n">
        <v>510</v>
      </c>
      <c r="J1230" s="46" t="n">
        <v>599</v>
      </c>
      <c r="K1230" s="46" t="n">
        <v>858</v>
      </c>
      <c r="L1230" s="46" t="n">
        <v>483</v>
      </c>
      <c r="M1230" s="46">
        <f>N1230-SUM(C1230:L1230)</f>
        <v/>
      </c>
      <c r="N1230" s="47" t="n">
        <v>6868</v>
      </c>
      <c r="O1230" s="46" t="n">
        <v>278</v>
      </c>
      <c r="P1230" s="46" t="n">
        <v>1</v>
      </c>
      <c r="Q1230" s="46" t="n">
        <v>407</v>
      </c>
      <c r="R1230" s="46" t="n">
        <v>1569</v>
      </c>
      <c r="S1230" s="46" t="n">
        <v>407</v>
      </c>
      <c r="T1230" s="46" t="n">
        <v>899</v>
      </c>
      <c r="U1230" s="46" t="n">
        <v>1155</v>
      </c>
      <c r="V1230" s="46" t="n"/>
      <c r="W1230" s="46" t="n">
        <v>927</v>
      </c>
      <c r="X1230" s="46" t="n">
        <v>1033</v>
      </c>
      <c r="Y1230" s="46" t="n">
        <v>192</v>
      </c>
    </row>
    <row r="1231">
      <c r="A1231" s="78" t="n">
        <v>46223</v>
      </c>
      <c r="B1231" s="45" t="inlineStr">
        <is>
          <t>NX8</t>
        </is>
      </c>
      <c r="C1231" s="46" t="n">
        <v>453</v>
      </c>
      <c r="D1231" s="46" t="n">
        <v>413</v>
      </c>
      <c r="E1231" s="46" t="n">
        <v>438</v>
      </c>
      <c r="F1231" s="46" t="n">
        <v>765</v>
      </c>
      <c r="G1231" s="46" t="n">
        <v>462</v>
      </c>
      <c r="H1231" s="46" t="n">
        <v>386</v>
      </c>
      <c r="I1231" s="46" t="n">
        <v>443</v>
      </c>
      <c r="J1231" s="46" t="n">
        <v>520</v>
      </c>
      <c r="K1231" s="46" t="n">
        <v>746</v>
      </c>
      <c r="L1231" s="46" t="n">
        <v>420</v>
      </c>
      <c r="M1231" s="46">
        <f>N1231-SUM(C1231:L1231)</f>
        <v/>
      </c>
      <c r="N1231" s="47" t="n">
        <v>5972</v>
      </c>
      <c r="O1231" s="46" t="n">
        <v>242</v>
      </c>
      <c r="P1231" s="46" t="n">
        <v>1</v>
      </c>
      <c r="Q1231" s="46" t="n">
        <v>354</v>
      </c>
      <c r="R1231" s="46" t="n">
        <v>1364</v>
      </c>
      <c r="S1231" s="46" t="n">
        <v>354</v>
      </c>
      <c r="T1231" s="46" t="n">
        <v>781</v>
      </c>
      <c r="U1231" s="46" t="n">
        <v>1005</v>
      </c>
      <c r="V1231" s="46" t="n"/>
      <c r="W1231" s="46" t="n">
        <v>806</v>
      </c>
      <c r="X1231" s="46" t="n">
        <v>898</v>
      </c>
      <c r="Y1231" s="46" t="n">
        <v>167</v>
      </c>
    </row>
    <row r="1232">
      <c r="A1232" s="78" t="n">
        <v>46224</v>
      </c>
      <c r="B1232" s="45" t="inlineStr">
        <is>
          <t>NX8</t>
        </is>
      </c>
      <c r="C1232" s="46" t="n">
        <v>453</v>
      </c>
      <c r="D1232" s="46" t="n">
        <v>413</v>
      </c>
      <c r="E1232" s="46" t="n">
        <v>438</v>
      </c>
      <c r="F1232" s="46" t="n">
        <v>765</v>
      </c>
      <c r="G1232" s="46" t="n">
        <v>462</v>
      </c>
      <c r="H1232" s="46" t="n">
        <v>386</v>
      </c>
      <c r="I1232" s="46" t="n">
        <v>443</v>
      </c>
      <c r="J1232" s="46" t="n">
        <v>520</v>
      </c>
      <c r="K1232" s="46" t="n">
        <v>746</v>
      </c>
      <c r="L1232" s="46" t="n">
        <v>420</v>
      </c>
      <c r="M1232" s="46">
        <f>N1232-SUM(C1232:L1232)</f>
        <v/>
      </c>
      <c r="N1232" s="47" t="n">
        <v>5972</v>
      </c>
      <c r="O1232" s="46" t="n">
        <v>242</v>
      </c>
      <c r="P1232" s="46" t="n">
        <v>1</v>
      </c>
      <c r="Q1232" s="46" t="n">
        <v>354</v>
      </c>
      <c r="R1232" s="46" t="n">
        <v>1364</v>
      </c>
      <c r="S1232" s="46" t="n">
        <v>354</v>
      </c>
      <c r="T1232" s="46" t="n">
        <v>781</v>
      </c>
      <c r="U1232" s="46" t="n">
        <v>1005</v>
      </c>
      <c r="V1232" s="46" t="n"/>
      <c r="W1232" s="46" t="n">
        <v>806</v>
      </c>
      <c r="X1232" s="46" t="n">
        <v>898</v>
      </c>
      <c r="Y1232" s="46" t="n">
        <v>167</v>
      </c>
    </row>
    <row r="1233">
      <c r="A1233" s="78" t="n">
        <v>46225</v>
      </c>
      <c r="B1233" s="45" t="inlineStr">
        <is>
          <t>NX8</t>
        </is>
      </c>
      <c r="C1233" s="46" t="n">
        <v>453</v>
      </c>
      <c r="D1233" s="46" t="n">
        <v>413</v>
      </c>
      <c r="E1233" s="46" t="n">
        <v>438</v>
      </c>
      <c r="F1233" s="46" t="n">
        <v>765</v>
      </c>
      <c r="G1233" s="46" t="n">
        <v>462</v>
      </c>
      <c r="H1233" s="46" t="n">
        <v>386</v>
      </c>
      <c r="I1233" s="46" t="n">
        <v>443</v>
      </c>
      <c r="J1233" s="46" t="n">
        <v>520</v>
      </c>
      <c r="K1233" s="46" t="n">
        <v>746</v>
      </c>
      <c r="L1233" s="46" t="n">
        <v>420</v>
      </c>
      <c r="M1233" s="46">
        <f>N1233-SUM(C1233:L1233)</f>
        <v/>
      </c>
      <c r="N1233" s="47" t="n">
        <v>5973</v>
      </c>
      <c r="O1233" s="46" t="n">
        <v>242</v>
      </c>
      <c r="P1233" s="46" t="n">
        <v>1</v>
      </c>
      <c r="Q1233" s="46" t="n">
        <v>354</v>
      </c>
      <c r="R1233" s="46" t="n">
        <v>1365</v>
      </c>
      <c r="S1233" s="46" t="n">
        <v>354</v>
      </c>
      <c r="T1233" s="46" t="n">
        <v>781</v>
      </c>
      <c r="U1233" s="46" t="n">
        <v>1005</v>
      </c>
      <c r="V1233" s="46" t="n"/>
      <c r="W1233" s="46" t="n">
        <v>806</v>
      </c>
      <c r="X1233" s="46" t="n">
        <v>898</v>
      </c>
      <c r="Y1233" s="46" t="n">
        <v>167</v>
      </c>
    </row>
    <row r="1234">
      <c r="A1234" s="78" t="n">
        <v>46226</v>
      </c>
      <c r="B1234" s="45" t="inlineStr">
        <is>
          <t>NX8</t>
        </is>
      </c>
      <c r="C1234" s="46" t="n">
        <v>453</v>
      </c>
      <c r="D1234" s="46" t="n">
        <v>413</v>
      </c>
      <c r="E1234" s="46" t="n">
        <v>438</v>
      </c>
      <c r="F1234" s="46" t="n">
        <v>765</v>
      </c>
      <c r="G1234" s="46" t="n">
        <v>462</v>
      </c>
      <c r="H1234" s="46" t="n">
        <v>386</v>
      </c>
      <c r="I1234" s="46" t="n">
        <v>443</v>
      </c>
      <c r="J1234" s="46" t="n">
        <v>520</v>
      </c>
      <c r="K1234" s="46" t="n">
        <v>746</v>
      </c>
      <c r="L1234" s="46" t="n">
        <v>420</v>
      </c>
      <c r="M1234" s="46">
        <f>N1234-SUM(C1234:L1234)</f>
        <v/>
      </c>
      <c r="N1234" s="47" t="n">
        <v>5973</v>
      </c>
      <c r="O1234" s="46" t="n">
        <v>242</v>
      </c>
      <c r="P1234" s="46" t="n">
        <v>1</v>
      </c>
      <c r="Q1234" s="46" t="n">
        <v>354</v>
      </c>
      <c r="R1234" s="46" t="n">
        <v>1365</v>
      </c>
      <c r="S1234" s="46" t="n">
        <v>354</v>
      </c>
      <c r="T1234" s="46" t="n">
        <v>781</v>
      </c>
      <c r="U1234" s="46" t="n">
        <v>1005</v>
      </c>
      <c r="V1234" s="46" t="n"/>
      <c r="W1234" s="46" t="n">
        <v>806</v>
      </c>
      <c r="X1234" s="46" t="n">
        <v>898</v>
      </c>
      <c r="Y1234" s="46" t="n">
        <v>167</v>
      </c>
    </row>
    <row r="1235">
      <c r="A1235" s="78" t="n">
        <v>46227</v>
      </c>
      <c r="B1235" s="45" t="inlineStr">
        <is>
          <t>NX8</t>
        </is>
      </c>
      <c r="C1235" s="46" t="n">
        <v>453</v>
      </c>
      <c r="D1235" s="46" t="n">
        <v>413</v>
      </c>
      <c r="E1235" s="46" t="n">
        <v>438</v>
      </c>
      <c r="F1235" s="46" t="n">
        <v>765</v>
      </c>
      <c r="G1235" s="46" t="n">
        <v>462</v>
      </c>
      <c r="H1235" s="46" t="n">
        <v>386</v>
      </c>
      <c r="I1235" s="46" t="n">
        <v>443</v>
      </c>
      <c r="J1235" s="46" t="n">
        <v>520</v>
      </c>
      <c r="K1235" s="46" t="n">
        <v>746</v>
      </c>
      <c r="L1235" s="46" t="n">
        <v>420</v>
      </c>
      <c r="M1235" s="46">
        <f>N1235-SUM(C1235:L1235)</f>
        <v/>
      </c>
      <c r="N1235" s="47" t="n">
        <v>5973</v>
      </c>
      <c r="O1235" s="46" t="n">
        <v>242</v>
      </c>
      <c r="P1235" s="46" t="n">
        <v>1</v>
      </c>
      <c r="Q1235" s="46" t="n">
        <v>354</v>
      </c>
      <c r="R1235" s="46" t="n">
        <v>1365</v>
      </c>
      <c r="S1235" s="46" t="n">
        <v>354</v>
      </c>
      <c r="T1235" s="46" t="n">
        <v>781</v>
      </c>
      <c r="U1235" s="46" t="n">
        <v>1005</v>
      </c>
      <c r="V1235" s="46" t="n"/>
      <c r="W1235" s="46" t="n">
        <v>806</v>
      </c>
      <c r="X1235" s="46" t="n">
        <v>898</v>
      </c>
      <c r="Y1235" s="46" t="n">
        <v>167</v>
      </c>
    </row>
    <row r="1236">
      <c r="A1236" s="78" t="n">
        <v>46228</v>
      </c>
      <c r="B1236" s="45" t="inlineStr">
        <is>
          <t>NX8</t>
        </is>
      </c>
      <c r="C1236" s="46" t="n">
        <v>521</v>
      </c>
      <c r="D1236" s="46" t="n">
        <v>475</v>
      </c>
      <c r="E1236" s="46" t="n">
        <v>504</v>
      </c>
      <c r="F1236" s="46" t="n">
        <v>880</v>
      </c>
      <c r="G1236" s="46" t="n">
        <v>532</v>
      </c>
      <c r="H1236" s="46" t="n">
        <v>444</v>
      </c>
      <c r="I1236" s="46" t="n">
        <v>510</v>
      </c>
      <c r="J1236" s="46" t="n">
        <v>599</v>
      </c>
      <c r="K1236" s="46" t="n">
        <v>858</v>
      </c>
      <c r="L1236" s="46" t="n">
        <v>483</v>
      </c>
      <c r="M1236" s="46">
        <f>N1236-SUM(C1236:L1236)</f>
        <v/>
      </c>
      <c r="N1236" s="47" t="n">
        <v>6870</v>
      </c>
      <c r="O1236" s="46" t="n">
        <v>278</v>
      </c>
      <c r="P1236" s="46" t="n">
        <v>1</v>
      </c>
      <c r="Q1236" s="46" t="n">
        <v>407</v>
      </c>
      <c r="R1236" s="46" t="n">
        <v>1570</v>
      </c>
      <c r="S1236" s="46" t="n">
        <v>407</v>
      </c>
      <c r="T1236" s="46" t="n">
        <v>899</v>
      </c>
      <c r="U1236" s="46" t="n">
        <v>1155</v>
      </c>
      <c r="V1236" s="46" t="n"/>
      <c r="W1236" s="46" t="n">
        <v>927</v>
      </c>
      <c r="X1236" s="46" t="n">
        <v>1034</v>
      </c>
      <c r="Y1236" s="46" t="n">
        <v>192</v>
      </c>
    </row>
    <row r="1237">
      <c r="A1237" s="78" t="n">
        <v>46229</v>
      </c>
      <c r="B1237" s="45" t="inlineStr">
        <is>
          <t>NX8</t>
        </is>
      </c>
      <c r="C1237" s="46" t="n">
        <v>521</v>
      </c>
      <c r="D1237" s="46" t="n">
        <v>475</v>
      </c>
      <c r="E1237" s="46" t="n">
        <v>504</v>
      </c>
      <c r="F1237" s="46" t="n">
        <v>880</v>
      </c>
      <c r="G1237" s="46" t="n">
        <v>532</v>
      </c>
      <c r="H1237" s="46" t="n">
        <v>444</v>
      </c>
      <c r="I1237" s="46" t="n">
        <v>510</v>
      </c>
      <c r="J1237" s="46" t="n">
        <v>599</v>
      </c>
      <c r="K1237" s="46" t="n">
        <v>858</v>
      </c>
      <c r="L1237" s="46" t="n">
        <v>483</v>
      </c>
      <c r="M1237" s="46">
        <f>N1237-SUM(C1237:L1237)</f>
        <v/>
      </c>
      <c r="N1237" s="47" t="n">
        <v>6871</v>
      </c>
      <c r="O1237" s="46" t="n">
        <v>279</v>
      </c>
      <c r="P1237" s="46" t="n">
        <v>1</v>
      </c>
      <c r="Q1237" s="46" t="n">
        <v>407</v>
      </c>
      <c r="R1237" s="46" t="n">
        <v>1570</v>
      </c>
      <c r="S1237" s="46" t="n">
        <v>407</v>
      </c>
      <c r="T1237" s="46" t="n">
        <v>899</v>
      </c>
      <c r="U1237" s="46" t="n">
        <v>1155</v>
      </c>
      <c r="V1237" s="46" t="n"/>
      <c r="W1237" s="46" t="n">
        <v>927</v>
      </c>
      <c r="X1237" s="46" t="n">
        <v>1034</v>
      </c>
      <c r="Y1237" s="46" t="n">
        <v>192</v>
      </c>
    </row>
    <row r="1238">
      <c r="A1238" s="78" t="n">
        <v>46230</v>
      </c>
      <c r="B1238" s="45" t="inlineStr">
        <is>
          <t>NX8</t>
        </is>
      </c>
      <c r="C1238" s="46" t="n">
        <v>453</v>
      </c>
      <c r="D1238" s="46" t="n">
        <v>413</v>
      </c>
      <c r="E1238" s="46" t="n">
        <v>438</v>
      </c>
      <c r="F1238" s="46" t="n">
        <v>765</v>
      </c>
      <c r="G1238" s="46" t="n">
        <v>462</v>
      </c>
      <c r="H1238" s="46" t="n">
        <v>386</v>
      </c>
      <c r="I1238" s="46" t="n">
        <v>443</v>
      </c>
      <c r="J1238" s="46" t="n">
        <v>520</v>
      </c>
      <c r="K1238" s="46" t="n">
        <v>746</v>
      </c>
      <c r="L1238" s="46" t="n">
        <v>420</v>
      </c>
      <c r="M1238" s="46">
        <f>N1238-SUM(C1238:L1238)</f>
        <v/>
      </c>
      <c r="N1238" s="47" t="n">
        <v>5975</v>
      </c>
      <c r="O1238" s="46" t="n">
        <v>243</v>
      </c>
      <c r="P1238" s="46" t="n">
        <v>1</v>
      </c>
      <c r="Q1238" s="46" t="n">
        <v>354</v>
      </c>
      <c r="R1238" s="46" t="n">
        <v>1365</v>
      </c>
      <c r="S1238" s="46" t="n">
        <v>354</v>
      </c>
      <c r="T1238" s="46" t="n">
        <v>781</v>
      </c>
      <c r="U1238" s="46" t="n">
        <v>1005</v>
      </c>
      <c r="V1238" s="46" t="n"/>
      <c r="W1238" s="46" t="n">
        <v>806</v>
      </c>
      <c r="X1238" s="46" t="n">
        <v>899</v>
      </c>
      <c r="Y1238" s="46" t="n">
        <v>167</v>
      </c>
    </row>
    <row r="1239">
      <c r="A1239" s="78" t="n">
        <v>46231</v>
      </c>
      <c r="B1239" s="45" t="inlineStr">
        <is>
          <t>NX8</t>
        </is>
      </c>
      <c r="C1239" s="46" t="n">
        <v>453</v>
      </c>
      <c r="D1239" s="46" t="n">
        <v>413</v>
      </c>
      <c r="E1239" s="46" t="n">
        <v>438</v>
      </c>
      <c r="F1239" s="46" t="n">
        <v>766</v>
      </c>
      <c r="G1239" s="46" t="n">
        <v>462</v>
      </c>
      <c r="H1239" s="46" t="n">
        <v>386</v>
      </c>
      <c r="I1239" s="46" t="n">
        <v>443</v>
      </c>
      <c r="J1239" s="46" t="n">
        <v>520</v>
      </c>
      <c r="K1239" s="46" t="n">
        <v>746</v>
      </c>
      <c r="L1239" s="46" t="n">
        <v>420</v>
      </c>
      <c r="M1239" s="46">
        <f>N1239-SUM(C1239:L1239)</f>
        <v/>
      </c>
      <c r="N1239" s="47" t="n">
        <v>5976</v>
      </c>
      <c r="O1239" s="46" t="n">
        <v>243</v>
      </c>
      <c r="P1239" s="46" t="n">
        <v>1</v>
      </c>
      <c r="Q1239" s="46" t="n">
        <v>354</v>
      </c>
      <c r="R1239" s="46" t="n">
        <v>1365</v>
      </c>
      <c r="S1239" s="46" t="n">
        <v>354</v>
      </c>
      <c r="T1239" s="46" t="n">
        <v>782</v>
      </c>
      <c r="U1239" s="46" t="n">
        <v>1005</v>
      </c>
      <c r="V1239" s="46" t="n"/>
      <c r="W1239" s="46" t="n">
        <v>806</v>
      </c>
      <c r="X1239" s="46" t="n">
        <v>899</v>
      </c>
      <c r="Y1239" s="46" t="n">
        <v>167</v>
      </c>
    </row>
    <row r="1240">
      <c r="A1240" s="78" t="n">
        <v>46232</v>
      </c>
      <c r="B1240" s="45" t="inlineStr">
        <is>
          <t>NX8</t>
        </is>
      </c>
      <c r="C1240" s="46" t="n">
        <v>454</v>
      </c>
      <c r="D1240" s="46" t="n">
        <v>413</v>
      </c>
      <c r="E1240" s="46" t="n">
        <v>438</v>
      </c>
      <c r="F1240" s="46" t="n">
        <v>766</v>
      </c>
      <c r="G1240" s="46" t="n">
        <v>462</v>
      </c>
      <c r="H1240" s="46" t="n">
        <v>386</v>
      </c>
      <c r="I1240" s="46" t="n">
        <v>443</v>
      </c>
      <c r="J1240" s="46" t="n">
        <v>520</v>
      </c>
      <c r="K1240" s="46" t="n">
        <v>746</v>
      </c>
      <c r="L1240" s="46" t="n">
        <v>420</v>
      </c>
      <c r="M1240" s="46">
        <f>N1240-SUM(C1240:L1240)</f>
        <v/>
      </c>
      <c r="N1240" s="47" t="n">
        <v>5977</v>
      </c>
      <c r="O1240" s="46" t="n">
        <v>243</v>
      </c>
      <c r="P1240" s="46" t="n">
        <v>1</v>
      </c>
      <c r="Q1240" s="46" t="n">
        <v>354</v>
      </c>
      <c r="R1240" s="46" t="n">
        <v>1365</v>
      </c>
      <c r="S1240" s="46" t="n">
        <v>355</v>
      </c>
      <c r="T1240" s="46" t="n">
        <v>782</v>
      </c>
      <c r="U1240" s="46" t="n">
        <v>1005</v>
      </c>
      <c r="V1240" s="46" t="n"/>
      <c r="W1240" s="46" t="n">
        <v>806</v>
      </c>
      <c r="X1240" s="46" t="n">
        <v>899</v>
      </c>
      <c r="Y1240" s="46" t="n">
        <v>167</v>
      </c>
    </row>
    <row r="1241">
      <c r="A1241" s="78" t="n">
        <v>46233</v>
      </c>
      <c r="B1241" s="45" t="inlineStr">
        <is>
          <t>NX8</t>
        </is>
      </c>
      <c r="C1241" s="46" t="n">
        <v>454</v>
      </c>
      <c r="D1241" s="46" t="n">
        <v>413</v>
      </c>
      <c r="E1241" s="46" t="n">
        <v>438</v>
      </c>
      <c r="F1241" s="46" t="n">
        <v>766</v>
      </c>
      <c r="G1241" s="46" t="n">
        <v>462</v>
      </c>
      <c r="H1241" s="46" t="n">
        <v>386</v>
      </c>
      <c r="I1241" s="46" t="n">
        <v>443</v>
      </c>
      <c r="J1241" s="46" t="n">
        <v>520</v>
      </c>
      <c r="K1241" s="46" t="n">
        <v>747</v>
      </c>
      <c r="L1241" s="46" t="n">
        <v>420</v>
      </c>
      <c r="M1241" s="46">
        <f>N1241-SUM(C1241:L1241)</f>
        <v/>
      </c>
      <c r="N1241" s="47" t="n">
        <v>5978</v>
      </c>
      <c r="O1241" s="46" t="n">
        <v>243</v>
      </c>
      <c r="P1241" s="46" t="n">
        <v>1</v>
      </c>
      <c r="Q1241" s="46" t="n">
        <v>355</v>
      </c>
      <c r="R1241" s="46" t="n">
        <v>1365</v>
      </c>
      <c r="S1241" s="46" t="n">
        <v>355</v>
      </c>
      <c r="T1241" s="46" t="n">
        <v>782</v>
      </c>
      <c r="U1241" s="46" t="n">
        <v>1005</v>
      </c>
      <c r="V1241" s="46" t="n"/>
      <c r="W1241" s="46" t="n">
        <v>806</v>
      </c>
      <c r="X1241" s="46" t="n">
        <v>899</v>
      </c>
      <c r="Y1241" s="46" t="n">
        <v>167</v>
      </c>
    </row>
    <row r="1242">
      <c r="A1242" s="78" t="n">
        <v>46234</v>
      </c>
      <c r="B1242" s="45" t="inlineStr">
        <is>
          <t>NX8</t>
        </is>
      </c>
      <c r="C1242" s="46" t="n">
        <v>454</v>
      </c>
      <c r="D1242" s="46" t="n">
        <v>413</v>
      </c>
      <c r="E1242" s="46" t="n">
        <v>438</v>
      </c>
      <c r="F1242" s="46" t="n">
        <v>766</v>
      </c>
      <c r="G1242" s="46" t="n">
        <v>462</v>
      </c>
      <c r="H1242" s="46" t="n">
        <v>386</v>
      </c>
      <c r="I1242" s="46" t="n">
        <v>443</v>
      </c>
      <c r="J1242" s="46" t="n">
        <v>520</v>
      </c>
      <c r="K1242" s="46" t="n">
        <v>747</v>
      </c>
      <c r="L1242" s="46" t="n">
        <v>420</v>
      </c>
      <c r="M1242" s="46">
        <f>N1242-SUM(C1242:L1242)</f>
        <v/>
      </c>
      <c r="N1242" s="47" t="n">
        <v>5978</v>
      </c>
      <c r="O1242" s="46" t="n">
        <v>243</v>
      </c>
      <c r="P1242" s="46" t="n">
        <v>1</v>
      </c>
      <c r="Q1242" s="46" t="n">
        <v>355</v>
      </c>
      <c r="R1242" s="46" t="n">
        <v>1365</v>
      </c>
      <c r="S1242" s="46" t="n">
        <v>355</v>
      </c>
      <c r="T1242" s="46" t="n">
        <v>782</v>
      </c>
      <c r="U1242" s="46" t="n">
        <v>1005</v>
      </c>
      <c r="V1242" s="46" t="n"/>
      <c r="W1242" s="46" t="n">
        <v>806</v>
      </c>
      <c r="X1242" s="46" t="n">
        <v>899</v>
      </c>
      <c r="Y1242" s="46" t="n">
        <v>167</v>
      </c>
    </row>
    <row r="1243">
      <c r="A1243" s="78" t="n">
        <v>46235</v>
      </c>
      <c r="B1243" s="45" t="inlineStr">
        <is>
          <t>NX8</t>
        </is>
      </c>
      <c r="C1243" s="46" t="n">
        <v>376</v>
      </c>
      <c r="D1243" s="46" t="n">
        <v>343</v>
      </c>
      <c r="E1243" s="46" t="n">
        <v>365</v>
      </c>
      <c r="F1243" s="46" t="n">
        <v>686</v>
      </c>
      <c r="G1243" s="46" t="n">
        <v>421</v>
      </c>
      <c r="H1243" s="46" t="n">
        <v>266</v>
      </c>
      <c r="I1243" s="46" t="n">
        <v>343</v>
      </c>
      <c r="J1243" s="46" t="n">
        <v>653</v>
      </c>
      <c r="K1243" s="46" t="n">
        <v>620</v>
      </c>
      <c r="L1243" s="46" t="n">
        <v>465</v>
      </c>
      <c r="M1243" s="46">
        <f>N1243-SUM(C1243:L1243)</f>
        <v/>
      </c>
      <c r="N1243" s="47" t="n">
        <v>5404</v>
      </c>
      <c r="O1243" s="46" t="n">
        <v>227</v>
      </c>
      <c r="P1243" s="46" t="n">
        <v>0</v>
      </c>
      <c r="Q1243" s="46" t="n">
        <v>371</v>
      </c>
      <c r="R1243" s="46" t="n">
        <v>1111</v>
      </c>
      <c r="S1243" s="46" t="n">
        <v>353</v>
      </c>
      <c r="T1243" s="46" t="n">
        <v>743</v>
      </c>
      <c r="U1243" s="46" t="n">
        <v>832</v>
      </c>
      <c r="V1243" s="46" t="n"/>
      <c r="W1243" s="46" t="n">
        <v>794</v>
      </c>
      <c r="X1243" s="46" t="n">
        <v>973</v>
      </c>
      <c r="Y1243" s="46" t="n">
        <v>0</v>
      </c>
    </row>
    <row r="1244">
      <c r="A1244" s="78" t="n">
        <v>46236</v>
      </c>
      <c r="B1244" s="45" t="inlineStr">
        <is>
          <t>NX8</t>
        </is>
      </c>
      <c r="C1244" s="46" t="n">
        <v>377</v>
      </c>
      <c r="D1244" s="46" t="n">
        <v>344</v>
      </c>
      <c r="E1244" s="46" t="n">
        <v>366</v>
      </c>
      <c r="F1244" s="46" t="n">
        <v>688</v>
      </c>
      <c r="G1244" s="46" t="n">
        <v>422</v>
      </c>
      <c r="H1244" s="46" t="n">
        <v>266</v>
      </c>
      <c r="I1244" s="46" t="n">
        <v>344</v>
      </c>
      <c r="J1244" s="46" t="n">
        <v>655</v>
      </c>
      <c r="K1244" s="46" t="n">
        <v>622</v>
      </c>
      <c r="L1244" s="46" t="n">
        <v>466</v>
      </c>
      <c r="M1244" s="46">
        <f>N1244-SUM(C1244:L1244)</f>
        <v/>
      </c>
      <c r="N1244" s="47" t="n">
        <v>5418</v>
      </c>
      <c r="O1244" s="46" t="n">
        <v>227</v>
      </c>
      <c r="P1244" s="46" t="n">
        <v>1</v>
      </c>
      <c r="Q1244" s="46" t="n">
        <v>371</v>
      </c>
      <c r="R1244" s="46" t="n">
        <v>1111</v>
      </c>
      <c r="S1244" s="46" t="n">
        <v>353</v>
      </c>
      <c r="T1244" s="46" t="n">
        <v>743</v>
      </c>
      <c r="U1244" s="46" t="n">
        <v>833</v>
      </c>
      <c r="V1244" s="46" t="n"/>
      <c r="W1244" s="46" t="n">
        <v>794</v>
      </c>
      <c r="X1244" s="46" t="n">
        <v>985</v>
      </c>
      <c r="Y1244" s="46" t="n">
        <v>0</v>
      </c>
    </row>
    <row r="1245">
      <c r="A1245" s="78" t="n">
        <v>46237</v>
      </c>
      <c r="B1245" s="45" t="inlineStr">
        <is>
          <t>NX8</t>
        </is>
      </c>
      <c r="C1245" s="46" t="n">
        <v>348</v>
      </c>
      <c r="D1245" s="46" t="n">
        <v>317</v>
      </c>
      <c r="E1245" s="46" t="n">
        <v>338</v>
      </c>
      <c r="F1245" s="46" t="n">
        <v>635</v>
      </c>
      <c r="G1245" s="46" t="n">
        <v>389</v>
      </c>
      <c r="H1245" s="46" t="n">
        <v>246</v>
      </c>
      <c r="I1245" s="46" t="n">
        <v>317</v>
      </c>
      <c r="J1245" s="46" t="n">
        <v>604</v>
      </c>
      <c r="K1245" s="46" t="n">
        <v>574</v>
      </c>
      <c r="L1245" s="46" t="n">
        <v>430</v>
      </c>
      <c r="M1245" s="46">
        <f>N1245-SUM(C1245:L1245)</f>
        <v/>
      </c>
      <c r="N1245" s="47" t="n">
        <v>4999</v>
      </c>
      <c r="O1245" s="46" t="n">
        <v>197</v>
      </c>
      <c r="P1245" s="46" t="n">
        <v>1</v>
      </c>
      <c r="Q1245" s="46" t="n">
        <v>322</v>
      </c>
      <c r="R1245" s="46" t="n">
        <v>966</v>
      </c>
      <c r="S1245" s="46" t="n">
        <v>307</v>
      </c>
      <c r="T1245" s="46" t="n">
        <v>646</v>
      </c>
      <c r="U1245" s="46" t="n">
        <v>724</v>
      </c>
      <c r="V1245" s="46" t="n"/>
      <c r="W1245" s="46" t="n">
        <v>690</v>
      </c>
      <c r="X1245" s="46" t="n">
        <v>946</v>
      </c>
      <c r="Y1245" s="46" t="n">
        <v>200</v>
      </c>
    </row>
    <row r="1246">
      <c r="A1246" s="78" t="n">
        <v>46238</v>
      </c>
      <c r="B1246" s="45" t="inlineStr">
        <is>
          <t>NX8</t>
        </is>
      </c>
      <c r="C1246" s="46" t="n">
        <v>350</v>
      </c>
      <c r="D1246" s="46" t="n">
        <v>319</v>
      </c>
      <c r="E1246" s="46" t="n">
        <v>340</v>
      </c>
      <c r="F1246" s="46" t="n">
        <v>638</v>
      </c>
      <c r="G1246" s="46" t="n">
        <v>391</v>
      </c>
      <c r="H1246" s="46" t="n">
        <v>247</v>
      </c>
      <c r="I1246" s="46" t="n">
        <v>319</v>
      </c>
      <c r="J1246" s="46" t="n">
        <v>607</v>
      </c>
      <c r="K1246" s="46" t="n">
        <v>576</v>
      </c>
      <c r="L1246" s="46" t="n">
        <v>432</v>
      </c>
      <c r="M1246" s="46">
        <f>N1246-SUM(C1246:L1246)</f>
        <v/>
      </c>
      <c r="N1246" s="47" t="n">
        <v>5022</v>
      </c>
      <c r="O1246" s="46" t="n">
        <v>197</v>
      </c>
      <c r="P1246" s="46" t="n">
        <v>1</v>
      </c>
      <c r="Q1246" s="46" t="n">
        <v>322</v>
      </c>
      <c r="R1246" s="46" t="n">
        <v>966</v>
      </c>
      <c r="S1246" s="46" t="n">
        <v>307</v>
      </c>
      <c r="T1246" s="46" t="n">
        <v>646</v>
      </c>
      <c r="U1246" s="46" t="n">
        <v>724</v>
      </c>
      <c r="V1246" s="46" t="n"/>
      <c r="W1246" s="46" t="n">
        <v>690</v>
      </c>
      <c r="X1246" s="46" t="n">
        <v>969</v>
      </c>
      <c r="Y1246" s="46" t="n">
        <v>200</v>
      </c>
    </row>
    <row r="1247">
      <c r="A1247" s="78" t="n">
        <v>46239</v>
      </c>
      <c r="B1247" s="45" t="inlineStr">
        <is>
          <t>NX8</t>
        </is>
      </c>
      <c r="C1247" s="46" t="n">
        <v>351</v>
      </c>
      <c r="D1247" s="46" t="n">
        <v>320</v>
      </c>
      <c r="E1247" s="46" t="n">
        <v>341</v>
      </c>
      <c r="F1247" s="46" t="n">
        <v>640</v>
      </c>
      <c r="G1247" s="46" t="n">
        <v>392</v>
      </c>
      <c r="H1247" s="46" t="n">
        <v>248</v>
      </c>
      <c r="I1247" s="46" t="n">
        <v>320</v>
      </c>
      <c r="J1247" s="46" t="n">
        <v>609</v>
      </c>
      <c r="K1247" s="46" t="n">
        <v>578</v>
      </c>
      <c r="L1247" s="46" t="n">
        <v>433</v>
      </c>
      <c r="M1247" s="46">
        <f>N1247-SUM(C1247:L1247)</f>
        <v/>
      </c>
      <c r="N1247" s="47" t="n">
        <v>5037</v>
      </c>
      <c r="O1247" s="46" t="n">
        <v>197</v>
      </c>
      <c r="P1247" s="46" t="n">
        <v>1</v>
      </c>
      <c r="Q1247" s="46" t="n">
        <v>322</v>
      </c>
      <c r="R1247" s="46" t="n">
        <v>966</v>
      </c>
      <c r="S1247" s="46" t="n">
        <v>307</v>
      </c>
      <c r="T1247" s="46" t="n">
        <v>646</v>
      </c>
      <c r="U1247" s="46" t="n">
        <v>724</v>
      </c>
      <c r="V1247" s="46" t="n"/>
      <c r="W1247" s="46" t="n">
        <v>690</v>
      </c>
      <c r="X1247" s="46" t="n">
        <v>984</v>
      </c>
      <c r="Y1247" s="46" t="n">
        <v>200</v>
      </c>
    </row>
    <row r="1248">
      <c r="A1248" s="78" t="n">
        <v>46240</v>
      </c>
      <c r="B1248" s="45" t="inlineStr">
        <is>
          <t>NX8</t>
        </is>
      </c>
      <c r="C1248" s="46" t="n">
        <v>350</v>
      </c>
      <c r="D1248" s="46" t="n">
        <v>319</v>
      </c>
      <c r="E1248" s="46" t="n">
        <v>339</v>
      </c>
      <c r="F1248" s="46" t="n">
        <v>638</v>
      </c>
      <c r="G1248" s="46" t="n">
        <v>391</v>
      </c>
      <c r="H1248" s="46" t="n">
        <v>247</v>
      </c>
      <c r="I1248" s="46" t="n">
        <v>319</v>
      </c>
      <c r="J1248" s="46" t="n">
        <v>607</v>
      </c>
      <c r="K1248" s="46" t="n">
        <v>576</v>
      </c>
      <c r="L1248" s="46" t="n">
        <v>432</v>
      </c>
      <c r="M1248" s="46">
        <f>N1248-SUM(C1248:L1248)</f>
        <v/>
      </c>
      <c r="N1248" s="47" t="n">
        <v>5019</v>
      </c>
      <c r="O1248" s="46" t="n">
        <v>197</v>
      </c>
      <c r="P1248" s="46" t="n">
        <v>1</v>
      </c>
      <c r="Q1248" s="46" t="n">
        <v>322</v>
      </c>
      <c r="R1248" s="46" t="n">
        <v>966</v>
      </c>
      <c r="S1248" s="46" t="n">
        <v>307</v>
      </c>
      <c r="T1248" s="46" t="n">
        <v>646</v>
      </c>
      <c r="U1248" s="46" t="n">
        <v>724</v>
      </c>
      <c r="V1248" s="46" t="n"/>
      <c r="W1248" s="46" t="n">
        <v>690</v>
      </c>
      <c r="X1248" s="46" t="n">
        <v>966</v>
      </c>
      <c r="Y1248" s="46" t="n">
        <v>200</v>
      </c>
    </row>
    <row r="1249">
      <c r="A1249" s="78" t="n">
        <v>46241</v>
      </c>
      <c r="B1249" s="45" t="inlineStr">
        <is>
          <t>NX8</t>
        </is>
      </c>
      <c r="C1249" s="46" t="n">
        <v>352</v>
      </c>
      <c r="D1249" s="46" t="n">
        <v>321</v>
      </c>
      <c r="E1249" s="46" t="n">
        <v>341</v>
      </c>
      <c r="F1249" s="46" t="n">
        <v>641</v>
      </c>
      <c r="G1249" s="46" t="n">
        <v>393</v>
      </c>
      <c r="H1249" s="46" t="n">
        <v>248</v>
      </c>
      <c r="I1249" s="46" t="n">
        <v>321</v>
      </c>
      <c r="J1249" s="46" t="n">
        <v>610</v>
      </c>
      <c r="K1249" s="46" t="n">
        <v>579</v>
      </c>
      <c r="L1249" s="46" t="n">
        <v>434</v>
      </c>
      <c r="M1249" s="46">
        <f>N1249-SUM(C1249:L1249)</f>
        <v/>
      </c>
      <c r="N1249" s="47" t="n">
        <v>5048</v>
      </c>
      <c r="O1249" s="46" t="n">
        <v>197</v>
      </c>
      <c r="P1249" s="46" t="n">
        <v>1</v>
      </c>
      <c r="Q1249" s="46" t="n">
        <v>322</v>
      </c>
      <c r="R1249" s="46" t="n">
        <v>966</v>
      </c>
      <c r="S1249" s="46" t="n">
        <v>307</v>
      </c>
      <c r="T1249" s="46" t="n">
        <v>646</v>
      </c>
      <c r="U1249" s="46" t="n">
        <v>724</v>
      </c>
      <c r="V1249" s="46" t="n"/>
      <c r="W1249" s="46" t="n">
        <v>690</v>
      </c>
      <c r="X1249" s="46" t="n">
        <v>995</v>
      </c>
      <c r="Y1249" s="46" t="n">
        <v>200</v>
      </c>
    </row>
    <row r="1250">
      <c r="A1250" s="78" t="n">
        <v>46242</v>
      </c>
      <c r="B1250" s="45" t="inlineStr">
        <is>
          <t>NX8</t>
        </is>
      </c>
      <c r="C1250" s="46" t="n">
        <v>386</v>
      </c>
      <c r="D1250" s="46" t="n">
        <v>352</v>
      </c>
      <c r="E1250" s="46" t="n">
        <v>375</v>
      </c>
      <c r="F1250" s="46" t="n">
        <v>704</v>
      </c>
      <c r="G1250" s="46" t="n">
        <v>431</v>
      </c>
      <c r="H1250" s="46" t="n">
        <v>272</v>
      </c>
      <c r="I1250" s="46" t="n">
        <v>352</v>
      </c>
      <c r="J1250" s="46" t="n">
        <v>670</v>
      </c>
      <c r="K1250" s="46" t="n">
        <v>636</v>
      </c>
      <c r="L1250" s="46" t="n">
        <v>477</v>
      </c>
      <c r="M1250" s="46">
        <f>N1250-SUM(C1250:L1250)</f>
        <v/>
      </c>
      <c r="N1250" s="47" t="n">
        <v>5540</v>
      </c>
      <c r="O1250" s="46" t="n">
        <v>227</v>
      </c>
      <c r="P1250" s="46" t="n">
        <v>1</v>
      </c>
      <c r="Q1250" s="46" t="n">
        <v>371</v>
      </c>
      <c r="R1250" s="46" t="n">
        <v>1111</v>
      </c>
      <c r="S1250" s="46" t="n">
        <v>353</v>
      </c>
      <c r="T1250" s="46" t="n">
        <v>743</v>
      </c>
      <c r="U1250" s="46" t="n">
        <v>833</v>
      </c>
      <c r="V1250" s="46" t="n"/>
      <c r="W1250" s="46" t="n">
        <v>794</v>
      </c>
      <c r="X1250" s="46" t="n">
        <v>1107</v>
      </c>
      <c r="Y1250" s="46" t="n">
        <v>0</v>
      </c>
    </row>
    <row r="1251">
      <c r="A1251" s="78" t="n">
        <v>46243</v>
      </c>
      <c r="B1251" s="45" t="inlineStr">
        <is>
          <t>NX8</t>
        </is>
      </c>
      <c r="C1251" s="46" t="n">
        <v>386</v>
      </c>
      <c r="D1251" s="46" t="n">
        <v>352</v>
      </c>
      <c r="E1251" s="46" t="n">
        <v>375</v>
      </c>
      <c r="F1251" s="46" t="n">
        <v>704</v>
      </c>
      <c r="G1251" s="46" t="n">
        <v>431</v>
      </c>
      <c r="H1251" s="46" t="n">
        <v>272</v>
      </c>
      <c r="I1251" s="46" t="n">
        <v>352</v>
      </c>
      <c r="J1251" s="46" t="n">
        <v>670</v>
      </c>
      <c r="K1251" s="46" t="n">
        <v>636</v>
      </c>
      <c r="L1251" s="46" t="n">
        <v>477</v>
      </c>
      <c r="M1251" s="46">
        <f>N1251-SUM(C1251:L1251)</f>
        <v/>
      </c>
      <c r="N1251" s="47" t="n">
        <v>5540</v>
      </c>
      <c r="O1251" s="46" t="n">
        <v>227</v>
      </c>
      <c r="P1251" s="46" t="n">
        <v>1</v>
      </c>
      <c r="Q1251" s="46" t="n">
        <v>371</v>
      </c>
      <c r="R1251" s="46" t="n">
        <v>1111</v>
      </c>
      <c r="S1251" s="46" t="n">
        <v>354</v>
      </c>
      <c r="T1251" s="46" t="n">
        <v>743</v>
      </c>
      <c r="U1251" s="46" t="n">
        <v>833</v>
      </c>
      <c r="V1251" s="46" t="n"/>
      <c r="W1251" s="46" t="n">
        <v>794</v>
      </c>
      <c r="X1251" s="46" t="n">
        <v>1106</v>
      </c>
      <c r="Y1251" s="46" t="n">
        <v>0</v>
      </c>
    </row>
    <row r="1252">
      <c r="A1252" s="78" t="n">
        <v>46244</v>
      </c>
      <c r="B1252" s="45" t="inlineStr">
        <is>
          <t>NX8</t>
        </is>
      </c>
      <c r="C1252" s="46" t="n">
        <v>355</v>
      </c>
      <c r="D1252" s="46" t="n">
        <v>323</v>
      </c>
      <c r="E1252" s="46" t="n">
        <v>344</v>
      </c>
      <c r="F1252" s="46" t="n">
        <v>647</v>
      </c>
      <c r="G1252" s="46" t="n">
        <v>396</v>
      </c>
      <c r="H1252" s="46" t="n">
        <v>250</v>
      </c>
      <c r="I1252" s="46" t="n">
        <v>323</v>
      </c>
      <c r="J1252" s="46" t="n">
        <v>616</v>
      </c>
      <c r="K1252" s="46" t="n">
        <v>584</v>
      </c>
      <c r="L1252" s="46" t="n">
        <v>438</v>
      </c>
      <c r="M1252" s="46">
        <f>N1252-SUM(C1252:L1252)</f>
        <v/>
      </c>
      <c r="N1252" s="47" t="n">
        <v>5092</v>
      </c>
      <c r="O1252" s="46" t="n">
        <v>197</v>
      </c>
      <c r="P1252" s="46" t="n">
        <v>1</v>
      </c>
      <c r="Q1252" s="46" t="n">
        <v>322</v>
      </c>
      <c r="R1252" s="46" t="n">
        <v>966</v>
      </c>
      <c r="S1252" s="46" t="n">
        <v>308</v>
      </c>
      <c r="T1252" s="46" t="n">
        <v>646</v>
      </c>
      <c r="U1252" s="46" t="n">
        <v>725</v>
      </c>
      <c r="V1252" s="46" t="n"/>
      <c r="W1252" s="46" t="n">
        <v>690</v>
      </c>
      <c r="X1252" s="46" t="n">
        <v>1037</v>
      </c>
      <c r="Y1252" s="46" t="n">
        <v>200</v>
      </c>
    </row>
    <row r="1253">
      <c r="A1253" s="78" t="n">
        <v>46245</v>
      </c>
      <c r="B1253" s="45" t="inlineStr">
        <is>
          <t>NX8</t>
        </is>
      </c>
      <c r="C1253" s="46" t="n">
        <v>354</v>
      </c>
      <c r="D1253" s="46" t="n">
        <v>322</v>
      </c>
      <c r="E1253" s="46" t="n">
        <v>343</v>
      </c>
      <c r="F1253" s="46" t="n">
        <v>645</v>
      </c>
      <c r="G1253" s="46" t="n">
        <v>395</v>
      </c>
      <c r="H1253" s="46" t="n">
        <v>250</v>
      </c>
      <c r="I1253" s="46" t="n">
        <v>322</v>
      </c>
      <c r="J1253" s="46" t="n">
        <v>614</v>
      </c>
      <c r="K1253" s="46" t="n">
        <v>582</v>
      </c>
      <c r="L1253" s="46" t="n">
        <v>437</v>
      </c>
      <c r="M1253" s="46">
        <f>N1253-SUM(C1253:L1253)</f>
        <v/>
      </c>
      <c r="N1253" s="47" t="n">
        <v>5077</v>
      </c>
      <c r="O1253" s="46" t="n">
        <v>197</v>
      </c>
      <c r="P1253" s="46" t="n">
        <v>1</v>
      </c>
      <c r="Q1253" s="46" t="n">
        <v>322</v>
      </c>
      <c r="R1253" s="46" t="n">
        <v>966</v>
      </c>
      <c r="S1253" s="46" t="n">
        <v>308</v>
      </c>
      <c r="T1253" s="46" t="n">
        <v>646</v>
      </c>
      <c r="U1253" s="46" t="n">
        <v>725</v>
      </c>
      <c r="V1253" s="46" t="n"/>
      <c r="W1253" s="46" t="n">
        <v>690</v>
      </c>
      <c r="X1253" s="46" t="n">
        <v>1022</v>
      </c>
      <c r="Y1253" s="46" t="n">
        <v>200</v>
      </c>
    </row>
    <row r="1254">
      <c r="A1254" s="78" t="n">
        <v>46246</v>
      </c>
      <c r="B1254" s="45" t="inlineStr">
        <is>
          <t>NX8</t>
        </is>
      </c>
      <c r="C1254" s="46" t="n">
        <v>355</v>
      </c>
      <c r="D1254" s="46" t="n">
        <v>324</v>
      </c>
      <c r="E1254" s="46" t="n">
        <v>344</v>
      </c>
      <c r="F1254" s="46" t="n">
        <v>647</v>
      </c>
      <c r="G1254" s="46" t="n">
        <v>397</v>
      </c>
      <c r="H1254" s="46" t="n">
        <v>250</v>
      </c>
      <c r="I1254" s="46" t="n">
        <v>324</v>
      </c>
      <c r="J1254" s="46" t="n">
        <v>616</v>
      </c>
      <c r="K1254" s="46" t="n">
        <v>584</v>
      </c>
      <c r="L1254" s="46" t="n">
        <v>438</v>
      </c>
      <c r="M1254" s="46">
        <f>N1254-SUM(C1254:L1254)</f>
        <v/>
      </c>
      <c r="N1254" s="47" t="n">
        <v>5094</v>
      </c>
      <c r="O1254" s="46" t="n">
        <v>197</v>
      </c>
      <c r="P1254" s="46" t="n">
        <v>1</v>
      </c>
      <c r="Q1254" s="46" t="n">
        <v>322</v>
      </c>
      <c r="R1254" s="46" t="n">
        <v>966</v>
      </c>
      <c r="S1254" s="46" t="n">
        <v>308</v>
      </c>
      <c r="T1254" s="46" t="n">
        <v>646</v>
      </c>
      <c r="U1254" s="46" t="n">
        <v>725</v>
      </c>
      <c r="V1254" s="46" t="n"/>
      <c r="W1254" s="46" t="n">
        <v>690</v>
      </c>
      <c r="X1254" s="46" t="n">
        <v>1039</v>
      </c>
      <c r="Y1254" s="46" t="n">
        <v>200</v>
      </c>
    </row>
    <row r="1255">
      <c r="A1255" s="78" t="n">
        <v>46247</v>
      </c>
      <c r="B1255" s="45" t="inlineStr">
        <is>
          <t>NX8</t>
        </is>
      </c>
      <c r="C1255" s="46" t="n">
        <v>352</v>
      </c>
      <c r="D1255" s="46" t="n">
        <v>321</v>
      </c>
      <c r="E1255" s="46" t="n">
        <v>342</v>
      </c>
      <c r="F1255" s="46" t="n">
        <v>642</v>
      </c>
      <c r="G1255" s="46" t="n">
        <v>394</v>
      </c>
      <c r="H1255" s="46" t="n">
        <v>249</v>
      </c>
      <c r="I1255" s="46" t="n">
        <v>321</v>
      </c>
      <c r="J1255" s="46" t="n">
        <v>611</v>
      </c>
      <c r="K1255" s="46" t="n">
        <v>580</v>
      </c>
      <c r="L1255" s="46" t="n">
        <v>435</v>
      </c>
      <c r="M1255" s="46">
        <f>N1255-SUM(C1255:L1255)</f>
        <v/>
      </c>
      <c r="N1255" s="47" t="n">
        <v>5057</v>
      </c>
      <c r="O1255" s="46" t="n">
        <v>197</v>
      </c>
      <c r="P1255" s="46" t="n">
        <v>1</v>
      </c>
      <c r="Q1255" s="46" t="n">
        <v>322</v>
      </c>
      <c r="R1255" s="46" t="n">
        <v>966</v>
      </c>
      <c r="S1255" s="46" t="n">
        <v>308</v>
      </c>
      <c r="T1255" s="46" t="n">
        <v>646</v>
      </c>
      <c r="U1255" s="46" t="n">
        <v>725</v>
      </c>
      <c r="V1255" s="46" t="n"/>
      <c r="W1255" s="46" t="n">
        <v>690</v>
      </c>
      <c r="X1255" s="46" t="n">
        <v>1002</v>
      </c>
      <c r="Y1255" s="46" t="n">
        <v>200</v>
      </c>
    </row>
    <row r="1256">
      <c r="A1256" s="78" t="n">
        <v>46248</v>
      </c>
      <c r="B1256" s="45" t="inlineStr">
        <is>
          <t>NX8</t>
        </is>
      </c>
      <c r="C1256" s="46" t="n">
        <v>343</v>
      </c>
      <c r="D1256" s="46" t="n">
        <v>312</v>
      </c>
      <c r="E1256" s="46" t="n">
        <v>332</v>
      </c>
      <c r="F1256" s="46" t="n">
        <v>625</v>
      </c>
      <c r="G1256" s="46" t="n">
        <v>383</v>
      </c>
      <c r="H1256" s="46" t="n">
        <v>242</v>
      </c>
      <c r="I1256" s="46" t="n">
        <v>312</v>
      </c>
      <c r="J1256" s="46" t="n">
        <v>594</v>
      </c>
      <c r="K1256" s="46" t="n">
        <v>564</v>
      </c>
      <c r="L1256" s="46" t="n">
        <v>423</v>
      </c>
      <c r="M1256" s="46">
        <f>N1256-SUM(C1256:L1256)</f>
        <v/>
      </c>
      <c r="N1256" s="47" t="n">
        <v>4917</v>
      </c>
      <c r="O1256" s="46" t="n">
        <v>197</v>
      </c>
      <c r="P1256" s="46" t="n">
        <v>1</v>
      </c>
      <c r="Q1256" s="46" t="n">
        <v>322</v>
      </c>
      <c r="R1256" s="46" t="n">
        <v>966</v>
      </c>
      <c r="S1256" s="46" t="n">
        <v>308</v>
      </c>
      <c r="T1256" s="46" t="n">
        <v>646</v>
      </c>
      <c r="U1256" s="46" t="n">
        <v>725</v>
      </c>
      <c r="V1256" s="46" t="n"/>
      <c r="W1256" s="46" t="n">
        <v>690</v>
      </c>
      <c r="X1256" s="46" t="n">
        <v>1062</v>
      </c>
      <c r="Y1256" s="46" t="n">
        <v>0</v>
      </c>
    </row>
    <row r="1257">
      <c r="A1257" s="78" t="n">
        <v>46249</v>
      </c>
      <c r="B1257" s="45" t="inlineStr">
        <is>
          <t>NX8</t>
        </is>
      </c>
      <c r="C1257" s="46" t="n">
        <v>393</v>
      </c>
      <c r="D1257" s="46" t="n">
        <v>358</v>
      </c>
      <c r="E1257" s="46" t="n">
        <v>381</v>
      </c>
      <c r="F1257" s="46" t="n">
        <v>716</v>
      </c>
      <c r="G1257" s="46" t="n">
        <v>439</v>
      </c>
      <c r="H1257" s="46" t="n">
        <v>277</v>
      </c>
      <c r="I1257" s="46" t="n">
        <v>358</v>
      </c>
      <c r="J1257" s="46" t="n">
        <v>681</v>
      </c>
      <c r="K1257" s="46" t="n">
        <v>647</v>
      </c>
      <c r="L1257" s="46" t="n">
        <v>485</v>
      </c>
      <c r="M1257" s="46">
        <f>N1257-SUM(C1257:L1257)</f>
        <v/>
      </c>
      <c r="N1257" s="47" t="n">
        <v>5636</v>
      </c>
      <c r="O1257" s="46" t="n">
        <v>227</v>
      </c>
      <c r="P1257" s="46" t="n">
        <v>1</v>
      </c>
      <c r="Q1257" s="46" t="n">
        <v>371</v>
      </c>
      <c r="R1257" s="46" t="n">
        <v>1111</v>
      </c>
      <c r="S1257" s="46" t="n">
        <v>354</v>
      </c>
      <c r="T1257" s="46" t="n">
        <v>743</v>
      </c>
      <c r="U1257" s="46" t="n">
        <v>834</v>
      </c>
      <c r="V1257" s="46" t="n"/>
      <c r="W1257" s="46" t="n">
        <v>794</v>
      </c>
      <c r="X1257" s="46" t="n">
        <v>1201</v>
      </c>
      <c r="Y1257" s="46" t="n">
        <v>0</v>
      </c>
    </row>
    <row r="1258">
      <c r="A1258" s="78" t="n">
        <v>46250</v>
      </c>
      <c r="B1258" s="45" t="inlineStr">
        <is>
          <t>NX8</t>
        </is>
      </c>
      <c r="C1258" s="46" t="n">
        <v>409</v>
      </c>
      <c r="D1258" s="46" t="n">
        <v>373</v>
      </c>
      <c r="E1258" s="46" t="n">
        <v>397</v>
      </c>
      <c r="F1258" s="46" t="n">
        <v>745</v>
      </c>
      <c r="G1258" s="46" t="n">
        <v>457</v>
      </c>
      <c r="H1258" s="46" t="n">
        <v>288</v>
      </c>
      <c r="I1258" s="46" t="n">
        <v>373</v>
      </c>
      <c r="J1258" s="46" t="n">
        <v>709</v>
      </c>
      <c r="K1258" s="46" t="n">
        <v>673</v>
      </c>
      <c r="L1258" s="46" t="n">
        <v>505</v>
      </c>
      <c r="M1258" s="46">
        <f>N1258-SUM(C1258:L1258)</f>
        <v/>
      </c>
      <c r="N1258" s="47" t="n">
        <v>5866</v>
      </c>
      <c r="O1258" s="46" t="n">
        <v>227</v>
      </c>
      <c r="P1258" s="46" t="n">
        <v>1</v>
      </c>
      <c r="Q1258" s="46" t="n">
        <v>371</v>
      </c>
      <c r="R1258" s="46" t="n">
        <v>1111</v>
      </c>
      <c r="S1258" s="46" t="n">
        <v>354</v>
      </c>
      <c r="T1258" s="46" t="n">
        <v>743</v>
      </c>
      <c r="U1258" s="46" t="n">
        <v>834</v>
      </c>
      <c r="V1258" s="46" t="n"/>
      <c r="W1258" s="46" t="n">
        <v>794</v>
      </c>
      <c r="X1258" s="46" t="n">
        <v>1231</v>
      </c>
      <c r="Y1258" s="46" t="n">
        <v>200</v>
      </c>
    </row>
    <row r="1259">
      <c r="A1259" s="78" t="n">
        <v>46251</v>
      </c>
      <c r="B1259" s="45" t="inlineStr">
        <is>
          <t>NX8</t>
        </is>
      </c>
      <c r="C1259" s="46" t="n">
        <v>360</v>
      </c>
      <c r="D1259" s="46" t="n">
        <v>328</v>
      </c>
      <c r="E1259" s="46" t="n">
        <v>349</v>
      </c>
      <c r="F1259" s="46" t="n">
        <v>657</v>
      </c>
      <c r="G1259" s="46" t="n">
        <v>402</v>
      </c>
      <c r="H1259" s="46" t="n">
        <v>254</v>
      </c>
      <c r="I1259" s="46" t="n">
        <v>328</v>
      </c>
      <c r="J1259" s="46" t="n">
        <v>625</v>
      </c>
      <c r="K1259" s="46" t="n">
        <v>593</v>
      </c>
      <c r="L1259" s="46" t="n">
        <v>445</v>
      </c>
      <c r="M1259" s="46">
        <f>N1259-SUM(C1259:L1259)</f>
        <v/>
      </c>
      <c r="N1259" s="47" t="n">
        <v>5169</v>
      </c>
      <c r="O1259" s="46" t="n">
        <v>197</v>
      </c>
      <c r="P1259" s="46" t="n">
        <v>1</v>
      </c>
      <c r="Q1259" s="46" t="n">
        <v>322</v>
      </c>
      <c r="R1259" s="46" t="n">
        <v>966</v>
      </c>
      <c r="S1259" s="46" t="n">
        <v>308</v>
      </c>
      <c r="T1259" s="46" t="n">
        <v>646</v>
      </c>
      <c r="U1259" s="46" t="n">
        <v>725</v>
      </c>
      <c r="V1259" s="46" t="n"/>
      <c r="W1259" s="46" t="n">
        <v>690</v>
      </c>
      <c r="X1259" s="46" t="n">
        <v>1114</v>
      </c>
      <c r="Y1259" s="46" t="n">
        <v>200</v>
      </c>
    </row>
    <row r="1260">
      <c r="A1260" s="78" t="n">
        <v>46252</v>
      </c>
      <c r="B1260" s="45" t="inlineStr">
        <is>
          <t>NX8</t>
        </is>
      </c>
      <c r="C1260" s="46" t="n">
        <v>357</v>
      </c>
      <c r="D1260" s="46" t="n">
        <v>326</v>
      </c>
      <c r="E1260" s="46" t="n">
        <v>347</v>
      </c>
      <c r="F1260" s="46" t="n">
        <v>652</v>
      </c>
      <c r="G1260" s="46" t="n">
        <v>399</v>
      </c>
      <c r="H1260" s="46" t="n">
        <v>252</v>
      </c>
      <c r="I1260" s="46" t="n">
        <v>326</v>
      </c>
      <c r="J1260" s="46" t="n">
        <v>620</v>
      </c>
      <c r="K1260" s="46" t="n">
        <v>589</v>
      </c>
      <c r="L1260" s="46" t="n">
        <v>441</v>
      </c>
      <c r="M1260" s="46">
        <f>N1260-SUM(C1260:L1260)</f>
        <v/>
      </c>
      <c r="N1260" s="47" t="n">
        <v>5130</v>
      </c>
      <c r="O1260" s="46" t="n">
        <v>197</v>
      </c>
      <c r="P1260" s="46" t="n">
        <v>1</v>
      </c>
      <c r="Q1260" s="46" t="n">
        <v>322</v>
      </c>
      <c r="R1260" s="46" t="n">
        <v>966</v>
      </c>
      <c r="S1260" s="46" t="n">
        <v>308</v>
      </c>
      <c r="T1260" s="46" t="n">
        <v>646</v>
      </c>
      <c r="U1260" s="46" t="n">
        <v>725</v>
      </c>
      <c r="V1260" s="46" t="n"/>
      <c r="W1260" s="46" t="n">
        <v>690</v>
      </c>
      <c r="X1260" s="46" t="n">
        <v>1075</v>
      </c>
      <c r="Y1260" s="46" t="n">
        <v>200</v>
      </c>
    </row>
    <row r="1261">
      <c r="A1261" s="78" t="n">
        <v>46253</v>
      </c>
      <c r="B1261" s="45" t="inlineStr">
        <is>
          <t>NX8</t>
        </is>
      </c>
      <c r="C1261" s="46" t="n">
        <v>356</v>
      </c>
      <c r="D1261" s="46" t="n">
        <v>325</v>
      </c>
      <c r="E1261" s="46" t="n">
        <v>346</v>
      </c>
      <c r="F1261" s="46" t="n">
        <v>649</v>
      </c>
      <c r="G1261" s="46" t="n">
        <v>398</v>
      </c>
      <c r="H1261" s="46" t="n">
        <v>251</v>
      </c>
      <c r="I1261" s="46" t="n">
        <v>325</v>
      </c>
      <c r="J1261" s="46" t="n">
        <v>618</v>
      </c>
      <c r="K1261" s="46" t="n">
        <v>587</v>
      </c>
      <c r="L1261" s="46" t="n">
        <v>440</v>
      </c>
      <c r="M1261" s="46">
        <f>N1261-SUM(C1261:L1261)</f>
        <v/>
      </c>
      <c r="N1261" s="47" t="n">
        <v>5113</v>
      </c>
      <c r="O1261" s="46" t="n">
        <v>197</v>
      </c>
      <c r="P1261" s="46" t="n">
        <v>1</v>
      </c>
      <c r="Q1261" s="46" t="n">
        <v>322</v>
      </c>
      <c r="R1261" s="46" t="n">
        <v>966</v>
      </c>
      <c r="S1261" s="46" t="n">
        <v>308</v>
      </c>
      <c r="T1261" s="46" t="n">
        <v>646</v>
      </c>
      <c r="U1261" s="46" t="n">
        <v>725</v>
      </c>
      <c r="V1261" s="46" t="n"/>
      <c r="W1261" s="46" t="n">
        <v>690</v>
      </c>
      <c r="X1261" s="46" t="n">
        <v>1058</v>
      </c>
      <c r="Y1261" s="46" t="n">
        <v>200</v>
      </c>
    </row>
    <row r="1262">
      <c r="A1262" s="78" t="n">
        <v>46254</v>
      </c>
      <c r="B1262" s="45" t="inlineStr">
        <is>
          <t>NX8</t>
        </is>
      </c>
      <c r="C1262" s="46" t="n">
        <v>363</v>
      </c>
      <c r="D1262" s="46" t="n">
        <v>331</v>
      </c>
      <c r="E1262" s="46" t="n">
        <v>352</v>
      </c>
      <c r="F1262" s="46" t="n">
        <v>661</v>
      </c>
      <c r="G1262" s="46" t="n">
        <v>405</v>
      </c>
      <c r="H1262" s="46" t="n">
        <v>256</v>
      </c>
      <c r="I1262" s="46" t="n">
        <v>331</v>
      </c>
      <c r="J1262" s="46" t="n">
        <v>629</v>
      </c>
      <c r="K1262" s="46" t="n">
        <v>597</v>
      </c>
      <c r="L1262" s="46" t="n">
        <v>448</v>
      </c>
      <c r="M1262" s="46">
        <f>N1262-SUM(C1262:L1262)</f>
        <v/>
      </c>
      <c r="N1262" s="47" t="n">
        <v>5205</v>
      </c>
      <c r="O1262" s="46" t="n">
        <v>197</v>
      </c>
      <c r="P1262" s="46" t="n">
        <v>1</v>
      </c>
      <c r="Q1262" s="46" t="n">
        <v>322</v>
      </c>
      <c r="R1262" s="46" t="n">
        <v>966</v>
      </c>
      <c r="S1262" s="46" t="n">
        <v>308</v>
      </c>
      <c r="T1262" s="46" t="n">
        <v>646</v>
      </c>
      <c r="U1262" s="46" t="n">
        <v>725</v>
      </c>
      <c r="V1262" s="46" t="n"/>
      <c r="W1262" s="46" t="n">
        <v>690</v>
      </c>
      <c r="X1262" s="46" t="n">
        <v>1150</v>
      </c>
      <c r="Y1262" s="46" t="n">
        <v>200</v>
      </c>
    </row>
    <row r="1263">
      <c r="A1263" s="78" t="n">
        <v>46255</v>
      </c>
      <c r="B1263" s="45" t="inlineStr">
        <is>
          <t>NX8</t>
        </is>
      </c>
      <c r="C1263" s="46" t="n">
        <v>357</v>
      </c>
      <c r="D1263" s="46" t="n">
        <v>325</v>
      </c>
      <c r="E1263" s="46" t="n">
        <v>346</v>
      </c>
      <c r="F1263" s="46" t="n">
        <v>650</v>
      </c>
      <c r="G1263" s="46" t="n">
        <v>399</v>
      </c>
      <c r="H1263" s="46" t="n">
        <v>252</v>
      </c>
      <c r="I1263" s="46" t="n">
        <v>325</v>
      </c>
      <c r="J1263" s="46" t="n">
        <v>619</v>
      </c>
      <c r="K1263" s="46" t="n">
        <v>588</v>
      </c>
      <c r="L1263" s="46" t="n">
        <v>440</v>
      </c>
      <c r="M1263" s="46">
        <f>N1263-SUM(C1263:L1263)</f>
        <v/>
      </c>
      <c r="N1263" s="47" t="n">
        <v>5121</v>
      </c>
      <c r="O1263" s="46" t="n">
        <v>197</v>
      </c>
      <c r="P1263" s="46" t="n">
        <v>1</v>
      </c>
      <c r="Q1263" s="46" t="n">
        <v>322</v>
      </c>
      <c r="R1263" s="46" t="n">
        <v>966</v>
      </c>
      <c r="S1263" s="46" t="n">
        <v>308</v>
      </c>
      <c r="T1263" s="46" t="n">
        <v>646</v>
      </c>
      <c r="U1263" s="46" t="n">
        <v>725</v>
      </c>
      <c r="V1263" s="46" t="n"/>
      <c r="W1263" s="46" t="n">
        <v>690</v>
      </c>
      <c r="X1263" s="46" t="n">
        <v>1266</v>
      </c>
      <c r="Y1263" s="46" t="n">
        <v>0</v>
      </c>
    </row>
    <row r="1264">
      <c r="A1264" s="78" t="n">
        <v>46256</v>
      </c>
      <c r="B1264" s="45" t="inlineStr">
        <is>
          <t>NX8</t>
        </is>
      </c>
      <c r="C1264" s="46" t="n">
        <v>400</v>
      </c>
      <c r="D1264" s="46" t="n">
        <v>365</v>
      </c>
      <c r="E1264" s="46" t="n">
        <v>388</v>
      </c>
      <c r="F1264" s="46" t="n">
        <v>729</v>
      </c>
      <c r="G1264" s="46" t="n">
        <v>447</v>
      </c>
      <c r="H1264" s="46" t="n">
        <v>282</v>
      </c>
      <c r="I1264" s="46" t="n">
        <v>365</v>
      </c>
      <c r="J1264" s="46" t="n">
        <v>694</v>
      </c>
      <c r="K1264" s="46" t="n">
        <v>659</v>
      </c>
      <c r="L1264" s="46" t="n">
        <v>494</v>
      </c>
      <c r="M1264" s="46">
        <f>N1264-SUM(C1264:L1264)</f>
        <v/>
      </c>
      <c r="N1264" s="47" t="n">
        <v>5740</v>
      </c>
      <c r="O1264" s="46" t="n">
        <v>227</v>
      </c>
      <c r="P1264" s="46" t="n">
        <v>1</v>
      </c>
      <c r="Q1264" s="46" t="n">
        <v>371</v>
      </c>
      <c r="R1264" s="46" t="n">
        <v>1111</v>
      </c>
      <c r="S1264" s="46" t="n">
        <v>354</v>
      </c>
      <c r="T1264" s="46" t="n">
        <v>743</v>
      </c>
      <c r="U1264" s="46" t="n">
        <v>834</v>
      </c>
      <c r="V1264" s="46" t="n"/>
      <c r="W1264" s="46" t="n">
        <v>794</v>
      </c>
      <c r="X1264" s="46" t="n">
        <v>1305</v>
      </c>
      <c r="Y1264" s="46" t="n">
        <v>0</v>
      </c>
    </row>
    <row r="1265">
      <c r="A1265" s="78" t="n">
        <v>46257</v>
      </c>
      <c r="B1265" s="45" t="inlineStr">
        <is>
          <t>NX8</t>
        </is>
      </c>
      <c r="C1265" s="46" t="n">
        <v>424</v>
      </c>
      <c r="D1265" s="46" t="n">
        <v>387</v>
      </c>
      <c r="E1265" s="46" t="n">
        <v>412</v>
      </c>
      <c r="F1265" s="46" t="n">
        <v>773</v>
      </c>
      <c r="G1265" s="46" t="n">
        <v>474</v>
      </c>
      <c r="H1265" s="46" t="n">
        <v>299</v>
      </c>
      <c r="I1265" s="46" t="n">
        <v>387</v>
      </c>
      <c r="J1265" s="46" t="n">
        <v>736</v>
      </c>
      <c r="K1265" s="46" t="n">
        <v>698</v>
      </c>
      <c r="L1265" s="46" t="n">
        <v>524</v>
      </c>
      <c r="M1265" s="46">
        <f>N1265-SUM(C1265:L1265)</f>
        <v/>
      </c>
      <c r="N1265" s="47" t="n">
        <v>6088</v>
      </c>
      <c r="O1265" s="46" t="n">
        <v>227</v>
      </c>
      <c r="P1265" s="46" t="n">
        <v>1</v>
      </c>
      <c r="Q1265" s="46" t="n">
        <v>371</v>
      </c>
      <c r="R1265" s="46" t="n">
        <v>1111</v>
      </c>
      <c r="S1265" s="46" t="n">
        <v>354</v>
      </c>
      <c r="T1265" s="46" t="n">
        <v>743</v>
      </c>
      <c r="U1265" s="46" t="n">
        <v>834</v>
      </c>
      <c r="V1265" s="46" t="n"/>
      <c r="W1265" s="46" t="n">
        <v>794</v>
      </c>
      <c r="X1265" s="46" t="n">
        <v>1453</v>
      </c>
      <c r="Y1265" s="46" t="n">
        <v>200</v>
      </c>
    </row>
    <row r="1266">
      <c r="A1266" s="78" t="n">
        <v>46258</v>
      </c>
      <c r="B1266" s="45" t="inlineStr">
        <is>
          <t>NX8</t>
        </is>
      </c>
      <c r="C1266" s="46" t="n">
        <v>387</v>
      </c>
      <c r="D1266" s="46" t="n">
        <v>352</v>
      </c>
      <c r="E1266" s="46" t="n">
        <v>375</v>
      </c>
      <c r="F1266" s="46" t="n">
        <v>705</v>
      </c>
      <c r="G1266" s="46" t="n">
        <v>432</v>
      </c>
      <c r="H1266" s="46" t="n">
        <v>273</v>
      </c>
      <c r="I1266" s="46" t="n">
        <v>352</v>
      </c>
      <c r="J1266" s="46" t="n">
        <v>671</v>
      </c>
      <c r="K1266" s="46" t="n">
        <v>637</v>
      </c>
      <c r="L1266" s="46" t="n">
        <v>478</v>
      </c>
      <c r="M1266" s="46">
        <f>N1266-SUM(C1266:L1266)</f>
        <v/>
      </c>
      <c r="N1266" s="47" t="n">
        <v>5550</v>
      </c>
      <c r="O1266" s="46" t="n">
        <v>197</v>
      </c>
      <c r="P1266" s="46" t="n">
        <v>1</v>
      </c>
      <c r="Q1266" s="46" t="n">
        <v>322</v>
      </c>
      <c r="R1266" s="46" t="n">
        <v>966</v>
      </c>
      <c r="S1266" s="46" t="n">
        <v>308</v>
      </c>
      <c r="T1266" s="46" t="n">
        <v>646</v>
      </c>
      <c r="U1266" s="46" t="n">
        <v>725</v>
      </c>
      <c r="V1266" s="46" t="n"/>
      <c r="W1266" s="46" t="n">
        <v>690</v>
      </c>
      <c r="X1266" s="46" t="n">
        <v>1495</v>
      </c>
      <c r="Y1266" s="46" t="n">
        <v>200</v>
      </c>
    </row>
    <row r="1267">
      <c r="A1267" s="78" t="n">
        <v>46259</v>
      </c>
      <c r="B1267" s="45" t="inlineStr">
        <is>
          <t>NX8</t>
        </is>
      </c>
      <c r="C1267" s="46" t="n">
        <v>388</v>
      </c>
      <c r="D1267" s="46" t="n">
        <v>354</v>
      </c>
      <c r="E1267" s="46" t="n">
        <v>377</v>
      </c>
      <c r="F1267" s="46" t="n">
        <v>708</v>
      </c>
      <c r="G1267" s="46" t="n">
        <v>434</v>
      </c>
      <c r="H1267" s="46" t="n">
        <v>274</v>
      </c>
      <c r="I1267" s="46" t="n">
        <v>354</v>
      </c>
      <c r="J1267" s="46" t="n">
        <v>673</v>
      </c>
      <c r="K1267" s="46" t="n">
        <v>639</v>
      </c>
      <c r="L1267" s="46" t="n">
        <v>479</v>
      </c>
      <c r="M1267" s="46">
        <f>N1267-SUM(C1267:L1267)</f>
        <v/>
      </c>
      <c r="N1267" s="47" t="n">
        <v>5570</v>
      </c>
      <c r="O1267" s="46" t="n">
        <v>197</v>
      </c>
      <c r="P1267" s="46" t="n">
        <v>1</v>
      </c>
      <c r="Q1267" s="46" t="n">
        <v>322</v>
      </c>
      <c r="R1267" s="46" t="n">
        <v>966</v>
      </c>
      <c r="S1267" s="46" t="n">
        <v>308</v>
      </c>
      <c r="T1267" s="46" t="n">
        <v>646</v>
      </c>
      <c r="U1267" s="46" t="n">
        <v>725</v>
      </c>
      <c r="V1267" s="46" t="n"/>
      <c r="W1267" s="46" t="n">
        <v>690</v>
      </c>
      <c r="X1267" s="46" t="n">
        <v>1515</v>
      </c>
      <c r="Y1267" s="46" t="n">
        <v>200</v>
      </c>
    </row>
    <row r="1268">
      <c r="A1268" s="78" t="n">
        <v>46260</v>
      </c>
      <c r="B1268" s="45" t="inlineStr">
        <is>
          <t>NX8</t>
        </is>
      </c>
      <c r="C1268" s="46" t="n">
        <v>363</v>
      </c>
      <c r="D1268" s="46" t="n">
        <v>331</v>
      </c>
      <c r="E1268" s="46" t="n">
        <v>353</v>
      </c>
      <c r="F1268" s="46" t="n">
        <v>663</v>
      </c>
      <c r="G1268" s="46" t="n">
        <v>406</v>
      </c>
      <c r="H1268" s="46" t="n">
        <v>257</v>
      </c>
      <c r="I1268" s="46" t="n">
        <v>331</v>
      </c>
      <c r="J1268" s="46" t="n">
        <v>631</v>
      </c>
      <c r="K1268" s="46" t="n">
        <v>599</v>
      </c>
      <c r="L1268" s="46" t="n">
        <v>449</v>
      </c>
      <c r="M1268" s="46">
        <f>N1268-SUM(C1268:L1268)</f>
        <v/>
      </c>
      <c r="N1268" s="47" t="n">
        <v>5217</v>
      </c>
      <c r="O1268" s="46" t="n">
        <v>197</v>
      </c>
      <c r="P1268" s="46" t="n">
        <v>1</v>
      </c>
      <c r="Q1268" s="46" t="n">
        <v>322</v>
      </c>
      <c r="R1268" s="46" t="n">
        <v>966</v>
      </c>
      <c r="S1268" s="46" t="n">
        <v>308</v>
      </c>
      <c r="T1268" s="46" t="n">
        <v>646</v>
      </c>
      <c r="U1268" s="46" t="n">
        <v>725</v>
      </c>
      <c r="V1268" s="46" t="n"/>
      <c r="W1268" s="46" t="n">
        <v>690</v>
      </c>
      <c r="X1268" s="46" t="n">
        <v>1162</v>
      </c>
      <c r="Y1268" s="46" t="n">
        <v>200</v>
      </c>
    </row>
    <row r="1269">
      <c r="A1269" s="78" t="n">
        <v>46261</v>
      </c>
      <c r="B1269" s="45" t="inlineStr">
        <is>
          <t>NX8</t>
        </is>
      </c>
      <c r="C1269" s="46" t="n">
        <v>364</v>
      </c>
      <c r="D1269" s="46" t="n">
        <v>332</v>
      </c>
      <c r="E1269" s="46" t="n">
        <v>354</v>
      </c>
      <c r="F1269" s="46" t="n">
        <v>664</v>
      </c>
      <c r="G1269" s="46" t="n">
        <v>407</v>
      </c>
      <c r="H1269" s="46" t="n">
        <v>257</v>
      </c>
      <c r="I1269" s="46" t="n">
        <v>332</v>
      </c>
      <c r="J1269" s="46" t="n">
        <v>632</v>
      </c>
      <c r="K1269" s="46" t="n">
        <v>600</v>
      </c>
      <c r="L1269" s="46" t="n">
        <v>450</v>
      </c>
      <c r="M1269" s="46">
        <f>N1269-SUM(C1269:L1269)</f>
        <v/>
      </c>
      <c r="N1269" s="47" t="n">
        <v>5231</v>
      </c>
      <c r="O1269" s="46" t="n">
        <v>197</v>
      </c>
      <c r="P1269" s="46" t="n">
        <v>1</v>
      </c>
      <c r="Q1269" s="46" t="n">
        <v>322</v>
      </c>
      <c r="R1269" s="46" t="n">
        <v>966</v>
      </c>
      <c r="S1269" s="46" t="n">
        <v>308</v>
      </c>
      <c r="T1269" s="46" t="n">
        <v>646</v>
      </c>
      <c r="U1269" s="46" t="n">
        <v>725</v>
      </c>
      <c r="V1269" s="46" t="n"/>
      <c r="W1269" s="46" t="n">
        <v>690</v>
      </c>
      <c r="X1269" s="46" t="n">
        <v>1176</v>
      </c>
      <c r="Y1269" s="46" t="n">
        <v>200</v>
      </c>
    </row>
    <row r="1270">
      <c r="A1270" s="78" t="n">
        <v>46262</v>
      </c>
      <c r="B1270" s="45" t="inlineStr">
        <is>
          <t>NX8</t>
        </is>
      </c>
      <c r="C1270" s="46" t="n">
        <v>344</v>
      </c>
      <c r="D1270" s="46" t="n">
        <v>314</v>
      </c>
      <c r="E1270" s="46" t="n">
        <v>334</v>
      </c>
      <c r="F1270" s="46" t="n">
        <v>628</v>
      </c>
      <c r="G1270" s="46" t="n">
        <v>385</v>
      </c>
      <c r="H1270" s="46" t="n">
        <v>243</v>
      </c>
      <c r="I1270" s="46" t="n">
        <v>314</v>
      </c>
      <c r="J1270" s="46" t="n">
        <v>598</v>
      </c>
      <c r="K1270" s="46" t="n">
        <v>567</v>
      </c>
      <c r="L1270" s="46" t="n">
        <v>425</v>
      </c>
      <c r="M1270" s="46">
        <f>N1270-SUM(C1270:L1270)</f>
        <v/>
      </c>
      <c r="N1270" s="47" t="n">
        <v>4944</v>
      </c>
      <c r="O1270" s="46" t="n">
        <v>197</v>
      </c>
      <c r="P1270" s="46" t="n">
        <v>1</v>
      </c>
      <c r="Q1270" s="46" t="n">
        <v>322</v>
      </c>
      <c r="R1270" s="46" t="n">
        <v>967</v>
      </c>
      <c r="S1270" s="46" t="n">
        <v>308</v>
      </c>
      <c r="T1270" s="46" t="n">
        <v>647</v>
      </c>
      <c r="U1270" s="46" t="n">
        <v>725</v>
      </c>
      <c r="V1270" s="46" t="n"/>
      <c r="W1270" s="46" t="n">
        <v>690</v>
      </c>
      <c r="X1270" s="46" t="n">
        <v>1087</v>
      </c>
      <c r="Y1270" s="46" t="n">
        <v>0</v>
      </c>
    </row>
    <row r="1271">
      <c r="A1271" s="78" t="n">
        <v>46263</v>
      </c>
      <c r="B1271" s="45" t="inlineStr">
        <is>
          <t>NX8</t>
        </is>
      </c>
      <c r="C1271" s="46" t="n">
        <v>388</v>
      </c>
      <c r="D1271" s="46" t="n">
        <v>354</v>
      </c>
      <c r="E1271" s="46" t="n">
        <v>377</v>
      </c>
      <c r="F1271" s="46" t="n">
        <v>708</v>
      </c>
      <c r="G1271" s="46" t="n">
        <v>434</v>
      </c>
      <c r="H1271" s="46" t="n">
        <v>274</v>
      </c>
      <c r="I1271" s="46" t="n">
        <v>354</v>
      </c>
      <c r="J1271" s="46" t="n">
        <v>674</v>
      </c>
      <c r="K1271" s="46" t="n">
        <v>640</v>
      </c>
      <c r="L1271" s="46" t="n">
        <v>480</v>
      </c>
      <c r="M1271" s="46">
        <f>N1271-SUM(C1271:L1271)</f>
        <v/>
      </c>
      <c r="N1271" s="47" t="n">
        <v>5577</v>
      </c>
      <c r="O1271" s="46" t="n">
        <v>227</v>
      </c>
      <c r="P1271" s="46" t="n">
        <v>1</v>
      </c>
      <c r="Q1271" s="46" t="n">
        <v>372</v>
      </c>
      <c r="R1271" s="46" t="n">
        <v>1112</v>
      </c>
      <c r="S1271" s="46" t="n">
        <v>354</v>
      </c>
      <c r="T1271" s="46" t="n">
        <v>744</v>
      </c>
      <c r="U1271" s="46" t="n">
        <v>834</v>
      </c>
      <c r="V1271" s="46" t="n"/>
      <c r="W1271" s="46" t="n">
        <v>795</v>
      </c>
      <c r="X1271" s="46" t="n">
        <v>1138</v>
      </c>
      <c r="Y1271" s="46" t="n">
        <v>0</v>
      </c>
    </row>
    <row r="1272">
      <c r="A1272" s="78" t="n">
        <v>46264</v>
      </c>
      <c r="B1272" s="45" t="inlineStr">
        <is>
          <t>NX8</t>
        </is>
      </c>
      <c r="C1272" s="46" t="n">
        <v>393</v>
      </c>
      <c r="D1272" s="46" t="n">
        <v>358</v>
      </c>
      <c r="E1272" s="46" t="n">
        <v>381</v>
      </c>
      <c r="F1272" s="46" t="n">
        <v>716</v>
      </c>
      <c r="G1272" s="46" t="n">
        <v>439</v>
      </c>
      <c r="H1272" s="46" t="n">
        <v>277</v>
      </c>
      <c r="I1272" s="46" t="n">
        <v>358</v>
      </c>
      <c r="J1272" s="46" t="n">
        <v>681</v>
      </c>
      <c r="K1272" s="46" t="n">
        <v>647</v>
      </c>
      <c r="L1272" s="46" t="n">
        <v>485</v>
      </c>
      <c r="M1272" s="46">
        <f>N1272-SUM(C1272:L1272)</f>
        <v/>
      </c>
      <c r="N1272" s="47" t="n">
        <v>5635</v>
      </c>
      <c r="O1272" s="46" t="n">
        <v>227</v>
      </c>
      <c r="P1272" s="46" t="n">
        <v>1</v>
      </c>
      <c r="Q1272" s="46" t="n">
        <v>372</v>
      </c>
      <c r="R1272" s="46" t="n">
        <v>1112</v>
      </c>
      <c r="S1272" s="46" t="n">
        <v>354</v>
      </c>
      <c r="T1272" s="46" t="n">
        <v>744</v>
      </c>
      <c r="U1272" s="46" t="n">
        <v>834</v>
      </c>
      <c r="V1272" s="46" t="n"/>
      <c r="W1272" s="46" t="n">
        <v>795</v>
      </c>
      <c r="X1272" s="46" t="n">
        <v>996</v>
      </c>
      <c r="Y1272" s="46" t="n">
        <v>200</v>
      </c>
    </row>
    <row r="1273">
      <c r="A1273" s="78" t="n">
        <v>46265</v>
      </c>
      <c r="B1273" s="45" t="inlineStr">
        <is>
          <t>NX8</t>
        </is>
      </c>
      <c r="C1273" s="46" t="n">
        <v>344</v>
      </c>
      <c r="D1273" s="46" t="n">
        <v>314</v>
      </c>
      <c r="E1273" s="46" t="n">
        <v>334</v>
      </c>
      <c r="F1273" s="46" t="n">
        <v>628</v>
      </c>
      <c r="G1273" s="46" t="n">
        <v>385</v>
      </c>
      <c r="H1273" s="46" t="n">
        <v>243</v>
      </c>
      <c r="I1273" s="46" t="n">
        <v>314</v>
      </c>
      <c r="J1273" s="46" t="n">
        <v>598</v>
      </c>
      <c r="K1273" s="46" t="n">
        <v>567</v>
      </c>
      <c r="L1273" s="46" t="n">
        <v>425</v>
      </c>
      <c r="M1273" s="46">
        <f>N1273-SUM(C1273:L1273)</f>
        <v/>
      </c>
      <c r="N1273" s="47" t="n">
        <v>4944</v>
      </c>
      <c r="O1273" s="46" t="n">
        <v>197</v>
      </c>
      <c r="P1273" s="46" t="n">
        <v>1</v>
      </c>
      <c r="Q1273" s="46" t="n">
        <v>323</v>
      </c>
      <c r="R1273" s="46" t="n">
        <v>967</v>
      </c>
      <c r="S1273" s="46" t="n">
        <v>308</v>
      </c>
      <c r="T1273" s="46" t="n">
        <v>647</v>
      </c>
      <c r="U1273" s="46" t="n">
        <v>725</v>
      </c>
      <c r="V1273" s="46" t="n"/>
      <c r="W1273" s="46" t="n">
        <v>691</v>
      </c>
      <c r="X1273" s="46" t="n">
        <v>885</v>
      </c>
      <c r="Y1273" s="46" t="n">
        <v>200</v>
      </c>
    </row>
    <row r="1274">
      <c r="A1274" s="78" t="n">
        <v>46266</v>
      </c>
      <c r="B1274" s="45" t="inlineStr">
        <is>
          <t>NX8</t>
        </is>
      </c>
      <c r="C1274" s="46" t="n">
        <v>384</v>
      </c>
      <c r="D1274" s="46" t="n">
        <v>386</v>
      </c>
      <c r="E1274" s="46" t="n">
        <v>456</v>
      </c>
      <c r="F1274" s="46" t="n">
        <v>689</v>
      </c>
      <c r="G1274" s="46" t="n">
        <v>451</v>
      </c>
      <c r="H1274" s="46" t="n">
        <v>301</v>
      </c>
      <c r="I1274" s="46" t="n">
        <v>412</v>
      </c>
      <c r="J1274" s="46" t="n">
        <v>883</v>
      </c>
      <c r="K1274" s="46" t="n">
        <v>664</v>
      </c>
      <c r="L1274" s="46" t="n">
        <v>464</v>
      </c>
      <c r="M1274" s="46">
        <f>N1274-SUM(C1274:L1274)</f>
        <v/>
      </c>
      <c r="N1274" s="47" t="n">
        <v>6058</v>
      </c>
      <c r="O1274" s="46" t="n">
        <v>192</v>
      </c>
      <c r="P1274" s="46" t="n">
        <v>2</v>
      </c>
      <c r="Q1274" s="46" t="n">
        <v>390</v>
      </c>
      <c r="R1274" s="46" t="n">
        <v>1318</v>
      </c>
      <c r="S1274" s="46" t="n">
        <v>371</v>
      </c>
      <c r="T1274" s="46" t="n">
        <v>943</v>
      </c>
      <c r="U1274" s="46" t="n">
        <v>123</v>
      </c>
      <c r="V1274" s="46" t="n">
        <v>643</v>
      </c>
      <c r="W1274" s="46" t="n">
        <v>731</v>
      </c>
      <c r="X1274" s="46" t="n">
        <v>1160</v>
      </c>
      <c r="Y1274" s="46" t="n">
        <v>185</v>
      </c>
    </row>
    <row r="1275">
      <c r="A1275" s="78" t="n">
        <v>46267</v>
      </c>
      <c r="B1275" s="45" t="inlineStr">
        <is>
          <t>NX8</t>
        </is>
      </c>
      <c r="C1275" s="46" t="n">
        <v>385</v>
      </c>
      <c r="D1275" s="46" t="n">
        <v>386</v>
      </c>
      <c r="E1275" s="46" t="n">
        <v>456</v>
      </c>
      <c r="F1275" s="46" t="n">
        <v>689</v>
      </c>
      <c r="G1275" s="46" t="n">
        <v>451</v>
      </c>
      <c r="H1275" s="46" t="n">
        <v>301</v>
      </c>
      <c r="I1275" s="46" t="n">
        <v>412</v>
      </c>
      <c r="J1275" s="46" t="n">
        <v>883</v>
      </c>
      <c r="K1275" s="46" t="n">
        <v>664</v>
      </c>
      <c r="L1275" s="46" t="n">
        <v>464</v>
      </c>
      <c r="M1275" s="46">
        <f>N1275-SUM(C1275:L1275)</f>
        <v/>
      </c>
      <c r="N1275" s="47" t="n">
        <v>6059</v>
      </c>
      <c r="O1275" s="46" t="n">
        <v>192</v>
      </c>
      <c r="P1275" s="46" t="n">
        <v>2</v>
      </c>
      <c r="Q1275" s="46" t="n">
        <v>390</v>
      </c>
      <c r="R1275" s="46" t="n">
        <v>1318</v>
      </c>
      <c r="S1275" s="46" t="n">
        <v>371</v>
      </c>
      <c r="T1275" s="46" t="n">
        <v>943</v>
      </c>
      <c r="U1275" s="46" t="n">
        <v>124</v>
      </c>
      <c r="V1275" s="46" t="n">
        <v>643</v>
      </c>
      <c r="W1275" s="46" t="n">
        <v>731</v>
      </c>
      <c r="X1275" s="46" t="n">
        <v>1160</v>
      </c>
      <c r="Y1275" s="46" t="n">
        <v>185</v>
      </c>
    </row>
    <row r="1276">
      <c r="A1276" s="78" t="n">
        <v>46268</v>
      </c>
      <c r="B1276" s="45" t="inlineStr">
        <is>
          <t>NX8</t>
        </is>
      </c>
      <c r="C1276" s="46" t="n">
        <v>385</v>
      </c>
      <c r="D1276" s="46" t="n">
        <v>386</v>
      </c>
      <c r="E1276" s="46" t="n">
        <v>456</v>
      </c>
      <c r="F1276" s="46" t="n">
        <v>689</v>
      </c>
      <c r="G1276" s="46" t="n">
        <v>451</v>
      </c>
      <c r="H1276" s="46" t="n">
        <v>301</v>
      </c>
      <c r="I1276" s="46" t="n">
        <v>412</v>
      </c>
      <c r="J1276" s="46" t="n">
        <v>883</v>
      </c>
      <c r="K1276" s="46" t="n">
        <v>664</v>
      </c>
      <c r="L1276" s="46" t="n">
        <v>464</v>
      </c>
      <c r="M1276" s="46">
        <f>N1276-SUM(C1276:L1276)</f>
        <v/>
      </c>
      <c r="N1276" s="47" t="n">
        <v>6059</v>
      </c>
      <c r="O1276" s="46" t="n">
        <v>192</v>
      </c>
      <c r="P1276" s="46" t="n">
        <v>2</v>
      </c>
      <c r="Q1276" s="46" t="n">
        <v>390</v>
      </c>
      <c r="R1276" s="46" t="n">
        <v>1318</v>
      </c>
      <c r="S1276" s="46" t="n">
        <v>371</v>
      </c>
      <c r="T1276" s="46" t="n">
        <v>943</v>
      </c>
      <c r="U1276" s="46" t="n">
        <v>124</v>
      </c>
      <c r="V1276" s="46" t="n">
        <v>643</v>
      </c>
      <c r="W1276" s="46" t="n">
        <v>731</v>
      </c>
      <c r="X1276" s="46" t="n">
        <v>1160</v>
      </c>
      <c r="Y1276" s="46" t="n">
        <v>185</v>
      </c>
    </row>
    <row r="1277">
      <c r="A1277" s="78" t="n">
        <v>46269</v>
      </c>
      <c r="B1277" s="45" t="inlineStr">
        <is>
          <t>NX8</t>
        </is>
      </c>
      <c r="C1277" s="46" t="n">
        <v>385</v>
      </c>
      <c r="D1277" s="46" t="n">
        <v>386</v>
      </c>
      <c r="E1277" s="46" t="n">
        <v>456</v>
      </c>
      <c r="F1277" s="46" t="n">
        <v>689</v>
      </c>
      <c r="G1277" s="46" t="n">
        <v>451</v>
      </c>
      <c r="H1277" s="46" t="n">
        <v>301</v>
      </c>
      <c r="I1277" s="46" t="n">
        <v>412</v>
      </c>
      <c r="J1277" s="46" t="n">
        <v>883</v>
      </c>
      <c r="K1277" s="46" t="n">
        <v>664</v>
      </c>
      <c r="L1277" s="46" t="n">
        <v>464</v>
      </c>
      <c r="M1277" s="46">
        <f>N1277-SUM(C1277:L1277)</f>
        <v/>
      </c>
      <c r="N1277" s="47" t="n">
        <v>6059</v>
      </c>
      <c r="O1277" s="46" t="n">
        <v>192</v>
      </c>
      <c r="P1277" s="46" t="n">
        <v>2</v>
      </c>
      <c r="Q1277" s="46" t="n">
        <v>390</v>
      </c>
      <c r="R1277" s="46" t="n">
        <v>1318</v>
      </c>
      <c r="S1277" s="46" t="n">
        <v>371</v>
      </c>
      <c r="T1277" s="46" t="n">
        <v>943</v>
      </c>
      <c r="U1277" s="46" t="n">
        <v>124</v>
      </c>
      <c r="V1277" s="46" t="n">
        <v>643</v>
      </c>
      <c r="W1277" s="46" t="n">
        <v>731</v>
      </c>
      <c r="X1277" s="46" t="n">
        <v>1160</v>
      </c>
      <c r="Y1277" s="46" t="n">
        <v>185</v>
      </c>
    </row>
    <row r="1278">
      <c r="A1278" s="78" t="n">
        <v>46270</v>
      </c>
      <c r="B1278" s="45" t="inlineStr">
        <is>
          <t>NX8</t>
        </is>
      </c>
      <c r="C1278" s="46" t="n">
        <v>429</v>
      </c>
      <c r="D1278" s="46" t="n">
        <v>430</v>
      </c>
      <c r="E1278" s="46" t="n">
        <v>508</v>
      </c>
      <c r="F1278" s="46" t="n">
        <v>768</v>
      </c>
      <c r="G1278" s="46" t="n">
        <v>503</v>
      </c>
      <c r="H1278" s="46" t="n">
        <v>335</v>
      </c>
      <c r="I1278" s="46" t="n">
        <v>459</v>
      </c>
      <c r="J1278" s="46" t="n">
        <v>985</v>
      </c>
      <c r="K1278" s="46" t="n">
        <v>740</v>
      </c>
      <c r="L1278" s="46" t="n">
        <v>517</v>
      </c>
      <c r="M1278" s="46">
        <f>N1278-SUM(C1278:L1278)</f>
        <v/>
      </c>
      <c r="N1278" s="47" t="n">
        <v>6755</v>
      </c>
      <c r="O1278" s="46" t="n">
        <v>221</v>
      </c>
      <c r="P1278" s="46" t="n">
        <v>2</v>
      </c>
      <c r="Q1278" s="46" t="n">
        <v>448</v>
      </c>
      <c r="R1278" s="46" t="n">
        <v>1516</v>
      </c>
      <c r="S1278" s="46" t="n">
        <v>426</v>
      </c>
      <c r="T1278" s="46" t="n">
        <v>1084</v>
      </c>
      <c r="U1278" s="46" t="n">
        <v>143</v>
      </c>
      <c r="V1278" s="46" t="n">
        <v>739</v>
      </c>
      <c r="W1278" s="46" t="n">
        <v>842</v>
      </c>
      <c r="X1278" s="46" t="n">
        <v>1334</v>
      </c>
      <c r="Y1278" s="46" t="n">
        <v>0</v>
      </c>
    </row>
    <row r="1279">
      <c r="A1279" s="78" t="n">
        <v>46271</v>
      </c>
      <c r="B1279" s="45" t="inlineStr">
        <is>
          <t>NX8</t>
        </is>
      </c>
      <c r="C1279" s="46" t="n">
        <v>429</v>
      </c>
      <c r="D1279" s="46" t="n">
        <v>430</v>
      </c>
      <c r="E1279" s="46" t="n">
        <v>508</v>
      </c>
      <c r="F1279" s="46" t="n">
        <v>768</v>
      </c>
      <c r="G1279" s="46" t="n">
        <v>503</v>
      </c>
      <c r="H1279" s="46" t="n">
        <v>335</v>
      </c>
      <c r="I1279" s="46" t="n">
        <v>459</v>
      </c>
      <c r="J1279" s="46" t="n">
        <v>985</v>
      </c>
      <c r="K1279" s="46" t="n">
        <v>740</v>
      </c>
      <c r="L1279" s="46" t="n">
        <v>517</v>
      </c>
      <c r="M1279" s="46">
        <f>N1279-SUM(C1279:L1279)</f>
        <v/>
      </c>
      <c r="N1279" s="47" t="n">
        <v>6755</v>
      </c>
      <c r="O1279" s="46" t="n">
        <v>221</v>
      </c>
      <c r="P1279" s="46" t="n">
        <v>2</v>
      </c>
      <c r="Q1279" s="46" t="n">
        <v>448</v>
      </c>
      <c r="R1279" s="46" t="n">
        <v>1516</v>
      </c>
      <c r="S1279" s="46" t="n">
        <v>426</v>
      </c>
      <c r="T1279" s="46" t="n">
        <v>1084</v>
      </c>
      <c r="U1279" s="46" t="n">
        <v>143</v>
      </c>
      <c r="V1279" s="46" t="n">
        <v>739</v>
      </c>
      <c r="W1279" s="46" t="n">
        <v>842</v>
      </c>
      <c r="X1279" s="46" t="n">
        <v>1334</v>
      </c>
      <c r="Y1279" s="46" t="n">
        <v>0</v>
      </c>
    </row>
    <row r="1280">
      <c r="A1280" s="78" t="n">
        <v>46272</v>
      </c>
      <c r="B1280" s="45" t="inlineStr">
        <is>
          <t>NX8</t>
        </is>
      </c>
      <c r="C1280" s="46" t="n">
        <v>385</v>
      </c>
      <c r="D1280" s="46" t="n">
        <v>386</v>
      </c>
      <c r="E1280" s="46" t="n">
        <v>456</v>
      </c>
      <c r="F1280" s="46" t="n">
        <v>689</v>
      </c>
      <c r="G1280" s="46" t="n">
        <v>452</v>
      </c>
      <c r="H1280" s="46" t="n">
        <v>301</v>
      </c>
      <c r="I1280" s="46" t="n">
        <v>412</v>
      </c>
      <c r="J1280" s="46" t="n">
        <v>884</v>
      </c>
      <c r="K1280" s="46" t="n">
        <v>664</v>
      </c>
      <c r="L1280" s="46" t="n">
        <v>464</v>
      </c>
      <c r="M1280" s="46">
        <f>N1280-SUM(C1280:L1280)</f>
        <v/>
      </c>
      <c r="N1280" s="47" t="n">
        <v>6063</v>
      </c>
      <c r="O1280" s="46" t="n">
        <v>192</v>
      </c>
      <c r="P1280" s="46" t="n">
        <v>2</v>
      </c>
      <c r="Q1280" s="46" t="n">
        <v>391</v>
      </c>
      <c r="R1280" s="46" t="n">
        <v>1318</v>
      </c>
      <c r="S1280" s="46" t="n">
        <v>372</v>
      </c>
      <c r="T1280" s="46" t="n">
        <v>943</v>
      </c>
      <c r="U1280" s="46" t="n">
        <v>124</v>
      </c>
      <c r="V1280" s="46" t="n">
        <v>643</v>
      </c>
      <c r="W1280" s="46" t="n">
        <v>732</v>
      </c>
      <c r="X1280" s="46" t="n">
        <v>1160</v>
      </c>
      <c r="Y1280" s="46" t="n">
        <v>186</v>
      </c>
    </row>
    <row r="1281">
      <c r="A1281" s="78" t="n">
        <v>46273</v>
      </c>
      <c r="B1281" s="45" t="inlineStr">
        <is>
          <t>NX8</t>
        </is>
      </c>
      <c r="C1281" s="46" t="n">
        <v>385</v>
      </c>
      <c r="D1281" s="46" t="n">
        <v>386</v>
      </c>
      <c r="E1281" s="46" t="n">
        <v>456</v>
      </c>
      <c r="F1281" s="46" t="n">
        <v>689</v>
      </c>
      <c r="G1281" s="46" t="n">
        <v>452</v>
      </c>
      <c r="H1281" s="46" t="n">
        <v>301</v>
      </c>
      <c r="I1281" s="46" t="n">
        <v>412</v>
      </c>
      <c r="J1281" s="46" t="n">
        <v>884</v>
      </c>
      <c r="K1281" s="46" t="n">
        <v>664</v>
      </c>
      <c r="L1281" s="46" t="n">
        <v>464</v>
      </c>
      <c r="M1281" s="46">
        <f>N1281-SUM(C1281:L1281)</f>
        <v/>
      </c>
      <c r="N1281" s="47" t="n">
        <v>6063</v>
      </c>
      <c r="O1281" s="46" t="n">
        <v>192</v>
      </c>
      <c r="P1281" s="46" t="n">
        <v>2</v>
      </c>
      <c r="Q1281" s="46" t="n">
        <v>391</v>
      </c>
      <c r="R1281" s="46" t="n">
        <v>1318</v>
      </c>
      <c r="S1281" s="46" t="n">
        <v>372</v>
      </c>
      <c r="T1281" s="46" t="n">
        <v>943</v>
      </c>
      <c r="U1281" s="46" t="n">
        <v>124</v>
      </c>
      <c r="V1281" s="46" t="n">
        <v>643</v>
      </c>
      <c r="W1281" s="46" t="n">
        <v>732</v>
      </c>
      <c r="X1281" s="46" t="n">
        <v>1160</v>
      </c>
      <c r="Y1281" s="46" t="n">
        <v>186</v>
      </c>
    </row>
    <row r="1282">
      <c r="A1282" s="78" t="n">
        <v>46274</v>
      </c>
      <c r="B1282" s="45" t="inlineStr">
        <is>
          <t>NX8</t>
        </is>
      </c>
      <c r="C1282" s="46" t="n">
        <v>385</v>
      </c>
      <c r="D1282" s="46" t="n">
        <v>386</v>
      </c>
      <c r="E1282" s="46" t="n">
        <v>456</v>
      </c>
      <c r="F1282" s="46" t="n">
        <v>689</v>
      </c>
      <c r="G1282" s="46" t="n">
        <v>452</v>
      </c>
      <c r="H1282" s="46" t="n">
        <v>301</v>
      </c>
      <c r="I1282" s="46" t="n">
        <v>412</v>
      </c>
      <c r="J1282" s="46" t="n">
        <v>884</v>
      </c>
      <c r="K1282" s="46" t="n">
        <v>664</v>
      </c>
      <c r="L1282" s="46" t="n">
        <v>464</v>
      </c>
      <c r="M1282" s="46">
        <f>N1282-SUM(C1282:L1282)</f>
        <v/>
      </c>
      <c r="N1282" s="47" t="n">
        <v>6063</v>
      </c>
      <c r="O1282" s="46" t="n">
        <v>192</v>
      </c>
      <c r="P1282" s="46" t="n">
        <v>2</v>
      </c>
      <c r="Q1282" s="46" t="n">
        <v>391</v>
      </c>
      <c r="R1282" s="46" t="n">
        <v>1318</v>
      </c>
      <c r="S1282" s="46" t="n">
        <v>372</v>
      </c>
      <c r="T1282" s="46" t="n">
        <v>943</v>
      </c>
      <c r="U1282" s="46" t="n">
        <v>124</v>
      </c>
      <c r="V1282" s="46" t="n">
        <v>643</v>
      </c>
      <c r="W1282" s="46" t="n">
        <v>732</v>
      </c>
      <c r="X1282" s="46" t="n">
        <v>1160</v>
      </c>
      <c r="Y1282" s="46" t="n">
        <v>186</v>
      </c>
    </row>
    <row r="1283">
      <c r="A1283" s="78" t="n">
        <v>46275</v>
      </c>
      <c r="B1283" s="45" t="inlineStr">
        <is>
          <t>NX8</t>
        </is>
      </c>
      <c r="C1283" s="46" t="n">
        <v>385</v>
      </c>
      <c r="D1283" s="46" t="n">
        <v>386</v>
      </c>
      <c r="E1283" s="46" t="n">
        <v>456</v>
      </c>
      <c r="F1283" s="46" t="n">
        <v>689</v>
      </c>
      <c r="G1283" s="46" t="n">
        <v>452</v>
      </c>
      <c r="H1283" s="46" t="n">
        <v>301</v>
      </c>
      <c r="I1283" s="46" t="n">
        <v>412</v>
      </c>
      <c r="J1283" s="46" t="n">
        <v>884</v>
      </c>
      <c r="K1283" s="46" t="n">
        <v>664</v>
      </c>
      <c r="L1283" s="46" t="n">
        <v>464</v>
      </c>
      <c r="M1283" s="46">
        <f>N1283-SUM(C1283:L1283)</f>
        <v/>
      </c>
      <c r="N1283" s="47" t="n">
        <v>6064</v>
      </c>
      <c r="O1283" s="46" t="n">
        <v>192</v>
      </c>
      <c r="P1283" s="46" t="n">
        <v>2</v>
      </c>
      <c r="Q1283" s="46" t="n">
        <v>391</v>
      </c>
      <c r="R1283" s="46" t="n">
        <v>1318</v>
      </c>
      <c r="S1283" s="46" t="n">
        <v>372</v>
      </c>
      <c r="T1283" s="46" t="n">
        <v>943</v>
      </c>
      <c r="U1283" s="46" t="n">
        <v>124</v>
      </c>
      <c r="V1283" s="46" t="n">
        <v>643</v>
      </c>
      <c r="W1283" s="46" t="n">
        <v>732</v>
      </c>
      <c r="X1283" s="46" t="n">
        <v>1161</v>
      </c>
      <c r="Y1283" s="46" t="n">
        <v>186</v>
      </c>
    </row>
    <row r="1284">
      <c r="A1284" s="78" t="n">
        <v>46276</v>
      </c>
      <c r="B1284" s="45" t="inlineStr">
        <is>
          <t>NX8</t>
        </is>
      </c>
      <c r="C1284" s="46" t="n">
        <v>385</v>
      </c>
      <c r="D1284" s="46" t="n">
        <v>386</v>
      </c>
      <c r="E1284" s="46" t="n">
        <v>456</v>
      </c>
      <c r="F1284" s="46" t="n">
        <v>690</v>
      </c>
      <c r="G1284" s="46" t="n">
        <v>452</v>
      </c>
      <c r="H1284" s="46" t="n">
        <v>301</v>
      </c>
      <c r="I1284" s="46" t="n">
        <v>412</v>
      </c>
      <c r="J1284" s="46" t="n">
        <v>884</v>
      </c>
      <c r="K1284" s="46" t="n">
        <v>665</v>
      </c>
      <c r="L1284" s="46" t="n">
        <v>464</v>
      </c>
      <c r="M1284" s="46">
        <f>N1284-SUM(C1284:L1284)</f>
        <v/>
      </c>
      <c r="N1284" s="47" t="n">
        <v>6066</v>
      </c>
      <c r="O1284" s="46" t="n">
        <v>192</v>
      </c>
      <c r="P1284" s="46" t="n">
        <v>3</v>
      </c>
      <c r="Q1284" s="46" t="n">
        <v>391</v>
      </c>
      <c r="R1284" s="46" t="n">
        <v>1318</v>
      </c>
      <c r="S1284" s="46" t="n">
        <v>372</v>
      </c>
      <c r="T1284" s="46" t="n">
        <v>944</v>
      </c>
      <c r="U1284" s="46" t="n">
        <v>124</v>
      </c>
      <c r="V1284" s="46" t="n">
        <v>643</v>
      </c>
      <c r="W1284" s="46" t="n">
        <v>732</v>
      </c>
      <c r="X1284" s="46" t="n">
        <v>1161</v>
      </c>
      <c r="Y1284" s="46" t="n">
        <v>186</v>
      </c>
    </row>
    <row r="1285">
      <c r="A1285" s="78" t="n">
        <v>46277</v>
      </c>
      <c r="B1285" s="45" t="inlineStr">
        <is>
          <t>NX8</t>
        </is>
      </c>
      <c r="C1285" s="46" t="n">
        <v>429</v>
      </c>
      <c r="D1285" s="46" t="n">
        <v>430</v>
      </c>
      <c r="E1285" s="46" t="n">
        <v>509</v>
      </c>
      <c r="F1285" s="46" t="n">
        <v>768</v>
      </c>
      <c r="G1285" s="46" t="n">
        <v>503</v>
      </c>
      <c r="H1285" s="46" t="n">
        <v>336</v>
      </c>
      <c r="I1285" s="46" t="n">
        <v>459</v>
      </c>
      <c r="J1285" s="46" t="n">
        <v>986</v>
      </c>
      <c r="K1285" s="46" t="n">
        <v>741</v>
      </c>
      <c r="L1285" s="46" t="n">
        <v>517</v>
      </c>
      <c r="M1285" s="46">
        <f>N1285-SUM(C1285:L1285)</f>
        <v/>
      </c>
      <c r="N1285" s="47" t="n">
        <v>6760</v>
      </c>
      <c r="O1285" s="46" t="n">
        <v>221</v>
      </c>
      <c r="P1285" s="46" t="n">
        <v>3</v>
      </c>
      <c r="Q1285" s="46" t="n">
        <v>449</v>
      </c>
      <c r="R1285" s="46" t="n">
        <v>1516</v>
      </c>
      <c r="S1285" s="46" t="n">
        <v>427</v>
      </c>
      <c r="T1285" s="46" t="n">
        <v>1085</v>
      </c>
      <c r="U1285" s="46" t="n">
        <v>143</v>
      </c>
      <c r="V1285" s="46" t="n">
        <v>739</v>
      </c>
      <c r="W1285" s="46" t="n">
        <v>842</v>
      </c>
      <c r="X1285" s="46" t="n">
        <v>1335</v>
      </c>
      <c r="Y1285" s="46" t="n">
        <v>0</v>
      </c>
    </row>
    <row r="1286">
      <c r="A1286" s="78" t="n">
        <v>46278</v>
      </c>
      <c r="B1286" s="45" t="inlineStr">
        <is>
          <t>NX8</t>
        </is>
      </c>
      <c r="C1286" s="46" t="n">
        <v>429</v>
      </c>
      <c r="D1286" s="46" t="n">
        <v>430</v>
      </c>
      <c r="E1286" s="46" t="n">
        <v>509</v>
      </c>
      <c r="F1286" s="46" t="n">
        <v>768</v>
      </c>
      <c r="G1286" s="46" t="n">
        <v>503</v>
      </c>
      <c r="H1286" s="46" t="n">
        <v>336</v>
      </c>
      <c r="I1286" s="46" t="n">
        <v>459</v>
      </c>
      <c r="J1286" s="46" t="n">
        <v>986</v>
      </c>
      <c r="K1286" s="46" t="n">
        <v>741</v>
      </c>
      <c r="L1286" s="46" t="n">
        <v>517</v>
      </c>
      <c r="M1286" s="46">
        <f>N1286-SUM(C1286:L1286)</f>
        <v/>
      </c>
      <c r="N1286" s="47" t="n">
        <v>6760</v>
      </c>
      <c r="O1286" s="46" t="n">
        <v>221</v>
      </c>
      <c r="P1286" s="46" t="n">
        <v>3</v>
      </c>
      <c r="Q1286" s="46" t="n">
        <v>449</v>
      </c>
      <c r="R1286" s="46" t="n">
        <v>1516</v>
      </c>
      <c r="S1286" s="46" t="n">
        <v>427</v>
      </c>
      <c r="T1286" s="46" t="n">
        <v>1085</v>
      </c>
      <c r="U1286" s="46" t="n">
        <v>143</v>
      </c>
      <c r="V1286" s="46" t="n">
        <v>739</v>
      </c>
      <c r="W1286" s="46" t="n">
        <v>842</v>
      </c>
      <c r="X1286" s="46" t="n">
        <v>1335</v>
      </c>
      <c r="Y1286" s="46" t="n">
        <v>0</v>
      </c>
    </row>
    <row r="1287">
      <c r="A1287" s="78" t="n">
        <v>46279</v>
      </c>
      <c r="B1287" s="45" t="inlineStr">
        <is>
          <t>NX8</t>
        </is>
      </c>
      <c r="C1287" s="46" t="n">
        <v>385</v>
      </c>
      <c r="D1287" s="46" t="n">
        <v>386</v>
      </c>
      <c r="E1287" s="46" t="n">
        <v>456</v>
      </c>
      <c r="F1287" s="46" t="n">
        <v>690</v>
      </c>
      <c r="G1287" s="46" t="n">
        <v>452</v>
      </c>
      <c r="H1287" s="46" t="n">
        <v>301</v>
      </c>
      <c r="I1287" s="46" t="n">
        <v>412</v>
      </c>
      <c r="J1287" s="46" t="n">
        <v>884</v>
      </c>
      <c r="K1287" s="46" t="n">
        <v>665</v>
      </c>
      <c r="L1287" s="46" t="n">
        <v>464</v>
      </c>
      <c r="M1287" s="46">
        <f>N1287-SUM(C1287:L1287)</f>
        <v/>
      </c>
      <c r="N1287" s="47" t="n">
        <v>6066</v>
      </c>
      <c r="O1287" s="46" t="n">
        <v>192</v>
      </c>
      <c r="P1287" s="46" t="n">
        <v>3</v>
      </c>
      <c r="Q1287" s="46" t="n">
        <v>391</v>
      </c>
      <c r="R1287" s="46" t="n">
        <v>1318</v>
      </c>
      <c r="S1287" s="46" t="n">
        <v>372</v>
      </c>
      <c r="T1287" s="46" t="n">
        <v>944</v>
      </c>
      <c r="U1287" s="46" t="n">
        <v>124</v>
      </c>
      <c r="V1287" s="46" t="n">
        <v>643</v>
      </c>
      <c r="W1287" s="46" t="n">
        <v>732</v>
      </c>
      <c r="X1287" s="46" t="n">
        <v>1161</v>
      </c>
      <c r="Y1287" s="46" t="n">
        <v>186</v>
      </c>
    </row>
    <row r="1288">
      <c r="A1288" s="78" t="n">
        <v>46280</v>
      </c>
      <c r="B1288" s="45" t="inlineStr">
        <is>
          <t>NX8</t>
        </is>
      </c>
      <c r="C1288" s="46" t="n">
        <v>385</v>
      </c>
      <c r="D1288" s="46" t="n">
        <v>386</v>
      </c>
      <c r="E1288" s="46" t="n">
        <v>456</v>
      </c>
      <c r="F1288" s="46" t="n">
        <v>690</v>
      </c>
      <c r="G1288" s="46" t="n">
        <v>452</v>
      </c>
      <c r="H1288" s="46" t="n">
        <v>301</v>
      </c>
      <c r="I1288" s="46" t="n">
        <v>412</v>
      </c>
      <c r="J1288" s="46" t="n">
        <v>884</v>
      </c>
      <c r="K1288" s="46" t="n">
        <v>665</v>
      </c>
      <c r="L1288" s="46" t="n">
        <v>464</v>
      </c>
      <c r="M1288" s="46">
        <f>N1288-SUM(C1288:L1288)</f>
        <v/>
      </c>
      <c r="N1288" s="47" t="n">
        <v>6066</v>
      </c>
      <c r="O1288" s="46" t="n">
        <v>192</v>
      </c>
      <c r="P1288" s="46" t="n">
        <v>3</v>
      </c>
      <c r="Q1288" s="46" t="n">
        <v>391</v>
      </c>
      <c r="R1288" s="46" t="n">
        <v>1318</v>
      </c>
      <c r="S1288" s="46" t="n">
        <v>372</v>
      </c>
      <c r="T1288" s="46" t="n">
        <v>944</v>
      </c>
      <c r="U1288" s="46" t="n">
        <v>124</v>
      </c>
      <c r="V1288" s="46" t="n">
        <v>643</v>
      </c>
      <c r="W1288" s="46" t="n">
        <v>732</v>
      </c>
      <c r="X1288" s="46" t="n">
        <v>1161</v>
      </c>
      <c r="Y1288" s="46" t="n">
        <v>186</v>
      </c>
    </row>
    <row r="1289">
      <c r="A1289" s="78" t="n">
        <v>46281</v>
      </c>
      <c r="B1289" s="45" t="inlineStr">
        <is>
          <t>NX8</t>
        </is>
      </c>
      <c r="C1289" s="46" t="n">
        <v>385</v>
      </c>
      <c r="D1289" s="46" t="n">
        <v>386</v>
      </c>
      <c r="E1289" s="46" t="n">
        <v>456</v>
      </c>
      <c r="F1289" s="46" t="n">
        <v>690</v>
      </c>
      <c r="G1289" s="46" t="n">
        <v>452</v>
      </c>
      <c r="H1289" s="46" t="n">
        <v>301</v>
      </c>
      <c r="I1289" s="46" t="n">
        <v>412</v>
      </c>
      <c r="J1289" s="46" t="n">
        <v>884</v>
      </c>
      <c r="K1289" s="46" t="n">
        <v>665</v>
      </c>
      <c r="L1289" s="46" t="n">
        <v>464</v>
      </c>
      <c r="M1289" s="46">
        <f>N1289-SUM(C1289:L1289)</f>
        <v/>
      </c>
      <c r="N1289" s="47" t="n">
        <v>6066</v>
      </c>
      <c r="O1289" s="46" t="n">
        <v>192</v>
      </c>
      <c r="P1289" s="46" t="n">
        <v>3</v>
      </c>
      <c r="Q1289" s="46" t="n">
        <v>391</v>
      </c>
      <c r="R1289" s="46" t="n">
        <v>1318</v>
      </c>
      <c r="S1289" s="46" t="n">
        <v>372</v>
      </c>
      <c r="T1289" s="46" t="n">
        <v>944</v>
      </c>
      <c r="U1289" s="46" t="n">
        <v>124</v>
      </c>
      <c r="V1289" s="46" t="n">
        <v>643</v>
      </c>
      <c r="W1289" s="46" t="n">
        <v>732</v>
      </c>
      <c r="X1289" s="46" t="n">
        <v>1161</v>
      </c>
      <c r="Y1289" s="46" t="n">
        <v>186</v>
      </c>
    </row>
    <row r="1290">
      <c r="A1290" s="78" t="n">
        <v>46282</v>
      </c>
      <c r="B1290" s="45" t="inlineStr">
        <is>
          <t>NX8</t>
        </is>
      </c>
      <c r="C1290" s="46" t="n">
        <v>385</v>
      </c>
      <c r="D1290" s="46" t="n">
        <v>386</v>
      </c>
      <c r="E1290" s="46" t="n">
        <v>456</v>
      </c>
      <c r="F1290" s="46" t="n">
        <v>690</v>
      </c>
      <c r="G1290" s="46" t="n">
        <v>452</v>
      </c>
      <c r="H1290" s="46" t="n">
        <v>301</v>
      </c>
      <c r="I1290" s="46" t="n">
        <v>412</v>
      </c>
      <c r="J1290" s="46" t="n">
        <v>884</v>
      </c>
      <c r="K1290" s="46" t="n">
        <v>665</v>
      </c>
      <c r="L1290" s="46" t="n">
        <v>464</v>
      </c>
      <c r="M1290" s="46">
        <f>N1290-SUM(C1290:L1290)</f>
        <v/>
      </c>
      <c r="N1290" s="47" t="n">
        <v>6066</v>
      </c>
      <c r="O1290" s="46" t="n">
        <v>192</v>
      </c>
      <c r="P1290" s="46" t="n">
        <v>3</v>
      </c>
      <c r="Q1290" s="46" t="n">
        <v>391</v>
      </c>
      <c r="R1290" s="46" t="n">
        <v>1318</v>
      </c>
      <c r="S1290" s="46" t="n">
        <v>372</v>
      </c>
      <c r="T1290" s="46" t="n">
        <v>944</v>
      </c>
      <c r="U1290" s="46" t="n">
        <v>124</v>
      </c>
      <c r="V1290" s="46" t="n">
        <v>643</v>
      </c>
      <c r="W1290" s="46" t="n">
        <v>732</v>
      </c>
      <c r="X1290" s="46" t="n">
        <v>1161</v>
      </c>
      <c r="Y1290" s="46" t="n">
        <v>186</v>
      </c>
    </row>
    <row r="1291">
      <c r="A1291" s="78" t="n">
        <v>46283</v>
      </c>
      <c r="B1291" s="45" t="inlineStr">
        <is>
          <t>NX8</t>
        </is>
      </c>
      <c r="C1291" s="46" t="n">
        <v>385</v>
      </c>
      <c r="D1291" s="46" t="n">
        <v>386</v>
      </c>
      <c r="E1291" s="46" t="n">
        <v>456</v>
      </c>
      <c r="F1291" s="46" t="n">
        <v>690</v>
      </c>
      <c r="G1291" s="46" t="n">
        <v>452</v>
      </c>
      <c r="H1291" s="46" t="n">
        <v>301</v>
      </c>
      <c r="I1291" s="46" t="n">
        <v>412</v>
      </c>
      <c r="J1291" s="46" t="n">
        <v>884</v>
      </c>
      <c r="K1291" s="46" t="n">
        <v>665</v>
      </c>
      <c r="L1291" s="46" t="n">
        <v>464</v>
      </c>
      <c r="M1291" s="46">
        <f>N1291-SUM(C1291:L1291)</f>
        <v/>
      </c>
      <c r="N1291" s="47" t="n">
        <v>6066</v>
      </c>
      <c r="O1291" s="46" t="n">
        <v>192</v>
      </c>
      <c r="P1291" s="46" t="n">
        <v>3</v>
      </c>
      <c r="Q1291" s="46" t="n">
        <v>391</v>
      </c>
      <c r="R1291" s="46" t="n">
        <v>1318</v>
      </c>
      <c r="S1291" s="46" t="n">
        <v>372</v>
      </c>
      <c r="T1291" s="46" t="n">
        <v>944</v>
      </c>
      <c r="U1291" s="46" t="n">
        <v>124</v>
      </c>
      <c r="V1291" s="46" t="n">
        <v>643</v>
      </c>
      <c r="W1291" s="46" t="n">
        <v>732</v>
      </c>
      <c r="X1291" s="46" t="n">
        <v>1161</v>
      </c>
      <c r="Y1291" s="46" t="n">
        <v>186</v>
      </c>
    </row>
    <row r="1292">
      <c r="A1292" s="78" t="n">
        <v>46284</v>
      </c>
      <c r="B1292" s="45" t="inlineStr">
        <is>
          <t>NX8</t>
        </is>
      </c>
      <c r="C1292" s="46" t="n">
        <v>429</v>
      </c>
      <c r="D1292" s="46" t="n">
        <v>430</v>
      </c>
      <c r="E1292" s="46" t="n">
        <v>509</v>
      </c>
      <c r="F1292" s="46" t="n">
        <v>768</v>
      </c>
      <c r="G1292" s="46" t="n">
        <v>503</v>
      </c>
      <c r="H1292" s="46" t="n">
        <v>336</v>
      </c>
      <c r="I1292" s="46" t="n">
        <v>459</v>
      </c>
      <c r="J1292" s="46" t="n">
        <v>986</v>
      </c>
      <c r="K1292" s="46" t="n">
        <v>741</v>
      </c>
      <c r="L1292" s="46" t="n">
        <v>517</v>
      </c>
      <c r="M1292" s="46">
        <f>N1292-SUM(C1292:L1292)</f>
        <v/>
      </c>
      <c r="N1292" s="47" t="n">
        <v>6760</v>
      </c>
      <c r="O1292" s="46" t="n">
        <v>221</v>
      </c>
      <c r="P1292" s="46" t="n">
        <v>3</v>
      </c>
      <c r="Q1292" s="46" t="n">
        <v>449</v>
      </c>
      <c r="R1292" s="46" t="n">
        <v>1516</v>
      </c>
      <c r="S1292" s="46" t="n">
        <v>427</v>
      </c>
      <c r="T1292" s="46" t="n">
        <v>1085</v>
      </c>
      <c r="U1292" s="46" t="n">
        <v>143</v>
      </c>
      <c r="V1292" s="46" t="n">
        <v>739</v>
      </c>
      <c r="W1292" s="46" t="n">
        <v>842</v>
      </c>
      <c r="X1292" s="46" t="n">
        <v>1335</v>
      </c>
      <c r="Y1292" s="46" t="n">
        <v>0</v>
      </c>
    </row>
    <row r="1293">
      <c r="A1293" s="78" t="n">
        <v>46285</v>
      </c>
      <c r="B1293" s="45" t="inlineStr">
        <is>
          <t>NX8</t>
        </is>
      </c>
      <c r="C1293" s="46" t="n">
        <v>385</v>
      </c>
      <c r="D1293" s="46" t="n">
        <v>386</v>
      </c>
      <c r="E1293" s="46" t="n">
        <v>456</v>
      </c>
      <c r="F1293" s="46" t="n">
        <v>690</v>
      </c>
      <c r="G1293" s="46" t="n">
        <v>452</v>
      </c>
      <c r="H1293" s="46" t="n">
        <v>301</v>
      </c>
      <c r="I1293" s="46" t="n">
        <v>412</v>
      </c>
      <c r="J1293" s="46" t="n">
        <v>884</v>
      </c>
      <c r="K1293" s="46" t="n">
        <v>665</v>
      </c>
      <c r="L1293" s="46" t="n">
        <v>464</v>
      </c>
      <c r="M1293" s="46">
        <f>N1293-SUM(C1293:L1293)</f>
        <v/>
      </c>
      <c r="N1293" s="47" t="n">
        <v>6066</v>
      </c>
      <c r="O1293" s="46" t="n">
        <v>192</v>
      </c>
      <c r="P1293" s="46" t="n">
        <v>3</v>
      </c>
      <c r="Q1293" s="46" t="n">
        <v>391</v>
      </c>
      <c r="R1293" s="46" t="n">
        <v>1318</v>
      </c>
      <c r="S1293" s="46" t="n">
        <v>372</v>
      </c>
      <c r="T1293" s="46" t="n">
        <v>944</v>
      </c>
      <c r="U1293" s="46" t="n">
        <v>124</v>
      </c>
      <c r="V1293" s="46" t="n">
        <v>643</v>
      </c>
      <c r="W1293" s="46" t="n">
        <v>732</v>
      </c>
      <c r="X1293" s="46" t="n">
        <v>1161</v>
      </c>
      <c r="Y1293" s="46" t="n">
        <v>186</v>
      </c>
    </row>
    <row r="1294">
      <c r="A1294" s="78" t="n">
        <v>46286</v>
      </c>
      <c r="B1294" s="45" t="inlineStr">
        <is>
          <t>NX8</t>
        </is>
      </c>
      <c r="C1294" s="46" t="n">
        <v>385</v>
      </c>
      <c r="D1294" s="46" t="n">
        <v>386</v>
      </c>
      <c r="E1294" s="46" t="n">
        <v>456</v>
      </c>
      <c r="F1294" s="46" t="n">
        <v>690</v>
      </c>
      <c r="G1294" s="46" t="n">
        <v>452</v>
      </c>
      <c r="H1294" s="46" t="n">
        <v>301</v>
      </c>
      <c r="I1294" s="46" t="n">
        <v>412</v>
      </c>
      <c r="J1294" s="46" t="n">
        <v>884</v>
      </c>
      <c r="K1294" s="46" t="n">
        <v>665</v>
      </c>
      <c r="L1294" s="46" t="n">
        <v>464</v>
      </c>
      <c r="M1294" s="46">
        <f>N1294-SUM(C1294:L1294)</f>
        <v/>
      </c>
      <c r="N1294" s="47" t="n">
        <v>6067</v>
      </c>
      <c r="O1294" s="46" t="n">
        <v>192</v>
      </c>
      <c r="P1294" s="46" t="n">
        <v>3</v>
      </c>
      <c r="Q1294" s="46" t="n">
        <v>391</v>
      </c>
      <c r="R1294" s="46" t="n">
        <v>1319</v>
      </c>
      <c r="S1294" s="46" t="n">
        <v>372</v>
      </c>
      <c r="T1294" s="46" t="n">
        <v>944</v>
      </c>
      <c r="U1294" s="46" t="n">
        <v>124</v>
      </c>
      <c r="V1294" s="46" t="n">
        <v>643</v>
      </c>
      <c r="W1294" s="46" t="n">
        <v>732</v>
      </c>
      <c r="X1294" s="46" t="n">
        <v>1161</v>
      </c>
      <c r="Y1294" s="46" t="n">
        <v>186</v>
      </c>
    </row>
    <row r="1295">
      <c r="A1295" s="78" t="n">
        <v>46287</v>
      </c>
      <c r="B1295" s="45" t="inlineStr">
        <is>
          <t>NX8</t>
        </is>
      </c>
      <c r="C1295" s="46" t="n">
        <v>385</v>
      </c>
      <c r="D1295" s="46" t="n">
        <v>386</v>
      </c>
      <c r="E1295" s="46" t="n">
        <v>456</v>
      </c>
      <c r="F1295" s="46" t="n">
        <v>690</v>
      </c>
      <c r="G1295" s="46" t="n">
        <v>452</v>
      </c>
      <c r="H1295" s="46" t="n">
        <v>301</v>
      </c>
      <c r="I1295" s="46" t="n">
        <v>412</v>
      </c>
      <c r="J1295" s="46" t="n">
        <v>884</v>
      </c>
      <c r="K1295" s="46" t="n">
        <v>665</v>
      </c>
      <c r="L1295" s="46" t="n">
        <v>464</v>
      </c>
      <c r="M1295" s="46">
        <f>N1295-SUM(C1295:L1295)</f>
        <v/>
      </c>
      <c r="N1295" s="47" t="n">
        <v>6067</v>
      </c>
      <c r="O1295" s="46" t="n">
        <v>192</v>
      </c>
      <c r="P1295" s="46" t="n">
        <v>3</v>
      </c>
      <c r="Q1295" s="46" t="n">
        <v>391</v>
      </c>
      <c r="R1295" s="46" t="n">
        <v>1319</v>
      </c>
      <c r="S1295" s="46" t="n">
        <v>372</v>
      </c>
      <c r="T1295" s="46" t="n">
        <v>944</v>
      </c>
      <c r="U1295" s="46" t="n">
        <v>124</v>
      </c>
      <c r="V1295" s="46" t="n">
        <v>643</v>
      </c>
      <c r="W1295" s="46" t="n">
        <v>732</v>
      </c>
      <c r="X1295" s="46" t="n">
        <v>1161</v>
      </c>
      <c r="Y1295" s="46" t="n">
        <v>186</v>
      </c>
    </row>
    <row r="1296">
      <c r="A1296" s="78" t="n">
        <v>46288</v>
      </c>
      <c r="B1296" s="45" t="inlineStr">
        <is>
          <t>NX8</t>
        </is>
      </c>
      <c r="C1296" s="46" t="n">
        <v>385</v>
      </c>
      <c r="D1296" s="46" t="n">
        <v>386</v>
      </c>
      <c r="E1296" s="46" t="n">
        <v>456</v>
      </c>
      <c r="F1296" s="46" t="n">
        <v>690</v>
      </c>
      <c r="G1296" s="46" t="n">
        <v>452</v>
      </c>
      <c r="H1296" s="46" t="n">
        <v>301</v>
      </c>
      <c r="I1296" s="46" t="n">
        <v>412</v>
      </c>
      <c r="J1296" s="46" t="n">
        <v>885</v>
      </c>
      <c r="K1296" s="46" t="n">
        <v>665</v>
      </c>
      <c r="L1296" s="46" t="n">
        <v>465</v>
      </c>
      <c r="M1296" s="46">
        <f>N1296-SUM(C1296:L1296)</f>
        <v/>
      </c>
      <c r="N1296" s="47" t="n">
        <v>6068</v>
      </c>
      <c r="O1296" s="46" t="n">
        <v>193</v>
      </c>
      <c r="P1296" s="46" t="n">
        <v>3</v>
      </c>
      <c r="Q1296" s="46" t="n">
        <v>391</v>
      </c>
      <c r="R1296" s="46" t="n">
        <v>1319</v>
      </c>
      <c r="S1296" s="46" t="n">
        <v>372</v>
      </c>
      <c r="T1296" s="46" t="n">
        <v>944</v>
      </c>
      <c r="U1296" s="46" t="n">
        <v>124</v>
      </c>
      <c r="V1296" s="46" t="n">
        <v>643</v>
      </c>
      <c r="W1296" s="46" t="n">
        <v>732</v>
      </c>
      <c r="X1296" s="46" t="n">
        <v>1161</v>
      </c>
      <c r="Y1296" s="46" t="n">
        <v>186</v>
      </c>
    </row>
    <row r="1297">
      <c r="A1297" s="78" t="n">
        <v>46289</v>
      </c>
      <c r="B1297" s="45" t="inlineStr">
        <is>
          <t>NX8</t>
        </is>
      </c>
      <c r="C1297" s="46" t="n">
        <v>385</v>
      </c>
      <c r="D1297" s="46" t="n">
        <v>386</v>
      </c>
      <c r="E1297" s="46" t="n">
        <v>456</v>
      </c>
      <c r="F1297" s="46" t="n">
        <v>690</v>
      </c>
      <c r="G1297" s="46" t="n">
        <v>452</v>
      </c>
      <c r="H1297" s="46" t="n">
        <v>301</v>
      </c>
      <c r="I1297" s="46" t="n">
        <v>412</v>
      </c>
      <c r="J1297" s="46" t="n">
        <v>885</v>
      </c>
      <c r="K1297" s="46" t="n">
        <v>665</v>
      </c>
      <c r="L1297" s="46" t="n">
        <v>465</v>
      </c>
      <c r="M1297" s="46">
        <f>N1297-SUM(C1297:L1297)</f>
        <v/>
      </c>
      <c r="N1297" s="47" t="n">
        <v>6068</v>
      </c>
      <c r="O1297" s="46" t="n">
        <v>193</v>
      </c>
      <c r="P1297" s="46" t="n">
        <v>3</v>
      </c>
      <c r="Q1297" s="46" t="n">
        <v>391</v>
      </c>
      <c r="R1297" s="46" t="n">
        <v>1319</v>
      </c>
      <c r="S1297" s="46" t="n">
        <v>372</v>
      </c>
      <c r="T1297" s="46" t="n">
        <v>944</v>
      </c>
      <c r="U1297" s="46" t="n">
        <v>124</v>
      </c>
      <c r="V1297" s="46" t="n">
        <v>643</v>
      </c>
      <c r="W1297" s="46" t="n">
        <v>732</v>
      </c>
      <c r="X1297" s="46" t="n">
        <v>1161</v>
      </c>
      <c r="Y1297" s="46" t="n">
        <v>186</v>
      </c>
    </row>
    <row r="1298">
      <c r="A1298" s="78" t="n">
        <v>46290</v>
      </c>
      <c r="B1298" s="45" t="inlineStr">
        <is>
          <t>NX8</t>
        </is>
      </c>
      <c r="C1298" s="46" t="n">
        <v>429</v>
      </c>
      <c r="D1298" s="46" t="n">
        <v>430</v>
      </c>
      <c r="E1298" s="46" t="n">
        <v>509</v>
      </c>
      <c r="F1298" s="46" t="n">
        <v>769</v>
      </c>
      <c r="G1298" s="46" t="n">
        <v>504</v>
      </c>
      <c r="H1298" s="46" t="n">
        <v>336</v>
      </c>
      <c r="I1298" s="46" t="n">
        <v>459</v>
      </c>
      <c r="J1298" s="46" t="n">
        <v>986</v>
      </c>
      <c r="K1298" s="46" t="n">
        <v>741</v>
      </c>
      <c r="L1298" s="46" t="n">
        <v>518</v>
      </c>
      <c r="M1298" s="46">
        <f>N1298-SUM(C1298:L1298)</f>
        <v/>
      </c>
      <c r="N1298" s="47" t="n">
        <v>6762</v>
      </c>
      <c r="O1298" s="46" t="n">
        <v>222</v>
      </c>
      <c r="P1298" s="46" t="n">
        <v>3</v>
      </c>
      <c r="Q1298" s="46" t="n">
        <v>449</v>
      </c>
      <c r="R1298" s="46" t="n">
        <v>1517</v>
      </c>
      <c r="S1298" s="46" t="n">
        <v>427</v>
      </c>
      <c r="T1298" s="46" t="n">
        <v>1085</v>
      </c>
      <c r="U1298" s="46" t="n">
        <v>143</v>
      </c>
      <c r="V1298" s="46" t="n">
        <v>739</v>
      </c>
      <c r="W1298" s="46" t="n">
        <v>842</v>
      </c>
      <c r="X1298" s="46" t="n">
        <v>1335</v>
      </c>
      <c r="Y1298" s="46" t="n">
        <v>0</v>
      </c>
    </row>
    <row r="1299">
      <c r="A1299" s="78" t="n">
        <v>46291</v>
      </c>
      <c r="B1299" s="45" t="inlineStr">
        <is>
          <t>NX8</t>
        </is>
      </c>
      <c r="C1299" s="46" t="n">
        <v>429</v>
      </c>
      <c r="D1299" s="46" t="n">
        <v>430</v>
      </c>
      <c r="E1299" s="46" t="n">
        <v>509</v>
      </c>
      <c r="F1299" s="46" t="n">
        <v>769</v>
      </c>
      <c r="G1299" s="46" t="n">
        <v>504</v>
      </c>
      <c r="H1299" s="46" t="n">
        <v>336</v>
      </c>
      <c r="I1299" s="46" t="n">
        <v>459</v>
      </c>
      <c r="J1299" s="46" t="n">
        <v>986</v>
      </c>
      <c r="K1299" s="46" t="n">
        <v>741</v>
      </c>
      <c r="L1299" s="46" t="n">
        <v>518</v>
      </c>
      <c r="M1299" s="46">
        <f>N1299-SUM(C1299:L1299)</f>
        <v/>
      </c>
      <c r="N1299" s="47" t="n">
        <v>6762</v>
      </c>
      <c r="O1299" s="46" t="n">
        <v>222</v>
      </c>
      <c r="P1299" s="46" t="n">
        <v>3</v>
      </c>
      <c r="Q1299" s="46" t="n">
        <v>449</v>
      </c>
      <c r="R1299" s="46" t="n">
        <v>1517</v>
      </c>
      <c r="S1299" s="46" t="n">
        <v>427</v>
      </c>
      <c r="T1299" s="46" t="n">
        <v>1085</v>
      </c>
      <c r="U1299" s="46" t="n">
        <v>143</v>
      </c>
      <c r="V1299" s="46" t="n">
        <v>739</v>
      </c>
      <c r="W1299" s="46" t="n">
        <v>842</v>
      </c>
      <c r="X1299" s="46" t="n">
        <v>1335</v>
      </c>
      <c r="Y1299" s="46" t="n">
        <v>0</v>
      </c>
    </row>
    <row r="1300">
      <c r="A1300" s="78" t="n">
        <v>46292</v>
      </c>
      <c r="B1300" s="45" t="inlineStr">
        <is>
          <t>NX8</t>
        </is>
      </c>
      <c r="C1300" s="46" t="n">
        <v>429</v>
      </c>
      <c r="D1300" s="46" t="n">
        <v>430</v>
      </c>
      <c r="E1300" s="46" t="n">
        <v>509</v>
      </c>
      <c r="F1300" s="46" t="n">
        <v>769</v>
      </c>
      <c r="G1300" s="46" t="n">
        <v>504</v>
      </c>
      <c r="H1300" s="46" t="n">
        <v>336</v>
      </c>
      <c r="I1300" s="46" t="n">
        <v>459</v>
      </c>
      <c r="J1300" s="46" t="n">
        <v>986</v>
      </c>
      <c r="K1300" s="46" t="n">
        <v>741</v>
      </c>
      <c r="L1300" s="46" t="n">
        <v>518</v>
      </c>
      <c r="M1300" s="46">
        <f>N1300-SUM(C1300:L1300)</f>
        <v/>
      </c>
      <c r="N1300" s="47" t="n">
        <v>6762</v>
      </c>
      <c r="O1300" s="46" t="n">
        <v>222</v>
      </c>
      <c r="P1300" s="46" t="n">
        <v>3</v>
      </c>
      <c r="Q1300" s="46" t="n">
        <v>449</v>
      </c>
      <c r="R1300" s="46" t="n">
        <v>1517</v>
      </c>
      <c r="S1300" s="46" t="n">
        <v>427</v>
      </c>
      <c r="T1300" s="46" t="n">
        <v>1085</v>
      </c>
      <c r="U1300" s="46" t="n">
        <v>143</v>
      </c>
      <c r="V1300" s="46" t="n">
        <v>739</v>
      </c>
      <c r="W1300" s="46" t="n">
        <v>842</v>
      </c>
      <c r="X1300" s="46" t="n">
        <v>1335</v>
      </c>
      <c r="Y1300" s="46" t="n">
        <v>0</v>
      </c>
    </row>
    <row r="1301">
      <c r="A1301" s="78" t="n">
        <v>46293</v>
      </c>
      <c r="B1301" s="45" t="inlineStr">
        <is>
          <t>NX8</t>
        </is>
      </c>
      <c r="C1301" s="46" t="n">
        <v>385</v>
      </c>
      <c r="D1301" s="46" t="n">
        <v>386</v>
      </c>
      <c r="E1301" s="46" t="n">
        <v>456</v>
      </c>
      <c r="F1301" s="46" t="n">
        <v>690</v>
      </c>
      <c r="G1301" s="46" t="n">
        <v>452</v>
      </c>
      <c r="H1301" s="46" t="n">
        <v>301</v>
      </c>
      <c r="I1301" s="46" t="n">
        <v>412</v>
      </c>
      <c r="J1301" s="46" t="n">
        <v>885</v>
      </c>
      <c r="K1301" s="46" t="n">
        <v>665</v>
      </c>
      <c r="L1301" s="46" t="n">
        <v>465</v>
      </c>
      <c r="M1301" s="46">
        <f>N1301-SUM(C1301:L1301)</f>
        <v/>
      </c>
      <c r="N1301" s="47" t="n">
        <v>6068</v>
      </c>
      <c r="O1301" s="46" t="n">
        <v>193</v>
      </c>
      <c r="P1301" s="46" t="n">
        <v>3</v>
      </c>
      <c r="Q1301" s="46" t="n">
        <v>391</v>
      </c>
      <c r="R1301" s="46" t="n">
        <v>1319</v>
      </c>
      <c r="S1301" s="46" t="n">
        <v>372</v>
      </c>
      <c r="T1301" s="46" t="n">
        <v>944</v>
      </c>
      <c r="U1301" s="46" t="n">
        <v>124</v>
      </c>
      <c r="V1301" s="46" t="n">
        <v>643</v>
      </c>
      <c r="W1301" s="46" t="n">
        <v>732</v>
      </c>
      <c r="X1301" s="46" t="n">
        <v>1161</v>
      </c>
      <c r="Y1301" s="46" t="n">
        <v>186</v>
      </c>
    </row>
    <row r="1302">
      <c r="A1302" s="78" t="n">
        <v>46294</v>
      </c>
      <c r="B1302" s="45" t="inlineStr">
        <is>
          <t>NX8</t>
        </is>
      </c>
      <c r="C1302" s="46" t="n">
        <v>385</v>
      </c>
      <c r="D1302" s="46" t="n">
        <v>386</v>
      </c>
      <c r="E1302" s="46" t="n">
        <v>456</v>
      </c>
      <c r="F1302" s="46" t="n">
        <v>690</v>
      </c>
      <c r="G1302" s="46" t="n">
        <v>452</v>
      </c>
      <c r="H1302" s="46" t="n">
        <v>301</v>
      </c>
      <c r="I1302" s="46" t="n">
        <v>412</v>
      </c>
      <c r="J1302" s="46" t="n">
        <v>885</v>
      </c>
      <c r="K1302" s="46" t="n">
        <v>665</v>
      </c>
      <c r="L1302" s="46" t="n">
        <v>465</v>
      </c>
      <c r="M1302" s="46">
        <f>N1302-SUM(C1302:L1302)</f>
        <v/>
      </c>
      <c r="N1302" s="47" t="n">
        <v>6068</v>
      </c>
      <c r="O1302" s="46" t="n">
        <v>193</v>
      </c>
      <c r="P1302" s="46" t="n">
        <v>3</v>
      </c>
      <c r="Q1302" s="46" t="n">
        <v>391</v>
      </c>
      <c r="R1302" s="46" t="n">
        <v>1319</v>
      </c>
      <c r="S1302" s="46" t="n">
        <v>372</v>
      </c>
      <c r="T1302" s="46" t="n">
        <v>944</v>
      </c>
      <c r="U1302" s="46" t="n">
        <v>124</v>
      </c>
      <c r="V1302" s="46" t="n">
        <v>643</v>
      </c>
      <c r="W1302" s="46" t="n">
        <v>732</v>
      </c>
      <c r="X1302" s="46" t="n">
        <v>1161</v>
      </c>
      <c r="Y1302" s="46" t="n">
        <v>186</v>
      </c>
    </row>
    <row r="1303">
      <c r="A1303" s="78" t="n">
        <v>46295</v>
      </c>
      <c r="B1303" s="45" t="inlineStr">
        <is>
          <t>NX8</t>
        </is>
      </c>
      <c r="C1303" s="46" t="n">
        <v>385</v>
      </c>
      <c r="D1303" s="46" t="n">
        <v>386</v>
      </c>
      <c r="E1303" s="46" t="n">
        <v>456</v>
      </c>
      <c r="F1303" s="46" t="n">
        <v>690</v>
      </c>
      <c r="G1303" s="46" t="n">
        <v>452</v>
      </c>
      <c r="H1303" s="46" t="n">
        <v>301</v>
      </c>
      <c r="I1303" s="46" t="n">
        <v>412</v>
      </c>
      <c r="J1303" s="46" t="n">
        <v>885</v>
      </c>
      <c r="K1303" s="46" t="n">
        <v>665</v>
      </c>
      <c r="L1303" s="46" t="n">
        <v>465</v>
      </c>
      <c r="M1303" s="46">
        <f>N1303-SUM(C1303:L1303)</f>
        <v/>
      </c>
      <c r="N1303" s="47" t="n">
        <v>6068</v>
      </c>
      <c r="O1303" s="46" t="n">
        <v>193</v>
      </c>
      <c r="P1303" s="46" t="n">
        <v>3</v>
      </c>
      <c r="Q1303" s="46" t="n">
        <v>391</v>
      </c>
      <c r="R1303" s="46" t="n">
        <v>1319</v>
      </c>
      <c r="S1303" s="46" t="n">
        <v>372</v>
      </c>
      <c r="T1303" s="46" t="n">
        <v>944</v>
      </c>
      <c r="U1303" s="46" t="n">
        <v>124</v>
      </c>
      <c r="V1303" s="46" t="n">
        <v>643</v>
      </c>
      <c r="W1303" s="46" t="n">
        <v>732</v>
      </c>
      <c r="X1303" s="46" t="n">
        <v>1161</v>
      </c>
      <c r="Y1303" s="46" t="n">
        <v>186</v>
      </c>
    </row>
    <row r="1304">
      <c r="A1304" s="78" t="n">
        <v>46296</v>
      </c>
      <c r="B1304" s="45" t="inlineStr">
        <is>
          <t>NX8</t>
        </is>
      </c>
      <c r="C1304" s="46" t="n"/>
      <c r="D1304" s="46" t="n"/>
      <c r="E1304" s="46" t="n"/>
      <c r="F1304" s="46" t="n"/>
      <c r="G1304" s="46" t="n"/>
      <c r="H1304" s="46" t="n"/>
      <c r="I1304" s="46" t="n"/>
      <c r="J1304" s="46" t="n"/>
      <c r="K1304" s="46" t="n"/>
      <c r="L1304" s="46" t="n"/>
      <c r="M1304" s="46">
        <f>N1304-SUM(C1304:L1304)</f>
        <v/>
      </c>
      <c r="N1304" s="47" t="n"/>
      <c r="O1304" s="46" t="n"/>
      <c r="P1304" s="46" t="n"/>
      <c r="Q1304" s="46" t="n"/>
      <c r="R1304" s="46" t="n"/>
      <c r="S1304" s="46" t="n"/>
      <c r="T1304" s="46" t="n"/>
      <c r="U1304" s="46" t="n"/>
      <c r="V1304" s="46" t="n"/>
      <c r="W1304" s="46" t="n"/>
      <c r="X1304" s="46" t="n"/>
      <c r="Y1304" s="46" t="n"/>
    </row>
    <row r="1305">
      <c r="A1305" s="78" t="n">
        <v>46297</v>
      </c>
      <c r="B1305" s="45" t="inlineStr">
        <is>
          <t>NX8</t>
        </is>
      </c>
      <c r="C1305" s="46" t="n"/>
      <c r="D1305" s="46" t="n"/>
      <c r="E1305" s="46" t="n"/>
      <c r="F1305" s="46" t="n"/>
      <c r="G1305" s="46" t="n"/>
      <c r="H1305" s="46" t="n"/>
      <c r="I1305" s="46" t="n"/>
      <c r="J1305" s="46" t="n"/>
      <c r="K1305" s="46" t="n"/>
      <c r="L1305" s="46" t="n"/>
      <c r="M1305" s="46">
        <f>N1305-SUM(C1305:L1305)</f>
        <v/>
      </c>
      <c r="N1305" s="47" t="n"/>
      <c r="O1305" s="46" t="n"/>
      <c r="P1305" s="46" t="n"/>
      <c r="Q1305" s="46" t="n"/>
      <c r="R1305" s="46" t="n"/>
      <c r="S1305" s="46" t="n"/>
      <c r="T1305" s="46" t="n"/>
      <c r="U1305" s="46" t="n"/>
      <c r="V1305" s="46" t="n"/>
      <c r="W1305" s="46" t="n"/>
      <c r="X1305" s="46" t="n"/>
      <c r="Y1305" s="46" t="n"/>
    </row>
    <row r="1306">
      <c r="A1306" s="78" t="n">
        <v>46298</v>
      </c>
      <c r="B1306" s="45" t="inlineStr">
        <is>
          <t>NX8</t>
        </is>
      </c>
      <c r="C1306" s="46" t="n"/>
      <c r="D1306" s="46" t="n"/>
      <c r="E1306" s="46" t="n"/>
      <c r="F1306" s="46" t="n"/>
      <c r="G1306" s="46" t="n"/>
      <c r="H1306" s="46" t="n"/>
      <c r="I1306" s="46" t="n"/>
      <c r="J1306" s="46" t="n"/>
      <c r="K1306" s="46" t="n"/>
      <c r="L1306" s="46" t="n"/>
      <c r="M1306" s="46">
        <f>N1306-SUM(C1306:L1306)</f>
        <v/>
      </c>
      <c r="N1306" s="47" t="n"/>
      <c r="O1306" s="46" t="n"/>
      <c r="P1306" s="46" t="n"/>
      <c r="Q1306" s="46" t="n"/>
      <c r="R1306" s="46" t="n"/>
      <c r="S1306" s="46" t="n"/>
      <c r="T1306" s="46" t="n"/>
      <c r="U1306" s="46" t="n"/>
      <c r="V1306" s="46" t="n"/>
      <c r="W1306" s="46" t="n"/>
      <c r="X1306" s="46" t="n"/>
      <c r="Y1306" s="46" t="n"/>
    </row>
    <row r="1307">
      <c r="A1307" s="78" t="n">
        <v>46299</v>
      </c>
      <c r="B1307" s="45" t="inlineStr">
        <is>
          <t>NX8</t>
        </is>
      </c>
      <c r="C1307" s="46" t="n"/>
      <c r="D1307" s="46" t="n"/>
      <c r="E1307" s="46" t="n"/>
      <c r="F1307" s="46" t="n"/>
      <c r="G1307" s="46" t="n"/>
      <c r="H1307" s="46" t="n"/>
      <c r="I1307" s="46" t="n"/>
      <c r="J1307" s="46" t="n"/>
      <c r="K1307" s="46" t="n"/>
      <c r="L1307" s="46" t="n"/>
      <c r="M1307" s="46">
        <f>N1307-SUM(C1307:L1307)</f>
        <v/>
      </c>
      <c r="N1307" s="47" t="n"/>
      <c r="O1307" s="46" t="n"/>
      <c r="P1307" s="46" t="n"/>
      <c r="Q1307" s="46" t="n"/>
      <c r="R1307" s="46" t="n"/>
      <c r="S1307" s="46" t="n"/>
      <c r="T1307" s="46" t="n"/>
      <c r="U1307" s="46" t="n"/>
      <c r="V1307" s="46" t="n"/>
      <c r="W1307" s="46" t="n"/>
      <c r="X1307" s="46" t="n"/>
      <c r="Y1307" s="46" t="n"/>
    </row>
    <row r="1308">
      <c r="A1308" s="78" t="n">
        <v>46300</v>
      </c>
      <c r="B1308" s="45" t="inlineStr">
        <is>
          <t>NX8</t>
        </is>
      </c>
      <c r="C1308" s="46" t="n"/>
      <c r="D1308" s="46" t="n"/>
      <c r="E1308" s="46" t="n"/>
      <c r="F1308" s="46" t="n"/>
      <c r="G1308" s="46" t="n"/>
      <c r="H1308" s="46" t="n"/>
      <c r="I1308" s="46" t="n"/>
      <c r="J1308" s="46" t="n"/>
      <c r="K1308" s="46" t="n"/>
      <c r="L1308" s="46" t="n"/>
      <c r="M1308" s="46">
        <f>N1308-SUM(C1308:L1308)</f>
        <v/>
      </c>
      <c r="N1308" s="47" t="n"/>
      <c r="O1308" s="46" t="n"/>
      <c r="P1308" s="46" t="n"/>
      <c r="Q1308" s="46" t="n"/>
      <c r="R1308" s="46" t="n"/>
      <c r="S1308" s="46" t="n"/>
      <c r="T1308" s="46" t="n"/>
      <c r="U1308" s="46" t="n"/>
      <c r="V1308" s="46" t="n"/>
      <c r="W1308" s="46" t="n"/>
      <c r="X1308" s="46" t="n"/>
      <c r="Y1308" s="46" t="n"/>
    </row>
    <row r="1309">
      <c r="A1309" s="78" t="n">
        <v>46301</v>
      </c>
      <c r="B1309" s="45" t="inlineStr">
        <is>
          <t>NX8</t>
        </is>
      </c>
      <c r="C1309" s="46" t="n"/>
      <c r="D1309" s="46" t="n"/>
      <c r="E1309" s="46" t="n"/>
      <c r="F1309" s="46" t="n"/>
      <c r="G1309" s="46" t="n"/>
      <c r="H1309" s="46" t="n"/>
      <c r="I1309" s="46" t="n"/>
      <c r="J1309" s="46" t="n"/>
      <c r="K1309" s="46" t="n"/>
      <c r="L1309" s="46" t="n"/>
      <c r="M1309" s="46">
        <f>N1309-SUM(C1309:L1309)</f>
        <v/>
      </c>
      <c r="N1309" s="47" t="n"/>
      <c r="O1309" s="46" t="n"/>
      <c r="P1309" s="46" t="n"/>
      <c r="Q1309" s="46" t="n"/>
      <c r="R1309" s="46" t="n"/>
      <c r="S1309" s="46" t="n"/>
      <c r="T1309" s="46" t="n"/>
      <c r="U1309" s="46" t="n"/>
      <c r="V1309" s="46" t="n"/>
      <c r="W1309" s="46" t="n"/>
      <c r="X1309" s="46" t="n"/>
      <c r="Y1309" s="46" t="n"/>
    </row>
    <row r="1310">
      <c r="A1310" s="78" t="n">
        <v>46302</v>
      </c>
      <c r="B1310" s="45" t="inlineStr">
        <is>
          <t>NX8</t>
        </is>
      </c>
      <c r="C1310" s="46" t="n"/>
      <c r="D1310" s="46" t="n"/>
      <c r="E1310" s="46" t="n"/>
      <c r="F1310" s="46" t="n"/>
      <c r="G1310" s="46" t="n"/>
      <c r="H1310" s="46" t="n"/>
      <c r="I1310" s="46" t="n"/>
      <c r="J1310" s="46" t="n"/>
      <c r="K1310" s="46" t="n"/>
      <c r="L1310" s="46" t="n"/>
      <c r="M1310" s="46">
        <f>N1310-SUM(C1310:L1310)</f>
        <v/>
      </c>
      <c r="N1310" s="47" t="n"/>
      <c r="O1310" s="46" t="n"/>
      <c r="P1310" s="46" t="n"/>
      <c r="Q1310" s="46" t="n"/>
      <c r="R1310" s="46" t="n"/>
      <c r="S1310" s="46" t="n"/>
      <c r="T1310" s="46" t="n"/>
      <c r="U1310" s="46" t="n"/>
      <c r="V1310" s="46" t="n"/>
      <c r="W1310" s="46" t="n"/>
      <c r="X1310" s="46" t="n"/>
      <c r="Y1310" s="46" t="n"/>
    </row>
    <row r="1311">
      <c r="A1311" s="78" t="n">
        <v>46303</v>
      </c>
      <c r="B1311" s="45" t="inlineStr">
        <is>
          <t>NX8</t>
        </is>
      </c>
      <c r="C1311" s="46" t="n"/>
      <c r="D1311" s="46" t="n"/>
      <c r="E1311" s="46" t="n"/>
      <c r="F1311" s="46" t="n"/>
      <c r="G1311" s="46" t="n"/>
      <c r="H1311" s="46" t="n"/>
      <c r="I1311" s="46" t="n"/>
      <c r="J1311" s="46" t="n"/>
      <c r="K1311" s="46" t="n"/>
      <c r="L1311" s="46" t="n"/>
      <c r="M1311" s="46">
        <f>N1311-SUM(C1311:L1311)</f>
        <v/>
      </c>
      <c r="N1311" s="47" t="n"/>
      <c r="O1311" s="46" t="n"/>
      <c r="P1311" s="46" t="n"/>
      <c r="Q1311" s="46" t="n"/>
      <c r="R1311" s="46" t="n"/>
      <c r="S1311" s="46" t="n"/>
      <c r="T1311" s="46" t="n"/>
      <c r="U1311" s="46" t="n"/>
      <c r="V1311" s="46" t="n"/>
      <c r="W1311" s="46" t="n"/>
      <c r="X1311" s="46" t="n"/>
      <c r="Y1311" s="46" t="n"/>
    </row>
    <row r="1312">
      <c r="A1312" s="78" t="n">
        <v>46304</v>
      </c>
      <c r="B1312" s="45" t="inlineStr">
        <is>
          <t>NX8</t>
        </is>
      </c>
      <c r="C1312" s="46" t="n"/>
      <c r="D1312" s="46" t="n"/>
      <c r="E1312" s="46" t="n"/>
      <c r="F1312" s="46" t="n"/>
      <c r="G1312" s="46" t="n"/>
      <c r="H1312" s="46" t="n"/>
      <c r="I1312" s="46" t="n"/>
      <c r="J1312" s="46" t="n"/>
      <c r="K1312" s="46" t="n"/>
      <c r="L1312" s="46" t="n"/>
      <c r="M1312" s="46">
        <f>N1312-SUM(C1312:L1312)</f>
        <v/>
      </c>
      <c r="N1312" s="47" t="n"/>
      <c r="O1312" s="46" t="n"/>
      <c r="P1312" s="46" t="n"/>
      <c r="Q1312" s="46" t="n"/>
      <c r="R1312" s="46" t="n"/>
      <c r="S1312" s="46" t="n"/>
      <c r="T1312" s="46" t="n"/>
      <c r="U1312" s="46" t="n"/>
      <c r="V1312" s="46" t="n"/>
      <c r="W1312" s="46" t="n"/>
      <c r="X1312" s="46" t="n"/>
      <c r="Y1312" s="46" t="n"/>
    </row>
    <row r="1313">
      <c r="A1313" s="78" t="n">
        <v>46305</v>
      </c>
      <c r="B1313" s="45" t="inlineStr">
        <is>
          <t>NX8</t>
        </is>
      </c>
      <c r="C1313" s="46" t="n"/>
      <c r="D1313" s="46" t="n"/>
      <c r="E1313" s="46" t="n"/>
      <c r="F1313" s="46" t="n"/>
      <c r="G1313" s="46" t="n"/>
      <c r="H1313" s="46" t="n"/>
      <c r="I1313" s="46" t="n"/>
      <c r="J1313" s="46" t="n"/>
      <c r="K1313" s="46" t="n"/>
      <c r="L1313" s="46" t="n"/>
      <c r="M1313" s="46">
        <f>N1313-SUM(C1313:L1313)</f>
        <v/>
      </c>
      <c r="N1313" s="47" t="n"/>
      <c r="O1313" s="46" t="n"/>
      <c r="P1313" s="46" t="n"/>
      <c r="Q1313" s="46" t="n"/>
      <c r="R1313" s="46" t="n"/>
      <c r="S1313" s="46" t="n"/>
      <c r="T1313" s="46" t="n"/>
      <c r="U1313" s="46" t="n"/>
      <c r="V1313" s="46" t="n"/>
      <c r="W1313" s="46" t="n"/>
      <c r="X1313" s="46" t="n"/>
      <c r="Y1313" s="46" t="n"/>
    </row>
    <row r="1314">
      <c r="A1314" s="78" t="n">
        <v>46306</v>
      </c>
      <c r="B1314" s="45" t="inlineStr">
        <is>
          <t>NX8</t>
        </is>
      </c>
      <c r="C1314" s="46" t="n"/>
      <c r="D1314" s="46" t="n"/>
      <c r="E1314" s="46" t="n"/>
      <c r="F1314" s="46" t="n"/>
      <c r="G1314" s="46" t="n"/>
      <c r="H1314" s="46" t="n"/>
      <c r="I1314" s="46" t="n"/>
      <c r="J1314" s="46" t="n"/>
      <c r="K1314" s="46" t="n"/>
      <c r="L1314" s="46" t="n"/>
      <c r="M1314" s="46">
        <f>N1314-SUM(C1314:L1314)</f>
        <v/>
      </c>
      <c r="N1314" s="47" t="n"/>
      <c r="O1314" s="46" t="n"/>
      <c r="P1314" s="46" t="n"/>
      <c r="Q1314" s="46" t="n"/>
      <c r="R1314" s="46" t="n"/>
      <c r="S1314" s="46" t="n"/>
      <c r="T1314" s="46" t="n"/>
      <c r="U1314" s="46" t="n"/>
      <c r="V1314" s="46" t="n"/>
      <c r="W1314" s="46" t="n"/>
      <c r="X1314" s="46" t="n"/>
      <c r="Y1314" s="46" t="n"/>
    </row>
    <row r="1315">
      <c r="A1315" s="78" t="n">
        <v>46307</v>
      </c>
      <c r="B1315" s="45" t="inlineStr">
        <is>
          <t>NX8</t>
        </is>
      </c>
      <c r="C1315" s="46" t="n"/>
      <c r="D1315" s="46" t="n"/>
      <c r="E1315" s="46" t="n"/>
      <c r="F1315" s="46" t="n"/>
      <c r="G1315" s="46" t="n"/>
      <c r="H1315" s="46" t="n"/>
      <c r="I1315" s="46" t="n"/>
      <c r="J1315" s="46" t="n"/>
      <c r="K1315" s="46" t="n"/>
      <c r="L1315" s="46" t="n"/>
      <c r="M1315" s="46">
        <f>N1315-SUM(C1315:L1315)</f>
        <v/>
      </c>
      <c r="N1315" s="47" t="n"/>
      <c r="O1315" s="46" t="n"/>
      <c r="P1315" s="46" t="n"/>
      <c r="Q1315" s="46" t="n"/>
      <c r="R1315" s="46" t="n"/>
      <c r="S1315" s="46" t="n"/>
      <c r="T1315" s="46" t="n"/>
      <c r="U1315" s="46" t="n"/>
      <c r="V1315" s="46" t="n"/>
      <c r="W1315" s="46" t="n"/>
      <c r="X1315" s="46" t="n"/>
      <c r="Y1315" s="46" t="n"/>
    </row>
    <row r="1316">
      <c r="A1316" s="78" t="n">
        <v>46308</v>
      </c>
      <c r="B1316" s="45" t="inlineStr">
        <is>
          <t>NX8</t>
        </is>
      </c>
      <c r="C1316" s="46" t="n"/>
      <c r="D1316" s="46" t="n"/>
      <c r="E1316" s="46" t="n"/>
      <c r="F1316" s="46" t="n"/>
      <c r="G1316" s="46" t="n"/>
      <c r="H1316" s="46" t="n"/>
      <c r="I1316" s="46" t="n"/>
      <c r="J1316" s="46" t="n"/>
      <c r="K1316" s="46" t="n"/>
      <c r="L1316" s="46" t="n"/>
      <c r="M1316" s="46">
        <f>N1316-SUM(C1316:L1316)</f>
        <v/>
      </c>
      <c r="N1316" s="47" t="n"/>
      <c r="O1316" s="46" t="n"/>
      <c r="P1316" s="46" t="n"/>
      <c r="Q1316" s="46" t="n"/>
      <c r="R1316" s="46" t="n"/>
      <c r="S1316" s="46" t="n"/>
      <c r="T1316" s="46" t="n"/>
      <c r="U1316" s="46" t="n"/>
      <c r="V1316" s="46" t="n"/>
      <c r="W1316" s="46" t="n"/>
      <c r="X1316" s="46" t="n"/>
      <c r="Y1316" s="46" t="n"/>
    </row>
    <row r="1317">
      <c r="A1317" s="78" t="n">
        <v>46309</v>
      </c>
      <c r="B1317" s="45" t="inlineStr">
        <is>
          <t>NX8</t>
        </is>
      </c>
      <c r="C1317" s="46" t="n"/>
      <c r="D1317" s="46" t="n"/>
      <c r="E1317" s="46" t="n"/>
      <c r="F1317" s="46" t="n"/>
      <c r="G1317" s="46" t="n"/>
      <c r="H1317" s="46" t="n"/>
      <c r="I1317" s="46" t="n"/>
      <c r="J1317" s="46" t="n"/>
      <c r="K1317" s="46" t="n"/>
      <c r="L1317" s="46" t="n"/>
      <c r="M1317" s="46">
        <f>N1317-SUM(C1317:L1317)</f>
        <v/>
      </c>
      <c r="N1317" s="47" t="n"/>
      <c r="O1317" s="46" t="n"/>
      <c r="P1317" s="46" t="n"/>
      <c r="Q1317" s="46" t="n"/>
      <c r="R1317" s="46" t="n"/>
      <c r="S1317" s="46" t="n"/>
      <c r="T1317" s="46" t="n"/>
      <c r="U1317" s="46" t="n"/>
      <c r="V1317" s="46" t="n"/>
      <c r="W1317" s="46" t="n"/>
      <c r="X1317" s="46" t="n"/>
      <c r="Y1317" s="46" t="n"/>
    </row>
    <row r="1318">
      <c r="A1318" s="78" t="n">
        <v>46310</v>
      </c>
      <c r="B1318" s="45" t="inlineStr">
        <is>
          <t>NX8</t>
        </is>
      </c>
      <c r="C1318" s="46" t="n"/>
      <c r="D1318" s="46" t="n"/>
      <c r="E1318" s="46" t="n"/>
      <c r="F1318" s="46" t="n"/>
      <c r="G1318" s="46" t="n"/>
      <c r="H1318" s="46" t="n"/>
      <c r="I1318" s="46" t="n"/>
      <c r="J1318" s="46" t="n"/>
      <c r="K1318" s="46" t="n"/>
      <c r="L1318" s="46" t="n"/>
      <c r="M1318" s="46">
        <f>N1318-SUM(C1318:L1318)</f>
        <v/>
      </c>
      <c r="N1318" s="47" t="n"/>
      <c r="O1318" s="46" t="n"/>
      <c r="P1318" s="46" t="n"/>
      <c r="Q1318" s="46" t="n"/>
      <c r="R1318" s="46" t="n"/>
      <c r="S1318" s="46" t="n"/>
      <c r="T1318" s="46" t="n"/>
      <c r="U1318" s="46" t="n"/>
      <c r="V1318" s="46" t="n"/>
      <c r="W1318" s="46" t="n"/>
      <c r="X1318" s="46" t="n"/>
      <c r="Y1318" s="46" t="n"/>
    </row>
    <row r="1319">
      <c r="A1319" s="78" t="n">
        <v>46311</v>
      </c>
      <c r="B1319" s="45" t="inlineStr">
        <is>
          <t>NX8</t>
        </is>
      </c>
      <c r="C1319" s="46" t="n"/>
      <c r="D1319" s="46" t="n"/>
      <c r="E1319" s="46" t="n"/>
      <c r="F1319" s="46" t="n"/>
      <c r="G1319" s="46" t="n"/>
      <c r="H1319" s="46" t="n"/>
      <c r="I1319" s="46" t="n"/>
      <c r="J1319" s="46" t="n"/>
      <c r="K1319" s="46" t="n"/>
      <c r="L1319" s="46" t="n"/>
      <c r="M1319" s="46">
        <f>N1319-SUM(C1319:L1319)</f>
        <v/>
      </c>
      <c r="N1319" s="47" t="n"/>
      <c r="O1319" s="46" t="n"/>
      <c r="P1319" s="46" t="n"/>
      <c r="Q1319" s="46" t="n"/>
      <c r="R1319" s="46" t="n"/>
      <c r="S1319" s="46" t="n"/>
      <c r="T1319" s="46" t="n"/>
      <c r="U1319" s="46" t="n"/>
      <c r="V1319" s="46" t="n"/>
      <c r="W1319" s="46" t="n"/>
      <c r="X1319" s="46" t="n"/>
      <c r="Y1319" s="46" t="n"/>
    </row>
    <row r="1320">
      <c r="A1320" s="78" t="n">
        <v>46312</v>
      </c>
      <c r="B1320" s="45" t="inlineStr">
        <is>
          <t>NX8</t>
        </is>
      </c>
      <c r="C1320" s="46" t="n"/>
      <c r="D1320" s="46" t="n"/>
      <c r="E1320" s="46" t="n"/>
      <c r="F1320" s="46" t="n"/>
      <c r="G1320" s="46" t="n"/>
      <c r="H1320" s="46" t="n"/>
      <c r="I1320" s="46" t="n"/>
      <c r="J1320" s="46" t="n"/>
      <c r="K1320" s="46" t="n"/>
      <c r="L1320" s="46" t="n"/>
      <c r="M1320" s="46">
        <f>N1320-SUM(C1320:L1320)</f>
        <v/>
      </c>
      <c r="N1320" s="47" t="n"/>
      <c r="O1320" s="46" t="n"/>
      <c r="P1320" s="46" t="n"/>
      <c r="Q1320" s="46" t="n"/>
      <c r="R1320" s="46" t="n"/>
      <c r="S1320" s="46" t="n"/>
      <c r="T1320" s="46" t="n"/>
      <c r="U1320" s="46" t="n"/>
      <c r="V1320" s="46" t="n"/>
      <c r="W1320" s="46" t="n"/>
      <c r="X1320" s="46" t="n"/>
      <c r="Y1320" s="46" t="n"/>
    </row>
    <row r="1321">
      <c r="A1321" s="78" t="n">
        <v>46313</v>
      </c>
      <c r="B1321" s="45" t="inlineStr">
        <is>
          <t>NX8</t>
        </is>
      </c>
      <c r="C1321" s="46" t="n"/>
      <c r="D1321" s="46" t="n"/>
      <c r="E1321" s="46" t="n"/>
      <c r="F1321" s="46" t="n"/>
      <c r="G1321" s="46" t="n"/>
      <c r="H1321" s="46" t="n"/>
      <c r="I1321" s="46" t="n"/>
      <c r="J1321" s="46" t="n"/>
      <c r="K1321" s="46" t="n"/>
      <c r="L1321" s="46" t="n"/>
      <c r="M1321" s="46">
        <f>N1321-SUM(C1321:L1321)</f>
        <v/>
      </c>
      <c r="N1321" s="47" t="n"/>
      <c r="O1321" s="46" t="n"/>
      <c r="P1321" s="46" t="n"/>
      <c r="Q1321" s="46" t="n"/>
      <c r="R1321" s="46" t="n"/>
      <c r="S1321" s="46" t="n"/>
      <c r="T1321" s="46" t="n"/>
      <c r="U1321" s="46" t="n"/>
      <c r="V1321" s="46" t="n"/>
      <c r="W1321" s="46" t="n"/>
      <c r="X1321" s="46" t="n"/>
      <c r="Y1321" s="46" t="n"/>
    </row>
    <row r="1322">
      <c r="A1322" s="78" t="n">
        <v>46314</v>
      </c>
      <c r="B1322" s="45" t="inlineStr">
        <is>
          <t>NX8</t>
        </is>
      </c>
      <c r="C1322" s="46" t="n"/>
      <c r="D1322" s="46" t="n"/>
      <c r="E1322" s="46" t="n"/>
      <c r="F1322" s="46" t="n"/>
      <c r="G1322" s="46" t="n"/>
      <c r="H1322" s="46" t="n"/>
      <c r="I1322" s="46" t="n"/>
      <c r="J1322" s="46" t="n"/>
      <c r="K1322" s="46" t="n"/>
      <c r="L1322" s="46" t="n"/>
      <c r="M1322" s="46">
        <f>N1322-SUM(C1322:L1322)</f>
        <v/>
      </c>
      <c r="N1322" s="47" t="n"/>
      <c r="O1322" s="46" t="n"/>
      <c r="P1322" s="46" t="n"/>
      <c r="Q1322" s="46" t="n"/>
      <c r="R1322" s="46" t="n"/>
      <c r="S1322" s="46" t="n"/>
      <c r="T1322" s="46" t="n"/>
      <c r="U1322" s="46" t="n"/>
      <c r="V1322" s="46" t="n"/>
      <c r="W1322" s="46" t="n"/>
      <c r="X1322" s="46" t="n"/>
      <c r="Y1322" s="46" t="n"/>
    </row>
    <row r="1323">
      <c r="A1323" s="78" t="n">
        <v>46315</v>
      </c>
      <c r="B1323" s="45" t="inlineStr">
        <is>
          <t>NX8</t>
        </is>
      </c>
      <c r="C1323" s="46" t="n"/>
      <c r="D1323" s="46" t="n"/>
      <c r="E1323" s="46" t="n"/>
      <c r="F1323" s="46" t="n"/>
      <c r="G1323" s="46" t="n"/>
      <c r="H1323" s="46" t="n"/>
      <c r="I1323" s="46" t="n"/>
      <c r="J1323" s="46" t="n"/>
      <c r="K1323" s="46" t="n"/>
      <c r="L1323" s="46" t="n"/>
      <c r="M1323" s="46">
        <f>N1323-SUM(C1323:L1323)</f>
        <v/>
      </c>
      <c r="N1323" s="47" t="n"/>
      <c r="O1323" s="46" t="n"/>
      <c r="P1323" s="46" t="n"/>
      <c r="Q1323" s="46" t="n"/>
      <c r="R1323" s="46" t="n"/>
      <c r="S1323" s="46" t="n"/>
      <c r="T1323" s="46" t="n"/>
      <c r="U1323" s="46" t="n"/>
      <c r="V1323" s="46" t="n"/>
      <c r="W1323" s="46" t="n"/>
      <c r="X1323" s="46" t="n"/>
      <c r="Y1323" s="46" t="n"/>
    </row>
    <row r="1324">
      <c r="A1324" s="78" t="n">
        <v>46316</v>
      </c>
      <c r="B1324" s="45" t="inlineStr">
        <is>
          <t>NX8</t>
        </is>
      </c>
      <c r="C1324" s="46" t="n"/>
      <c r="D1324" s="46" t="n"/>
      <c r="E1324" s="46" t="n"/>
      <c r="F1324" s="46" t="n"/>
      <c r="G1324" s="46" t="n"/>
      <c r="H1324" s="46" t="n"/>
      <c r="I1324" s="46" t="n"/>
      <c r="J1324" s="46" t="n"/>
      <c r="K1324" s="46" t="n"/>
      <c r="L1324" s="46" t="n"/>
      <c r="M1324" s="46">
        <f>N1324-SUM(C1324:L1324)</f>
        <v/>
      </c>
      <c r="N1324" s="47" t="n"/>
      <c r="O1324" s="46" t="n"/>
      <c r="P1324" s="46" t="n"/>
      <c r="Q1324" s="46" t="n"/>
      <c r="R1324" s="46" t="n"/>
      <c r="S1324" s="46" t="n"/>
      <c r="T1324" s="46" t="n"/>
      <c r="U1324" s="46" t="n"/>
      <c r="V1324" s="46" t="n"/>
      <c r="W1324" s="46" t="n"/>
      <c r="X1324" s="46" t="n"/>
      <c r="Y1324" s="46" t="n"/>
    </row>
    <row r="1325">
      <c r="A1325" s="78" t="n">
        <v>46317</v>
      </c>
      <c r="B1325" s="45" t="inlineStr">
        <is>
          <t>NX8</t>
        </is>
      </c>
      <c r="C1325" s="46" t="n"/>
      <c r="D1325" s="46" t="n"/>
      <c r="E1325" s="46" t="n"/>
      <c r="F1325" s="46" t="n"/>
      <c r="G1325" s="46" t="n"/>
      <c r="H1325" s="46" t="n"/>
      <c r="I1325" s="46" t="n"/>
      <c r="J1325" s="46" t="n"/>
      <c r="K1325" s="46" t="n"/>
      <c r="L1325" s="46" t="n"/>
      <c r="M1325" s="46">
        <f>N1325-SUM(C1325:L1325)</f>
        <v/>
      </c>
      <c r="N1325" s="47" t="n"/>
      <c r="O1325" s="46" t="n"/>
      <c r="P1325" s="46" t="n"/>
      <c r="Q1325" s="46" t="n"/>
      <c r="R1325" s="46" t="n"/>
      <c r="S1325" s="46" t="n"/>
      <c r="T1325" s="46" t="n"/>
      <c r="U1325" s="46" t="n"/>
      <c r="V1325" s="46" t="n"/>
      <c r="W1325" s="46" t="n"/>
      <c r="X1325" s="46" t="n"/>
      <c r="Y1325" s="46" t="n"/>
    </row>
    <row r="1326">
      <c r="A1326" s="78" t="n">
        <v>46318</v>
      </c>
      <c r="B1326" s="45" t="inlineStr">
        <is>
          <t>NX8</t>
        </is>
      </c>
      <c r="C1326" s="46" t="n"/>
      <c r="D1326" s="46" t="n"/>
      <c r="E1326" s="46" t="n"/>
      <c r="F1326" s="46" t="n"/>
      <c r="G1326" s="46" t="n"/>
      <c r="H1326" s="46" t="n"/>
      <c r="I1326" s="46" t="n"/>
      <c r="J1326" s="46" t="n"/>
      <c r="K1326" s="46" t="n"/>
      <c r="L1326" s="46" t="n"/>
      <c r="M1326" s="46">
        <f>N1326-SUM(C1326:L1326)</f>
        <v/>
      </c>
      <c r="N1326" s="47" t="n"/>
      <c r="O1326" s="46" t="n"/>
      <c r="P1326" s="46" t="n"/>
      <c r="Q1326" s="46" t="n"/>
      <c r="R1326" s="46" t="n"/>
      <c r="S1326" s="46" t="n"/>
      <c r="T1326" s="46" t="n"/>
      <c r="U1326" s="46" t="n"/>
      <c r="V1326" s="46" t="n"/>
      <c r="W1326" s="46" t="n"/>
      <c r="X1326" s="46" t="n"/>
      <c r="Y1326" s="46" t="n"/>
    </row>
    <row r="1327">
      <c r="A1327" s="78" t="n">
        <v>46319</v>
      </c>
      <c r="B1327" s="45" t="inlineStr">
        <is>
          <t>NX8</t>
        </is>
      </c>
      <c r="C1327" s="46" t="n"/>
      <c r="D1327" s="46" t="n"/>
      <c r="E1327" s="46" t="n"/>
      <c r="F1327" s="46" t="n"/>
      <c r="G1327" s="46" t="n"/>
      <c r="H1327" s="46" t="n"/>
      <c r="I1327" s="46" t="n"/>
      <c r="J1327" s="46" t="n"/>
      <c r="K1327" s="46" t="n"/>
      <c r="L1327" s="46" t="n"/>
      <c r="M1327" s="46">
        <f>N1327-SUM(C1327:L1327)</f>
        <v/>
      </c>
      <c r="N1327" s="47" t="n"/>
      <c r="O1327" s="46" t="n"/>
      <c r="P1327" s="46" t="n"/>
      <c r="Q1327" s="46" t="n"/>
      <c r="R1327" s="46" t="n"/>
      <c r="S1327" s="46" t="n"/>
      <c r="T1327" s="46" t="n"/>
      <c r="U1327" s="46" t="n"/>
      <c r="V1327" s="46" t="n"/>
      <c r="W1327" s="46" t="n"/>
      <c r="X1327" s="46" t="n"/>
      <c r="Y1327" s="46" t="n"/>
    </row>
    <row r="1328">
      <c r="A1328" s="78" t="n">
        <v>46320</v>
      </c>
      <c r="B1328" s="45" t="inlineStr">
        <is>
          <t>NX8</t>
        </is>
      </c>
      <c r="C1328" s="46" t="n"/>
      <c r="D1328" s="46" t="n"/>
      <c r="E1328" s="46" t="n"/>
      <c r="F1328" s="46" t="n"/>
      <c r="G1328" s="46" t="n"/>
      <c r="H1328" s="46" t="n"/>
      <c r="I1328" s="46" t="n"/>
      <c r="J1328" s="46" t="n"/>
      <c r="K1328" s="46" t="n"/>
      <c r="L1328" s="46" t="n"/>
      <c r="M1328" s="46">
        <f>N1328-SUM(C1328:L1328)</f>
        <v/>
      </c>
      <c r="N1328" s="47" t="n"/>
      <c r="O1328" s="46" t="n"/>
      <c r="P1328" s="46" t="n"/>
      <c r="Q1328" s="46" t="n"/>
      <c r="R1328" s="46" t="n"/>
      <c r="S1328" s="46" t="n"/>
      <c r="T1328" s="46" t="n"/>
      <c r="U1328" s="46" t="n"/>
      <c r="V1328" s="46" t="n"/>
      <c r="W1328" s="46" t="n"/>
      <c r="X1328" s="46" t="n"/>
      <c r="Y1328" s="46" t="n"/>
    </row>
    <row r="1329">
      <c r="A1329" s="78" t="n">
        <v>46321</v>
      </c>
      <c r="B1329" s="45" t="inlineStr">
        <is>
          <t>NX8</t>
        </is>
      </c>
      <c r="C1329" s="46" t="n"/>
      <c r="D1329" s="46" t="n"/>
      <c r="E1329" s="46" t="n"/>
      <c r="F1329" s="46" t="n"/>
      <c r="G1329" s="46" t="n"/>
      <c r="H1329" s="46" t="n"/>
      <c r="I1329" s="46" t="n"/>
      <c r="J1329" s="46" t="n"/>
      <c r="K1329" s="46" t="n"/>
      <c r="L1329" s="46" t="n"/>
      <c r="M1329" s="46">
        <f>N1329-SUM(C1329:L1329)</f>
        <v/>
      </c>
      <c r="N1329" s="47" t="n"/>
      <c r="O1329" s="46" t="n"/>
      <c r="P1329" s="46" t="n"/>
      <c r="Q1329" s="46" t="n"/>
      <c r="R1329" s="46" t="n"/>
      <c r="S1329" s="46" t="n"/>
      <c r="T1329" s="46" t="n"/>
      <c r="U1329" s="46" t="n"/>
      <c r="V1329" s="46" t="n"/>
      <c r="W1329" s="46" t="n"/>
      <c r="X1329" s="46" t="n"/>
      <c r="Y1329" s="46" t="n"/>
    </row>
    <row r="1330">
      <c r="A1330" s="78" t="n">
        <v>46322</v>
      </c>
      <c r="B1330" s="45" t="inlineStr">
        <is>
          <t>NX8</t>
        </is>
      </c>
      <c r="C1330" s="46" t="n"/>
      <c r="D1330" s="46" t="n"/>
      <c r="E1330" s="46" t="n"/>
      <c r="F1330" s="46" t="n"/>
      <c r="G1330" s="46" t="n"/>
      <c r="H1330" s="46" t="n"/>
      <c r="I1330" s="46" t="n"/>
      <c r="J1330" s="46" t="n"/>
      <c r="K1330" s="46" t="n"/>
      <c r="L1330" s="46" t="n"/>
      <c r="M1330" s="46">
        <f>N1330-SUM(C1330:L1330)</f>
        <v/>
      </c>
      <c r="N1330" s="47" t="n"/>
      <c r="O1330" s="46" t="n"/>
      <c r="P1330" s="46" t="n"/>
      <c r="Q1330" s="46" t="n"/>
      <c r="R1330" s="46" t="n"/>
      <c r="S1330" s="46" t="n"/>
      <c r="T1330" s="46" t="n"/>
      <c r="U1330" s="46" t="n"/>
      <c r="V1330" s="46" t="n"/>
      <c r="W1330" s="46" t="n"/>
      <c r="X1330" s="46" t="n"/>
      <c r="Y1330" s="46" t="n"/>
    </row>
    <row r="1331">
      <c r="A1331" s="78" t="n">
        <v>46323</v>
      </c>
      <c r="B1331" s="45" t="inlineStr">
        <is>
          <t>NX8</t>
        </is>
      </c>
      <c r="C1331" s="46" t="n"/>
      <c r="D1331" s="46" t="n"/>
      <c r="E1331" s="46" t="n"/>
      <c r="F1331" s="46" t="n"/>
      <c r="G1331" s="46" t="n"/>
      <c r="H1331" s="46" t="n"/>
      <c r="I1331" s="46" t="n"/>
      <c r="J1331" s="46" t="n"/>
      <c r="K1331" s="46" t="n"/>
      <c r="L1331" s="46" t="n"/>
      <c r="M1331" s="46">
        <f>N1331-SUM(C1331:L1331)</f>
        <v/>
      </c>
      <c r="N1331" s="47" t="n"/>
      <c r="O1331" s="46" t="n"/>
      <c r="P1331" s="46" t="n"/>
      <c r="Q1331" s="46" t="n"/>
      <c r="R1331" s="46" t="n"/>
      <c r="S1331" s="46" t="n"/>
      <c r="T1331" s="46" t="n"/>
      <c r="U1331" s="46" t="n"/>
      <c r="V1331" s="46" t="n"/>
      <c r="W1331" s="46" t="n"/>
      <c r="X1331" s="46" t="n"/>
      <c r="Y1331" s="46" t="n"/>
    </row>
    <row r="1332">
      <c r="A1332" s="78" t="n">
        <v>46324</v>
      </c>
      <c r="B1332" s="45" t="inlineStr">
        <is>
          <t>NX8</t>
        </is>
      </c>
      <c r="C1332" s="46" t="n"/>
      <c r="D1332" s="46" t="n"/>
      <c r="E1332" s="46" t="n"/>
      <c r="F1332" s="46" t="n"/>
      <c r="G1332" s="46" t="n"/>
      <c r="H1332" s="46" t="n"/>
      <c r="I1332" s="46" t="n"/>
      <c r="J1332" s="46" t="n"/>
      <c r="K1332" s="46" t="n"/>
      <c r="L1332" s="46" t="n"/>
      <c r="M1332" s="46">
        <f>N1332-SUM(C1332:L1332)</f>
        <v/>
      </c>
      <c r="N1332" s="47" t="n"/>
      <c r="O1332" s="46" t="n"/>
      <c r="P1332" s="46" t="n"/>
      <c r="Q1332" s="46" t="n"/>
      <c r="R1332" s="46" t="n"/>
      <c r="S1332" s="46" t="n"/>
      <c r="T1332" s="46" t="n"/>
      <c r="U1332" s="46" t="n"/>
      <c r="V1332" s="46" t="n"/>
      <c r="W1332" s="46" t="n"/>
      <c r="X1332" s="46" t="n"/>
      <c r="Y1332" s="46" t="n"/>
    </row>
    <row r="1333">
      <c r="A1333" s="78" t="n">
        <v>46325</v>
      </c>
      <c r="B1333" s="45" t="inlineStr">
        <is>
          <t>NX8</t>
        </is>
      </c>
      <c r="C1333" s="46" t="n"/>
      <c r="D1333" s="46" t="n"/>
      <c r="E1333" s="46" t="n"/>
      <c r="F1333" s="46" t="n"/>
      <c r="G1333" s="46" t="n"/>
      <c r="H1333" s="46" t="n"/>
      <c r="I1333" s="46" t="n"/>
      <c r="J1333" s="46" t="n"/>
      <c r="K1333" s="46" t="n"/>
      <c r="L1333" s="46" t="n"/>
      <c r="M1333" s="46">
        <f>N1333-SUM(C1333:L1333)</f>
        <v/>
      </c>
      <c r="N1333" s="47" t="n"/>
      <c r="O1333" s="46" t="n"/>
      <c r="P1333" s="46" t="n"/>
      <c r="Q1333" s="46" t="n"/>
      <c r="R1333" s="46" t="n"/>
      <c r="S1333" s="46" t="n"/>
      <c r="T1333" s="46" t="n"/>
      <c r="U1333" s="46" t="n"/>
      <c r="V1333" s="46" t="n"/>
      <c r="W1333" s="46" t="n"/>
      <c r="X1333" s="46" t="n"/>
      <c r="Y1333" s="46" t="n"/>
    </row>
    <row r="1334">
      <c r="A1334" s="78" t="n">
        <v>46326</v>
      </c>
      <c r="B1334" s="45" t="inlineStr">
        <is>
          <t>NX8</t>
        </is>
      </c>
      <c r="C1334" s="46" t="n"/>
      <c r="D1334" s="46" t="n"/>
      <c r="E1334" s="46" t="n"/>
      <c r="F1334" s="46" t="n"/>
      <c r="G1334" s="46" t="n"/>
      <c r="H1334" s="46" t="n"/>
      <c r="I1334" s="46" t="n"/>
      <c r="J1334" s="46" t="n"/>
      <c r="K1334" s="46" t="n"/>
      <c r="L1334" s="46" t="n"/>
      <c r="M1334" s="46">
        <f>N1334-SUM(C1334:L1334)</f>
        <v/>
      </c>
      <c r="N1334" s="47" t="n"/>
      <c r="O1334" s="46" t="n"/>
      <c r="P1334" s="46" t="n"/>
      <c r="Q1334" s="46" t="n"/>
      <c r="R1334" s="46" t="n"/>
      <c r="S1334" s="46" t="n"/>
      <c r="T1334" s="46" t="n"/>
      <c r="U1334" s="46" t="n"/>
      <c r="V1334" s="46" t="n"/>
      <c r="W1334" s="46" t="n"/>
      <c r="X1334" s="46" t="n"/>
      <c r="Y1334" s="46" t="n"/>
    </row>
    <row r="1335">
      <c r="A1335" s="78" t="n">
        <v>46327</v>
      </c>
      <c r="B1335" s="45" t="inlineStr">
        <is>
          <t>NX8</t>
        </is>
      </c>
      <c r="C1335" s="46" t="n"/>
      <c r="D1335" s="46" t="n"/>
      <c r="E1335" s="46" t="n"/>
      <c r="F1335" s="46" t="n"/>
      <c r="G1335" s="46" t="n"/>
      <c r="H1335" s="46" t="n"/>
      <c r="I1335" s="46" t="n"/>
      <c r="J1335" s="46" t="n"/>
      <c r="K1335" s="46" t="n"/>
      <c r="L1335" s="46" t="n"/>
      <c r="M1335" s="46">
        <f>N1335-SUM(C1335:L1335)</f>
        <v/>
      </c>
      <c r="N1335" s="47" t="n"/>
      <c r="O1335" s="46" t="n"/>
      <c r="P1335" s="46" t="n"/>
      <c r="Q1335" s="46" t="n"/>
      <c r="R1335" s="46" t="n"/>
      <c r="S1335" s="46" t="n"/>
      <c r="T1335" s="46" t="n"/>
      <c r="U1335" s="46" t="n"/>
      <c r="V1335" s="46" t="n"/>
      <c r="W1335" s="46" t="n"/>
      <c r="X1335" s="46" t="n"/>
      <c r="Y1335" s="46" t="n"/>
    </row>
    <row r="1336">
      <c r="A1336" s="78" t="n">
        <v>46328</v>
      </c>
      <c r="B1336" s="45" t="inlineStr">
        <is>
          <t>NX8</t>
        </is>
      </c>
      <c r="C1336" s="46" t="n"/>
      <c r="D1336" s="46" t="n"/>
      <c r="E1336" s="46" t="n"/>
      <c r="F1336" s="46" t="n"/>
      <c r="G1336" s="46" t="n"/>
      <c r="H1336" s="46" t="n"/>
      <c r="I1336" s="46" t="n"/>
      <c r="J1336" s="46" t="n"/>
      <c r="K1336" s="46" t="n"/>
      <c r="L1336" s="46" t="n"/>
      <c r="M1336" s="46">
        <f>N1336-SUM(C1336:L1336)</f>
        <v/>
      </c>
      <c r="N1336" s="47" t="n"/>
      <c r="O1336" s="46" t="n"/>
      <c r="P1336" s="46" t="n"/>
      <c r="Q1336" s="46" t="n"/>
      <c r="R1336" s="46" t="n"/>
      <c r="S1336" s="46" t="n"/>
      <c r="T1336" s="46" t="n"/>
      <c r="U1336" s="46" t="n"/>
      <c r="V1336" s="46" t="n"/>
      <c r="W1336" s="46" t="n"/>
      <c r="X1336" s="46" t="n"/>
      <c r="Y1336" s="46" t="n"/>
    </row>
    <row r="1337">
      <c r="A1337" s="78" t="n">
        <v>46329</v>
      </c>
      <c r="B1337" s="45" t="inlineStr">
        <is>
          <t>NX8</t>
        </is>
      </c>
      <c r="C1337" s="46" t="n"/>
      <c r="D1337" s="46" t="n"/>
      <c r="E1337" s="46" t="n"/>
      <c r="F1337" s="46" t="n"/>
      <c r="G1337" s="46" t="n"/>
      <c r="H1337" s="46" t="n"/>
      <c r="I1337" s="46" t="n"/>
      <c r="J1337" s="46" t="n"/>
      <c r="K1337" s="46" t="n"/>
      <c r="L1337" s="46" t="n"/>
      <c r="M1337" s="46">
        <f>N1337-SUM(C1337:L1337)</f>
        <v/>
      </c>
      <c r="N1337" s="47" t="n"/>
      <c r="O1337" s="46" t="n"/>
      <c r="P1337" s="46" t="n"/>
      <c r="Q1337" s="46" t="n"/>
      <c r="R1337" s="46" t="n"/>
      <c r="S1337" s="46" t="n"/>
      <c r="T1337" s="46" t="n"/>
      <c r="U1337" s="46" t="n"/>
      <c r="V1337" s="46" t="n"/>
      <c r="W1337" s="46" t="n"/>
      <c r="X1337" s="46" t="n"/>
      <c r="Y1337" s="46" t="n"/>
    </row>
    <row r="1338">
      <c r="A1338" s="78" t="n">
        <v>46330</v>
      </c>
      <c r="B1338" s="45" t="inlineStr">
        <is>
          <t>NX8</t>
        </is>
      </c>
      <c r="C1338" s="46" t="n"/>
      <c r="D1338" s="46" t="n"/>
      <c r="E1338" s="46" t="n"/>
      <c r="F1338" s="46" t="n"/>
      <c r="G1338" s="46" t="n"/>
      <c r="H1338" s="46" t="n"/>
      <c r="I1338" s="46" t="n"/>
      <c r="J1338" s="46" t="n"/>
      <c r="K1338" s="46" t="n"/>
      <c r="L1338" s="46" t="n"/>
      <c r="M1338" s="46">
        <f>N1338-SUM(C1338:L1338)</f>
        <v/>
      </c>
      <c r="N1338" s="47" t="n"/>
      <c r="O1338" s="46" t="n"/>
      <c r="P1338" s="46" t="n"/>
      <c r="Q1338" s="46" t="n"/>
      <c r="R1338" s="46" t="n"/>
      <c r="S1338" s="46" t="n"/>
      <c r="T1338" s="46" t="n"/>
      <c r="U1338" s="46" t="n"/>
      <c r="V1338" s="46" t="n"/>
      <c r="W1338" s="46" t="n"/>
      <c r="X1338" s="46" t="n"/>
      <c r="Y1338" s="46" t="n"/>
    </row>
    <row r="1339">
      <c r="A1339" s="78" t="n">
        <v>46331</v>
      </c>
      <c r="B1339" s="45" t="inlineStr">
        <is>
          <t>NX8</t>
        </is>
      </c>
      <c r="C1339" s="46" t="n"/>
      <c r="D1339" s="46" t="n"/>
      <c r="E1339" s="46" t="n"/>
      <c r="F1339" s="46" t="n"/>
      <c r="G1339" s="46" t="n"/>
      <c r="H1339" s="46" t="n"/>
      <c r="I1339" s="46" t="n"/>
      <c r="J1339" s="46" t="n"/>
      <c r="K1339" s="46" t="n"/>
      <c r="L1339" s="46" t="n"/>
      <c r="M1339" s="46">
        <f>N1339-SUM(C1339:L1339)</f>
        <v/>
      </c>
      <c r="N1339" s="47" t="n"/>
      <c r="O1339" s="46" t="n"/>
      <c r="P1339" s="46" t="n"/>
      <c r="Q1339" s="46" t="n"/>
      <c r="R1339" s="46" t="n"/>
      <c r="S1339" s="46" t="n"/>
      <c r="T1339" s="46" t="n"/>
      <c r="U1339" s="46" t="n"/>
      <c r="V1339" s="46" t="n"/>
      <c r="W1339" s="46" t="n"/>
      <c r="X1339" s="46" t="n"/>
      <c r="Y1339" s="46" t="n"/>
    </row>
    <row r="1340">
      <c r="A1340" s="78" t="n">
        <v>46332</v>
      </c>
      <c r="B1340" s="45" t="inlineStr">
        <is>
          <t>NX8</t>
        </is>
      </c>
      <c r="C1340" s="46" t="n"/>
      <c r="D1340" s="46" t="n"/>
      <c r="E1340" s="46" t="n"/>
      <c r="F1340" s="46" t="n"/>
      <c r="G1340" s="46" t="n"/>
      <c r="H1340" s="46" t="n"/>
      <c r="I1340" s="46" t="n"/>
      <c r="J1340" s="46" t="n"/>
      <c r="K1340" s="46" t="n"/>
      <c r="L1340" s="46" t="n"/>
      <c r="M1340" s="46">
        <f>N1340-SUM(C1340:L1340)</f>
        <v/>
      </c>
      <c r="N1340" s="47" t="n"/>
      <c r="O1340" s="46" t="n"/>
      <c r="P1340" s="46" t="n"/>
      <c r="Q1340" s="46" t="n"/>
      <c r="R1340" s="46" t="n"/>
      <c r="S1340" s="46" t="n"/>
      <c r="T1340" s="46" t="n"/>
      <c r="U1340" s="46" t="n"/>
      <c r="V1340" s="46" t="n"/>
      <c r="W1340" s="46" t="n"/>
      <c r="X1340" s="46" t="n"/>
      <c r="Y1340" s="46" t="n"/>
    </row>
    <row r="1341">
      <c r="A1341" s="78" t="n">
        <v>46333</v>
      </c>
      <c r="B1341" s="45" t="inlineStr">
        <is>
          <t>NX8</t>
        </is>
      </c>
      <c r="C1341" s="46" t="n"/>
      <c r="D1341" s="46" t="n"/>
      <c r="E1341" s="46" t="n"/>
      <c r="F1341" s="46" t="n"/>
      <c r="G1341" s="46" t="n"/>
      <c r="H1341" s="46" t="n"/>
      <c r="I1341" s="46" t="n"/>
      <c r="J1341" s="46" t="n"/>
      <c r="K1341" s="46" t="n"/>
      <c r="L1341" s="46" t="n"/>
      <c r="M1341" s="46">
        <f>N1341-SUM(C1341:L1341)</f>
        <v/>
      </c>
      <c r="N1341" s="47" t="n"/>
      <c r="O1341" s="46" t="n"/>
      <c r="P1341" s="46" t="n"/>
      <c r="Q1341" s="46" t="n"/>
      <c r="R1341" s="46" t="n"/>
      <c r="S1341" s="46" t="n"/>
      <c r="T1341" s="46" t="n"/>
      <c r="U1341" s="46" t="n"/>
      <c r="V1341" s="46" t="n"/>
      <c r="W1341" s="46" t="n"/>
      <c r="X1341" s="46" t="n"/>
      <c r="Y1341" s="46" t="n"/>
    </row>
    <row r="1342">
      <c r="A1342" s="78" t="n">
        <v>46334</v>
      </c>
      <c r="B1342" s="45" t="inlineStr">
        <is>
          <t>NX8</t>
        </is>
      </c>
      <c r="C1342" s="46" t="n"/>
      <c r="D1342" s="46" t="n"/>
      <c r="E1342" s="46" t="n"/>
      <c r="F1342" s="46" t="n"/>
      <c r="G1342" s="46" t="n"/>
      <c r="H1342" s="46" t="n"/>
      <c r="I1342" s="46" t="n"/>
      <c r="J1342" s="46" t="n"/>
      <c r="K1342" s="46" t="n"/>
      <c r="L1342" s="46" t="n"/>
      <c r="M1342" s="46">
        <f>N1342-SUM(C1342:L1342)</f>
        <v/>
      </c>
      <c r="N1342" s="47" t="n"/>
      <c r="O1342" s="46" t="n"/>
      <c r="P1342" s="46" t="n"/>
      <c r="Q1342" s="46" t="n"/>
      <c r="R1342" s="46" t="n"/>
      <c r="S1342" s="46" t="n"/>
      <c r="T1342" s="46" t="n"/>
      <c r="U1342" s="46" t="n"/>
      <c r="V1342" s="46" t="n"/>
      <c r="W1342" s="46" t="n"/>
      <c r="X1342" s="46" t="n"/>
      <c r="Y1342" s="46" t="n"/>
    </row>
    <row r="1343">
      <c r="A1343" s="78" t="n">
        <v>46335</v>
      </c>
      <c r="B1343" s="45" t="inlineStr">
        <is>
          <t>NX8</t>
        </is>
      </c>
      <c r="C1343" s="46" t="n"/>
      <c r="D1343" s="46" t="n"/>
      <c r="E1343" s="46" t="n"/>
      <c r="F1343" s="46" t="n"/>
      <c r="G1343" s="46" t="n"/>
      <c r="H1343" s="46" t="n"/>
      <c r="I1343" s="46" t="n"/>
      <c r="J1343" s="46" t="n"/>
      <c r="K1343" s="46" t="n"/>
      <c r="L1343" s="46" t="n"/>
      <c r="M1343" s="46">
        <f>N1343-SUM(C1343:L1343)</f>
        <v/>
      </c>
      <c r="N1343" s="47" t="n"/>
      <c r="O1343" s="46" t="n"/>
      <c r="P1343" s="46" t="n"/>
      <c r="Q1343" s="46" t="n"/>
      <c r="R1343" s="46" t="n"/>
      <c r="S1343" s="46" t="n"/>
      <c r="T1343" s="46" t="n"/>
      <c r="U1343" s="46" t="n"/>
      <c r="V1343" s="46" t="n"/>
      <c r="W1343" s="46" t="n"/>
      <c r="X1343" s="46" t="n"/>
      <c r="Y1343" s="46" t="n"/>
    </row>
    <row r="1344">
      <c r="A1344" s="78" t="n">
        <v>46336</v>
      </c>
      <c r="B1344" s="45" t="inlineStr">
        <is>
          <t>NX8</t>
        </is>
      </c>
      <c r="C1344" s="46" t="n"/>
      <c r="D1344" s="46" t="n"/>
      <c r="E1344" s="46" t="n"/>
      <c r="F1344" s="46" t="n"/>
      <c r="G1344" s="46" t="n"/>
      <c r="H1344" s="46" t="n"/>
      <c r="I1344" s="46" t="n"/>
      <c r="J1344" s="46" t="n"/>
      <c r="K1344" s="46" t="n"/>
      <c r="L1344" s="46" t="n"/>
      <c r="M1344" s="46">
        <f>N1344-SUM(C1344:L1344)</f>
        <v/>
      </c>
      <c r="N1344" s="47" t="n"/>
      <c r="O1344" s="46" t="n"/>
      <c r="P1344" s="46" t="n"/>
      <c r="Q1344" s="46" t="n"/>
      <c r="R1344" s="46" t="n"/>
      <c r="S1344" s="46" t="n"/>
      <c r="T1344" s="46" t="n"/>
      <c r="U1344" s="46" t="n"/>
      <c r="V1344" s="46" t="n"/>
      <c r="W1344" s="46" t="n"/>
      <c r="X1344" s="46" t="n"/>
      <c r="Y1344" s="46" t="n"/>
    </row>
    <row r="1345">
      <c r="A1345" s="78" t="n">
        <v>46337</v>
      </c>
      <c r="B1345" s="45" t="inlineStr">
        <is>
          <t>NX8</t>
        </is>
      </c>
      <c r="C1345" s="46" t="n"/>
      <c r="D1345" s="46" t="n"/>
      <c r="E1345" s="46" t="n"/>
      <c r="F1345" s="46" t="n"/>
      <c r="G1345" s="46" t="n"/>
      <c r="H1345" s="46" t="n"/>
      <c r="I1345" s="46" t="n"/>
      <c r="J1345" s="46" t="n"/>
      <c r="K1345" s="46" t="n"/>
      <c r="L1345" s="46" t="n"/>
      <c r="M1345" s="46">
        <f>N1345-SUM(C1345:L1345)</f>
        <v/>
      </c>
      <c r="N1345" s="47" t="n"/>
      <c r="O1345" s="46" t="n"/>
      <c r="P1345" s="46" t="n"/>
      <c r="Q1345" s="46" t="n"/>
      <c r="R1345" s="46" t="n"/>
      <c r="S1345" s="46" t="n"/>
      <c r="T1345" s="46" t="n"/>
      <c r="U1345" s="46" t="n"/>
      <c r="V1345" s="46" t="n"/>
      <c r="W1345" s="46" t="n"/>
      <c r="X1345" s="46" t="n"/>
      <c r="Y1345" s="46" t="n"/>
    </row>
    <row r="1346">
      <c r="A1346" s="78" t="n">
        <v>46338</v>
      </c>
      <c r="B1346" s="45" t="inlineStr">
        <is>
          <t>NX8</t>
        </is>
      </c>
      <c r="C1346" s="46" t="n"/>
      <c r="D1346" s="46" t="n"/>
      <c r="E1346" s="46" t="n"/>
      <c r="F1346" s="46" t="n"/>
      <c r="G1346" s="46" t="n"/>
      <c r="H1346" s="46" t="n"/>
      <c r="I1346" s="46" t="n"/>
      <c r="J1346" s="46" t="n"/>
      <c r="K1346" s="46" t="n"/>
      <c r="L1346" s="46" t="n"/>
      <c r="M1346" s="46">
        <f>N1346-SUM(C1346:L1346)</f>
        <v/>
      </c>
      <c r="N1346" s="47" t="n"/>
      <c r="O1346" s="46" t="n"/>
      <c r="P1346" s="46" t="n"/>
      <c r="Q1346" s="46" t="n"/>
      <c r="R1346" s="46" t="n"/>
      <c r="S1346" s="46" t="n"/>
      <c r="T1346" s="46" t="n"/>
      <c r="U1346" s="46" t="n"/>
      <c r="V1346" s="46" t="n"/>
      <c r="W1346" s="46" t="n"/>
      <c r="X1346" s="46" t="n"/>
      <c r="Y1346" s="46" t="n"/>
    </row>
    <row r="1347">
      <c r="A1347" s="78" t="n">
        <v>46339</v>
      </c>
      <c r="B1347" s="45" t="inlineStr">
        <is>
          <t>NX8</t>
        </is>
      </c>
      <c r="C1347" s="46" t="n"/>
      <c r="D1347" s="46" t="n"/>
      <c r="E1347" s="46" t="n"/>
      <c r="F1347" s="46" t="n"/>
      <c r="G1347" s="46" t="n"/>
      <c r="H1347" s="46" t="n"/>
      <c r="I1347" s="46" t="n"/>
      <c r="J1347" s="46" t="n"/>
      <c r="K1347" s="46" t="n"/>
      <c r="L1347" s="46" t="n"/>
      <c r="M1347" s="46">
        <f>N1347-SUM(C1347:L1347)</f>
        <v/>
      </c>
      <c r="N1347" s="47" t="n"/>
      <c r="O1347" s="46" t="n"/>
      <c r="P1347" s="46" t="n"/>
      <c r="Q1347" s="46" t="n"/>
      <c r="R1347" s="46" t="n"/>
      <c r="S1347" s="46" t="n"/>
      <c r="T1347" s="46" t="n"/>
      <c r="U1347" s="46" t="n"/>
      <c r="V1347" s="46" t="n"/>
      <c r="W1347" s="46" t="n"/>
      <c r="X1347" s="46" t="n"/>
      <c r="Y1347" s="46" t="n"/>
    </row>
    <row r="1348">
      <c r="A1348" s="78" t="n">
        <v>46340</v>
      </c>
      <c r="B1348" s="45" t="inlineStr">
        <is>
          <t>NX8</t>
        </is>
      </c>
      <c r="C1348" s="46" t="n"/>
      <c r="D1348" s="46" t="n"/>
      <c r="E1348" s="46" t="n"/>
      <c r="F1348" s="46" t="n"/>
      <c r="G1348" s="46" t="n"/>
      <c r="H1348" s="46" t="n"/>
      <c r="I1348" s="46" t="n"/>
      <c r="J1348" s="46" t="n"/>
      <c r="K1348" s="46" t="n"/>
      <c r="L1348" s="46" t="n"/>
      <c r="M1348" s="46">
        <f>N1348-SUM(C1348:L1348)</f>
        <v/>
      </c>
      <c r="N1348" s="47" t="n"/>
      <c r="O1348" s="46" t="n"/>
      <c r="P1348" s="46" t="n"/>
      <c r="Q1348" s="46" t="n"/>
      <c r="R1348" s="46" t="n"/>
      <c r="S1348" s="46" t="n"/>
      <c r="T1348" s="46" t="n"/>
      <c r="U1348" s="46" t="n"/>
      <c r="V1348" s="46" t="n"/>
      <c r="W1348" s="46" t="n"/>
      <c r="X1348" s="46" t="n"/>
      <c r="Y1348" s="46" t="n"/>
    </row>
    <row r="1349">
      <c r="A1349" s="78" t="n">
        <v>46341</v>
      </c>
      <c r="B1349" s="45" t="inlineStr">
        <is>
          <t>NX8</t>
        </is>
      </c>
      <c r="C1349" s="46" t="n"/>
      <c r="D1349" s="46" t="n"/>
      <c r="E1349" s="46" t="n"/>
      <c r="F1349" s="46" t="n"/>
      <c r="G1349" s="46" t="n"/>
      <c r="H1349" s="46" t="n"/>
      <c r="I1349" s="46" t="n"/>
      <c r="J1349" s="46" t="n"/>
      <c r="K1349" s="46" t="n"/>
      <c r="L1349" s="46" t="n"/>
      <c r="M1349" s="46">
        <f>N1349-SUM(C1349:L1349)</f>
        <v/>
      </c>
      <c r="N1349" s="47" t="n"/>
      <c r="O1349" s="46" t="n"/>
      <c r="P1349" s="46" t="n"/>
      <c r="Q1349" s="46" t="n"/>
      <c r="R1349" s="46" t="n"/>
      <c r="S1349" s="46" t="n"/>
      <c r="T1349" s="46" t="n"/>
      <c r="U1349" s="46" t="n"/>
      <c r="V1349" s="46" t="n"/>
      <c r="W1349" s="46" t="n"/>
      <c r="X1349" s="46" t="n"/>
      <c r="Y1349" s="46" t="n"/>
    </row>
    <row r="1350">
      <c r="A1350" s="78" t="n">
        <v>46342</v>
      </c>
      <c r="B1350" s="45" t="inlineStr">
        <is>
          <t>NX8</t>
        </is>
      </c>
      <c r="C1350" s="46" t="n"/>
      <c r="D1350" s="46" t="n"/>
      <c r="E1350" s="46" t="n"/>
      <c r="F1350" s="46" t="n"/>
      <c r="G1350" s="46" t="n"/>
      <c r="H1350" s="46" t="n"/>
      <c r="I1350" s="46" t="n"/>
      <c r="J1350" s="46" t="n"/>
      <c r="K1350" s="46" t="n"/>
      <c r="L1350" s="46" t="n"/>
      <c r="M1350" s="46">
        <f>N1350-SUM(C1350:L1350)</f>
        <v/>
      </c>
      <c r="N1350" s="47" t="n"/>
      <c r="O1350" s="46" t="n"/>
      <c r="P1350" s="46" t="n"/>
      <c r="Q1350" s="46" t="n"/>
      <c r="R1350" s="46" t="n"/>
      <c r="S1350" s="46" t="n"/>
      <c r="T1350" s="46" t="n"/>
      <c r="U1350" s="46" t="n"/>
      <c r="V1350" s="46" t="n"/>
      <c r="W1350" s="46" t="n"/>
      <c r="X1350" s="46" t="n"/>
      <c r="Y1350" s="46" t="n"/>
    </row>
    <row r="1351">
      <c r="A1351" s="78" t="n">
        <v>46343</v>
      </c>
      <c r="B1351" s="45" t="inlineStr">
        <is>
          <t>NX8</t>
        </is>
      </c>
      <c r="C1351" s="46" t="n"/>
      <c r="D1351" s="46" t="n"/>
      <c r="E1351" s="46" t="n"/>
      <c r="F1351" s="46" t="n"/>
      <c r="G1351" s="46" t="n"/>
      <c r="H1351" s="46" t="n"/>
      <c r="I1351" s="46" t="n"/>
      <c r="J1351" s="46" t="n"/>
      <c r="K1351" s="46" t="n"/>
      <c r="L1351" s="46" t="n"/>
      <c r="M1351" s="46">
        <f>N1351-SUM(C1351:L1351)</f>
        <v/>
      </c>
      <c r="N1351" s="47" t="n"/>
      <c r="O1351" s="46" t="n"/>
      <c r="P1351" s="46" t="n"/>
      <c r="Q1351" s="46" t="n"/>
      <c r="R1351" s="46" t="n"/>
      <c r="S1351" s="46" t="n"/>
      <c r="T1351" s="46" t="n"/>
      <c r="U1351" s="46" t="n"/>
      <c r="V1351" s="46" t="n"/>
      <c r="W1351" s="46" t="n"/>
      <c r="X1351" s="46" t="n"/>
      <c r="Y1351" s="46" t="n"/>
    </row>
    <row r="1352">
      <c r="A1352" s="78" t="n">
        <v>46344</v>
      </c>
      <c r="B1352" s="45" t="inlineStr">
        <is>
          <t>NX8</t>
        </is>
      </c>
      <c r="C1352" s="46" t="n"/>
      <c r="D1352" s="46" t="n"/>
      <c r="E1352" s="46" t="n"/>
      <c r="F1352" s="46" t="n"/>
      <c r="G1352" s="46" t="n"/>
      <c r="H1352" s="46" t="n"/>
      <c r="I1352" s="46" t="n"/>
      <c r="J1352" s="46" t="n"/>
      <c r="K1352" s="46" t="n"/>
      <c r="L1352" s="46" t="n"/>
      <c r="M1352" s="46">
        <f>N1352-SUM(C1352:L1352)</f>
        <v/>
      </c>
      <c r="N1352" s="47" t="n"/>
      <c r="O1352" s="46" t="n"/>
      <c r="P1352" s="46" t="n"/>
      <c r="Q1352" s="46" t="n"/>
      <c r="R1352" s="46" t="n"/>
      <c r="S1352" s="46" t="n"/>
      <c r="T1352" s="46" t="n"/>
      <c r="U1352" s="46" t="n"/>
      <c r="V1352" s="46" t="n"/>
      <c r="W1352" s="46" t="n"/>
      <c r="X1352" s="46" t="n"/>
      <c r="Y1352" s="46" t="n"/>
    </row>
    <row r="1353">
      <c r="A1353" s="78" t="n">
        <v>46345</v>
      </c>
      <c r="B1353" s="45" t="inlineStr">
        <is>
          <t>NX8</t>
        </is>
      </c>
      <c r="C1353" s="46" t="n"/>
      <c r="D1353" s="46" t="n"/>
      <c r="E1353" s="46" t="n"/>
      <c r="F1353" s="46" t="n"/>
      <c r="G1353" s="46" t="n"/>
      <c r="H1353" s="46" t="n"/>
      <c r="I1353" s="46" t="n"/>
      <c r="J1353" s="46" t="n"/>
      <c r="K1353" s="46" t="n"/>
      <c r="L1353" s="46" t="n"/>
      <c r="M1353" s="46">
        <f>N1353-SUM(C1353:L1353)</f>
        <v/>
      </c>
      <c r="N1353" s="47" t="n"/>
      <c r="O1353" s="46" t="n"/>
      <c r="P1353" s="46" t="n"/>
      <c r="Q1353" s="46" t="n"/>
      <c r="R1353" s="46" t="n"/>
      <c r="S1353" s="46" t="n"/>
      <c r="T1353" s="46" t="n"/>
      <c r="U1353" s="46" t="n"/>
      <c r="V1353" s="46" t="n"/>
      <c r="W1353" s="46" t="n"/>
      <c r="X1353" s="46" t="n"/>
      <c r="Y1353" s="46" t="n"/>
    </row>
    <row r="1354">
      <c r="A1354" s="78" t="n">
        <v>46346</v>
      </c>
      <c r="B1354" s="45" t="inlineStr">
        <is>
          <t>NX8</t>
        </is>
      </c>
      <c r="C1354" s="46" t="n"/>
      <c r="D1354" s="46" t="n"/>
      <c r="E1354" s="46" t="n"/>
      <c r="F1354" s="46" t="n"/>
      <c r="G1354" s="46" t="n"/>
      <c r="H1354" s="46" t="n"/>
      <c r="I1354" s="46" t="n"/>
      <c r="J1354" s="46" t="n"/>
      <c r="K1354" s="46" t="n"/>
      <c r="L1354" s="46" t="n"/>
      <c r="M1354" s="46">
        <f>N1354-SUM(C1354:L1354)</f>
        <v/>
      </c>
      <c r="N1354" s="47" t="n"/>
      <c r="O1354" s="46" t="n"/>
      <c r="P1354" s="46" t="n"/>
      <c r="Q1354" s="46" t="n"/>
      <c r="R1354" s="46" t="n"/>
      <c r="S1354" s="46" t="n"/>
      <c r="T1354" s="46" t="n"/>
      <c r="U1354" s="46" t="n"/>
      <c r="V1354" s="46" t="n"/>
      <c r="W1354" s="46" t="n"/>
      <c r="X1354" s="46" t="n"/>
      <c r="Y1354" s="46" t="n"/>
    </row>
    <row r="1355">
      <c r="A1355" s="78" t="n">
        <v>46347</v>
      </c>
      <c r="B1355" s="45" t="inlineStr">
        <is>
          <t>NX8</t>
        </is>
      </c>
      <c r="C1355" s="46" t="n"/>
      <c r="D1355" s="46" t="n"/>
      <c r="E1355" s="46" t="n"/>
      <c r="F1355" s="46" t="n"/>
      <c r="G1355" s="46" t="n"/>
      <c r="H1355" s="46" t="n"/>
      <c r="I1355" s="46" t="n"/>
      <c r="J1355" s="46" t="n"/>
      <c r="K1355" s="46" t="n"/>
      <c r="L1355" s="46" t="n"/>
      <c r="M1355" s="46">
        <f>N1355-SUM(C1355:L1355)</f>
        <v/>
      </c>
      <c r="N1355" s="47" t="n"/>
      <c r="O1355" s="46" t="n"/>
      <c r="P1355" s="46" t="n"/>
      <c r="Q1355" s="46" t="n"/>
      <c r="R1355" s="46" t="n"/>
      <c r="S1355" s="46" t="n"/>
      <c r="T1355" s="46" t="n"/>
      <c r="U1355" s="46" t="n"/>
      <c r="V1355" s="46" t="n"/>
      <c r="W1355" s="46" t="n"/>
      <c r="X1355" s="46" t="n"/>
      <c r="Y1355" s="46" t="n"/>
    </row>
    <row r="1356">
      <c r="A1356" s="78" t="n">
        <v>46348</v>
      </c>
      <c r="B1356" s="45" t="inlineStr">
        <is>
          <t>NX8</t>
        </is>
      </c>
      <c r="C1356" s="46" t="n"/>
      <c r="D1356" s="46" t="n"/>
      <c r="E1356" s="46" t="n"/>
      <c r="F1356" s="46" t="n"/>
      <c r="G1356" s="46" t="n"/>
      <c r="H1356" s="46" t="n"/>
      <c r="I1356" s="46" t="n"/>
      <c r="J1356" s="46" t="n"/>
      <c r="K1356" s="46" t="n"/>
      <c r="L1356" s="46" t="n"/>
      <c r="M1356" s="46">
        <f>N1356-SUM(C1356:L1356)</f>
        <v/>
      </c>
      <c r="N1356" s="47" t="n"/>
      <c r="O1356" s="46" t="n"/>
      <c r="P1356" s="46" t="n"/>
      <c r="Q1356" s="46" t="n"/>
      <c r="R1356" s="46" t="n"/>
      <c r="S1356" s="46" t="n"/>
      <c r="T1356" s="46" t="n"/>
      <c r="U1356" s="46" t="n"/>
      <c r="V1356" s="46" t="n"/>
      <c r="W1356" s="46" t="n"/>
      <c r="X1356" s="46" t="n"/>
      <c r="Y1356" s="46" t="n"/>
    </row>
    <row r="1357">
      <c r="A1357" s="78" t="n">
        <v>46349</v>
      </c>
      <c r="B1357" s="45" t="inlineStr">
        <is>
          <t>NX8</t>
        </is>
      </c>
      <c r="C1357" s="46" t="n"/>
      <c r="D1357" s="46" t="n"/>
      <c r="E1357" s="46" t="n"/>
      <c r="F1357" s="46" t="n"/>
      <c r="G1357" s="46" t="n"/>
      <c r="H1357" s="46" t="n"/>
      <c r="I1357" s="46" t="n"/>
      <c r="J1357" s="46" t="n"/>
      <c r="K1357" s="46" t="n"/>
      <c r="L1357" s="46" t="n"/>
      <c r="M1357" s="46">
        <f>N1357-SUM(C1357:L1357)</f>
        <v/>
      </c>
      <c r="N1357" s="47" t="n"/>
      <c r="O1357" s="46" t="n"/>
      <c r="P1357" s="46" t="n"/>
      <c r="Q1357" s="46" t="n"/>
      <c r="R1357" s="46" t="n"/>
      <c r="S1357" s="46" t="n"/>
      <c r="T1357" s="46" t="n"/>
      <c r="U1357" s="46" t="n"/>
      <c r="V1357" s="46" t="n"/>
      <c r="W1357" s="46" t="n"/>
      <c r="X1357" s="46" t="n"/>
      <c r="Y1357" s="46" t="n"/>
    </row>
    <row r="1358">
      <c r="A1358" s="78" t="n">
        <v>46350</v>
      </c>
      <c r="B1358" s="45" t="inlineStr">
        <is>
          <t>NX8</t>
        </is>
      </c>
      <c r="C1358" s="46" t="n"/>
      <c r="D1358" s="46" t="n"/>
      <c r="E1358" s="46" t="n"/>
      <c r="F1358" s="46" t="n"/>
      <c r="G1358" s="46" t="n"/>
      <c r="H1358" s="46" t="n"/>
      <c r="I1358" s="46" t="n"/>
      <c r="J1358" s="46" t="n"/>
      <c r="K1358" s="46" t="n"/>
      <c r="L1358" s="46" t="n"/>
      <c r="M1358" s="46">
        <f>N1358-SUM(C1358:L1358)</f>
        <v/>
      </c>
      <c r="N1358" s="47" t="n"/>
      <c r="O1358" s="46" t="n"/>
      <c r="P1358" s="46" t="n"/>
      <c r="Q1358" s="46" t="n"/>
      <c r="R1358" s="46" t="n"/>
      <c r="S1358" s="46" t="n"/>
      <c r="T1358" s="46" t="n"/>
      <c r="U1358" s="46" t="n"/>
      <c r="V1358" s="46" t="n"/>
      <c r="W1358" s="46" t="n"/>
      <c r="X1358" s="46" t="n"/>
      <c r="Y1358" s="46" t="n"/>
    </row>
    <row r="1359">
      <c r="A1359" s="78" t="n">
        <v>46351</v>
      </c>
      <c r="B1359" s="45" t="inlineStr">
        <is>
          <t>NX8</t>
        </is>
      </c>
      <c r="C1359" s="46" t="n"/>
      <c r="D1359" s="46" t="n"/>
      <c r="E1359" s="46" t="n"/>
      <c r="F1359" s="46" t="n"/>
      <c r="G1359" s="46" t="n"/>
      <c r="H1359" s="46" t="n"/>
      <c r="I1359" s="46" t="n"/>
      <c r="J1359" s="46" t="n"/>
      <c r="K1359" s="46" t="n"/>
      <c r="L1359" s="46" t="n"/>
      <c r="M1359" s="46">
        <f>N1359-SUM(C1359:L1359)</f>
        <v/>
      </c>
      <c r="N1359" s="47" t="n"/>
      <c r="O1359" s="46" t="n"/>
      <c r="P1359" s="46" t="n"/>
      <c r="Q1359" s="46" t="n"/>
      <c r="R1359" s="46" t="n"/>
      <c r="S1359" s="46" t="n"/>
      <c r="T1359" s="46" t="n"/>
      <c r="U1359" s="46" t="n"/>
      <c r="V1359" s="46" t="n"/>
      <c r="W1359" s="46" t="n"/>
      <c r="X1359" s="46" t="n"/>
      <c r="Y1359" s="46" t="n"/>
    </row>
    <row r="1360">
      <c r="A1360" s="78" t="n">
        <v>46352</v>
      </c>
      <c r="B1360" s="45" t="inlineStr">
        <is>
          <t>NX8</t>
        </is>
      </c>
      <c r="C1360" s="46" t="n"/>
      <c r="D1360" s="46" t="n"/>
      <c r="E1360" s="46" t="n"/>
      <c r="F1360" s="46" t="n"/>
      <c r="G1360" s="46" t="n"/>
      <c r="H1360" s="46" t="n"/>
      <c r="I1360" s="46" t="n"/>
      <c r="J1360" s="46" t="n"/>
      <c r="K1360" s="46" t="n"/>
      <c r="L1360" s="46" t="n"/>
      <c r="M1360" s="46">
        <f>N1360-SUM(C1360:L1360)</f>
        <v/>
      </c>
      <c r="N1360" s="47" t="n"/>
      <c r="O1360" s="46" t="n"/>
      <c r="P1360" s="46" t="n"/>
      <c r="Q1360" s="46" t="n"/>
      <c r="R1360" s="46" t="n"/>
      <c r="S1360" s="46" t="n"/>
      <c r="T1360" s="46" t="n"/>
      <c r="U1360" s="46" t="n"/>
      <c r="V1360" s="46" t="n"/>
      <c r="W1360" s="46" t="n"/>
      <c r="X1360" s="46" t="n"/>
      <c r="Y1360" s="46" t="n"/>
    </row>
    <row r="1361">
      <c r="A1361" s="78" t="n">
        <v>46353</v>
      </c>
      <c r="B1361" s="45" t="inlineStr">
        <is>
          <t>NX8</t>
        </is>
      </c>
      <c r="C1361" s="46" t="n"/>
      <c r="D1361" s="46" t="n"/>
      <c r="E1361" s="46" t="n"/>
      <c r="F1361" s="46" t="n"/>
      <c r="G1361" s="46" t="n"/>
      <c r="H1361" s="46" t="n"/>
      <c r="I1361" s="46" t="n"/>
      <c r="J1361" s="46" t="n"/>
      <c r="K1361" s="46" t="n"/>
      <c r="L1361" s="46" t="n"/>
      <c r="M1361" s="46">
        <f>N1361-SUM(C1361:L1361)</f>
        <v/>
      </c>
      <c r="N1361" s="47" t="n"/>
      <c r="O1361" s="46" t="n"/>
      <c r="P1361" s="46" t="n"/>
      <c r="Q1361" s="46" t="n"/>
      <c r="R1361" s="46" t="n"/>
      <c r="S1361" s="46" t="n"/>
      <c r="T1361" s="46" t="n"/>
      <c r="U1361" s="46" t="n"/>
      <c r="V1361" s="46" t="n"/>
      <c r="W1361" s="46" t="n"/>
      <c r="X1361" s="46" t="n"/>
      <c r="Y1361" s="46" t="n"/>
    </row>
    <row r="1362">
      <c r="A1362" s="78" t="n">
        <v>46354</v>
      </c>
      <c r="B1362" s="45" t="inlineStr">
        <is>
          <t>NX8</t>
        </is>
      </c>
      <c r="C1362" s="46" t="n"/>
      <c r="D1362" s="46" t="n"/>
      <c r="E1362" s="46" t="n"/>
      <c r="F1362" s="46" t="n"/>
      <c r="G1362" s="46" t="n"/>
      <c r="H1362" s="46" t="n"/>
      <c r="I1362" s="46" t="n"/>
      <c r="J1362" s="46" t="n"/>
      <c r="K1362" s="46" t="n"/>
      <c r="L1362" s="46" t="n"/>
      <c r="M1362" s="46">
        <f>N1362-SUM(C1362:L1362)</f>
        <v/>
      </c>
      <c r="N1362" s="47" t="n"/>
      <c r="O1362" s="46" t="n"/>
      <c r="P1362" s="46" t="n"/>
      <c r="Q1362" s="46" t="n"/>
      <c r="R1362" s="46" t="n"/>
      <c r="S1362" s="46" t="n"/>
      <c r="T1362" s="46" t="n"/>
      <c r="U1362" s="46" t="n"/>
      <c r="V1362" s="46" t="n"/>
      <c r="W1362" s="46" t="n"/>
      <c r="X1362" s="46" t="n"/>
      <c r="Y1362" s="46" t="n"/>
    </row>
    <row r="1363">
      <c r="A1363" s="78" t="n">
        <v>46355</v>
      </c>
      <c r="B1363" s="45" t="inlineStr">
        <is>
          <t>NX8</t>
        </is>
      </c>
      <c r="C1363" s="46" t="n"/>
      <c r="D1363" s="46" t="n"/>
      <c r="E1363" s="46" t="n"/>
      <c r="F1363" s="46" t="n"/>
      <c r="G1363" s="46" t="n"/>
      <c r="H1363" s="46" t="n"/>
      <c r="I1363" s="46" t="n"/>
      <c r="J1363" s="46" t="n"/>
      <c r="K1363" s="46" t="n"/>
      <c r="L1363" s="46" t="n"/>
      <c r="M1363" s="46">
        <f>N1363-SUM(C1363:L1363)</f>
        <v/>
      </c>
      <c r="N1363" s="47" t="n"/>
      <c r="O1363" s="46" t="n"/>
      <c r="P1363" s="46" t="n"/>
      <c r="Q1363" s="46" t="n"/>
      <c r="R1363" s="46" t="n"/>
      <c r="S1363" s="46" t="n"/>
      <c r="T1363" s="46" t="n"/>
      <c r="U1363" s="46" t="n"/>
      <c r="V1363" s="46" t="n"/>
      <c r="W1363" s="46" t="n"/>
      <c r="X1363" s="46" t="n"/>
      <c r="Y1363" s="46" t="n"/>
    </row>
    <row r="1364">
      <c r="A1364" s="78" t="n">
        <v>46356</v>
      </c>
      <c r="B1364" s="45" t="inlineStr">
        <is>
          <t>NX8</t>
        </is>
      </c>
      <c r="C1364" s="46" t="n"/>
      <c r="D1364" s="46" t="n"/>
      <c r="E1364" s="46" t="n"/>
      <c r="F1364" s="46" t="n"/>
      <c r="G1364" s="46" t="n"/>
      <c r="H1364" s="46" t="n"/>
      <c r="I1364" s="46" t="n"/>
      <c r="J1364" s="46" t="n"/>
      <c r="K1364" s="46" t="n"/>
      <c r="L1364" s="46" t="n"/>
      <c r="M1364" s="46">
        <f>N1364-SUM(C1364:L1364)</f>
        <v/>
      </c>
      <c r="N1364" s="47" t="n"/>
      <c r="O1364" s="46" t="n"/>
      <c r="P1364" s="46" t="n"/>
      <c r="Q1364" s="46" t="n"/>
      <c r="R1364" s="46" t="n"/>
      <c r="S1364" s="46" t="n"/>
      <c r="T1364" s="46" t="n"/>
      <c r="U1364" s="46" t="n"/>
      <c r="V1364" s="46" t="n"/>
      <c r="W1364" s="46" t="n"/>
      <c r="X1364" s="46" t="n"/>
      <c r="Y1364" s="46" t="n"/>
    </row>
    <row r="1365">
      <c r="A1365" s="78" t="n">
        <v>46357</v>
      </c>
      <c r="B1365" s="45" t="inlineStr">
        <is>
          <t>NX8</t>
        </is>
      </c>
      <c r="C1365" s="46" t="n"/>
      <c r="D1365" s="46" t="n"/>
      <c r="E1365" s="46" t="n"/>
      <c r="F1365" s="46" t="n"/>
      <c r="G1365" s="46" t="n"/>
      <c r="H1365" s="46" t="n"/>
      <c r="I1365" s="46" t="n"/>
      <c r="J1365" s="46" t="n"/>
      <c r="K1365" s="46" t="n"/>
      <c r="L1365" s="46" t="n"/>
      <c r="M1365" s="46">
        <f>N1365-SUM(C1365:L1365)</f>
        <v/>
      </c>
      <c r="N1365" s="47" t="n"/>
      <c r="O1365" s="46" t="n"/>
      <c r="P1365" s="46" t="n"/>
      <c r="Q1365" s="46" t="n"/>
      <c r="R1365" s="46" t="n"/>
      <c r="S1365" s="46" t="n"/>
      <c r="T1365" s="46" t="n"/>
      <c r="U1365" s="46" t="n"/>
      <c r="V1365" s="46" t="n"/>
      <c r="W1365" s="46" t="n"/>
      <c r="X1365" s="46" t="n"/>
      <c r="Y1365" s="46" t="n"/>
    </row>
    <row r="1366">
      <c r="A1366" s="78" t="n">
        <v>46358</v>
      </c>
      <c r="B1366" s="45" t="inlineStr">
        <is>
          <t>NX8</t>
        </is>
      </c>
      <c r="C1366" s="46" t="n"/>
      <c r="D1366" s="46" t="n"/>
      <c r="E1366" s="46" t="n"/>
      <c r="F1366" s="46" t="n"/>
      <c r="G1366" s="46" t="n"/>
      <c r="H1366" s="46" t="n"/>
      <c r="I1366" s="46" t="n"/>
      <c r="J1366" s="46" t="n"/>
      <c r="K1366" s="46" t="n"/>
      <c r="L1366" s="46" t="n"/>
      <c r="M1366" s="46">
        <f>N1366-SUM(C1366:L1366)</f>
        <v/>
      </c>
      <c r="N1366" s="47" t="n"/>
      <c r="O1366" s="46" t="n"/>
      <c r="P1366" s="46" t="n"/>
      <c r="Q1366" s="46" t="n"/>
      <c r="R1366" s="46" t="n"/>
      <c r="S1366" s="46" t="n"/>
      <c r="T1366" s="46" t="n"/>
      <c r="U1366" s="46" t="n"/>
      <c r="V1366" s="46" t="n"/>
      <c r="W1366" s="46" t="n"/>
      <c r="X1366" s="46" t="n"/>
      <c r="Y1366" s="46" t="n"/>
    </row>
    <row r="1367">
      <c r="A1367" s="78" t="n">
        <v>46359</v>
      </c>
      <c r="B1367" s="45" t="inlineStr">
        <is>
          <t>NX8</t>
        </is>
      </c>
      <c r="C1367" s="46" t="n"/>
      <c r="D1367" s="46" t="n"/>
      <c r="E1367" s="46" t="n"/>
      <c r="F1367" s="46" t="n"/>
      <c r="G1367" s="46" t="n"/>
      <c r="H1367" s="46" t="n"/>
      <c r="I1367" s="46" t="n"/>
      <c r="J1367" s="46" t="n"/>
      <c r="K1367" s="46" t="n"/>
      <c r="L1367" s="46" t="n"/>
      <c r="M1367" s="46">
        <f>N1367-SUM(C1367:L1367)</f>
        <v/>
      </c>
      <c r="N1367" s="47" t="n"/>
      <c r="O1367" s="46" t="n"/>
      <c r="P1367" s="46" t="n"/>
      <c r="Q1367" s="46" t="n"/>
      <c r="R1367" s="46" t="n"/>
      <c r="S1367" s="46" t="n"/>
      <c r="T1367" s="46" t="n"/>
      <c r="U1367" s="46" t="n"/>
      <c r="V1367" s="46" t="n"/>
      <c r="W1367" s="46" t="n"/>
      <c r="X1367" s="46" t="n"/>
      <c r="Y1367" s="46" t="n"/>
    </row>
    <row r="1368">
      <c r="A1368" s="78" t="n">
        <v>46360</v>
      </c>
      <c r="B1368" s="45" t="inlineStr">
        <is>
          <t>NX8</t>
        </is>
      </c>
      <c r="C1368" s="46" t="n"/>
      <c r="D1368" s="46" t="n"/>
      <c r="E1368" s="46" t="n"/>
      <c r="F1368" s="46" t="n"/>
      <c r="G1368" s="46" t="n"/>
      <c r="H1368" s="46" t="n"/>
      <c r="I1368" s="46" t="n"/>
      <c r="J1368" s="46" t="n"/>
      <c r="K1368" s="46" t="n"/>
      <c r="L1368" s="46" t="n"/>
      <c r="M1368" s="46">
        <f>N1368-SUM(C1368:L1368)</f>
        <v/>
      </c>
      <c r="N1368" s="47" t="n"/>
      <c r="O1368" s="46" t="n"/>
      <c r="P1368" s="46" t="n"/>
      <c r="Q1368" s="46" t="n"/>
      <c r="R1368" s="46" t="n"/>
      <c r="S1368" s="46" t="n"/>
      <c r="T1368" s="46" t="n"/>
      <c r="U1368" s="46" t="n"/>
      <c r="V1368" s="46" t="n"/>
      <c r="W1368" s="46" t="n"/>
      <c r="X1368" s="46" t="n"/>
      <c r="Y1368" s="46" t="n"/>
    </row>
    <row r="1369">
      <c r="A1369" s="78" t="n">
        <v>46361</v>
      </c>
      <c r="B1369" s="45" t="inlineStr">
        <is>
          <t>NX8</t>
        </is>
      </c>
      <c r="C1369" s="46" t="n"/>
      <c r="D1369" s="46" t="n"/>
      <c r="E1369" s="46" t="n"/>
      <c r="F1369" s="46" t="n"/>
      <c r="G1369" s="46" t="n"/>
      <c r="H1369" s="46" t="n"/>
      <c r="I1369" s="46" t="n"/>
      <c r="J1369" s="46" t="n"/>
      <c r="K1369" s="46" t="n"/>
      <c r="L1369" s="46" t="n"/>
      <c r="M1369" s="46">
        <f>N1369-SUM(C1369:L1369)</f>
        <v/>
      </c>
      <c r="N1369" s="47" t="n"/>
      <c r="O1369" s="46" t="n"/>
      <c r="P1369" s="46" t="n"/>
      <c r="Q1369" s="46" t="n"/>
      <c r="R1369" s="46" t="n"/>
      <c r="S1369" s="46" t="n"/>
      <c r="T1369" s="46" t="n"/>
      <c r="U1369" s="46" t="n"/>
      <c r="V1369" s="46" t="n"/>
      <c r="W1369" s="46" t="n"/>
      <c r="X1369" s="46" t="n"/>
      <c r="Y1369" s="46" t="n"/>
    </row>
    <row r="1370">
      <c r="A1370" s="78" t="n">
        <v>46362</v>
      </c>
      <c r="B1370" s="45" t="inlineStr">
        <is>
          <t>NX8</t>
        </is>
      </c>
      <c r="C1370" s="46" t="n"/>
      <c r="D1370" s="46" t="n"/>
      <c r="E1370" s="46" t="n"/>
      <c r="F1370" s="46" t="n"/>
      <c r="G1370" s="46" t="n"/>
      <c r="H1370" s="46" t="n"/>
      <c r="I1370" s="46" t="n"/>
      <c r="J1370" s="46" t="n"/>
      <c r="K1370" s="46" t="n"/>
      <c r="L1370" s="46" t="n"/>
      <c r="M1370" s="46">
        <f>N1370-SUM(C1370:L1370)</f>
        <v/>
      </c>
      <c r="N1370" s="47" t="n"/>
      <c r="O1370" s="46" t="n"/>
      <c r="P1370" s="46" t="n"/>
      <c r="Q1370" s="46" t="n"/>
      <c r="R1370" s="46" t="n"/>
      <c r="S1370" s="46" t="n"/>
      <c r="T1370" s="46" t="n"/>
      <c r="U1370" s="46" t="n"/>
      <c r="V1370" s="46" t="n"/>
      <c r="W1370" s="46" t="n"/>
      <c r="X1370" s="46" t="n"/>
      <c r="Y1370" s="46" t="n"/>
    </row>
    <row r="1371">
      <c r="A1371" s="78" t="n">
        <v>46363</v>
      </c>
      <c r="B1371" s="45" t="inlineStr">
        <is>
          <t>NX8</t>
        </is>
      </c>
      <c r="C1371" s="46" t="n"/>
      <c r="D1371" s="46" t="n"/>
      <c r="E1371" s="46" t="n"/>
      <c r="F1371" s="46" t="n"/>
      <c r="G1371" s="46" t="n"/>
      <c r="H1371" s="46" t="n"/>
      <c r="I1371" s="46" t="n"/>
      <c r="J1371" s="46" t="n"/>
      <c r="K1371" s="46" t="n"/>
      <c r="L1371" s="46" t="n"/>
      <c r="M1371" s="46">
        <f>N1371-SUM(C1371:L1371)</f>
        <v/>
      </c>
      <c r="N1371" s="47" t="n"/>
      <c r="O1371" s="46" t="n"/>
      <c r="P1371" s="46" t="n"/>
      <c r="Q1371" s="46" t="n"/>
      <c r="R1371" s="46" t="n"/>
      <c r="S1371" s="46" t="n"/>
      <c r="T1371" s="46" t="n"/>
      <c r="U1371" s="46" t="n"/>
      <c r="V1371" s="46" t="n"/>
      <c r="W1371" s="46" t="n"/>
      <c r="X1371" s="46" t="n"/>
      <c r="Y1371" s="46" t="n"/>
    </row>
    <row r="1372">
      <c r="A1372" s="78" t="n">
        <v>46364</v>
      </c>
      <c r="B1372" s="45" t="inlineStr">
        <is>
          <t>NX8</t>
        </is>
      </c>
      <c r="C1372" s="46" t="n"/>
      <c r="D1372" s="46" t="n"/>
      <c r="E1372" s="46" t="n"/>
      <c r="F1372" s="46" t="n"/>
      <c r="G1372" s="46" t="n"/>
      <c r="H1372" s="46" t="n"/>
      <c r="I1372" s="46" t="n"/>
      <c r="J1372" s="46" t="n"/>
      <c r="K1372" s="46" t="n"/>
      <c r="L1372" s="46" t="n"/>
      <c r="M1372" s="46">
        <f>N1372-SUM(C1372:L1372)</f>
        <v/>
      </c>
      <c r="N1372" s="47" t="n"/>
      <c r="O1372" s="46" t="n"/>
      <c r="P1372" s="46" t="n"/>
      <c r="Q1372" s="46" t="n"/>
      <c r="R1372" s="46" t="n"/>
      <c r="S1372" s="46" t="n"/>
      <c r="T1372" s="46" t="n"/>
      <c r="U1372" s="46" t="n"/>
      <c r="V1372" s="46" t="n"/>
      <c r="W1372" s="46" t="n"/>
      <c r="X1372" s="46" t="n"/>
      <c r="Y1372" s="46" t="n"/>
    </row>
    <row r="1373">
      <c r="A1373" s="78" t="n">
        <v>46365</v>
      </c>
      <c r="B1373" s="45" t="inlineStr">
        <is>
          <t>NX8</t>
        </is>
      </c>
      <c r="C1373" s="46" t="n"/>
      <c r="D1373" s="46" t="n"/>
      <c r="E1373" s="46" t="n"/>
      <c r="F1373" s="46" t="n"/>
      <c r="G1373" s="46" t="n"/>
      <c r="H1373" s="46" t="n"/>
      <c r="I1373" s="46" t="n"/>
      <c r="J1373" s="46" t="n"/>
      <c r="K1373" s="46" t="n"/>
      <c r="L1373" s="46" t="n"/>
      <c r="M1373" s="46">
        <f>N1373-SUM(C1373:L1373)</f>
        <v/>
      </c>
      <c r="N1373" s="47" t="n"/>
      <c r="O1373" s="46" t="n"/>
      <c r="P1373" s="46" t="n"/>
      <c r="Q1373" s="46" t="n"/>
      <c r="R1373" s="46" t="n"/>
      <c r="S1373" s="46" t="n"/>
      <c r="T1373" s="46" t="n"/>
      <c r="U1373" s="46" t="n"/>
      <c r="V1373" s="46" t="n"/>
      <c r="W1373" s="46" t="n"/>
      <c r="X1373" s="46" t="n"/>
      <c r="Y1373" s="46" t="n"/>
    </row>
    <row r="1374">
      <c r="A1374" s="78" t="n">
        <v>46366</v>
      </c>
      <c r="B1374" s="45" t="inlineStr">
        <is>
          <t>NX8</t>
        </is>
      </c>
      <c r="C1374" s="46" t="n"/>
      <c r="D1374" s="46" t="n"/>
      <c r="E1374" s="46" t="n"/>
      <c r="F1374" s="46" t="n"/>
      <c r="G1374" s="46" t="n"/>
      <c r="H1374" s="46" t="n"/>
      <c r="I1374" s="46" t="n"/>
      <c r="J1374" s="46" t="n"/>
      <c r="K1374" s="46" t="n"/>
      <c r="L1374" s="46" t="n"/>
      <c r="M1374" s="46">
        <f>N1374-SUM(C1374:L1374)</f>
        <v/>
      </c>
      <c r="N1374" s="47" t="n"/>
      <c r="O1374" s="46" t="n"/>
      <c r="P1374" s="46" t="n"/>
      <c r="Q1374" s="46" t="n"/>
      <c r="R1374" s="46" t="n"/>
      <c r="S1374" s="46" t="n"/>
      <c r="T1374" s="46" t="n"/>
      <c r="U1374" s="46" t="n"/>
      <c r="V1374" s="46" t="n"/>
      <c r="W1374" s="46" t="n"/>
      <c r="X1374" s="46" t="n"/>
      <c r="Y1374" s="46" t="n"/>
    </row>
    <row r="1375">
      <c r="A1375" s="78" t="n">
        <v>46367</v>
      </c>
      <c r="B1375" s="45" t="inlineStr">
        <is>
          <t>NX8</t>
        </is>
      </c>
      <c r="C1375" s="46" t="n"/>
      <c r="D1375" s="46" t="n"/>
      <c r="E1375" s="46" t="n"/>
      <c r="F1375" s="46" t="n"/>
      <c r="G1375" s="46" t="n"/>
      <c r="H1375" s="46" t="n"/>
      <c r="I1375" s="46" t="n"/>
      <c r="J1375" s="46" t="n"/>
      <c r="K1375" s="46" t="n"/>
      <c r="L1375" s="46" t="n"/>
      <c r="M1375" s="46">
        <f>N1375-SUM(C1375:L1375)</f>
        <v/>
      </c>
      <c r="N1375" s="47" t="n"/>
      <c r="O1375" s="46" t="n"/>
      <c r="P1375" s="46" t="n"/>
      <c r="Q1375" s="46" t="n"/>
      <c r="R1375" s="46" t="n"/>
      <c r="S1375" s="46" t="n"/>
      <c r="T1375" s="46" t="n"/>
      <c r="U1375" s="46" t="n"/>
      <c r="V1375" s="46" t="n"/>
      <c r="W1375" s="46" t="n"/>
      <c r="X1375" s="46" t="n"/>
      <c r="Y1375" s="46" t="n"/>
    </row>
    <row r="1376">
      <c r="A1376" s="78" t="n">
        <v>46368</v>
      </c>
      <c r="B1376" s="45" t="inlineStr">
        <is>
          <t>NX8</t>
        </is>
      </c>
      <c r="C1376" s="46" t="n"/>
      <c r="D1376" s="46" t="n"/>
      <c r="E1376" s="46" t="n"/>
      <c r="F1376" s="46" t="n"/>
      <c r="G1376" s="46" t="n"/>
      <c r="H1376" s="46" t="n"/>
      <c r="I1376" s="46" t="n"/>
      <c r="J1376" s="46" t="n"/>
      <c r="K1376" s="46" t="n"/>
      <c r="L1376" s="46" t="n"/>
      <c r="M1376" s="46">
        <f>N1376-SUM(C1376:L1376)</f>
        <v/>
      </c>
      <c r="N1376" s="47" t="n"/>
      <c r="O1376" s="46" t="n"/>
      <c r="P1376" s="46" t="n"/>
      <c r="Q1376" s="46" t="n"/>
      <c r="R1376" s="46" t="n"/>
      <c r="S1376" s="46" t="n"/>
      <c r="T1376" s="46" t="n"/>
      <c r="U1376" s="46" t="n"/>
      <c r="V1376" s="46" t="n"/>
      <c r="W1376" s="46" t="n"/>
      <c r="X1376" s="46" t="n"/>
      <c r="Y1376" s="46" t="n"/>
    </row>
    <row r="1377">
      <c r="A1377" s="78" t="n">
        <v>46369</v>
      </c>
      <c r="B1377" s="45" t="inlineStr">
        <is>
          <t>NX8</t>
        </is>
      </c>
      <c r="C1377" s="46" t="n"/>
      <c r="D1377" s="46" t="n"/>
      <c r="E1377" s="46" t="n"/>
      <c r="F1377" s="46" t="n"/>
      <c r="G1377" s="46" t="n"/>
      <c r="H1377" s="46" t="n"/>
      <c r="I1377" s="46" t="n"/>
      <c r="J1377" s="46" t="n"/>
      <c r="K1377" s="46" t="n"/>
      <c r="L1377" s="46" t="n"/>
      <c r="M1377" s="46">
        <f>N1377-SUM(C1377:L1377)</f>
        <v/>
      </c>
      <c r="N1377" s="47" t="n"/>
      <c r="O1377" s="46" t="n"/>
      <c r="P1377" s="46" t="n"/>
      <c r="Q1377" s="46" t="n"/>
      <c r="R1377" s="46" t="n"/>
      <c r="S1377" s="46" t="n"/>
      <c r="T1377" s="46" t="n"/>
      <c r="U1377" s="46" t="n"/>
      <c r="V1377" s="46" t="n"/>
      <c r="W1377" s="46" t="n"/>
      <c r="X1377" s="46" t="n"/>
      <c r="Y1377" s="46" t="n"/>
    </row>
    <row r="1378">
      <c r="A1378" s="78" t="n">
        <v>46370</v>
      </c>
      <c r="B1378" s="45" t="inlineStr">
        <is>
          <t>NX8</t>
        </is>
      </c>
      <c r="C1378" s="46" t="n"/>
      <c r="D1378" s="46" t="n"/>
      <c r="E1378" s="46" t="n"/>
      <c r="F1378" s="46" t="n"/>
      <c r="G1378" s="46" t="n"/>
      <c r="H1378" s="46" t="n"/>
      <c r="I1378" s="46" t="n"/>
      <c r="J1378" s="46" t="n"/>
      <c r="K1378" s="46" t="n"/>
      <c r="L1378" s="46" t="n"/>
      <c r="M1378" s="46">
        <f>N1378-SUM(C1378:L1378)</f>
        <v/>
      </c>
      <c r="N1378" s="47" t="n"/>
      <c r="O1378" s="46" t="n"/>
      <c r="P1378" s="46" t="n"/>
      <c r="Q1378" s="46" t="n"/>
      <c r="R1378" s="46" t="n"/>
      <c r="S1378" s="46" t="n"/>
      <c r="T1378" s="46" t="n"/>
      <c r="U1378" s="46" t="n"/>
      <c r="V1378" s="46" t="n"/>
      <c r="W1378" s="46" t="n"/>
      <c r="X1378" s="46" t="n"/>
      <c r="Y1378" s="46" t="n"/>
    </row>
    <row r="1379">
      <c r="A1379" s="78" t="n">
        <v>46371</v>
      </c>
      <c r="B1379" s="45" t="inlineStr">
        <is>
          <t>NX8</t>
        </is>
      </c>
      <c r="C1379" s="46" t="n"/>
      <c r="D1379" s="46" t="n"/>
      <c r="E1379" s="46" t="n"/>
      <c r="F1379" s="46" t="n"/>
      <c r="G1379" s="46" t="n"/>
      <c r="H1379" s="46" t="n"/>
      <c r="I1379" s="46" t="n"/>
      <c r="J1379" s="46" t="n"/>
      <c r="K1379" s="46" t="n"/>
      <c r="L1379" s="46" t="n"/>
      <c r="M1379" s="46">
        <f>N1379-SUM(C1379:L1379)</f>
        <v/>
      </c>
      <c r="N1379" s="47" t="n"/>
      <c r="O1379" s="46" t="n"/>
      <c r="P1379" s="46" t="n"/>
      <c r="Q1379" s="46" t="n"/>
      <c r="R1379" s="46" t="n"/>
      <c r="S1379" s="46" t="n"/>
      <c r="T1379" s="46" t="n"/>
      <c r="U1379" s="46" t="n"/>
      <c r="V1379" s="46" t="n"/>
      <c r="W1379" s="46" t="n"/>
      <c r="X1379" s="46" t="n"/>
      <c r="Y1379" s="46" t="n"/>
    </row>
    <row r="1380">
      <c r="A1380" s="78" t="n">
        <v>46372</v>
      </c>
      <c r="B1380" s="45" t="inlineStr">
        <is>
          <t>NX8</t>
        </is>
      </c>
      <c r="C1380" s="46" t="n"/>
      <c r="D1380" s="46" t="n"/>
      <c r="E1380" s="46" t="n"/>
      <c r="F1380" s="46" t="n"/>
      <c r="G1380" s="46" t="n"/>
      <c r="H1380" s="46" t="n"/>
      <c r="I1380" s="46" t="n"/>
      <c r="J1380" s="46" t="n"/>
      <c r="K1380" s="46" t="n"/>
      <c r="L1380" s="46" t="n"/>
      <c r="M1380" s="46">
        <f>N1380-SUM(C1380:L1380)</f>
        <v/>
      </c>
      <c r="N1380" s="47" t="n"/>
      <c r="O1380" s="46" t="n"/>
      <c r="P1380" s="46" t="n"/>
      <c r="Q1380" s="46" t="n"/>
      <c r="R1380" s="46" t="n"/>
      <c r="S1380" s="46" t="n"/>
      <c r="T1380" s="46" t="n"/>
      <c r="U1380" s="46" t="n"/>
      <c r="V1380" s="46" t="n"/>
      <c r="W1380" s="46" t="n"/>
      <c r="X1380" s="46" t="n"/>
      <c r="Y1380" s="46" t="n"/>
    </row>
    <row r="1381">
      <c r="A1381" s="78" t="n">
        <v>46373</v>
      </c>
      <c r="B1381" s="45" t="inlineStr">
        <is>
          <t>NX8</t>
        </is>
      </c>
      <c r="C1381" s="46" t="n"/>
      <c r="D1381" s="46" t="n"/>
      <c r="E1381" s="46" t="n"/>
      <c r="F1381" s="46" t="n"/>
      <c r="G1381" s="46" t="n"/>
      <c r="H1381" s="46" t="n"/>
      <c r="I1381" s="46" t="n"/>
      <c r="J1381" s="46" t="n"/>
      <c r="K1381" s="46" t="n"/>
      <c r="L1381" s="46" t="n"/>
      <c r="M1381" s="46">
        <f>N1381-SUM(C1381:L1381)</f>
        <v/>
      </c>
      <c r="N1381" s="47" t="n"/>
      <c r="O1381" s="46" t="n"/>
      <c r="P1381" s="46" t="n"/>
      <c r="Q1381" s="46" t="n"/>
      <c r="R1381" s="46" t="n"/>
      <c r="S1381" s="46" t="n"/>
      <c r="T1381" s="46" t="n"/>
      <c r="U1381" s="46" t="n"/>
      <c r="V1381" s="46" t="n"/>
      <c r="W1381" s="46" t="n"/>
      <c r="X1381" s="46" t="n"/>
      <c r="Y1381" s="46" t="n"/>
    </row>
    <row r="1382">
      <c r="A1382" s="78" t="n">
        <v>46374</v>
      </c>
      <c r="B1382" s="45" t="inlineStr">
        <is>
          <t>NX8</t>
        </is>
      </c>
      <c r="C1382" s="46" t="n"/>
      <c r="D1382" s="46" t="n"/>
      <c r="E1382" s="46" t="n"/>
      <c r="F1382" s="46" t="n"/>
      <c r="G1382" s="46" t="n"/>
      <c r="H1382" s="46" t="n"/>
      <c r="I1382" s="46" t="n"/>
      <c r="J1382" s="46" t="n"/>
      <c r="K1382" s="46" t="n"/>
      <c r="L1382" s="46" t="n"/>
      <c r="M1382" s="46">
        <f>N1382-SUM(C1382:L1382)</f>
        <v/>
      </c>
      <c r="N1382" s="47" t="n"/>
      <c r="O1382" s="46" t="n"/>
      <c r="P1382" s="46" t="n"/>
      <c r="Q1382" s="46" t="n"/>
      <c r="R1382" s="46" t="n"/>
      <c r="S1382" s="46" t="n"/>
      <c r="T1382" s="46" t="n"/>
      <c r="U1382" s="46" t="n"/>
      <c r="V1382" s="46" t="n"/>
      <c r="W1382" s="46" t="n"/>
      <c r="X1382" s="46" t="n"/>
      <c r="Y1382" s="46" t="n"/>
    </row>
    <row r="1383">
      <c r="A1383" s="78" t="n">
        <v>46375</v>
      </c>
      <c r="B1383" s="45" t="inlineStr">
        <is>
          <t>NX8</t>
        </is>
      </c>
      <c r="C1383" s="46" t="n"/>
      <c r="D1383" s="46" t="n"/>
      <c r="E1383" s="46" t="n"/>
      <c r="F1383" s="46" t="n"/>
      <c r="G1383" s="46" t="n"/>
      <c r="H1383" s="46" t="n"/>
      <c r="I1383" s="46" t="n"/>
      <c r="J1383" s="46" t="n"/>
      <c r="K1383" s="46" t="n"/>
      <c r="L1383" s="46" t="n"/>
      <c r="M1383" s="46">
        <f>N1383-SUM(C1383:L1383)</f>
        <v/>
      </c>
      <c r="N1383" s="47" t="n"/>
      <c r="O1383" s="46" t="n"/>
      <c r="P1383" s="46" t="n"/>
      <c r="Q1383" s="46" t="n"/>
      <c r="R1383" s="46" t="n"/>
      <c r="S1383" s="46" t="n"/>
      <c r="T1383" s="46" t="n"/>
      <c r="U1383" s="46" t="n"/>
      <c r="V1383" s="46" t="n"/>
      <c r="W1383" s="46" t="n"/>
      <c r="X1383" s="46" t="n"/>
      <c r="Y1383" s="46" t="n"/>
    </row>
    <row r="1384">
      <c r="A1384" s="78" t="n">
        <v>46376</v>
      </c>
      <c r="B1384" s="45" t="inlineStr">
        <is>
          <t>NX8</t>
        </is>
      </c>
      <c r="C1384" s="46" t="n"/>
      <c r="D1384" s="46" t="n"/>
      <c r="E1384" s="46" t="n"/>
      <c r="F1384" s="46" t="n"/>
      <c r="G1384" s="46" t="n"/>
      <c r="H1384" s="46" t="n"/>
      <c r="I1384" s="46" t="n"/>
      <c r="J1384" s="46" t="n"/>
      <c r="K1384" s="46" t="n"/>
      <c r="L1384" s="46" t="n"/>
      <c r="M1384" s="46">
        <f>N1384-SUM(C1384:L1384)</f>
        <v/>
      </c>
      <c r="N1384" s="47" t="n"/>
      <c r="O1384" s="46" t="n"/>
      <c r="P1384" s="46" t="n"/>
      <c r="Q1384" s="46" t="n"/>
      <c r="R1384" s="46" t="n"/>
      <c r="S1384" s="46" t="n"/>
      <c r="T1384" s="46" t="n"/>
      <c r="U1384" s="46" t="n"/>
      <c r="V1384" s="46" t="n"/>
      <c r="W1384" s="46" t="n"/>
      <c r="X1384" s="46" t="n"/>
      <c r="Y1384" s="46" t="n"/>
    </row>
    <row r="1385">
      <c r="A1385" s="78" t="n">
        <v>46377</v>
      </c>
      <c r="B1385" s="45" t="inlineStr">
        <is>
          <t>NX8</t>
        </is>
      </c>
      <c r="C1385" s="46" t="n"/>
      <c r="D1385" s="46" t="n"/>
      <c r="E1385" s="46" t="n"/>
      <c r="F1385" s="46" t="n"/>
      <c r="G1385" s="46" t="n"/>
      <c r="H1385" s="46" t="n"/>
      <c r="I1385" s="46" t="n"/>
      <c r="J1385" s="46" t="n"/>
      <c r="K1385" s="46" t="n"/>
      <c r="L1385" s="46" t="n"/>
      <c r="M1385" s="46">
        <f>N1385-SUM(C1385:L1385)</f>
        <v/>
      </c>
      <c r="N1385" s="47" t="n"/>
      <c r="O1385" s="46" t="n"/>
      <c r="P1385" s="46" t="n"/>
      <c r="Q1385" s="46" t="n"/>
      <c r="R1385" s="46" t="n"/>
      <c r="S1385" s="46" t="n"/>
      <c r="T1385" s="46" t="n"/>
      <c r="U1385" s="46" t="n"/>
      <c r="V1385" s="46" t="n"/>
      <c r="W1385" s="46" t="n"/>
      <c r="X1385" s="46" t="n"/>
      <c r="Y1385" s="46" t="n"/>
    </row>
    <row r="1386">
      <c r="A1386" s="78" t="n">
        <v>46378</v>
      </c>
      <c r="B1386" s="45" t="inlineStr">
        <is>
          <t>NX8</t>
        </is>
      </c>
      <c r="C1386" s="46" t="n"/>
      <c r="D1386" s="46" t="n"/>
      <c r="E1386" s="46" t="n"/>
      <c r="F1386" s="46" t="n"/>
      <c r="G1386" s="46" t="n"/>
      <c r="H1386" s="46" t="n"/>
      <c r="I1386" s="46" t="n"/>
      <c r="J1386" s="46" t="n"/>
      <c r="K1386" s="46" t="n"/>
      <c r="L1386" s="46" t="n"/>
      <c r="M1386" s="46">
        <f>N1386-SUM(C1386:L1386)</f>
        <v/>
      </c>
      <c r="N1386" s="47" t="n"/>
      <c r="O1386" s="46" t="n"/>
      <c r="P1386" s="46" t="n"/>
      <c r="Q1386" s="46" t="n"/>
      <c r="R1386" s="46" t="n"/>
      <c r="S1386" s="46" t="n"/>
      <c r="T1386" s="46" t="n"/>
      <c r="U1386" s="46" t="n"/>
      <c r="V1386" s="46" t="n"/>
      <c r="W1386" s="46" t="n"/>
      <c r="X1386" s="46" t="n"/>
      <c r="Y1386" s="46" t="n"/>
    </row>
    <row r="1387">
      <c r="A1387" s="78" t="n">
        <v>46379</v>
      </c>
      <c r="B1387" s="45" t="inlineStr">
        <is>
          <t>NX8</t>
        </is>
      </c>
      <c r="C1387" s="46" t="n"/>
      <c r="D1387" s="46" t="n"/>
      <c r="E1387" s="46" t="n"/>
      <c r="F1387" s="46" t="n"/>
      <c r="G1387" s="46" t="n"/>
      <c r="H1387" s="46" t="n"/>
      <c r="I1387" s="46" t="n"/>
      <c r="J1387" s="46" t="n"/>
      <c r="K1387" s="46" t="n"/>
      <c r="L1387" s="46" t="n"/>
      <c r="M1387" s="46">
        <f>N1387-SUM(C1387:L1387)</f>
        <v/>
      </c>
      <c r="N1387" s="47" t="n"/>
      <c r="O1387" s="46" t="n"/>
      <c r="P1387" s="46" t="n"/>
      <c r="Q1387" s="46" t="n"/>
      <c r="R1387" s="46" t="n"/>
      <c r="S1387" s="46" t="n"/>
      <c r="T1387" s="46" t="n"/>
      <c r="U1387" s="46" t="n"/>
      <c r="V1387" s="46" t="n"/>
      <c r="W1387" s="46" t="n"/>
      <c r="X1387" s="46" t="n"/>
      <c r="Y1387" s="46" t="n"/>
    </row>
    <row r="1388">
      <c r="A1388" s="78" t="n">
        <v>46380</v>
      </c>
      <c r="B1388" s="45" t="inlineStr">
        <is>
          <t>NX8</t>
        </is>
      </c>
      <c r="C1388" s="46" t="n"/>
      <c r="D1388" s="46" t="n"/>
      <c r="E1388" s="46" t="n"/>
      <c r="F1388" s="46" t="n"/>
      <c r="G1388" s="46" t="n"/>
      <c r="H1388" s="46" t="n"/>
      <c r="I1388" s="46" t="n"/>
      <c r="J1388" s="46" t="n"/>
      <c r="K1388" s="46" t="n"/>
      <c r="L1388" s="46" t="n"/>
      <c r="M1388" s="46">
        <f>N1388-SUM(C1388:L1388)</f>
        <v/>
      </c>
      <c r="N1388" s="47" t="n"/>
      <c r="O1388" s="46" t="n"/>
      <c r="P1388" s="46" t="n"/>
      <c r="Q1388" s="46" t="n"/>
      <c r="R1388" s="46" t="n"/>
      <c r="S1388" s="46" t="n"/>
      <c r="T1388" s="46" t="n"/>
      <c r="U1388" s="46" t="n"/>
      <c r="V1388" s="46" t="n"/>
      <c r="W1388" s="46" t="n"/>
      <c r="X1388" s="46" t="n"/>
      <c r="Y1388" s="46" t="n"/>
    </row>
    <row r="1389">
      <c r="A1389" s="78" t="n">
        <v>46381</v>
      </c>
      <c r="B1389" s="45" t="inlineStr">
        <is>
          <t>NX8</t>
        </is>
      </c>
      <c r="C1389" s="46" t="n"/>
      <c r="D1389" s="46" t="n"/>
      <c r="E1389" s="46" t="n"/>
      <c r="F1389" s="46" t="n"/>
      <c r="G1389" s="46" t="n"/>
      <c r="H1389" s="46" t="n"/>
      <c r="I1389" s="46" t="n"/>
      <c r="J1389" s="46" t="n"/>
      <c r="K1389" s="46" t="n"/>
      <c r="L1389" s="46" t="n"/>
      <c r="M1389" s="46">
        <f>N1389-SUM(C1389:L1389)</f>
        <v/>
      </c>
      <c r="N1389" s="47" t="n"/>
      <c r="O1389" s="46" t="n"/>
      <c r="P1389" s="46" t="n"/>
      <c r="Q1389" s="46" t="n"/>
      <c r="R1389" s="46" t="n"/>
      <c r="S1389" s="46" t="n"/>
      <c r="T1389" s="46" t="n"/>
      <c r="U1389" s="46" t="n"/>
      <c r="V1389" s="46" t="n"/>
      <c r="W1389" s="46" t="n"/>
      <c r="X1389" s="46" t="n"/>
      <c r="Y1389" s="46" t="n"/>
    </row>
    <row r="1390">
      <c r="A1390" s="78" t="n">
        <v>46382</v>
      </c>
      <c r="B1390" s="45" t="inlineStr">
        <is>
          <t>NX8</t>
        </is>
      </c>
      <c r="C1390" s="46" t="n"/>
      <c r="D1390" s="46" t="n"/>
      <c r="E1390" s="46" t="n"/>
      <c r="F1390" s="46" t="n"/>
      <c r="G1390" s="46" t="n"/>
      <c r="H1390" s="46" t="n"/>
      <c r="I1390" s="46" t="n"/>
      <c r="J1390" s="46" t="n"/>
      <c r="K1390" s="46" t="n"/>
      <c r="L1390" s="46" t="n"/>
      <c r="M1390" s="46">
        <f>N1390-SUM(C1390:L1390)</f>
        <v/>
      </c>
      <c r="N1390" s="47" t="n"/>
      <c r="O1390" s="46" t="n"/>
      <c r="P1390" s="46" t="n"/>
      <c r="Q1390" s="46" t="n"/>
      <c r="R1390" s="46" t="n"/>
      <c r="S1390" s="46" t="n"/>
      <c r="T1390" s="46" t="n"/>
      <c r="U1390" s="46" t="n"/>
      <c r="V1390" s="46" t="n"/>
      <c r="W1390" s="46" t="n"/>
      <c r="X1390" s="46" t="n"/>
      <c r="Y1390" s="46" t="n"/>
    </row>
    <row r="1391">
      <c r="A1391" s="78" t="n">
        <v>46383</v>
      </c>
      <c r="B1391" s="45" t="inlineStr">
        <is>
          <t>NX8</t>
        </is>
      </c>
      <c r="C1391" s="46" t="n"/>
      <c r="D1391" s="46" t="n"/>
      <c r="E1391" s="46" t="n"/>
      <c r="F1391" s="46" t="n"/>
      <c r="G1391" s="46" t="n"/>
      <c r="H1391" s="46" t="n"/>
      <c r="I1391" s="46" t="n"/>
      <c r="J1391" s="46" t="n"/>
      <c r="K1391" s="46" t="n"/>
      <c r="L1391" s="46" t="n"/>
      <c r="M1391" s="46">
        <f>N1391-SUM(C1391:L1391)</f>
        <v/>
      </c>
      <c r="N1391" s="47" t="n"/>
      <c r="O1391" s="46" t="n"/>
      <c r="P1391" s="46" t="n"/>
      <c r="Q1391" s="46" t="n"/>
      <c r="R1391" s="46" t="n"/>
      <c r="S1391" s="46" t="n"/>
      <c r="T1391" s="46" t="n"/>
      <c r="U1391" s="46" t="n"/>
      <c r="V1391" s="46" t="n"/>
      <c r="W1391" s="46" t="n"/>
      <c r="X1391" s="46" t="n"/>
      <c r="Y1391" s="46" t="n"/>
    </row>
    <row r="1392">
      <c r="A1392" s="78" t="n">
        <v>46384</v>
      </c>
      <c r="B1392" s="45" t="inlineStr">
        <is>
          <t>NX8</t>
        </is>
      </c>
      <c r="C1392" s="46" t="n"/>
      <c r="D1392" s="46" t="n"/>
      <c r="E1392" s="46" t="n"/>
      <c r="F1392" s="46" t="n"/>
      <c r="G1392" s="46" t="n"/>
      <c r="H1392" s="46" t="n"/>
      <c r="I1392" s="46" t="n"/>
      <c r="J1392" s="46" t="n"/>
      <c r="K1392" s="46" t="n"/>
      <c r="L1392" s="46" t="n"/>
      <c r="M1392" s="46">
        <f>N1392-SUM(C1392:L1392)</f>
        <v/>
      </c>
      <c r="N1392" s="47" t="n"/>
      <c r="O1392" s="46" t="n"/>
      <c r="P1392" s="46" t="n"/>
      <c r="Q1392" s="46" t="n"/>
      <c r="R1392" s="46" t="n"/>
      <c r="S1392" s="46" t="n"/>
      <c r="T1392" s="46" t="n"/>
      <c r="U1392" s="46" t="n"/>
      <c r="V1392" s="46" t="n"/>
      <c r="W1392" s="46" t="n"/>
      <c r="X1392" s="46" t="n"/>
      <c r="Y1392" s="46" t="n"/>
    </row>
    <row r="1393">
      <c r="A1393" s="78" t="n">
        <v>46385</v>
      </c>
      <c r="B1393" s="45" t="inlineStr">
        <is>
          <t>NX8</t>
        </is>
      </c>
      <c r="C1393" s="46" t="n"/>
      <c r="D1393" s="46" t="n"/>
      <c r="E1393" s="46" t="n"/>
      <c r="F1393" s="46" t="n"/>
      <c r="G1393" s="46" t="n"/>
      <c r="H1393" s="46" t="n"/>
      <c r="I1393" s="46" t="n"/>
      <c r="J1393" s="46" t="n"/>
      <c r="K1393" s="46" t="n"/>
      <c r="L1393" s="46" t="n"/>
      <c r="M1393" s="46">
        <f>N1393-SUM(C1393:L1393)</f>
        <v/>
      </c>
      <c r="N1393" s="47" t="n"/>
      <c r="O1393" s="46" t="n"/>
      <c r="P1393" s="46" t="n"/>
      <c r="Q1393" s="46" t="n"/>
      <c r="R1393" s="46" t="n"/>
      <c r="S1393" s="46" t="n"/>
      <c r="T1393" s="46" t="n"/>
      <c r="U1393" s="46" t="n"/>
      <c r="V1393" s="46" t="n"/>
      <c r="W1393" s="46" t="n"/>
      <c r="X1393" s="46" t="n"/>
      <c r="Y1393" s="46" t="n"/>
    </row>
    <row r="1394">
      <c r="A1394" s="78" t="n">
        <v>46386</v>
      </c>
      <c r="B1394" s="45" t="inlineStr">
        <is>
          <t>NX8</t>
        </is>
      </c>
      <c r="C1394" s="46" t="n"/>
      <c r="D1394" s="46" t="n"/>
      <c r="E1394" s="46" t="n"/>
      <c r="F1394" s="46" t="n"/>
      <c r="G1394" s="46" t="n"/>
      <c r="H1394" s="46" t="n"/>
      <c r="I1394" s="46" t="n"/>
      <c r="J1394" s="46" t="n"/>
      <c r="K1394" s="46" t="n"/>
      <c r="L1394" s="46" t="n"/>
      <c r="M1394" s="46">
        <f>N1394-SUM(C1394:L1394)</f>
        <v/>
      </c>
      <c r="N1394" s="47" t="n"/>
      <c r="O1394" s="46" t="n"/>
      <c r="P1394" s="46" t="n"/>
      <c r="Q1394" s="46" t="n"/>
      <c r="R1394" s="46" t="n"/>
      <c r="S1394" s="46" t="n"/>
      <c r="T1394" s="46" t="n"/>
      <c r="U1394" s="46" t="n"/>
      <c r="V1394" s="46" t="n"/>
      <c r="W1394" s="46" t="n"/>
      <c r="X1394" s="46" t="n"/>
      <c r="Y1394" s="46" t="n"/>
    </row>
    <row r="1395">
      <c r="A1395" s="78" t="n">
        <v>46387</v>
      </c>
      <c r="B1395" s="45" t="inlineStr">
        <is>
          <t>NX8</t>
        </is>
      </c>
      <c r="C1395" s="46" t="n"/>
      <c r="D1395" s="46" t="n"/>
      <c r="E1395" s="46" t="n"/>
      <c r="F1395" s="46" t="n"/>
      <c r="G1395" s="46" t="n"/>
      <c r="H1395" s="46" t="n"/>
      <c r="I1395" s="46" t="n"/>
      <c r="J1395" s="46" t="n"/>
      <c r="K1395" s="46" t="n"/>
      <c r="L1395" s="46" t="n"/>
      <c r="M1395" s="46">
        <f>N1395-SUM(C1395:L1395)</f>
        <v/>
      </c>
      <c r="N1395" s="47" t="n"/>
      <c r="O1395" s="46" t="n"/>
      <c r="P1395" s="46" t="n"/>
      <c r="Q1395" s="46" t="n"/>
      <c r="R1395" s="46" t="n"/>
      <c r="S1395" s="46" t="n"/>
      <c r="T1395" s="46" t="n"/>
      <c r="U1395" s="46" t="n"/>
      <c r="V1395" s="46" t="n"/>
      <c r="W1395" s="46" t="n"/>
      <c r="X1395" s="46" t="n"/>
      <c r="Y1395" s="46" t="n"/>
    </row>
  </sheetData>
  <autoFilter ref="A2:BP1226"/>
  <conditionalFormatting sqref="B1:B1048576">
    <cfRule type="cellIs" priority="1" operator="equal" dxfId="3">
      <formula>"NX8"</formula>
    </cfRule>
    <cfRule type="cellIs" priority="2" operator="equal" dxfId="2">
      <formula>"天籁·鸿蒙座舱"</formula>
    </cfRule>
    <cfRule type="cellIs" priority="3" operator="equal" dxfId="1">
      <formula>"N6"</formula>
    </cfRule>
    <cfRule type="cellIs" priority="4" operator="equal" dxfId="0">
      <formula>"N7"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>
  <sheetPr>
    <outlinePr summaryBelow="1" summaryRight="1"/>
    <pageSetUpPr/>
  </sheetPr>
  <dimension ref="A3:AF10"/>
  <sheetViews>
    <sheetView zoomScale="90" zoomScaleNormal="90" workbookViewId="0">
      <selection activeCell="M10" sqref="M10"/>
    </sheetView>
  </sheetViews>
  <sheetFormatPr baseColWidth="8" defaultRowHeight="14.25"/>
  <cols>
    <col width="13" bestFit="1" customWidth="1" min="1" max="1"/>
    <col width="6.5" bestFit="1" customWidth="1" min="2" max="13"/>
    <col width="7.5" bestFit="1" customWidth="1" min="14" max="32"/>
  </cols>
  <sheetData>
    <row r="3">
      <c r="A3" s="10" t="inlineStr">
        <is>
          <t>上期日期</t>
        </is>
      </c>
      <c r="B3" s="79" t="n">
        <v>46082</v>
      </c>
      <c r="C3" s="79" t="n">
        <v>46083</v>
      </c>
      <c r="D3" s="79" t="n">
        <v>46084</v>
      </c>
      <c r="E3" s="79" t="n">
        <v>46085</v>
      </c>
      <c r="F3" s="79" t="n">
        <v>46086</v>
      </c>
      <c r="G3" s="79" t="n">
        <v>46087</v>
      </c>
      <c r="H3" s="79" t="n">
        <v>46088</v>
      </c>
      <c r="I3" s="79" t="n">
        <v>46089</v>
      </c>
      <c r="J3" s="79" t="n">
        <v>46090</v>
      </c>
      <c r="K3" s="79" t="n">
        <v>46091</v>
      </c>
      <c r="L3" s="79" t="n">
        <v>46092</v>
      </c>
      <c r="M3" s="79" t="n">
        <v>46093</v>
      </c>
      <c r="N3" s="79" t="n">
        <v>46094</v>
      </c>
      <c r="O3" s="79" t="n">
        <v>46095</v>
      </c>
      <c r="P3" s="79" t="n">
        <v>46096</v>
      </c>
      <c r="Q3" s="79" t="n">
        <v>46097</v>
      </c>
      <c r="R3" s="79" t="n">
        <v>46098</v>
      </c>
      <c r="S3" s="79" t="n">
        <v>46099</v>
      </c>
      <c r="T3" s="79" t="n">
        <v>46100</v>
      </c>
      <c r="U3" s="79" t="n">
        <v>46101</v>
      </c>
      <c r="V3" s="79" t="n">
        <v>46102</v>
      </c>
      <c r="W3" s="79" t="n">
        <v>46103</v>
      </c>
      <c r="X3" s="79" t="n">
        <v>46104</v>
      </c>
      <c r="Y3" s="79" t="n">
        <v>46105</v>
      </c>
      <c r="Z3" s="79" t="n">
        <v>46106</v>
      </c>
      <c r="AA3" s="79" t="n">
        <v>46107</v>
      </c>
      <c r="AB3" s="79" t="n">
        <v>46108</v>
      </c>
      <c r="AC3" s="79" t="n">
        <v>46109</v>
      </c>
      <c r="AD3" s="79" t="n">
        <v>46110</v>
      </c>
      <c r="AE3" s="79" t="n">
        <v>46111</v>
      </c>
      <c r="AF3" s="79" t="n">
        <v>46112</v>
      </c>
    </row>
    <row r="4">
      <c r="A4" s="10" t="inlineStr">
        <is>
          <t>本期日期</t>
        </is>
      </c>
      <c r="B4" s="79" t="n">
        <v>46113</v>
      </c>
      <c r="C4" s="79" t="n">
        <v>46114</v>
      </c>
      <c r="D4" s="79" t="n">
        <v>46115</v>
      </c>
      <c r="E4" s="79" t="n">
        <v>46116</v>
      </c>
      <c r="F4" s="79" t="n">
        <v>46117</v>
      </c>
      <c r="G4" s="79" t="n">
        <v>46118</v>
      </c>
      <c r="H4" s="79" t="n">
        <v>46119</v>
      </c>
      <c r="I4" s="79" t="n">
        <v>46120</v>
      </c>
      <c r="J4" s="79" t="n">
        <v>46121</v>
      </c>
      <c r="K4" s="79" t="n">
        <v>46122</v>
      </c>
      <c r="L4" s="79" t="n">
        <v>46123</v>
      </c>
      <c r="M4" s="79" t="n">
        <v>46124</v>
      </c>
      <c r="N4" s="79" t="n">
        <v>46125</v>
      </c>
      <c r="O4" s="79" t="n">
        <v>46126</v>
      </c>
      <c r="P4" s="79" t="n">
        <v>46127</v>
      </c>
      <c r="Q4" s="79" t="n">
        <v>46128</v>
      </c>
      <c r="R4" s="79" t="n">
        <v>46129</v>
      </c>
      <c r="S4" s="79" t="n">
        <v>46130</v>
      </c>
      <c r="T4" s="79" t="n">
        <v>46131</v>
      </c>
      <c r="U4" s="79" t="n">
        <v>46132</v>
      </c>
      <c r="V4" s="79" t="n">
        <v>46133</v>
      </c>
      <c r="W4" s="79" t="n">
        <v>46134</v>
      </c>
      <c r="X4" s="79" t="n">
        <v>46135</v>
      </c>
      <c r="Y4" s="79" t="n">
        <v>46136</v>
      </c>
      <c r="Z4" s="79" t="n">
        <v>46137</v>
      </c>
      <c r="AA4" s="79" t="n">
        <v>46138</v>
      </c>
      <c r="AB4" s="79" t="n">
        <v>46139</v>
      </c>
      <c r="AC4" s="79" t="n">
        <v>46140</v>
      </c>
      <c r="AD4" s="79" t="n">
        <v>46141</v>
      </c>
      <c r="AE4" s="79" t="n">
        <v>46142</v>
      </c>
    </row>
    <row r="5">
      <c r="A5" t="inlineStr">
        <is>
          <t>上期实绩</t>
        </is>
      </c>
      <c r="B5">
        <f>SUMIFS(全国按日NEV!$F:$F,全国按日NEV!$C:$C,全车有效线索管控!B3)+SUMIFS(全国按日ICE!$G:$G,全国按日ICE!$B:$B,全车有效线索管控!B3)</f>
        <v/>
      </c>
      <c r="C5">
        <f>SUMIFS(全国按日NEV!$F:$F,全国按日NEV!$C:$C,全车有效线索管控!C3)+SUMIFS(全国按日ICE!$G:$G,全国按日ICE!$B:$B,全车有效线索管控!C3)</f>
        <v/>
      </c>
      <c r="D5">
        <f>SUMIFS(全国按日NEV!$F:$F,全国按日NEV!$C:$C,全车有效线索管控!D3)+SUMIFS(全国按日ICE!$G:$G,全国按日ICE!$B:$B,全车有效线索管控!D3)</f>
        <v/>
      </c>
      <c r="E5">
        <f>SUMIFS(全国按日NEV!$F:$F,全国按日NEV!$C:$C,全车有效线索管控!E3)+SUMIFS(全国按日ICE!$G:$G,全国按日ICE!$B:$B,全车有效线索管控!E3)</f>
        <v/>
      </c>
      <c r="F5">
        <f>SUMIFS(全国按日NEV!$F:$F,全国按日NEV!$C:$C,全车有效线索管控!F3)+SUMIFS(全国按日ICE!$G:$G,全国按日ICE!$B:$B,全车有效线索管控!F3)</f>
        <v/>
      </c>
      <c r="G5">
        <f>SUMIFS(全国按日NEV!$F:$F,全国按日NEV!$C:$C,全车有效线索管控!G3)+SUMIFS(全国按日ICE!$G:$G,全国按日ICE!$B:$B,全车有效线索管控!G3)</f>
        <v/>
      </c>
      <c r="H5">
        <f>SUMIFS(全国按日NEV!$F:$F,全国按日NEV!$C:$C,全车有效线索管控!H3)+SUMIFS(全国按日ICE!$G:$G,全国按日ICE!$B:$B,全车有效线索管控!H3)</f>
        <v/>
      </c>
      <c r="I5">
        <f>SUMIFS(全国按日NEV!$F:$F,全国按日NEV!$C:$C,全车有效线索管控!I3)+SUMIFS(全国按日ICE!$G:$G,全国按日ICE!$B:$B,全车有效线索管控!I3)</f>
        <v/>
      </c>
      <c r="J5">
        <f>SUMIFS(全国按日NEV!$F:$F,全国按日NEV!$C:$C,全车有效线索管控!J3)+SUMIFS(全国按日ICE!$G:$G,全国按日ICE!$B:$B,全车有效线索管控!J3)</f>
        <v/>
      </c>
      <c r="K5">
        <f>SUMIFS(全国按日NEV!$F:$F,全国按日NEV!$C:$C,全车有效线索管控!K3)+SUMIFS(全国按日ICE!$G:$G,全国按日ICE!$B:$B,全车有效线索管控!K3)</f>
        <v/>
      </c>
      <c r="L5">
        <f>SUMIFS(全国按日NEV!$F:$F,全国按日NEV!$C:$C,全车有效线索管控!L3)+SUMIFS(全国按日ICE!$G:$G,全国按日ICE!$B:$B,全车有效线索管控!L3)</f>
        <v/>
      </c>
      <c r="M5">
        <f>SUMIFS(全国按日NEV!$F:$F,全国按日NEV!$C:$C,全车有效线索管控!M3)+SUMIFS(全国按日ICE!$G:$G,全国按日ICE!$B:$B,全车有效线索管控!M3)</f>
        <v/>
      </c>
      <c r="N5">
        <f>SUMIFS(全国按日NEV!$F:$F,全国按日NEV!$C:$C,全车有效线索管控!N3)+SUMIFS(全国按日ICE!$G:$G,全国按日ICE!$B:$B,全车有效线索管控!N3)</f>
        <v/>
      </c>
      <c r="O5">
        <f>SUMIFS(全国按日NEV!$F:$F,全国按日NEV!$C:$C,全车有效线索管控!O3)+SUMIFS(全国按日ICE!$G:$G,全国按日ICE!$B:$B,全车有效线索管控!O3)</f>
        <v/>
      </c>
      <c r="P5">
        <f>SUMIFS(全国按日NEV!$F:$F,全国按日NEV!$C:$C,全车有效线索管控!P3)+SUMIFS(全国按日ICE!$G:$G,全国按日ICE!$B:$B,全车有效线索管控!P3)</f>
        <v/>
      </c>
      <c r="Q5">
        <f>SUMIFS(全国按日NEV!$F:$F,全国按日NEV!$C:$C,全车有效线索管控!Q3)+SUMIFS(全国按日ICE!$G:$G,全国按日ICE!$B:$B,全车有效线索管控!Q3)</f>
        <v/>
      </c>
      <c r="R5">
        <f>SUMIFS(全国按日NEV!$F:$F,全国按日NEV!$C:$C,全车有效线索管控!R3)+SUMIFS(全国按日ICE!$G:$G,全国按日ICE!$B:$B,全车有效线索管控!R3)</f>
        <v/>
      </c>
      <c r="S5">
        <f>SUMIFS(全国按日NEV!$F:$F,全国按日NEV!$C:$C,全车有效线索管控!S3)+SUMIFS(全国按日ICE!$G:$G,全国按日ICE!$B:$B,全车有效线索管控!S3)</f>
        <v/>
      </c>
      <c r="T5">
        <f>SUMIFS(全国按日NEV!$F:$F,全国按日NEV!$C:$C,全车有效线索管控!T3)+SUMIFS(全国按日ICE!$G:$G,全国按日ICE!$B:$B,全车有效线索管控!T3)</f>
        <v/>
      </c>
      <c r="U5">
        <f>SUMIFS(全国按日NEV!$F:$F,全国按日NEV!$C:$C,全车有效线索管控!U3)+SUMIFS(全国按日ICE!$G:$G,全国按日ICE!$B:$B,全车有效线索管控!U3)</f>
        <v/>
      </c>
      <c r="V5">
        <f>SUMIFS(全国按日NEV!$F:$F,全国按日NEV!$C:$C,全车有效线索管控!V3)+SUMIFS(全国按日ICE!$G:$G,全国按日ICE!$B:$B,全车有效线索管控!V3)</f>
        <v/>
      </c>
      <c r="W5">
        <f>SUMIFS(全国按日NEV!$F:$F,全国按日NEV!$C:$C,全车有效线索管控!W3)+SUMIFS(全国按日ICE!$G:$G,全国按日ICE!$B:$B,全车有效线索管控!W3)</f>
        <v/>
      </c>
      <c r="X5">
        <f>SUMIFS(全国按日NEV!$F:$F,全国按日NEV!$C:$C,全车有效线索管控!X3)+SUMIFS(全国按日ICE!$G:$G,全国按日ICE!$B:$B,全车有效线索管控!X3)</f>
        <v/>
      </c>
      <c r="Y5">
        <f>SUMIFS(全国按日NEV!$F:$F,全国按日NEV!$C:$C,全车有效线索管控!Y3)+SUMIFS(全国按日ICE!$G:$G,全国按日ICE!$B:$B,全车有效线索管控!Y3)</f>
        <v/>
      </c>
      <c r="Z5">
        <f>SUMIFS(全国按日NEV!$F:$F,全国按日NEV!$C:$C,全车有效线索管控!Z3)+SUMIFS(全国按日ICE!$G:$G,全国按日ICE!$B:$B,全车有效线索管控!Z3)</f>
        <v/>
      </c>
      <c r="AA5">
        <f>SUMIFS(全国按日NEV!$F:$F,全国按日NEV!$C:$C,全车有效线索管控!AA3)+SUMIFS(全国按日ICE!$G:$G,全国按日ICE!$B:$B,全车有效线索管控!AA3)</f>
        <v/>
      </c>
      <c r="AB5">
        <f>SUMIFS(全国按日NEV!$F:$F,全国按日NEV!$C:$C,全车有效线索管控!AB3)+SUMIFS(全国按日ICE!$G:$G,全国按日ICE!$B:$B,全车有效线索管控!AB3)</f>
        <v/>
      </c>
      <c r="AC5">
        <f>SUMIFS(全国按日NEV!$F:$F,全国按日NEV!$C:$C,全车有效线索管控!AC3)+SUMIFS(全国按日ICE!$G:$G,全国按日ICE!$B:$B,全车有效线索管控!AC3)</f>
        <v/>
      </c>
      <c r="AD5">
        <f>SUMIFS(全国按日NEV!$F:$F,全国按日NEV!$C:$C,全车有效线索管控!AD3)+SUMIFS(全国按日ICE!$G:$G,全国按日ICE!$B:$B,全车有效线索管控!AD3)</f>
        <v/>
      </c>
      <c r="AE5">
        <f>SUMIFS(全国按日NEV!$F:$F,全国按日NEV!$C:$C,全车有效线索管控!AE3)+SUMIFS(全国按日ICE!$G:$G,全国按日ICE!$B:$B,全车有效线索管控!AE3)</f>
        <v/>
      </c>
      <c r="AF5">
        <f>SUMIFS(全国按日NEV!$F:$F,全国按日NEV!$C:$C,全车有效线索管控!AF3)+SUMIFS(全国按日ICE!$G:$G,全国按日ICE!$B:$B,全车有效线索管控!AF3)</f>
        <v/>
      </c>
    </row>
    <row r="6">
      <c r="A6" t="inlineStr">
        <is>
          <t>本期实绩</t>
        </is>
      </c>
      <c r="B6">
        <f>SUMIFS(全国按日NEV!$F:$F,全国按日NEV!$C:$C,全车有效线索管控!B4)+SUMIFS(全国按日ICE!$G:$G,全国按日ICE!$B:$B,全车有效线索管控!B4)</f>
        <v/>
      </c>
      <c r="C6">
        <f>SUMIFS(全国按日NEV!$F:$F,全国按日NEV!$C:$C,全车有效线索管控!C4)+SUMIFS(全国按日ICE!$G:$G,全国按日ICE!$B:$B,全车有效线索管控!C4)</f>
        <v/>
      </c>
      <c r="D6">
        <f>SUMIFS(全国按日NEV!$F:$F,全国按日NEV!$C:$C,全车有效线索管控!D4)+SUMIFS(全国按日ICE!$G:$G,全国按日ICE!$B:$B,全车有效线索管控!D4)</f>
        <v/>
      </c>
      <c r="E6">
        <f>SUMIFS(全国按日NEV!$F:$F,全国按日NEV!$C:$C,全车有效线索管控!E4)+SUMIFS(全国按日ICE!$G:$G,全国按日ICE!$B:$B,全车有效线索管控!E4)</f>
        <v/>
      </c>
      <c r="F6">
        <f>SUMIFS(全国按日NEV!$F:$F,全国按日NEV!$C:$C,全车有效线索管控!F4)+SUMIFS(全国按日ICE!$G:$G,全国按日ICE!$B:$B,全车有效线索管控!F4)</f>
        <v/>
      </c>
      <c r="G6">
        <f>SUMIFS(全国按日NEV!$F:$F,全国按日NEV!$C:$C,全车有效线索管控!G4)+SUMIFS(全国按日ICE!$G:$G,全国按日ICE!$B:$B,全车有效线索管控!G4)</f>
        <v/>
      </c>
      <c r="H6">
        <f>SUMIFS(全国按日NEV!$F:$F,全国按日NEV!$C:$C,全车有效线索管控!H4)+SUMIFS(全国按日ICE!$G:$G,全国按日ICE!$B:$B,全车有效线索管控!H4)</f>
        <v/>
      </c>
      <c r="I6">
        <f>SUMIFS(全国按日NEV!$F:$F,全国按日NEV!$C:$C,全车有效线索管控!I4)+SUMIFS(全国按日ICE!$G:$G,全国按日ICE!$B:$B,全车有效线索管控!I4)</f>
        <v/>
      </c>
      <c r="J6">
        <f>SUMIFS(全国按日NEV!$F:$F,全国按日NEV!$C:$C,全车有效线索管控!J4)+SUMIFS(全国按日ICE!$G:$G,全国按日ICE!$B:$B,全车有效线索管控!J4)</f>
        <v/>
      </c>
      <c r="K6">
        <f>SUMIFS(全国按日NEV!$F:$F,全国按日NEV!$C:$C,全车有效线索管控!K4)+SUMIFS(全国按日ICE!$G:$G,全国按日ICE!$B:$B,全车有效线索管控!K4)</f>
        <v/>
      </c>
      <c r="L6">
        <f>SUMIFS(全国按日NEV!$F:$F,全国按日NEV!$C:$C,全车有效线索管控!L4)+SUMIFS(全国按日ICE!$G:$G,全国按日ICE!$B:$B,全车有效线索管控!L4)</f>
        <v/>
      </c>
      <c r="M6">
        <f>SUMIFS(全国按日NEV!$F:$F,全国按日NEV!$C:$C,全车有效线索管控!M4)+SUMIFS(全国按日ICE!$G:$G,全国按日ICE!$B:$B,全车有效线索管控!M4)</f>
        <v/>
      </c>
      <c r="N6">
        <f>SUMIFS(全国按日NEV!$F:$F,全国按日NEV!$C:$C,全车有效线索管控!N4)+SUMIFS(全国按日ICE!$G:$G,全国按日ICE!$B:$B,全车有效线索管控!N4)</f>
        <v/>
      </c>
      <c r="O6">
        <f>SUMIFS(全国按日NEV!$F:$F,全国按日NEV!$C:$C,全车有效线索管控!O4)+SUMIFS(全国按日ICE!$G:$G,全国按日ICE!$B:$B,全车有效线索管控!O4)</f>
        <v/>
      </c>
      <c r="P6">
        <f>SUMIFS(全国按日NEV!$F:$F,全国按日NEV!$C:$C,全车有效线索管控!P4)+SUMIFS(全国按日ICE!$G:$G,全国按日ICE!$B:$B,全车有效线索管控!P4)</f>
        <v/>
      </c>
      <c r="Q6">
        <f>SUMIFS(全国按日NEV!$F:$F,全国按日NEV!$C:$C,全车有效线索管控!Q4)+SUMIFS(全国按日ICE!$G:$G,全国按日ICE!$B:$B,全车有效线索管控!Q4)</f>
        <v/>
      </c>
      <c r="R6">
        <f>SUMIFS(全国按日NEV!$F:$F,全国按日NEV!$C:$C,全车有效线索管控!R4)+SUMIFS(全国按日ICE!$G:$G,全国按日ICE!$B:$B,全车有效线索管控!R4)</f>
        <v/>
      </c>
      <c r="S6">
        <f>SUMIFS(全国按日NEV!$F:$F,全国按日NEV!$C:$C,全车有效线索管控!S4)+SUMIFS(全国按日ICE!$G:$G,全国按日ICE!$B:$B,全车有效线索管控!S4)</f>
        <v/>
      </c>
      <c r="T6">
        <f>SUMIFS(全国按日NEV!$F:$F,全国按日NEV!$C:$C,全车有效线索管控!T4)+SUMIFS(全国按日ICE!$G:$G,全国按日ICE!$B:$B,全车有效线索管控!T4)</f>
        <v/>
      </c>
      <c r="U6">
        <f>SUMIFS(全国按日NEV!$F:$F,全国按日NEV!$C:$C,全车有效线索管控!U4)+SUMIFS(全国按日ICE!$G:$G,全国按日ICE!$B:$B,全车有效线索管控!U4)</f>
        <v/>
      </c>
      <c r="V6">
        <f>SUMIFS(全国按日NEV!$F:$F,全国按日NEV!$C:$C,全车有效线索管控!V4)+SUMIFS(全国按日ICE!$G:$G,全国按日ICE!$B:$B,全车有效线索管控!V4)</f>
        <v/>
      </c>
      <c r="W6">
        <f>SUMIFS(全国按日NEV!$F:$F,全国按日NEV!$C:$C,全车有效线索管控!W4)+SUMIFS(全国按日ICE!$G:$G,全国按日ICE!$B:$B,全车有效线索管控!W4)</f>
        <v/>
      </c>
      <c r="X6">
        <f>SUMIFS(全国按日NEV!$F:$F,全国按日NEV!$C:$C,全车有效线索管控!X4)+SUMIFS(全国按日ICE!$G:$G,全国按日ICE!$B:$B,全车有效线索管控!X4)</f>
        <v/>
      </c>
      <c r="Y6">
        <f>SUMIFS(全国按日NEV!$F:$F,全国按日NEV!$C:$C,全车有效线索管控!Y4)+SUMIFS(全国按日ICE!$G:$G,全国按日ICE!$B:$B,全车有效线索管控!Y4)</f>
        <v/>
      </c>
      <c r="Z6">
        <f>SUMIFS(全国按日NEV!$F:$F,全国按日NEV!$C:$C,全车有效线索管控!Z4)+SUMIFS(全国按日ICE!$G:$G,全国按日ICE!$B:$B,全车有效线索管控!Z4)</f>
        <v/>
      </c>
      <c r="AA6">
        <f>SUMIFS(全国按日NEV!$F:$F,全国按日NEV!$C:$C,全车有效线索管控!AA4)+SUMIFS(全国按日ICE!$G:$G,全国按日ICE!$B:$B,全车有效线索管控!AA4)</f>
        <v/>
      </c>
      <c r="AB6">
        <f>SUMIFS(全国按日NEV!$F:$F,全国按日NEV!$C:$C,全车有效线索管控!AB4)+SUMIFS(全国按日ICE!$G:$G,全国按日ICE!$B:$B,全车有效线索管控!AB4)</f>
        <v/>
      </c>
      <c r="AC6">
        <f>SUMIFS(全国按日NEV!$F:$F,全国按日NEV!$C:$C,全车有效线索管控!AC4)+SUMIFS(全国按日ICE!$G:$G,全国按日ICE!$B:$B,全车有效线索管控!AC4)</f>
        <v/>
      </c>
      <c r="AD6">
        <f>SUMIFS(全国按日NEV!$F:$F,全国按日NEV!$C:$C,全车有效线索管控!AD4)+SUMIFS(全国按日ICE!$G:$G,全国按日ICE!$B:$B,全车有效线索管控!AD4)</f>
        <v/>
      </c>
      <c r="AE6">
        <f>SUMIFS(全国按日NEV!$F:$F,全国按日NEV!$C:$C,全车有效线索管控!AE4)+SUMIFS(全国按日ICE!$G:$G,全国按日ICE!$B:$B,全车有效线索管控!AE4)</f>
        <v/>
      </c>
    </row>
    <row r="7">
      <c r="A7" t="inlineStr">
        <is>
          <t>上期累计实绩</t>
        </is>
      </c>
      <c r="B7">
        <f>SUM($B$5)</f>
        <v/>
      </c>
      <c r="C7">
        <f>SUM($B$5:C5)</f>
        <v/>
      </c>
      <c r="D7">
        <f>SUM($B$5:D5)</f>
        <v/>
      </c>
      <c r="E7">
        <f>SUM($B$5:E5)</f>
        <v/>
      </c>
      <c r="F7">
        <f>SUM($B$5:F5)</f>
        <v/>
      </c>
      <c r="G7">
        <f>SUM($B$5:G5)</f>
        <v/>
      </c>
      <c r="H7">
        <f>SUM($B$5:H5)</f>
        <v/>
      </c>
      <c r="I7">
        <f>SUM($B$5:I5)</f>
        <v/>
      </c>
      <c r="J7">
        <f>SUM($B$5:J5)</f>
        <v/>
      </c>
      <c r="K7">
        <f>SUM($B$5:K5)</f>
        <v/>
      </c>
      <c r="L7">
        <f>SUM($B$5:L5)</f>
        <v/>
      </c>
      <c r="M7">
        <f>SUM($B$5:M5)</f>
        <v/>
      </c>
      <c r="N7">
        <f>SUM($B$5:N5)</f>
        <v/>
      </c>
      <c r="O7">
        <f>SUM($B$5:O5)</f>
        <v/>
      </c>
      <c r="P7">
        <f>SUM($B$5:P5)</f>
        <v/>
      </c>
      <c r="Q7">
        <f>SUM($B$5:Q5)</f>
        <v/>
      </c>
      <c r="R7">
        <f>SUM($B$5:R5)</f>
        <v/>
      </c>
      <c r="S7">
        <f>SUM($B$5:S5)</f>
        <v/>
      </c>
      <c r="T7">
        <f>SUM($B$5:T5)</f>
        <v/>
      </c>
      <c r="U7">
        <f>SUM($B$5:U5)</f>
        <v/>
      </c>
      <c r="V7">
        <f>SUM($B$5:V5)</f>
        <v/>
      </c>
      <c r="W7">
        <f>SUM($B$5:W5)</f>
        <v/>
      </c>
      <c r="X7">
        <f>SUM($B$5:X5)</f>
        <v/>
      </c>
      <c r="Y7">
        <f>SUM($B$5:Y5)</f>
        <v/>
      </c>
      <c r="Z7">
        <f>SUM($B$5:Z5)</f>
        <v/>
      </c>
      <c r="AA7">
        <f>SUM($B$5:AA5)</f>
        <v/>
      </c>
      <c r="AB7">
        <f>SUM($B$5:AB5)</f>
        <v/>
      </c>
      <c r="AC7">
        <f>SUM($B$5:AC5)</f>
        <v/>
      </c>
      <c r="AD7">
        <f>SUM($B$5:AD5)</f>
        <v/>
      </c>
      <c r="AE7">
        <f>SUM($B$5:AE5)</f>
        <v/>
      </c>
      <c r="AF7">
        <f>SUM($B$5:AF5)</f>
        <v/>
      </c>
    </row>
    <row r="8">
      <c r="A8" t="inlineStr">
        <is>
          <t>本期累计实绩</t>
        </is>
      </c>
      <c r="B8">
        <f>IF(B4&lt;(TODAY()-1),SUM($B$6),NA())</f>
        <v/>
      </c>
      <c r="C8">
        <f>IF(B4&lt;(TODAY()-1),SUM($B$6:C6),NA())</f>
        <v/>
      </c>
      <c r="D8">
        <f>IF(C4&lt;(TODAY()-1),SUM($B$6:D6),NA())</f>
        <v/>
      </c>
      <c r="E8">
        <f>IF(D4&lt;(TODAY()-1),SUM($B$6:E6),NA())</f>
        <v/>
      </c>
      <c r="F8">
        <f>IF(E4&lt;(TODAY()-1),SUM($B$6:F6),NA())</f>
        <v/>
      </c>
      <c r="G8">
        <f>IF(F4&lt;(TODAY()-1),SUM($B$6:G6),NA())</f>
        <v/>
      </c>
      <c r="H8">
        <f>IF(G4&lt;(TODAY()-1),SUM($B$6:H6),NA())</f>
        <v/>
      </c>
      <c r="I8">
        <f>IF(H4&lt;(TODAY()-1),SUM($B$6:I6),NA())</f>
        <v/>
      </c>
      <c r="J8">
        <f>IF(I4&lt;(TODAY()-1),SUM($B$6:J6),NA())</f>
        <v/>
      </c>
      <c r="K8">
        <f>IF(J4&lt;(TODAY()-1),SUM($B$6:K6),NA())</f>
        <v/>
      </c>
      <c r="L8">
        <f>IF(K4&lt;(TODAY()-1),SUM($B$6:L6),NA())</f>
        <v/>
      </c>
      <c r="M8">
        <f>IF(L4&lt;(TODAY()-1),SUM($B$6:M6),NA())</f>
        <v/>
      </c>
      <c r="N8">
        <f>IF(M4&lt;(TODAY()-1),SUM($B$6:N6),NA())</f>
        <v/>
      </c>
      <c r="O8">
        <f>IF(N4&lt;(TODAY()-1),SUM($B$6:O6),NA())</f>
        <v/>
      </c>
      <c r="P8">
        <f>IF(O4&lt;(TODAY()-1),SUM($B$6:P6),NA())</f>
        <v/>
      </c>
      <c r="Q8">
        <f>IF(P4&lt;(TODAY()-1),SUM($B$6:Q6),NA())</f>
        <v/>
      </c>
      <c r="R8">
        <f>IF(Q4&lt;(TODAY()-1),SUM($B$6:R6),NA())</f>
        <v/>
      </c>
      <c r="S8">
        <f>IF(R4&lt;(TODAY()-1),SUM($B$6:S6),NA())</f>
        <v/>
      </c>
      <c r="T8">
        <f>IF(S4&lt;(TODAY()-1),SUM($B$6:T6),NA())</f>
        <v/>
      </c>
      <c r="U8">
        <f>IF(T4&lt;(TODAY()-1),SUM($B$6:U6),NA())</f>
        <v/>
      </c>
      <c r="V8">
        <f>IF(U4&lt;(TODAY()-1),SUM($B$6:V6),NA())</f>
        <v/>
      </c>
      <c r="W8">
        <f>IF(V4&lt;(TODAY()-1),SUM($B$6:W6),NA())</f>
        <v/>
      </c>
      <c r="X8">
        <f>IF(W4&lt;(TODAY()-1),SUM($B$6:X6),NA())</f>
        <v/>
      </c>
      <c r="Y8">
        <f>IF(X4&lt;(TODAY()-1),SUM($B$6:Y6),NA())</f>
        <v/>
      </c>
      <c r="Z8">
        <f>IF(Y4&lt;(TODAY()-1),SUM($B$6:Z6),NA())</f>
        <v/>
      </c>
      <c r="AA8">
        <f>IF(Z4&lt;(TODAY()-1),SUM($B$6:AA6),NA())</f>
        <v/>
      </c>
      <c r="AB8">
        <f>IF(AA4&lt;(TODAY()-1),SUM($B$6:AB6),NA())</f>
        <v/>
      </c>
      <c r="AC8">
        <f>IF(AB4&lt;(TODAY()-1),SUM($B$6:AC6),NA())</f>
        <v/>
      </c>
      <c r="AD8">
        <f>IF(AC4&lt;(TODAY()-1),SUM($B$6:AD6),NA())</f>
        <v/>
      </c>
      <c r="AE8">
        <f>IF(AD4&lt;(TODAY()-1),SUM($B$6:AE6),NA())</f>
        <v/>
      </c>
      <c r="AF8">
        <f>IF(AE4&lt;(TODAY()-1),SUM($B$6:AF6),NA())</f>
        <v/>
      </c>
    </row>
    <row r="9">
      <c r="A9" s="10" t="inlineStr">
        <is>
          <t>环比</t>
        </is>
      </c>
      <c r="B9" s="80">
        <f>IF(B6&lt;&gt;0,B6/B5-1,"-")</f>
        <v/>
      </c>
      <c r="C9" s="80">
        <f>IF(C6&lt;&gt;0,C6/C5-1,"-")</f>
        <v/>
      </c>
      <c r="D9" s="80">
        <f>IF(D6&lt;&gt;0,D6/D5-1,"-")</f>
        <v/>
      </c>
      <c r="E9" s="80">
        <f>IF(E6&lt;&gt;0,E6/E5-1,"-")</f>
        <v/>
      </c>
      <c r="F9" s="80">
        <f>IF(F6&lt;&gt;0,F6/F5-1,"-")</f>
        <v/>
      </c>
      <c r="G9" s="80">
        <f>IF(G6&lt;&gt;0,G6/G5-1,"-")</f>
        <v/>
      </c>
      <c r="H9" s="80">
        <f>IF(H6&lt;&gt;0,H6/H5-1,"-")</f>
        <v/>
      </c>
      <c r="I9" s="80">
        <f>IF(I6&lt;&gt;0,I6/I5-1,"-")</f>
        <v/>
      </c>
      <c r="J9" s="80">
        <f>IF(J6&lt;&gt;0,J6/J5-1,"-")</f>
        <v/>
      </c>
      <c r="K9" s="80">
        <f>IF(K6&lt;&gt;0,K6/K5-1,"-")</f>
        <v/>
      </c>
      <c r="L9" s="80">
        <f>IF(L6&lt;&gt;0,L6/L5-1,"-")</f>
        <v/>
      </c>
      <c r="M9" s="80">
        <f>IF(M6&lt;&gt;0,M6/M5-1,"-")</f>
        <v/>
      </c>
      <c r="N9" s="80">
        <f>IF(N6&lt;&gt;0,N6/N5-1,"-")</f>
        <v/>
      </c>
      <c r="O9" s="80">
        <f>IF(O6&lt;&gt;0,O6/O5-1,"-")</f>
        <v/>
      </c>
      <c r="P9" s="80">
        <f>IF(P6&lt;&gt;0,P6/P5-1,"-")</f>
        <v/>
      </c>
      <c r="Q9" s="80">
        <f>IF(Q6&lt;&gt;0,Q6/Q5-1,"-")</f>
        <v/>
      </c>
      <c r="R9" s="80">
        <f>IF(R6&lt;&gt;0,R6/R5-1,"-")</f>
        <v/>
      </c>
      <c r="S9" s="80">
        <f>IF(S6&lt;&gt;0,S6/S5-1,"-")</f>
        <v/>
      </c>
      <c r="T9" s="80">
        <f>IF(T6&lt;&gt;0,T6/T5-1,"-")</f>
        <v/>
      </c>
      <c r="U9" s="80">
        <f>IF(U6&lt;&gt;0,U6/U5-1,"-")</f>
        <v/>
      </c>
      <c r="V9" s="80">
        <f>IF(V6&lt;&gt;0,V6/V5-1,"-")</f>
        <v/>
      </c>
      <c r="W9" s="80">
        <f>IF(W6&lt;&gt;0,W6/W5-1,"-")</f>
        <v/>
      </c>
      <c r="X9" s="80">
        <f>IF(X6&lt;&gt;0,X6/X5-1,"-")</f>
        <v/>
      </c>
      <c r="Y9" s="80">
        <f>IF(Y6&lt;&gt;0,Y6/Y5-1,"-")</f>
        <v/>
      </c>
      <c r="Z9" s="80">
        <f>IF(Z6&lt;&gt;0,Z6/Z5-1,"-")</f>
        <v/>
      </c>
      <c r="AA9" s="80">
        <f>IF(AA6&lt;&gt;0,AA6/AA5-1,"-")</f>
        <v/>
      </c>
      <c r="AB9" s="80">
        <f>IF(AB6&lt;&gt;0,AB6/AB5-1,"-")</f>
        <v/>
      </c>
      <c r="AC9" s="80">
        <f>IF(AC6&lt;&gt;0,AC6/AC5-1,"-")</f>
        <v/>
      </c>
      <c r="AD9" s="80">
        <f>IF(AD6&lt;&gt;0,AD6/AD5-1,"-")</f>
        <v/>
      </c>
      <c r="AE9" s="80">
        <f>IF(AE6&lt;&gt;0,AE6/AE5-1,"-")</f>
        <v/>
      </c>
      <c r="AF9" s="80">
        <f>IF(AF6&lt;&gt;0,AF6/AF5-1,"-")</f>
        <v/>
      </c>
    </row>
    <row r="10">
      <c r="A10" s="10" t="inlineStr">
        <is>
          <t>累计环比</t>
        </is>
      </c>
      <c r="B10" s="80">
        <f>IFERROR(B8/B7-1,"-")</f>
        <v/>
      </c>
      <c r="C10" s="80">
        <f>IFERROR(C8/C7-1,"-")</f>
        <v/>
      </c>
      <c r="D10" s="80">
        <f>IFERROR(D8/D7-1,"-")</f>
        <v/>
      </c>
      <c r="E10" s="80">
        <f>IFERROR(E8/E7-1,"-")</f>
        <v/>
      </c>
      <c r="F10" s="80">
        <f>IFERROR(F8/F7-1,"-")</f>
        <v/>
      </c>
      <c r="G10" s="80">
        <f>IFERROR(G8/G7-1,"-")</f>
        <v/>
      </c>
      <c r="H10" s="80">
        <f>IFERROR(H8/H7-1,"-")</f>
        <v/>
      </c>
      <c r="I10" s="80">
        <f>IFERROR(I8/I7-1,"-")</f>
        <v/>
      </c>
      <c r="J10" s="80">
        <f>IFERROR(J8/J7-1,"-")</f>
        <v/>
      </c>
      <c r="K10" s="80">
        <f>IFERROR(K8/K7-1,"-")</f>
        <v/>
      </c>
      <c r="L10" s="80">
        <f>IFERROR(L8/L7-1,"-")</f>
        <v/>
      </c>
      <c r="M10" s="80">
        <f>IFERROR(M8/M7-1,"-")</f>
        <v/>
      </c>
      <c r="N10" s="80">
        <f>IFERROR(N8/N7-1,"-")</f>
        <v/>
      </c>
      <c r="O10" s="80">
        <f>IFERROR(O8/O7-1,"-")</f>
        <v/>
      </c>
      <c r="P10" s="80">
        <f>IFERROR(P8/P7-1,"-")</f>
        <v/>
      </c>
      <c r="Q10" s="80">
        <f>IFERROR(Q8/Q7-1,"-")</f>
        <v/>
      </c>
      <c r="R10" s="80">
        <f>IFERROR(R8/R7-1,"-")</f>
        <v/>
      </c>
      <c r="S10" s="80">
        <f>IFERROR(S8/S7-1,"-")</f>
        <v/>
      </c>
      <c r="T10" s="80">
        <f>IFERROR(T8/T7-1,"-")</f>
        <v/>
      </c>
      <c r="U10" s="80">
        <f>IFERROR(U8/U7-1,"-")</f>
        <v/>
      </c>
      <c r="V10" s="80">
        <f>IFERROR(V8/V7-1,"-")</f>
        <v/>
      </c>
      <c r="W10" s="80">
        <f>IFERROR(W8/W7-1,"-")</f>
        <v/>
      </c>
      <c r="X10" s="80">
        <f>IFERROR(X8/X7-1,"-")</f>
        <v/>
      </c>
      <c r="Y10" s="80">
        <f>IFERROR(Y8/Y7-1,"-")</f>
        <v/>
      </c>
      <c r="Z10" s="80">
        <f>IFERROR(Z8/Z7-1,"-")</f>
        <v/>
      </c>
      <c r="AA10" s="80">
        <f>IFERROR(AA8/AA7-1,"-")</f>
        <v/>
      </c>
      <c r="AB10" s="80">
        <f>IFERROR(AB8/AB7-1,"-")</f>
        <v/>
      </c>
      <c r="AC10" s="80">
        <f>IFERROR(AC8/AC7-1,"-")</f>
        <v/>
      </c>
      <c r="AD10" s="80">
        <f>IFERROR(AD8/AD7-1,"-")</f>
        <v/>
      </c>
      <c r="AE10" s="80">
        <f>IFERROR(AE8/AE7-1,"-")</f>
        <v/>
      </c>
      <c r="AF10" s="80">
        <f>IFERROR(AF8/AF7-1,"-")</f>
        <v/>
      </c>
    </row>
  </sheetData>
  <pageMargins left="0.7" right="0.7" top="0.75" bottom="0.75" header="0.3" footer="0.3"/>
  <pageSetup orientation="portrait" paperSize="9"/>
  <drawing xmlns:r="http://schemas.openxmlformats.org/officeDocument/2006/relationships" r:id="rId1"/>
</worksheet>
</file>

<file path=xl/worksheets/sheet4.xml><?xml version="1.0" encoding="utf-8"?>
<worksheet xmlns="http://schemas.openxmlformats.org/spreadsheetml/2006/main">
  <sheetPr filterMode="1">
    <tabColor theme="7" tint="0.7999816888943144"/>
    <outlinePr summaryBelow="1" summaryRight="1"/>
    <pageSetUpPr/>
  </sheetPr>
  <dimension ref="A1:BH390"/>
  <sheetViews>
    <sheetView tabSelected="1" workbookViewId="0">
      <selection activeCell="E1" sqref="A1:XFD2"/>
    </sheetView>
  </sheetViews>
  <sheetFormatPr baseColWidth="8" defaultColWidth="10" defaultRowHeight="14.25"/>
  <cols>
    <col width="5.5625" customWidth="1" min="1" max="1"/>
    <col width="6.78515625" customWidth="1" min="2" max="2"/>
    <col width="9.76953125" customWidth="1" min="3" max="3"/>
    <col width="11.125" customWidth="1" min="4" max="4"/>
    <col width="7.4609375" customWidth="1" min="5" max="5"/>
    <col width="7.4609375" customWidth="1" min="6" max="6"/>
    <col width="7.4609375" customWidth="1" min="7" max="7"/>
    <col width="8.953125" customWidth="1" min="8" max="8"/>
    <col width="8.953125" customWidth="1" min="9" max="9"/>
    <col width="7.4609375" customWidth="1" min="10" max="10"/>
    <col width="7.4609375" customWidth="1" min="11" max="11"/>
    <col width="7.4609375" customWidth="1" min="12" max="12"/>
    <col width="8.953125" customWidth="1" min="13" max="13"/>
    <col width="8.953125" customWidth="1" min="14" max="14"/>
    <col width="8.953125" customWidth="1" min="15" max="15"/>
    <col width="8.953125" customWidth="1" min="16" max="16"/>
    <col width="8.953125" customWidth="1" min="17" max="17"/>
    <col width="7.4609375" customWidth="1" min="18" max="18"/>
    <col width="9.49609375" customWidth="1" min="19" max="19"/>
    <col width="9.49609375" customWidth="1" min="20" max="20"/>
    <col width="9.49609375" customWidth="1" min="21" max="21"/>
    <col width="9.49609375" customWidth="1" min="22" max="22"/>
    <col width="7.4609375" customWidth="1" min="23" max="23"/>
    <col width="6.78515625" customWidth="1" min="24" max="24"/>
    <col width="7.4609375" customWidth="1" min="25" max="25"/>
    <col width="6.78515625" customWidth="1" min="26" max="26"/>
    <col width="7.4609375" customWidth="1" min="27" max="27"/>
    <col width="6.78515625" customWidth="1" min="28" max="28"/>
    <col width="7.4609375" customWidth="1" min="29" max="29"/>
    <col width="7.4609375" customWidth="1" min="30" max="30"/>
    <col width="7.4609375" customWidth="1" min="31" max="31"/>
    <col width="8.27734375" customWidth="1" min="32" max="32"/>
    <col width="9.76953125" customWidth="1" min="33" max="33"/>
    <col width="9.76953125" customWidth="1" min="34" max="34"/>
    <col width="7.4609375" customWidth="1" min="35" max="35"/>
    <col width="7.4609375" customWidth="1" min="36" max="36"/>
    <col width="7.4609375" customWidth="1" min="37" max="37"/>
    <col width="7.4609375" customWidth="1" min="38" max="38"/>
    <col width="6.78515625" customWidth="1" min="39" max="39"/>
    <col width="7.4609375" customWidth="1" min="40" max="40"/>
    <col width="7.4609375" customWidth="1" min="41" max="41"/>
    <col width="10.71875" customWidth="1" min="42" max="42"/>
    <col width="12.484375" customWidth="1" min="43" max="43"/>
    <col width="12.484375" customWidth="1" min="44" max="44"/>
    <col width="12.484375" customWidth="1" min="45" max="45"/>
    <col width="9.76953125" customWidth="1" min="46" max="46"/>
    <col width="6.78515625" customWidth="1" min="47" max="47"/>
    <col width="7.4609375" customWidth="1" min="48" max="48"/>
    <col width="6.10546875" customWidth="1" min="49" max="49"/>
    <col width="6.10546875" customWidth="1" min="50" max="50"/>
    <col width="6.10546875" customWidth="1" min="51" max="51"/>
    <col width="8.140625" customWidth="1" min="52" max="52"/>
    <col width="8.140625" customWidth="1" min="53" max="53"/>
    <col width="9.76953125" customWidth="1" min="54" max="54"/>
    <col width="9.76953125" customWidth="1" min="55" max="55"/>
    <col width="9.49609375" customWidth="1" min="56" max="56"/>
    <col width="8.140625" customWidth="1" min="57" max="57"/>
    <col width="8.140625" customWidth="1" min="58" max="58"/>
    <col width="8.140625" customWidth="1" min="59" max="59"/>
    <col width="8.140625" customWidth="1" min="60" max="60"/>
    <col width="9.76953125" customWidth="1" min="61" max="61"/>
    <col width="9.76953125" customWidth="1" min="62" max="62"/>
    <col width="9.76953125" customWidth="1" min="63" max="63"/>
    <col width="9.76953125" customWidth="1" min="64" max="64"/>
    <col width="9.76953125" customWidth="1" min="65" max="65"/>
    <col width="9.76953125" customWidth="1" min="66" max="66"/>
    <col width="9.76953125" customWidth="1" min="67" max="67"/>
    <col width="9.76953125" customWidth="1" min="68" max="68"/>
    <col width="9.76953125" customWidth="1" min="69" max="69"/>
    <col width="9.76953125" customWidth="1" min="70" max="70"/>
    <col width="9.76953125" customWidth="1" min="71" max="71"/>
    <col width="9.76953125" customWidth="1" min="72" max="72"/>
    <col width="9.76953125" customWidth="1" min="73" max="73"/>
    <col width="9.76953125" customWidth="1" min="74" max="74"/>
    <col width="9.76953125" customWidth="1" min="75" max="75"/>
    <col width="9.76953125" customWidth="1" min="76" max="76"/>
    <col width="9.76953125" customWidth="1" min="77" max="77"/>
    <col width="9.76953125" customWidth="1" min="78" max="78"/>
    <col width="9.76953125" customWidth="1" min="79" max="79"/>
    <col width="9.76953125" customWidth="1" min="80" max="80"/>
    <col width="9.76953125" customWidth="1" min="81" max="81"/>
    <col width="9.76953125" customWidth="1" min="82" max="82"/>
    <col width="9.76953125" customWidth="1" min="83" max="83"/>
    <col width="9.76953125" customWidth="1" min="84" max="84"/>
    <col width="9.76953125" customWidth="1" min="85" max="85"/>
    <col width="9.76953125" customWidth="1" min="86" max="86"/>
    <col width="9.76953125" customWidth="1" min="87" max="87"/>
    <col width="9.76953125" customWidth="1" min="88" max="88"/>
    <col width="9.76953125" customWidth="1" min="89" max="89"/>
    <col width="9.76953125" customWidth="1" min="90" max="90"/>
    <col width="9.76953125" customWidth="1" min="91" max="91"/>
    <col width="9.76953125" customWidth="1" min="92" max="92"/>
  </cols>
  <sheetData>
    <row r="1" ht="22.6" customHeight="1">
      <c r="A1" s="81" t="inlineStr">
        <is>
          <t>序号</t>
        </is>
      </c>
      <c r="B1" s="81" t="inlineStr">
        <is>
          <t>区域</t>
        </is>
      </c>
      <c r="C1" s="81" t="inlineStr">
        <is>
          <t>日期</t>
        </is>
      </c>
      <c r="D1" s="81" t="inlineStr">
        <is>
          <t>意向基准车系</t>
        </is>
      </c>
      <c r="E1" s="81" t="inlineStr">
        <is>
          <t>线索开发</t>
        </is>
      </c>
      <c r="F1" s="82" t="n"/>
      <c r="G1" s="82" t="n"/>
      <c r="H1" s="82" t="n"/>
      <c r="I1" s="83" t="n"/>
      <c r="J1" s="81" t="inlineStr">
        <is>
          <t>线索跟进</t>
        </is>
      </c>
      <c r="K1" s="82" t="n"/>
      <c r="L1" s="82" t="n"/>
      <c r="M1" s="82" t="n"/>
      <c r="N1" s="82" t="n"/>
      <c r="O1" s="82" t="n"/>
      <c r="P1" s="82" t="n"/>
      <c r="Q1" s="83" t="n"/>
      <c r="R1" s="81" t="inlineStr">
        <is>
          <t>现存线索</t>
        </is>
      </c>
      <c r="S1" s="82" t="n"/>
      <c r="T1" s="82" t="n"/>
      <c r="U1" s="82" t="n"/>
      <c r="V1" s="83" t="n"/>
      <c r="W1" s="81" t="inlineStr">
        <is>
          <t>异常线索</t>
        </is>
      </c>
      <c r="X1" s="82" t="n"/>
      <c r="Y1" s="82" t="n"/>
      <c r="Z1" s="82" t="n"/>
      <c r="AA1" s="82" t="n"/>
      <c r="AB1" s="83" t="n"/>
      <c r="AC1" s="81" t="inlineStr">
        <is>
          <t>到店转化</t>
        </is>
      </c>
      <c r="AD1" s="82" t="n"/>
      <c r="AE1" s="82" t="n"/>
      <c r="AF1" s="82" t="n"/>
      <c r="AG1" s="82" t="n"/>
      <c r="AH1" s="83" t="n"/>
      <c r="AI1" s="81" t="inlineStr">
        <is>
          <t>试驾转化</t>
        </is>
      </c>
      <c r="AJ1" s="82" t="n"/>
      <c r="AK1" s="82" t="n"/>
      <c r="AL1" s="82" t="n"/>
      <c r="AM1" s="82" t="n"/>
      <c r="AN1" s="82" t="n"/>
      <c r="AO1" s="82" t="n"/>
      <c r="AP1" s="82" t="n"/>
      <c r="AQ1" s="82" t="n"/>
      <c r="AR1" s="82" t="n"/>
      <c r="AS1" s="83" t="n"/>
      <c r="AT1" s="81" t="inlineStr">
        <is>
          <t>订单转化</t>
        </is>
      </c>
      <c r="AU1" s="82" t="n"/>
      <c r="AV1" s="82" t="n"/>
      <c r="AW1" s="82" t="n"/>
      <c r="AX1" s="82" t="n"/>
      <c r="AY1" s="82" t="n"/>
      <c r="AZ1" s="82" t="n"/>
      <c r="BA1" s="82" t="n"/>
      <c r="BB1" s="82" t="n"/>
      <c r="BC1" s="83" t="n"/>
      <c r="BD1" s="81" t="inlineStr">
        <is>
          <t>满意度</t>
        </is>
      </c>
      <c r="BE1" s="82" t="n"/>
      <c r="BF1" s="82" t="n"/>
      <c r="BG1" s="82" t="n"/>
      <c r="BH1" s="83" t="n"/>
    </row>
    <row r="2" ht="42.95" customHeight="1">
      <c r="A2" s="84" t="n"/>
      <c r="B2" s="84" t="n"/>
      <c r="C2" s="84" t="n"/>
      <c r="D2" s="84" t="n"/>
      <c r="E2" s="81" t="inlineStr">
        <is>
          <t>新增线索量</t>
        </is>
      </c>
      <c r="F2" s="81" t="inlineStr">
        <is>
          <t>有效线索量</t>
        </is>
      </c>
      <c r="G2" s="81" t="inlineStr">
        <is>
          <t>有效线索率</t>
        </is>
      </c>
      <c r="H2" s="81" t="inlineStr">
        <is>
          <t>门店线索总量</t>
        </is>
      </c>
      <c r="I2" s="81" t="inlineStr">
        <is>
          <t>门店线索占比</t>
        </is>
      </c>
      <c r="J2" s="81" t="inlineStr">
        <is>
          <t>应首访量</t>
        </is>
      </c>
      <c r="K2" s="85" t="inlineStr">
        <is>
          <t>按时首访量</t>
        </is>
      </c>
      <c r="L2" s="81" t="inlineStr">
        <is>
          <t>按时首访率</t>
        </is>
      </c>
      <c r="M2" s="81" t="inlineStr">
        <is>
          <t>应跟进任务量</t>
        </is>
      </c>
      <c r="N2" s="81" t="inlineStr">
        <is>
          <t>实际跟进任务量</t>
        </is>
      </c>
      <c r="O2" s="81" t="inlineStr">
        <is>
          <t>按时跟进任务量</t>
        </is>
      </c>
      <c r="P2" s="81" t="inlineStr">
        <is>
          <t>线索按时跟进率</t>
        </is>
      </c>
      <c r="Q2" s="81" t="inlineStr">
        <is>
          <t>超期未回访数</t>
        </is>
      </c>
      <c r="R2" s="81" t="inlineStr">
        <is>
          <t>现存线索量</t>
        </is>
      </c>
      <c r="S2" s="81" t="inlineStr">
        <is>
          <t>现存线索量H级数</t>
        </is>
      </c>
      <c r="T2" s="81" t="inlineStr">
        <is>
          <t>现存线索量H级占比</t>
        </is>
      </c>
      <c r="U2" s="81" t="inlineStr">
        <is>
          <t>现存线索企微绑定数</t>
        </is>
      </c>
      <c r="V2" s="81" t="inlineStr">
        <is>
          <t>现存线索企微绑定率</t>
        </is>
      </c>
      <c r="W2" s="81" t="inlineStr">
        <is>
          <t>战败线索量</t>
        </is>
      </c>
      <c r="X2" s="81" t="inlineStr">
        <is>
          <t>战败率</t>
        </is>
      </c>
      <c r="Y2" s="81" t="inlineStr">
        <is>
          <t>休眠线索量</t>
        </is>
      </c>
      <c r="Z2" s="81" t="inlineStr">
        <is>
          <t>休眠率</t>
        </is>
      </c>
      <c r="AA2" s="81" t="inlineStr">
        <is>
          <t>暂败线索量</t>
        </is>
      </c>
      <c r="AB2" s="81" t="inlineStr">
        <is>
          <t>暂败率</t>
        </is>
      </c>
      <c r="AC2" s="81" t="inlineStr">
        <is>
          <t>新增到店量</t>
        </is>
      </c>
      <c r="AD2" s="81" t="inlineStr">
        <is>
          <t>新增到店率</t>
        </is>
      </c>
      <c r="AE2" s="81" t="inlineStr">
        <is>
          <t>再次来店量</t>
        </is>
      </c>
      <c r="AF2" s="81" t="inlineStr">
        <is>
          <t>再次来店占比</t>
        </is>
      </c>
      <c r="AG2" s="81" t="inlineStr">
        <is>
          <t>到店企微绑定数</t>
        </is>
      </c>
      <c r="AH2" s="81" t="inlineStr">
        <is>
          <t>到店企微绑定率</t>
        </is>
      </c>
      <c r="AI2" s="81" t="inlineStr">
        <is>
          <t>线索排程量</t>
        </is>
      </c>
      <c r="AJ2" s="81" t="inlineStr">
        <is>
          <t>线索排程率</t>
        </is>
      </c>
      <c r="AK2" s="81" t="inlineStr">
        <is>
          <t>排程试驾量</t>
        </is>
      </c>
      <c r="AL2" s="81" t="inlineStr">
        <is>
          <t>排程试驾率</t>
        </is>
      </c>
      <c r="AM2" s="81" t="inlineStr">
        <is>
          <t>试驾量</t>
        </is>
      </c>
      <c r="AN2" s="81" t="inlineStr">
        <is>
          <t>有效试驾量</t>
        </is>
      </c>
      <c r="AO2" s="81" t="inlineStr">
        <is>
          <t>线索试驾率</t>
        </is>
      </c>
      <c r="AP2" s="81" t="inlineStr">
        <is>
          <t>到店线索试驾率</t>
        </is>
      </c>
      <c r="AQ2" s="81" t="inlineStr">
        <is>
          <t>试驾24H回访率</t>
        </is>
      </c>
      <c r="AR2" s="81" t="inlineStr">
        <is>
          <t>试驾24H店长跟进占比</t>
        </is>
      </c>
      <c r="AS2" s="81" t="inlineStr">
        <is>
          <t>试驾24H店长跟进占比(虚拟号)</t>
        </is>
      </c>
      <c r="AT2" s="81" t="inlineStr">
        <is>
          <t>新增小订量</t>
        </is>
      </c>
      <c r="AU2" s="81" t="inlineStr">
        <is>
          <t>小订量</t>
        </is>
      </c>
      <c r="AV2" s="81" t="inlineStr">
        <is>
          <t>新增大定量</t>
        </is>
      </c>
      <c r="AW2" s="81" t="inlineStr">
        <is>
          <t>大定量</t>
        </is>
      </c>
      <c r="AX2" s="81" t="inlineStr">
        <is>
          <t>锁单量</t>
        </is>
      </c>
      <c r="AY2" s="81" t="inlineStr">
        <is>
          <t>交车量</t>
        </is>
      </c>
      <c r="AZ2" s="81" t="inlineStr">
        <is>
          <t>线索-大定率</t>
        </is>
      </c>
      <c r="BA2" s="81" t="inlineStr">
        <is>
          <t>线索-锁单率</t>
        </is>
      </c>
      <c r="BB2" s="81" t="inlineStr">
        <is>
          <t>线索-交车率</t>
        </is>
      </c>
      <c r="BC2" s="81" t="inlineStr">
        <is>
          <t>试驾-锁单率</t>
        </is>
      </c>
      <c r="BD2" s="81" t="inlineStr">
        <is>
          <t>销售有效客诉量</t>
        </is>
      </c>
      <c r="BE2" s="81" t="inlineStr">
        <is>
          <t>低满数</t>
        </is>
      </c>
      <c r="BF2" s="81" t="inlineStr">
        <is>
          <t>试驾NPS值</t>
        </is>
      </c>
      <c r="BG2" s="81" t="inlineStr">
        <is>
          <t>订单NPS值</t>
        </is>
      </c>
      <c r="BH2" s="81" t="inlineStr">
        <is>
          <t>交付NPS值</t>
        </is>
      </c>
    </row>
    <row r="3" ht="19.55" customHeight="1">
      <c r="A3" s="86" t="inlineStr">
        <is>
          <t>合计</t>
        </is>
      </c>
      <c r="B3" s="82" t="n"/>
      <c r="C3" s="82" t="n"/>
      <c r="D3" s="83" t="n"/>
      <c r="E3" s="87" t="n">
        <v>730603</v>
      </c>
      <c r="F3" s="87" t="n">
        <v>651289</v>
      </c>
      <c r="G3" s="88" t="n">
        <v>0.8914403581698953</v>
      </c>
      <c r="H3" s="87" t="n">
        <v>311488</v>
      </c>
      <c r="I3" s="89" t="n">
        <v>0.4263437188185649</v>
      </c>
      <c r="J3" s="87" t="n">
        <v>740536</v>
      </c>
      <c r="K3" s="87" t="n">
        <v>712873</v>
      </c>
      <c r="L3" s="88" t="n">
        <v>0.963</v>
      </c>
      <c r="M3" s="87" t="n">
        <v>3262454</v>
      </c>
      <c r="N3" s="87" t="n">
        <v>3249691</v>
      </c>
      <c r="O3" s="87" t="n">
        <v>3167088</v>
      </c>
      <c r="P3" s="88" t="n">
        <v>0.9707686299944766</v>
      </c>
      <c r="Q3" s="87" t="n">
        <v>22921</v>
      </c>
      <c r="R3" s="87" t="n">
        <v>787376</v>
      </c>
      <c r="S3" s="87" t="n">
        <v>423888</v>
      </c>
      <c r="T3" s="88" t="n">
        <v>0.5383552457783829</v>
      </c>
      <c r="U3" s="87" t="n">
        <v>117396</v>
      </c>
      <c r="V3" s="88" t="n">
        <v>0.1490977626953323</v>
      </c>
      <c r="W3" s="87" t="n">
        <v>91305</v>
      </c>
      <c r="X3" s="88" t="n">
        <v>0.1249721120772841</v>
      </c>
      <c r="Y3" s="87" t="n">
        <v>290729</v>
      </c>
      <c r="Z3" s="90" t="n">
        <v>0.3979302028598295</v>
      </c>
      <c r="AA3" s="87" t="n">
        <v>6818</v>
      </c>
      <c r="AB3" s="88" t="n">
        <v>0.009332017525249691</v>
      </c>
      <c r="AC3" s="87" t="n">
        <v>60472</v>
      </c>
      <c r="AD3" s="88" t="n">
        <v>0.08276998588836892</v>
      </c>
      <c r="AE3" s="87" t="n">
        <v>10738</v>
      </c>
      <c r="AF3" s="88" t="n">
        <v>0.177569784363011</v>
      </c>
      <c r="AG3" s="87" t="n">
        <v>49198</v>
      </c>
      <c r="AH3" s="88" t="n">
        <v>0.8135666093398598</v>
      </c>
      <c r="AI3" s="91" t="n">
        <v>53272</v>
      </c>
      <c r="AJ3" s="88" t="n">
        <v>0.07291511258508383</v>
      </c>
      <c r="AK3" s="91" t="n">
        <v>3686</v>
      </c>
      <c r="AL3" s="88" t="n">
        <v>0.8138233969064425</v>
      </c>
      <c r="AM3" s="91" t="n">
        <v>49728</v>
      </c>
      <c r="AN3" s="91" t="n">
        <v>43354</v>
      </c>
      <c r="AO3" s="88" t="n">
        <v>0.05934002460980861</v>
      </c>
      <c r="AP3" s="88" t="n">
        <v>0.7169268421748909</v>
      </c>
      <c r="AQ3" s="89" t="n">
        <v>0.9651255930497649</v>
      </c>
      <c r="AR3" s="89" t="n">
        <v>0.5893387925434539</v>
      </c>
      <c r="AS3" s="89" t="n">
        <v>0.5764847148678176</v>
      </c>
      <c r="AT3" s="91" t="n">
        <v>0</v>
      </c>
      <c r="AU3" s="91" t="n">
        <v>0</v>
      </c>
      <c r="AV3" s="91" t="n">
        <v>13688</v>
      </c>
      <c r="AW3" s="91" t="n">
        <v>12222</v>
      </c>
      <c r="AX3" s="91" t="n">
        <v>12206</v>
      </c>
      <c r="AY3" s="91" t="n">
        <v>11465</v>
      </c>
      <c r="AZ3" s="88" t="n">
        <v>0.01672864743232645</v>
      </c>
      <c r="BA3" s="88" t="n">
        <v>0.0167067477138747</v>
      </c>
      <c r="BB3" s="88" t="n">
        <v>0.01569251700307828</v>
      </c>
      <c r="BC3" s="88" t="n">
        <v>0.2815426488905292</v>
      </c>
      <c r="BD3" s="91" t="n">
        <v>0</v>
      </c>
      <c r="BE3" s="91" t="n">
        <v>30</v>
      </c>
      <c r="BF3" s="89" t="n">
        <v>0.9880814260099146</v>
      </c>
      <c r="BG3" s="89" t="n">
        <v>0.9965745045265476</v>
      </c>
      <c r="BH3" s="89" t="n">
        <v>0.9830174747723357</v>
      </c>
    </row>
    <row r="4" ht="19.55" customHeight="1">
      <c r="A4" s="92" t="n">
        <v>1</v>
      </c>
      <c r="B4" s="87" t="inlineStr">
        <is>
          <t>全国</t>
        </is>
      </c>
      <c r="C4" s="93" t="n">
        <v>46235</v>
      </c>
      <c r="D4" s="87" t="n"/>
      <c r="E4" s="87" t="n">
        <v>56</v>
      </c>
      <c r="F4" s="87" t="n">
        <v>56</v>
      </c>
      <c r="G4" s="88" t="n">
        <v>1</v>
      </c>
      <c r="H4" s="87" t="n">
        <v>56</v>
      </c>
      <c r="I4" s="89" t="n">
        <v>1</v>
      </c>
      <c r="J4" s="87" t="n">
        <v>0</v>
      </c>
      <c r="K4" s="87" t="n">
        <v>0</v>
      </c>
      <c r="L4" s="88" t="n">
        <v>0</v>
      </c>
      <c r="M4" s="87" t="n">
        <v>4</v>
      </c>
      <c r="N4" s="87" t="n">
        <v>2</v>
      </c>
      <c r="O4" s="87" t="n">
        <v>1</v>
      </c>
      <c r="P4" s="88" t="n">
        <v>0.25</v>
      </c>
      <c r="Q4" s="87" t="n">
        <v>3</v>
      </c>
      <c r="R4" s="87" t="n">
        <v>0</v>
      </c>
      <c r="S4" s="87" t="n">
        <v>0</v>
      </c>
      <c r="T4" s="88" t="n">
        <v>0</v>
      </c>
      <c r="U4" s="87" t="n">
        <v>0</v>
      </c>
      <c r="V4" s="88" t="n">
        <v>0</v>
      </c>
      <c r="W4" s="87" t="n">
        <v>23</v>
      </c>
      <c r="X4" s="88" t="n">
        <v>0.4107142857142857</v>
      </c>
      <c r="Y4" s="87" t="n">
        <v>12</v>
      </c>
      <c r="Z4" s="90" t="n">
        <v>0.2142857142857143</v>
      </c>
      <c r="AA4" s="87" t="n">
        <v>0</v>
      </c>
      <c r="AB4" s="88" t="n">
        <v>0</v>
      </c>
      <c r="AC4" s="87" t="n">
        <v>0</v>
      </c>
      <c r="AD4" s="88" t="n">
        <v>0</v>
      </c>
      <c r="AE4" s="87" t="n">
        <v>0</v>
      </c>
      <c r="AF4" s="88" t="n">
        <v>0</v>
      </c>
      <c r="AG4" s="87" t="n">
        <v>0</v>
      </c>
      <c r="AH4" s="88" t="n">
        <v>0</v>
      </c>
      <c r="AI4" s="91" t="n">
        <v>0</v>
      </c>
      <c r="AJ4" s="88" t="n">
        <v>0</v>
      </c>
      <c r="AK4" s="91" t="n">
        <v>0</v>
      </c>
      <c r="AL4" s="88" t="n">
        <v>0</v>
      </c>
      <c r="AM4" s="91" t="n">
        <v>0</v>
      </c>
      <c r="AN4" s="91" t="n">
        <v>0</v>
      </c>
      <c r="AO4" s="88" t="n">
        <v>0</v>
      </c>
      <c r="AP4" s="88" t="n">
        <v>0</v>
      </c>
      <c r="AQ4" s="89" t="n">
        <v>0</v>
      </c>
      <c r="AR4" s="89" t="n">
        <v>0</v>
      </c>
      <c r="AS4" s="89" t="n">
        <v>0</v>
      </c>
      <c r="AT4" s="91" t="n">
        <v>0</v>
      </c>
      <c r="AU4" s="91" t="n">
        <v>0</v>
      </c>
      <c r="AV4" s="91" t="n">
        <v>0</v>
      </c>
      <c r="AW4" s="91" t="n">
        <v>0</v>
      </c>
      <c r="AX4" s="91" t="n">
        <v>0</v>
      </c>
      <c r="AY4" s="91" t="n">
        <v>0</v>
      </c>
      <c r="AZ4" s="88" t="n">
        <v>0</v>
      </c>
      <c r="BA4" s="88" t="n">
        <v>0</v>
      </c>
      <c r="BB4" s="88" t="n">
        <v>0</v>
      </c>
      <c r="BC4" s="88" t="n">
        <v>0</v>
      </c>
      <c r="BD4" s="91" t="n">
        <v>0</v>
      </c>
      <c r="BE4" s="91" t="n">
        <v>0</v>
      </c>
      <c r="BF4" s="89" t="inlineStr">
        <is>
          <t>-</t>
        </is>
      </c>
      <c r="BG4" s="89" t="inlineStr">
        <is>
          <t>-</t>
        </is>
      </c>
      <c r="BH4" s="89" t="n">
        <v>0.98</v>
      </c>
    </row>
    <row r="5" ht="19.55" customHeight="1">
      <c r="A5" s="92" t="n">
        <v>2</v>
      </c>
      <c r="B5" s="87" t="inlineStr">
        <is>
          <t>全国</t>
        </is>
      </c>
      <c r="C5" s="93" t="n">
        <v>46235</v>
      </c>
      <c r="D5" s="87" t="inlineStr">
        <is>
          <t>2026款探陆</t>
        </is>
      </c>
      <c r="E5" s="87" t="n">
        <v>284</v>
      </c>
      <c r="F5" s="87" t="n">
        <v>264</v>
      </c>
      <c r="G5" s="88" t="n">
        <v>0.9295774647887324</v>
      </c>
      <c r="H5" s="87" t="n">
        <v>69</v>
      </c>
      <c r="I5" s="89" t="n">
        <v>0.2429577464788732</v>
      </c>
      <c r="J5" s="87" t="n">
        <v>299</v>
      </c>
      <c r="K5" s="87" t="n">
        <v>186</v>
      </c>
      <c r="L5" s="88" t="n">
        <v>0.622</v>
      </c>
      <c r="M5" s="87" t="n">
        <v>718</v>
      </c>
      <c r="N5" s="87" t="n">
        <v>645</v>
      </c>
      <c r="O5" s="87" t="n">
        <v>550</v>
      </c>
      <c r="P5" s="88" t="n">
        <v>0.766016713091922</v>
      </c>
      <c r="Q5" s="87" t="n">
        <v>47</v>
      </c>
      <c r="R5" s="87" t="n">
        <v>0</v>
      </c>
      <c r="S5" s="87" t="n">
        <v>0</v>
      </c>
      <c r="T5" s="88" t="n">
        <v>0</v>
      </c>
      <c r="U5" s="87" t="n">
        <v>0</v>
      </c>
      <c r="V5" s="88" t="n">
        <v>0</v>
      </c>
      <c r="W5" s="87" t="n">
        <v>9</v>
      </c>
      <c r="X5" s="88" t="n">
        <v>0.03169014084507042</v>
      </c>
      <c r="Y5" s="87" t="n">
        <v>48</v>
      </c>
      <c r="Z5" s="90" t="n">
        <v>0.1690140845070423</v>
      </c>
      <c r="AA5" s="87" t="n">
        <v>0</v>
      </c>
      <c r="AB5" s="88" t="n">
        <v>0</v>
      </c>
      <c r="AC5" s="87" t="n">
        <v>3</v>
      </c>
      <c r="AD5" s="88" t="n">
        <v>0.01056338028169014</v>
      </c>
      <c r="AE5" s="87" t="n">
        <v>0</v>
      </c>
      <c r="AF5" s="88" t="n">
        <v>0</v>
      </c>
      <c r="AG5" s="87" t="n">
        <v>2</v>
      </c>
      <c r="AH5" s="88" t="n">
        <v>0.6666666666666666</v>
      </c>
      <c r="AI5" s="91" t="n">
        <v>0</v>
      </c>
      <c r="AJ5" s="88" t="n">
        <v>0</v>
      </c>
      <c r="AK5" s="91" t="n">
        <v>0</v>
      </c>
      <c r="AL5" s="88" t="n">
        <v>0</v>
      </c>
      <c r="AM5" s="91" t="n">
        <v>0</v>
      </c>
      <c r="AN5" s="91" t="n">
        <v>0</v>
      </c>
      <c r="AO5" s="88" t="n">
        <v>0</v>
      </c>
      <c r="AP5" s="88" t="n">
        <v>0</v>
      </c>
      <c r="AQ5" s="89" t="n"/>
      <c r="AR5" s="89" t="n">
        <v>0.8</v>
      </c>
      <c r="AS5" s="89" t="n">
        <v>0.8</v>
      </c>
      <c r="AT5" s="91" t="n">
        <v>0</v>
      </c>
      <c r="AU5" s="91" t="n">
        <v>0</v>
      </c>
      <c r="AV5" s="91" t="n">
        <v>10</v>
      </c>
      <c r="AW5" s="91" t="n">
        <v>9</v>
      </c>
      <c r="AX5" s="91" t="n">
        <v>9</v>
      </c>
      <c r="AY5" s="91" t="n">
        <v>0</v>
      </c>
      <c r="AZ5" s="88" t="n">
        <v>0.03169014084507042</v>
      </c>
      <c r="BA5" s="88" t="n">
        <v>0.03169014084507042</v>
      </c>
      <c r="BB5" s="88" t="n">
        <v>0</v>
      </c>
      <c r="BC5" s="88" t="n">
        <v>0</v>
      </c>
      <c r="BD5" s="91" t="n">
        <v>0</v>
      </c>
      <c r="BE5" s="91" t="n">
        <v>0</v>
      </c>
      <c r="BF5" s="89" t="inlineStr">
        <is>
          <t>-</t>
        </is>
      </c>
      <c r="BG5" s="89" t="inlineStr">
        <is>
          <t>-</t>
        </is>
      </c>
      <c r="BH5" s="89" t="inlineStr">
        <is>
          <t>-</t>
        </is>
      </c>
    </row>
    <row r="6" ht="19.55" customHeight="1">
      <c r="A6" s="92" t="n">
        <v>3</v>
      </c>
      <c r="B6" s="87" t="inlineStr">
        <is>
          <t>全国</t>
        </is>
      </c>
      <c r="C6" s="93" t="n">
        <v>46235</v>
      </c>
      <c r="D6" s="87" t="inlineStr">
        <is>
          <t>N6</t>
        </is>
      </c>
      <c r="E6" s="87" t="n">
        <v>1908</v>
      </c>
      <c r="F6" s="87" t="n">
        <v>1698</v>
      </c>
      <c r="G6" s="88" t="n">
        <v>0.889937106918239</v>
      </c>
      <c r="H6" s="87" t="n">
        <v>1033</v>
      </c>
      <c r="I6" s="89" t="n">
        <v>0.5414046121593291</v>
      </c>
      <c r="J6" s="87" t="n">
        <v>2093</v>
      </c>
      <c r="K6" s="87" t="n">
        <v>2047</v>
      </c>
      <c r="L6" s="88" t="n">
        <v>0.978</v>
      </c>
      <c r="M6" s="87" t="n">
        <v>9899</v>
      </c>
      <c r="N6" s="87" t="n">
        <v>9855</v>
      </c>
      <c r="O6" s="87" t="n">
        <v>9727</v>
      </c>
      <c r="P6" s="88" t="n">
        <v>0.9826245075260127</v>
      </c>
      <c r="Q6" s="87" t="n">
        <v>33</v>
      </c>
      <c r="R6" s="87" t="n">
        <v>0</v>
      </c>
      <c r="S6" s="87" t="n">
        <v>0</v>
      </c>
      <c r="T6" s="88" t="n">
        <v>0</v>
      </c>
      <c r="U6" s="87" t="n">
        <v>0</v>
      </c>
      <c r="V6" s="88" t="n">
        <v>0</v>
      </c>
      <c r="W6" s="87" t="n">
        <v>335</v>
      </c>
      <c r="X6" s="88" t="n">
        <v>0.1755765199161426</v>
      </c>
      <c r="Y6" s="87" t="n">
        <v>844</v>
      </c>
      <c r="Z6" s="90" t="n">
        <v>0.4423480083857442</v>
      </c>
      <c r="AA6" s="87" t="n">
        <v>0</v>
      </c>
      <c r="AB6" s="88" t="n">
        <v>0</v>
      </c>
      <c r="AC6" s="87" t="n">
        <v>202</v>
      </c>
      <c r="AD6" s="88" t="n">
        <v>0.1058700209643606</v>
      </c>
      <c r="AE6" s="87" t="n">
        <v>23</v>
      </c>
      <c r="AF6" s="88" t="n">
        <v>0.1138613861386139</v>
      </c>
      <c r="AG6" s="87" t="n">
        <v>155</v>
      </c>
      <c r="AH6" s="88" t="n">
        <v>0.7673267326732673</v>
      </c>
      <c r="AI6" s="91" t="n">
        <v>149</v>
      </c>
      <c r="AJ6" s="88" t="n">
        <v>0.07809224318658281</v>
      </c>
      <c r="AK6" s="91" t="n">
        <v>3</v>
      </c>
      <c r="AL6" s="88" t="n">
        <v>0.8389261744966443</v>
      </c>
      <c r="AM6" s="91" t="n">
        <v>146</v>
      </c>
      <c r="AN6" s="91" t="n">
        <v>125</v>
      </c>
      <c r="AO6" s="88" t="n">
        <v>0.06551362683438156</v>
      </c>
      <c r="AP6" s="88" t="n">
        <v>0.6188118811881188</v>
      </c>
      <c r="AQ6" s="89" t="n">
        <v>0.9612403100775194</v>
      </c>
      <c r="AR6" s="89" t="n">
        <v>0.6326530612244898</v>
      </c>
      <c r="AS6" s="89" t="n">
        <v>0.6462585034013606</v>
      </c>
      <c r="AT6" s="91" t="n">
        <v>0</v>
      </c>
      <c r="AU6" s="91" t="n">
        <v>0</v>
      </c>
      <c r="AV6" s="91" t="n">
        <v>56</v>
      </c>
      <c r="AW6" s="91" t="n">
        <v>53</v>
      </c>
      <c r="AX6" s="91" t="n">
        <v>51</v>
      </c>
      <c r="AY6" s="91" t="n">
        <v>21</v>
      </c>
      <c r="AZ6" s="88" t="n">
        <v>0.02777777777777778</v>
      </c>
      <c r="BA6" s="88" t="n">
        <v>0.02672955974842767</v>
      </c>
      <c r="BB6" s="88" t="n">
        <v>0.0110062893081761</v>
      </c>
      <c r="BC6" s="88" t="n">
        <v>0.408</v>
      </c>
      <c r="BD6" s="91" t="n">
        <v>0</v>
      </c>
      <c r="BE6" s="91" t="n">
        <v>0</v>
      </c>
      <c r="BF6" s="89" t="n">
        <v>1</v>
      </c>
      <c r="BG6" s="89" t="n">
        <v>1</v>
      </c>
      <c r="BH6" s="89" t="inlineStr">
        <is>
          <t>-</t>
        </is>
      </c>
    </row>
    <row r="7" ht="19.55" customHeight="1">
      <c r="A7" s="92" t="n">
        <v>4</v>
      </c>
      <c r="B7" s="87" t="inlineStr">
        <is>
          <t>全国</t>
        </is>
      </c>
      <c r="C7" s="93" t="n">
        <v>46235</v>
      </c>
      <c r="D7" s="87" t="inlineStr">
        <is>
          <t>N7</t>
        </is>
      </c>
      <c r="E7" s="87" t="n">
        <v>1704</v>
      </c>
      <c r="F7" s="87" t="n">
        <v>1491</v>
      </c>
      <c r="G7" s="88" t="n">
        <v>0.875</v>
      </c>
      <c r="H7" s="87" t="n">
        <v>706</v>
      </c>
      <c r="I7" s="89" t="n">
        <v>0.4143192488262911</v>
      </c>
      <c r="J7" s="87" t="n">
        <v>1289</v>
      </c>
      <c r="K7" s="87" t="n">
        <v>1256</v>
      </c>
      <c r="L7" s="88" t="n">
        <v>0.974</v>
      </c>
      <c r="M7" s="87" t="n">
        <v>7641</v>
      </c>
      <c r="N7" s="87" t="n">
        <v>7712</v>
      </c>
      <c r="O7" s="87" t="n">
        <v>7523</v>
      </c>
      <c r="P7" s="88" t="n">
        <v>0.9845569951577019</v>
      </c>
      <c r="Q7" s="87" t="n">
        <v>32</v>
      </c>
      <c r="R7" s="87" t="n">
        <v>0</v>
      </c>
      <c r="S7" s="87" t="n">
        <v>0</v>
      </c>
      <c r="T7" s="88" t="n">
        <v>0</v>
      </c>
      <c r="U7" s="87" t="n">
        <v>0</v>
      </c>
      <c r="V7" s="88" t="n">
        <v>0</v>
      </c>
      <c r="W7" s="87" t="n">
        <v>308</v>
      </c>
      <c r="X7" s="88" t="n">
        <v>0.1807511737089202</v>
      </c>
      <c r="Y7" s="87" t="n">
        <v>646</v>
      </c>
      <c r="Z7" s="90" t="n">
        <v>0.3791079812206573</v>
      </c>
      <c r="AA7" s="87" t="n">
        <v>0</v>
      </c>
      <c r="AB7" s="88" t="n">
        <v>0</v>
      </c>
      <c r="AC7" s="87" t="n">
        <v>181</v>
      </c>
      <c r="AD7" s="88" t="n">
        <v>0.1062206572769953</v>
      </c>
      <c r="AE7" s="87" t="n">
        <v>13</v>
      </c>
      <c r="AF7" s="88" t="n">
        <v>0.0718232044198895</v>
      </c>
      <c r="AG7" s="87" t="n">
        <v>151</v>
      </c>
      <c r="AH7" s="88" t="n">
        <v>0.8342541436464088</v>
      </c>
      <c r="AI7" s="91" t="n">
        <v>152</v>
      </c>
      <c r="AJ7" s="88" t="n">
        <v>0.0892018779342723</v>
      </c>
      <c r="AK7" s="91" t="n">
        <v>7</v>
      </c>
      <c r="AL7" s="88" t="n">
        <v>0.8223684210526315</v>
      </c>
      <c r="AM7" s="91" t="n">
        <v>148</v>
      </c>
      <c r="AN7" s="91" t="n">
        <v>125</v>
      </c>
      <c r="AO7" s="88" t="n">
        <v>0.07335680751173709</v>
      </c>
      <c r="AP7" s="88" t="n">
        <v>0.6906077348066298</v>
      </c>
      <c r="AQ7" s="89" t="n">
        <v>0.9745222929936306</v>
      </c>
      <c r="AR7" s="89" t="n">
        <v>0.5490196078431373</v>
      </c>
      <c r="AS7" s="89" t="n">
        <v>0.5424836601307189</v>
      </c>
      <c r="AT7" s="91" t="n">
        <v>0</v>
      </c>
      <c r="AU7" s="91" t="n">
        <v>0</v>
      </c>
      <c r="AV7" s="91" t="n">
        <v>37</v>
      </c>
      <c r="AW7" s="91" t="n">
        <v>33</v>
      </c>
      <c r="AX7" s="91" t="n">
        <v>33</v>
      </c>
      <c r="AY7" s="91" t="n">
        <v>26</v>
      </c>
      <c r="AZ7" s="88" t="n">
        <v>0.01936619718309859</v>
      </c>
      <c r="BA7" s="88" t="n">
        <v>0.01936619718309859</v>
      </c>
      <c r="BB7" s="88" t="n">
        <v>0.01525821596244131</v>
      </c>
      <c r="BC7" s="88" t="n">
        <v>0.264</v>
      </c>
      <c r="BD7" s="91" t="n">
        <v>0</v>
      </c>
      <c r="BE7" s="91" t="n">
        <v>0</v>
      </c>
      <c r="BF7" s="89" t="n">
        <v>1</v>
      </c>
      <c r="BG7" s="89" t="n">
        <v>1</v>
      </c>
      <c r="BH7" s="89" t="inlineStr">
        <is>
          <t>-</t>
        </is>
      </c>
    </row>
    <row r="8" ht="19.55" customHeight="1">
      <c r="A8" s="92" t="n">
        <v>5</v>
      </c>
      <c r="B8" s="87" t="inlineStr">
        <is>
          <t>全国</t>
        </is>
      </c>
      <c r="C8" s="93" t="n">
        <v>46235</v>
      </c>
      <c r="D8" s="87" t="inlineStr">
        <is>
          <t>NX8</t>
        </is>
      </c>
      <c r="E8" s="87" t="n">
        <v>5112</v>
      </c>
      <c r="F8" s="87" t="n">
        <v>4530</v>
      </c>
      <c r="G8" s="88" t="n">
        <v>0.886150234741784</v>
      </c>
      <c r="H8" s="87" t="n">
        <v>2090</v>
      </c>
      <c r="I8" s="89" t="n">
        <v>0.4088419405320814</v>
      </c>
      <c r="J8" s="87" t="n">
        <v>5249</v>
      </c>
      <c r="K8" s="87" t="n">
        <v>4868</v>
      </c>
      <c r="L8" s="88" t="n">
        <v>0.927</v>
      </c>
      <c r="M8" s="87" t="n">
        <v>25570</v>
      </c>
      <c r="N8" s="87" t="n">
        <v>25204</v>
      </c>
      <c r="O8" s="87" t="n">
        <v>24913</v>
      </c>
      <c r="P8" s="88" t="n">
        <v>0.9743058271411811</v>
      </c>
      <c r="Q8" s="87" t="n">
        <v>349</v>
      </c>
      <c r="R8" s="87" t="n">
        <v>0</v>
      </c>
      <c r="S8" s="87" t="n">
        <v>0</v>
      </c>
      <c r="T8" s="88" t="n">
        <v>0</v>
      </c>
      <c r="U8" s="87" t="n">
        <v>0</v>
      </c>
      <c r="V8" s="88" t="n">
        <v>0</v>
      </c>
      <c r="W8" s="87" t="n">
        <v>716</v>
      </c>
      <c r="X8" s="88" t="n">
        <v>0.1400625978090767</v>
      </c>
      <c r="Y8" s="87" t="n">
        <v>2853</v>
      </c>
      <c r="Z8" s="90" t="n">
        <v>0.5580985915492958</v>
      </c>
      <c r="AA8" s="87" t="n">
        <v>4</v>
      </c>
      <c r="AB8" s="88" t="n">
        <v>0.000782472613458529</v>
      </c>
      <c r="AC8" s="87" t="n">
        <v>784</v>
      </c>
      <c r="AD8" s="88" t="n">
        <v>0.1533646322378717</v>
      </c>
      <c r="AE8" s="87" t="n">
        <v>160</v>
      </c>
      <c r="AF8" s="88" t="n">
        <v>0.2040816326530612</v>
      </c>
      <c r="AG8" s="87" t="n">
        <v>697</v>
      </c>
      <c r="AH8" s="88" t="n">
        <v>0.889030612244898</v>
      </c>
      <c r="AI8" s="91" t="n">
        <v>779</v>
      </c>
      <c r="AJ8" s="88" t="n">
        <v>0.1523865414710485</v>
      </c>
      <c r="AK8" s="91" t="n">
        <v>32</v>
      </c>
      <c r="AL8" s="88" t="n">
        <v>0.8177150192554558</v>
      </c>
      <c r="AM8" s="91" t="n">
        <v>722</v>
      </c>
      <c r="AN8" s="91" t="n">
        <v>637</v>
      </c>
      <c r="AO8" s="88" t="n">
        <v>0.1246087636932707</v>
      </c>
      <c r="AP8" s="88" t="n">
        <v>0.8125</v>
      </c>
      <c r="AQ8" s="89" t="n">
        <v>0.9737569060773481</v>
      </c>
      <c r="AR8" s="89" t="n">
        <v>0.5846560846560847</v>
      </c>
      <c r="AS8" s="89" t="n">
        <v>0.5701058201058201</v>
      </c>
      <c r="AT8" s="91" t="n">
        <v>0</v>
      </c>
      <c r="AU8" s="91" t="n">
        <v>0</v>
      </c>
      <c r="AV8" s="91" t="n">
        <v>162</v>
      </c>
      <c r="AW8" s="91" t="n">
        <v>153</v>
      </c>
      <c r="AX8" s="91" t="n">
        <v>155</v>
      </c>
      <c r="AY8" s="91" t="n">
        <v>84</v>
      </c>
      <c r="AZ8" s="88" t="n">
        <v>0.02992957746478873</v>
      </c>
      <c r="BA8" s="88" t="n">
        <v>0.030320813771518</v>
      </c>
      <c r="BB8" s="88" t="n">
        <v>0.01643192488262911</v>
      </c>
      <c r="BC8" s="88" t="n">
        <v>0.2433281004709576</v>
      </c>
      <c r="BD8" s="91" t="n">
        <v>0</v>
      </c>
      <c r="BE8" s="91" t="n">
        <v>0</v>
      </c>
      <c r="BF8" s="89" t="n">
        <v>0.9571428571428572</v>
      </c>
      <c r="BG8" s="89" t="n">
        <v>1</v>
      </c>
      <c r="BH8" s="89" t="inlineStr">
        <is>
          <t>-</t>
        </is>
      </c>
    </row>
    <row r="9" ht="19.55" customHeight="1">
      <c r="A9" s="92" t="n">
        <v>6</v>
      </c>
      <c r="B9" s="87" t="inlineStr">
        <is>
          <t>全国</t>
        </is>
      </c>
      <c r="C9" s="93" t="n">
        <v>46235</v>
      </c>
      <c r="D9" s="87" t="inlineStr">
        <is>
          <t>天籁·鸿蒙座舱</t>
        </is>
      </c>
      <c r="E9" s="87" t="n">
        <v>2856</v>
      </c>
      <c r="F9" s="87" t="n">
        <v>2557</v>
      </c>
      <c r="G9" s="88" t="n">
        <v>0.8953081232492998</v>
      </c>
      <c r="H9" s="87" t="n">
        <v>1855</v>
      </c>
      <c r="I9" s="89" t="n">
        <v>0.6495098039215687</v>
      </c>
      <c r="J9" s="87" t="n">
        <v>3549</v>
      </c>
      <c r="K9" s="87" t="n">
        <v>3478</v>
      </c>
      <c r="L9" s="88" t="n">
        <v>0.98</v>
      </c>
      <c r="M9" s="87" t="n">
        <v>18618</v>
      </c>
      <c r="N9" s="87" t="n">
        <v>18919</v>
      </c>
      <c r="O9" s="87" t="n">
        <v>18331</v>
      </c>
      <c r="P9" s="88" t="n">
        <v>0.9845848103985391</v>
      </c>
      <c r="Q9" s="87" t="n">
        <v>42</v>
      </c>
      <c r="R9" s="87" t="n">
        <v>0</v>
      </c>
      <c r="S9" s="87" t="n">
        <v>0</v>
      </c>
      <c r="T9" s="88" t="n">
        <v>0</v>
      </c>
      <c r="U9" s="87" t="n">
        <v>0</v>
      </c>
      <c r="V9" s="88" t="n">
        <v>0</v>
      </c>
      <c r="W9" s="87" t="n">
        <v>425</v>
      </c>
      <c r="X9" s="88" t="n">
        <v>0.1488095238095238</v>
      </c>
      <c r="Y9" s="87" t="n">
        <v>1127</v>
      </c>
      <c r="Z9" s="90" t="n">
        <v>0.3946078431372549</v>
      </c>
      <c r="AA9" s="87" t="n">
        <v>0</v>
      </c>
      <c r="AB9" s="88" t="n">
        <v>0</v>
      </c>
      <c r="AC9" s="87" t="n">
        <v>310</v>
      </c>
      <c r="AD9" s="88" t="n">
        <v>0.1085434173669468</v>
      </c>
      <c r="AE9" s="87" t="n">
        <v>35</v>
      </c>
      <c r="AF9" s="88" t="n">
        <v>0.1129032258064516</v>
      </c>
      <c r="AG9" s="87" t="n">
        <v>278</v>
      </c>
      <c r="AH9" s="88" t="n">
        <v>0.8967741935483871</v>
      </c>
      <c r="AI9" s="91" t="n">
        <v>274</v>
      </c>
      <c r="AJ9" s="88" t="n">
        <v>0.09593837535014006</v>
      </c>
      <c r="AK9" s="91" t="n">
        <v>7</v>
      </c>
      <c r="AL9" s="88" t="n">
        <v>0.8722627737226277</v>
      </c>
      <c r="AM9" s="91" t="n">
        <v>269</v>
      </c>
      <c r="AN9" s="91" t="n">
        <v>239</v>
      </c>
      <c r="AO9" s="88" t="n">
        <v>0.08368347338935574</v>
      </c>
      <c r="AP9" s="88" t="n">
        <v>0.7709677419354839</v>
      </c>
      <c r="AQ9" s="89" t="n">
        <v>0.9631336405529954</v>
      </c>
      <c r="AR9" s="89" t="n">
        <v>0.5261324041811847</v>
      </c>
      <c r="AS9" s="89" t="n">
        <v>0.5365853658536586</v>
      </c>
      <c r="AT9" s="91" t="n">
        <v>0</v>
      </c>
      <c r="AU9" s="91" t="n">
        <v>0</v>
      </c>
      <c r="AV9" s="91" t="n">
        <v>69</v>
      </c>
      <c r="AW9" s="91" t="n">
        <v>60</v>
      </c>
      <c r="AX9" s="91" t="n">
        <v>63</v>
      </c>
      <c r="AY9" s="91" t="n">
        <v>22</v>
      </c>
      <c r="AZ9" s="88" t="n">
        <v>0.02100840336134454</v>
      </c>
      <c r="BA9" s="88" t="n">
        <v>0.02205882352941177</v>
      </c>
      <c r="BB9" s="88" t="n">
        <v>0.007703081232492998</v>
      </c>
      <c r="BC9" s="88" t="n">
        <v>0.2635983263598327</v>
      </c>
      <c r="BD9" s="91" t="n">
        <v>0</v>
      </c>
      <c r="BE9" s="91" t="n">
        <v>0</v>
      </c>
      <c r="BF9" s="89" t="n">
        <v>0.9523809523809523</v>
      </c>
      <c r="BG9" s="89" t="n">
        <v>1</v>
      </c>
      <c r="BH9" s="89" t="inlineStr">
        <is>
          <t>-</t>
        </is>
      </c>
    </row>
    <row r="10" ht="19.55" customHeight="1">
      <c r="A10" s="92" t="n">
        <v>7</v>
      </c>
      <c r="B10" s="87" t="inlineStr">
        <is>
          <t>全国</t>
        </is>
      </c>
      <c r="C10" s="93" t="n">
        <v>46235</v>
      </c>
      <c r="D10" s="87" t="inlineStr">
        <is>
          <t>探陆</t>
        </is>
      </c>
      <c r="E10" s="87" t="n">
        <v>0</v>
      </c>
      <c r="F10" s="87" t="n">
        <v>0</v>
      </c>
      <c r="G10" s="88" t="n">
        <v>0</v>
      </c>
      <c r="H10" s="87" t="n">
        <v>0</v>
      </c>
      <c r="I10" s="89" t="n">
        <v>0</v>
      </c>
      <c r="J10" s="87" t="n">
        <v>0</v>
      </c>
      <c r="K10" s="87" t="n">
        <v>0</v>
      </c>
      <c r="L10" s="88" t="n">
        <v>0</v>
      </c>
      <c r="M10" s="87" t="n">
        <v>0</v>
      </c>
      <c r="N10" s="87" t="n">
        <v>0</v>
      </c>
      <c r="O10" s="87" t="n">
        <v>0</v>
      </c>
      <c r="P10" s="88" t="n">
        <v>0</v>
      </c>
      <c r="Q10" s="87" t="n">
        <v>0</v>
      </c>
      <c r="R10" s="87" t="n">
        <v>0</v>
      </c>
      <c r="S10" s="87" t="n">
        <v>0</v>
      </c>
      <c r="T10" s="88" t="n">
        <v>0</v>
      </c>
      <c r="U10" s="87" t="n">
        <v>0</v>
      </c>
      <c r="V10" s="88" t="n">
        <v>0</v>
      </c>
      <c r="W10" s="87" t="n">
        <v>0</v>
      </c>
      <c r="X10" s="88" t="n">
        <v>0</v>
      </c>
      <c r="Y10" s="87" t="n">
        <v>0</v>
      </c>
      <c r="Z10" s="90" t="n">
        <v>0</v>
      </c>
      <c r="AA10" s="87" t="n">
        <v>0</v>
      </c>
      <c r="AB10" s="88" t="n">
        <v>0</v>
      </c>
      <c r="AC10" s="87" t="n">
        <v>0</v>
      </c>
      <c r="AD10" s="88" t="n">
        <v>0</v>
      </c>
      <c r="AE10" s="87" t="n">
        <v>0</v>
      </c>
      <c r="AF10" s="88" t="n">
        <v>0</v>
      </c>
      <c r="AG10" s="87" t="n">
        <v>0</v>
      </c>
      <c r="AH10" s="88" t="n">
        <v>0</v>
      </c>
      <c r="AI10" s="91" t="n">
        <v>1</v>
      </c>
      <c r="AJ10" s="88" t="n">
        <v>0</v>
      </c>
      <c r="AK10" s="91" t="n">
        <v>0</v>
      </c>
      <c r="AL10" s="88" t="n">
        <v>1</v>
      </c>
      <c r="AM10" s="91" t="n">
        <v>1</v>
      </c>
      <c r="AN10" s="91" t="n">
        <v>1</v>
      </c>
      <c r="AO10" s="88" t="n">
        <v>0</v>
      </c>
      <c r="AP10" s="88" t="n">
        <v>0</v>
      </c>
      <c r="AQ10" s="89" t="n"/>
      <c r="AR10" s="89" t="inlineStr">
        <is>
          <t>0.0%</t>
        </is>
      </c>
      <c r="AS10" s="89" t="inlineStr">
        <is>
          <t>0.0%</t>
        </is>
      </c>
      <c r="AT10" s="91" t="n">
        <v>0</v>
      </c>
      <c r="AU10" s="91" t="n">
        <v>0</v>
      </c>
      <c r="AV10" s="91" t="n">
        <v>0</v>
      </c>
      <c r="AW10" s="91" t="n">
        <v>0</v>
      </c>
      <c r="AX10" s="91" t="n">
        <v>0</v>
      </c>
      <c r="AY10" s="91" t="n">
        <v>0</v>
      </c>
      <c r="AZ10" s="88" t="n">
        <v>0</v>
      </c>
      <c r="BA10" s="88" t="n">
        <v>0</v>
      </c>
      <c r="BB10" s="88" t="n">
        <v>0</v>
      </c>
      <c r="BC10" s="88" t="n">
        <v>0</v>
      </c>
      <c r="BD10" s="91" t="n">
        <v>0</v>
      </c>
      <c r="BE10" s="91" t="n">
        <v>0</v>
      </c>
      <c r="BF10" s="89" t="inlineStr">
        <is>
          <t>-</t>
        </is>
      </c>
      <c r="BG10" s="89" t="inlineStr">
        <is>
          <t>-</t>
        </is>
      </c>
      <c r="BH10" s="89" t="inlineStr">
        <is>
          <t>-</t>
        </is>
      </c>
    </row>
    <row r="11" ht="19.55" customHeight="1">
      <c r="A11" s="92" t="n">
        <v>8</v>
      </c>
      <c r="B11" s="87" t="inlineStr">
        <is>
          <t>全国</t>
        </is>
      </c>
      <c r="C11" s="93" t="n">
        <v>46236</v>
      </c>
      <c r="D11" s="87" t="n"/>
      <c r="E11" s="87" t="n">
        <v>106</v>
      </c>
      <c r="F11" s="87" t="n">
        <v>106</v>
      </c>
      <c r="G11" s="88" t="n">
        <v>1</v>
      </c>
      <c r="H11" s="87" t="n">
        <v>106</v>
      </c>
      <c r="I11" s="89" t="n">
        <v>1</v>
      </c>
      <c r="J11" s="87" t="n">
        <v>3</v>
      </c>
      <c r="K11" s="87" t="n">
        <v>0</v>
      </c>
      <c r="L11" s="88" t="n">
        <v>0</v>
      </c>
      <c r="M11" s="87" t="n">
        <v>8</v>
      </c>
      <c r="N11" s="87" t="n">
        <v>2</v>
      </c>
      <c r="O11" s="87" t="n">
        <v>3</v>
      </c>
      <c r="P11" s="88" t="n">
        <v>0.375</v>
      </c>
      <c r="Q11" s="87" t="n">
        <v>5</v>
      </c>
      <c r="R11" s="87" t="n">
        <v>0</v>
      </c>
      <c r="S11" s="87" t="n">
        <v>0</v>
      </c>
      <c r="T11" s="88" t="n">
        <v>0</v>
      </c>
      <c r="U11" s="87" t="n">
        <v>0</v>
      </c>
      <c r="V11" s="88" t="n">
        <v>0</v>
      </c>
      <c r="W11" s="87" t="n">
        <v>16</v>
      </c>
      <c r="X11" s="88" t="n">
        <v>0.1509433962264151</v>
      </c>
      <c r="Y11" s="87" t="n">
        <v>18</v>
      </c>
      <c r="Z11" s="90" t="n">
        <v>0.169811320754717</v>
      </c>
      <c r="AA11" s="87" t="n">
        <v>0</v>
      </c>
      <c r="AB11" s="88" t="n">
        <v>0</v>
      </c>
      <c r="AC11" s="87" t="n">
        <v>0</v>
      </c>
      <c r="AD11" s="88" t="n">
        <v>0</v>
      </c>
      <c r="AE11" s="87" t="n">
        <v>0</v>
      </c>
      <c r="AF11" s="88" t="n">
        <v>0</v>
      </c>
      <c r="AG11" s="87" t="n">
        <v>0</v>
      </c>
      <c r="AH11" s="88" t="n">
        <v>0</v>
      </c>
      <c r="AI11" s="91" t="n">
        <v>0</v>
      </c>
      <c r="AJ11" s="88" t="n">
        <v>0</v>
      </c>
      <c r="AK11" s="91" t="n">
        <v>0</v>
      </c>
      <c r="AL11" s="88" t="n">
        <v>0</v>
      </c>
      <c r="AM11" s="91" t="n">
        <v>0</v>
      </c>
      <c r="AN11" s="91" t="n">
        <v>0</v>
      </c>
      <c r="AO11" s="88" t="n">
        <v>0</v>
      </c>
      <c r="AP11" s="88" t="n">
        <v>0</v>
      </c>
      <c r="AQ11" s="89" t="n">
        <v>0</v>
      </c>
      <c r="AR11" s="89" t="inlineStr">
        <is>
          <t>0.0%</t>
        </is>
      </c>
      <c r="AS11" s="89" t="inlineStr">
        <is>
          <t>0.0%</t>
        </is>
      </c>
      <c r="AT11" s="91" t="n">
        <v>0</v>
      </c>
      <c r="AU11" s="91" t="n">
        <v>0</v>
      </c>
      <c r="AV11" s="91" t="n">
        <v>0</v>
      </c>
      <c r="AW11" s="91" t="n">
        <v>0</v>
      </c>
      <c r="AX11" s="91" t="n">
        <v>0</v>
      </c>
      <c r="AY11" s="91" t="n">
        <v>0</v>
      </c>
      <c r="AZ11" s="88" t="n">
        <v>0</v>
      </c>
      <c r="BA11" s="88" t="n">
        <v>0</v>
      </c>
      <c r="BB11" s="88" t="n">
        <v>0</v>
      </c>
      <c r="BC11" s="88" t="n">
        <v>0</v>
      </c>
      <c r="BD11" s="91" t="n">
        <v>0</v>
      </c>
      <c r="BE11" s="91" t="n">
        <v>0</v>
      </c>
      <c r="BF11" s="89" t="inlineStr">
        <is>
          <t>-</t>
        </is>
      </c>
      <c r="BG11" s="89" t="inlineStr">
        <is>
          <t>-</t>
        </is>
      </c>
      <c r="BH11" s="89" t="n">
        <v>0.9850746268656716</v>
      </c>
    </row>
    <row r="12" ht="19.55" customHeight="1">
      <c r="A12" s="92" t="n">
        <v>9</v>
      </c>
      <c r="B12" s="87" t="inlineStr">
        <is>
          <t>全国</t>
        </is>
      </c>
      <c r="C12" s="93" t="n">
        <v>46236</v>
      </c>
      <c r="D12" s="87" t="inlineStr">
        <is>
          <t>2026款探陆</t>
        </is>
      </c>
      <c r="E12" s="87" t="n">
        <v>287</v>
      </c>
      <c r="F12" s="87" t="n">
        <v>257</v>
      </c>
      <c r="G12" s="88" t="n">
        <v>0.8954703832752613</v>
      </c>
      <c r="H12" s="87" t="n">
        <v>78</v>
      </c>
      <c r="I12" s="89" t="n">
        <v>0.2717770034843205</v>
      </c>
      <c r="J12" s="87" t="n">
        <v>226</v>
      </c>
      <c r="K12" s="87" t="n">
        <v>146</v>
      </c>
      <c r="L12" s="88" t="n">
        <v>0.646</v>
      </c>
      <c r="M12" s="87" t="n">
        <v>663</v>
      </c>
      <c r="N12" s="87" t="n">
        <v>611</v>
      </c>
      <c r="O12" s="87" t="n">
        <v>533</v>
      </c>
      <c r="P12" s="88" t="n">
        <v>0.803921568627451</v>
      </c>
      <c r="Q12" s="87" t="n">
        <v>41</v>
      </c>
      <c r="R12" s="87" t="n">
        <v>0</v>
      </c>
      <c r="S12" s="87" t="n">
        <v>0</v>
      </c>
      <c r="T12" s="88" t="n">
        <v>0</v>
      </c>
      <c r="U12" s="87" t="n">
        <v>0</v>
      </c>
      <c r="V12" s="88" t="n">
        <v>0</v>
      </c>
      <c r="W12" s="87" t="n">
        <v>1</v>
      </c>
      <c r="X12" s="88" t="n">
        <v>0.003484320557491289</v>
      </c>
      <c r="Y12" s="87" t="n">
        <v>29</v>
      </c>
      <c r="Z12" s="90" t="n">
        <v>0.1010452961672474</v>
      </c>
      <c r="AA12" s="87" t="n">
        <v>0</v>
      </c>
      <c r="AB12" s="88" t="n">
        <v>0</v>
      </c>
      <c r="AC12" s="87" t="n">
        <v>1</v>
      </c>
      <c r="AD12" s="88" t="n">
        <v>0.003484320557491289</v>
      </c>
      <c r="AE12" s="87" t="n">
        <v>0</v>
      </c>
      <c r="AF12" s="88" t="n">
        <v>0</v>
      </c>
      <c r="AG12" s="87" t="n">
        <v>1</v>
      </c>
      <c r="AH12" s="88" t="n">
        <v>1</v>
      </c>
      <c r="AI12" s="91" t="n">
        <v>0</v>
      </c>
      <c r="AJ12" s="88" t="n">
        <v>0</v>
      </c>
      <c r="AK12" s="91" t="n">
        <v>0</v>
      </c>
      <c r="AL12" s="88" t="n">
        <v>0</v>
      </c>
      <c r="AM12" s="91" t="n">
        <v>0</v>
      </c>
      <c r="AN12" s="91" t="n">
        <v>0</v>
      </c>
      <c r="AO12" s="88" t="n">
        <v>0</v>
      </c>
      <c r="AP12" s="88" t="n">
        <v>0</v>
      </c>
      <c r="AQ12" s="89" t="n">
        <v>1</v>
      </c>
      <c r="AR12" s="89" t="n">
        <v>1</v>
      </c>
      <c r="AS12" s="89" t="n">
        <v>1</v>
      </c>
      <c r="AT12" s="91" t="n">
        <v>0</v>
      </c>
      <c r="AU12" s="91" t="n">
        <v>0</v>
      </c>
      <c r="AV12" s="91" t="n">
        <v>4</v>
      </c>
      <c r="AW12" s="91" t="n">
        <v>4</v>
      </c>
      <c r="AX12" s="91" t="n">
        <v>5</v>
      </c>
      <c r="AY12" s="91" t="n">
        <v>0</v>
      </c>
      <c r="AZ12" s="88" t="n">
        <v>0.01393728222996516</v>
      </c>
      <c r="BA12" s="88" t="n">
        <v>0.01742160278745645</v>
      </c>
      <c r="BB12" s="88" t="n">
        <v>0</v>
      </c>
      <c r="BC12" s="88" t="n">
        <v>0</v>
      </c>
      <c r="BD12" s="91" t="n">
        <v>0</v>
      </c>
      <c r="BE12" s="91" t="n">
        <v>0</v>
      </c>
      <c r="BF12" s="89" t="inlineStr">
        <is>
          <t>-</t>
        </is>
      </c>
      <c r="BG12" s="89" t="n">
        <v>1</v>
      </c>
      <c r="BH12" s="89" t="inlineStr">
        <is>
          <t>-</t>
        </is>
      </c>
    </row>
    <row r="13" ht="19.55" customHeight="1">
      <c r="A13" s="92" t="n">
        <v>10</v>
      </c>
      <c r="B13" s="87" t="inlineStr">
        <is>
          <t>全国</t>
        </is>
      </c>
      <c r="C13" s="93" t="n">
        <v>46236</v>
      </c>
      <c r="D13" s="87" t="inlineStr">
        <is>
          <t>N6</t>
        </is>
      </c>
      <c r="E13" s="87" t="n">
        <v>1869</v>
      </c>
      <c r="F13" s="87" t="n">
        <v>1666</v>
      </c>
      <c r="G13" s="88" t="n">
        <v>0.8913857677902621</v>
      </c>
      <c r="H13" s="87" t="n">
        <v>1038</v>
      </c>
      <c r="I13" s="89" t="n">
        <v>0.5553772070626003</v>
      </c>
      <c r="J13" s="87" t="n">
        <v>2017</v>
      </c>
      <c r="K13" s="87" t="n">
        <v>1973</v>
      </c>
      <c r="L13" s="88" t="n">
        <v>0.978</v>
      </c>
      <c r="M13" s="87" t="n">
        <v>9947</v>
      </c>
      <c r="N13" s="87" t="n">
        <v>10089</v>
      </c>
      <c r="O13" s="87" t="n">
        <v>9816</v>
      </c>
      <c r="P13" s="88" t="n">
        <v>0.9868302000603197</v>
      </c>
      <c r="Q13" s="87" t="n">
        <v>21</v>
      </c>
      <c r="R13" s="87" t="n">
        <v>0</v>
      </c>
      <c r="S13" s="87" t="n">
        <v>0</v>
      </c>
      <c r="T13" s="88" t="n">
        <v>0</v>
      </c>
      <c r="U13" s="87" t="n">
        <v>0</v>
      </c>
      <c r="V13" s="88" t="n">
        <v>0</v>
      </c>
      <c r="W13" s="87" t="n">
        <v>355</v>
      </c>
      <c r="X13" s="88" t="n">
        <v>0.1899411449973248</v>
      </c>
      <c r="Y13" s="87" t="n">
        <v>736</v>
      </c>
      <c r="Z13" s="90" t="n">
        <v>0.3937934724451578</v>
      </c>
      <c r="AA13" s="87" t="n">
        <v>0</v>
      </c>
      <c r="AB13" s="88" t="n">
        <v>0</v>
      </c>
      <c r="AC13" s="87" t="n">
        <v>231</v>
      </c>
      <c r="AD13" s="88" t="n">
        <v>0.1235955056179775</v>
      </c>
      <c r="AE13" s="87" t="n">
        <v>21</v>
      </c>
      <c r="AF13" s="88" t="n">
        <v>0.09090909090909091</v>
      </c>
      <c r="AG13" s="87" t="n">
        <v>161</v>
      </c>
      <c r="AH13" s="88" t="n">
        <v>0.696969696969697</v>
      </c>
      <c r="AI13" s="91" t="n">
        <v>166</v>
      </c>
      <c r="AJ13" s="88" t="n">
        <v>0.0888175494917068</v>
      </c>
      <c r="AK13" s="91" t="n">
        <v>4</v>
      </c>
      <c r="AL13" s="88" t="n">
        <v>0.8433734939759037</v>
      </c>
      <c r="AM13" s="91" t="n">
        <v>161</v>
      </c>
      <c r="AN13" s="91" t="n">
        <v>140</v>
      </c>
      <c r="AO13" s="88" t="n">
        <v>0.0749063670411985</v>
      </c>
      <c r="AP13" s="88" t="n">
        <v>0.6060606060606061</v>
      </c>
      <c r="AQ13" s="89" t="n">
        <v>0.9921875</v>
      </c>
      <c r="AR13" s="89" t="n">
        <v>0.6060606060606061</v>
      </c>
      <c r="AS13" s="89" t="n">
        <v>0.5757575757575758</v>
      </c>
      <c r="AT13" s="91" t="n">
        <v>0</v>
      </c>
      <c r="AU13" s="91" t="n">
        <v>0</v>
      </c>
      <c r="AV13" s="91" t="n">
        <v>46</v>
      </c>
      <c r="AW13" s="91" t="n">
        <v>43</v>
      </c>
      <c r="AX13" s="91" t="n">
        <v>44</v>
      </c>
      <c r="AY13" s="91" t="n">
        <v>17</v>
      </c>
      <c r="AZ13" s="88" t="n">
        <v>0.02300695559122526</v>
      </c>
      <c r="BA13" s="88" t="n">
        <v>0.02354200107009096</v>
      </c>
      <c r="BB13" s="88" t="n">
        <v>0.00909577314071696</v>
      </c>
      <c r="BC13" s="88" t="n">
        <v>0.3142857142857143</v>
      </c>
      <c r="BD13" s="91" t="n">
        <v>0</v>
      </c>
      <c r="BE13" s="91" t="n">
        <v>0</v>
      </c>
      <c r="BF13" s="89" t="n">
        <v>1</v>
      </c>
      <c r="BG13" s="89" t="n">
        <v>1</v>
      </c>
      <c r="BH13" s="89" t="inlineStr">
        <is>
          <t>-</t>
        </is>
      </c>
    </row>
    <row r="14" ht="19.55" customHeight="1">
      <c r="A14" s="92" t="n">
        <v>11</v>
      </c>
      <c r="B14" s="87" t="inlineStr">
        <is>
          <t>全国</t>
        </is>
      </c>
      <c r="C14" s="93" t="n">
        <v>46236</v>
      </c>
      <c r="D14" s="87" t="inlineStr">
        <is>
          <t>N7</t>
        </is>
      </c>
      <c r="E14" s="87" t="n">
        <v>1429</v>
      </c>
      <c r="F14" s="87" t="n">
        <v>1255</v>
      </c>
      <c r="G14" s="88" t="n">
        <v>0.8782365290412876</v>
      </c>
      <c r="H14" s="87" t="n">
        <v>724</v>
      </c>
      <c r="I14" s="89" t="n">
        <v>0.5066480055983205</v>
      </c>
      <c r="J14" s="87" t="n">
        <v>1326</v>
      </c>
      <c r="K14" s="87" t="n">
        <v>1302</v>
      </c>
      <c r="L14" s="88" t="n">
        <v>0.982</v>
      </c>
      <c r="M14" s="87" t="n">
        <v>7871</v>
      </c>
      <c r="N14" s="87" t="n">
        <v>7855</v>
      </c>
      <c r="O14" s="87" t="n">
        <v>7742</v>
      </c>
      <c r="P14" s="88" t="n">
        <v>0.9836107229068733</v>
      </c>
      <c r="Q14" s="87" t="n">
        <v>27</v>
      </c>
      <c r="R14" s="87" t="n">
        <v>0</v>
      </c>
      <c r="S14" s="87" t="n">
        <v>0</v>
      </c>
      <c r="T14" s="88" t="n">
        <v>0</v>
      </c>
      <c r="U14" s="87" t="n">
        <v>0</v>
      </c>
      <c r="V14" s="88" t="n">
        <v>0</v>
      </c>
      <c r="W14" s="87" t="n">
        <v>350</v>
      </c>
      <c r="X14" s="88" t="n">
        <v>0.244926522043387</v>
      </c>
      <c r="Y14" s="87" t="n">
        <v>524</v>
      </c>
      <c r="Z14" s="90" t="n">
        <v>0.3666899930020994</v>
      </c>
      <c r="AA14" s="87" t="n">
        <v>1</v>
      </c>
      <c r="AB14" s="88" t="n">
        <v>0.0006997900629811056</v>
      </c>
      <c r="AC14" s="87" t="n">
        <v>225</v>
      </c>
      <c r="AD14" s="88" t="n">
        <v>0.1574527641707488</v>
      </c>
      <c r="AE14" s="87" t="n">
        <v>29</v>
      </c>
      <c r="AF14" s="88" t="n">
        <v>0.1288888888888889</v>
      </c>
      <c r="AG14" s="87" t="n">
        <v>196</v>
      </c>
      <c r="AH14" s="88" t="n">
        <v>0.8711111111111111</v>
      </c>
      <c r="AI14" s="91" t="n">
        <v>203</v>
      </c>
      <c r="AJ14" s="88" t="n">
        <v>0.1420573827851644</v>
      </c>
      <c r="AK14" s="91" t="n">
        <v>7</v>
      </c>
      <c r="AL14" s="88" t="n">
        <v>0.812807881773399</v>
      </c>
      <c r="AM14" s="91" t="n">
        <v>190</v>
      </c>
      <c r="AN14" s="91" t="n">
        <v>165</v>
      </c>
      <c r="AO14" s="88" t="n">
        <v>0.1154653603918824</v>
      </c>
      <c r="AP14" s="88" t="n">
        <v>0.7333333333333333</v>
      </c>
      <c r="AQ14" s="89" t="n">
        <v>0.9657534246575342</v>
      </c>
      <c r="AR14" s="89" t="n">
        <v>0.5706806282722513</v>
      </c>
      <c r="AS14" s="89" t="n">
        <v>0.5497382198952879</v>
      </c>
      <c r="AT14" s="91" t="n">
        <v>0</v>
      </c>
      <c r="AU14" s="91" t="n">
        <v>0</v>
      </c>
      <c r="AV14" s="91" t="n">
        <v>43</v>
      </c>
      <c r="AW14" s="91" t="n">
        <v>36</v>
      </c>
      <c r="AX14" s="91" t="n">
        <v>35</v>
      </c>
      <c r="AY14" s="91" t="n">
        <v>18</v>
      </c>
      <c r="AZ14" s="88" t="n">
        <v>0.0251924422673198</v>
      </c>
      <c r="BA14" s="88" t="n">
        <v>0.0244926522043387</v>
      </c>
      <c r="BB14" s="88" t="n">
        <v>0.0125962211336599</v>
      </c>
      <c r="BC14" s="88" t="n">
        <v>0.2121212121212121</v>
      </c>
      <c r="BD14" s="91" t="n">
        <v>0</v>
      </c>
      <c r="BE14" s="91" t="n">
        <v>0</v>
      </c>
      <c r="BF14" s="89" t="n">
        <v>1</v>
      </c>
      <c r="BG14" s="89" t="n">
        <v>1</v>
      </c>
      <c r="BH14" s="89" t="inlineStr">
        <is>
          <t>-</t>
        </is>
      </c>
    </row>
    <row r="15" ht="19.55" customHeight="1">
      <c r="A15" s="92" t="n">
        <v>12</v>
      </c>
      <c r="B15" s="87" t="inlineStr">
        <is>
          <t>全国</t>
        </is>
      </c>
      <c r="C15" s="93" t="n">
        <v>46236</v>
      </c>
      <c r="D15" s="87" t="inlineStr">
        <is>
          <t>NX8</t>
        </is>
      </c>
      <c r="E15" s="87" t="n">
        <v>6063</v>
      </c>
      <c r="F15" s="87" t="n">
        <v>5362</v>
      </c>
      <c r="G15" s="88" t="n">
        <v>0.884380669635494</v>
      </c>
      <c r="H15" s="87" t="n">
        <v>2394</v>
      </c>
      <c r="I15" s="89" t="n">
        <v>0.3948540326571005</v>
      </c>
      <c r="J15" s="87" t="n">
        <v>4588</v>
      </c>
      <c r="K15" s="87" t="n">
        <v>4458</v>
      </c>
      <c r="L15" s="88" t="n">
        <v>0.972</v>
      </c>
      <c r="M15" s="87" t="n">
        <v>24782</v>
      </c>
      <c r="N15" s="87" t="n">
        <v>25057</v>
      </c>
      <c r="O15" s="87" t="n">
        <v>24358</v>
      </c>
      <c r="P15" s="88" t="n">
        <v>0.9828908078444032</v>
      </c>
      <c r="Q15" s="87" t="n">
        <v>71</v>
      </c>
      <c r="R15" s="87" t="n">
        <v>0</v>
      </c>
      <c r="S15" s="87" t="n">
        <v>0</v>
      </c>
      <c r="T15" s="88" t="n">
        <v>0</v>
      </c>
      <c r="U15" s="87" t="n">
        <v>0</v>
      </c>
      <c r="V15" s="88" t="n">
        <v>0</v>
      </c>
      <c r="W15" s="87" t="n">
        <v>970</v>
      </c>
      <c r="X15" s="88" t="n">
        <v>0.1599868052119413</v>
      </c>
      <c r="Y15" s="87" t="n">
        <v>2030</v>
      </c>
      <c r="Z15" s="90" t="n">
        <v>0.334817746989939</v>
      </c>
      <c r="AA15" s="87" t="n">
        <v>3</v>
      </c>
      <c r="AB15" s="88" t="n">
        <v>0.0004948045522018803</v>
      </c>
      <c r="AC15" s="87" t="n">
        <v>800</v>
      </c>
      <c r="AD15" s="88" t="n">
        <v>0.1319478805871681</v>
      </c>
      <c r="AE15" s="87" t="n">
        <v>132</v>
      </c>
      <c r="AF15" s="88" t="n">
        <v>0.165</v>
      </c>
      <c r="AG15" s="87" t="n">
        <v>678</v>
      </c>
      <c r="AH15" s="88" t="n">
        <v>0.8475</v>
      </c>
      <c r="AI15" s="91" t="n">
        <v>778</v>
      </c>
      <c r="AJ15" s="88" t="n">
        <v>0.1283193138710209</v>
      </c>
      <c r="AK15" s="91" t="n">
        <v>26</v>
      </c>
      <c r="AL15" s="88" t="n">
        <v>0.7634961439588689</v>
      </c>
      <c r="AM15" s="91" t="n">
        <v>676</v>
      </c>
      <c r="AN15" s="91" t="n">
        <v>594</v>
      </c>
      <c r="AO15" s="88" t="n">
        <v>0.09797130133597229</v>
      </c>
      <c r="AP15" s="88" t="n">
        <v>0.7425</v>
      </c>
      <c r="AQ15" s="89" t="n">
        <v>0.9772403982930299</v>
      </c>
      <c r="AR15" s="89" t="n">
        <v>0.5467224546722455</v>
      </c>
      <c r="AS15" s="89" t="n">
        <v>0.5062761506276151</v>
      </c>
      <c r="AT15" s="91" t="n">
        <v>0</v>
      </c>
      <c r="AU15" s="91" t="n">
        <v>0</v>
      </c>
      <c r="AV15" s="91" t="n">
        <v>152</v>
      </c>
      <c r="AW15" s="91" t="n">
        <v>144</v>
      </c>
      <c r="AX15" s="91" t="n">
        <v>139</v>
      </c>
      <c r="AY15" s="91" t="n">
        <v>47</v>
      </c>
      <c r="AZ15" s="88" t="n">
        <v>0.02375061850569025</v>
      </c>
      <c r="BA15" s="88" t="n">
        <v>0.02292594425202045</v>
      </c>
      <c r="BB15" s="88" t="n">
        <v>0.007751937984496124</v>
      </c>
      <c r="BC15" s="88" t="n">
        <v>0.234006734006734</v>
      </c>
      <c r="BD15" s="91" t="n">
        <v>0</v>
      </c>
      <c r="BE15" s="91" t="n">
        <v>0</v>
      </c>
      <c r="BF15" s="89" t="n">
        <v>1</v>
      </c>
      <c r="BG15" s="89" t="n">
        <v>1</v>
      </c>
      <c r="BH15" s="89" t="inlineStr">
        <is>
          <t>-</t>
        </is>
      </c>
    </row>
    <row r="16" ht="19.55" customHeight="1">
      <c r="A16" s="92" t="n">
        <v>13</v>
      </c>
      <c r="B16" s="87" t="inlineStr">
        <is>
          <t>全国</t>
        </is>
      </c>
      <c r="C16" s="93" t="n">
        <v>46236</v>
      </c>
      <c r="D16" s="87" t="inlineStr">
        <is>
          <t>天籁·鸿蒙座舱</t>
        </is>
      </c>
      <c r="E16" s="87" t="n">
        <v>3234</v>
      </c>
      <c r="F16" s="87" t="n">
        <v>2869</v>
      </c>
      <c r="G16" s="88" t="n">
        <v>0.8871366728509585</v>
      </c>
      <c r="H16" s="87" t="n">
        <v>1905</v>
      </c>
      <c r="I16" s="89" t="n">
        <v>0.5890538033395176</v>
      </c>
      <c r="J16" s="87" t="n">
        <v>3568</v>
      </c>
      <c r="K16" s="87" t="n">
        <v>3489</v>
      </c>
      <c r="L16" s="88" t="n">
        <v>0.978</v>
      </c>
      <c r="M16" s="87" t="n">
        <v>18300</v>
      </c>
      <c r="N16" s="87" t="n">
        <v>18527</v>
      </c>
      <c r="O16" s="87" t="n">
        <v>18015</v>
      </c>
      <c r="P16" s="88" t="n">
        <v>0.9844262295081967</v>
      </c>
      <c r="Q16" s="87" t="n">
        <v>48</v>
      </c>
      <c r="R16" s="87" t="n">
        <v>0</v>
      </c>
      <c r="S16" s="87" t="n">
        <v>0</v>
      </c>
      <c r="T16" s="88" t="n">
        <v>0</v>
      </c>
      <c r="U16" s="87" t="n">
        <v>0</v>
      </c>
      <c r="V16" s="88" t="n">
        <v>0</v>
      </c>
      <c r="W16" s="87" t="n">
        <v>592</v>
      </c>
      <c r="X16" s="88" t="n">
        <v>0.1830550401978973</v>
      </c>
      <c r="Y16" s="87" t="n">
        <v>675</v>
      </c>
      <c r="Z16" s="90" t="n">
        <v>0.2087198515769944</v>
      </c>
      <c r="AA16" s="87" t="n">
        <v>3</v>
      </c>
      <c r="AB16" s="88" t="n">
        <v>0.0009276437847866419</v>
      </c>
      <c r="AC16" s="87" t="n">
        <v>373</v>
      </c>
      <c r="AD16" s="88" t="n">
        <v>0.1153370439084725</v>
      </c>
      <c r="AE16" s="87" t="n">
        <v>42</v>
      </c>
      <c r="AF16" s="88" t="n">
        <v>0.1126005361930295</v>
      </c>
      <c r="AG16" s="87" t="n">
        <v>339</v>
      </c>
      <c r="AH16" s="88" t="n">
        <v>0.9088471849865952</v>
      </c>
      <c r="AI16" s="91" t="n">
        <v>329</v>
      </c>
      <c r="AJ16" s="88" t="n">
        <v>0.1017316017316017</v>
      </c>
      <c r="AK16" s="91" t="n">
        <v>14</v>
      </c>
      <c r="AL16" s="88" t="n">
        <v>0.8632218844984803</v>
      </c>
      <c r="AM16" s="91" t="n">
        <v>322</v>
      </c>
      <c r="AN16" s="91" t="n">
        <v>284</v>
      </c>
      <c r="AO16" s="88" t="n">
        <v>0.08781694495980211</v>
      </c>
      <c r="AP16" s="88" t="n">
        <v>0.7613941018766756</v>
      </c>
      <c r="AQ16" s="89" t="n">
        <v>0.9742647058823529</v>
      </c>
      <c r="AR16" s="89" t="n">
        <v>0.5678233438485805</v>
      </c>
      <c r="AS16" s="89" t="n">
        <v>0.5362776025236593</v>
      </c>
      <c r="AT16" s="91" t="n">
        <v>0</v>
      </c>
      <c r="AU16" s="91" t="n">
        <v>0</v>
      </c>
      <c r="AV16" s="91" t="n">
        <v>122</v>
      </c>
      <c r="AW16" s="91" t="n">
        <v>112</v>
      </c>
      <c r="AX16" s="91" t="n">
        <v>108</v>
      </c>
      <c r="AY16" s="91" t="n">
        <v>28</v>
      </c>
      <c r="AZ16" s="88" t="n">
        <v>0.03463203463203463</v>
      </c>
      <c r="BA16" s="88" t="n">
        <v>0.03339517625231911</v>
      </c>
      <c r="BB16" s="88" t="n">
        <v>0.008658008658008658</v>
      </c>
      <c r="BC16" s="88" t="n">
        <v>0.3802816901408451</v>
      </c>
      <c r="BD16" s="91" t="n">
        <v>0</v>
      </c>
      <c r="BE16" s="91" t="n">
        <v>1</v>
      </c>
      <c r="BF16" s="89" t="n">
        <v>0.92</v>
      </c>
      <c r="BG16" s="89" t="n">
        <v>1</v>
      </c>
      <c r="BH16" s="89" t="inlineStr">
        <is>
          <t>-</t>
        </is>
      </c>
    </row>
    <row r="17" ht="19.55" customHeight="1">
      <c r="A17" s="92" t="n">
        <v>14</v>
      </c>
      <c r="B17" s="87" t="inlineStr">
        <is>
          <t>全国</t>
        </is>
      </c>
      <c r="C17" s="93" t="n">
        <v>46236</v>
      </c>
      <c r="D17" s="87" t="inlineStr">
        <is>
          <t>探陆</t>
        </is>
      </c>
      <c r="E17" s="87" t="n">
        <v>0</v>
      </c>
      <c r="F17" s="87" t="n">
        <v>0</v>
      </c>
      <c r="G17" s="88" t="n">
        <v>0</v>
      </c>
      <c r="H17" s="87" t="n">
        <v>0</v>
      </c>
      <c r="I17" s="89" t="n">
        <v>0</v>
      </c>
      <c r="J17" s="87" t="n">
        <v>1</v>
      </c>
      <c r="K17" s="87" t="n">
        <v>1</v>
      </c>
      <c r="L17" s="88" t="n">
        <v>1</v>
      </c>
      <c r="M17" s="87" t="n">
        <v>2</v>
      </c>
      <c r="N17" s="87" t="n">
        <v>2</v>
      </c>
      <c r="O17" s="87" t="n">
        <v>2</v>
      </c>
      <c r="P17" s="88" t="n">
        <v>1</v>
      </c>
      <c r="Q17" s="87" t="n">
        <v>0</v>
      </c>
      <c r="R17" s="87" t="n">
        <v>0</v>
      </c>
      <c r="S17" s="87" t="n">
        <v>0</v>
      </c>
      <c r="T17" s="88" t="n">
        <v>0</v>
      </c>
      <c r="U17" s="87" t="n">
        <v>0</v>
      </c>
      <c r="V17" s="88" t="n">
        <v>0</v>
      </c>
      <c r="W17" s="87" t="n">
        <v>0</v>
      </c>
      <c r="X17" s="88" t="n">
        <v>0</v>
      </c>
      <c r="Y17" s="87" t="n">
        <v>0</v>
      </c>
      <c r="Z17" s="90" t="n">
        <v>0</v>
      </c>
      <c r="AA17" s="87" t="n">
        <v>0</v>
      </c>
      <c r="AB17" s="88" t="n">
        <v>0</v>
      </c>
      <c r="AC17" s="87" t="n">
        <v>0</v>
      </c>
      <c r="AD17" s="88" t="n">
        <v>0</v>
      </c>
      <c r="AE17" s="87" t="n">
        <v>0</v>
      </c>
      <c r="AF17" s="88" t="n">
        <v>0</v>
      </c>
      <c r="AG17" s="87" t="n">
        <v>0</v>
      </c>
      <c r="AH17" s="88" t="n">
        <v>0</v>
      </c>
      <c r="AI17" s="91" t="n">
        <v>0</v>
      </c>
      <c r="AJ17" s="88" t="n">
        <v>0</v>
      </c>
      <c r="AK17" s="91" t="n">
        <v>0</v>
      </c>
      <c r="AL17" s="88" t="n">
        <v>0</v>
      </c>
      <c r="AM17" s="91" t="n">
        <v>0</v>
      </c>
      <c r="AN17" s="91" t="n">
        <v>0</v>
      </c>
      <c r="AO17" s="88" t="n">
        <v>0</v>
      </c>
      <c r="AP17" s="88" t="n">
        <v>0</v>
      </c>
      <c r="AQ17" s="89" t="n"/>
      <c r="AR17" s="89" t="inlineStr">
        <is>
          <t>0.0%</t>
        </is>
      </c>
      <c r="AS17" s="89" t="inlineStr">
        <is>
          <t>0.0%</t>
        </is>
      </c>
      <c r="AT17" s="91" t="n">
        <v>0</v>
      </c>
      <c r="AU17" s="91" t="n">
        <v>0</v>
      </c>
      <c r="AV17" s="91" t="n">
        <v>0</v>
      </c>
      <c r="AW17" s="91" t="n">
        <v>0</v>
      </c>
      <c r="AX17" s="91" t="n">
        <v>0</v>
      </c>
      <c r="AY17" s="91" t="n">
        <v>0</v>
      </c>
      <c r="AZ17" s="88" t="n">
        <v>0</v>
      </c>
      <c r="BA17" s="88" t="n">
        <v>0</v>
      </c>
      <c r="BB17" s="88" t="n">
        <v>0</v>
      </c>
      <c r="BC17" s="88" t="n">
        <v>0</v>
      </c>
      <c r="BD17" s="91" t="n">
        <v>0</v>
      </c>
      <c r="BE17" s="91" t="n">
        <v>0</v>
      </c>
      <c r="BF17" s="89" t="inlineStr">
        <is>
          <t>-</t>
        </is>
      </c>
      <c r="BG17" s="89" t="inlineStr">
        <is>
          <t>-</t>
        </is>
      </c>
      <c r="BH17" s="89" t="inlineStr">
        <is>
          <t>-</t>
        </is>
      </c>
    </row>
    <row r="18" ht="19.55" customHeight="1">
      <c r="A18" s="92" t="n">
        <v>15</v>
      </c>
      <c r="B18" s="87" t="inlineStr">
        <is>
          <t>全国</t>
        </is>
      </c>
      <c r="C18" s="93" t="n">
        <v>46237</v>
      </c>
      <c r="D18" s="87" t="n"/>
      <c r="E18" s="87" t="n">
        <v>21</v>
      </c>
      <c r="F18" s="87" t="n">
        <v>20</v>
      </c>
      <c r="G18" s="88" t="n">
        <v>0.9523809523809523</v>
      </c>
      <c r="H18" s="87" t="n">
        <v>21</v>
      </c>
      <c r="I18" s="89" t="n">
        <v>1</v>
      </c>
      <c r="J18" s="87" t="n">
        <v>1</v>
      </c>
      <c r="K18" s="87" t="n">
        <v>1</v>
      </c>
      <c r="L18" s="88" t="n">
        <v>1</v>
      </c>
      <c r="M18" s="87" t="n">
        <v>3</v>
      </c>
      <c r="N18" s="87" t="n">
        <v>1</v>
      </c>
      <c r="O18" s="87" t="n">
        <v>2</v>
      </c>
      <c r="P18" s="88" t="n">
        <v>0.6666666666666666</v>
      </c>
      <c r="Q18" s="87" t="n">
        <v>1</v>
      </c>
      <c r="R18" s="87" t="n">
        <v>0</v>
      </c>
      <c r="S18" s="87" t="n">
        <v>0</v>
      </c>
      <c r="T18" s="88" t="n">
        <v>0</v>
      </c>
      <c r="U18" s="87" t="n">
        <v>0</v>
      </c>
      <c r="V18" s="88" t="n">
        <v>0</v>
      </c>
      <c r="W18" s="87" t="n">
        <v>12</v>
      </c>
      <c r="X18" s="88" t="n">
        <v>0.5714285714285714</v>
      </c>
      <c r="Y18" s="87" t="n">
        <v>8</v>
      </c>
      <c r="Z18" s="90" t="n">
        <v>0.3809523809523809</v>
      </c>
      <c r="AA18" s="87" t="n">
        <v>0</v>
      </c>
      <c r="AB18" s="88" t="n">
        <v>0</v>
      </c>
      <c r="AC18" s="87" t="n">
        <v>0</v>
      </c>
      <c r="AD18" s="88" t="n">
        <v>0</v>
      </c>
      <c r="AE18" s="87" t="n">
        <v>0</v>
      </c>
      <c r="AF18" s="88" t="n">
        <v>0</v>
      </c>
      <c r="AG18" s="87" t="n">
        <v>0</v>
      </c>
      <c r="AH18" s="88" t="n">
        <v>0</v>
      </c>
      <c r="AI18" s="91" t="n">
        <v>0</v>
      </c>
      <c r="AJ18" s="88" t="n">
        <v>0</v>
      </c>
      <c r="AK18" s="91" t="n">
        <v>0</v>
      </c>
      <c r="AL18" s="88" t="n">
        <v>0</v>
      </c>
      <c r="AM18" s="91" t="n">
        <v>0</v>
      </c>
      <c r="AN18" s="91" t="n">
        <v>0</v>
      </c>
      <c r="AO18" s="88" t="n">
        <v>0</v>
      </c>
      <c r="AP18" s="88" t="n">
        <v>0</v>
      </c>
      <c r="AQ18" s="89" t="n"/>
      <c r="AR18" s="89" t="inlineStr">
        <is>
          <t>0.0%</t>
        </is>
      </c>
      <c r="AS18" s="89" t="inlineStr">
        <is>
          <t>0.0%</t>
        </is>
      </c>
      <c r="AT18" s="91" t="n">
        <v>0</v>
      </c>
      <c r="AU18" s="91" t="n">
        <v>0</v>
      </c>
      <c r="AV18" s="91" t="n">
        <v>0</v>
      </c>
      <c r="AW18" s="91" t="n">
        <v>0</v>
      </c>
      <c r="AX18" s="91" t="n">
        <v>0</v>
      </c>
      <c r="AY18" s="91" t="n">
        <v>0</v>
      </c>
      <c r="AZ18" s="88" t="n">
        <v>0</v>
      </c>
      <c r="BA18" s="88" t="n">
        <v>0</v>
      </c>
      <c r="BB18" s="88" t="n">
        <v>0</v>
      </c>
      <c r="BC18" s="88" t="n">
        <v>0</v>
      </c>
      <c r="BD18" s="91" t="n">
        <v>0</v>
      </c>
      <c r="BE18" s="91" t="n">
        <v>2</v>
      </c>
      <c r="BF18" s="89" t="inlineStr">
        <is>
          <t>-</t>
        </is>
      </c>
      <c r="BG18" s="89" t="inlineStr">
        <is>
          <t>-</t>
        </is>
      </c>
      <c r="BH18" s="89" t="n">
        <v>0.9375</v>
      </c>
    </row>
    <row r="19" ht="19.55" customHeight="1">
      <c r="A19" s="92" t="n">
        <v>16</v>
      </c>
      <c r="B19" s="87" t="inlineStr">
        <is>
          <t>全国</t>
        </is>
      </c>
      <c r="C19" s="93" t="n">
        <v>46237</v>
      </c>
      <c r="D19" s="87" t="inlineStr">
        <is>
          <t>2026款探陆</t>
        </is>
      </c>
      <c r="E19" s="87" t="n">
        <v>312</v>
      </c>
      <c r="F19" s="87" t="n">
        <v>283</v>
      </c>
      <c r="G19" s="88" t="n">
        <v>0.907051282051282</v>
      </c>
      <c r="H19" s="87" t="n">
        <v>80</v>
      </c>
      <c r="I19" s="89" t="n">
        <v>0.2564102564102564</v>
      </c>
      <c r="J19" s="87" t="n">
        <v>295</v>
      </c>
      <c r="K19" s="87" t="n">
        <v>195</v>
      </c>
      <c r="L19" s="88" t="n">
        <v>0.661</v>
      </c>
      <c r="M19" s="87" t="n">
        <v>755</v>
      </c>
      <c r="N19" s="87" t="n">
        <v>603</v>
      </c>
      <c r="O19" s="87" t="n">
        <v>598</v>
      </c>
      <c r="P19" s="88" t="n">
        <v>0.7920529801324503</v>
      </c>
      <c r="Q19" s="87" t="n">
        <v>46</v>
      </c>
      <c r="R19" s="87" t="n">
        <v>0</v>
      </c>
      <c r="S19" s="87" t="n">
        <v>0</v>
      </c>
      <c r="T19" s="88" t="n">
        <v>0</v>
      </c>
      <c r="U19" s="87" t="n">
        <v>0</v>
      </c>
      <c r="V19" s="88" t="n">
        <v>0</v>
      </c>
      <c r="W19" s="87" t="n">
        <v>5</v>
      </c>
      <c r="X19" s="88" t="n">
        <v>0.01602564102564102</v>
      </c>
      <c r="Y19" s="87" t="n">
        <v>28</v>
      </c>
      <c r="Z19" s="90" t="n">
        <v>0.08974358974358974</v>
      </c>
      <c r="AA19" s="87" t="n">
        <v>0</v>
      </c>
      <c r="AB19" s="88" t="n">
        <v>0</v>
      </c>
      <c r="AC19" s="87" t="n">
        <v>2</v>
      </c>
      <c r="AD19" s="88" t="n">
        <v>0.00641025641025641</v>
      </c>
      <c r="AE19" s="87" t="n">
        <v>0</v>
      </c>
      <c r="AF19" s="88" t="n">
        <v>0</v>
      </c>
      <c r="AG19" s="87" t="n">
        <v>2</v>
      </c>
      <c r="AH19" s="88" t="n">
        <v>1</v>
      </c>
      <c r="AI19" s="91" t="n">
        <v>0</v>
      </c>
      <c r="AJ19" s="88" t="n">
        <v>0</v>
      </c>
      <c r="AK19" s="91" t="n">
        <v>0</v>
      </c>
      <c r="AL19" s="88" t="n">
        <v>0</v>
      </c>
      <c r="AM19" s="91" t="n">
        <v>0</v>
      </c>
      <c r="AN19" s="91" t="n">
        <v>0</v>
      </c>
      <c r="AO19" s="88" t="n">
        <v>0</v>
      </c>
      <c r="AP19" s="88" t="n">
        <v>0</v>
      </c>
      <c r="AQ19" s="89" t="n">
        <v>1</v>
      </c>
      <c r="AR19" s="89" t="inlineStr">
        <is>
          <t>0.0%</t>
        </is>
      </c>
      <c r="AS19" s="89" t="inlineStr">
        <is>
          <t>0.0%</t>
        </is>
      </c>
      <c r="AT19" s="91" t="n">
        <v>0</v>
      </c>
      <c r="AU19" s="91" t="n">
        <v>0</v>
      </c>
      <c r="AV19" s="91" t="n">
        <v>1</v>
      </c>
      <c r="AW19" s="91" t="n">
        <v>1</v>
      </c>
      <c r="AX19" s="91" t="n">
        <v>1</v>
      </c>
      <c r="AY19" s="91" t="n">
        <v>1</v>
      </c>
      <c r="AZ19" s="88" t="n">
        <v>0.003205128205128205</v>
      </c>
      <c r="BA19" s="88" t="n">
        <v>0.003205128205128205</v>
      </c>
      <c r="BB19" s="88" t="n">
        <v>0.003205128205128205</v>
      </c>
      <c r="BC19" s="88" t="n">
        <v>0</v>
      </c>
      <c r="BD19" s="91" t="n">
        <v>0</v>
      </c>
      <c r="BE19" s="91" t="n">
        <v>0</v>
      </c>
      <c r="BF19" s="89" t="inlineStr">
        <is>
          <t>-</t>
        </is>
      </c>
      <c r="BG19" s="89" t="n">
        <v>1</v>
      </c>
      <c r="BH19" s="89" t="inlineStr">
        <is>
          <t>-</t>
        </is>
      </c>
    </row>
    <row r="20" ht="19.55" customHeight="1">
      <c r="A20" s="92" t="n">
        <v>17</v>
      </c>
      <c r="B20" s="87" t="inlineStr">
        <is>
          <t>全国</t>
        </is>
      </c>
      <c r="C20" s="93" t="n">
        <v>46237</v>
      </c>
      <c r="D20" s="87" t="inlineStr">
        <is>
          <t>N6</t>
        </is>
      </c>
      <c r="E20" s="87" t="n">
        <v>1645</v>
      </c>
      <c r="F20" s="87" t="n">
        <v>1442</v>
      </c>
      <c r="G20" s="88" t="n">
        <v>0.8765957446808511</v>
      </c>
      <c r="H20" s="87" t="n">
        <v>868</v>
      </c>
      <c r="I20" s="89" t="n">
        <v>0.5276595744680851</v>
      </c>
      <c r="J20" s="87" t="n">
        <v>1822</v>
      </c>
      <c r="K20" s="87" t="n">
        <v>1784</v>
      </c>
      <c r="L20" s="88" t="n">
        <v>0.979</v>
      </c>
      <c r="M20" s="87" t="n">
        <v>9430</v>
      </c>
      <c r="N20" s="87" t="n">
        <v>9179</v>
      </c>
      <c r="O20" s="87" t="n">
        <v>9229</v>
      </c>
      <c r="P20" s="88" t="n">
        <v>0.9786850477200424</v>
      </c>
      <c r="Q20" s="87" t="n">
        <v>24</v>
      </c>
      <c r="R20" s="87" t="n">
        <v>0</v>
      </c>
      <c r="S20" s="87" t="n">
        <v>0</v>
      </c>
      <c r="T20" s="88" t="n">
        <v>0</v>
      </c>
      <c r="U20" s="87" t="n">
        <v>0</v>
      </c>
      <c r="V20" s="88" t="n">
        <v>0</v>
      </c>
      <c r="W20" s="87" t="n">
        <v>238</v>
      </c>
      <c r="X20" s="88" t="n">
        <v>0.1446808510638298</v>
      </c>
      <c r="Y20" s="87" t="n">
        <v>527</v>
      </c>
      <c r="Z20" s="90" t="n">
        <v>0.3203647416413374</v>
      </c>
      <c r="AA20" s="87" t="n">
        <v>1</v>
      </c>
      <c r="AB20" s="88" t="n">
        <v>0.0006079027355623101</v>
      </c>
      <c r="AC20" s="87" t="n">
        <v>165</v>
      </c>
      <c r="AD20" s="88" t="n">
        <v>0.1003039513677812</v>
      </c>
      <c r="AE20" s="87" t="n">
        <v>17</v>
      </c>
      <c r="AF20" s="88" t="n">
        <v>0.103030303030303</v>
      </c>
      <c r="AG20" s="87" t="n">
        <v>102</v>
      </c>
      <c r="AH20" s="88" t="n">
        <v>0.6181818181818182</v>
      </c>
      <c r="AI20" s="91" t="n">
        <v>106</v>
      </c>
      <c r="AJ20" s="88" t="n">
        <v>0.06443768996960486</v>
      </c>
      <c r="AK20" s="91" t="n">
        <v>10</v>
      </c>
      <c r="AL20" s="88" t="n">
        <v>0.8867924528301887</v>
      </c>
      <c r="AM20" s="91" t="n">
        <v>104</v>
      </c>
      <c r="AN20" s="91" t="n">
        <v>94</v>
      </c>
      <c r="AO20" s="88" t="n">
        <v>0.05714285714285714</v>
      </c>
      <c r="AP20" s="88" t="n">
        <v>0.5696969696969697</v>
      </c>
      <c r="AQ20" s="89" t="n">
        <v>0.987012987012987</v>
      </c>
      <c r="AR20" s="89" t="n">
        <v>0.6310679611650486</v>
      </c>
      <c r="AS20" s="89" t="n">
        <v>0.6310679611650486</v>
      </c>
      <c r="AT20" s="91" t="n">
        <v>0</v>
      </c>
      <c r="AU20" s="91" t="n">
        <v>0</v>
      </c>
      <c r="AV20" s="91" t="n">
        <v>52</v>
      </c>
      <c r="AW20" s="91" t="n">
        <v>50</v>
      </c>
      <c r="AX20" s="91" t="n">
        <v>47</v>
      </c>
      <c r="AY20" s="91" t="n">
        <v>34</v>
      </c>
      <c r="AZ20" s="88" t="n">
        <v>0.0303951367781155</v>
      </c>
      <c r="BA20" s="88" t="n">
        <v>0.02857142857142857</v>
      </c>
      <c r="BB20" s="88" t="n">
        <v>0.02066869300911854</v>
      </c>
      <c r="BC20" s="88" t="n">
        <v>0.5</v>
      </c>
      <c r="BD20" s="91" t="n">
        <v>0</v>
      </c>
      <c r="BE20" s="91" t="n">
        <v>0</v>
      </c>
      <c r="BF20" s="89" t="n">
        <v>1</v>
      </c>
      <c r="BG20" s="89" t="n">
        <v>1</v>
      </c>
      <c r="BH20" s="89" t="inlineStr">
        <is>
          <t>-</t>
        </is>
      </c>
    </row>
    <row r="21" ht="19.55" customHeight="1">
      <c r="A21" s="92" t="n">
        <v>18</v>
      </c>
      <c r="B21" s="87" t="inlineStr">
        <is>
          <t>全国</t>
        </is>
      </c>
      <c r="C21" s="93" t="n">
        <v>46237</v>
      </c>
      <c r="D21" s="87" t="inlineStr">
        <is>
          <t>N7</t>
        </is>
      </c>
      <c r="E21" s="87" t="n">
        <v>1358</v>
      </c>
      <c r="F21" s="87" t="n">
        <v>1172</v>
      </c>
      <c r="G21" s="88" t="n">
        <v>0.8630338733431517</v>
      </c>
      <c r="H21" s="87" t="n">
        <v>690</v>
      </c>
      <c r="I21" s="89" t="n">
        <v>0.508100147275405</v>
      </c>
      <c r="J21" s="87" t="n">
        <v>1297</v>
      </c>
      <c r="K21" s="87" t="n">
        <v>1265</v>
      </c>
      <c r="L21" s="88" t="n">
        <v>0.975</v>
      </c>
      <c r="M21" s="87" t="n">
        <v>7263</v>
      </c>
      <c r="N21" s="87" t="n">
        <v>7246</v>
      </c>
      <c r="O21" s="87" t="n">
        <v>7104</v>
      </c>
      <c r="P21" s="88" t="n">
        <v>0.9781082197439075</v>
      </c>
      <c r="Q21" s="87" t="n">
        <v>22</v>
      </c>
      <c r="R21" s="87" t="n">
        <v>0</v>
      </c>
      <c r="S21" s="87" t="n">
        <v>0</v>
      </c>
      <c r="T21" s="88" t="n">
        <v>0</v>
      </c>
      <c r="U21" s="87" t="n">
        <v>0</v>
      </c>
      <c r="V21" s="88" t="n">
        <v>0</v>
      </c>
      <c r="W21" s="87" t="n">
        <v>213</v>
      </c>
      <c r="X21" s="88" t="n">
        <v>0.1568483063328424</v>
      </c>
      <c r="Y21" s="87" t="n">
        <v>376</v>
      </c>
      <c r="Z21" s="90" t="n">
        <v>0.2768777614138439</v>
      </c>
      <c r="AA21" s="87" t="n">
        <v>2</v>
      </c>
      <c r="AB21" s="88" t="n">
        <v>0.001472754050073638</v>
      </c>
      <c r="AC21" s="87" t="n">
        <v>122</v>
      </c>
      <c r="AD21" s="88" t="n">
        <v>0.0898379970544919</v>
      </c>
      <c r="AE21" s="87" t="n">
        <v>24</v>
      </c>
      <c r="AF21" s="88" t="n">
        <v>0.1967213114754098</v>
      </c>
      <c r="AG21" s="87" t="n">
        <v>98</v>
      </c>
      <c r="AH21" s="88" t="n">
        <v>0.8032786885245902</v>
      </c>
      <c r="AI21" s="91" t="n">
        <v>94</v>
      </c>
      <c r="AJ21" s="88" t="n">
        <v>0.06921944035346098</v>
      </c>
      <c r="AK21" s="91" t="n">
        <v>5</v>
      </c>
      <c r="AL21" s="88" t="n">
        <v>0.8617021276595744</v>
      </c>
      <c r="AM21" s="91" t="n">
        <v>93</v>
      </c>
      <c r="AN21" s="91" t="n">
        <v>81</v>
      </c>
      <c r="AO21" s="88" t="n">
        <v>0.05964653902798233</v>
      </c>
      <c r="AP21" s="88" t="n">
        <v>0.6639344262295082</v>
      </c>
      <c r="AQ21" s="89" t="n">
        <v>0.9560439560439561</v>
      </c>
      <c r="AR21" s="89" t="n">
        <v>0.5934065934065934</v>
      </c>
      <c r="AS21" s="89" t="n">
        <v>0.5824175824175825</v>
      </c>
      <c r="AT21" s="91" t="n">
        <v>0</v>
      </c>
      <c r="AU21" s="91" t="n">
        <v>0</v>
      </c>
      <c r="AV21" s="91" t="n">
        <v>31</v>
      </c>
      <c r="AW21" s="91" t="n">
        <v>21</v>
      </c>
      <c r="AX21" s="91" t="n">
        <v>24</v>
      </c>
      <c r="AY21" s="91" t="n">
        <v>28</v>
      </c>
      <c r="AZ21" s="88" t="n">
        <v>0.0154639175257732</v>
      </c>
      <c r="BA21" s="88" t="n">
        <v>0.01767304860088365</v>
      </c>
      <c r="BB21" s="88" t="n">
        <v>0.02061855670103093</v>
      </c>
      <c r="BC21" s="88" t="n">
        <v>0.2962962962962963</v>
      </c>
      <c r="BD21" s="91" t="n">
        <v>0</v>
      </c>
      <c r="BE21" s="91" t="n">
        <v>0</v>
      </c>
      <c r="BF21" s="89" t="n">
        <v>1</v>
      </c>
      <c r="BG21" s="89" t="n">
        <v>1</v>
      </c>
      <c r="BH21" s="89" t="inlineStr">
        <is>
          <t>-</t>
        </is>
      </c>
    </row>
    <row r="22" ht="19.55" customHeight="1">
      <c r="A22" s="92" t="n">
        <v>19</v>
      </c>
      <c r="B22" s="87" t="inlineStr">
        <is>
          <t>全国</t>
        </is>
      </c>
      <c r="C22" s="93" t="n">
        <v>46237</v>
      </c>
      <c r="D22" s="87" t="inlineStr">
        <is>
          <t>NX8</t>
        </is>
      </c>
      <c r="E22" s="87" t="n">
        <v>5859</v>
      </c>
      <c r="F22" s="87" t="n">
        <v>5018</v>
      </c>
      <c r="G22" s="88" t="n">
        <v>0.8564601467827274</v>
      </c>
      <c r="H22" s="87" t="n">
        <v>2284</v>
      </c>
      <c r="I22" s="89" t="n">
        <v>0.3898276156340673</v>
      </c>
      <c r="J22" s="87" t="n">
        <v>4692</v>
      </c>
      <c r="K22" s="87" t="n">
        <v>4542</v>
      </c>
      <c r="L22" s="88" t="n">
        <v>0.968</v>
      </c>
      <c r="M22" s="87" t="n">
        <v>24058</v>
      </c>
      <c r="N22" s="87" t="n">
        <v>23677</v>
      </c>
      <c r="O22" s="87" t="n">
        <v>23534</v>
      </c>
      <c r="P22" s="88" t="n">
        <v>0.9782193033502369</v>
      </c>
      <c r="Q22" s="87" t="n">
        <v>87</v>
      </c>
      <c r="R22" s="87" t="n">
        <v>0</v>
      </c>
      <c r="S22" s="87" t="n">
        <v>0</v>
      </c>
      <c r="T22" s="88" t="n">
        <v>0</v>
      </c>
      <c r="U22" s="87" t="n">
        <v>0</v>
      </c>
      <c r="V22" s="88" t="n">
        <v>0</v>
      </c>
      <c r="W22" s="87" t="n">
        <v>505</v>
      </c>
      <c r="X22" s="88" t="n">
        <v>0.08619218296637651</v>
      </c>
      <c r="Y22" s="87" t="n">
        <v>1351</v>
      </c>
      <c r="Z22" s="90" t="n">
        <v>0.2305854241338112</v>
      </c>
      <c r="AA22" s="87" t="n">
        <v>3</v>
      </c>
      <c r="AB22" s="88" t="n">
        <v>0.0005120327700972862</v>
      </c>
      <c r="AC22" s="87" t="n">
        <v>511</v>
      </c>
      <c r="AD22" s="88" t="n">
        <v>0.08721624850657109</v>
      </c>
      <c r="AE22" s="87" t="n">
        <v>69</v>
      </c>
      <c r="AF22" s="88" t="n">
        <v>0.1350293542074364</v>
      </c>
      <c r="AG22" s="87" t="n">
        <v>405</v>
      </c>
      <c r="AH22" s="88" t="n">
        <v>0.7925636007827789</v>
      </c>
      <c r="AI22" s="91" t="n">
        <v>417</v>
      </c>
      <c r="AJ22" s="88" t="n">
        <v>0.07117255504352278</v>
      </c>
      <c r="AK22" s="91" t="n">
        <v>21</v>
      </c>
      <c r="AL22" s="88" t="n">
        <v>0.8657074340527577</v>
      </c>
      <c r="AM22" s="91" t="n">
        <v>402</v>
      </c>
      <c r="AN22" s="91" t="n">
        <v>361</v>
      </c>
      <c r="AO22" s="88" t="n">
        <v>0.06161461000170677</v>
      </c>
      <c r="AP22" s="88" t="n">
        <v>0.7064579256360078</v>
      </c>
      <c r="AQ22" s="89" t="n">
        <v>0.9751461988304093</v>
      </c>
      <c r="AR22" s="89" t="n">
        <v>0.5775656324582339</v>
      </c>
      <c r="AS22" s="89" t="n">
        <v>0.5632458233890215</v>
      </c>
      <c r="AT22" s="91" t="n">
        <v>0</v>
      </c>
      <c r="AU22" s="91" t="n">
        <v>0</v>
      </c>
      <c r="AV22" s="91" t="n">
        <v>77</v>
      </c>
      <c r="AW22" s="91" t="n">
        <v>67</v>
      </c>
      <c r="AX22" s="91" t="n">
        <v>74</v>
      </c>
      <c r="AY22" s="91" t="n">
        <v>104</v>
      </c>
      <c r="AZ22" s="88" t="n">
        <v>0.01143539853217273</v>
      </c>
      <c r="BA22" s="88" t="n">
        <v>0.01263014166239973</v>
      </c>
      <c r="BB22" s="88" t="n">
        <v>0.01775046936337259</v>
      </c>
      <c r="BC22" s="88" t="n">
        <v>0.2049861495844875</v>
      </c>
      <c r="BD22" s="91" t="n">
        <v>0</v>
      </c>
      <c r="BE22" s="91" t="n">
        <v>0</v>
      </c>
      <c r="BF22" s="89" t="n">
        <v>0.96</v>
      </c>
      <c r="BG22" s="89" t="n">
        <v>1</v>
      </c>
      <c r="BH22" s="89" t="inlineStr">
        <is>
          <t>-</t>
        </is>
      </c>
    </row>
    <row r="23" ht="19.55" customHeight="1">
      <c r="A23" s="92" t="n">
        <v>20</v>
      </c>
      <c r="B23" s="87" t="inlineStr">
        <is>
          <t>全国</t>
        </is>
      </c>
      <c r="C23" s="93" t="n">
        <v>46237</v>
      </c>
      <c r="D23" s="87" t="inlineStr">
        <is>
          <t>天籁·鸿蒙座舱</t>
        </is>
      </c>
      <c r="E23" s="87" t="n">
        <v>3219</v>
      </c>
      <c r="F23" s="87" t="n">
        <v>2825</v>
      </c>
      <c r="G23" s="88" t="n">
        <v>0.8776017396707052</v>
      </c>
      <c r="H23" s="87" t="n">
        <v>1759</v>
      </c>
      <c r="I23" s="89" t="n">
        <v>0.5464429947188568</v>
      </c>
      <c r="J23" s="87" t="n">
        <v>3445</v>
      </c>
      <c r="K23" s="87" t="n">
        <v>3383</v>
      </c>
      <c r="L23" s="88" t="n">
        <v>0.982</v>
      </c>
      <c r="M23" s="87" t="n">
        <v>17411</v>
      </c>
      <c r="N23" s="87" t="n">
        <v>17018</v>
      </c>
      <c r="O23" s="87" t="n">
        <v>17158</v>
      </c>
      <c r="P23" s="88" t="n">
        <v>0.9854689564068693</v>
      </c>
      <c r="Q23" s="87" t="n">
        <v>28</v>
      </c>
      <c r="R23" s="87" t="n">
        <v>0</v>
      </c>
      <c r="S23" s="87" t="n">
        <v>0</v>
      </c>
      <c r="T23" s="88" t="n">
        <v>0</v>
      </c>
      <c r="U23" s="87" t="n">
        <v>0</v>
      </c>
      <c r="V23" s="88" t="n">
        <v>0</v>
      </c>
      <c r="W23" s="87" t="n">
        <v>292</v>
      </c>
      <c r="X23" s="88" t="n">
        <v>0.09071140105622864</v>
      </c>
      <c r="Y23" s="87" t="n">
        <v>544</v>
      </c>
      <c r="Z23" s="90" t="n">
        <v>0.1689965827896862</v>
      </c>
      <c r="AA23" s="87" t="n">
        <v>4</v>
      </c>
      <c r="AB23" s="88" t="n">
        <v>0.001242621932277105</v>
      </c>
      <c r="AC23" s="87" t="n">
        <v>226</v>
      </c>
      <c r="AD23" s="88" t="n">
        <v>0.07020813917365641</v>
      </c>
      <c r="AE23" s="87" t="n">
        <v>30</v>
      </c>
      <c r="AF23" s="88" t="n">
        <v>0.1327433628318584</v>
      </c>
      <c r="AG23" s="87" t="n">
        <v>193</v>
      </c>
      <c r="AH23" s="88" t="n">
        <v>0.8539823008849557</v>
      </c>
      <c r="AI23" s="91" t="n">
        <v>188</v>
      </c>
      <c r="AJ23" s="88" t="n">
        <v>0.05840323081702392</v>
      </c>
      <c r="AK23" s="91" t="n">
        <v>13</v>
      </c>
      <c r="AL23" s="88" t="n">
        <v>0.9095744680851063</v>
      </c>
      <c r="AM23" s="91" t="n">
        <v>184</v>
      </c>
      <c r="AN23" s="91" t="n">
        <v>171</v>
      </c>
      <c r="AO23" s="88" t="n">
        <v>0.05312208760484623</v>
      </c>
      <c r="AP23" s="88" t="n">
        <v>0.7566371681415929</v>
      </c>
      <c r="AQ23" s="89" t="n">
        <v>0.9830508474576272</v>
      </c>
      <c r="AR23" s="89" t="n">
        <v>0.5290697674418605</v>
      </c>
      <c r="AS23" s="89" t="n">
        <v>0.5</v>
      </c>
      <c r="AT23" s="91" t="n">
        <v>0</v>
      </c>
      <c r="AU23" s="91" t="n">
        <v>0</v>
      </c>
      <c r="AV23" s="91" t="n">
        <v>57</v>
      </c>
      <c r="AW23" s="91" t="n">
        <v>52</v>
      </c>
      <c r="AX23" s="91" t="n">
        <v>58</v>
      </c>
      <c r="AY23" s="91" t="n">
        <v>45</v>
      </c>
      <c r="AZ23" s="88" t="n">
        <v>0.01615408511960236</v>
      </c>
      <c r="BA23" s="88" t="n">
        <v>0.01801801801801802</v>
      </c>
      <c r="BB23" s="88" t="n">
        <v>0.01397949673811743</v>
      </c>
      <c r="BC23" s="88" t="n">
        <v>0.3391812865497076</v>
      </c>
      <c r="BD23" s="91" t="n">
        <v>0</v>
      </c>
      <c r="BE23" s="91" t="n">
        <v>0</v>
      </c>
      <c r="BF23" s="89" t="n">
        <v>1</v>
      </c>
      <c r="BG23" s="89" t="n">
        <v>1</v>
      </c>
      <c r="BH23" s="89" t="inlineStr">
        <is>
          <t>-</t>
        </is>
      </c>
    </row>
    <row r="24" ht="19.55" customHeight="1">
      <c r="A24" s="92" t="n">
        <v>21</v>
      </c>
      <c r="B24" s="87" t="inlineStr">
        <is>
          <t>全国</t>
        </is>
      </c>
      <c r="C24" s="93" t="n">
        <v>46238</v>
      </c>
      <c r="D24" s="87" t="n"/>
      <c r="E24" s="87" t="n">
        <v>38</v>
      </c>
      <c r="F24" s="87" t="n">
        <v>38</v>
      </c>
      <c r="G24" s="88" t="n">
        <v>1</v>
      </c>
      <c r="H24" s="87" t="n">
        <v>38</v>
      </c>
      <c r="I24" s="89" t="n">
        <v>1</v>
      </c>
      <c r="J24" s="87" t="n">
        <v>0</v>
      </c>
      <c r="K24" s="87" t="n">
        <v>0</v>
      </c>
      <c r="L24" s="88" t="n">
        <v>0</v>
      </c>
      <c r="M24" s="87" t="n">
        <v>1</v>
      </c>
      <c r="N24" s="87" t="n">
        <v>1</v>
      </c>
      <c r="O24" s="87" t="n">
        <v>1</v>
      </c>
      <c r="P24" s="88" t="n">
        <v>1</v>
      </c>
      <c r="Q24" s="87" t="n">
        <v>0</v>
      </c>
      <c r="R24" s="87" t="n">
        <v>0</v>
      </c>
      <c r="S24" s="87" t="n">
        <v>0</v>
      </c>
      <c r="T24" s="88" t="n">
        <v>0</v>
      </c>
      <c r="U24" s="87" t="n">
        <v>0</v>
      </c>
      <c r="V24" s="88" t="n">
        <v>0</v>
      </c>
      <c r="W24" s="87" t="n">
        <v>12</v>
      </c>
      <c r="X24" s="88" t="n">
        <v>0.3157894736842105</v>
      </c>
      <c r="Y24" s="87" t="n">
        <v>10</v>
      </c>
      <c r="Z24" s="90" t="n">
        <v>0.2631578947368421</v>
      </c>
      <c r="AA24" s="87" t="n">
        <v>0</v>
      </c>
      <c r="AB24" s="88" t="n">
        <v>0</v>
      </c>
      <c r="AC24" s="87" t="n">
        <v>0</v>
      </c>
      <c r="AD24" s="88" t="n">
        <v>0</v>
      </c>
      <c r="AE24" s="87" t="n">
        <v>0</v>
      </c>
      <c r="AF24" s="88" t="n">
        <v>0</v>
      </c>
      <c r="AG24" s="87" t="n">
        <v>0</v>
      </c>
      <c r="AH24" s="88" t="n">
        <v>0</v>
      </c>
      <c r="AI24" s="91" t="n">
        <v>0</v>
      </c>
      <c r="AJ24" s="88" t="n">
        <v>0</v>
      </c>
      <c r="AK24" s="91" t="n">
        <v>0</v>
      </c>
      <c r="AL24" s="88" t="n">
        <v>0</v>
      </c>
      <c r="AM24" s="91" t="n">
        <v>0</v>
      </c>
      <c r="AN24" s="91" t="n">
        <v>0</v>
      </c>
      <c r="AO24" s="88" t="n">
        <v>0</v>
      </c>
      <c r="AP24" s="88" t="n">
        <v>0</v>
      </c>
      <c r="AQ24" s="89" t="n"/>
      <c r="AR24" s="89" t="n">
        <v>0</v>
      </c>
      <c r="AS24" s="89" t="n">
        <v>0</v>
      </c>
      <c r="AT24" s="91" t="n">
        <v>0</v>
      </c>
      <c r="AU24" s="91" t="n">
        <v>0</v>
      </c>
      <c r="AV24" s="91" t="n">
        <v>0</v>
      </c>
      <c r="AW24" s="91" t="n">
        <v>0</v>
      </c>
      <c r="AX24" s="91" t="n">
        <v>0</v>
      </c>
      <c r="AY24" s="91" t="n">
        <v>0</v>
      </c>
      <c r="AZ24" s="88" t="n">
        <v>0</v>
      </c>
      <c r="BA24" s="88" t="n">
        <v>0</v>
      </c>
      <c r="BB24" s="88" t="n">
        <v>0</v>
      </c>
      <c r="BC24" s="88" t="n">
        <v>0</v>
      </c>
      <c r="BD24" s="91" t="n">
        <v>0</v>
      </c>
      <c r="BE24" s="91" t="n">
        <v>0</v>
      </c>
      <c r="BF24" s="89" t="inlineStr">
        <is>
          <t>-</t>
        </is>
      </c>
      <c r="BG24" s="89" t="inlineStr">
        <is>
          <t>-</t>
        </is>
      </c>
      <c r="BH24" s="89" t="n">
        <v>0.9824561403508771</v>
      </c>
    </row>
    <row r="25" ht="19.55" customHeight="1">
      <c r="A25" s="92" t="n">
        <v>22</v>
      </c>
      <c r="B25" s="87" t="inlineStr">
        <is>
          <t>全国</t>
        </is>
      </c>
      <c r="C25" s="93" t="n">
        <v>46238</v>
      </c>
      <c r="D25" s="87" t="inlineStr">
        <is>
          <t>2026款探陆</t>
        </is>
      </c>
      <c r="E25" s="87" t="n">
        <v>279</v>
      </c>
      <c r="F25" s="87" t="n">
        <v>247</v>
      </c>
      <c r="G25" s="88" t="n">
        <v>0.8853046594982079</v>
      </c>
      <c r="H25" s="87" t="n">
        <v>68</v>
      </c>
      <c r="I25" s="89" t="n">
        <v>0.2437275985663082</v>
      </c>
      <c r="J25" s="87" t="n">
        <v>211</v>
      </c>
      <c r="K25" s="87" t="n">
        <v>140</v>
      </c>
      <c r="L25" s="88" t="n">
        <v>0.664</v>
      </c>
      <c r="M25" s="87" t="n">
        <v>637</v>
      </c>
      <c r="N25" s="87" t="n">
        <v>593</v>
      </c>
      <c r="O25" s="87" t="n">
        <v>512</v>
      </c>
      <c r="P25" s="88" t="n">
        <v>0.8037676609105181</v>
      </c>
      <c r="Q25" s="87" t="n">
        <v>38</v>
      </c>
      <c r="R25" s="87" t="n">
        <v>0</v>
      </c>
      <c r="S25" s="87" t="n">
        <v>0</v>
      </c>
      <c r="T25" s="88" t="n">
        <v>0</v>
      </c>
      <c r="U25" s="87" t="n">
        <v>0</v>
      </c>
      <c r="V25" s="88" t="n">
        <v>0</v>
      </c>
      <c r="W25" s="87" t="n">
        <v>4</v>
      </c>
      <c r="X25" s="88" t="n">
        <v>0.01433691756272401</v>
      </c>
      <c r="Y25" s="87" t="n">
        <v>30</v>
      </c>
      <c r="Z25" s="90" t="n">
        <v>0.1075268817204301</v>
      </c>
      <c r="AA25" s="87" t="n">
        <v>0</v>
      </c>
      <c r="AB25" s="88" t="n">
        <v>0</v>
      </c>
      <c r="AC25" s="87" t="n">
        <v>0</v>
      </c>
      <c r="AD25" s="88" t="n">
        <v>0</v>
      </c>
      <c r="AE25" s="87" t="n">
        <v>0</v>
      </c>
      <c r="AF25" s="88" t="n">
        <v>0</v>
      </c>
      <c r="AG25" s="87" t="n">
        <v>0</v>
      </c>
      <c r="AH25" s="88" t="n">
        <v>0</v>
      </c>
      <c r="AI25" s="91" t="n">
        <v>0</v>
      </c>
      <c r="AJ25" s="88" t="n">
        <v>0</v>
      </c>
      <c r="AK25" s="91" t="n">
        <v>0</v>
      </c>
      <c r="AL25" s="88" t="n">
        <v>0</v>
      </c>
      <c r="AM25" s="91" t="n">
        <v>0</v>
      </c>
      <c r="AN25" s="91" t="n">
        <v>0</v>
      </c>
      <c r="AO25" s="88" t="n">
        <v>0</v>
      </c>
      <c r="AP25" s="88" t="n">
        <v>0</v>
      </c>
      <c r="AQ25" s="89" t="n"/>
      <c r="AR25" s="89" t="inlineStr">
        <is>
          <t>0.0%</t>
        </is>
      </c>
      <c r="AS25" s="89" t="inlineStr">
        <is>
          <t>0.0%</t>
        </is>
      </c>
      <c r="AT25" s="91" t="n">
        <v>0</v>
      </c>
      <c r="AU25" s="91" t="n">
        <v>0</v>
      </c>
      <c r="AV25" s="91" t="n">
        <v>2</v>
      </c>
      <c r="AW25" s="91" t="n">
        <v>2</v>
      </c>
      <c r="AX25" s="91" t="n">
        <v>2</v>
      </c>
      <c r="AY25" s="91" t="n">
        <v>1</v>
      </c>
      <c r="AZ25" s="88" t="n">
        <v>0.007168458781362007</v>
      </c>
      <c r="BA25" s="88" t="n">
        <v>0.007168458781362007</v>
      </c>
      <c r="BB25" s="88" t="n">
        <v>0.003584229390681004</v>
      </c>
      <c r="BC25" s="88" t="n">
        <v>0</v>
      </c>
      <c r="BD25" s="91" t="n">
        <v>0</v>
      </c>
      <c r="BE25" s="91" t="n">
        <v>0</v>
      </c>
      <c r="BF25" s="89" t="inlineStr">
        <is>
          <t>-</t>
        </is>
      </c>
      <c r="BG25" s="89" t="inlineStr">
        <is>
          <t>-</t>
        </is>
      </c>
      <c r="BH25" s="89" t="inlineStr">
        <is>
          <t>-</t>
        </is>
      </c>
    </row>
    <row r="26" ht="19.55" customHeight="1">
      <c r="A26" s="92" t="n">
        <v>23</v>
      </c>
      <c r="B26" s="87" t="inlineStr">
        <is>
          <t>全国</t>
        </is>
      </c>
      <c r="C26" s="93" t="n">
        <v>46238</v>
      </c>
      <c r="D26" s="87" t="inlineStr">
        <is>
          <t>N6</t>
        </is>
      </c>
      <c r="E26" s="87" t="n">
        <v>1664</v>
      </c>
      <c r="F26" s="87" t="n">
        <v>1485</v>
      </c>
      <c r="G26" s="88" t="n">
        <v>0.8924278846153846</v>
      </c>
      <c r="H26" s="87" t="n">
        <v>927</v>
      </c>
      <c r="I26" s="89" t="n">
        <v>0.5570913461538461</v>
      </c>
      <c r="J26" s="87" t="n">
        <v>1861</v>
      </c>
      <c r="K26" s="87" t="n">
        <v>1808</v>
      </c>
      <c r="L26" s="88" t="n">
        <v>0.972</v>
      </c>
      <c r="M26" s="87" t="n">
        <v>9180</v>
      </c>
      <c r="N26" s="87" t="n">
        <v>9045</v>
      </c>
      <c r="O26" s="87" t="n">
        <v>9064</v>
      </c>
      <c r="P26" s="88" t="n">
        <v>0.987363834422658</v>
      </c>
      <c r="Q26" s="87" t="n">
        <v>24</v>
      </c>
      <c r="R26" s="87" t="n">
        <v>0</v>
      </c>
      <c r="S26" s="87" t="n">
        <v>0</v>
      </c>
      <c r="T26" s="88" t="n">
        <v>0</v>
      </c>
      <c r="U26" s="87" t="n">
        <v>0</v>
      </c>
      <c r="V26" s="88" t="n">
        <v>0</v>
      </c>
      <c r="W26" s="87" t="n">
        <v>527</v>
      </c>
      <c r="X26" s="88" t="n">
        <v>0.3167067307692308</v>
      </c>
      <c r="Y26" s="87" t="n">
        <v>582</v>
      </c>
      <c r="Z26" s="90" t="n">
        <v>0.3497596153846154</v>
      </c>
      <c r="AA26" s="87" t="n">
        <v>4</v>
      </c>
      <c r="AB26" s="88" t="n">
        <v>0.002403846153846154</v>
      </c>
      <c r="AC26" s="87" t="n">
        <v>137</v>
      </c>
      <c r="AD26" s="88" t="n">
        <v>0.08233173076923077</v>
      </c>
      <c r="AE26" s="87" t="n">
        <v>23</v>
      </c>
      <c r="AF26" s="88" t="n">
        <v>0.1678832116788321</v>
      </c>
      <c r="AG26" s="87" t="n">
        <v>88</v>
      </c>
      <c r="AH26" s="88" t="n">
        <v>0.6423357664233577</v>
      </c>
      <c r="AI26" s="91" t="n">
        <v>86</v>
      </c>
      <c r="AJ26" s="88" t="n">
        <v>0.0516826923076923</v>
      </c>
      <c r="AK26" s="91" t="n">
        <v>7</v>
      </c>
      <c r="AL26" s="88" t="n">
        <v>0.8720930232558139</v>
      </c>
      <c r="AM26" s="91" t="n">
        <v>86</v>
      </c>
      <c r="AN26" s="91" t="n">
        <v>75</v>
      </c>
      <c r="AO26" s="88" t="n">
        <v>0.04507211538461538</v>
      </c>
      <c r="AP26" s="88" t="n">
        <v>0.5474452554744526</v>
      </c>
      <c r="AQ26" s="89" t="n">
        <v>1</v>
      </c>
      <c r="AR26" s="89" t="n">
        <v>0.5714285714285714</v>
      </c>
      <c r="AS26" s="89" t="n">
        <v>0.5714285714285714</v>
      </c>
      <c r="AT26" s="91" t="n">
        <v>0</v>
      </c>
      <c r="AU26" s="91" t="n">
        <v>0</v>
      </c>
      <c r="AV26" s="91" t="n">
        <v>35</v>
      </c>
      <c r="AW26" s="91" t="n">
        <v>30</v>
      </c>
      <c r="AX26" s="91" t="n">
        <v>32</v>
      </c>
      <c r="AY26" s="91" t="n">
        <v>31</v>
      </c>
      <c r="AZ26" s="88" t="n">
        <v>0.01802884615384615</v>
      </c>
      <c r="BA26" s="88" t="n">
        <v>0.01923076923076923</v>
      </c>
      <c r="BB26" s="88" t="n">
        <v>0.01862980769230769</v>
      </c>
      <c r="BC26" s="88" t="n">
        <v>0.4266666666666667</v>
      </c>
      <c r="BD26" s="91" t="n">
        <v>0</v>
      </c>
      <c r="BE26" s="91" t="n">
        <v>0</v>
      </c>
      <c r="BF26" s="89" t="n">
        <v>0.8888888888888888</v>
      </c>
      <c r="BG26" s="89" t="n">
        <v>1</v>
      </c>
      <c r="BH26" s="89" t="inlineStr">
        <is>
          <t>-</t>
        </is>
      </c>
    </row>
    <row r="27" ht="19.55" customHeight="1">
      <c r="A27" s="92" t="n">
        <v>24</v>
      </c>
      <c r="B27" s="87" t="inlineStr">
        <is>
          <t>全国</t>
        </is>
      </c>
      <c r="C27" s="93" t="n">
        <v>46238</v>
      </c>
      <c r="D27" s="87" t="inlineStr">
        <is>
          <t>N7</t>
        </is>
      </c>
      <c r="E27" s="87" t="n">
        <v>1488</v>
      </c>
      <c r="F27" s="87" t="n">
        <v>1303</v>
      </c>
      <c r="G27" s="88" t="n">
        <v>0.8756720430107527</v>
      </c>
      <c r="H27" s="87" t="n">
        <v>892</v>
      </c>
      <c r="I27" s="89" t="n">
        <v>0.5994623655913979</v>
      </c>
      <c r="J27" s="87" t="n">
        <v>1836</v>
      </c>
      <c r="K27" s="87" t="n">
        <v>1798</v>
      </c>
      <c r="L27" s="88" t="n">
        <v>0.979</v>
      </c>
      <c r="M27" s="87" t="n">
        <v>7521</v>
      </c>
      <c r="N27" s="87" t="n">
        <v>7242</v>
      </c>
      <c r="O27" s="87" t="n">
        <v>7389</v>
      </c>
      <c r="P27" s="88" t="n">
        <v>0.9824491424012765</v>
      </c>
      <c r="Q27" s="87" t="n">
        <v>34</v>
      </c>
      <c r="R27" s="87" t="n">
        <v>0</v>
      </c>
      <c r="S27" s="87" t="n">
        <v>0</v>
      </c>
      <c r="T27" s="88" t="n">
        <v>0</v>
      </c>
      <c r="U27" s="87" t="n">
        <v>0</v>
      </c>
      <c r="V27" s="88" t="n">
        <v>0</v>
      </c>
      <c r="W27" s="87" t="n">
        <v>375</v>
      </c>
      <c r="X27" s="88" t="n">
        <v>0.2520161290322581</v>
      </c>
      <c r="Y27" s="87" t="n">
        <v>454</v>
      </c>
      <c r="Z27" s="90" t="n">
        <v>0.3051075268817204</v>
      </c>
      <c r="AA27" s="87" t="n">
        <v>3</v>
      </c>
      <c r="AB27" s="88" t="n">
        <v>0.002016129032258064</v>
      </c>
      <c r="AC27" s="87" t="n">
        <v>138</v>
      </c>
      <c r="AD27" s="88" t="n">
        <v>0.09274193548387097</v>
      </c>
      <c r="AE27" s="87" t="n">
        <v>21</v>
      </c>
      <c r="AF27" s="88" t="n">
        <v>0.1521739130434783</v>
      </c>
      <c r="AG27" s="87" t="n">
        <v>112</v>
      </c>
      <c r="AH27" s="88" t="n">
        <v>0.8115942028985508</v>
      </c>
      <c r="AI27" s="91" t="n">
        <v>100</v>
      </c>
      <c r="AJ27" s="88" t="n">
        <v>0.06720430107526881</v>
      </c>
      <c r="AK27" s="91" t="n">
        <v>8</v>
      </c>
      <c r="AL27" s="88" t="n">
        <v>0.86</v>
      </c>
      <c r="AM27" s="91" t="n">
        <v>99</v>
      </c>
      <c r="AN27" s="91" t="n">
        <v>86</v>
      </c>
      <c r="AO27" s="88" t="n">
        <v>0.05779569892473118</v>
      </c>
      <c r="AP27" s="88" t="n">
        <v>0.6231884057971014</v>
      </c>
      <c r="AQ27" s="89" t="n">
        <v>0.9764705882352941</v>
      </c>
      <c r="AR27" s="89" t="n">
        <v>0.6020408163265306</v>
      </c>
      <c r="AS27" s="89" t="n">
        <v>0.5816326530612245</v>
      </c>
      <c r="AT27" s="91" t="n">
        <v>0</v>
      </c>
      <c r="AU27" s="91" t="n">
        <v>0</v>
      </c>
      <c r="AV27" s="91" t="n">
        <v>21</v>
      </c>
      <c r="AW27" s="91" t="n">
        <v>4</v>
      </c>
      <c r="AX27" s="91" t="n">
        <v>5</v>
      </c>
      <c r="AY27" s="91" t="n">
        <v>32</v>
      </c>
      <c r="AZ27" s="88" t="n">
        <v>0.002688172043010753</v>
      </c>
      <c r="BA27" s="88" t="n">
        <v>0.003360215053763441</v>
      </c>
      <c r="BB27" s="88" t="n">
        <v>0.02150537634408602</v>
      </c>
      <c r="BC27" s="88" t="n">
        <v>0.05813953488372093</v>
      </c>
      <c r="BD27" s="91" t="n">
        <v>0</v>
      </c>
      <c r="BE27" s="91" t="n">
        <v>0</v>
      </c>
      <c r="BF27" s="89" t="n">
        <v>1</v>
      </c>
      <c r="BG27" s="89" t="n">
        <v>1</v>
      </c>
      <c r="BH27" s="89" t="inlineStr">
        <is>
          <t>-</t>
        </is>
      </c>
    </row>
    <row r="28" ht="19.55" customHeight="1">
      <c r="A28" s="92" t="n">
        <v>25</v>
      </c>
      <c r="B28" s="87" t="inlineStr">
        <is>
          <t>全国</t>
        </is>
      </c>
      <c r="C28" s="93" t="n">
        <v>46238</v>
      </c>
      <c r="D28" s="87" t="inlineStr">
        <is>
          <t>NX8</t>
        </is>
      </c>
      <c r="E28" s="87" t="n">
        <v>5716</v>
      </c>
      <c r="F28" s="87" t="n">
        <v>5016</v>
      </c>
      <c r="G28" s="88" t="n">
        <v>0.8775367389783065</v>
      </c>
      <c r="H28" s="87" t="n">
        <v>1893</v>
      </c>
      <c r="I28" s="89" t="n">
        <v>0.3311756473058083</v>
      </c>
      <c r="J28" s="87" t="n">
        <v>4421</v>
      </c>
      <c r="K28" s="87" t="n">
        <v>4298</v>
      </c>
      <c r="L28" s="88" t="n">
        <v>0.972</v>
      </c>
      <c r="M28" s="87" t="n">
        <v>22864</v>
      </c>
      <c r="N28" s="87" t="n">
        <v>21853</v>
      </c>
      <c r="O28" s="87" t="n">
        <v>22490</v>
      </c>
      <c r="P28" s="88" t="n">
        <v>0.9836424072778167</v>
      </c>
      <c r="Q28" s="87" t="n">
        <v>85</v>
      </c>
      <c r="R28" s="87" t="n">
        <v>0</v>
      </c>
      <c r="S28" s="87" t="n">
        <v>0</v>
      </c>
      <c r="T28" s="88" t="n">
        <v>0</v>
      </c>
      <c r="U28" s="87" t="n">
        <v>0</v>
      </c>
      <c r="V28" s="88" t="n">
        <v>0</v>
      </c>
      <c r="W28" s="87" t="n">
        <v>839</v>
      </c>
      <c r="X28" s="88" t="n">
        <v>0.1467809657102869</v>
      </c>
      <c r="Y28" s="87" t="n">
        <v>1515</v>
      </c>
      <c r="Z28" s="90" t="n">
        <v>0.2650454863540938</v>
      </c>
      <c r="AA28" s="87" t="n">
        <v>4</v>
      </c>
      <c r="AB28" s="88" t="n">
        <v>0.0006997900629811056</v>
      </c>
      <c r="AC28" s="87" t="n">
        <v>532</v>
      </c>
      <c r="AD28" s="88" t="n">
        <v>0.09307207837648705</v>
      </c>
      <c r="AE28" s="87" t="n">
        <v>82</v>
      </c>
      <c r="AF28" s="88" t="n">
        <v>0.1541353383458647</v>
      </c>
      <c r="AG28" s="87" t="n">
        <v>421</v>
      </c>
      <c r="AH28" s="88" t="n">
        <v>0.7913533834586466</v>
      </c>
      <c r="AI28" s="91" t="n">
        <v>445</v>
      </c>
      <c r="AJ28" s="88" t="n">
        <v>0.077851644506648</v>
      </c>
      <c r="AK28" s="91" t="n">
        <v>34</v>
      </c>
      <c r="AL28" s="88" t="n">
        <v>0.8831460674157303</v>
      </c>
      <c r="AM28" s="91" t="n">
        <v>436</v>
      </c>
      <c r="AN28" s="91" t="n">
        <v>393</v>
      </c>
      <c r="AO28" s="88" t="n">
        <v>0.06875437368789364</v>
      </c>
      <c r="AP28" s="88" t="n">
        <v>0.7387218045112782</v>
      </c>
      <c r="AQ28" s="89" t="n">
        <v>0.9827586206896551</v>
      </c>
      <c r="AR28" s="89" t="n">
        <v>0.5605381165919282</v>
      </c>
      <c r="AS28" s="89" t="n">
        <v>0.5089686098654709</v>
      </c>
      <c r="AT28" s="91" t="n">
        <v>0</v>
      </c>
      <c r="AU28" s="91" t="n">
        <v>0</v>
      </c>
      <c r="AV28" s="91" t="n">
        <v>82</v>
      </c>
      <c r="AW28" s="91" t="n">
        <v>72</v>
      </c>
      <c r="AX28" s="91" t="n">
        <v>74</v>
      </c>
      <c r="AY28" s="91" t="n">
        <v>71</v>
      </c>
      <c r="AZ28" s="88" t="n">
        <v>0.0125962211336599</v>
      </c>
      <c r="BA28" s="88" t="n">
        <v>0.01294611616515045</v>
      </c>
      <c r="BB28" s="88" t="n">
        <v>0.01242127361791463</v>
      </c>
      <c r="BC28" s="88" t="n">
        <v>0.188295165394402</v>
      </c>
      <c r="BD28" s="91" t="n">
        <v>0</v>
      </c>
      <c r="BE28" s="91" t="n">
        <v>0</v>
      </c>
      <c r="BF28" s="89" t="n">
        <v>1</v>
      </c>
      <c r="BG28" s="89" t="n">
        <v>1</v>
      </c>
      <c r="BH28" s="89" t="inlineStr">
        <is>
          <t>-</t>
        </is>
      </c>
    </row>
    <row r="29" ht="19.55" customHeight="1">
      <c r="A29" s="92" t="n">
        <v>26</v>
      </c>
      <c r="B29" s="87" t="inlineStr">
        <is>
          <t>全国</t>
        </is>
      </c>
      <c r="C29" s="93" t="n">
        <v>46238</v>
      </c>
      <c r="D29" s="87" t="inlineStr">
        <is>
          <t>天籁·鸿蒙座舱</t>
        </is>
      </c>
      <c r="E29" s="87" t="n">
        <v>2970</v>
      </c>
      <c r="F29" s="87" t="n">
        <v>2651</v>
      </c>
      <c r="G29" s="88" t="n">
        <v>0.8925925925925926</v>
      </c>
      <c r="H29" s="87" t="n">
        <v>1621</v>
      </c>
      <c r="I29" s="89" t="n">
        <v>0.5457912457912458</v>
      </c>
      <c r="J29" s="87" t="n">
        <v>3321</v>
      </c>
      <c r="K29" s="87" t="n">
        <v>3234</v>
      </c>
      <c r="L29" s="88" t="n">
        <v>0.974</v>
      </c>
      <c r="M29" s="87" t="n">
        <v>17157</v>
      </c>
      <c r="N29" s="87" t="n">
        <v>16949</v>
      </c>
      <c r="O29" s="87" t="n">
        <v>16944</v>
      </c>
      <c r="P29" s="88" t="n">
        <v>0.9875852421752055</v>
      </c>
      <c r="Q29" s="87" t="n">
        <v>39</v>
      </c>
      <c r="R29" s="87" t="n">
        <v>0</v>
      </c>
      <c r="S29" s="87" t="n">
        <v>0</v>
      </c>
      <c r="T29" s="88" t="n">
        <v>0</v>
      </c>
      <c r="U29" s="87" t="n">
        <v>0</v>
      </c>
      <c r="V29" s="88" t="n">
        <v>0</v>
      </c>
      <c r="W29" s="87" t="n">
        <v>413</v>
      </c>
      <c r="X29" s="88" t="n">
        <v>0.139057239057239</v>
      </c>
      <c r="Y29" s="87" t="n">
        <v>701</v>
      </c>
      <c r="Z29" s="90" t="n">
        <v>0.236026936026936</v>
      </c>
      <c r="AA29" s="87" t="n">
        <v>2</v>
      </c>
      <c r="AB29" s="88" t="n">
        <v>0.0006734006734006734</v>
      </c>
      <c r="AC29" s="87" t="n">
        <v>193</v>
      </c>
      <c r="AD29" s="88" t="n">
        <v>0.06498316498316499</v>
      </c>
      <c r="AE29" s="87" t="n">
        <v>26</v>
      </c>
      <c r="AF29" s="88" t="n">
        <v>0.1347150259067358</v>
      </c>
      <c r="AG29" s="87" t="n">
        <v>149</v>
      </c>
      <c r="AH29" s="88" t="n">
        <v>0.772020725388601</v>
      </c>
      <c r="AI29" s="91" t="n">
        <v>154</v>
      </c>
      <c r="AJ29" s="88" t="n">
        <v>0.05185185185185185</v>
      </c>
      <c r="AK29" s="91" t="n">
        <v>10</v>
      </c>
      <c r="AL29" s="88" t="n">
        <v>0.8766233766233766</v>
      </c>
      <c r="AM29" s="91" t="n">
        <v>150</v>
      </c>
      <c r="AN29" s="91" t="n">
        <v>135</v>
      </c>
      <c r="AO29" s="88" t="n">
        <v>0.04545454545454546</v>
      </c>
      <c r="AP29" s="88" t="n">
        <v>0.6994818652849741</v>
      </c>
      <c r="AQ29" s="89" t="n">
        <v>0.9821428571428571</v>
      </c>
      <c r="AR29" s="89" t="n">
        <v>0.5032679738562091</v>
      </c>
      <c r="AS29" s="89" t="n">
        <v>0.5098039215686274</v>
      </c>
      <c r="AT29" s="91" t="n">
        <v>0</v>
      </c>
      <c r="AU29" s="91" t="n">
        <v>0</v>
      </c>
      <c r="AV29" s="91" t="n">
        <v>45</v>
      </c>
      <c r="AW29" s="91" t="n">
        <v>38</v>
      </c>
      <c r="AX29" s="91" t="n">
        <v>40</v>
      </c>
      <c r="AY29" s="91" t="n">
        <v>40</v>
      </c>
      <c r="AZ29" s="88" t="n">
        <v>0.01279461279461279</v>
      </c>
      <c r="BA29" s="88" t="n">
        <v>0.01346801346801347</v>
      </c>
      <c r="BB29" s="88" t="n">
        <v>0.01346801346801347</v>
      </c>
      <c r="BC29" s="88" t="n">
        <v>0.2962962962962963</v>
      </c>
      <c r="BD29" s="91" t="n">
        <v>0</v>
      </c>
      <c r="BE29" s="91" t="n">
        <v>0</v>
      </c>
      <c r="BF29" s="89" t="n">
        <v>1</v>
      </c>
      <c r="BG29" s="89" t="n">
        <v>1</v>
      </c>
      <c r="BH29" s="89" t="inlineStr">
        <is>
          <t>-</t>
        </is>
      </c>
    </row>
    <row r="30" ht="19.55" customHeight="1">
      <c r="A30" s="92" t="n">
        <v>27</v>
      </c>
      <c r="B30" s="87" t="inlineStr">
        <is>
          <t>全国</t>
        </is>
      </c>
      <c r="C30" s="93" t="n">
        <v>46239</v>
      </c>
      <c r="D30" s="87" t="n"/>
      <c r="E30" s="87" t="n">
        <v>33</v>
      </c>
      <c r="F30" s="87" t="n">
        <v>33</v>
      </c>
      <c r="G30" s="88" t="n">
        <v>1</v>
      </c>
      <c r="H30" s="87" t="n">
        <v>33</v>
      </c>
      <c r="I30" s="89" t="n">
        <v>1</v>
      </c>
      <c r="J30" s="87" t="n">
        <v>0</v>
      </c>
      <c r="K30" s="87" t="n">
        <v>0</v>
      </c>
      <c r="L30" s="88" t="n">
        <v>0</v>
      </c>
      <c r="M30" s="87" t="n">
        <v>2</v>
      </c>
      <c r="N30" s="87" t="n">
        <v>0</v>
      </c>
      <c r="O30" s="87" t="n">
        <v>0</v>
      </c>
      <c r="P30" s="88" t="n">
        <v>0</v>
      </c>
      <c r="Q30" s="87" t="n">
        <v>2</v>
      </c>
      <c r="R30" s="87" t="n">
        <v>0</v>
      </c>
      <c r="S30" s="87" t="n">
        <v>0</v>
      </c>
      <c r="T30" s="88" t="n">
        <v>0</v>
      </c>
      <c r="U30" s="87" t="n">
        <v>0</v>
      </c>
      <c r="V30" s="88" t="n">
        <v>0</v>
      </c>
      <c r="W30" s="87" t="n">
        <v>11</v>
      </c>
      <c r="X30" s="88" t="n">
        <v>0.3333333333333333</v>
      </c>
      <c r="Y30" s="87" t="n">
        <v>4</v>
      </c>
      <c r="Z30" s="90" t="n">
        <v>0.1212121212121212</v>
      </c>
      <c r="AA30" s="87" t="n">
        <v>0</v>
      </c>
      <c r="AB30" s="88" t="n">
        <v>0</v>
      </c>
      <c r="AC30" s="87" t="n">
        <v>0</v>
      </c>
      <c r="AD30" s="88" t="n">
        <v>0</v>
      </c>
      <c r="AE30" s="87" t="n">
        <v>0</v>
      </c>
      <c r="AF30" s="88" t="n">
        <v>0</v>
      </c>
      <c r="AG30" s="87" t="n">
        <v>0</v>
      </c>
      <c r="AH30" s="88" t="n">
        <v>0</v>
      </c>
      <c r="AI30" s="91" t="n">
        <v>0</v>
      </c>
      <c r="AJ30" s="88" t="n">
        <v>0</v>
      </c>
      <c r="AK30" s="91" t="n">
        <v>0</v>
      </c>
      <c r="AL30" s="88" t="n">
        <v>0</v>
      </c>
      <c r="AM30" s="91" t="n">
        <v>0</v>
      </c>
      <c r="AN30" s="91" t="n">
        <v>0</v>
      </c>
      <c r="AO30" s="88" t="n">
        <v>0</v>
      </c>
      <c r="AP30" s="88" t="n">
        <v>0</v>
      </c>
      <c r="AQ30" s="89" t="n">
        <v>0</v>
      </c>
      <c r="AR30" s="89" t="inlineStr">
        <is>
          <t>0.0%</t>
        </is>
      </c>
      <c r="AS30" s="89" t="inlineStr">
        <is>
          <t>0.0%</t>
        </is>
      </c>
      <c r="AT30" s="91" t="n">
        <v>0</v>
      </c>
      <c r="AU30" s="91" t="n">
        <v>0</v>
      </c>
      <c r="AV30" s="91" t="n">
        <v>0</v>
      </c>
      <c r="AW30" s="91" t="n">
        <v>0</v>
      </c>
      <c r="AX30" s="91" t="n">
        <v>0</v>
      </c>
      <c r="AY30" s="91" t="n">
        <v>0</v>
      </c>
      <c r="AZ30" s="88" t="n">
        <v>0</v>
      </c>
      <c r="BA30" s="88" t="n">
        <v>0</v>
      </c>
      <c r="BB30" s="88" t="n">
        <v>0</v>
      </c>
      <c r="BC30" s="88" t="n">
        <v>0</v>
      </c>
      <c r="BD30" s="91" t="n">
        <v>0</v>
      </c>
      <c r="BE30" s="91" t="n">
        <v>0</v>
      </c>
      <c r="BF30" s="89" t="inlineStr">
        <is>
          <t>-</t>
        </is>
      </c>
      <c r="BG30" s="89" t="inlineStr">
        <is>
          <t>-</t>
        </is>
      </c>
      <c r="BH30" s="89" t="n">
        <v>1</v>
      </c>
    </row>
    <row r="31" ht="19.55" customHeight="1">
      <c r="A31" s="92" t="n">
        <v>28</v>
      </c>
      <c r="B31" s="87" t="inlineStr">
        <is>
          <t>全国</t>
        </is>
      </c>
      <c r="C31" s="93" t="n">
        <v>46239</v>
      </c>
      <c r="D31" s="87" t="inlineStr">
        <is>
          <t>2026款探陆</t>
        </is>
      </c>
      <c r="E31" s="87" t="n">
        <v>299</v>
      </c>
      <c r="F31" s="87" t="n">
        <v>253</v>
      </c>
      <c r="G31" s="88" t="n">
        <v>0.8461538461538461</v>
      </c>
      <c r="H31" s="87" t="n">
        <v>61</v>
      </c>
      <c r="I31" s="89" t="n">
        <v>0.2040133779264214</v>
      </c>
      <c r="J31" s="87" t="n">
        <v>259</v>
      </c>
      <c r="K31" s="87" t="n">
        <v>167</v>
      </c>
      <c r="L31" s="88" t="n">
        <v>0.645</v>
      </c>
      <c r="M31" s="87" t="n">
        <v>676</v>
      </c>
      <c r="N31" s="87" t="n">
        <v>654</v>
      </c>
      <c r="O31" s="87" t="n">
        <v>529</v>
      </c>
      <c r="P31" s="88" t="n">
        <v>0.7825443786982249</v>
      </c>
      <c r="Q31" s="87" t="n">
        <v>35</v>
      </c>
      <c r="R31" s="87" t="n">
        <v>0</v>
      </c>
      <c r="S31" s="87" t="n">
        <v>0</v>
      </c>
      <c r="T31" s="88" t="n">
        <v>0</v>
      </c>
      <c r="U31" s="87" t="n">
        <v>0</v>
      </c>
      <c r="V31" s="88" t="n">
        <v>0</v>
      </c>
      <c r="W31" s="87" t="n">
        <v>2</v>
      </c>
      <c r="X31" s="88" t="n">
        <v>0.006688963210702341</v>
      </c>
      <c r="Y31" s="87" t="n">
        <v>36</v>
      </c>
      <c r="Z31" s="90" t="n">
        <v>0.1204013377926421</v>
      </c>
      <c r="AA31" s="87" t="n">
        <v>0</v>
      </c>
      <c r="AB31" s="88" t="n">
        <v>0</v>
      </c>
      <c r="AC31" s="87" t="n">
        <v>2</v>
      </c>
      <c r="AD31" s="88" t="n">
        <v>0.006688963210702341</v>
      </c>
      <c r="AE31" s="87" t="n">
        <v>0</v>
      </c>
      <c r="AF31" s="88" t="n">
        <v>0</v>
      </c>
      <c r="AG31" s="87" t="n">
        <v>0</v>
      </c>
      <c r="AH31" s="88" t="n">
        <v>0</v>
      </c>
      <c r="AI31" s="91" t="n">
        <v>0</v>
      </c>
      <c r="AJ31" s="88" t="n">
        <v>0</v>
      </c>
      <c r="AK31" s="91" t="n">
        <v>0</v>
      </c>
      <c r="AL31" s="88" t="n">
        <v>0</v>
      </c>
      <c r="AM31" s="91" t="n">
        <v>0</v>
      </c>
      <c r="AN31" s="91" t="n">
        <v>0</v>
      </c>
      <c r="AO31" s="88" t="n">
        <v>0</v>
      </c>
      <c r="AP31" s="88" t="n">
        <v>0</v>
      </c>
      <c r="AQ31" s="89" t="n"/>
      <c r="AR31" s="89" t="n">
        <v>1</v>
      </c>
      <c r="AS31" s="89" t="n">
        <v>1</v>
      </c>
      <c r="AT31" s="91" t="n">
        <v>0</v>
      </c>
      <c r="AU31" s="91" t="n">
        <v>0</v>
      </c>
      <c r="AV31" s="91" t="n">
        <v>1</v>
      </c>
      <c r="AW31" s="91" t="n">
        <v>1</v>
      </c>
      <c r="AX31" s="91" t="n">
        <v>1</v>
      </c>
      <c r="AY31" s="91" t="n">
        <v>1</v>
      </c>
      <c r="AZ31" s="88" t="n">
        <v>0.003344481605351171</v>
      </c>
      <c r="BA31" s="88" t="n">
        <v>0.003344481605351171</v>
      </c>
      <c r="BB31" s="88" t="n">
        <v>0.003344481605351171</v>
      </c>
      <c r="BC31" s="88" t="n">
        <v>0</v>
      </c>
      <c r="BD31" s="91" t="n">
        <v>0</v>
      </c>
      <c r="BE31" s="91" t="n">
        <v>0</v>
      </c>
      <c r="BF31" s="89" t="inlineStr">
        <is>
          <t>-</t>
        </is>
      </c>
      <c r="BG31" s="89" t="inlineStr">
        <is>
          <t>-</t>
        </is>
      </c>
      <c r="BH31" s="89" t="inlineStr">
        <is>
          <t>-</t>
        </is>
      </c>
    </row>
    <row r="32" ht="19.55" customHeight="1">
      <c r="A32" s="92" t="n">
        <v>29</v>
      </c>
      <c r="B32" s="87" t="inlineStr">
        <is>
          <t>全国</t>
        </is>
      </c>
      <c r="C32" s="93" t="n">
        <v>46239</v>
      </c>
      <c r="D32" s="87" t="inlineStr">
        <is>
          <t>N6</t>
        </is>
      </c>
      <c r="E32" s="87" t="n">
        <v>1508</v>
      </c>
      <c r="F32" s="87" t="n">
        <v>1356</v>
      </c>
      <c r="G32" s="88" t="n">
        <v>0.8992042440318302</v>
      </c>
      <c r="H32" s="87" t="n">
        <v>787</v>
      </c>
      <c r="I32" s="89" t="n">
        <v>0.5218832891246684</v>
      </c>
      <c r="J32" s="87" t="n">
        <v>1763</v>
      </c>
      <c r="K32" s="87" t="n">
        <v>1720</v>
      </c>
      <c r="L32" s="88" t="n">
        <v>0.976</v>
      </c>
      <c r="M32" s="87" t="n">
        <v>8935</v>
      </c>
      <c r="N32" s="87" t="n">
        <v>8781</v>
      </c>
      <c r="O32" s="87" t="n">
        <v>8780</v>
      </c>
      <c r="P32" s="88" t="n">
        <v>0.9826524902070509</v>
      </c>
      <c r="Q32" s="87" t="n">
        <v>18</v>
      </c>
      <c r="R32" s="87" t="n">
        <v>0</v>
      </c>
      <c r="S32" s="87" t="n">
        <v>0</v>
      </c>
      <c r="T32" s="88" t="n">
        <v>0</v>
      </c>
      <c r="U32" s="87" t="n">
        <v>0</v>
      </c>
      <c r="V32" s="88" t="n">
        <v>0</v>
      </c>
      <c r="W32" s="87" t="n">
        <v>142</v>
      </c>
      <c r="X32" s="88" t="n">
        <v>0.09416445623342175</v>
      </c>
      <c r="Y32" s="87" t="n">
        <v>406</v>
      </c>
      <c r="Z32" s="90" t="n">
        <v>0.2692307692307692</v>
      </c>
      <c r="AA32" s="87" t="n">
        <v>3</v>
      </c>
      <c r="AB32" s="88" t="n">
        <v>0.001989389920424403</v>
      </c>
      <c r="AC32" s="87" t="n">
        <v>155</v>
      </c>
      <c r="AD32" s="88" t="n">
        <v>0.1027851458885942</v>
      </c>
      <c r="AE32" s="87" t="n">
        <v>27</v>
      </c>
      <c r="AF32" s="88" t="n">
        <v>0.1741935483870968</v>
      </c>
      <c r="AG32" s="87" t="n">
        <v>112</v>
      </c>
      <c r="AH32" s="88" t="n">
        <v>0.7225806451612903</v>
      </c>
      <c r="AI32" s="91" t="n">
        <v>113</v>
      </c>
      <c r="AJ32" s="88" t="n">
        <v>0.07493368700265252</v>
      </c>
      <c r="AK32" s="91" t="n">
        <v>11</v>
      </c>
      <c r="AL32" s="88" t="n">
        <v>0.8407079646017699</v>
      </c>
      <c r="AM32" s="91" t="n">
        <v>111</v>
      </c>
      <c r="AN32" s="91" t="n">
        <v>95</v>
      </c>
      <c r="AO32" s="88" t="n">
        <v>0.0629973474801061</v>
      </c>
      <c r="AP32" s="88" t="n">
        <v>0.6129032258064516</v>
      </c>
      <c r="AQ32" s="89" t="n">
        <v>0.9761904761904762</v>
      </c>
      <c r="AR32" s="89" t="n">
        <v>0.7719298245614035</v>
      </c>
      <c r="AS32" s="89" t="n">
        <v>0.6929824561403509</v>
      </c>
      <c r="AT32" s="91" t="n">
        <v>0</v>
      </c>
      <c r="AU32" s="91" t="n">
        <v>0</v>
      </c>
      <c r="AV32" s="91" t="n">
        <v>34</v>
      </c>
      <c r="AW32" s="91" t="n">
        <v>29</v>
      </c>
      <c r="AX32" s="91" t="n">
        <v>31</v>
      </c>
      <c r="AY32" s="91" t="n">
        <v>27</v>
      </c>
      <c r="AZ32" s="88" t="n">
        <v>0.01923076923076923</v>
      </c>
      <c r="BA32" s="88" t="n">
        <v>0.02055702917771883</v>
      </c>
      <c r="BB32" s="88" t="n">
        <v>0.01790450928381963</v>
      </c>
      <c r="BC32" s="88" t="n">
        <v>0.3263157894736842</v>
      </c>
      <c r="BD32" s="91" t="n">
        <v>0</v>
      </c>
      <c r="BE32" s="91" t="n">
        <v>0</v>
      </c>
      <c r="BF32" s="89" t="n">
        <v>1</v>
      </c>
      <c r="BG32" s="89" t="n">
        <v>1</v>
      </c>
      <c r="BH32" s="89" t="inlineStr">
        <is>
          <t>-</t>
        </is>
      </c>
    </row>
    <row r="33" ht="19.55" customHeight="1">
      <c r="A33" s="92" t="n">
        <v>30</v>
      </c>
      <c r="B33" s="87" t="inlineStr">
        <is>
          <t>全国</t>
        </is>
      </c>
      <c r="C33" s="93" t="n">
        <v>46239</v>
      </c>
      <c r="D33" s="87" t="inlineStr">
        <is>
          <t>N7</t>
        </is>
      </c>
      <c r="E33" s="87" t="n">
        <v>1454</v>
      </c>
      <c r="F33" s="87" t="n">
        <v>1282</v>
      </c>
      <c r="G33" s="88" t="n">
        <v>0.8817056396148556</v>
      </c>
      <c r="H33" s="87" t="n">
        <v>788</v>
      </c>
      <c r="I33" s="89" t="n">
        <v>0.5419532324621733</v>
      </c>
      <c r="J33" s="87" t="n">
        <v>1529</v>
      </c>
      <c r="K33" s="87" t="n">
        <v>1451</v>
      </c>
      <c r="L33" s="88" t="n">
        <v>0.949</v>
      </c>
      <c r="M33" s="87" t="n">
        <v>7476</v>
      </c>
      <c r="N33" s="87" t="n">
        <v>7355</v>
      </c>
      <c r="O33" s="87" t="n">
        <v>7268</v>
      </c>
      <c r="P33" s="88" t="n">
        <v>0.9721776350989834</v>
      </c>
      <c r="Q33" s="87" t="n">
        <v>32</v>
      </c>
      <c r="R33" s="87" t="n">
        <v>0</v>
      </c>
      <c r="S33" s="87" t="n">
        <v>0</v>
      </c>
      <c r="T33" s="88" t="n">
        <v>0</v>
      </c>
      <c r="U33" s="87" t="n">
        <v>0</v>
      </c>
      <c r="V33" s="88" t="n">
        <v>0</v>
      </c>
      <c r="W33" s="87" t="n">
        <v>122</v>
      </c>
      <c r="X33" s="88" t="n">
        <v>0.08390646492434663</v>
      </c>
      <c r="Y33" s="87" t="n">
        <v>274</v>
      </c>
      <c r="Z33" s="90" t="n">
        <v>0.1884456671251719</v>
      </c>
      <c r="AA33" s="87" t="n">
        <v>2</v>
      </c>
      <c r="AB33" s="88" t="n">
        <v>0.001375515818431912</v>
      </c>
      <c r="AC33" s="87" t="n">
        <v>131</v>
      </c>
      <c r="AD33" s="88" t="n">
        <v>0.09009628610729023</v>
      </c>
      <c r="AE33" s="87" t="n">
        <v>12</v>
      </c>
      <c r="AF33" s="88" t="n">
        <v>0.0916030534351145</v>
      </c>
      <c r="AG33" s="87" t="n">
        <v>98</v>
      </c>
      <c r="AH33" s="88" t="n">
        <v>0.7480916030534351</v>
      </c>
      <c r="AI33" s="91" t="n">
        <v>96</v>
      </c>
      <c r="AJ33" s="88" t="n">
        <v>0.06602475928473177</v>
      </c>
      <c r="AK33" s="91" t="n">
        <v>5</v>
      </c>
      <c r="AL33" s="88" t="n">
        <v>0.84375</v>
      </c>
      <c r="AM33" s="91" t="n">
        <v>96</v>
      </c>
      <c r="AN33" s="91" t="n">
        <v>81</v>
      </c>
      <c r="AO33" s="88" t="n">
        <v>0.05570839064649243</v>
      </c>
      <c r="AP33" s="88" t="n">
        <v>0.6183206106870229</v>
      </c>
      <c r="AQ33" s="89" t="n">
        <v>0.9791666666666666</v>
      </c>
      <c r="AR33" s="89" t="n">
        <v>0.5862068965517241</v>
      </c>
      <c r="AS33" s="89" t="n">
        <v>0.5402298850574713</v>
      </c>
      <c r="AT33" s="91" t="n">
        <v>0</v>
      </c>
      <c r="AU33" s="91" t="n">
        <v>0</v>
      </c>
      <c r="AV33" s="91" t="n">
        <v>32</v>
      </c>
      <c r="AW33" s="91" t="n">
        <v>25</v>
      </c>
      <c r="AX33" s="91" t="n">
        <v>25</v>
      </c>
      <c r="AY33" s="91" t="n">
        <v>34</v>
      </c>
      <c r="AZ33" s="88" t="n">
        <v>0.0171939477303989</v>
      </c>
      <c r="BA33" s="88" t="n">
        <v>0.0171939477303989</v>
      </c>
      <c r="BB33" s="88" t="n">
        <v>0.02338376891334251</v>
      </c>
      <c r="BC33" s="88" t="n">
        <v>0.308641975308642</v>
      </c>
      <c r="BD33" s="91" t="n">
        <v>0</v>
      </c>
      <c r="BE33" s="91" t="n">
        <v>0</v>
      </c>
      <c r="BF33" s="89" t="n">
        <v>1</v>
      </c>
      <c r="BG33" s="89" t="n">
        <v>1</v>
      </c>
      <c r="BH33" s="89" t="inlineStr">
        <is>
          <t>-</t>
        </is>
      </c>
    </row>
    <row r="34" ht="19.55" customHeight="1">
      <c r="A34" s="92" t="n">
        <v>31</v>
      </c>
      <c r="B34" s="87" t="inlineStr">
        <is>
          <t>全国</t>
        </is>
      </c>
      <c r="C34" s="93" t="n">
        <v>46239</v>
      </c>
      <c r="D34" s="87" t="inlineStr">
        <is>
          <t>NX8</t>
        </is>
      </c>
      <c r="E34" s="87" t="n">
        <v>6342</v>
      </c>
      <c r="F34" s="87" t="n">
        <v>5618</v>
      </c>
      <c r="G34" s="88" t="n">
        <v>0.8858404288867865</v>
      </c>
      <c r="H34" s="87" t="n">
        <v>2054</v>
      </c>
      <c r="I34" s="89" t="n">
        <v>0.3238725953957742</v>
      </c>
      <c r="J34" s="87" t="n">
        <v>4127</v>
      </c>
      <c r="K34" s="87" t="n">
        <v>3951</v>
      </c>
      <c r="L34" s="88" t="n">
        <v>0.957</v>
      </c>
      <c r="M34" s="87" t="n">
        <v>22399</v>
      </c>
      <c r="N34" s="87" t="n">
        <v>21978</v>
      </c>
      <c r="O34" s="87" t="n">
        <v>21935</v>
      </c>
      <c r="P34" s="88" t="n">
        <v>0.9792847894995312</v>
      </c>
      <c r="Q34" s="87" t="n">
        <v>99</v>
      </c>
      <c r="R34" s="87" t="n">
        <v>0</v>
      </c>
      <c r="S34" s="87" t="n">
        <v>0</v>
      </c>
      <c r="T34" s="88" t="n">
        <v>0</v>
      </c>
      <c r="U34" s="87" t="n">
        <v>0</v>
      </c>
      <c r="V34" s="88" t="n">
        <v>0</v>
      </c>
      <c r="W34" s="87" t="n">
        <v>356</v>
      </c>
      <c r="X34" s="88" t="n">
        <v>0.05613371176285083</v>
      </c>
      <c r="Y34" s="87" t="n">
        <v>1306</v>
      </c>
      <c r="Z34" s="90" t="n">
        <v>0.2059287291075371</v>
      </c>
      <c r="AA34" s="87" t="n">
        <v>6</v>
      </c>
      <c r="AB34" s="88" t="n">
        <v>0.000946073793755913</v>
      </c>
      <c r="AC34" s="87" t="n">
        <v>496</v>
      </c>
      <c r="AD34" s="88" t="n">
        <v>0.07820876695048881</v>
      </c>
      <c r="AE34" s="87" t="n">
        <v>81</v>
      </c>
      <c r="AF34" s="88" t="n">
        <v>0.1633064516129032</v>
      </c>
      <c r="AG34" s="87" t="n">
        <v>436</v>
      </c>
      <c r="AH34" s="88" t="n">
        <v>0.8790322580645161</v>
      </c>
      <c r="AI34" s="91" t="n">
        <v>453</v>
      </c>
      <c r="AJ34" s="88" t="n">
        <v>0.07142857142857142</v>
      </c>
      <c r="AK34" s="91" t="n">
        <v>26</v>
      </c>
      <c r="AL34" s="88" t="n">
        <v>0.8344370860927153</v>
      </c>
      <c r="AM34" s="91" t="n">
        <v>433</v>
      </c>
      <c r="AN34" s="91" t="n">
        <v>378</v>
      </c>
      <c r="AO34" s="88" t="n">
        <v>0.05960264900662252</v>
      </c>
      <c r="AP34" s="88" t="n">
        <v>0.7620967741935484</v>
      </c>
      <c r="AQ34" s="89" t="n">
        <v>0.9691943127962085</v>
      </c>
      <c r="AR34" s="89" t="n">
        <v>0.6068181818181818</v>
      </c>
      <c r="AS34" s="89" t="n">
        <v>0.6068181818181818</v>
      </c>
      <c r="AT34" s="91" t="n">
        <v>0</v>
      </c>
      <c r="AU34" s="91" t="n">
        <v>0</v>
      </c>
      <c r="AV34" s="91" t="n">
        <v>73</v>
      </c>
      <c r="AW34" s="91" t="n">
        <v>66</v>
      </c>
      <c r="AX34" s="91" t="n">
        <v>69</v>
      </c>
      <c r="AY34" s="91" t="n">
        <v>71</v>
      </c>
      <c r="AZ34" s="88" t="n">
        <v>0.01040681173131504</v>
      </c>
      <c r="BA34" s="88" t="n">
        <v>0.010879848628193</v>
      </c>
      <c r="BB34" s="88" t="n">
        <v>0.01119520655944497</v>
      </c>
      <c r="BC34" s="88" t="n">
        <v>0.1825396825396825</v>
      </c>
      <c r="BD34" s="91" t="n">
        <v>0</v>
      </c>
      <c r="BE34" s="91" t="n">
        <v>0</v>
      </c>
      <c r="BF34" s="89" t="n">
        <v>1</v>
      </c>
      <c r="BG34" s="89" t="n">
        <v>1</v>
      </c>
      <c r="BH34" s="89" t="inlineStr">
        <is>
          <t>-</t>
        </is>
      </c>
    </row>
    <row r="35" ht="19.55" customHeight="1">
      <c r="A35" s="92" t="n">
        <v>32</v>
      </c>
      <c r="B35" s="87" t="inlineStr">
        <is>
          <t>全国</t>
        </is>
      </c>
      <c r="C35" s="93" t="n">
        <v>46239</v>
      </c>
      <c r="D35" s="87" t="inlineStr">
        <is>
          <t>天籁·鸿蒙座舱</t>
        </is>
      </c>
      <c r="E35" s="87" t="n">
        <v>3160</v>
      </c>
      <c r="F35" s="87" t="n">
        <v>2848</v>
      </c>
      <c r="G35" s="88" t="n">
        <v>0.9012658227848102</v>
      </c>
      <c r="H35" s="87" t="n">
        <v>1554</v>
      </c>
      <c r="I35" s="89" t="n">
        <v>0.4917721518987342</v>
      </c>
      <c r="J35" s="87" t="n">
        <v>3300</v>
      </c>
      <c r="K35" s="87" t="n">
        <v>3222</v>
      </c>
      <c r="L35" s="88" t="n">
        <v>0.976</v>
      </c>
      <c r="M35" s="87" t="n">
        <v>16780</v>
      </c>
      <c r="N35" s="87" t="n">
        <v>16207</v>
      </c>
      <c r="O35" s="87" t="n">
        <v>16518</v>
      </c>
      <c r="P35" s="88" t="n">
        <v>0.9843861740166865</v>
      </c>
      <c r="Q35" s="87" t="n">
        <v>28</v>
      </c>
      <c r="R35" s="87" t="n">
        <v>0</v>
      </c>
      <c r="S35" s="87" t="n">
        <v>0</v>
      </c>
      <c r="T35" s="88" t="n">
        <v>0</v>
      </c>
      <c r="U35" s="87" t="n">
        <v>0</v>
      </c>
      <c r="V35" s="88" t="n">
        <v>0</v>
      </c>
      <c r="W35" s="87" t="n">
        <v>176</v>
      </c>
      <c r="X35" s="88" t="n">
        <v>0.05569620253164557</v>
      </c>
      <c r="Y35" s="87" t="n">
        <v>426</v>
      </c>
      <c r="Z35" s="90" t="n">
        <v>0.1348101265822785</v>
      </c>
      <c r="AA35" s="87" t="n">
        <v>3</v>
      </c>
      <c r="AB35" s="88" t="n">
        <v>0.0009493670886075949</v>
      </c>
      <c r="AC35" s="87" t="n">
        <v>185</v>
      </c>
      <c r="AD35" s="88" t="n">
        <v>0.05854430379746835</v>
      </c>
      <c r="AE35" s="87" t="n">
        <v>36</v>
      </c>
      <c r="AF35" s="88" t="n">
        <v>0.1945945945945946</v>
      </c>
      <c r="AG35" s="87" t="n">
        <v>161</v>
      </c>
      <c r="AH35" s="88" t="n">
        <v>0.8702702702702703</v>
      </c>
      <c r="AI35" s="91" t="n">
        <v>152</v>
      </c>
      <c r="AJ35" s="88" t="n">
        <v>0.04810126582278481</v>
      </c>
      <c r="AK35" s="91" t="n">
        <v>6</v>
      </c>
      <c r="AL35" s="88" t="n">
        <v>0.9144736842105263</v>
      </c>
      <c r="AM35" s="91" t="n">
        <v>148</v>
      </c>
      <c r="AN35" s="91" t="n">
        <v>139</v>
      </c>
      <c r="AO35" s="88" t="n">
        <v>0.0439873417721519</v>
      </c>
      <c r="AP35" s="88" t="n">
        <v>0.7513513513513513</v>
      </c>
      <c r="AQ35" s="89" t="n">
        <v>0.9533333333333334</v>
      </c>
      <c r="AR35" s="89" t="n">
        <v>0.6217948717948718</v>
      </c>
      <c r="AS35" s="89" t="n">
        <v>0.6217948717948718</v>
      </c>
      <c r="AT35" s="91" t="n">
        <v>0</v>
      </c>
      <c r="AU35" s="91" t="n">
        <v>0</v>
      </c>
      <c r="AV35" s="91" t="n">
        <v>73</v>
      </c>
      <c r="AW35" s="91" t="n">
        <v>68</v>
      </c>
      <c r="AX35" s="91" t="n">
        <v>64</v>
      </c>
      <c r="AY35" s="91" t="n">
        <v>50</v>
      </c>
      <c r="AZ35" s="88" t="n">
        <v>0.02151898734177215</v>
      </c>
      <c r="BA35" s="88" t="n">
        <v>0.02025316455696203</v>
      </c>
      <c r="BB35" s="88" t="n">
        <v>0.01582278481012658</v>
      </c>
      <c r="BC35" s="88" t="n">
        <v>0.460431654676259</v>
      </c>
      <c r="BD35" s="91" t="n">
        <v>0</v>
      </c>
      <c r="BE35" s="91" t="n">
        <v>0</v>
      </c>
      <c r="BF35" s="89" t="n">
        <v>1</v>
      </c>
      <c r="BG35" s="89" t="n">
        <v>1</v>
      </c>
      <c r="BH35" s="89" t="inlineStr">
        <is>
          <t>-</t>
        </is>
      </c>
    </row>
    <row r="36" ht="19.55" customHeight="1">
      <c r="A36" s="92" t="n">
        <v>33</v>
      </c>
      <c r="B36" s="87" t="inlineStr">
        <is>
          <t>全国</t>
        </is>
      </c>
      <c r="C36" s="93" t="n">
        <v>46240</v>
      </c>
      <c r="D36" s="87" t="n"/>
      <c r="E36" s="87" t="n">
        <v>40</v>
      </c>
      <c r="F36" s="87" t="n">
        <v>40</v>
      </c>
      <c r="G36" s="88" t="n">
        <v>1</v>
      </c>
      <c r="H36" s="87" t="n">
        <v>40</v>
      </c>
      <c r="I36" s="89" t="n">
        <v>1</v>
      </c>
      <c r="J36" s="87" t="n">
        <v>0</v>
      </c>
      <c r="K36" s="87" t="n">
        <v>0</v>
      </c>
      <c r="L36" s="88" t="n">
        <v>0</v>
      </c>
      <c r="M36" s="87" t="n">
        <v>2</v>
      </c>
      <c r="N36" s="87" t="n">
        <v>0</v>
      </c>
      <c r="O36" s="87" t="n">
        <v>0</v>
      </c>
      <c r="P36" s="88" t="n">
        <v>0</v>
      </c>
      <c r="Q36" s="87" t="n">
        <v>2</v>
      </c>
      <c r="R36" s="87" t="n">
        <v>0</v>
      </c>
      <c r="S36" s="87" t="n">
        <v>0</v>
      </c>
      <c r="T36" s="88" t="n">
        <v>0</v>
      </c>
      <c r="U36" s="87" t="n">
        <v>0</v>
      </c>
      <c r="V36" s="88" t="n">
        <v>0</v>
      </c>
      <c r="W36" s="87" t="n">
        <v>13</v>
      </c>
      <c r="X36" s="88" t="n">
        <v>0.325</v>
      </c>
      <c r="Y36" s="87" t="n">
        <v>30</v>
      </c>
      <c r="Z36" s="90" t="n">
        <v>0.75</v>
      </c>
      <c r="AA36" s="87" t="n">
        <v>0</v>
      </c>
      <c r="AB36" s="88" t="n">
        <v>0</v>
      </c>
      <c r="AC36" s="87" t="n">
        <v>0</v>
      </c>
      <c r="AD36" s="88" t="n">
        <v>0</v>
      </c>
      <c r="AE36" s="87" t="n">
        <v>0</v>
      </c>
      <c r="AF36" s="88" t="n">
        <v>0</v>
      </c>
      <c r="AG36" s="87" t="n">
        <v>0</v>
      </c>
      <c r="AH36" s="88" t="n">
        <v>0</v>
      </c>
      <c r="AI36" s="91" t="n">
        <v>0</v>
      </c>
      <c r="AJ36" s="88" t="n">
        <v>0</v>
      </c>
      <c r="AK36" s="91" t="n">
        <v>0</v>
      </c>
      <c r="AL36" s="88" t="n">
        <v>0</v>
      </c>
      <c r="AM36" s="91" t="n">
        <v>0</v>
      </c>
      <c r="AN36" s="91" t="n">
        <v>0</v>
      </c>
      <c r="AO36" s="88" t="n">
        <v>0</v>
      </c>
      <c r="AP36" s="88" t="n">
        <v>0</v>
      </c>
      <c r="AQ36" s="89" t="n"/>
      <c r="AR36" s="89" t="n">
        <v>0</v>
      </c>
      <c r="AS36" s="89" t="n">
        <v>1</v>
      </c>
      <c r="AT36" s="91" t="n">
        <v>0</v>
      </c>
      <c r="AU36" s="91" t="n">
        <v>0</v>
      </c>
      <c r="AV36" s="91" t="n">
        <v>0</v>
      </c>
      <c r="AW36" s="91" t="n">
        <v>0</v>
      </c>
      <c r="AX36" s="91" t="n">
        <v>0</v>
      </c>
      <c r="AY36" s="91" t="n">
        <v>0</v>
      </c>
      <c r="AZ36" s="88" t="n">
        <v>0</v>
      </c>
      <c r="BA36" s="88" t="n">
        <v>0</v>
      </c>
      <c r="BB36" s="88" t="n">
        <v>0</v>
      </c>
      <c r="BC36" s="88" t="n">
        <v>0</v>
      </c>
      <c r="BD36" s="91" t="n">
        <v>0</v>
      </c>
      <c r="BE36" s="91" t="n">
        <v>0</v>
      </c>
      <c r="BF36" s="89" t="inlineStr">
        <is>
          <t>-</t>
        </is>
      </c>
      <c r="BG36" s="89" t="inlineStr">
        <is>
          <t>-</t>
        </is>
      </c>
      <c r="BH36" s="89" t="n">
        <v>0.9841269841269841</v>
      </c>
    </row>
    <row r="37" ht="19.55" customHeight="1">
      <c r="A37" s="92" t="n">
        <v>34</v>
      </c>
      <c r="B37" s="87" t="inlineStr">
        <is>
          <t>全国</t>
        </is>
      </c>
      <c r="C37" s="93" t="n">
        <v>46240</v>
      </c>
      <c r="D37" s="87" t="inlineStr">
        <is>
          <t>2026款探陆</t>
        </is>
      </c>
      <c r="E37" s="87" t="n">
        <v>325</v>
      </c>
      <c r="F37" s="87" t="n">
        <v>291</v>
      </c>
      <c r="G37" s="88" t="n">
        <v>0.8953846153846153</v>
      </c>
      <c r="H37" s="87" t="n">
        <v>65</v>
      </c>
      <c r="I37" s="89" t="n">
        <v>0.2</v>
      </c>
      <c r="J37" s="87" t="n">
        <v>293</v>
      </c>
      <c r="K37" s="87" t="n">
        <v>176</v>
      </c>
      <c r="L37" s="88" t="n">
        <v>0.601</v>
      </c>
      <c r="M37" s="87" t="n">
        <v>781</v>
      </c>
      <c r="N37" s="87" t="n">
        <v>785</v>
      </c>
      <c r="O37" s="87" t="n">
        <v>615</v>
      </c>
      <c r="P37" s="88" t="n">
        <v>0.7874519846350833</v>
      </c>
      <c r="Q37" s="87" t="n">
        <v>44</v>
      </c>
      <c r="R37" s="87" t="n">
        <v>0</v>
      </c>
      <c r="S37" s="87" t="n">
        <v>0</v>
      </c>
      <c r="T37" s="88" t="n">
        <v>0</v>
      </c>
      <c r="U37" s="87" t="n">
        <v>0</v>
      </c>
      <c r="V37" s="88" t="n">
        <v>0</v>
      </c>
      <c r="W37" s="87" t="n">
        <v>4</v>
      </c>
      <c r="X37" s="88" t="n">
        <v>0.01230769230769231</v>
      </c>
      <c r="Y37" s="87" t="n">
        <v>79</v>
      </c>
      <c r="Z37" s="90" t="n">
        <v>0.2430769230769231</v>
      </c>
      <c r="AA37" s="87" t="n">
        <v>0</v>
      </c>
      <c r="AB37" s="88" t="n">
        <v>0</v>
      </c>
      <c r="AC37" s="87" t="n">
        <v>1</v>
      </c>
      <c r="AD37" s="88" t="n">
        <v>0.003076923076923077</v>
      </c>
      <c r="AE37" s="87" t="n">
        <v>0</v>
      </c>
      <c r="AF37" s="88" t="n">
        <v>0</v>
      </c>
      <c r="AG37" s="87" t="n">
        <v>0</v>
      </c>
      <c r="AH37" s="88" t="n">
        <v>0</v>
      </c>
      <c r="AI37" s="91" t="n">
        <v>0</v>
      </c>
      <c r="AJ37" s="88" t="n">
        <v>0</v>
      </c>
      <c r="AK37" s="91" t="n">
        <v>0</v>
      </c>
      <c r="AL37" s="88" t="n">
        <v>0</v>
      </c>
      <c r="AM37" s="91" t="n">
        <v>0</v>
      </c>
      <c r="AN37" s="91" t="n">
        <v>0</v>
      </c>
      <c r="AO37" s="88" t="n">
        <v>0</v>
      </c>
      <c r="AP37" s="88" t="n">
        <v>0</v>
      </c>
      <c r="AQ37" s="89" t="n">
        <v>1</v>
      </c>
      <c r="AR37" s="89" t="n">
        <v>0</v>
      </c>
      <c r="AS37" s="89" t="n">
        <v>0</v>
      </c>
      <c r="AT37" s="91" t="n">
        <v>0</v>
      </c>
      <c r="AU37" s="91" t="n">
        <v>0</v>
      </c>
      <c r="AV37" s="91" t="n">
        <v>5</v>
      </c>
      <c r="AW37" s="91" t="n">
        <v>5</v>
      </c>
      <c r="AX37" s="91" t="n">
        <v>5</v>
      </c>
      <c r="AY37" s="91" t="n">
        <v>1</v>
      </c>
      <c r="AZ37" s="88" t="n">
        <v>0.01538461538461539</v>
      </c>
      <c r="BA37" s="88" t="n">
        <v>0.01538461538461539</v>
      </c>
      <c r="BB37" s="88" t="n">
        <v>0.003076923076923077</v>
      </c>
      <c r="BC37" s="88" t="n">
        <v>0</v>
      </c>
      <c r="BD37" s="91" t="n">
        <v>0</v>
      </c>
      <c r="BE37" s="91" t="n">
        <v>0</v>
      </c>
      <c r="BF37" s="89" t="inlineStr">
        <is>
          <t>-</t>
        </is>
      </c>
      <c r="BG37" s="89" t="n">
        <v>1</v>
      </c>
      <c r="BH37" s="89" t="inlineStr">
        <is>
          <t>-</t>
        </is>
      </c>
    </row>
    <row r="38" ht="19.55" customHeight="1">
      <c r="A38" s="92" t="n">
        <v>35</v>
      </c>
      <c r="B38" s="87" t="inlineStr">
        <is>
          <t>全国</t>
        </is>
      </c>
      <c r="C38" s="93" t="n">
        <v>46240</v>
      </c>
      <c r="D38" s="87" t="inlineStr">
        <is>
          <t>N6</t>
        </is>
      </c>
      <c r="E38" s="87" t="n">
        <v>1602</v>
      </c>
      <c r="F38" s="87" t="n">
        <v>1404</v>
      </c>
      <c r="G38" s="88" t="n">
        <v>0.8764044943820225</v>
      </c>
      <c r="H38" s="87" t="n">
        <v>821</v>
      </c>
      <c r="I38" s="89" t="n">
        <v>0.5124843945068664</v>
      </c>
      <c r="J38" s="87" t="n">
        <v>1705</v>
      </c>
      <c r="K38" s="87" t="n">
        <v>1671</v>
      </c>
      <c r="L38" s="88" t="n">
        <v>0.98</v>
      </c>
      <c r="M38" s="87" t="n">
        <v>8575</v>
      </c>
      <c r="N38" s="87" t="n">
        <v>8400</v>
      </c>
      <c r="O38" s="87" t="n">
        <v>8436</v>
      </c>
      <c r="P38" s="88" t="n">
        <v>0.9837900874635569</v>
      </c>
      <c r="Q38" s="87" t="n">
        <v>22</v>
      </c>
      <c r="R38" s="87" t="n">
        <v>0</v>
      </c>
      <c r="S38" s="87" t="n">
        <v>0</v>
      </c>
      <c r="T38" s="88" t="n">
        <v>0</v>
      </c>
      <c r="U38" s="87" t="n">
        <v>0</v>
      </c>
      <c r="V38" s="88" t="n">
        <v>0</v>
      </c>
      <c r="W38" s="87" t="n">
        <v>257</v>
      </c>
      <c r="X38" s="88" t="n">
        <v>0.1604244694132335</v>
      </c>
      <c r="Y38" s="87" t="n">
        <v>823</v>
      </c>
      <c r="Z38" s="90" t="n">
        <v>0.5137328339575531</v>
      </c>
      <c r="AA38" s="87" t="n">
        <v>2</v>
      </c>
      <c r="AB38" s="88" t="n">
        <v>0.001248439450686642</v>
      </c>
      <c r="AC38" s="87" t="n">
        <v>160</v>
      </c>
      <c r="AD38" s="88" t="n">
        <v>0.09987515605493133</v>
      </c>
      <c r="AE38" s="87" t="n">
        <v>16</v>
      </c>
      <c r="AF38" s="88" t="n">
        <v>0.1</v>
      </c>
      <c r="AG38" s="87" t="n">
        <v>105</v>
      </c>
      <c r="AH38" s="88" t="n">
        <v>0.65625</v>
      </c>
      <c r="AI38" s="91" t="n">
        <v>112</v>
      </c>
      <c r="AJ38" s="88" t="n">
        <v>0.06991260923845194</v>
      </c>
      <c r="AK38" s="91" t="n">
        <v>9</v>
      </c>
      <c r="AL38" s="88" t="n">
        <v>0.8303571428571429</v>
      </c>
      <c r="AM38" s="91" t="n">
        <v>109</v>
      </c>
      <c r="AN38" s="91" t="n">
        <v>93</v>
      </c>
      <c r="AO38" s="88" t="n">
        <v>0.05805243445692884</v>
      </c>
      <c r="AP38" s="88" t="n">
        <v>0.58125</v>
      </c>
      <c r="AQ38" s="89" t="n">
        <v>0.9814814814814815</v>
      </c>
      <c r="AR38" s="89" t="n">
        <v>0.6448598130841121</v>
      </c>
      <c r="AS38" s="89" t="n">
        <v>0.616822429906542</v>
      </c>
      <c r="AT38" s="91" t="n">
        <v>0</v>
      </c>
      <c r="AU38" s="91" t="n">
        <v>0</v>
      </c>
      <c r="AV38" s="91" t="n">
        <v>26</v>
      </c>
      <c r="AW38" s="91" t="n">
        <v>25</v>
      </c>
      <c r="AX38" s="91" t="n">
        <v>24</v>
      </c>
      <c r="AY38" s="91" t="n">
        <v>34</v>
      </c>
      <c r="AZ38" s="88" t="n">
        <v>0.01560549313358302</v>
      </c>
      <c r="BA38" s="88" t="n">
        <v>0.0149812734082397</v>
      </c>
      <c r="BB38" s="88" t="n">
        <v>0.02122347066167291</v>
      </c>
      <c r="BC38" s="88" t="n">
        <v>0.2580645161290323</v>
      </c>
      <c r="BD38" s="91" t="n">
        <v>0</v>
      </c>
      <c r="BE38" s="91" t="n">
        <v>0</v>
      </c>
      <c r="BF38" s="89" t="n">
        <v>1</v>
      </c>
      <c r="BG38" s="89" t="n">
        <v>1</v>
      </c>
      <c r="BH38" s="89" t="inlineStr">
        <is>
          <t>-</t>
        </is>
      </c>
    </row>
    <row r="39" ht="19.55" customHeight="1">
      <c r="A39" s="92" t="n">
        <v>36</v>
      </c>
      <c r="B39" s="87" t="inlineStr">
        <is>
          <t>全国</t>
        </is>
      </c>
      <c r="C39" s="93" t="n">
        <v>46240</v>
      </c>
      <c r="D39" s="87" t="inlineStr">
        <is>
          <t>N7</t>
        </is>
      </c>
      <c r="E39" s="87" t="n">
        <v>1620</v>
      </c>
      <c r="F39" s="87" t="n">
        <v>1451</v>
      </c>
      <c r="G39" s="88" t="n">
        <v>0.895679012345679</v>
      </c>
      <c r="H39" s="87" t="n">
        <v>860</v>
      </c>
      <c r="I39" s="89" t="n">
        <v>0.5308641975308642</v>
      </c>
      <c r="J39" s="87" t="n">
        <v>1812</v>
      </c>
      <c r="K39" s="87" t="n">
        <v>1754</v>
      </c>
      <c r="L39" s="88" t="n">
        <v>0.968</v>
      </c>
      <c r="M39" s="87" t="n">
        <v>7604</v>
      </c>
      <c r="N39" s="87" t="n">
        <v>7664</v>
      </c>
      <c r="O39" s="87" t="n">
        <v>7449</v>
      </c>
      <c r="P39" s="88" t="n">
        <v>0.9796159915833772</v>
      </c>
      <c r="Q39" s="87" t="n">
        <v>22</v>
      </c>
      <c r="R39" s="87" t="n">
        <v>0</v>
      </c>
      <c r="S39" s="87" t="n">
        <v>0</v>
      </c>
      <c r="T39" s="88" t="n">
        <v>0</v>
      </c>
      <c r="U39" s="87" t="n">
        <v>0</v>
      </c>
      <c r="V39" s="88" t="n">
        <v>0</v>
      </c>
      <c r="W39" s="87" t="n">
        <v>275</v>
      </c>
      <c r="X39" s="88" t="n">
        <v>0.1697530864197531</v>
      </c>
      <c r="Y39" s="87" t="n">
        <v>611</v>
      </c>
      <c r="Z39" s="90" t="n">
        <v>0.3771604938271605</v>
      </c>
      <c r="AA39" s="87" t="n">
        <v>1</v>
      </c>
      <c r="AB39" s="88" t="n">
        <v>0.0006172839506172839</v>
      </c>
      <c r="AC39" s="87" t="n">
        <v>135</v>
      </c>
      <c r="AD39" s="88" t="n">
        <v>0.08333333333333333</v>
      </c>
      <c r="AE39" s="87" t="n">
        <v>21</v>
      </c>
      <c r="AF39" s="88" t="n">
        <v>0.1555555555555556</v>
      </c>
      <c r="AG39" s="87" t="n">
        <v>106</v>
      </c>
      <c r="AH39" s="88" t="n">
        <v>0.7851851851851852</v>
      </c>
      <c r="AI39" s="91" t="n">
        <v>102</v>
      </c>
      <c r="AJ39" s="88" t="n">
        <v>0.06296296296296296</v>
      </c>
      <c r="AK39" s="91" t="n">
        <v>6</v>
      </c>
      <c r="AL39" s="88" t="n">
        <v>0.8921568627450981</v>
      </c>
      <c r="AM39" s="91" t="n">
        <v>102</v>
      </c>
      <c r="AN39" s="91" t="n">
        <v>91</v>
      </c>
      <c r="AO39" s="88" t="n">
        <v>0.05617283950617284</v>
      </c>
      <c r="AP39" s="88" t="n">
        <v>0.674074074074074</v>
      </c>
      <c r="AQ39" s="89" t="n">
        <v>0.963855421686747</v>
      </c>
      <c r="AR39" s="89" t="n">
        <v>0.6542056074766355</v>
      </c>
      <c r="AS39" s="89" t="n">
        <v>0.6448598130841121</v>
      </c>
      <c r="AT39" s="91" t="n">
        <v>0</v>
      </c>
      <c r="AU39" s="91" t="n">
        <v>0</v>
      </c>
      <c r="AV39" s="91" t="n">
        <v>26</v>
      </c>
      <c r="AW39" s="91" t="n">
        <v>20</v>
      </c>
      <c r="AX39" s="91" t="n">
        <v>21</v>
      </c>
      <c r="AY39" s="91" t="n">
        <v>43</v>
      </c>
      <c r="AZ39" s="88" t="n">
        <v>0.01234567901234568</v>
      </c>
      <c r="BA39" s="88" t="n">
        <v>0.01296296296296296</v>
      </c>
      <c r="BB39" s="88" t="n">
        <v>0.02654320987654321</v>
      </c>
      <c r="BC39" s="88" t="n">
        <v>0.2307692307692308</v>
      </c>
      <c r="BD39" s="91" t="n">
        <v>0</v>
      </c>
      <c r="BE39" s="91" t="n">
        <v>0</v>
      </c>
      <c r="BF39" s="89" t="n">
        <v>1</v>
      </c>
      <c r="BG39" s="89" t="n">
        <v>1</v>
      </c>
      <c r="BH39" s="89" t="inlineStr">
        <is>
          <t>-</t>
        </is>
      </c>
    </row>
    <row r="40" ht="19.55" customHeight="1">
      <c r="A40" s="92" t="n">
        <v>37</v>
      </c>
      <c r="B40" s="87" t="inlineStr">
        <is>
          <t>全国</t>
        </is>
      </c>
      <c r="C40" s="93" t="n">
        <v>46240</v>
      </c>
      <c r="D40" s="87" t="inlineStr">
        <is>
          <t>NX8</t>
        </is>
      </c>
      <c r="E40" s="87" t="n">
        <v>6249</v>
      </c>
      <c r="F40" s="87" t="n">
        <v>5458</v>
      </c>
      <c r="G40" s="88" t="n">
        <v>0.8734197471595455</v>
      </c>
      <c r="H40" s="87" t="n">
        <v>2353</v>
      </c>
      <c r="I40" s="89" t="n">
        <v>0.3765402464394303</v>
      </c>
      <c r="J40" s="87" t="n">
        <v>5355</v>
      </c>
      <c r="K40" s="87" t="n">
        <v>5197</v>
      </c>
      <c r="L40" s="88" t="n">
        <v>0.97</v>
      </c>
      <c r="M40" s="87" t="n">
        <v>23590</v>
      </c>
      <c r="N40" s="87" t="n">
        <v>23202</v>
      </c>
      <c r="O40" s="87" t="n">
        <v>23122</v>
      </c>
      <c r="P40" s="88" t="n">
        <v>0.9801610852055956</v>
      </c>
      <c r="Q40" s="87" t="n">
        <v>78</v>
      </c>
      <c r="R40" s="87" t="n">
        <v>0</v>
      </c>
      <c r="S40" s="87" t="n">
        <v>0</v>
      </c>
      <c r="T40" s="88" t="n">
        <v>0</v>
      </c>
      <c r="U40" s="87" t="n">
        <v>0</v>
      </c>
      <c r="V40" s="88" t="n">
        <v>0</v>
      </c>
      <c r="W40" s="87" t="n">
        <v>694</v>
      </c>
      <c r="X40" s="88" t="n">
        <v>0.1110577692430789</v>
      </c>
      <c r="Y40" s="87" t="n">
        <v>3300</v>
      </c>
      <c r="Z40" s="90" t="n">
        <v>0.528084493518963</v>
      </c>
      <c r="AA40" s="87" t="n">
        <v>8</v>
      </c>
      <c r="AB40" s="88" t="n">
        <v>0.001280204832773244</v>
      </c>
      <c r="AC40" s="87" t="n">
        <v>514</v>
      </c>
      <c r="AD40" s="88" t="n">
        <v>0.08225316050568091</v>
      </c>
      <c r="AE40" s="87" t="n">
        <v>86</v>
      </c>
      <c r="AF40" s="88" t="n">
        <v>0.1673151750972763</v>
      </c>
      <c r="AG40" s="87" t="n">
        <v>445</v>
      </c>
      <c r="AH40" s="88" t="n">
        <v>0.8657587548638133</v>
      </c>
      <c r="AI40" s="91" t="n">
        <v>468</v>
      </c>
      <c r="AJ40" s="88" t="n">
        <v>0.07489198271723475</v>
      </c>
      <c r="AK40" s="91" t="n">
        <v>27</v>
      </c>
      <c r="AL40" s="88" t="n">
        <v>0.8525641025641025</v>
      </c>
      <c r="AM40" s="91" t="n">
        <v>454</v>
      </c>
      <c r="AN40" s="91" t="n">
        <v>399</v>
      </c>
      <c r="AO40" s="88" t="n">
        <v>0.06385021603456553</v>
      </c>
      <c r="AP40" s="88" t="n">
        <v>0.7762645914396887</v>
      </c>
      <c r="AQ40" s="89" t="n">
        <v>0.9739952718676123</v>
      </c>
      <c r="AR40" s="89" t="n">
        <v>0.5525727069351231</v>
      </c>
      <c r="AS40" s="89" t="n">
        <v>0.5302013422818792</v>
      </c>
      <c r="AT40" s="91" t="n">
        <v>0</v>
      </c>
      <c r="AU40" s="91" t="n">
        <v>0</v>
      </c>
      <c r="AV40" s="91" t="n">
        <v>75</v>
      </c>
      <c r="AW40" s="91" t="n">
        <v>67</v>
      </c>
      <c r="AX40" s="91" t="n">
        <v>58</v>
      </c>
      <c r="AY40" s="91" t="n">
        <v>86</v>
      </c>
      <c r="AZ40" s="88" t="n">
        <v>0.01072171547447592</v>
      </c>
      <c r="BA40" s="88" t="n">
        <v>0.009281485037606016</v>
      </c>
      <c r="BB40" s="88" t="n">
        <v>0.01376220195231237</v>
      </c>
      <c r="BC40" s="88" t="n">
        <v>0.1453634085213033</v>
      </c>
      <c r="BD40" s="91" t="n">
        <v>0</v>
      </c>
      <c r="BE40" s="91" t="n">
        <v>0</v>
      </c>
      <c r="BF40" s="89" t="n">
        <v>0.9555555555555556</v>
      </c>
      <c r="BG40" s="89" t="n">
        <v>1</v>
      </c>
      <c r="BH40" s="89" t="inlineStr">
        <is>
          <t>-</t>
        </is>
      </c>
    </row>
    <row r="41" ht="19.55" customHeight="1">
      <c r="A41" s="92" t="n">
        <v>38</v>
      </c>
      <c r="B41" s="87" t="inlineStr">
        <is>
          <t>全国</t>
        </is>
      </c>
      <c r="C41" s="93" t="n">
        <v>46240</v>
      </c>
      <c r="D41" s="87" t="inlineStr">
        <is>
          <t>天籁·鸿蒙座舱</t>
        </is>
      </c>
      <c r="E41" s="87" t="n">
        <v>3260</v>
      </c>
      <c r="F41" s="87" t="n">
        <v>2919</v>
      </c>
      <c r="G41" s="88" t="n">
        <v>0.895398773006135</v>
      </c>
      <c r="H41" s="87" t="n">
        <v>1768</v>
      </c>
      <c r="I41" s="89" t="n">
        <v>0.5423312883435583</v>
      </c>
      <c r="J41" s="87" t="n">
        <v>3508</v>
      </c>
      <c r="K41" s="87" t="n">
        <v>3424</v>
      </c>
      <c r="L41" s="88" t="n">
        <v>0.976</v>
      </c>
      <c r="M41" s="87" t="n">
        <v>16868</v>
      </c>
      <c r="N41" s="87" t="n">
        <v>16756</v>
      </c>
      <c r="O41" s="87" t="n">
        <v>16591</v>
      </c>
      <c r="P41" s="88" t="n">
        <v>0.9835783732511264</v>
      </c>
      <c r="Q41" s="87" t="n">
        <v>23</v>
      </c>
      <c r="R41" s="87" t="n">
        <v>0</v>
      </c>
      <c r="S41" s="87" t="n">
        <v>0</v>
      </c>
      <c r="T41" s="88" t="n">
        <v>0</v>
      </c>
      <c r="U41" s="87" t="n">
        <v>0</v>
      </c>
      <c r="V41" s="88" t="n">
        <v>0</v>
      </c>
      <c r="W41" s="87" t="n">
        <v>371</v>
      </c>
      <c r="X41" s="88" t="n">
        <v>0.1138036809815951</v>
      </c>
      <c r="Y41" s="87" t="n">
        <v>1189</v>
      </c>
      <c r="Z41" s="90" t="n">
        <v>0.3647239263803681</v>
      </c>
      <c r="AA41" s="87" t="n">
        <v>8</v>
      </c>
      <c r="AB41" s="88" t="n">
        <v>0.00245398773006135</v>
      </c>
      <c r="AC41" s="87" t="n">
        <v>227</v>
      </c>
      <c r="AD41" s="88" t="n">
        <v>0.0696319018404908</v>
      </c>
      <c r="AE41" s="87" t="n">
        <v>25</v>
      </c>
      <c r="AF41" s="88" t="n">
        <v>0.1101321585903084</v>
      </c>
      <c r="AG41" s="87" t="n">
        <v>189</v>
      </c>
      <c r="AH41" s="88" t="n">
        <v>0.8325991189427313</v>
      </c>
      <c r="AI41" s="91" t="n">
        <v>188</v>
      </c>
      <c r="AJ41" s="88" t="n">
        <v>0.05766871165644172</v>
      </c>
      <c r="AK41" s="91" t="n">
        <v>12</v>
      </c>
      <c r="AL41" s="88" t="n">
        <v>0.8404255319148937</v>
      </c>
      <c r="AM41" s="91" t="n">
        <v>185</v>
      </c>
      <c r="AN41" s="91" t="n">
        <v>158</v>
      </c>
      <c r="AO41" s="88" t="n">
        <v>0.04846625766871165</v>
      </c>
      <c r="AP41" s="88" t="n">
        <v>0.6960352422907489</v>
      </c>
      <c r="AQ41" s="89" t="n">
        <v>0.9863013698630136</v>
      </c>
      <c r="AR41" s="89" t="n">
        <v>0.5759162303664922</v>
      </c>
      <c r="AS41" s="89" t="n">
        <v>0.5602094240837696</v>
      </c>
      <c r="AT41" s="91" t="n">
        <v>0</v>
      </c>
      <c r="AU41" s="91" t="n">
        <v>0</v>
      </c>
      <c r="AV41" s="91" t="n">
        <v>52</v>
      </c>
      <c r="AW41" s="91" t="n">
        <v>48</v>
      </c>
      <c r="AX41" s="91" t="n">
        <v>43</v>
      </c>
      <c r="AY41" s="91" t="n">
        <v>50</v>
      </c>
      <c r="AZ41" s="88" t="n">
        <v>0.0147239263803681</v>
      </c>
      <c r="BA41" s="88" t="n">
        <v>0.01319018404907975</v>
      </c>
      <c r="BB41" s="88" t="n">
        <v>0.01533742331288344</v>
      </c>
      <c r="BC41" s="88" t="n">
        <v>0.2721518987341772</v>
      </c>
      <c r="BD41" s="91" t="n">
        <v>0</v>
      </c>
      <c r="BE41" s="91" t="n">
        <v>1</v>
      </c>
      <c r="BF41" s="89" t="n">
        <v>0.8947368421052632</v>
      </c>
      <c r="BG41" s="89" t="n">
        <v>1</v>
      </c>
      <c r="BH41" s="89" t="inlineStr">
        <is>
          <t>-</t>
        </is>
      </c>
    </row>
    <row r="42" ht="19.55" customHeight="1">
      <c r="A42" s="92" t="n">
        <v>39</v>
      </c>
      <c r="B42" s="87" t="inlineStr">
        <is>
          <t>全国</t>
        </is>
      </c>
      <c r="C42" s="93" t="n">
        <v>46241</v>
      </c>
      <c r="D42" s="87" t="n"/>
      <c r="E42" s="87" t="n">
        <v>40</v>
      </c>
      <c r="F42" s="87" t="n">
        <v>40</v>
      </c>
      <c r="G42" s="88" t="n">
        <v>1</v>
      </c>
      <c r="H42" s="87" t="n">
        <v>40</v>
      </c>
      <c r="I42" s="89" t="n">
        <v>1</v>
      </c>
      <c r="J42" s="87" t="n">
        <v>0</v>
      </c>
      <c r="K42" s="87" t="n">
        <v>0</v>
      </c>
      <c r="L42" s="88" t="n">
        <v>0</v>
      </c>
      <c r="M42" s="87" t="n">
        <v>2</v>
      </c>
      <c r="N42" s="87" t="n">
        <v>0</v>
      </c>
      <c r="O42" s="87" t="n">
        <v>0</v>
      </c>
      <c r="P42" s="88" t="n">
        <v>0</v>
      </c>
      <c r="Q42" s="87" t="n">
        <v>2</v>
      </c>
      <c r="R42" s="87" t="n">
        <v>0</v>
      </c>
      <c r="S42" s="87" t="n">
        <v>0</v>
      </c>
      <c r="T42" s="88" t="n">
        <v>0</v>
      </c>
      <c r="U42" s="87" t="n">
        <v>0</v>
      </c>
      <c r="V42" s="88" t="n">
        <v>0</v>
      </c>
      <c r="W42" s="87" t="n">
        <v>12</v>
      </c>
      <c r="X42" s="88" t="n">
        <v>0.3</v>
      </c>
      <c r="Y42" s="87" t="n">
        <v>14</v>
      </c>
      <c r="Z42" s="90" t="n">
        <v>0.35</v>
      </c>
      <c r="AA42" s="87" t="n">
        <v>0</v>
      </c>
      <c r="AB42" s="88" t="n">
        <v>0</v>
      </c>
      <c r="AC42" s="87" t="n">
        <v>0</v>
      </c>
      <c r="AD42" s="88" t="n">
        <v>0</v>
      </c>
      <c r="AE42" s="87" t="n">
        <v>0</v>
      </c>
      <c r="AF42" s="88" t="n">
        <v>0</v>
      </c>
      <c r="AG42" s="87" t="n">
        <v>0</v>
      </c>
      <c r="AH42" s="88" t="n">
        <v>0</v>
      </c>
      <c r="AI42" s="91" t="n">
        <v>0</v>
      </c>
      <c r="AJ42" s="88" t="n">
        <v>0</v>
      </c>
      <c r="AK42" s="91" t="n">
        <v>0</v>
      </c>
      <c r="AL42" s="88" t="n">
        <v>0</v>
      </c>
      <c r="AM42" s="91" t="n">
        <v>0</v>
      </c>
      <c r="AN42" s="91" t="n">
        <v>0</v>
      </c>
      <c r="AO42" s="88" t="n">
        <v>0</v>
      </c>
      <c r="AP42" s="88" t="n">
        <v>0</v>
      </c>
      <c r="AQ42" s="89" t="n">
        <v>0</v>
      </c>
      <c r="AR42" s="89" t="inlineStr">
        <is>
          <t>0.0%</t>
        </is>
      </c>
      <c r="AS42" s="89" t="inlineStr">
        <is>
          <t>0.0%</t>
        </is>
      </c>
      <c r="AT42" s="91" t="n">
        <v>0</v>
      </c>
      <c r="AU42" s="91" t="n">
        <v>0</v>
      </c>
      <c r="AV42" s="91" t="n">
        <v>0</v>
      </c>
      <c r="AW42" s="91" t="n">
        <v>0</v>
      </c>
      <c r="AX42" s="91" t="n">
        <v>0</v>
      </c>
      <c r="AY42" s="91" t="n">
        <v>0</v>
      </c>
      <c r="AZ42" s="88" t="n">
        <v>0</v>
      </c>
      <c r="BA42" s="88" t="n">
        <v>0</v>
      </c>
      <c r="BB42" s="88" t="n">
        <v>0</v>
      </c>
      <c r="BC42" s="88" t="n">
        <v>0</v>
      </c>
      <c r="BD42" s="91" t="n">
        <v>0</v>
      </c>
      <c r="BE42" s="91" t="n">
        <v>0</v>
      </c>
      <c r="BF42" s="89" t="inlineStr">
        <is>
          <t>-</t>
        </is>
      </c>
      <c r="BG42" s="89" t="inlineStr">
        <is>
          <t>-</t>
        </is>
      </c>
      <c r="BH42" s="89" t="n">
        <v>1</v>
      </c>
    </row>
    <row r="43" ht="19.55" customHeight="1">
      <c r="A43" s="92" t="n">
        <v>40</v>
      </c>
      <c r="B43" s="87" t="inlineStr">
        <is>
          <t>全国</t>
        </is>
      </c>
      <c r="C43" s="93" t="n">
        <v>46241</v>
      </c>
      <c r="D43" s="87" t="inlineStr">
        <is>
          <t>2026款探陆</t>
        </is>
      </c>
      <c r="E43" s="87" t="n">
        <v>343</v>
      </c>
      <c r="F43" s="87" t="n">
        <v>314</v>
      </c>
      <c r="G43" s="88" t="n">
        <v>0.9154518950437318</v>
      </c>
      <c r="H43" s="87" t="n">
        <v>91</v>
      </c>
      <c r="I43" s="89" t="n">
        <v>0.2653061224489796</v>
      </c>
      <c r="J43" s="87" t="n">
        <v>330</v>
      </c>
      <c r="K43" s="87" t="n">
        <v>219</v>
      </c>
      <c r="L43" s="88" t="n">
        <v>0.664</v>
      </c>
      <c r="M43" s="87" t="n">
        <v>782</v>
      </c>
      <c r="N43" s="87" t="n">
        <v>767</v>
      </c>
      <c r="O43" s="87" t="n">
        <v>633</v>
      </c>
      <c r="P43" s="88" t="n">
        <v>0.809462915601023</v>
      </c>
      <c r="Q43" s="87" t="n">
        <v>53</v>
      </c>
      <c r="R43" s="87" t="n">
        <v>0</v>
      </c>
      <c r="S43" s="87" t="n">
        <v>0</v>
      </c>
      <c r="T43" s="88" t="n">
        <v>0</v>
      </c>
      <c r="U43" s="87" t="n">
        <v>0</v>
      </c>
      <c r="V43" s="88" t="n">
        <v>0</v>
      </c>
      <c r="W43" s="87" t="n">
        <v>6</v>
      </c>
      <c r="X43" s="88" t="n">
        <v>0.01749271137026239</v>
      </c>
      <c r="Y43" s="87" t="n">
        <v>34</v>
      </c>
      <c r="Z43" s="90" t="n">
        <v>0.09912536443148688</v>
      </c>
      <c r="AA43" s="87" t="n">
        <v>0</v>
      </c>
      <c r="AB43" s="88" t="n">
        <v>0</v>
      </c>
      <c r="AC43" s="87" t="n">
        <v>1</v>
      </c>
      <c r="AD43" s="88" t="n">
        <v>0.002915451895043732</v>
      </c>
      <c r="AE43" s="87" t="n">
        <v>0</v>
      </c>
      <c r="AF43" s="88" t="n">
        <v>0</v>
      </c>
      <c r="AG43" s="87" t="n">
        <v>0</v>
      </c>
      <c r="AH43" s="88" t="n">
        <v>0</v>
      </c>
      <c r="AI43" s="91" t="n">
        <v>0</v>
      </c>
      <c r="AJ43" s="88" t="n">
        <v>0</v>
      </c>
      <c r="AK43" s="91" t="n">
        <v>0</v>
      </c>
      <c r="AL43" s="88" t="n">
        <v>0</v>
      </c>
      <c r="AM43" s="91" t="n">
        <v>0</v>
      </c>
      <c r="AN43" s="91" t="n">
        <v>0</v>
      </c>
      <c r="AO43" s="88" t="n">
        <v>0</v>
      </c>
      <c r="AP43" s="88" t="n">
        <v>0</v>
      </c>
      <c r="AQ43" s="89" t="n">
        <v>1</v>
      </c>
      <c r="AR43" s="89" t="inlineStr">
        <is>
          <t>0.0%</t>
        </is>
      </c>
      <c r="AS43" s="89" t="inlineStr">
        <is>
          <t>0.0%</t>
        </is>
      </c>
      <c r="AT43" s="91" t="n">
        <v>0</v>
      </c>
      <c r="AU43" s="91" t="n">
        <v>0</v>
      </c>
      <c r="AV43" s="91" t="n">
        <v>5</v>
      </c>
      <c r="AW43" s="91" t="n">
        <v>5</v>
      </c>
      <c r="AX43" s="91" t="n">
        <v>4</v>
      </c>
      <c r="AY43" s="91" t="n">
        <v>1</v>
      </c>
      <c r="AZ43" s="88" t="n">
        <v>0.01457725947521866</v>
      </c>
      <c r="BA43" s="88" t="n">
        <v>0.01166180758017493</v>
      </c>
      <c r="BB43" s="88" t="n">
        <v>0.002915451895043732</v>
      </c>
      <c r="BC43" s="88" t="n">
        <v>0</v>
      </c>
      <c r="BD43" s="91" t="n">
        <v>0</v>
      </c>
      <c r="BE43" s="91" t="n">
        <v>0</v>
      </c>
      <c r="BF43" s="89" t="inlineStr">
        <is>
          <t>-</t>
        </is>
      </c>
      <c r="BG43" s="89" t="n">
        <v>1</v>
      </c>
      <c r="BH43" s="89" t="inlineStr">
        <is>
          <t>-</t>
        </is>
      </c>
    </row>
    <row r="44" ht="19.55" customHeight="1">
      <c r="A44" s="92" t="n">
        <v>41</v>
      </c>
      <c r="B44" s="87" t="inlineStr">
        <is>
          <t>全国</t>
        </is>
      </c>
      <c r="C44" s="93" t="n">
        <v>46241</v>
      </c>
      <c r="D44" s="87" t="inlineStr">
        <is>
          <t>N6</t>
        </is>
      </c>
      <c r="E44" s="87" t="n">
        <v>1491</v>
      </c>
      <c r="F44" s="87" t="n">
        <v>1300</v>
      </c>
      <c r="G44" s="88" t="n">
        <v>0.8718980549966465</v>
      </c>
      <c r="H44" s="87" t="n">
        <v>767</v>
      </c>
      <c r="I44" s="89" t="n">
        <v>0.5144198524480215</v>
      </c>
      <c r="J44" s="87" t="n">
        <v>1596</v>
      </c>
      <c r="K44" s="87" t="n">
        <v>1561</v>
      </c>
      <c r="L44" s="88" t="n">
        <v>0.978</v>
      </c>
      <c r="M44" s="87" t="n">
        <v>8698</v>
      </c>
      <c r="N44" s="87" t="n">
        <v>8955</v>
      </c>
      <c r="O44" s="87" t="n">
        <v>8587</v>
      </c>
      <c r="P44" s="88" t="n">
        <v>0.9872384456196827</v>
      </c>
      <c r="Q44" s="87" t="n">
        <v>18</v>
      </c>
      <c r="R44" s="87" t="n">
        <v>0</v>
      </c>
      <c r="S44" s="87" t="n">
        <v>0</v>
      </c>
      <c r="T44" s="88" t="n">
        <v>0</v>
      </c>
      <c r="U44" s="87" t="n">
        <v>0</v>
      </c>
      <c r="V44" s="88" t="n">
        <v>0</v>
      </c>
      <c r="W44" s="87" t="n">
        <v>333</v>
      </c>
      <c r="X44" s="88" t="n">
        <v>0.2233400402414487</v>
      </c>
      <c r="Y44" s="87" t="n">
        <v>581</v>
      </c>
      <c r="Z44" s="90" t="n">
        <v>0.3896713615023474</v>
      </c>
      <c r="AA44" s="87" t="n">
        <v>1</v>
      </c>
      <c r="AB44" s="88" t="n">
        <v>0.0006706908115358819</v>
      </c>
      <c r="AC44" s="87" t="n">
        <v>157</v>
      </c>
      <c r="AD44" s="88" t="n">
        <v>0.1052984574111335</v>
      </c>
      <c r="AE44" s="87" t="n">
        <v>30</v>
      </c>
      <c r="AF44" s="88" t="n">
        <v>0.1910828025477707</v>
      </c>
      <c r="AG44" s="87" t="n">
        <v>109</v>
      </c>
      <c r="AH44" s="88" t="n">
        <v>0.6942675159235668</v>
      </c>
      <c r="AI44" s="91" t="n">
        <v>115</v>
      </c>
      <c r="AJ44" s="88" t="n">
        <v>0.07712944332662643</v>
      </c>
      <c r="AK44" s="91" t="n">
        <v>11</v>
      </c>
      <c r="AL44" s="88" t="n">
        <v>0.8608695652173913</v>
      </c>
      <c r="AM44" s="91" t="n">
        <v>114</v>
      </c>
      <c r="AN44" s="91" t="n">
        <v>99</v>
      </c>
      <c r="AO44" s="88" t="n">
        <v>0.06639839034205232</v>
      </c>
      <c r="AP44" s="88" t="n">
        <v>0.6305732484076433</v>
      </c>
      <c r="AQ44" s="89" t="n">
        <v>0.9901960784313726</v>
      </c>
      <c r="AR44" s="89" t="n">
        <v>0.6949152542372882</v>
      </c>
      <c r="AS44" s="89" t="n">
        <v>0.6610169491525424</v>
      </c>
      <c r="AT44" s="91" t="n">
        <v>0</v>
      </c>
      <c r="AU44" s="91" t="n">
        <v>0</v>
      </c>
      <c r="AV44" s="91" t="n">
        <v>23</v>
      </c>
      <c r="AW44" s="91" t="n">
        <v>23</v>
      </c>
      <c r="AX44" s="91" t="n">
        <v>24</v>
      </c>
      <c r="AY44" s="91" t="n">
        <v>27</v>
      </c>
      <c r="AZ44" s="88" t="n">
        <v>0.01542588866532528</v>
      </c>
      <c r="BA44" s="88" t="n">
        <v>0.01609657947686117</v>
      </c>
      <c r="BB44" s="88" t="n">
        <v>0.01810865191146881</v>
      </c>
      <c r="BC44" s="88" t="n">
        <v>0.2424242424242424</v>
      </c>
      <c r="BD44" s="91" t="n">
        <v>0</v>
      </c>
      <c r="BE44" s="91" t="n">
        <v>0</v>
      </c>
      <c r="BF44" s="89" t="n">
        <v>1</v>
      </c>
      <c r="BG44" s="89" t="n">
        <v>1</v>
      </c>
      <c r="BH44" s="89" t="inlineStr">
        <is>
          <t>-</t>
        </is>
      </c>
    </row>
    <row r="45" ht="19.55" customHeight="1">
      <c r="A45" s="92" t="n">
        <v>42</v>
      </c>
      <c r="B45" s="87" t="inlineStr">
        <is>
          <t>全国</t>
        </is>
      </c>
      <c r="C45" s="93" t="n">
        <v>46241</v>
      </c>
      <c r="D45" s="87" t="inlineStr">
        <is>
          <t>N7</t>
        </is>
      </c>
      <c r="E45" s="87" t="n">
        <v>1402</v>
      </c>
      <c r="F45" s="87" t="n">
        <v>1256</v>
      </c>
      <c r="G45" s="88" t="n">
        <v>0.8958630527817404</v>
      </c>
      <c r="H45" s="87" t="n">
        <v>765</v>
      </c>
      <c r="I45" s="89" t="n">
        <v>0.5456490727532097</v>
      </c>
      <c r="J45" s="87" t="n">
        <v>1633</v>
      </c>
      <c r="K45" s="87" t="n">
        <v>1597</v>
      </c>
      <c r="L45" s="88" t="n">
        <v>0.978</v>
      </c>
      <c r="M45" s="87" t="n">
        <v>7538</v>
      </c>
      <c r="N45" s="87" t="n">
        <v>7809</v>
      </c>
      <c r="O45" s="87" t="n">
        <v>7447</v>
      </c>
      <c r="P45" s="88" t="n">
        <v>0.9879278323162642</v>
      </c>
      <c r="Q45" s="87" t="n">
        <v>18</v>
      </c>
      <c r="R45" s="87" t="n">
        <v>0</v>
      </c>
      <c r="S45" s="87" t="n">
        <v>0</v>
      </c>
      <c r="T45" s="88" t="n">
        <v>0</v>
      </c>
      <c r="U45" s="87" t="n">
        <v>0</v>
      </c>
      <c r="V45" s="88" t="n">
        <v>0</v>
      </c>
      <c r="W45" s="87" t="n">
        <v>307</v>
      </c>
      <c r="X45" s="88" t="n">
        <v>0.2189728958630528</v>
      </c>
      <c r="Y45" s="87" t="n">
        <v>420</v>
      </c>
      <c r="Z45" s="90" t="n">
        <v>0.2995720399429387</v>
      </c>
      <c r="AA45" s="87" t="n">
        <v>0</v>
      </c>
      <c r="AB45" s="88" t="n">
        <v>0</v>
      </c>
      <c r="AC45" s="87" t="n">
        <v>157</v>
      </c>
      <c r="AD45" s="88" t="n">
        <v>0.1119828815977175</v>
      </c>
      <c r="AE45" s="87" t="n">
        <v>44</v>
      </c>
      <c r="AF45" s="88" t="n">
        <v>0.2802547770700637</v>
      </c>
      <c r="AG45" s="87" t="n">
        <v>122</v>
      </c>
      <c r="AH45" s="88" t="n">
        <v>0.7770700636942676</v>
      </c>
      <c r="AI45" s="91" t="n">
        <v>127</v>
      </c>
      <c r="AJ45" s="88" t="n">
        <v>0.0905848787446505</v>
      </c>
      <c r="AK45" s="91" t="n">
        <v>3</v>
      </c>
      <c r="AL45" s="88" t="n">
        <v>0.8267716535433071</v>
      </c>
      <c r="AM45" s="91" t="n">
        <v>126</v>
      </c>
      <c r="AN45" s="91" t="n">
        <v>105</v>
      </c>
      <c r="AO45" s="88" t="n">
        <v>0.07489300998573467</v>
      </c>
      <c r="AP45" s="88" t="n">
        <v>0.6687898089171974</v>
      </c>
      <c r="AQ45" s="89" t="n">
        <v>0.9896907216494846</v>
      </c>
      <c r="AR45" s="89" t="n">
        <v>0.5901639344262295</v>
      </c>
      <c r="AS45" s="89" t="n">
        <v>0.5901639344262295</v>
      </c>
      <c r="AT45" s="91" t="n">
        <v>0</v>
      </c>
      <c r="AU45" s="91" t="n">
        <v>0</v>
      </c>
      <c r="AV45" s="91" t="n">
        <v>28</v>
      </c>
      <c r="AW45" s="91" t="n">
        <v>27</v>
      </c>
      <c r="AX45" s="91" t="n">
        <v>27</v>
      </c>
      <c r="AY45" s="91" t="n">
        <v>40</v>
      </c>
      <c r="AZ45" s="88" t="n">
        <v>0.01925820256776034</v>
      </c>
      <c r="BA45" s="88" t="n">
        <v>0.01925820256776034</v>
      </c>
      <c r="BB45" s="88" t="n">
        <v>0.02853067047075606</v>
      </c>
      <c r="BC45" s="88" t="n">
        <v>0.2571428571428571</v>
      </c>
      <c r="BD45" s="91" t="n">
        <v>0</v>
      </c>
      <c r="BE45" s="91" t="n">
        <v>0</v>
      </c>
      <c r="BF45" s="89" t="n">
        <v>1</v>
      </c>
      <c r="BG45" s="89" t="n">
        <v>1</v>
      </c>
      <c r="BH45" s="89" t="inlineStr">
        <is>
          <t>-</t>
        </is>
      </c>
    </row>
    <row r="46" ht="19.55" customHeight="1">
      <c r="A46" s="92" t="n">
        <v>43</v>
      </c>
      <c r="B46" s="87" t="inlineStr">
        <is>
          <t>全国</t>
        </is>
      </c>
      <c r="C46" s="93" t="n">
        <v>46241</v>
      </c>
      <c r="D46" s="87" t="inlineStr">
        <is>
          <t>NX8</t>
        </is>
      </c>
      <c r="E46" s="87" t="n">
        <v>6590</v>
      </c>
      <c r="F46" s="87" t="n">
        <v>5748</v>
      </c>
      <c r="G46" s="88" t="n">
        <v>0.8722306525037936</v>
      </c>
      <c r="H46" s="87" t="n">
        <v>2528</v>
      </c>
      <c r="I46" s="89" t="n">
        <v>0.3836115326251897</v>
      </c>
      <c r="J46" s="87" t="n">
        <v>6347</v>
      </c>
      <c r="K46" s="87" t="n">
        <v>6198</v>
      </c>
      <c r="L46" s="88" t="n">
        <v>0.977</v>
      </c>
      <c r="M46" s="87" t="n">
        <v>25117</v>
      </c>
      <c r="N46" s="87" t="n">
        <v>26482</v>
      </c>
      <c r="O46" s="87" t="n">
        <v>24740</v>
      </c>
      <c r="P46" s="88" t="n">
        <v>0.9849902456503563</v>
      </c>
      <c r="Q46" s="87" t="n">
        <v>72</v>
      </c>
      <c r="R46" s="87" t="n">
        <v>0</v>
      </c>
      <c r="S46" s="87" t="n">
        <v>0</v>
      </c>
      <c r="T46" s="88" t="n">
        <v>0</v>
      </c>
      <c r="U46" s="87" t="n">
        <v>0</v>
      </c>
      <c r="V46" s="88" t="n">
        <v>0</v>
      </c>
      <c r="W46" s="87" t="n">
        <v>770</v>
      </c>
      <c r="X46" s="88" t="n">
        <v>0.1168437025796662</v>
      </c>
      <c r="Y46" s="87" t="n">
        <v>1818</v>
      </c>
      <c r="Z46" s="90" t="n">
        <v>0.2758725341426403</v>
      </c>
      <c r="AA46" s="87" t="n">
        <v>5</v>
      </c>
      <c r="AB46" s="88" t="n">
        <v>0.0007587253414264037</v>
      </c>
      <c r="AC46" s="87" t="n">
        <v>569</v>
      </c>
      <c r="AD46" s="88" t="n">
        <v>0.08634294385432474</v>
      </c>
      <c r="AE46" s="87" t="n">
        <v>111</v>
      </c>
      <c r="AF46" s="88" t="n">
        <v>0.195079086115993</v>
      </c>
      <c r="AG46" s="87" t="n">
        <v>499</v>
      </c>
      <c r="AH46" s="88" t="n">
        <v>0.8769771528998243</v>
      </c>
      <c r="AI46" s="91" t="n">
        <v>504</v>
      </c>
      <c r="AJ46" s="88" t="n">
        <v>0.07647951441578149</v>
      </c>
      <c r="AK46" s="91" t="n">
        <v>29</v>
      </c>
      <c r="AL46" s="88" t="n">
        <v>0.871031746031746</v>
      </c>
      <c r="AM46" s="91" t="n">
        <v>492</v>
      </c>
      <c r="AN46" s="91" t="n">
        <v>439</v>
      </c>
      <c r="AO46" s="88" t="n">
        <v>0.06661608497723824</v>
      </c>
      <c r="AP46" s="88" t="n">
        <v>0.7715289982425307</v>
      </c>
      <c r="AQ46" s="89" t="n">
        <v>0.9789719626168224</v>
      </c>
      <c r="AR46" s="89" t="n">
        <v>0.5784313725490197</v>
      </c>
      <c r="AS46" s="89" t="n">
        <v>0.5588235294117647</v>
      </c>
      <c r="AT46" s="91" t="n">
        <v>0</v>
      </c>
      <c r="AU46" s="91" t="n">
        <v>0</v>
      </c>
      <c r="AV46" s="91" t="n">
        <v>82</v>
      </c>
      <c r="AW46" s="91" t="n">
        <v>73</v>
      </c>
      <c r="AX46" s="91" t="n">
        <v>75</v>
      </c>
      <c r="AY46" s="91" t="n">
        <v>73</v>
      </c>
      <c r="AZ46" s="88" t="n">
        <v>0.01107738998482549</v>
      </c>
      <c r="BA46" s="88" t="n">
        <v>0.01138088012139605</v>
      </c>
      <c r="BB46" s="88" t="n">
        <v>0.01107738998482549</v>
      </c>
      <c r="BC46" s="88" t="n">
        <v>0.1708428246013667</v>
      </c>
      <c r="BD46" s="91" t="n">
        <v>0</v>
      </c>
      <c r="BE46" s="91" t="n">
        <v>0</v>
      </c>
      <c r="BF46" s="89" t="n">
        <v>0.9508196721311475</v>
      </c>
      <c r="BG46" s="89" t="n">
        <v>1</v>
      </c>
      <c r="BH46" s="89" t="inlineStr">
        <is>
          <t>-</t>
        </is>
      </c>
    </row>
    <row r="47" ht="19.55" customHeight="1">
      <c r="A47" s="92" t="n">
        <v>44</v>
      </c>
      <c r="B47" s="87" t="inlineStr">
        <is>
          <t>全国</t>
        </is>
      </c>
      <c r="C47" s="93" t="n">
        <v>46241</v>
      </c>
      <c r="D47" s="87" t="inlineStr">
        <is>
          <t>天籁·鸿蒙座舱</t>
        </is>
      </c>
      <c r="E47" s="87" t="n">
        <v>3384</v>
      </c>
      <c r="F47" s="87" t="n">
        <v>2974</v>
      </c>
      <c r="G47" s="88" t="n">
        <v>0.8788416075650118</v>
      </c>
      <c r="H47" s="87" t="n">
        <v>1725</v>
      </c>
      <c r="I47" s="89" t="n">
        <v>0.5097517730496454</v>
      </c>
      <c r="J47" s="87" t="n">
        <v>3030</v>
      </c>
      <c r="K47" s="87" t="n">
        <v>2967</v>
      </c>
      <c r="L47" s="88" t="n">
        <v>0.979</v>
      </c>
      <c r="M47" s="87" t="n">
        <v>16768</v>
      </c>
      <c r="N47" s="87" t="n">
        <v>17494</v>
      </c>
      <c r="O47" s="87" t="n">
        <v>16579</v>
      </c>
      <c r="P47" s="88" t="n">
        <v>0.9887285305343512</v>
      </c>
      <c r="Q47" s="87" t="n">
        <v>28</v>
      </c>
      <c r="R47" s="87" t="n">
        <v>0</v>
      </c>
      <c r="S47" s="87" t="n">
        <v>0</v>
      </c>
      <c r="T47" s="88" t="n">
        <v>0</v>
      </c>
      <c r="U47" s="87" t="n">
        <v>0</v>
      </c>
      <c r="V47" s="88" t="n">
        <v>0</v>
      </c>
      <c r="W47" s="87" t="n">
        <v>486</v>
      </c>
      <c r="X47" s="88" t="n">
        <v>0.1436170212765958</v>
      </c>
      <c r="Y47" s="87" t="n">
        <v>988</v>
      </c>
      <c r="Z47" s="90" t="n">
        <v>0.2919621749408983</v>
      </c>
      <c r="AA47" s="87" t="n">
        <v>9</v>
      </c>
      <c r="AB47" s="88" t="n">
        <v>0.002659574468085106</v>
      </c>
      <c r="AC47" s="87" t="n">
        <v>254</v>
      </c>
      <c r="AD47" s="88" t="n">
        <v>0.07505910165484633</v>
      </c>
      <c r="AE47" s="87" t="n">
        <v>37</v>
      </c>
      <c r="AF47" s="88" t="n">
        <v>0.1456692913385827</v>
      </c>
      <c r="AG47" s="87" t="n">
        <v>223</v>
      </c>
      <c r="AH47" s="88" t="n">
        <v>0.8779527559055118</v>
      </c>
      <c r="AI47" s="91" t="n">
        <v>218</v>
      </c>
      <c r="AJ47" s="88" t="n">
        <v>0.06442080378250591</v>
      </c>
      <c r="AK47" s="91" t="n">
        <v>17</v>
      </c>
      <c r="AL47" s="88" t="n">
        <v>0.8899082568807339</v>
      </c>
      <c r="AM47" s="91" t="n">
        <v>213</v>
      </c>
      <c r="AN47" s="91" t="n">
        <v>194</v>
      </c>
      <c r="AO47" s="88" t="n">
        <v>0.05732860520094563</v>
      </c>
      <c r="AP47" s="88" t="n">
        <v>0.7637795275590551</v>
      </c>
      <c r="AQ47" s="89" t="n">
        <v>0.9715909090909091</v>
      </c>
      <c r="AR47" s="89" t="n">
        <v>0.514018691588785</v>
      </c>
      <c r="AS47" s="89" t="n">
        <v>0.4579439252336449</v>
      </c>
      <c r="AT47" s="91" t="n">
        <v>0</v>
      </c>
      <c r="AU47" s="91" t="n">
        <v>0</v>
      </c>
      <c r="AV47" s="91" t="n">
        <v>73</v>
      </c>
      <c r="AW47" s="91" t="n">
        <v>69</v>
      </c>
      <c r="AX47" s="91" t="n">
        <v>74</v>
      </c>
      <c r="AY47" s="91" t="n">
        <v>48</v>
      </c>
      <c r="AZ47" s="88" t="n">
        <v>0.02039007092198582</v>
      </c>
      <c r="BA47" s="88" t="n">
        <v>0.02186761229314421</v>
      </c>
      <c r="BB47" s="88" t="n">
        <v>0.01418439716312057</v>
      </c>
      <c r="BC47" s="88" t="n">
        <v>0.3814432989690721</v>
      </c>
      <c r="BD47" s="91" t="n">
        <v>0</v>
      </c>
      <c r="BE47" s="91" t="n">
        <v>0</v>
      </c>
      <c r="BF47" s="89" t="n">
        <v>0.9375</v>
      </c>
      <c r="BG47" s="89" t="n">
        <v>1</v>
      </c>
      <c r="BH47" s="89" t="inlineStr">
        <is>
          <t>-</t>
        </is>
      </c>
    </row>
    <row r="48" ht="19.55" customHeight="1">
      <c r="A48" s="92" t="n">
        <v>45</v>
      </c>
      <c r="B48" s="87" t="inlineStr">
        <is>
          <t>全国</t>
        </is>
      </c>
      <c r="C48" s="93" t="n">
        <v>46242</v>
      </c>
      <c r="D48" s="87" t="n"/>
      <c r="E48" s="87" t="n">
        <v>53</v>
      </c>
      <c r="F48" s="87" t="n">
        <v>53</v>
      </c>
      <c r="G48" s="88" t="n">
        <v>1</v>
      </c>
      <c r="H48" s="87" t="n">
        <v>53</v>
      </c>
      <c r="I48" s="89" t="n">
        <v>1</v>
      </c>
      <c r="J48" s="87" t="n">
        <v>0</v>
      </c>
      <c r="K48" s="87" t="n">
        <v>0</v>
      </c>
      <c r="L48" s="88" t="n">
        <v>0</v>
      </c>
      <c r="M48" s="87" t="n">
        <v>0</v>
      </c>
      <c r="N48" s="87" t="n">
        <v>0</v>
      </c>
      <c r="O48" s="87" t="n">
        <v>0</v>
      </c>
      <c r="P48" s="88" t="n">
        <v>0</v>
      </c>
      <c r="Q48" s="87" t="n">
        <v>0</v>
      </c>
      <c r="R48" s="87" t="n">
        <v>0</v>
      </c>
      <c r="S48" s="87" t="n">
        <v>0</v>
      </c>
      <c r="T48" s="88" t="n">
        <v>0</v>
      </c>
      <c r="U48" s="87" t="n">
        <v>0</v>
      </c>
      <c r="V48" s="88" t="n">
        <v>0</v>
      </c>
      <c r="W48" s="87" t="n">
        <v>19</v>
      </c>
      <c r="X48" s="88" t="n">
        <v>0.3584905660377358</v>
      </c>
      <c r="Y48" s="87" t="n">
        <v>10</v>
      </c>
      <c r="Z48" s="90" t="n">
        <v>0.1886792452830189</v>
      </c>
      <c r="AA48" s="87" t="n">
        <v>0</v>
      </c>
      <c r="AB48" s="88" t="n">
        <v>0</v>
      </c>
      <c r="AC48" s="87" t="n">
        <v>0</v>
      </c>
      <c r="AD48" s="88" t="n">
        <v>0</v>
      </c>
      <c r="AE48" s="87" t="n">
        <v>0</v>
      </c>
      <c r="AF48" s="88" t="n">
        <v>0</v>
      </c>
      <c r="AG48" s="87" t="n">
        <v>0</v>
      </c>
      <c r="AH48" s="88" t="n">
        <v>0</v>
      </c>
      <c r="AI48" s="91" t="n">
        <v>0</v>
      </c>
      <c r="AJ48" s="88" t="n">
        <v>0</v>
      </c>
      <c r="AK48" s="91" t="n">
        <v>0</v>
      </c>
      <c r="AL48" s="88" t="n">
        <v>0</v>
      </c>
      <c r="AM48" s="91" t="n">
        <v>0</v>
      </c>
      <c r="AN48" s="91" t="n">
        <v>0</v>
      </c>
      <c r="AO48" s="88" t="n">
        <v>0</v>
      </c>
      <c r="AP48" s="88" t="n">
        <v>0</v>
      </c>
      <c r="AQ48" s="89" t="n"/>
      <c r="AR48" s="89" t="n">
        <v>0</v>
      </c>
      <c r="AS48" s="89" t="n">
        <v>0</v>
      </c>
      <c r="AT48" s="91" t="n">
        <v>0</v>
      </c>
      <c r="AU48" s="91" t="n">
        <v>0</v>
      </c>
      <c r="AV48" s="91" t="n">
        <v>0</v>
      </c>
      <c r="AW48" s="91" t="n">
        <v>0</v>
      </c>
      <c r="AX48" s="91" t="n">
        <v>0</v>
      </c>
      <c r="AY48" s="91" t="n">
        <v>0</v>
      </c>
      <c r="AZ48" s="88" t="n">
        <v>0</v>
      </c>
      <c r="BA48" s="88" t="n">
        <v>0</v>
      </c>
      <c r="BB48" s="88" t="n">
        <v>0</v>
      </c>
      <c r="BC48" s="88" t="n">
        <v>0</v>
      </c>
      <c r="BD48" s="91" t="n">
        <v>0</v>
      </c>
      <c r="BE48" s="91" t="n">
        <v>0</v>
      </c>
      <c r="BF48" s="89" t="inlineStr">
        <is>
          <t>-</t>
        </is>
      </c>
      <c r="BG48" s="89" t="inlineStr">
        <is>
          <t>-</t>
        </is>
      </c>
      <c r="BH48" s="89" t="n">
        <v>1</v>
      </c>
    </row>
    <row r="49" ht="19.55" customHeight="1">
      <c r="A49" s="92" t="n">
        <v>46</v>
      </c>
      <c r="B49" s="87" t="inlineStr">
        <is>
          <t>全国</t>
        </is>
      </c>
      <c r="C49" s="93" t="n">
        <v>46242</v>
      </c>
      <c r="D49" s="87" t="inlineStr">
        <is>
          <t>2026款探陆</t>
        </is>
      </c>
      <c r="E49" s="87" t="n">
        <v>557</v>
      </c>
      <c r="F49" s="87" t="n">
        <v>519</v>
      </c>
      <c r="G49" s="88" t="n">
        <v>0.9317773788150808</v>
      </c>
      <c r="H49" s="87" t="n">
        <v>104</v>
      </c>
      <c r="I49" s="89" t="n">
        <v>0.1867145421903052</v>
      </c>
      <c r="J49" s="87" t="n">
        <v>452</v>
      </c>
      <c r="K49" s="87" t="n">
        <v>295</v>
      </c>
      <c r="L49" s="88" t="n">
        <v>0.653</v>
      </c>
      <c r="M49" s="87" t="n">
        <v>991</v>
      </c>
      <c r="N49" s="87" t="n">
        <v>947</v>
      </c>
      <c r="O49" s="87" t="n">
        <v>780</v>
      </c>
      <c r="P49" s="88" t="n">
        <v>0.7870837537840565</v>
      </c>
      <c r="Q49" s="87" t="n">
        <v>68</v>
      </c>
      <c r="R49" s="87" t="n">
        <v>0</v>
      </c>
      <c r="S49" s="87" t="n">
        <v>0</v>
      </c>
      <c r="T49" s="88" t="n">
        <v>0</v>
      </c>
      <c r="U49" s="87" t="n">
        <v>0</v>
      </c>
      <c r="V49" s="88" t="n">
        <v>0</v>
      </c>
      <c r="W49" s="87" t="n">
        <v>2</v>
      </c>
      <c r="X49" s="88" t="n">
        <v>0.003590664272890485</v>
      </c>
      <c r="Y49" s="87" t="n">
        <v>40</v>
      </c>
      <c r="Z49" s="90" t="n">
        <v>0.0718132854578097</v>
      </c>
      <c r="AA49" s="87" t="n">
        <v>0</v>
      </c>
      <c r="AB49" s="88" t="n">
        <v>0</v>
      </c>
      <c r="AC49" s="87" t="n">
        <v>0</v>
      </c>
      <c r="AD49" s="88" t="n">
        <v>0</v>
      </c>
      <c r="AE49" s="87" t="n">
        <v>0</v>
      </c>
      <c r="AF49" s="88" t="n">
        <v>0</v>
      </c>
      <c r="AG49" s="87" t="n">
        <v>0</v>
      </c>
      <c r="AH49" s="88" t="n">
        <v>0</v>
      </c>
      <c r="AI49" s="91" t="n">
        <v>0</v>
      </c>
      <c r="AJ49" s="88" t="n">
        <v>0</v>
      </c>
      <c r="AK49" s="91" t="n">
        <v>0</v>
      </c>
      <c r="AL49" s="88" t="n">
        <v>0</v>
      </c>
      <c r="AM49" s="91" t="n">
        <v>0</v>
      </c>
      <c r="AN49" s="91" t="n">
        <v>0</v>
      </c>
      <c r="AO49" s="88" t="n">
        <v>0</v>
      </c>
      <c r="AP49" s="88" t="n">
        <v>0</v>
      </c>
      <c r="AQ49" s="89" t="n"/>
      <c r="AR49" s="89" t="n">
        <v>0.6666666666666666</v>
      </c>
      <c r="AS49" s="89" t="n">
        <v>0.6666666666666666</v>
      </c>
      <c r="AT49" s="91" t="n">
        <v>0</v>
      </c>
      <c r="AU49" s="91" t="n">
        <v>0</v>
      </c>
      <c r="AV49" s="91" t="n">
        <v>7</v>
      </c>
      <c r="AW49" s="91" t="n">
        <v>7</v>
      </c>
      <c r="AX49" s="91" t="n">
        <v>8</v>
      </c>
      <c r="AY49" s="91" t="n">
        <v>2</v>
      </c>
      <c r="AZ49" s="88" t="n">
        <v>0.0125673249551167</v>
      </c>
      <c r="BA49" s="88" t="n">
        <v>0.01436265709156194</v>
      </c>
      <c r="BB49" s="88" t="n">
        <v>0.003590664272890485</v>
      </c>
      <c r="BC49" s="88" t="n">
        <v>0</v>
      </c>
      <c r="BD49" s="91" t="n">
        <v>0</v>
      </c>
      <c r="BE49" s="91" t="n">
        <v>0</v>
      </c>
      <c r="BF49" s="89" t="inlineStr">
        <is>
          <t>-</t>
        </is>
      </c>
      <c r="BG49" s="89" t="n">
        <v>1</v>
      </c>
      <c r="BH49" s="89" t="inlineStr">
        <is>
          <t>-</t>
        </is>
      </c>
    </row>
    <row r="50" ht="19.55" customHeight="1">
      <c r="A50" s="92" t="n">
        <v>47</v>
      </c>
      <c r="B50" s="87" t="inlineStr">
        <is>
          <t>全国</t>
        </is>
      </c>
      <c r="C50" s="93" t="n">
        <v>46242</v>
      </c>
      <c r="D50" s="87" t="inlineStr">
        <is>
          <t>N6</t>
        </is>
      </c>
      <c r="E50" s="87" t="n">
        <v>1697</v>
      </c>
      <c r="F50" s="87" t="n">
        <v>1538</v>
      </c>
      <c r="G50" s="88" t="n">
        <v>0.9063052445492045</v>
      </c>
      <c r="H50" s="87" t="n">
        <v>908</v>
      </c>
      <c r="I50" s="89" t="n">
        <v>0.5350618738951091</v>
      </c>
      <c r="J50" s="87" t="n">
        <v>1626</v>
      </c>
      <c r="K50" s="87" t="n">
        <v>1580</v>
      </c>
      <c r="L50" s="88" t="n">
        <v>0.972</v>
      </c>
      <c r="M50" s="87" t="n">
        <v>8482</v>
      </c>
      <c r="N50" s="87" t="n">
        <v>8715</v>
      </c>
      <c r="O50" s="87" t="n">
        <v>8367</v>
      </c>
      <c r="P50" s="88" t="n">
        <v>0.9864418769158217</v>
      </c>
      <c r="Q50" s="87" t="n">
        <v>23</v>
      </c>
      <c r="R50" s="87" t="n">
        <v>0</v>
      </c>
      <c r="S50" s="87" t="n">
        <v>0</v>
      </c>
      <c r="T50" s="88" t="n">
        <v>0</v>
      </c>
      <c r="U50" s="87" t="n">
        <v>0</v>
      </c>
      <c r="V50" s="88" t="n">
        <v>0</v>
      </c>
      <c r="W50" s="87" t="n">
        <v>251</v>
      </c>
      <c r="X50" s="88" t="n">
        <v>0.1479080730701237</v>
      </c>
      <c r="Y50" s="87" t="n">
        <v>495</v>
      </c>
      <c r="Z50" s="90" t="n">
        <v>0.2916912197996465</v>
      </c>
      <c r="AA50" s="87" t="n">
        <v>4</v>
      </c>
      <c r="AB50" s="88" t="n">
        <v>0.002357100766057749</v>
      </c>
      <c r="AC50" s="87" t="n">
        <v>223</v>
      </c>
      <c r="AD50" s="88" t="n">
        <v>0.1314083677077195</v>
      </c>
      <c r="AE50" s="87" t="n">
        <v>29</v>
      </c>
      <c r="AF50" s="88" t="n">
        <v>0.1300448430493273</v>
      </c>
      <c r="AG50" s="87" t="n">
        <v>155</v>
      </c>
      <c r="AH50" s="88" t="n">
        <v>0.695067264573991</v>
      </c>
      <c r="AI50" s="91" t="n">
        <v>169</v>
      </c>
      <c r="AJ50" s="88" t="n">
        <v>0.0995875073659399</v>
      </c>
      <c r="AK50" s="91" t="n">
        <v>12</v>
      </c>
      <c r="AL50" s="88" t="n">
        <v>0.8461538461538461</v>
      </c>
      <c r="AM50" s="91" t="n">
        <v>163</v>
      </c>
      <c r="AN50" s="91" t="n">
        <v>143</v>
      </c>
      <c r="AO50" s="88" t="n">
        <v>0.08426635238656452</v>
      </c>
      <c r="AP50" s="88" t="n">
        <v>0.6412556053811659</v>
      </c>
      <c r="AQ50" s="89" t="n">
        <v>0.9823008849557522</v>
      </c>
      <c r="AR50" s="89" t="n">
        <v>0.625</v>
      </c>
      <c r="AS50" s="89" t="n">
        <v>0.6309523809523809</v>
      </c>
      <c r="AT50" s="91" t="n">
        <v>0</v>
      </c>
      <c r="AU50" s="91" t="n">
        <v>0</v>
      </c>
      <c r="AV50" s="91" t="n">
        <v>44</v>
      </c>
      <c r="AW50" s="91" t="n">
        <v>42</v>
      </c>
      <c r="AX50" s="91" t="n">
        <v>40</v>
      </c>
      <c r="AY50" s="91" t="n">
        <v>17</v>
      </c>
      <c r="AZ50" s="88" t="n">
        <v>0.02474955804360636</v>
      </c>
      <c r="BA50" s="88" t="n">
        <v>0.02357100766057749</v>
      </c>
      <c r="BB50" s="88" t="n">
        <v>0.01001767825574543</v>
      </c>
      <c r="BC50" s="88" t="n">
        <v>0.2797202797202797</v>
      </c>
      <c r="BD50" s="91" t="n">
        <v>0</v>
      </c>
      <c r="BE50" s="91" t="n">
        <v>0</v>
      </c>
      <c r="BF50" s="89" t="n">
        <v>1</v>
      </c>
      <c r="BG50" s="89" t="n">
        <v>1</v>
      </c>
      <c r="BH50" s="89" t="inlineStr">
        <is>
          <t>-</t>
        </is>
      </c>
    </row>
    <row r="51" ht="19.55" customHeight="1">
      <c r="A51" s="92" t="n">
        <v>48</v>
      </c>
      <c r="B51" s="87" t="inlineStr">
        <is>
          <t>全国</t>
        </is>
      </c>
      <c r="C51" s="93" t="n">
        <v>46242</v>
      </c>
      <c r="D51" s="87" t="inlineStr">
        <is>
          <t>N7</t>
        </is>
      </c>
      <c r="E51" s="87" t="n">
        <v>1454</v>
      </c>
      <c r="F51" s="87" t="n">
        <v>1300</v>
      </c>
      <c r="G51" s="88" t="n">
        <v>0.8940852819807428</v>
      </c>
      <c r="H51" s="87" t="n">
        <v>816</v>
      </c>
      <c r="I51" s="89" t="n">
        <v>0.5612104539202201</v>
      </c>
      <c r="J51" s="87" t="n">
        <v>1247</v>
      </c>
      <c r="K51" s="87" t="n">
        <v>1214</v>
      </c>
      <c r="L51" s="88" t="n">
        <v>0.974</v>
      </c>
      <c r="M51" s="87" t="n">
        <v>6892</v>
      </c>
      <c r="N51" s="87" t="n">
        <v>6699</v>
      </c>
      <c r="O51" s="87" t="n">
        <v>6750</v>
      </c>
      <c r="P51" s="88" t="n">
        <v>0.9793964016250726</v>
      </c>
      <c r="Q51" s="87" t="n">
        <v>56</v>
      </c>
      <c r="R51" s="87" t="n">
        <v>0</v>
      </c>
      <c r="S51" s="87" t="n">
        <v>0</v>
      </c>
      <c r="T51" s="88" t="n">
        <v>0</v>
      </c>
      <c r="U51" s="87" t="n">
        <v>0</v>
      </c>
      <c r="V51" s="88" t="n">
        <v>0</v>
      </c>
      <c r="W51" s="87" t="n">
        <v>172</v>
      </c>
      <c r="X51" s="88" t="n">
        <v>0.1182943603851444</v>
      </c>
      <c r="Y51" s="87" t="n">
        <v>308</v>
      </c>
      <c r="Z51" s="90" t="n">
        <v>0.2118294360385145</v>
      </c>
      <c r="AA51" s="87" t="n">
        <v>2</v>
      </c>
      <c r="AB51" s="88" t="n">
        <v>0.001375515818431912</v>
      </c>
      <c r="AC51" s="87" t="n">
        <v>206</v>
      </c>
      <c r="AD51" s="88" t="n">
        <v>0.1416781292984869</v>
      </c>
      <c r="AE51" s="87" t="n">
        <v>47</v>
      </c>
      <c r="AF51" s="88" t="n">
        <v>0.2281553398058253</v>
      </c>
      <c r="AG51" s="87" t="n">
        <v>172</v>
      </c>
      <c r="AH51" s="88" t="n">
        <v>0.8349514563106796</v>
      </c>
      <c r="AI51" s="91" t="n">
        <v>186</v>
      </c>
      <c r="AJ51" s="88" t="n">
        <v>0.1279229711141678</v>
      </c>
      <c r="AK51" s="91" t="n">
        <v>15</v>
      </c>
      <c r="AL51" s="88" t="n">
        <v>0.8870967741935484</v>
      </c>
      <c r="AM51" s="91" t="n">
        <v>182</v>
      </c>
      <c r="AN51" s="91" t="n">
        <v>165</v>
      </c>
      <c r="AO51" s="88" t="n">
        <v>0.1134800550206327</v>
      </c>
      <c r="AP51" s="88" t="n">
        <v>0.8009708737864077</v>
      </c>
      <c r="AQ51" s="89" t="n">
        <v>0.9734513274336283</v>
      </c>
      <c r="AR51" s="89" t="n">
        <v>0.6494252873563219</v>
      </c>
      <c r="AS51" s="89" t="n">
        <v>0.6149425287356322</v>
      </c>
      <c r="AT51" s="91" t="n">
        <v>0</v>
      </c>
      <c r="AU51" s="91" t="n">
        <v>0</v>
      </c>
      <c r="AV51" s="91" t="n">
        <v>25</v>
      </c>
      <c r="AW51" s="91" t="n">
        <v>22</v>
      </c>
      <c r="AX51" s="91" t="n">
        <v>21</v>
      </c>
      <c r="AY51" s="91" t="n">
        <v>27</v>
      </c>
      <c r="AZ51" s="88" t="n">
        <v>0.01513067400275103</v>
      </c>
      <c r="BA51" s="88" t="n">
        <v>0.01444291609353508</v>
      </c>
      <c r="BB51" s="88" t="n">
        <v>0.01856946354883081</v>
      </c>
      <c r="BC51" s="88" t="n">
        <v>0.1272727272727273</v>
      </c>
      <c r="BD51" s="91" t="n">
        <v>0</v>
      </c>
      <c r="BE51" s="91" t="n">
        <v>0</v>
      </c>
      <c r="BF51" s="89" t="n">
        <v>1</v>
      </c>
      <c r="BG51" s="89" t="n">
        <v>1</v>
      </c>
      <c r="BH51" s="89" t="inlineStr">
        <is>
          <t>-</t>
        </is>
      </c>
    </row>
    <row r="52" ht="19.55" customHeight="1">
      <c r="A52" s="92" t="n">
        <v>49</v>
      </c>
      <c r="B52" s="87" t="inlineStr">
        <is>
          <t>全国</t>
        </is>
      </c>
      <c r="C52" s="93" t="n">
        <v>46242</v>
      </c>
      <c r="D52" s="87" t="inlineStr">
        <is>
          <t>NX8</t>
        </is>
      </c>
      <c r="E52" s="87" t="n">
        <v>6316</v>
      </c>
      <c r="F52" s="87" t="n">
        <v>5642</v>
      </c>
      <c r="G52" s="88" t="n">
        <v>0.8932868904369854</v>
      </c>
      <c r="H52" s="87" t="n">
        <v>2456</v>
      </c>
      <c r="I52" s="89" t="n">
        <v>0.3888537048765041</v>
      </c>
      <c r="J52" s="87" t="n">
        <v>4660</v>
      </c>
      <c r="K52" s="87" t="n">
        <v>4520</v>
      </c>
      <c r="L52" s="88" t="n">
        <v>0.97</v>
      </c>
      <c r="M52" s="87" t="n">
        <v>23018</v>
      </c>
      <c r="N52" s="87" t="n">
        <v>23887</v>
      </c>
      <c r="O52" s="87" t="n">
        <v>22688</v>
      </c>
      <c r="P52" s="88" t="n">
        <v>0.9856633938656704</v>
      </c>
      <c r="Q52" s="87" t="n">
        <v>77</v>
      </c>
      <c r="R52" s="87" t="n">
        <v>0</v>
      </c>
      <c r="S52" s="87" t="n">
        <v>0</v>
      </c>
      <c r="T52" s="88" t="n">
        <v>0</v>
      </c>
      <c r="U52" s="87" t="n">
        <v>0</v>
      </c>
      <c r="V52" s="88" t="n">
        <v>0</v>
      </c>
      <c r="W52" s="87" t="n">
        <v>615</v>
      </c>
      <c r="X52" s="88" t="n">
        <v>0.0973717542748575</v>
      </c>
      <c r="Y52" s="87" t="n">
        <v>1783</v>
      </c>
      <c r="Z52" s="90" t="n">
        <v>0.282298923369221</v>
      </c>
      <c r="AA52" s="87" t="n">
        <v>8</v>
      </c>
      <c r="AB52" s="88" t="n">
        <v>0.001266624445851805</v>
      </c>
      <c r="AC52" s="87" t="n">
        <v>841</v>
      </c>
      <c r="AD52" s="88" t="n">
        <v>0.133153894870171</v>
      </c>
      <c r="AE52" s="87" t="n">
        <v>162</v>
      </c>
      <c r="AF52" s="88" t="n">
        <v>0.192627824019025</v>
      </c>
      <c r="AG52" s="87" t="n">
        <v>727</v>
      </c>
      <c r="AH52" s="88" t="n">
        <v>0.8644470868014269</v>
      </c>
      <c r="AI52" s="91" t="n">
        <v>843</v>
      </c>
      <c r="AJ52" s="88" t="n">
        <v>0.1334705509816339</v>
      </c>
      <c r="AK52" s="91" t="n">
        <v>54</v>
      </c>
      <c r="AL52" s="88" t="n">
        <v>0.797153024911032</v>
      </c>
      <c r="AM52" s="91" t="n">
        <v>754</v>
      </c>
      <c r="AN52" s="91" t="n">
        <v>672</v>
      </c>
      <c r="AO52" s="88" t="n">
        <v>0.1063964534515516</v>
      </c>
      <c r="AP52" s="88" t="n">
        <v>0.7990487514863258</v>
      </c>
      <c r="AQ52" s="89" t="n">
        <v>0.9875</v>
      </c>
      <c r="AR52" s="89" t="n">
        <v>0.540920716112532</v>
      </c>
      <c r="AS52" s="89" t="n">
        <v>0.5242966751918159</v>
      </c>
      <c r="AT52" s="91" t="n">
        <v>0</v>
      </c>
      <c r="AU52" s="91" t="n">
        <v>0</v>
      </c>
      <c r="AV52" s="91" t="n">
        <v>126</v>
      </c>
      <c r="AW52" s="91" t="n">
        <v>112</v>
      </c>
      <c r="AX52" s="91" t="n">
        <v>113</v>
      </c>
      <c r="AY52" s="91" t="n">
        <v>61</v>
      </c>
      <c r="AZ52" s="88" t="n">
        <v>0.01773274224192527</v>
      </c>
      <c r="BA52" s="88" t="n">
        <v>0.01789107029765674</v>
      </c>
      <c r="BB52" s="88" t="n">
        <v>0.009658011399620013</v>
      </c>
      <c r="BC52" s="88" t="n">
        <v>0.1681547619047619</v>
      </c>
      <c r="BD52" s="91" t="n">
        <v>0</v>
      </c>
      <c r="BE52" s="91" t="n">
        <v>0</v>
      </c>
      <c r="BF52" s="89" t="n">
        <v>0.9662921348314607</v>
      </c>
      <c r="BG52" s="89" t="n">
        <v>1</v>
      </c>
      <c r="BH52" s="89" t="inlineStr">
        <is>
          <t>-</t>
        </is>
      </c>
    </row>
    <row r="53" ht="19.55" customHeight="1">
      <c r="A53" s="92" t="n">
        <v>50</v>
      </c>
      <c r="B53" s="87" t="inlineStr">
        <is>
          <t>全国</t>
        </is>
      </c>
      <c r="C53" s="93" t="n">
        <v>46242</v>
      </c>
      <c r="D53" s="87" t="inlineStr">
        <is>
          <t>天籁·鸿蒙座舱</t>
        </is>
      </c>
      <c r="E53" s="87" t="n">
        <v>3404</v>
      </c>
      <c r="F53" s="87" t="n">
        <v>3018</v>
      </c>
      <c r="G53" s="88" t="n">
        <v>0.8866039952996475</v>
      </c>
      <c r="H53" s="87" t="n">
        <v>1914</v>
      </c>
      <c r="I53" s="89" t="n">
        <v>0.5622796709753232</v>
      </c>
      <c r="J53" s="87" t="n">
        <v>4150</v>
      </c>
      <c r="K53" s="87" t="n">
        <v>4088</v>
      </c>
      <c r="L53" s="88" t="n">
        <v>0.985</v>
      </c>
      <c r="M53" s="87" t="n">
        <v>17771</v>
      </c>
      <c r="N53" s="87" t="n">
        <v>17762</v>
      </c>
      <c r="O53" s="87" t="n">
        <v>17599</v>
      </c>
      <c r="P53" s="88" t="n">
        <v>0.99032131</v>
      </c>
      <c r="Q53" s="87" t="n">
        <v>30</v>
      </c>
      <c r="R53" s="87" t="n">
        <v>0</v>
      </c>
      <c r="S53" s="87" t="n">
        <v>0</v>
      </c>
      <c r="T53" s="88" t="n">
        <v>0</v>
      </c>
      <c r="U53" s="87" t="n">
        <v>0</v>
      </c>
      <c r="V53" s="88" t="n">
        <v>0</v>
      </c>
      <c r="W53" s="87" t="n">
        <v>299</v>
      </c>
      <c r="X53" s="88" t="n">
        <v>0.08783783783783784</v>
      </c>
      <c r="Y53" s="87" t="n">
        <v>699</v>
      </c>
      <c r="Z53" s="90" t="n">
        <v>0.2053466509988249</v>
      </c>
      <c r="AA53" s="87" t="n">
        <v>11</v>
      </c>
      <c r="AB53" s="88" t="n">
        <v>0.003231492361927144</v>
      </c>
      <c r="AC53" s="87" t="n">
        <v>360</v>
      </c>
      <c r="AD53" s="88" t="n">
        <v>0.1057579318448884</v>
      </c>
      <c r="AE53" s="87" t="n">
        <v>38</v>
      </c>
      <c r="AF53" s="88" t="n">
        <v>0.1055555555555556</v>
      </c>
      <c r="AG53" s="87" t="n">
        <v>309</v>
      </c>
      <c r="AH53" s="88" t="n">
        <v>0.8583333333333333</v>
      </c>
      <c r="AI53" s="91" t="n">
        <v>315</v>
      </c>
      <c r="AJ53" s="88" t="n">
        <v>0.09253819036427732</v>
      </c>
      <c r="AK53" s="91" t="n">
        <v>10</v>
      </c>
      <c r="AL53" s="88" t="n">
        <v>0.7428571428571429</v>
      </c>
      <c r="AM53" s="91" t="n">
        <v>297</v>
      </c>
      <c r="AN53" s="91" t="n">
        <v>234</v>
      </c>
      <c r="AO53" s="88" t="n">
        <v>0.06874265569917744</v>
      </c>
      <c r="AP53" s="88" t="n">
        <v>0.65</v>
      </c>
      <c r="AQ53" s="89" t="n">
        <v>0.9902439024390244</v>
      </c>
      <c r="AR53" s="89" t="n">
        <v>0.5033557046979866</v>
      </c>
      <c r="AS53" s="89" t="n">
        <v>0.4496644295302014</v>
      </c>
      <c r="AT53" s="91" t="n">
        <v>0</v>
      </c>
      <c r="AU53" s="91" t="n">
        <v>0</v>
      </c>
      <c r="AV53" s="91" t="n">
        <v>106</v>
      </c>
      <c r="AW53" s="91" t="n">
        <v>101</v>
      </c>
      <c r="AX53" s="91" t="n">
        <v>101</v>
      </c>
      <c r="AY53" s="91" t="n">
        <v>30</v>
      </c>
      <c r="AZ53" s="88" t="n">
        <v>0.02967097532314924</v>
      </c>
      <c r="BA53" s="88" t="n">
        <v>0.02967097532314924</v>
      </c>
      <c r="BB53" s="88" t="n">
        <v>0.008813160987074031</v>
      </c>
      <c r="BC53" s="88" t="n">
        <v>0.4316239316239316</v>
      </c>
      <c r="BD53" s="91" t="n">
        <v>0</v>
      </c>
      <c r="BE53" s="91" t="n">
        <v>1</v>
      </c>
      <c r="BF53" s="89" t="n">
        <v>0.8888888888888888</v>
      </c>
      <c r="BG53" s="89" t="n">
        <v>1</v>
      </c>
      <c r="BH53" s="89" t="inlineStr">
        <is>
          <t>-</t>
        </is>
      </c>
    </row>
    <row r="54" ht="25.6" customHeight="1">
      <c r="A54" s="92" t="n">
        <v>51</v>
      </c>
      <c r="B54" s="87" t="inlineStr">
        <is>
          <t>全国</t>
        </is>
      </c>
      <c r="C54" s="93" t="n">
        <v>46243</v>
      </c>
      <c r="D54" s="87" t="n"/>
      <c r="E54" s="87" t="n">
        <v>52</v>
      </c>
      <c r="F54" s="87" t="n">
        <v>52</v>
      </c>
      <c r="G54" s="88" t="n">
        <v>1</v>
      </c>
      <c r="H54" s="87" t="n">
        <v>52</v>
      </c>
      <c r="I54" s="89" t="n">
        <v>1</v>
      </c>
      <c r="J54" s="87" t="n">
        <v>0</v>
      </c>
      <c r="K54" s="87" t="n">
        <v>0</v>
      </c>
      <c r="L54" s="88" t="n">
        <v>0</v>
      </c>
      <c r="M54" s="87" t="n">
        <v>2</v>
      </c>
      <c r="N54" s="87" t="n">
        <v>1</v>
      </c>
      <c r="O54" s="87" t="n">
        <v>1</v>
      </c>
      <c r="P54" s="88" t="n">
        <v>0.5</v>
      </c>
      <c r="Q54" s="87" t="n">
        <v>1</v>
      </c>
      <c r="R54" s="87" t="n">
        <v>0</v>
      </c>
      <c r="S54" s="87" t="n">
        <v>0</v>
      </c>
      <c r="T54" s="88" t="n">
        <v>0</v>
      </c>
      <c r="U54" s="87" t="n">
        <v>0</v>
      </c>
      <c r="V54" s="88" t="n">
        <v>0</v>
      </c>
      <c r="W54" s="87" t="n">
        <v>22</v>
      </c>
      <c r="X54" s="88" t="n">
        <v>0.4230769230769231</v>
      </c>
      <c r="Y54" s="87" t="n">
        <v>65</v>
      </c>
      <c r="Z54" s="90" t="n">
        <v>1.25</v>
      </c>
      <c r="AA54" s="87" t="n">
        <v>0</v>
      </c>
      <c r="AB54" s="88" t="n">
        <v>0</v>
      </c>
      <c r="AC54" s="87" t="n">
        <v>0</v>
      </c>
      <c r="AD54" s="88" t="n">
        <v>0</v>
      </c>
      <c r="AE54" s="87" t="n">
        <v>0</v>
      </c>
      <c r="AF54" s="88" t="n">
        <v>0</v>
      </c>
      <c r="AG54" s="87" t="n">
        <v>0</v>
      </c>
      <c r="AH54" s="88" t="n">
        <v>0</v>
      </c>
      <c r="AI54" s="91" t="n">
        <v>0</v>
      </c>
      <c r="AJ54" s="88" t="n">
        <v>0</v>
      </c>
      <c r="AK54" s="91" t="n">
        <v>0</v>
      </c>
      <c r="AL54" s="88" t="n">
        <v>0</v>
      </c>
      <c r="AM54" s="91" t="n">
        <v>0</v>
      </c>
      <c r="AN54" s="91" t="n">
        <v>0</v>
      </c>
      <c r="AO54" s="88" t="n">
        <v>0</v>
      </c>
      <c r="AP54" s="88" t="n">
        <v>0</v>
      </c>
      <c r="AQ54" s="89" t="n">
        <v>0</v>
      </c>
      <c r="AR54" s="89" t="n">
        <v>0</v>
      </c>
      <c r="AS54" s="89" t="n">
        <v>0</v>
      </c>
      <c r="AT54" s="91" t="n">
        <v>0</v>
      </c>
      <c r="AU54" s="91" t="n">
        <v>0</v>
      </c>
      <c r="AV54" s="91" t="n">
        <v>0</v>
      </c>
      <c r="AW54" s="91" t="n">
        <v>0</v>
      </c>
      <c r="AX54" s="91" t="n">
        <v>0</v>
      </c>
      <c r="AY54" s="91" t="n">
        <v>0</v>
      </c>
      <c r="AZ54" s="88" t="n">
        <v>0</v>
      </c>
      <c r="BA54" s="88" t="n">
        <v>0</v>
      </c>
      <c r="BB54" s="88" t="n">
        <v>0</v>
      </c>
      <c r="BC54" s="88" t="n">
        <v>0</v>
      </c>
      <c r="BD54" s="91" t="n">
        <v>0</v>
      </c>
      <c r="BE54" s="91" t="n">
        <v>0</v>
      </c>
      <c r="BF54" s="89" t="inlineStr">
        <is>
          <t>-</t>
        </is>
      </c>
      <c r="BG54" s="89" t="inlineStr">
        <is>
          <t>-</t>
        </is>
      </c>
      <c r="BH54" s="89" t="n">
        <v>1</v>
      </c>
    </row>
    <row r="55" ht="19.55" customHeight="1">
      <c r="A55" s="92" t="n">
        <v>52</v>
      </c>
      <c r="B55" s="87" t="inlineStr">
        <is>
          <t>全国</t>
        </is>
      </c>
      <c r="C55" s="93" t="n">
        <v>46243</v>
      </c>
      <c r="D55" s="87" t="inlineStr">
        <is>
          <t>2026款探陆</t>
        </is>
      </c>
      <c r="E55" s="87" t="n">
        <v>476</v>
      </c>
      <c r="F55" s="87" t="n">
        <v>425</v>
      </c>
      <c r="G55" s="88" t="n">
        <v>0.8928571428571429</v>
      </c>
      <c r="H55" s="87" t="n">
        <v>131</v>
      </c>
      <c r="I55" s="89" t="n">
        <v>0.2752100840336135</v>
      </c>
      <c r="J55" s="87" t="n">
        <v>355</v>
      </c>
      <c r="K55" s="87" t="n">
        <v>213</v>
      </c>
      <c r="L55" s="88" t="n">
        <v>0.6</v>
      </c>
      <c r="M55" s="87" t="n">
        <v>899</v>
      </c>
      <c r="N55" s="87" t="n">
        <v>804</v>
      </c>
      <c r="O55" s="87" t="n">
        <v>693</v>
      </c>
      <c r="P55" s="88" t="n">
        <v>0.7708565072302559</v>
      </c>
      <c r="Q55" s="87" t="n">
        <v>63</v>
      </c>
      <c r="R55" s="87" t="n">
        <v>0</v>
      </c>
      <c r="S55" s="87" t="n">
        <v>0</v>
      </c>
      <c r="T55" s="88" t="n">
        <v>0</v>
      </c>
      <c r="U55" s="87" t="n">
        <v>0</v>
      </c>
      <c r="V55" s="88" t="n">
        <v>0</v>
      </c>
      <c r="W55" s="87" t="n">
        <v>0</v>
      </c>
      <c r="X55" s="88" t="n">
        <v>0</v>
      </c>
      <c r="Y55" s="87" t="n">
        <v>64</v>
      </c>
      <c r="Z55" s="90" t="n">
        <v>0.134453781512605</v>
      </c>
      <c r="AA55" s="87" t="n">
        <v>0</v>
      </c>
      <c r="AB55" s="88" t="n">
        <v>0</v>
      </c>
      <c r="AC55" s="87" t="n">
        <v>2</v>
      </c>
      <c r="AD55" s="88" t="n">
        <v>0.004201680672268907</v>
      </c>
      <c r="AE55" s="87" t="n">
        <v>0</v>
      </c>
      <c r="AF55" s="88" t="n">
        <v>0</v>
      </c>
      <c r="AG55" s="87" t="n">
        <v>2</v>
      </c>
      <c r="AH55" s="88" t="n">
        <v>1</v>
      </c>
      <c r="AI55" s="91" t="n">
        <v>0</v>
      </c>
      <c r="AJ55" s="88" t="n">
        <v>0</v>
      </c>
      <c r="AK55" s="91" t="n">
        <v>0</v>
      </c>
      <c r="AL55" s="88" t="n">
        <v>0</v>
      </c>
      <c r="AM55" s="91" t="n">
        <v>0</v>
      </c>
      <c r="AN55" s="91" t="n">
        <v>0</v>
      </c>
      <c r="AO55" s="88" t="n">
        <v>0</v>
      </c>
      <c r="AP55" s="88" t="n">
        <v>0</v>
      </c>
      <c r="AQ55" s="89" t="n">
        <v>1</v>
      </c>
      <c r="AR55" s="89" t="n">
        <v>0.6666666666666666</v>
      </c>
      <c r="AS55" s="89" t="n">
        <v>0.6666666666666666</v>
      </c>
      <c r="AT55" s="91" t="n">
        <v>0</v>
      </c>
      <c r="AU55" s="91" t="n">
        <v>0</v>
      </c>
      <c r="AV55" s="91" t="n">
        <v>5</v>
      </c>
      <c r="AW55" s="91" t="n">
        <v>5</v>
      </c>
      <c r="AX55" s="91" t="n">
        <v>5</v>
      </c>
      <c r="AY55" s="91" t="n">
        <v>3</v>
      </c>
      <c r="AZ55" s="88" t="n">
        <v>0.01050420168067227</v>
      </c>
      <c r="BA55" s="88" t="n">
        <v>0.01050420168067227</v>
      </c>
      <c r="BB55" s="88" t="n">
        <v>0.006302521008403362</v>
      </c>
      <c r="BC55" s="88" t="n">
        <v>0</v>
      </c>
      <c r="BD55" s="91" t="n">
        <v>0</v>
      </c>
      <c r="BE55" s="91" t="n">
        <v>0</v>
      </c>
      <c r="BF55" s="89" t="inlineStr">
        <is>
          <t>-</t>
        </is>
      </c>
      <c r="BG55" s="89" t="n">
        <v>1</v>
      </c>
      <c r="BH55" s="89" t="inlineStr">
        <is>
          <t>-</t>
        </is>
      </c>
    </row>
    <row r="56" ht="19.55" customHeight="1">
      <c r="A56" s="92" t="n">
        <v>53</v>
      </c>
      <c r="B56" s="87" t="inlineStr">
        <is>
          <t>全国</t>
        </is>
      </c>
      <c r="C56" s="93" t="n">
        <v>46243</v>
      </c>
      <c r="D56" s="87" t="inlineStr">
        <is>
          <t>N6</t>
        </is>
      </c>
      <c r="E56" s="87" t="n">
        <v>1861</v>
      </c>
      <c r="F56" s="87" t="n">
        <v>1670</v>
      </c>
      <c r="G56" s="88" t="n">
        <v>0.8973670069854917</v>
      </c>
      <c r="H56" s="87" t="n">
        <v>1029</v>
      </c>
      <c r="I56" s="89" t="n">
        <v>0.552928533046749</v>
      </c>
      <c r="J56" s="87" t="n">
        <v>1875</v>
      </c>
      <c r="K56" s="87" t="n">
        <v>1839</v>
      </c>
      <c r="L56" s="88" t="n">
        <v>0.981</v>
      </c>
      <c r="M56" s="87" t="n">
        <v>8760</v>
      </c>
      <c r="N56" s="87" t="n">
        <v>8959</v>
      </c>
      <c r="O56" s="87" t="n">
        <v>8663</v>
      </c>
      <c r="P56" s="88" t="n">
        <v>0.9889269406392694</v>
      </c>
      <c r="Q56" s="87" t="n">
        <v>23</v>
      </c>
      <c r="R56" s="87" t="n">
        <v>0</v>
      </c>
      <c r="S56" s="87" t="n">
        <v>0</v>
      </c>
      <c r="T56" s="88" t="n">
        <v>0</v>
      </c>
      <c r="U56" s="87" t="n">
        <v>0</v>
      </c>
      <c r="V56" s="88" t="n">
        <v>0</v>
      </c>
      <c r="W56" s="87" t="n">
        <v>177</v>
      </c>
      <c r="X56" s="88" t="n">
        <v>0.09511015583019881</v>
      </c>
      <c r="Y56" s="87" t="n">
        <v>851</v>
      </c>
      <c r="Z56" s="90" t="n">
        <v>0.4572810317033853</v>
      </c>
      <c r="AA56" s="87" t="n">
        <v>5</v>
      </c>
      <c r="AB56" s="88" t="n">
        <v>0.002686727565824825</v>
      </c>
      <c r="AC56" s="87" t="n">
        <v>231</v>
      </c>
      <c r="AD56" s="88" t="n">
        <v>0.1241268135411069</v>
      </c>
      <c r="AE56" s="87" t="n">
        <v>25</v>
      </c>
      <c r="AF56" s="88" t="n">
        <v>0.1082251082251082</v>
      </c>
      <c r="AG56" s="87" t="n">
        <v>172</v>
      </c>
      <c r="AH56" s="88" t="n">
        <v>0.7445887445887446</v>
      </c>
      <c r="AI56" s="91" t="n">
        <v>180</v>
      </c>
      <c r="AJ56" s="88" t="n">
        <v>0.09672219236969372</v>
      </c>
      <c r="AK56" s="91" t="n">
        <v>8</v>
      </c>
      <c r="AL56" s="88" t="n">
        <v>0.7555555555555555</v>
      </c>
      <c r="AM56" s="91" t="n">
        <v>172</v>
      </c>
      <c r="AN56" s="91" t="n">
        <v>136</v>
      </c>
      <c r="AO56" s="88" t="n">
        <v>0.07307898979043526</v>
      </c>
      <c r="AP56" s="88" t="n">
        <v>0.5887445887445888</v>
      </c>
      <c r="AQ56" s="89" t="n">
        <v>0.9939393939393939</v>
      </c>
      <c r="AR56" s="89" t="n">
        <v>0.6214689265536724</v>
      </c>
      <c r="AS56" s="89" t="n">
        <v>0.5932203389830508</v>
      </c>
      <c r="AT56" s="91" t="n">
        <v>0</v>
      </c>
      <c r="AU56" s="91" t="n">
        <v>0</v>
      </c>
      <c r="AV56" s="91" t="n">
        <v>63</v>
      </c>
      <c r="AW56" s="91" t="n">
        <v>60</v>
      </c>
      <c r="AX56" s="91" t="n">
        <v>58</v>
      </c>
      <c r="AY56" s="91" t="n">
        <v>13</v>
      </c>
      <c r="AZ56" s="88" t="n">
        <v>0.03224073078989791</v>
      </c>
      <c r="BA56" s="88" t="n">
        <v>0.03116603976356798</v>
      </c>
      <c r="BB56" s="88" t="n">
        <v>0.006985491671144546</v>
      </c>
      <c r="BC56" s="88" t="n">
        <v>0.4264705882352941</v>
      </c>
      <c r="BD56" s="91" t="n">
        <v>0</v>
      </c>
      <c r="BE56" s="91" t="n">
        <v>0</v>
      </c>
      <c r="BF56" s="89" t="n">
        <v>1</v>
      </c>
      <c r="BG56" s="89" t="n">
        <v>1</v>
      </c>
      <c r="BH56" s="89" t="inlineStr">
        <is>
          <t>-</t>
        </is>
      </c>
    </row>
    <row r="57" ht="19.55" customHeight="1">
      <c r="A57" s="92" t="n">
        <v>54</v>
      </c>
      <c r="B57" s="87" t="inlineStr">
        <is>
          <t>全国</t>
        </is>
      </c>
      <c r="C57" s="93" t="n">
        <v>46243</v>
      </c>
      <c r="D57" s="87" t="inlineStr">
        <is>
          <t>N7</t>
        </is>
      </c>
      <c r="E57" s="87" t="n">
        <v>1422</v>
      </c>
      <c r="F57" s="87" t="n">
        <v>1271</v>
      </c>
      <c r="G57" s="88" t="n">
        <v>0.8938115330520394</v>
      </c>
      <c r="H57" s="87" t="n">
        <v>737</v>
      </c>
      <c r="I57" s="89" t="n">
        <v>0.5182841068917018</v>
      </c>
      <c r="J57" s="87" t="n">
        <v>1400</v>
      </c>
      <c r="K57" s="87" t="n">
        <v>1367</v>
      </c>
      <c r="L57" s="88" t="n">
        <v>0.976</v>
      </c>
      <c r="M57" s="87" t="n">
        <v>7161</v>
      </c>
      <c r="N57" s="87" t="n">
        <v>7247</v>
      </c>
      <c r="O57" s="87" t="n">
        <v>7052</v>
      </c>
      <c r="P57" s="88" t="n">
        <v>0.984778662198017</v>
      </c>
      <c r="Q57" s="87" t="n">
        <v>23</v>
      </c>
      <c r="R57" s="87" t="n">
        <v>0</v>
      </c>
      <c r="S57" s="87" t="n">
        <v>0</v>
      </c>
      <c r="T57" s="88" t="n">
        <v>0</v>
      </c>
      <c r="U57" s="87" t="n">
        <v>0</v>
      </c>
      <c r="V57" s="88" t="n">
        <v>0</v>
      </c>
      <c r="W57" s="87" t="n">
        <v>145</v>
      </c>
      <c r="X57" s="88" t="n">
        <v>0.1019690576652602</v>
      </c>
      <c r="Y57" s="87" t="n">
        <v>648</v>
      </c>
      <c r="Z57" s="90" t="n">
        <v>0.4556962025316456</v>
      </c>
      <c r="AA57" s="87" t="n">
        <v>2</v>
      </c>
      <c r="AB57" s="88" t="n">
        <v>0.001406469760900141</v>
      </c>
      <c r="AC57" s="87" t="n">
        <v>231</v>
      </c>
      <c r="AD57" s="88" t="n">
        <v>0.1624472573839662</v>
      </c>
      <c r="AE57" s="87" t="n">
        <v>43</v>
      </c>
      <c r="AF57" s="88" t="n">
        <v>0.1861471861471861</v>
      </c>
      <c r="AG57" s="87" t="n">
        <v>173</v>
      </c>
      <c r="AH57" s="88" t="n">
        <v>0.7489177489177489</v>
      </c>
      <c r="AI57" s="91" t="n">
        <v>176</v>
      </c>
      <c r="AJ57" s="88" t="n">
        <v>0.1237693389592124</v>
      </c>
      <c r="AK57" s="91" t="n">
        <v>8</v>
      </c>
      <c r="AL57" s="88" t="n">
        <v>0.8181818181818182</v>
      </c>
      <c r="AM57" s="91" t="n">
        <v>174</v>
      </c>
      <c r="AN57" s="91" t="n">
        <v>144</v>
      </c>
      <c r="AO57" s="88" t="n">
        <v>0.1012658227848101</v>
      </c>
      <c r="AP57" s="88" t="n">
        <v>0.6233766233766234</v>
      </c>
      <c r="AQ57" s="89" t="n">
        <v>0.9939393939393939</v>
      </c>
      <c r="AR57" s="89" t="n">
        <v>0.5664739884393064</v>
      </c>
      <c r="AS57" s="89" t="n">
        <v>0.5549132947976878</v>
      </c>
      <c r="AT57" s="91" t="n">
        <v>0</v>
      </c>
      <c r="AU57" s="91" t="n">
        <v>0</v>
      </c>
      <c r="AV57" s="91" t="n">
        <v>38</v>
      </c>
      <c r="AW57" s="91" t="n">
        <v>31</v>
      </c>
      <c r="AX57" s="91" t="n">
        <v>30</v>
      </c>
      <c r="AY57" s="91" t="n">
        <v>13</v>
      </c>
      <c r="AZ57" s="88" t="n">
        <v>0.02180028129395218</v>
      </c>
      <c r="BA57" s="88" t="n">
        <v>0.02109704641350211</v>
      </c>
      <c r="BB57" s="88" t="n">
        <v>0.009142053445850914</v>
      </c>
      <c r="BC57" s="88" t="n">
        <v>0.2083333333333333</v>
      </c>
      <c r="BD57" s="91" t="n">
        <v>0</v>
      </c>
      <c r="BE57" s="91" t="n">
        <v>0</v>
      </c>
      <c r="BF57" s="89" t="n">
        <v>0.7272727272727273</v>
      </c>
      <c r="BG57" s="89" t="n">
        <v>1</v>
      </c>
      <c r="BH57" s="89" t="inlineStr">
        <is>
          <t>-</t>
        </is>
      </c>
    </row>
    <row r="58" ht="19.55" customHeight="1">
      <c r="A58" s="92" t="n">
        <v>55</v>
      </c>
      <c r="B58" s="87" t="inlineStr">
        <is>
          <t>全国</t>
        </is>
      </c>
      <c r="C58" s="93" t="n">
        <v>46243</v>
      </c>
      <c r="D58" s="87" t="inlineStr">
        <is>
          <t>NX8</t>
        </is>
      </c>
      <c r="E58" s="87" t="n">
        <v>6755</v>
      </c>
      <c r="F58" s="87" t="n">
        <v>5995</v>
      </c>
      <c r="G58" s="88" t="n">
        <v>0.8874907475943745</v>
      </c>
      <c r="H58" s="87" t="n">
        <v>2600</v>
      </c>
      <c r="I58" s="89" t="n">
        <v>0.384900074019245</v>
      </c>
      <c r="J58" s="87" t="n">
        <v>5918</v>
      </c>
      <c r="K58" s="87" t="n">
        <v>5767</v>
      </c>
      <c r="L58" s="88" t="n">
        <v>0.974</v>
      </c>
      <c r="M58" s="87" t="n">
        <v>25394</v>
      </c>
      <c r="N58" s="87" t="n">
        <v>25867</v>
      </c>
      <c r="O58" s="87" t="n">
        <v>25005</v>
      </c>
      <c r="P58" s="88" t="n">
        <v>0.9846814208080649</v>
      </c>
      <c r="Q58" s="87" t="n">
        <v>88</v>
      </c>
      <c r="R58" s="87" t="n">
        <v>0</v>
      </c>
      <c r="S58" s="87" t="n">
        <v>0</v>
      </c>
      <c r="T58" s="88" t="n">
        <v>0</v>
      </c>
      <c r="U58" s="87" t="n">
        <v>0</v>
      </c>
      <c r="V58" s="88" t="n">
        <v>0</v>
      </c>
      <c r="W58" s="87" t="n">
        <v>503</v>
      </c>
      <c r="X58" s="88" t="n">
        <v>0.07446336047372316</v>
      </c>
      <c r="Y58" s="87" t="n">
        <v>3511</v>
      </c>
      <c r="Z58" s="90" t="n">
        <v>0.5197631384159882</v>
      </c>
      <c r="AA58" s="87" t="n">
        <v>4</v>
      </c>
      <c r="AB58" s="88" t="n">
        <v>0.0005921539600296077</v>
      </c>
      <c r="AC58" s="87" t="n">
        <v>844</v>
      </c>
      <c r="AD58" s="88" t="n">
        <v>0.1249444855662472</v>
      </c>
      <c r="AE58" s="87" t="n">
        <v>146</v>
      </c>
      <c r="AF58" s="88" t="n">
        <v>0.1729857819905213</v>
      </c>
      <c r="AG58" s="87" t="n">
        <v>746</v>
      </c>
      <c r="AH58" s="88" t="n">
        <v>0.8838862559241706</v>
      </c>
      <c r="AI58" s="91" t="n">
        <v>810</v>
      </c>
      <c r="AJ58" s="88" t="n">
        <v>0.1199111769059956</v>
      </c>
      <c r="AK58" s="91" t="n">
        <v>48</v>
      </c>
      <c r="AL58" s="88" t="n">
        <v>0.7987654320987654</v>
      </c>
      <c r="AM58" s="91" t="n">
        <v>726</v>
      </c>
      <c r="AN58" s="91" t="n">
        <v>647</v>
      </c>
      <c r="AO58" s="88" t="n">
        <v>0.09578090303478905</v>
      </c>
      <c r="AP58" s="88" t="n">
        <v>0.7665876777251185</v>
      </c>
      <c r="AQ58" s="89" t="n">
        <v>0.9879194630872483</v>
      </c>
      <c r="AR58" s="89" t="n">
        <v>0.5983827493261455</v>
      </c>
      <c r="AS58" s="89" t="n">
        <v>0.5808625336927223</v>
      </c>
      <c r="AT58" s="91" t="n">
        <v>0</v>
      </c>
      <c r="AU58" s="91" t="n">
        <v>0</v>
      </c>
      <c r="AV58" s="91" t="n">
        <v>137</v>
      </c>
      <c r="AW58" s="91" t="n">
        <v>124</v>
      </c>
      <c r="AX58" s="91" t="n">
        <v>120</v>
      </c>
      <c r="AY58" s="91" t="n">
        <v>33</v>
      </c>
      <c r="AZ58" s="88" t="n">
        <v>0.01835677276091784</v>
      </c>
      <c r="BA58" s="88" t="n">
        <v>0.01776461880088823</v>
      </c>
      <c r="BB58" s="88" t="n">
        <v>0.004885270170244264</v>
      </c>
      <c r="BC58" s="88" t="n">
        <v>0.1854714064914992</v>
      </c>
      <c r="BD58" s="91" t="n">
        <v>0</v>
      </c>
      <c r="BE58" s="91" t="n">
        <v>0</v>
      </c>
      <c r="BF58" s="89" t="n">
        <v>0.98</v>
      </c>
      <c r="BG58" s="89" t="n">
        <v>1</v>
      </c>
      <c r="BH58" s="89" t="inlineStr">
        <is>
          <t>-</t>
        </is>
      </c>
    </row>
    <row r="59" ht="19.55" customHeight="1">
      <c r="A59" s="92" t="n">
        <v>56</v>
      </c>
      <c r="B59" s="87" t="inlineStr">
        <is>
          <t>全国</t>
        </is>
      </c>
      <c r="C59" s="93" t="n">
        <v>46243</v>
      </c>
      <c r="D59" s="87" t="inlineStr">
        <is>
          <t>天籁·鸿蒙座舱</t>
        </is>
      </c>
      <c r="E59" s="87" t="n">
        <v>3115</v>
      </c>
      <c r="F59" s="87" t="n">
        <v>2778</v>
      </c>
      <c r="G59" s="88" t="n">
        <v>0.8918138041733548</v>
      </c>
      <c r="H59" s="87" t="n">
        <v>1734</v>
      </c>
      <c r="I59" s="89" t="n">
        <v>0.556661316211878</v>
      </c>
      <c r="J59" s="87" t="n">
        <v>2863</v>
      </c>
      <c r="K59" s="87" t="n">
        <v>2812</v>
      </c>
      <c r="L59" s="88" t="n">
        <v>0.982</v>
      </c>
      <c r="M59" s="87" t="n">
        <v>16171</v>
      </c>
      <c r="N59" s="87" t="n">
        <v>16380</v>
      </c>
      <c r="O59" s="87" t="n">
        <v>15978</v>
      </c>
      <c r="P59" s="88" t="n">
        <v>0.9880650547275988</v>
      </c>
      <c r="Q59" s="87" t="n">
        <v>47</v>
      </c>
      <c r="R59" s="87" t="n">
        <v>0</v>
      </c>
      <c r="S59" s="87" t="n">
        <v>0</v>
      </c>
      <c r="T59" s="88" t="n">
        <v>0</v>
      </c>
      <c r="U59" s="87" t="n">
        <v>0</v>
      </c>
      <c r="V59" s="88" t="n">
        <v>0</v>
      </c>
      <c r="W59" s="87" t="n">
        <v>262</v>
      </c>
      <c r="X59" s="88" t="n">
        <v>0.0841091492776886</v>
      </c>
      <c r="Y59" s="87" t="n">
        <v>1214</v>
      </c>
      <c r="Z59" s="90" t="n">
        <v>0.3897271268057785</v>
      </c>
      <c r="AA59" s="87" t="n">
        <v>9</v>
      </c>
      <c r="AB59" s="88" t="n">
        <v>0.0028892455858748</v>
      </c>
      <c r="AC59" s="87" t="n">
        <v>360</v>
      </c>
      <c r="AD59" s="88" t="n">
        <v>0.115569823434992</v>
      </c>
      <c r="AE59" s="87" t="n">
        <v>60</v>
      </c>
      <c r="AF59" s="88" t="n">
        <v>0.1666666666666667</v>
      </c>
      <c r="AG59" s="87" t="n">
        <v>324</v>
      </c>
      <c r="AH59" s="88" t="n">
        <v>0.9</v>
      </c>
      <c r="AI59" s="91" t="n">
        <v>354</v>
      </c>
      <c r="AJ59" s="88" t="n">
        <v>0.1136436597110754</v>
      </c>
      <c r="AK59" s="91" t="n">
        <v>11</v>
      </c>
      <c r="AL59" s="88" t="n">
        <v>0.8248587570621468</v>
      </c>
      <c r="AM59" s="91" t="n">
        <v>312</v>
      </c>
      <c r="AN59" s="91" t="n">
        <v>292</v>
      </c>
      <c r="AO59" s="88" t="n">
        <v>0.09373996789727126</v>
      </c>
      <c r="AP59" s="88" t="n">
        <v>0.8111111111111111</v>
      </c>
      <c r="AQ59" s="89" t="n">
        <v>0.9822064056939501</v>
      </c>
      <c r="AR59" s="89" t="n">
        <v>0.5828025477707006</v>
      </c>
      <c r="AS59" s="89" t="n">
        <v>0.5191082802547771</v>
      </c>
      <c r="AT59" s="91" t="n">
        <v>0</v>
      </c>
      <c r="AU59" s="91" t="n">
        <v>0</v>
      </c>
      <c r="AV59" s="91" t="n">
        <v>130</v>
      </c>
      <c r="AW59" s="91" t="n">
        <v>118</v>
      </c>
      <c r="AX59" s="91" t="n">
        <v>114</v>
      </c>
      <c r="AY59" s="91" t="n">
        <v>25</v>
      </c>
      <c r="AZ59" s="88" t="n">
        <v>0.03788121990369182</v>
      </c>
      <c r="BA59" s="88" t="n">
        <v>0.03659711075441412</v>
      </c>
      <c r="BB59" s="88" t="n">
        <v>0.008025682182985553</v>
      </c>
      <c r="BC59" s="88" t="n">
        <v>0.3904109589041096</v>
      </c>
      <c r="BD59" s="91" t="n">
        <v>0</v>
      </c>
      <c r="BE59" s="91" t="n">
        <v>0</v>
      </c>
      <c r="BF59" s="89" t="n">
        <v>0.9393939393939394</v>
      </c>
      <c r="BG59" s="89" t="n">
        <v>1</v>
      </c>
      <c r="BH59" s="89" t="inlineStr">
        <is>
          <t>-</t>
        </is>
      </c>
    </row>
    <row r="60" ht="19.55" customHeight="1">
      <c r="A60" s="92" t="n">
        <v>57</v>
      </c>
      <c r="B60" s="87" t="inlineStr">
        <is>
          <t>全国</t>
        </is>
      </c>
      <c r="C60" s="93" t="n">
        <v>46243</v>
      </c>
      <c r="D60" s="87" t="inlineStr">
        <is>
          <t>探陆</t>
        </is>
      </c>
      <c r="E60" s="87" t="n">
        <v>0</v>
      </c>
      <c r="F60" s="87" t="n">
        <v>0</v>
      </c>
      <c r="G60" s="88" t="n">
        <v>0</v>
      </c>
      <c r="H60" s="87" t="n">
        <v>0</v>
      </c>
      <c r="I60" s="89" t="n">
        <v>0</v>
      </c>
      <c r="J60" s="87" t="n">
        <v>0</v>
      </c>
      <c r="K60" s="87" t="n">
        <v>0</v>
      </c>
      <c r="L60" s="88" t="n">
        <v>0</v>
      </c>
      <c r="M60" s="87" t="n">
        <v>1</v>
      </c>
      <c r="N60" s="87" t="n">
        <v>1</v>
      </c>
      <c r="O60" s="87" t="n">
        <v>1</v>
      </c>
      <c r="P60" s="88" t="n">
        <v>1</v>
      </c>
      <c r="Q60" s="87" t="n">
        <v>0</v>
      </c>
      <c r="R60" s="87" t="n">
        <v>0</v>
      </c>
      <c r="S60" s="87" t="n">
        <v>0</v>
      </c>
      <c r="T60" s="88" t="n">
        <v>0</v>
      </c>
      <c r="U60" s="87" t="n">
        <v>0</v>
      </c>
      <c r="V60" s="88" t="n">
        <v>0</v>
      </c>
      <c r="W60" s="87" t="n">
        <v>0</v>
      </c>
      <c r="X60" s="88" t="n">
        <v>0</v>
      </c>
      <c r="Y60" s="87" t="n">
        <v>0</v>
      </c>
      <c r="Z60" s="90" t="n">
        <v>0</v>
      </c>
      <c r="AA60" s="87" t="n">
        <v>0</v>
      </c>
      <c r="AB60" s="88" t="n">
        <v>0</v>
      </c>
      <c r="AC60" s="87" t="n">
        <v>0</v>
      </c>
      <c r="AD60" s="88" t="n">
        <v>0</v>
      </c>
      <c r="AE60" s="87" t="n">
        <v>0</v>
      </c>
      <c r="AF60" s="88" t="n">
        <v>0</v>
      </c>
      <c r="AG60" s="87" t="n">
        <v>0</v>
      </c>
      <c r="AH60" s="88" t="n">
        <v>0</v>
      </c>
      <c r="AI60" s="91" t="n">
        <v>0</v>
      </c>
      <c r="AJ60" s="88" t="n">
        <v>0</v>
      </c>
      <c r="AK60" s="91" t="n">
        <v>0</v>
      </c>
      <c r="AL60" s="88" t="n">
        <v>0</v>
      </c>
      <c r="AM60" s="91" t="n">
        <v>0</v>
      </c>
      <c r="AN60" s="91" t="n">
        <v>0</v>
      </c>
      <c r="AO60" s="88" t="n">
        <v>0</v>
      </c>
      <c r="AP60" s="88" t="n">
        <v>0</v>
      </c>
      <c r="AQ60" s="89" t="n"/>
      <c r="AR60" s="89" t="inlineStr">
        <is>
          <t>0.0%</t>
        </is>
      </c>
      <c r="AS60" s="89" t="inlineStr">
        <is>
          <t>0.0%</t>
        </is>
      </c>
      <c r="AT60" s="91" t="n">
        <v>0</v>
      </c>
      <c r="AU60" s="91" t="n">
        <v>0</v>
      </c>
      <c r="AV60" s="91" t="n">
        <v>0</v>
      </c>
      <c r="AW60" s="91" t="n">
        <v>0</v>
      </c>
      <c r="AX60" s="91" t="n">
        <v>0</v>
      </c>
      <c r="AY60" s="91" t="n">
        <v>0</v>
      </c>
      <c r="AZ60" s="88" t="n">
        <v>0</v>
      </c>
      <c r="BA60" s="88" t="n">
        <v>0</v>
      </c>
      <c r="BB60" s="88" t="n">
        <v>0</v>
      </c>
      <c r="BC60" s="88" t="n">
        <v>0</v>
      </c>
      <c r="BD60" s="91" t="n">
        <v>0</v>
      </c>
      <c r="BE60" s="91" t="n">
        <v>0</v>
      </c>
      <c r="BF60" s="89" t="inlineStr">
        <is>
          <t>-</t>
        </is>
      </c>
      <c r="BG60" s="89" t="inlineStr">
        <is>
          <t>-</t>
        </is>
      </c>
      <c r="BH60" s="89" t="inlineStr">
        <is>
          <t>-</t>
        </is>
      </c>
    </row>
    <row r="61" ht="25.6" customHeight="1">
      <c r="A61" s="92" t="n">
        <v>58</v>
      </c>
      <c r="B61" s="87" t="inlineStr">
        <is>
          <t>全国</t>
        </is>
      </c>
      <c r="C61" s="93" t="n">
        <v>46244</v>
      </c>
      <c r="D61" s="87" t="n"/>
      <c r="E61" s="87" t="n">
        <v>41</v>
      </c>
      <c r="F61" s="87" t="n">
        <v>41</v>
      </c>
      <c r="G61" s="88" t="n">
        <v>1</v>
      </c>
      <c r="H61" s="87" t="n">
        <v>41</v>
      </c>
      <c r="I61" s="89" t="n">
        <v>1</v>
      </c>
      <c r="J61" s="87" t="n">
        <v>0</v>
      </c>
      <c r="K61" s="87" t="n">
        <v>0</v>
      </c>
      <c r="L61" s="88" t="n">
        <v>0</v>
      </c>
      <c r="M61" s="87" t="n">
        <v>6</v>
      </c>
      <c r="N61" s="87" t="n">
        <v>0</v>
      </c>
      <c r="O61" s="87" t="n">
        <v>0</v>
      </c>
      <c r="P61" s="88" t="n">
        <v>0</v>
      </c>
      <c r="Q61" s="87" t="n">
        <v>6</v>
      </c>
      <c r="R61" s="87" t="n">
        <v>0</v>
      </c>
      <c r="S61" s="87" t="n">
        <v>0</v>
      </c>
      <c r="T61" s="88" t="n">
        <v>0</v>
      </c>
      <c r="U61" s="87" t="n">
        <v>0</v>
      </c>
      <c r="V61" s="88" t="n">
        <v>0</v>
      </c>
      <c r="W61" s="87" t="n">
        <v>13</v>
      </c>
      <c r="X61" s="88" t="n">
        <v>0.3170731707317073</v>
      </c>
      <c r="Y61" s="87" t="n">
        <v>79</v>
      </c>
      <c r="Z61" s="90" t="n">
        <v>1.926829268292683</v>
      </c>
      <c r="AA61" s="87" t="n">
        <v>0</v>
      </c>
      <c r="AB61" s="88" t="n">
        <v>0</v>
      </c>
      <c r="AC61" s="87" t="n">
        <v>0</v>
      </c>
      <c r="AD61" s="88" t="n">
        <v>0</v>
      </c>
      <c r="AE61" s="87" t="n">
        <v>0</v>
      </c>
      <c r="AF61" s="88" t="n">
        <v>0</v>
      </c>
      <c r="AG61" s="87" t="n">
        <v>0</v>
      </c>
      <c r="AH61" s="88" t="n">
        <v>0</v>
      </c>
      <c r="AI61" s="91" t="n">
        <v>0</v>
      </c>
      <c r="AJ61" s="88" t="n">
        <v>0</v>
      </c>
      <c r="AK61" s="91" t="n">
        <v>0</v>
      </c>
      <c r="AL61" s="88" t="n">
        <v>0</v>
      </c>
      <c r="AM61" s="91" t="n">
        <v>0</v>
      </c>
      <c r="AN61" s="91" t="n">
        <v>0</v>
      </c>
      <c r="AO61" s="88" t="n">
        <v>0</v>
      </c>
      <c r="AP61" s="88" t="n">
        <v>0</v>
      </c>
      <c r="AQ61" s="89" t="n">
        <v>0</v>
      </c>
      <c r="AR61" s="89" t="n">
        <v>0</v>
      </c>
      <c r="AS61" s="89" t="n">
        <v>0</v>
      </c>
      <c r="AT61" s="91" t="n">
        <v>0</v>
      </c>
      <c r="AU61" s="91" t="n">
        <v>0</v>
      </c>
      <c r="AV61" s="91" t="n">
        <v>0</v>
      </c>
      <c r="AW61" s="91" t="n">
        <v>0</v>
      </c>
      <c r="AX61" s="91" t="n">
        <v>0</v>
      </c>
      <c r="AY61" s="91" t="n">
        <v>0</v>
      </c>
      <c r="AZ61" s="88" t="n">
        <v>0</v>
      </c>
      <c r="BA61" s="88" t="n">
        <v>0</v>
      </c>
      <c r="BB61" s="88" t="n">
        <v>0</v>
      </c>
      <c r="BC61" s="88" t="n">
        <v>0</v>
      </c>
      <c r="BD61" s="91" t="n">
        <v>0</v>
      </c>
      <c r="BE61" s="91" t="n">
        <v>0</v>
      </c>
      <c r="BF61" s="89" t="inlineStr">
        <is>
          <t>-</t>
        </is>
      </c>
      <c r="BG61" s="89" t="inlineStr">
        <is>
          <t>-</t>
        </is>
      </c>
      <c r="BH61" s="89" t="n">
        <v>0.9682539682539683</v>
      </c>
    </row>
    <row r="62" ht="19.55" customHeight="1">
      <c r="A62" s="92" t="n">
        <v>59</v>
      </c>
      <c r="B62" s="87" t="inlineStr">
        <is>
          <t>全国</t>
        </is>
      </c>
      <c r="C62" s="93" t="n">
        <v>46244</v>
      </c>
      <c r="D62" s="87" t="inlineStr">
        <is>
          <t>2026款探陆</t>
        </is>
      </c>
      <c r="E62" s="87" t="n">
        <v>431</v>
      </c>
      <c r="F62" s="87" t="n">
        <v>391</v>
      </c>
      <c r="G62" s="88" t="n">
        <v>0.9071925754060325</v>
      </c>
      <c r="H62" s="87" t="n">
        <v>107</v>
      </c>
      <c r="I62" s="89" t="n">
        <v>0.2482598607888631</v>
      </c>
      <c r="J62" s="87" t="n">
        <v>720</v>
      </c>
      <c r="K62" s="87" t="n">
        <v>451</v>
      </c>
      <c r="L62" s="88" t="n">
        <v>0.626</v>
      </c>
      <c r="M62" s="87" t="n">
        <v>1280</v>
      </c>
      <c r="N62" s="87" t="n">
        <v>1189</v>
      </c>
      <c r="O62" s="87" t="n">
        <v>950</v>
      </c>
      <c r="P62" s="88" t="n">
        <v>0.7421875</v>
      </c>
      <c r="Q62" s="87" t="n">
        <v>127</v>
      </c>
      <c r="R62" s="87" t="n">
        <v>0</v>
      </c>
      <c r="S62" s="87" t="n">
        <v>0</v>
      </c>
      <c r="T62" s="88" t="n">
        <v>0</v>
      </c>
      <c r="U62" s="87" t="n">
        <v>0</v>
      </c>
      <c r="V62" s="88" t="n">
        <v>0</v>
      </c>
      <c r="W62" s="87" t="n">
        <v>10</v>
      </c>
      <c r="X62" s="88" t="n">
        <v>0.02320185614849188</v>
      </c>
      <c r="Y62" s="87" t="n">
        <v>47</v>
      </c>
      <c r="Z62" s="90" t="n">
        <v>0.1090487238979118</v>
      </c>
      <c r="AA62" s="87" t="n">
        <v>0</v>
      </c>
      <c r="AB62" s="88" t="n">
        <v>0</v>
      </c>
      <c r="AC62" s="87" t="n">
        <v>0</v>
      </c>
      <c r="AD62" s="88" t="n">
        <v>0</v>
      </c>
      <c r="AE62" s="87" t="n">
        <v>0</v>
      </c>
      <c r="AF62" s="88" t="n">
        <v>0</v>
      </c>
      <c r="AG62" s="87" t="n">
        <v>0</v>
      </c>
      <c r="AH62" s="88" t="n">
        <v>0</v>
      </c>
      <c r="AI62" s="91" t="n">
        <v>0</v>
      </c>
      <c r="AJ62" s="88" t="n">
        <v>0</v>
      </c>
      <c r="AK62" s="91" t="n">
        <v>0</v>
      </c>
      <c r="AL62" s="88" t="n">
        <v>0</v>
      </c>
      <c r="AM62" s="91" t="n">
        <v>0</v>
      </c>
      <c r="AN62" s="91" t="n">
        <v>0</v>
      </c>
      <c r="AO62" s="88" t="n">
        <v>0</v>
      </c>
      <c r="AP62" s="88" t="n">
        <v>0</v>
      </c>
      <c r="AQ62" s="89" t="n">
        <v>1</v>
      </c>
      <c r="AR62" s="89" t="n">
        <v>1</v>
      </c>
      <c r="AS62" s="89" t="n">
        <v>1</v>
      </c>
      <c r="AT62" s="91" t="n">
        <v>0</v>
      </c>
      <c r="AU62" s="91" t="n">
        <v>0</v>
      </c>
      <c r="AV62" s="91" t="n">
        <v>1</v>
      </c>
      <c r="AW62" s="91" t="n">
        <v>1</v>
      </c>
      <c r="AX62" s="91" t="n">
        <v>1</v>
      </c>
      <c r="AY62" s="91" t="n">
        <v>2</v>
      </c>
      <c r="AZ62" s="88" t="n">
        <v>0.002320185614849188</v>
      </c>
      <c r="BA62" s="88" t="n">
        <v>0.002320185614849188</v>
      </c>
      <c r="BB62" s="88" t="n">
        <v>0.004640371229698376</v>
      </c>
      <c r="BC62" s="88" t="n">
        <v>0</v>
      </c>
      <c r="BD62" s="91" t="n">
        <v>0</v>
      </c>
      <c r="BE62" s="91" t="n">
        <v>0</v>
      </c>
      <c r="BF62" s="89" t="inlineStr">
        <is>
          <t>-</t>
        </is>
      </c>
      <c r="BG62" s="89" t="inlineStr">
        <is>
          <t>-</t>
        </is>
      </c>
      <c r="BH62" s="89" t="inlineStr">
        <is>
          <t>-</t>
        </is>
      </c>
    </row>
    <row r="63" ht="19.55" customHeight="1">
      <c r="A63" s="92" t="n">
        <v>60</v>
      </c>
      <c r="B63" s="87" t="inlineStr">
        <is>
          <t>全国</t>
        </is>
      </c>
      <c r="C63" s="93" t="n">
        <v>46244</v>
      </c>
      <c r="D63" s="87" t="inlineStr">
        <is>
          <t>N6</t>
        </is>
      </c>
      <c r="E63" s="87" t="n">
        <v>1710</v>
      </c>
      <c r="F63" s="87" t="n">
        <v>1497</v>
      </c>
      <c r="G63" s="88" t="n">
        <v>0.875438596491228</v>
      </c>
      <c r="H63" s="87" t="n">
        <v>1024</v>
      </c>
      <c r="I63" s="89" t="n">
        <v>0.5988304093567252</v>
      </c>
      <c r="J63" s="87" t="n">
        <v>2162</v>
      </c>
      <c r="K63" s="87" t="n">
        <v>2111</v>
      </c>
      <c r="L63" s="88" t="n">
        <v>0.976</v>
      </c>
      <c r="M63" s="87" t="n">
        <v>8909</v>
      </c>
      <c r="N63" s="87" t="n">
        <v>8758</v>
      </c>
      <c r="O63" s="87" t="n">
        <v>8739</v>
      </c>
      <c r="P63" s="88" t="n">
        <v>0.9809181726344146</v>
      </c>
      <c r="Q63" s="87" t="n">
        <v>8</v>
      </c>
      <c r="R63" s="87" t="n">
        <v>0</v>
      </c>
      <c r="S63" s="87" t="n">
        <v>0</v>
      </c>
      <c r="T63" s="88" t="n">
        <v>0</v>
      </c>
      <c r="U63" s="87" t="n">
        <v>0</v>
      </c>
      <c r="V63" s="88" t="n">
        <v>0</v>
      </c>
      <c r="W63" s="87" t="n">
        <v>353</v>
      </c>
      <c r="X63" s="88" t="n">
        <v>0.2064327485380117</v>
      </c>
      <c r="Y63" s="87" t="n">
        <v>784</v>
      </c>
      <c r="Z63" s="90" t="n">
        <v>0.4584795321637427</v>
      </c>
      <c r="AA63" s="87" t="n">
        <v>3</v>
      </c>
      <c r="AB63" s="88" t="n">
        <v>0.001754385964912281</v>
      </c>
      <c r="AC63" s="87" t="n">
        <v>151</v>
      </c>
      <c r="AD63" s="88" t="n">
        <v>0.08830409356725147</v>
      </c>
      <c r="AE63" s="87" t="n">
        <v>22</v>
      </c>
      <c r="AF63" s="88" t="n">
        <v>0.1456953642384106</v>
      </c>
      <c r="AG63" s="87" t="n">
        <v>121</v>
      </c>
      <c r="AH63" s="88" t="n">
        <v>0.8013245033112583</v>
      </c>
      <c r="AI63" s="91" t="n">
        <v>125</v>
      </c>
      <c r="AJ63" s="88" t="n">
        <v>0.07309941520467836</v>
      </c>
      <c r="AK63" s="91" t="n">
        <v>12</v>
      </c>
      <c r="AL63" s="88" t="n">
        <v>0.88</v>
      </c>
      <c r="AM63" s="91" t="n">
        <v>122</v>
      </c>
      <c r="AN63" s="91" t="n">
        <v>110</v>
      </c>
      <c r="AO63" s="88" t="n">
        <v>0.06432748538011696</v>
      </c>
      <c r="AP63" s="88" t="n">
        <v>0.7284768211920529</v>
      </c>
      <c r="AQ63" s="89" t="n">
        <v>0.9939759036144579</v>
      </c>
      <c r="AR63" s="89" t="n">
        <v>0.5596330275229358</v>
      </c>
      <c r="AS63" s="89" t="n">
        <v>0.5596330275229358</v>
      </c>
      <c r="AT63" s="91" t="n">
        <v>0</v>
      </c>
      <c r="AU63" s="91" t="n">
        <v>0</v>
      </c>
      <c r="AV63" s="91" t="n">
        <v>41</v>
      </c>
      <c r="AW63" s="91" t="n">
        <v>40</v>
      </c>
      <c r="AX63" s="91" t="n">
        <v>43</v>
      </c>
      <c r="AY63" s="91" t="n">
        <v>39</v>
      </c>
      <c r="AZ63" s="88" t="n">
        <v>0.02339181286549707</v>
      </c>
      <c r="BA63" s="88" t="n">
        <v>0.02514619883040936</v>
      </c>
      <c r="BB63" s="88" t="n">
        <v>0.02280701754385965</v>
      </c>
      <c r="BC63" s="88" t="n">
        <v>0.3909090909090909</v>
      </c>
      <c r="BD63" s="91" t="n">
        <v>0</v>
      </c>
      <c r="BE63" s="91" t="n">
        <v>0</v>
      </c>
      <c r="BF63" s="89" t="n">
        <v>1</v>
      </c>
      <c r="BG63" s="89" t="n">
        <v>1</v>
      </c>
      <c r="BH63" s="89" t="inlineStr">
        <is>
          <t>-</t>
        </is>
      </c>
    </row>
    <row r="64" ht="19.55" customHeight="1">
      <c r="A64" s="92" t="n">
        <v>61</v>
      </c>
      <c r="B64" s="87" t="inlineStr">
        <is>
          <t>全国</t>
        </is>
      </c>
      <c r="C64" s="93" t="n">
        <v>46244</v>
      </c>
      <c r="D64" s="87" t="inlineStr">
        <is>
          <t>N7</t>
        </is>
      </c>
      <c r="E64" s="87" t="n">
        <v>1400</v>
      </c>
      <c r="F64" s="87" t="n">
        <v>1263</v>
      </c>
      <c r="G64" s="88" t="n">
        <v>0.9021428571428571</v>
      </c>
      <c r="H64" s="87" t="n">
        <v>682</v>
      </c>
      <c r="I64" s="89" t="n">
        <v>0.4871428571428572</v>
      </c>
      <c r="J64" s="87" t="n">
        <v>1592</v>
      </c>
      <c r="K64" s="87" t="n">
        <v>1550</v>
      </c>
      <c r="L64" s="88" t="n">
        <v>0.974</v>
      </c>
      <c r="M64" s="87" t="n">
        <v>7294</v>
      </c>
      <c r="N64" s="87" t="n">
        <v>7069</v>
      </c>
      <c r="O64" s="87" t="n">
        <v>7164</v>
      </c>
      <c r="P64" s="88" t="n">
        <v>0.9821771318892241</v>
      </c>
      <c r="Q64" s="87" t="n">
        <v>22</v>
      </c>
      <c r="R64" s="87" t="n">
        <v>0</v>
      </c>
      <c r="S64" s="87" t="n">
        <v>0</v>
      </c>
      <c r="T64" s="88" t="n">
        <v>0</v>
      </c>
      <c r="U64" s="87" t="n">
        <v>0</v>
      </c>
      <c r="V64" s="88" t="n">
        <v>0</v>
      </c>
      <c r="W64" s="87" t="n">
        <v>292</v>
      </c>
      <c r="X64" s="88" t="n">
        <v>0.2085714285714286</v>
      </c>
      <c r="Y64" s="87" t="n">
        <v>611</v>
      </c>
      <c r="Z64" s="90" t="n">
        <v>0.4364285714285714</v>
      </c>
      <c r="AA64" s="87" t="n">
        <v>0</v>
      </c>
      <c r="AB64" s="88" t="n">
        <v>0</v>
      </c>
      <c r="AC64" s="87" t="n">
        <v>130</v>
      </c>
      <c r="AD64" s="88" t="n">
        <v>0.09285714285714286</v>
      </c>
      <c r="AE64" s="87" t="n">
        <v>29</v>
      </c>
      <c r="AF64" s="88" t="n">
        <v>0.2230769230769231</v>
      </c>
      <c r="AG64" s="87" t="n">
        <v>95</v>
      </c>
      <c r="AH64" s="88" t="n">
        <v>0.7307692307692307</v>
      </c>
      <c r="AI64" s="91" t="n">
        <v>94</v>
      </c>
      <c r="AJ64" s="88" t="n">
        <v>0.06714285714285714</v>
      </c>
      <c r="AK64" s="91" t="n">
        <v>6</v>
      </c>
      <c r="AL64" s="88" t="n">
        <v>0.8723404255319149</v>
      </c>
      <c r="AM64" s="91" t="n">
        <v>94</v>
      </c>
      <c r="AN64" s="91" t="n">
        <v>82</v>
      </c>
      <c r="AO64" s="88" t="n">
        <v>0.05857142857142857</v>
      </c>
      <c r="AP64" s="88" t="n">
        <v>0.6307692307692307</v>
      </c>
      <c r="AQ64" s="89" t="n">
        <v>0.9691358024691358</v>
      </c>
      <c r="AR64" s="89" t="n">
        <v>0.6363636363636364</v>
      </c>
      <c r="AS64" s="89" t="n">
        <v>0.6161616161616161</v>
      </c>
      <c r="AT64" s="91" t="n">
        <v>0</v>
      </c>
      <c r="AU64" s="91" t="n">
        <v>0</v>
      </c>
      <c r="AV64" s="91" t="n">
        <v>26</v>
      </c>
      <c r="AW64" s="91" t="n">
        <v>20</v>
      </c>
      <c r="AX64" s="91" t="n">
        <v>22</v>
      </c>
      <c r="AY64" s="91" t="n">
        <v>32</v>
      </c>
      <c r="AZ64" s="88" t="n">
        <v>0.01428571428571429</v>
      </c>
      <c r="BA64" s="88" t="n">
        <v>0.01571428571428572</v>
      </c>
      <c r="BB64" s="88" t="n">
        <v>0.02285714285714286</v>
      </c>
      <c r="BC64" s="88" t="n">
        <v>0.2682926829268293</v>
      </c>
      <c r="BD64" s="91" t="n">
        <v>0</v>
      </c>
      <c r="BE64" s="91" t="n">
        <v>0</v>
      </c>
      <c r="BF64" s="89" t="n">
        <v>1</v>
      </c>
      <c r="BG64" s="89" t="n">
        <v>1</v>
      </c>
      <c r="BH64" s="89" t="inlineStr">
        <is>
          <t>-</t>
        </is>
      </c>
    </row>
    <row r="65" ht="19.55" customHeight="1">
      <c r="A65" s="92" t="n">
        <v>62</v>
      </c>
      <c r="B65" s="87" t="inlineStr">
        <is>
          <t>全国</t>
        </is>
      </c>
      <c r="C65" s="93" t="n">
        <v>46244</v>
      </c>
      <c r="D65" s="87" t="inlineStr">
        <is>
          <t>NX8</t>
        </is>
      </c>
      <c r="E65" s="87" t="n">
        <v>5450</v>
      </c>
      <c r="F65" s="87" t="n">
        <v>4828</v>
      </c>
      <c r="G65" s="88" t="n">
        <v>0.8858715596330275</v>
      </c>
      <c r="H65" s="87" t="n">
        <v>1834</v>
      </c>
      <c r="I65" s="89" t="n">
        <v>0.3365137614678899</v>
      </c>
      <c r="J65" s="87" t="n">
        <v>7057</v>
      </c>
      <c r="K65" s="87" t="n">
        <v>6812</v>
      </c>
      <c r="L65" s="88" t="n">
        <v>0.965</v>
      </c>
      <c r="M65" s="87" t="n">
        <v>26509</v>
      </c>
      <c r="N65" s="87" t="n">
        <v>25812</v>
      </c>
      <c r="O65" s="87" t="n">
        <v>25943</v>
      </c>
      <c r="P65" s="88" t="n">
        <v>0.9786487607982195</v>
      </c>
      <c r="Q65" s="87" t="n">
        <v>130</v>
      </c>
      <c r="R65" s="87" t="n">
        <v>0</v>
      </c>
      <c r="S65" s="87" t="n">
        <v>0</v>
      </c>
      <c r="T65" s="88" t="n">
        <v>0</v>
      </c>
      <c r="U65" s="87" t="n">
        <v>0</v>
      </c>
      <c r="V65" s="88" t="n">
        <v>0</v>
      </c>
      <c r="W65" s="87" t="n">
        <v>933</v>
      </c>
      <c r="X65" s="88" t="n">
        <v>0.1711926605504587</v>
      </c>
      <c r="Y65" s="87" t="n">
        <v>4416</v>
      </c>
      <c r="Z65" s="90" t="n">
        <v>0.8102752293577982</v>
      </c>
      <c r="AA65" s="87" t="n">
        <v>9</v>
      </c>
      <c r="AB65" s="88" t="n">
        <v>0.001651376146788991</v>
      </c>
      <c r="AC65" s="87" t="n">
        <v>494</v>
      </c>
      <c r="AD65" s="88" t="n">
        <v>0.09064220183486238</v>
      </c>
      <c r="AE65" s="87" t="n">
        <v>88</v>
      </c>
      <c r="AF65" s="88" t="n">
        <v>0.1781376518218623</v>
      </c>
      <c r="AG65" s="87" t="n">
        <v>428</v>
      </c>
      <c r="AH65" s="88" t="n">
        <v>0.8663967611336032</v>
      </c>
      <c r="AI65" s="91" t="n">
        <v>434</v>
      </c>
      <c r="AJ65" s="88" t="n">
        <v>0.07963302752293577</v>
      </c>
      <c r="AK65" s="91" t="n">
        <v>33</v>
      </c>
      <c r="AL65" s="88" t="n">
        <v>0.8410138248847926</v>
      </c>
      <c r="AM65" s="91" t="n">
        <v>424</v>
      </c>
      <c r="AN65" s="91" t="n">
        <v>365</v>
      </c>
      <c r="AO65" s="88" t="n">
        <v>0.06697247706422019</v>
      </c>
      <c r="AP65" s="88" t="n">
        <v>0.7388663967611336</v>
      </c>
      <c r="AQ65" s="89" t="n">
        <v>0.9901408450704225</v>
      </c>
      <c r="AR65" s="89" t="n">
        <v>0.5691244239631337</v>
      </c>
      <c r="AS65" s="89" t="n">
        <v>0.5898617511520737</v>
      </c>
      <c r="AT65" s="91" t="n">
        <v>0</v>
      </c>
      <c r="AU65" s="91" t="n">
        <v>0</v>
      </c>
      <c r="AV65" s="91" t="n">
        <v>81</v>
      </c>
      <c r="AW65" s="91" t="n">
        <v>73</v>
      </c>
      <c r="AX65" s="91" t="n">
        <v>72</v>
      </c>
      <c r="AY65" s="91" t="n">
        <v>83</v>
      </c>
      <c r="AZ65" s="88" t="n">
        <v>0.01339449541284404</v>
      </c>
      <c r="BA65" s="88" t="n">
        <v>0.01321100917431193</v>
      </c>
      <c r="BB65" s="88" t="n">
        <v>0.01522935779816514</v>
      </c>
      <c r="BC65" s="88" t="n">
        <v>0.1972602739726027</v>
      </c>
      <c r="BD65" s="91" t="n">
        <v>0</v>
      </c>
      <c r="BE65" s="91" t="n">
        <v>0</v>
      </c>
      <c r="BF65" s="89" t="n">
        <v>1</v>
      </c>
      <c r="BG65" s="89" t="n">
        <v>1</v>
      </c>
      <c r="BH65" s="89" t="inlineStr">
        <is>
          <t>-</t>
        </is>
      </c>
    </row>
    <row r="66" ht="19.55" customHeight="1">
      <c r="A66" s="92" t="n">
        <v>63</v>
      </c>
      <c r="B66" s="87" t="inlineStr">
        <is>
          <t>全国</t>
        </is>
      </c>
      <c r="C66" s="93" t="n">
        <v>46244</v>
      </c>
      <c r="D66" s="87" t="inlineStr">
        <is>
          <t>天籁·鸿蒙座舱</t>
        </is>
      </c>
      <c r="E66" s="87" t="n">
        <v>3508</v>
      </c>
      <c r="F66" s="87" t="n">
        <v>3060</v>
      </c>
      <c r="G66" s="88" t="n">
        <v>0.8722919042189282</v>
      </c>
      <c r="H66" s="87" t="n">
        <v>1872</v>
      </c>
      <c r="I66" s="89" t="n">
        <v>0.5336374002280502</v>
      </c>
      <c r="J66" s="87" t="n">
        <v>4926</v>
      </c>
      <c r="K66" s="87" t="n">
        <v>4823</v>
      </c>
      <c r="L66" s="88" t="n">
        <v>0.979</v>
      </c>
      <c r="M66" s="87" t="n">
        <v>17894</v>
      </c>
      <c r="N66" s="87" t="n">
        <v>17747</v>
      </c>
      <c r="O66" s="87" t="n">
        <v>17612</v>
      </c>
      <c r="P66" s="88" t="n">
        <v>0.9842405275511344</v>
      </c>
      <c r="Q66" s="87" t="n">
        <v>27</v>
      </c>
      <c r="R66" s="87" t="n">
        <v>0</v>
      </c>
      <c r="S66" s="87" t="n">
        <v>0</v>
      </c>
      <c r="T66" s="88" t="n">
        <v>0</v>
      </c>
      <c r="U66" s="87" t="n">
        <v>0</v>
      </c>
      <c r="V66" s="88" t="n">
        <v>0</v>
      </c>
      <c r="W66" s="87" t="n">
        <v>524</v>
      </c>
      <c r="X66" s="88" t="n">
        <v>0.1493728620296465</v>
      </c>
      <c r="Y66" s="87" t="n">
        <v>1222</v>
      </c>
      <c r="Z66" s="90" t="n">
        <v>0.3483466362599772</v>
      </c>
      <c r="AA66" s="87" t="n">
        <v>8</v>
      </c>
      <c r="AB66" s="88" t="n">
        <v>0.002280501710376283</v>
      </c>
      <c r="AC66" s="87" t="n">
        <v>206</v>
      </c>
      <c r="AD66" s="88" t="n">
        <v>0.05872291904218928</v>
      </c>
      <c r="AE66" s="87" t="n">
        <v>32</v>
      </c>
      <c r="AF66" s="88" t="n">
        <v>0.1553398058252427</v>
      </c>
      <c r="AG66" s="87" t="n">
        <v>165</v>
      </c>
      <c r="AH66" s="88" t="n">
        <v>0.8009708737864077</v>
      </c>
      <c r="AI66" s="91" t="n">
        <v>155</v>
      </c>
      <c r="AJ66" s="88" t="n">
        <v>0.04418472063854048</v>
      </c>
      <c r="AK66" s="91" t="n">
        <v>9</v>
      </c>
      <c r="AL66" s="88" t="n">
        <v>0.8774193548387097</v>
      </c>
      <c r="AM66" s="91" t="n">
        <v>151</v>
      </c>
      <c r="AN66" s="91" t="n">
        <v>136</v>
      </c>
      <c r="AO66" s="88" t="n">
        <v>0.03876852907639681</v>
      </c>
      <c r="AP66" s="88" t="n">
        <v>0.6601941747572816</v>
      </c>
      <c r="AQ66" s="89" t="n">
        <v>0.9865771812080537</v>
      </c>
      <c r="AR66" s="89" t="n">
        <v>0.5342465753424658</v>
      </c>
      <c r="AS66" s="89" t="n">
        <v>0.4452054794520548</v>
      </c>
      <c r="AT66" s="91" t="n">
        <v>0</v>
      </c>
      <c r="AU66" s="91" t="n">
        <v>0</v>
      </c>
      <c r="AV66" s="91" t="n">
        <v>65</v>
      </c>
      <c r="AW66" s="91" t="n">
        <v>58</v>
      </c>
      <c r="AX66" s="91" t="n">
        <v>59</v>
      </c>
      <c r="AY66" s="91" t="n">
        <v>88</v>
      </c>
      <c r="AZ66" s="88" t="n">
        <v>0.01653363740022805</v>
      </c>
      <c r="BA66" s="88" t="n">
        <v>0.01681870011402509</v>
      </c>
      <c r="BB66" s="88" t="n">
        <v>0.02508551881413911</v>
      </c>
      <c r="BC66" s="88" t="n">
        <v>0.4338235294117647</v>
      </c>
      <c r="BD66" s="91" t="n">
        <v>0</v>
      </c>
      <c r="BE66" s="91" t="n">
        <v>0</v>
      </c>
      <c r="BF66" s="89" t="n">
        <v>1</v>
      </c>
      <c r="BG66" s="89" t="n">
        <v>1</v>
      </c>
      <c r="BH66" s="89" t="inlineStr">
        <is>
          <t>-</t>
        </is>
      </c>
    </row>
    <row r="67" ht="19.55" customHeight="1">
      <c r="A67" s="92" t="n">
        <v>64</v>
      </c>
      <c r="B67" s="87" t="inlineStr">
        <is>
          <t>全国</t>
        </is>
      </c>
      <c r="C67" s="93" t="n">
        <v>46245</v>
      </c>
      <c r="D67" s="87" t="n"/>
      <c r="E67" s="87" t="n">
        <v>45</v>
      </c>
      <c r="F67" s="87" t="n">
        <v>45</v>
      </c>
      <c r="G67" s="88" t="n">
        <v>1</v>
      </c>
      <c r="H67" s="87" t="n">
        <v>45</v>
      </c>
      <c r="I67" s="89" t="n">
        <v>1</v>
      </c>
      <c r="J67" s="87" t="n">
        <v>0</v>
      </c>
      <c r="K67" s="87" t="n">
        <v>0</v>
      </c>
      <c r="L67" s="88" t="n">
        <v>0</v>
      </c>
      <c r="M67" s="87" t="n">
        <v>6</v>
      </c>
      <c r="N67" s="87" t="n">
        <v>2</v>
      </c>
      <c r="O67" s="87" t="n">
        <v>2</v>
      </c>
      <c r="P67" s="88" t="n">
        <v>0.3333333333333333</v>
      </c>
      <c r="Q67" s="87" t="n">
        <v>4</v>
      </c>
      <c r="R67" s="87" t="n">
        <v>0</v>
      </c>
      <c r="S67" s="87" t="n">
        <v>0</v>
      </c>
      <c r="T67" s="88" t="n">
        <v>0</v>
      </c>
      <c r="U67" s="87" t="n">
        <v>0</v>
      </c>
      <c r="V67" s="88" t="n">
        <v>0</v>
      </c>
      <c r="W67" s="87" t="n">
        <v>13</v>
      </c>
      <c r="X67" s="88" t="n">
        <v>0.2888888888888889</v>
      </c>
      <c r="Y67" s="87" t="n">
        <v>7</v>
      </c>
      <c r="Z67" s="90" t="n">
        <v>0.1555555555555556</v>
      </c>
      <c r="AA67" s="87" t="n">
        <v>0</v>
      </c>
      <c r="AB67" s="88" t="n">
        <v>0</v>
      </c>
      <c r="AC67" s="87" t="n">
        <v>0</v>
      </c>
      <c r="AD67" s="88" t="n">
        <v>0</v>
      </c>
      <c r="AE67" s="87" t="n">
        <v>0</v>
      </c>
      <c r="AF67" s="88" t="n">
        <v>0</v>
      </c>
      <c r="AG67" s="87" t="n">
        <v>0</v>
      </c>
      <c r="AH67" s="88" t="n">
        <v>0</v>
      </c>
      <c r="AI67" s="91" t="n">
        <v>0</v>
      </c>
      <c r="AJ67" s="88" t="n">
        <v>0</v>
      </c>
      <c r="AK67" s="91" t="n">
        <v>0</v>
      </c>
      <c r="AL67" s="88" t="n">
        <v>0</v>
      </c>
      <c r="AM67" s="91" t="n">
        <v>0</v>
      </c>
      <c r="AN67" s="91" t="n">
        <v>0</v>
      </c>
      <c r="AO67" s="88" t="n">
        <v>0</v>
      </c>
      <c r="AP67" s="88" t="n">
        <v>0</v>
      </c>
      <c r="AQ67" s="89" t="n">
        <v>0</v>
      </c>
      <c r="AR67" s="89" t="n">
        <v>0</v>
      </c>
      <c r="AS67" s="89" t="n">
        <v>0</v>
      </c>
      <c r="AT67" s="91" t="n">
        <v>0</v>
      </c>
      <c r="AU67" s="91" t="n">
        <v>0</v>
      </c>
      <c r="AV67" s="91" t="n">
        <v>0</v>
      </c>
      <c r="AW67" s="91" t="n">
        <v>0</v>
      </c>
      <c r="AX67" s="91" t="n">
        <v>0</v>
      </c>
      <c r="AY67" s="91" t="n">
        <v>0</v>
      </c>
      <c r="AZ67" s="88" t="n">
        <v>0</v>
      </c>
      <c r="BA67" s="88" t="n">
        <v>0</v>
      </c>
      <c r="BB67" s="88" t="n">
        <v>0</v>
      </c>
      <c r="BC67" s="88" t="n">
        <v>0</v>
      </c>
      <c r="BD67" s="91" t="n">
        <v>0</v>
      </c>
      <c r="BE67" s="91" t="n">
        <v>0</v>
      </c>
      <c r="BF67" s="89" t="inlineStr">
        <is>
          <t>-</t>
        </is>
      </c>
      <c r="BG67" s="89" t="inlineStr">
        <is>
          <t>-</t>
        </is>
      </c>
      <c r="BH67" s="89" t="n">
        <v>0.9848484848484849</v>
      </c>
    </row>
    <row r="68" ht="19.55" customHeight="1">
      <c r="A68" s="92" t="n">
        <v>65</v>
      </c>
      <c r="B68" s="87" t="inlineStr">
        <is>
          <t>全国</t>
        </is>
      </c>
      <c r="C68" s="93" t="n">
        <v>46245</v>
      </c>
      <c r="D68" s="87" t="inlineStr">
        <is>
          <t>2026款探陆</t>
        </is>
      </c>
      <c r="E68" s="87" t="n">
        <v>399</v>
      </c>
      <c r="F68" s="87" t="n">
        <v>356</v>
      </c>
      <c r="G68" s="88" t="n">
        <v>0.8922305764411027</v>
      </c>
      <c r="H68" s="87" t="n">
        <v>106</v>
      </c>
      <c r="I68" s="89" t="n">
        <v>0.2656641604010025</v>
      </c>
      <c r="J68" s="87" t="n">
        <v>626</v>
      </c>
      <c r="K68" s="87" t="n">
        <v>399</v>
      </c>
      <c r="L68" s="88" t="n">
        <v>0.637</v>
      </c>
      <c r="M68" s="87" t="n">
        <v>1257</v>
      </c>
      <c r="N68" s="87" t="n">
        <v>1154</v>
      </c>
      <c r="O68" s="87" t="n">
        <v>971</v>
      </c>
      <c r="P68" s="88" t="n">
        <v>0.7724741447891806</v>
      </c>
      <c r="Q68" s="87" t="n">
        <v>101</v>
      </c>
      <c r="R68" s="87" t="n">
        <v>0</v>
      </c>
      <c r="S68" s="87" t="n">
        <v>0</v>
      </c>
      <c r="T68" s="88" t="n">
        <v>0</v>
      </c>
      <c r="U68" s="87" t="n">
        <v>0</v>
      </c>
      <c r="V68" s="88" t="n">
        <v>0</v>
      </c>
      <c r="W68" s="87" t="n">
        <v>3</v>
      </c>
      <c r="X68" s="88" t="n">
        <v>0.007518796992481203</v>
      </c>
      <c r="Y68" s="87" t="n">
        <v>57</v>
      </c>
      <c r="Z68" s="90" t="n">
        <v>0.1428571428571428</v>
      </c>
      <c r="AA68" s="87" t="n">
        <v>0</v>
      </c>
      <c r="AB68" s="88" t="n">
        <v>0</v>
      </c>
      <c r="AC68" s="87" t="n">
        <v>0</v>
      </c>
      <c r="AD68" s="88" t="n">
        <v>0</v>
      </c>
      <c r="AE68" s="87" t="n">
        <v>0</v>
      </c>
      <c r="AF68" s="88" t="n">
        <v>0</v>
      </c>
      <c r="AG68" s="87" t="n">
        <v>0</v>
      </c>
      <c r="AH68" s="88" t="n">
        <v>0</v>
      </c>
      <c r="AI68" s="91" t="n">
        <v>0</v>
      </c>
      <c r="AJ68" s="88" t="n">
        <v>0</v>
      </c>
      <c r="AK68" s="91" t="n">
        <v>0</v>
      </c>
      <c r="AL68" s="88" t="n">
        <v>0</v>
      </c>
      <c r="AM68" s="91" t="n">
        <v>0</v>
      </c>
      <c r="AN68" s="91" t="n">
        <v>0</v>
      </c>
      <c r="AO68" s="88" t="n">
        <v>0</v>
      </c>
      <c r="AP68" s="88" t="n">
        <v>0</v>
      </c>
      <c r="AQ68" s="89" t="n">
        <v>1</v>
      </c>
      <c r="AR68" s="89" t="inlineStr">
        <is>
          <t>0.0%</t>
        </is>
      </c>
      <c r="AS68" s="89" t="inlineStr">
        <is>
          <t>0.0%</t>
        </is>
      </c>
      <c r="AT68" s="91" t="n">
        <v>0</v>
      </c>
      <c r="AU68" s="91" t="n">
        <v>0</v>
      </c>
      <c r="AV68" s="91" t="n">
        <v>2</v>
      </c>
      <c r="AW68" s="91" t="n">
        <v>2</v>
      </c>
      <c r="AX68" s="91" t="n">
        <v>2</v>
      </c>
      <c r="AY68" s="91" t="n">
        <v>0</v>
      </c>
      <c r="AZ68" s="88" t="n">
        <v>0.005012531328320802</v>
      </c>
      <c r="BA68" s="88" t="n">
        <v>0.005012531328320802</v>
      </c>
      <c r="BB68" s="88" t="n">
        <v>0</v>
      </c>
      <c r="BC68" s="88" t="n">
        <v>0</v>
      </c>
      <c r="BD68" s="91" t="n">
        <v>0</v>
      </c>
      <c r="BE68" s="91" t="n">
        <v>0</v>
      </c>
      <c r="BF68" s="89" t="inlineStr">
        <is>
          <t>-</t>
        </is>
      </c>
      <c r="BG68" s="89" t="inlineStr">
        <is>
          <t>-</t>
        </is>
      </c>
      <c r="BH68" s="89" t="inlineStr">
        <is>
          <t>-</t>
        </is>
      </c>
    </row>
    <row r="69" ht="19.55" customHeight="1">
      <c r="A69" s="92" t="n">
        <v>66</v>
      </c>
      <c r="B69" s="87" t="inlineStr">
        <is>
          <t>全国</t>
        </is>
      </c>
      <c r="C69" s="93" t="n">
        <v>46245</v>
      </c>
      <c r="D69" s="87" t="inlineStr">
        <is>
          <t>N6</t>
        </is>
      </c>
      <c r="E69" s="87" t="n">
        <v>1618</v>
      </c>
      <c r="F69" s="87" t="n">
        <v>1442</v>
      </c>
      <c r="G69" s="88" t="n">
        <v>0.8912237330037083</v>
      </c>
      <c r="H69" s="87" t="n">
        <v>933</v>
      </c>
      <c r="I69" s="89" t="n">
        <v>0.5766378244746601</v>
      </c>
      <c r="J69" s="87" t="n">
        <v>1846</v>
      </c>
      <c r="K69" s="87" t="n">
        <v>1806</v>
      </c>
      <c r="L69" s="88" t="n">
        <v>0.978</v>
      </c>
      <c r="M69" s="87" t="n">
        <v>8444</v>
      </c>
      <c r="N69" s="87" t="n">
        <v>8406</v>
      </c>
      <c r="O69" s="87" t="n">
        <v>8307</v>
      </c>
      <c r="P69" s="88" t="n">
        <v>0.9837754618664141</v>
      </c>
      <c r="Q69" s="87" t="n">
        <v>17</v>
      </c>
      <c r="R69" s="87" t="n">
        <v>0</v>
      </c>
      <c r="S69" s="87" t="n">
        <v>0</v>
      </c>
      <c r="T69" s="88" t="n">
        <v>0</v>
      </c>
      <c r="U69" s="87" t="n">
        <v>0</v>
      </c>
      <c r="V69" s="88" t="n">
        <v>0</v>
      </c>
      <c r="W69" s="87" t="n">
        <v>286</v>
      </c>
      <c r="X69" s="88" t="n">
        <v>0.1767614338689741</v>
      </c>
      <c r="Y69" s="87" t="n">
        <v>589</v>
      </c>
      <c r="Z69" s="90" t="n">
        <v>0.3640296662546353</v>
      </c>
      <c r="AA69" s="87" t="n">
        <v>4</v>
      </c>
      <c r="AB69" s="88" t="n">
        <v>0.002472187886279357</v>
      </c>
      <c r="AC69" s="87" t="n">
        <v>139</v>
      </c>
      <c r="AD69" s="88" t="n">
        <v>0.08590852904820766</v>
      </c>
      <c r="AE69" s="87" t="n">
        <v>35</v>
      </c>
      <c r="AF69" s="88" t="n">
        <v>0.2517985611510791</v>
      </c>
      <c r="AG69" s="87" t="n">
        <v>113</v>
      </c>
      <c r="AH69" s="88" t="n">
        <v>0.8129496402877698</v>
      </c>
      <c r="AI69" s="91" t="n">
        <v>115</v>
      </c>
      <c r="AJ69" s="88" t="n">
        <v>0.07107540173053152</v>
      </c>
      <c r="AK69" s="91" t="n">
        <v>12</v>
      </c>
      <c r="AL69" s="88" t="n">
        <v>0.8869565217391304</v>
      </c>
      <c r="AM69" s="91" t="n">
        <v>114</v>
      </c>
      <c r="AN69" s="91" t="n">
        <v>102</v>
      </c>
      <c r="AO69" s="88" t="n">
        <v>0.0630407911001236</v>
      </c>
      <c r="AP69" s="88" t="n">
        <v>0.7338129496402878</v>
      </c>
      <c r="AQ69" s="89" t="n">
        <v>0.9801980198019802</v>
      </c>
      <c r="AR69" s="89" t="n">
        <v>0.6226415094339622</v>
      </c>
      <c r="AS69" s="89" t="n">
        <v>0.6132075471698113</v>
      </c>
      <c r="AT69" s="91" t="n">
        <v>0</v>
      </c>
      <c r="AU69" s="91" t="n">
        <v>0</v>
      </c>
      <c r="AV69" s="91" t="n">
        <v>39</v>
      </c>
      <c r="AW69" s="91" t="n">
        <v>33</v>
      </c>
      <c r="AX69" s="91" t="n">
        <v>33</v>
      </c>
      <c r="AY69" s="91" t="n">
        <v>38</v>
      </c>
      <c r="AZ69" s="88" t="n">
        <v>0.0203955500618047</v>
      </c>
      <c r="BA69" s="88" t="n">
        <v>0.0203955500618047</v>
      </c>
      <c r="BB69" s="88" t="n">
        <v>0.02348578491965389</v>
      </c>
      <c r="BC69" s="88" t="n">
        <v>0.3235294117647059</v>
      </c>
      <c r="BD69" s="91" t="n">
        <v>0</v>
      </c>
      <c r="BE69" s="91" t="n">
        <v>0</v>
      </c>
      <c r="BF69" s="89" t="n">
        <v>0.9230769230769231</v>
      </c>
      <c r="BG69" s="89" t="n">
        <v>1</v>
      </c>
      <c r="BH69" s="89" t="inlineStr">
        <is>
          <t>-</t>
        </is>
      </c>
    </row>
    <row r="70" ht="19.55" customHeight="1">
      <c r="A70" s="92" t="n">
        <v>67</v>
      </c>
      <c r="B70" s="87" t="inlineStr">
        <is>
          <t>全国</t>
        </is>
      </c>
      <c r="C70" s="93" t="n">
        <v>46245</v>
      </c>
      <c r="D70" s="87" t="inlineStr">
        <is>
          <t>N7</t>
        </is>
      </c>
      <c r="E70" s="87" t="n">
        <v>1445</v>
      </c>
      <c r="F70" s="87" t="n">
        <v>1265</v>
      </c>
      <c r="G70" s="88" t="n">
        <v>0.8754325259515571</v>
      </c>
      <c r="H70" s="87" t="n">
        <v>742</v>
      </c>
      <c r="I70" s="89" t="n">
        <v>0.5134948096885813</v>
      </c>
      <c r="J70" s="87" t="n">
        <v>1382</v>
      </c>
      <c r="K70" s="87" t="n">
        <v>1340</v>
      </c>
      <c r="L70" s="88" t="n">
        <v>0.97</v>
      </c>
      <c r="M70" s="87" t="n">
        <v>6557</v>
      </c>
      <c r="N70" s="87" t="n">
        <v>6430</v>
      </c>
      <c r="O70" s="87" t="n">
        <v>6402</v>
      </c>
      <c r="P70" s="88" t="n">
        <v>0.976361140765594</v>
      </c>
      <c r="Q70" s="87" t="n">
        <v>23</v>
      </c>
      <c r="R70" s="87" t="n">
        <v>0</v>
      </c>
      <c r="S70" s="87" t="n">
        <v>0</v>
      </c>
      <c r="T70" s="88" t="n">
        <v>0</v>
      </c>
      <c r="U70" s="87" t="n">
        <v>0</v>
      </c>
      <c r="V70" s="88" t="n">
        <v>0</v>
      </c>
      <c r="W70" s="87" t="n">
        <v>260</v>
      </c>
      <c r="X70" s="88" t="n">
        <v>0.1799307958477509</v>
      </c>
      <c r="Y70" s="87" t="n">
        <v>443</v>
      </c>
      <c r="Z70" s="90" t="n">
        <v>0.3065743944636678</v>
      </c>
      <c r="AA70" s="87" t="n">
        <v>1</v>
      </c>
      <c r="AB70" s="88" t="n">
        <v>0.0006920415224913495</v>
      </c>
      <c r="AC70" s="87" t="n">
        <v>172</v>
      </c>
      <c r="AD70" s="88" t="n">
        <v>0.1190311418685121</v>
      </c>
      <c r="AE70" s="87" t="n">
        <v>30</v>
      </c>
      <c r="AF70" s="88" t="n">
        <v>0.1744186046511628</v>
      </c>
      <c r="AG70" s="87" t="n">
        <v>126</v>
      </c>
      <c r="AH70" s="88" t="n">
        <v>0.7325581395348837</v>
      </c>
      <c r="AI70" s="91" t="n">
        <v>119</v>
      </c>
      <c r="AJ70" s="88" t="n">
        <v>0.08235294117647059</v>
      </c>
      <c r="AK70" s="91" t="n">
        <v>6</v>
      </c>
      <c r="AL70" s="88" t="n">
        <v>0.8823529411764706</v>
      </c>
      <c r="AM70" s="91" t="n">
        <v>117</v>
      </c>
      <c r="AN70" s="91" t="n">
        <v>105</v>
      </c>
      <c r="AO70" s="88" t="n">
        <v>0.0726643598615917</v>
      </c>
      <c r="AP70" s="88" t="n">
        <v>0.6104651162790697</v>
      </c>
      <c r="AQ70" s="89" t="n">
        <v>0.979381443298969</v>
      </c>
      <c r="AR70" s="89" t="n">
        <v>0.5897435897435898</v>
      </c>
      <c r="AS70" s="89" t="n">
        <v>0.5555555555555556</v>
      </c>
      <c r="AT70" s="91" t="n">
        <v>0</v>
      </c>
      <c r="AU70" s="91" t="n">
        <v>0</v>
      </c>
      <c r="AV70" s="91" t="n">
        <v>24</v>
      </c>
      <c r="AW70" s="91" t="n">
        <v>22</v>
      </c>
      <c r="AX70" s="91" t="n">
        <v>22</v>
      </c>
      <c r="AY70" s="91" t="n">
        <v>30</v>
      </c>
      <c r="AZ70" s="88" t="n">
        <v>0.01522491349480969</v>
      </c>
      <c r="BA70" s="88" t="n">
        <v>0.01522491349480969</v>
      </c>
      <c r="BB70" s="88" t="n">
        <v>0.02076124567474048</v>
      </c>
      <c r="BC70" s="88" t="n">
        <v>0.2095238095238095</v>
      </c>
      <c r="BD70" s="91" t="n">
        <v>0</v>
      </c>
      <c r="BE70" s="91" t="n">
        <v>0</v>
      </c>
      <c r="BF70" s="89" t="n">
        <v>1</v>
      </c>
      <c r="BG70" s="89" t="n">
        <v>1</v>
      </c>
      <c r="BH70" s="89" t="inlineStr">
        <is>
          <t>-</t>
        </is>
      </c>
    </row>
    <row r="71" ht="19.55" customHeight="1">
      <c r="A71" s="92" t="n">
        <v>68</v>
      </c>
      <c r="B71" s="87" t="inlineStr">
        <is>
          <t>全国</t>
        </is>
      </c>
      <c r="C71" s="93" t="n">
        <v>46245</v>
      </c>
      <c r="D71" s="87" t="inlineStr">
        <is>
          <t>NX8</t>
        </is>
      </c>
      <c r="E71" s="87" t="n">
        <v>5801</v>
      </c>
      <c r="F71" s="87" t="n">
        <v>5138</v>
      </c>
      <c r="G71" s="88" t="n">
        <v>0.885709360455094</v>
      </c>
      <c r="H71" s="87" t="n">
        <v>2087</v>
      </c>
      <c r="I71" s="89" t="n">
        <v>0.359765557662472</v>
      </c>
      <c r="J71" s="87" t="n">
        <v>6875</v>
      </c>
      <c r="K71" s="87" t="n">
        <v>6675</v>
      </c>
      <c r="L71" s="88" t="n">
        <v>0.971</v>
      </c>
      <c r="M71" s="87" t="n">
        <v>24923</v>
      </c>
      <c r="N71" s="87" t="n">
        <v>24949</v>
      </c>
      <c r="O71" s="87" t="n">
        <v>24412</v>
      </c>
      <c r="P71" s="88" t="n">
        <v>0.9794968502989206</v>
      </c>
      <c r="Q71" s="87" t="n">
        <v>75</v>
      </c>
      <c r="R71" s="87" t="n">
        <v>0</v>
      </c>
      <c r="S71" s="87" t="n">
        <v>0</v>
      </c>
      <c r="T71" s="88" t="n">
        <v>0</v>
      </c>
      <c r="U71" s="87" t="n">
        <v>0</v>
      </c>
      <c r="V71" s="88" t="n">
        <v>0</v>
      </c>
      <c r="W71" s="87" t="n">
        <v>773</v>
      </c>
      <c r="X71" s="88" t="n">
        <v>0.1332528874332012</v>
      </c>
      <c r="Y71" s="87" t="n">
        <v>3529</v>
      </c>
      <c r="Z71" s="90" t="n">
        <v>0.6083433890708498</v>
      </c>
      <c r="AA71" s="87" t="n">
        <v>5</v>
      </c>
      <c r="AB71" s="88" t="n">
        <v>0.0008619203585588692</v>
      </c>
      <c r="AC71" s="87" t="n">
        <v>519</v>
      </c>
      <c r="AD71" s="88" t="n">
        <v>0.08946733321841062</v>
      </c>
      <c r="AE71" s="87" t="n">
        <v>91</v>
      </c>
      <c r="AF71" s="88" t="n">
        <v>0.1753371868978805</v>
      </c>
      <c r="AG71" s="87" t="n">
        <v>438</v>
      </c>
      <c r="AH71" s="88" t="n">
        <v>0.8439306358381503</v>
      </c>
      <c r="AI71" s="91" t="n">
        <v>448</v>
      </c>
      <c r="AJ71" s="88" t="n">
        <v>0.07722806412687468</v>
      </c>
      <c r="AK71" s="91" t="n">
        <v>46</v>
      </c>
      <c r="AL71" s="88" t="n">
        <v>0.8727678571428571</v>
      </c>
      <c r="AM71" s="91" t="n">
        <v>437</v>
      </c>
      <c r="AN71" s="91" t="n">
        <v>391</v>
      </c>
      <c r="AO71" s="88" t="n">
        <v>0.06740217203930357</v>
      </c>
      <c r="AP71" s="88" t="n">
        <v>0.7533718689788054</v>
      </c>
      <c r="AQ71" s="89" t="n">
        <v>0.9710144927536232</v>
      </c>
      <c r="AR71" s="89" t="n">
        <v>0.5976744186046512</v>
      </c>
      <c r="AS71" s="89" t="n">
        <v>0.5581395348837209</v>
      </c>
      <c r="AT71" s="91" t="n">
        <v>0</v>
      </c>
      <c r="AU71" s="91" t="n">
        <v>0</v>
      </c>
      <c r="AV71" s="91" t="n">
        <v>58</v>
      </c>
      <c r="AW71" s="91" t="n">
        <v>47</v>
      </c>
      <c r="AX71" s="91" t="n">
        <v>53</v>
      </c>
      <c r="AY71" s="91" t="n">
        <v>80</v>
      </c>
      <c r="AZ71" s="88" t="n">
        <v>0.00810205137045337</v>
      </c>
      <c r="BA71" s="88" t="n">
        <v>0.009136355800724014</v>
      </c>
      <c r="BB71" s="88" t="n">
        <v>0.01379072573694191</v>
      </c>
      <c r="BC71" s="88" t="n">
        <v>0.1355498721227621</v>
      </c>
      <c r="BD71" s="91" t="n">
        <v>0</v>
      </c>
      <c r="BE71" s="91" t="n">
        <v>1</v>
      </c>
      <c r="BF71" s="89" t="n">
        <v>0.9534883720930233</v>
      </c>
      <c r="BG71" s="89" t="n">
        <v>1</v>
      </c>
      <c r="BH71" s="89" t="inlineStr">
        <is>
          <t>-</t>
        </is>
      </c>
    </row>
    <row r="72" ht="19.55" customHeight="1">
      <c r="A72" s="92" t="n">
        <v>69</v>
      </c>
      <c r="B72" s="87" t="inlineStr">
        <is>
          <t>全国</t>
        </is>
      </c>
      <c r="C72" s="93" t="n">
        <v>46245</v>
      </c>
      <c r="D72" s="87" t="inlineStr">
        <is>
          <t>天籁·鸿蒙座舱</t>
        </is>
      </c>
      <c r="E72" s="87" t="n">
        <v>3413</v>
      </c>
      <c r="F72" s="87" t="n">
        <v>2978</v>
      </c>
      <c r="G72" s="88" t="n">
        <v>0.8725461470846763</v>
      </c>
      <c r="H72" s="87" t="n">
        <v>1820</v>
      </c>
      <c r="I72" s="89" t="n">
        <v>0.5332552007031937</v>
      </c>
      <c r="J72" s="87" t="n">
        <v>4108</v>
      </c>
      <c r="K72" s="87" t="n">
        <v>4010</v>
      </c>
      <c r="L72" s="88" t="n">
        <v>0.976</v>
      </c>
      <c r="M72" s="87" t="n">
        <v>17682</v>
      </c>
      <c r="N72" s="87" t="n">
        <v>17562</v>
      </c>
      <c r="O72" s="87" t="n">
        <v>17364</v>
      </c>
      <c r="P72" s="88" t="n">
        <v>0.9820156090939939</v>
      </c>
      <c r="Q72" s="87" t="n">
        <v>29</v>
      </c>
      <c r="R72" s="87" t="n">
        <v>0</v>
      </c>
      <c r="S72" s="87" t="n">
        <v>0</v>
      </c>
      <c r="T72" s="88" t="n">
        <v>0</v>
      </c>
      <c r="U72" s="87" t="n">
        <v>0</v>
      </c>
      <c r="V72" s="88" t="n">
        <v>0</v>
      </c>
      <c r="W72" s="87" t="n">
        <v>427</v>
      </c>
      <c r="X72" s="88" t="n">
        <v>0.1251098740111339</v>
      </c>
      <c r="Y72" s="87" t="n">
        <v>828</v>
      </c>
      <c r="Z72" s="90" t="n">
        <v>0.2426018165836507</v>
      </c>
      <c r="AA72" s="87" t="n">
        <v>10</v>
      </c>
      <c r="AB72" s="88" t="n">
        <v>0.002929973630237328</v>
      </c>
      <c r="AC72" s="87" t="n">
        <v>186</v>
      </c>
      <c r="AD72" s="88" t="n">
        <v>0.0544975095224143</v>
      </c>
      <c r="AE72" s="87" t="n">
        <v>31</v>
      </c>
      <c r="AF72" s="88" t="n">
        <v>0.1666666666666667</v>
      </c>
      <c r="AG72" s="87" t="n">
        <v>149</v>
      </c>
      <c r="AH72" s="88" t="n">
        <v>0.8010752688172043</v>
      </c>
      <c r="AI72" s="91" t="n">
        <v>143</v>
      </c>
      <c r="AJ72" s="88" t="n">
        <v>0.04189862291239379</v>
      </c>
      <c r="AK72" s="91" t="n">
        <v>14</v>
      </c>
      <c r="AL72" s="88" t="n">
        <v>0.9230769230769231</v>
      </c>
      <c r="AM72" s="91" t="n">
        <v>142</v>
      </c>
      <c r="AN72" s="91" t="n">
        <v>132</v>
      </c>
      <c r="AO72" s="88" t="n">
        <v>0.03867565191913273</v>
      </c>
      <c r="AP72" s="88" t="n">
        <v>0.7096774193548387</v>
      </c>
      <c r="AQ72" s="89" t="n">
        <v>0.9637681159420289</v>
      </c>
      <c r="AR72" s="89" t="n">
        <v>0.6496815286624203</v>
      </c>
      <c r="AS72" s="89" t="n">
        <v>0.5732484076433121</v>
      </c>
      <c r="AT72" s="91" t="n">
        <v>0</v>
      </c>
      <c r="AU72" s="91" t="n">
        <v>0</v>
      </c>
      <c r="AV72" s="91" t="n">
        <v>73</v>
      </c>
      <c r="AW72" s="91" t="n">
        <v>66</v>
      </c>
      <c r="AX72" s="91" t="n">
        <v>69</v>
      </c>
      <c r="AY72" s="91" t="n">
        <v>63</v>
      </c>
      <c r="AZ72" s="88" t="n">
        <v>0.01933782595956636</v>
      </c>
      <c r="BA72" s="88" t="n">
        <v>0.02021681804863756</v>
      </c>
      <c r="BB72" s="88" t="n">
        <v>0.01845883387049517</v>
      </c>
      <c r="BC72" s="88" t="n">
        <v>0.5227272727272727</v>
      </c>
      <c r="BD72" s="91" t="n">
        <v>0</v>
      </c>
      <c r="BE72" s="91" t="n">
        <v>0</v>
      </c>
      <c r="BF72" s="89" t="n">
        <v>1</v>
      </c>
      <c r="BG72" s="89" t="n">
        <v>1</v>
      </c>
      <c r="BH72" s="89" t="inlineStr">
        <is>
          <t>-</t>
        </is>
      </c>
    </row>
    <row r="73" ht="19.55" customHeight="1">
      <c r="A73" s="92" t="n">
        <v>70</v>
      </c>
      <c r="B73" s="87" t="inlineStr">
        <is>
          <t>全国</t>
        </is>
      </c>
      <c r="C73" s="93" t="n">
        <v>46246</v>
      </c>
      <c r="D73" s="87" t="n"/>
      <c r="E73" s="87" t="n">
        <v>41</v>
      </c>
      <c r="F73" s="87" t="n">
        <v>41</v>
      </c>
      <c r="G73" s="88" t="n">
        <v>1</v>
      </c>
      <c r="H73" s="87" t="n">
        <v>41</v>
      </c>
      <c r="I73" s="89" t="n">
        <v>1</v>
      </c>
      <c r="J73" s="87" t="n">
        <v>2</v>
      </c>
      <c r="K73" s="87" t="n">
        <v>0</v>
      </c>
      <c r="L73" s="88" t="n">
        <v>0</v>
      </c>
      <c r="M73" s="87" t="n">
        <v>7</v>
      </c>
      <c r="N73" s="87" t="n">
        <v>0</v>
      </c>
      <c r="O73" s="87" t="n">
        <v>0</v>
      </c>
      <c r="P73" s="88" t="n">
        <v>0</v>
      </c>
      <c r="Q73" s="87" t="n">
        <v>6</v>
      </c>
      <c r="R73" s="87" t="n">
        <v>0</v>
      </c>
      <c r="S73" s="87" t="n">
        <v>0</v>
      </c>
      <c r="T73" s="88" t="n">
        <v>0</v>
      </c>
      <c r="U73" s="87" t="n">
        <v>0</v>
      </c>
      <c r="V73" s="88" t="n">
        <v>0</v>
      </c>
      <c r="W73" s="87" t="n">
        <v>26</v>
      </c>
      <c r="X73" s="88" t="n">
        <v>0.6341463414634146</v>
      </c>
      <c r="Y73" s="87" t="n">
        <v>6</v>
      </c>
      <c r="Z73" s="90" t="n">
        <v>0.1463414634146341</v>
      </c>
      <c r="AA73" s="87" t="n">
        <v>0</v>
      </c>
      <c r="AB73" s="88" t="n">
        <v>0</v>
      </c>
      <c r="AC73" s="87" t="n">
        <v>0</v>
      </c>
      <c r="AD73" s="88" t="n">
        <v>0</v>
      </c>
      <c r="AE73" s="87" t="n">
        <v>0</v>
      </c>
      <c r="AF73" s="88" t="n">
        <v>0</v>
      </c>
      <c r="AG73" s="87" t="n">
        <v>0</v>
      </c>
      <c r="AH73" s="88" t="n">
        <v>0</v>
      </c>
      <c r="AI73" s="91" t="n">
        <v>0</v>
      </c>
      <c r="AJ73" s="88" t="n">
        <v>0</v>
      </c>
      <c r="AK73" s="91" t="n">
        <v>0</v>
      </c>
      <c r="AL73" s="88" t="n">
        <v>0</v>
      </c>
      <c r="AM73" s="91" t="n">
        <v>0</v>
      </c>
      <c r="AN73" s="91" t="n">
        <v>0</v>
      </c>
      <c r="AO73" s="88" t="n">
        <v>0</v>
      </c>
      <c r="AP73" s="88" t="n">
        <v>0</v>
      </c>
      <c r="AQ73" s="89" t="n">
        <v>0</v>
      </c>
      <c r="AR73" s="89" t="n">
        <v>0</v>
      </c>
      <c r="AS73" s="89" t="n">
        <v>0</v>
      </c>
      <c r="AT73" s="91" t="n">
        <v>0</v>
      </c>
      <c r="AU73" s="91" t="n">
        <v>0</v>
      </c>
      <c r="AV73" s="91" t="n">
        <v>0</v>
      </c>
      <c r="AW73" s="91" t="n">
        <v>0</v>
      </c>
      <c r="AX73" s="91" t="n">
        <v>0</v>
      </c>
      <c r="AY73" s="91" t="n">
        <v>0</v>
      </c>
      <c r="AZ73" s="88" t="n">
        <v>0</v>
      </c>
      <c r="BA73" s="88" t="n">
        <v>0</v>
      </c>
      <c r="BB73" s="88" t="n">
        <v>0</v>
      </c>
      <c r="BC73" s="88" t="n">
        <v>0</v>
      </c>
      <c r="BD73" s="91" t="n">
        <v>0</v>
      </c>
      <c r="BE73" s="91" t="n">
        <v>0</v>
      </c>
      <c r="BF73" s="89" t="inlineStr">
        <is>
          <t>-</t>
        </is>
      </c>
      <c r="BG73" s="89" t="inlineStr">
        <is>
          <t>-</t>
        </is>
      </c>
      <c r="BH73" s="89" t="n">
        <v>1</v>
      </c>
    </row>
    <row r="74" ht="19.55" customHeight="1">
      <c r="A74" s="92" t="n">
        <v>71</v>
      </c>
      <c r="B74" s="87" t="inlineStr">
        <is>
          <t>全国</t>
        </is>
      </c>
      <c r="C74" s="93" t="n">
        <v>46246</v>
      </c>
      <c r="D74" s="87" t="inlineStr">
        <is>
          <t>2026款探陆</t>
        </is>
      </c>
      <c r="E74" s="87" t="n">
        <v>388</v>
      </c>
      <c r="F74" s="87" t="n">
        <v>339</v>
      </c>
      <c r="G74" s="88" t="n">
        <v>0.8737113402061856</v>
      </c>
      <c r="H74" s="87" t="n">
        <v>86</v>
      </c>
      <c r="I74" s="89" t="n">
        <v>0.2216494845360825</v>
      </c>
      <c r="J74" s="87" t="n">
        <v>496</v>
      </c>
      <c r="K74" s="87" t="n">
        <v>288</v>
      </c>
      <c r="L74" s="88" t="n">
        <v>0.581</v>
      </c>
      <c r="M74" s="87" t="n">
        <v>1060</v>
      </c>
      <c r="N74" s="87" t="n">
        <v>947</v>
      </c>
      <c r="O74" s="87" t="n">
        <v>810</v>
      </c>
      <c r="P74" s="88" t="n">
        <v>0.7641509433962265</v>
      </c>
      <c r="Q74" s="87" t="n">
        <v>74</v>
      </c>
      <c r="R74" s="87" t="n">
        <v>0</v>
      </c>
      <c r="S74" s="87" t="n">
        <v>0</v>
      </c>
      <c r="T74" s="88" t="n">
        <v>0</v>
      </c>
      <c r="U74" s="87" t="n">
        <v>0</v>
      </c>
      <c r="V74" s="88" t="n">
        <v>0</v>
      </c>
      <c r="W74" s="87" t="n">
        <v>5</v>
      </c>
      <c r="X74" s="88" t="n">
        <v>0.01288659793814433</v>
      </c>
      <c r="Y74" s="87" t="n">
        <v>31</v>
      </c>
      <c r="Z74" s="90" t="n">
        <v>0.07989690721649484</v>
      </c>
      <c r="AA74" s="87" t="n">
        <v>0</v>
      </c>
      <c r="AB74" s="88" t="n">
        <v>0</v>
      </c>
      <c r="AC74" s="87" t="n">
        <v>2</v>
      </c>
      <c r="AD74" s="88" t="n">
        <v>0.005154639175257732</v>
      </c>
      <c r="AE74" s="87" t="n">
        <v>0</v>
      </c>
      <c r="AF74" s="88" t="n">
        <v>0</v>
      </c>
      <c r="AG74" s="87" t="n">
        <v>1</v>
      </c>
      <c r="AH74" s="88" t="n">
        <v>0.5</v>
      </c>
      <c r="AI74" s="91" t="n">
        <v>0</v>
      </c>
      <c r="AJ74" s="88" t="n">
        <v>0</v>
      </c>
      <c r="AK74" s="91" t="n">
        <v>0</v>
      </c>
      <c r="AL74" s="88" t="n">
        <v>0</v>
      </c>
      <c r="AM74" s="91" t="n">
        <v>0</v>
      </c>
      <c r="AN74" s="91" t="n">
        <v>0</v>
      </c>
      <c r="AO74" s="88" t="n">
        <v>0</v>
      </c>
      <c r="AP74" s="88" t="n">
        <v>0</v>
      </c>
      <c r="AQ74" s="89" t="n"/>
      <c r="AR74" s="89" t="n">
        <v>1</v>
      </c>
      <c r="AS74" s="89" t="n">
        <v>1</v>
      </c>
      <c r="AT74" s="91" t="n">
        <v>0</v>
      </c>
      <c r="AU74" s="91" t="n">
        <v>0</v>
      </c>
      <c r="AV74" s="91" t="n">
        <v>6</v>
      </c>
      <c r="AW74" s="91" t="n">
        <v>6</v>
      </c>
      <c r="AX74" s="91" t="n">
        <v>6</v>
      </c>
      <c r="AY74" s="91" t="n">
        <v>2</v>
      </c>
      <c r="AZ74" s="88" t="n">
        <v>0.0154639175257732</v>
      </c>
      <c r="BA74" s="88" t="n">
        <v>0.0154639175257732</v>
      </c>
      <c r="BB74" s="88" t="n">
        <v>0.005154639175257732</v>
      </c>
      <c r="BC74" s="88" t="n">
        <v>0</v>
      </c>
      <c r="BD74" s="91" t="n">
        <v>0</v>
      </c>
      <c r="BE74" s="91" t="n">
        <v>0</v>
      </c>
      <c r="BF74" s="89" t="inlineStr">
        <is>
          <t>-</t>
        </is>
      </c>
      <c r="BG74" s="89" t="n">
        <v>1</v>
      </c>
      <c r="BH74" s="89" t="inlineStr">
        <is>
          <t>-</t>
        </is>
      </c>
    </row>
    <row r="75" ht="19.55" customHeight="1">
      <c r="A75" s="92" t="n">
        <v>72</v>
      </c>
      <c r="B75" s="87" t="inlineStr">
        <is>
          <t>全国</t>
        </is>
      </c>
      <c r="C75" s="93" t="n">
        <v>46246</v>
      </c>
      <c r="D75" s="87" t="inlineStr">
        <is>
          <t>N6</t>
        </is>
      </c>
      <c r="E75" s="87" t="n">
        <v>1393</v>
      </c>
      <c r="F75" s="87" t="n">
        <v>1235</v>
      </c>
      <c r="G75" s="88" t="n">
        <v>0.886575735821967</v>
      </c>
      <c r="H75" s="87" t="n">
        <v>734</v>
      </c>
      <c r="I75" s="89" t="n">
        <v>0.5269203158650395</v>
      </c>
      <c r="J75" s="87" t="n">
        <v>1473</v>
      </c>
      <c r="K75" s="87" t="n">
        <v>1435</v>
      </c>
      <c r="L75" s="88" t="n">
        <v>0.974</v>
      </c>
      <c r="M75" s="87" t="n">
        <v>7812</v>
      </c>
      <c r="N75" s="87" t="n">
        <v>7544</v>
      </c>
      <c r="O75" s="87" t="n">
        <v>7693</v>
      </c>
      <c r="P75" s="88" t="n">
        <v>0.9847670250896058</v>
      </c>
      <c r="Q75" s="87" t="n">
        <v>22</v>
      </c>
      <c r="R75" s="87" t="n">
        <v>0</v>
      </c>
      <c r="S75" s="87" t="n">
        <v>0</v>
      </c>
      <c r="T75" s="88" t="n">
        <v>0</v>
      </c>
      <c r="U75" s="87" t="n">
        <v>0</v>
      </c>
      <c r="V75" s="88" t="n">
        <v>0</v>
      </c>
      <c r="W75" s="87" t="n">
        <v>491</v>
      </c>
      <c r="X75" s="88" t="n">
        <v>0.3524766690595836</v>
      </c>
      <c r="Y75" s="87" t="n">
        <v>637</v>
      </c>
      <c r="Z75" s="90" t="n">
        <v>0.457286432160804</v>
      </c>
      <c r="AA75" s="87" t="n">
        <v>2</v>
      </c>
      <c r="AB75" s="88" t="n">
        <v>0.001435750179468772</v>
      </c>
      <c r="AC75" s="87" t="n">
        <v>157</v>
      </c>
      <c r="AD75" s="88" t="n">
        <v>0.1127063890882986</v>
      </c>
      <c r="AE75" s="87" t="n">
        <v>20</v>
      </c>
      <c r="AF75" s="88" t="n">
        <v>0.1273885350318471</v>
      </c>
      <c r="AG75" s="87" t="n">
        <v>118</v>
      </c>
      <c r="AH75" s="88" t="n">
        <v>0.7515923566878981</v>
      </c>
      <c r="AI75" s="91" t="n">
        <v>109</v>
      </c>
      <c r="AJ75" s="88" t="n">
        <v>0.07824838478104809</v>
      </c>
      <c r="AK75" s="91" t="n">
        <v>12</v>
      </c>
      <c r="AL75" s="88" t="n">
        <v>0.8623853211009175</v>
      </c>
      <c r="AM75" s="91" t="n">
        <v>108</v>
      </c>
      <c r="AN75" s="91" t="n">
        <v>94</v>
      </c>
      <c r="AO75" s="88" t="n">
        <v>0.0674802584350323</v>
      </c>
      <c r="AP75" s="88" t="n">
        <v>0.5987261146496815</v>
      </c>
      <c r="AQ75" s="89" t="n">
        <v>0.99</v>
      </c>
      <c r="AR75" s="89" t="n">
        <v>0.5544554455445545</v>
      </c>
      <c r="AS75" s="89" t="n">
        <v>0.5841584158415841</v>
      </c>
      <c r="AT75" s="91" t="n">
        <v>0</v>
      </c>
      <c r="AU75" s="91" t="n">
        <v>0</v>
      </c>
      <c r="AV75" s="91" t="n">
        <v>43</v>
      </c>
      <c r="AW75" s="91" t="n">
        <v>38</v>
      </c>
      <c r="AX75" s="91" t="n">
        <v>39</v>
      </c>
      <c r="AY75" s="91" t="n">
        <v>68</v>
      </c>
      <c r="AZ75" s="88" t="n">
        <v>0.02727925340990668</v>
      </c>
      <c r="BA75" s="88" t="n">
        <v>0.02799712849964106</v>
      </c>
      <c r="BB75" s="88" t="n">
        <v>0.04881550610193826</v>
      </c>
      <c r="BC75" s="88" t="n">
        <v>0.4148936170212766</v>
      </c>
      <c r="BD75" s="91" t="n">
        <v>0</v>
      </c>
      <c r="BE75" s="91" t="n">
        <v>0</v>
      </c>
      <c r="BF75" s="89" t="n">
        <v>1</v>
      </c>
      <c r="BG75" s="89" t="n">
        <v>1</v>
      </c>
      <c r="BH75" s="89" t="inlineStr">
        <is>
          <t>-</t>
        </is>
      </c>
    </row>
    <row r="76" ht="19.55" customHeight="1">
      <c r="A76" s="92" t="n">
        <v>73</v>
      </c>
      <c r="B76" s="87" t="inlineStr">
        <is>
          <t>全国</t>
        </is>
      </c>
      <c r="C76" s="93" t="n">
        <v>46246</v>
      </c>
      <c r="D76" s="87" t="inlineStr">
        <is>
          <t>N7</t>
        </is>
      </c>
      <c r="E76" s="87" t="n">
        <v>1442</v>
      </c>
      <c r="F76" s="87" t="n">
        <v>1243</v>
      </c>
      <c r="G76" s="88" t="n">
        <v>0.8619972260748959</v>
      </c>
      <c r="H76" s="87" t="n">
        <v>747</v>
      </c>
      <c r="I76" s="89" t="n">
        <v>0.5180305131761442</v>
      </c>
      <c r="J76" s="87" t="n">
        <v>1358</v>
      </c>
      <c r="K76" s="87" t="n">
        <v>1323</v>
      </c>
      <c r="L76" s="88" t="n">
        <v>0.974</v>
      </c>
      <c r="M76" s="87" t="n">
        <v>6660</v>
      </c>
      <c r="N76" s="87" t="n">
        <v>6451</v>
      </c>
      <c r="O76" s="87" t="n">
        <v>6537</v>
      </c>
      <c r="P76" s="88" t="n">
        <v>0.9815315315315315</v>
      </c>
      <c r="Q76" s="87" t="n">
        <v>29</v>
      </c>
      <c r="R76" s="87" t="n">
        <v>0</v>
      </c>
      <c r="S76" s="87" t="n">
        <v>0</v>
      </c>
      <c r="T76" s="88" t="n">
        <v>0</v>
      </c>
      <c r="U76" s="87" t="n">
        <v>0</v>
      </c>
      <c r="V76" s="88" t="n">
        <v>0</v>
      </c>
      <c r="W76" s="87" t="n">
        <v>1970</v>
      </c>
      <c r="X76" s="88" t="n">
        <v>1.366158113730929</v>
      </c>
      <c r="Y76" s="87" t="n">
        <v>454</v>
      </c>
      <c r="Z76" s="90" t="n">
        <v>0.3148404993065188</v>
      </c>
      <c r="AA76" s="87" t="n">
        <v>1</v>
      </c>
      <c r="AB76" s="88" t="n">
        <v>0.0006934812760055479</v>
      </c>
      <c r="AC76" s="87" t="n">
        <v>124</v>
      </c>
      <c r="AD76" s="88" t="n">
        <v>0.08599167822468794</v>
      </c>
      <c r="AE76" s="87" t="n">
        <v>32</v>
      </c>
      <c r="AF76" s="88" t="n">
        <v>0.2580645161290323</v>
      </c>
      <c r="AG76" s="87" t="n">
        <v>102</v>
      </c>
      <c r="AH76" s="88" t="n">
        <v>0.8225806451612904</v>
      </c>
      <c r="AI76" s="91" t="n">
        <v>104</v>
      </c>
      <c r="AJ76" s="88" t="n">
        <v>0.07212205270457697</v>
      </c>
      <c r="AK76" s="91" t="n">
        <v>7</v>
      </c>
      <c r="AL76" s="88" t="n">
        <v>0.8269230769230769</v>
      </c>
      <c r="AM76" s="91" t="n">
        <v>102</v>
      </c>
      <c r="AN76" s="91" t="n">
        <v>86</v>
      </c>
      <c r="AO76" s="88" t="n">
        <v>0.05963938973647712</v>
      </c>
      <c r="AP76" s="88" t="n">
        <v>0.6935483870967742</v>
      </c>
      <c r="AQ76" s="89" t="n">
        <v>1</v>
      </c>
      <c r="AR76" s="89" t="n">
        <v>0.6407766990291263</v>
      </c>
      <c r="AS76" s="89" t="n">
        <v>0.6310679611650486</v>
      </c>
      <c r="AT76" s="91" t="n">
        <v>0</v>
      </c>
      <c r="AU76" s="91" t="n">
        <v>0</v>
      </c>
      <c r="AV76" s="91" t="n">
        <v>26</v>
      </c>
      <c r="AW76" s="91" t="n">
        <v>21</v>
      </c>
      <c r="AX76" s="91" t="n">
        <v>20</v>
      </c>
      <c r="AY76" s="91" t="n">
        <v>26</v>
      </c>
      <c r="AZ76" s="88" t="n">
        <v>0.01456310679611651</v>
      </c>
      <c r="BA76" s="88" t="n">
        <v>0.01386962552011096</v>
      </c>
      <c r="BB76" s="88" t="n">
        <v>0.01803051317614424</v>
      </c>
      <c r="BC76" s="88" t="n">
        <v>0.2325581395348837</v>
      </c>
      <c r="BD76" s="91" t="n">
        <v>0</v>
      </c>
      <c r="BE76" s="91" t="n">
        <v>0</v>
      </c>
      <c r="BF76" s="89" t="n">
        <v>1</v>
      </c>
      <c r="BG76" s="89" t="n">
        <v>1</v>
      </c>
      <c r="BH76" s="89" t="inlineStr">
        <is>
          <t>-</t>
        </is>
      </c>
    </row>
    <row r="77" ht="19.55" customHeight="1">
      <c r="A77" s="92" t="n">
        <v>74</v>
      </c>
      <c r="B77" s="87" t="inlineStr">
        <is>
          <t>全国</t>
        </is>
      </c>
      <c r="C77" s="93" t="n">
        <v>46246</v>
      </c>
      <c r="D77" s="87" t="inlineStr">
        <is>
          <t>NX8</t>
        </is>
      </c>
      <c r="E77" s="87" t="n">
        <v>5607</v>
      </c>
      <c r="F77" s="87" t="n">
        <v>4881</v>
      </c>
      <c r="G77" s="88" t="n">
        <v>0.8705189941144997</v>
      </c>
      <c r="H77" s="87" t="n">
        <v>1856</v>
      </c>
      <c r="I77" s="89" t="n">
        <v>0.3310148029249153</v>
      </c>
      <c r="J77" s="87" t="n">
        <v>4974</v>
      </c>
      <c r="K77" s="87" t="n">
        <v>4821</v>
      </c>
      <c r="L77" s="88" t="n">
        <v>0.969</v>
      </c>
      <c r="M77" s="87" t="n">
        <v>23377</v>
      </c>
      <c r="N77" s="87" t="n">
        <v>22940</v>
      </c>
      <c r="O77" s="87" t="n">
        <v>22900</v>
      </c>
      <c r="P77" s="88" t="n">
        <v>0.9795953287419258</v>
      </c>
      <c r="Q77" s="87" t="n">
        <v>93</v>
      </c>
      <c r="R77" s="87" t="n">
        <v>0</v>
      </c>
      <c r="S77" s="87" t="n">
        <v>0</v>
      </c>
      <c r="T77" s="88" t="n">
        <v>0</v>
      </c>
      <c r="U77" s="87" t="n">
        <v>0</v>
      </c>
      <c r="V77" s="88" t="n">
        <v>0</v>
      </c>
      <c r="W77" s="87" t="n">
        <v>491</v>
      </c>
      <c r="X77" s="88" t="n">
        <v>0.08756911004102015</v>
      </c>
      <c r="Y77" s="87" t="n">
        <v>1889</v>
      </c>
      <c r="Z77" s="90" t="n">
        <v>0.336900303192438</v>
      </c>
      <c r="AA77" s="87" t="n">
        <v>6</v>
      </c>
      <c r="AB77" s="88" t="n">
        <v>0.001070090957731407</v>
      </c>
      <c r="AC77" s="87" t="n">
        <v>494</v>
      </c>
      <c r="AD77" s="88" t="n">
        <v>0.08810415551988586</v>
      </c>
      <c r="AE77" s="87" t="n">
        <v>96</v>
      </c>
      <c r="AF77" s="88" t="n">
        <v>0.194331983805668</v>
      </c>
      <c r="AG77" s="87" t="n">
        <v>443</v>
      </c>
      <c r="AH77" s="88" t="n">
        <v>0.8967611336032388</v>
      </c>
      <c r="AI77" s="91" t="n">
        <v>447</v>
      </c>
      <c r="AJ77" s="88" t="n">
        <v>0.07972177635098983</v>
      </c>
      <c r="AK77" s="91" t="n">
        <v>45</v>
      </c>
      <c r="AL77" s="88" t="n">
        <v>0.9038031319910514</v>
      </c>
      <c r="AM77" s="91" t="n">
        <v>439</v>
      </c>
      <c r="AN77" s="91" t="n">
        <v>404</v>
      </c>
      <c r="AO77" s="88" t="n">
        <v>0.07205279115391475</v>
      </c>
      <c r="AP77" s="88" t="n">
        <v>0.8178137651821862</v>
      </c>
      <c r="AQ77" s="89" t="n">
        <v>0.9809523809523809</v>
      </c>
      <c r="AR77" s="89" t="n">
        <v>0.5639269406392694</v>
      </c>
      <c r="AS77" s="89" t="n">
        <v>0.545662100456621</v>
      </c>
      <c r="AT77" s="91" t="n">
        <v>0</v>
      </c>
      <c r="AU77" s="91" t="n">
        <v>0</v>
      </c>
      <c r="AV77" s="91" t="n">
        <v>61</v>
      </c>
      <c r="AW77" s="91" t="n">
        <v>48</v>
      </c>
      <c r="AX77" s="91" t="n">
        <v>52</v>
      </c>
      <c r="AY77" s="91" t="n">
        <v>66</v>
      </c>
      <c r="AZ77" s="88" t="n">
        <v>0.008560727661851257</v>
      </c>
      <c r="BA77" s="88" t="n">
        <v>0.009274121633672196</v>
      </c>
      <c r="BB77" s="88" t="n">
        <v>0.01177100053504548</v>
      </c>
      <c r="BC77" s="88" t="n">
        <v>0.1287128712871287</v>
      </c>
      <c r="BD77" s="91" t="n">
        <v>0</v>
      </c>
      <c r="BE77" s="91" t="n">
        <v>0</v>
      </c>
      <c r="BF77" s="89" t="n">
        <v>1</v>
      </c>
      <c r="BG77" s="89" t="n">
        <v>1</v>
      </c>
      <c r="BH77" s="89" t="inlineStr">
        <is>
          <t>-</t>
        </is>
      </c>
    </row>
    <row r="78" ht="19.55" customHeight="1">
      <c r="A78" s="92" t="n">
        <v>75</v>
      </c>
      <c r="B78" s="87" t="inlineStr">
        <is>
          <t>全国</t>
        </is>
      </c>
      <c r="C78" s="93" t="n">
        <v>46246</v>
      </c>
      <c r="D78" s="87" t="inlineStr">
        <is>
          <t>天籁·鸿蒙座舱</t>
        </is>
      </c>
      <c r="E78" s="87" t="n">
        <v>3478</v>
      </c>
      <c r="F78" s="87" t="n">
        <v>3044</v>
      </c>
      <c r="G78" s="88" t="n">
        <v>0.875215641173088</v>
      </c>
      <c r="H78" s="87" t="n">
        <v>1763</v>
      </c>
      <c r="I78" s="89" t="n">
        <v>0.5069005175388154</v>
      </c>
      <c r="J78" s="87" t="n">
        <v>3544</v>
      </c>
      <c r="K78" s="87" t="n">
        <v>3467</v>
      </c>
      <c r="L78" s="88" t="n">
        <v>0.978</v>
      </c>
      <c r="M78" s="87" t="n">
        <v>16040</v>
      </c>
      <c r="N78" s="87" t="n">
        <v>16042</v>
      </c>
      <c r="O78" s="87" t="n">
        <v>15797</v>
      </c>
      <c r="P78" s="88" t="n">
        <v>0.9848503740648379</v>
      </c>
      <c r="Q78" s="87" t="n">
        <v>38</v>
      </c>
      <c r="R78" s="87" t="n">
        <v>0</v>
      </c>
      <c r="S78" s="87" t="n">
        <v>0</v>
      </c>
      <c r="T78" s="88" t="n">
        <v>0</v>
      </c>
      <c r="U78" s="87" t="n">
        <v>0</v>
      </c>
      <c r="V78" s="88" t="n">
        <v>0</v>
      </c>
      <c r="W78" s="87" t="n">
        <v>708</v>
      </c>
      <c r="X78" s="88" t="n">
        <v>0.2035652673950546</v>
      </c>
      <c r="Y78" s="87" t="n">
        <v>1010</v>
      </c>
      <c r="Z78" s="90" t="n">
        <v>0.2903967797584819</v>
      </c>
      <c r="AA78" s="87" t="n">
        <v>11</v>
      </c>
      <c r="AB78" s="88" t="n">
        <v>0.003162737205290397</v>
      </c>
      <c r="AC78" s="87" t="n">
        <v>199</v>
      </c>
      <c r="AD78" s="88" t="n">
        <v>0.05721679125934445</v>
      </c>
      <c r="AE78" s="87" t="n">
        <v>36</v>
      </c>
      <c r="AF78" s="88" t="n">
        <v>0.1809045226130653</v>
      </c>
      <c r="AG78" s="87" t="n">
        <v>168</v>
      </c>
      <c r="AH78" s="88" t="n">
        <v>0.8442211055276382</v>
      </c>
      <c r="AI78" s="91" t="n">
        <v>167</v>
      </c>
      <c r="AJ78" s="88" t="n">
        <v>0.04801610120759057</v>
      </c>
      <c r="AK78" s="91" t="n">
        <v>11</v>
      </c>
      <c r="AL78" s="88" t="n">
        <v>0.9041916167664671</v>
      </c>
      <c r="AM78" s="91" t="n">
        <v>164</v>
      </c>
      <c r="AN78" s="91" t="n">
        <v>151</v>
      </c>
      <c r="AO78" s="88" t="n">
        <v>0.04341575618171363</v>
      </c>
      <c r="AP78" s="88" t="n">
        <v>0.7587939698492462</v>
      </c>
      <c r="AQ78" s="89" t="n">
        <v>0.9790209790209791</v>
      </c>
      <c r="AR78" s="89" t="n">
        <v>0.6149425287356322</v>
      </c>
      <c r="AS78" s="89" t="n">
        <v>0.5287356321839081</v>
      </c>
      <c r="AT78" s="91" t="n">
        <v>0</v>
      </c>
      <c r="AU78" s="91" t="n">
        <v>0</v>
      </c>
      <c r="AV78" s="91" t="n">
        <v>52</v>
      </c>
      <c r="AW78" s="91" t="n">
        <v>46</v>
      </c>
      <c r="AX78" s="91" t="n">
        <v>52</v>
      </c>
      <c r="AY78" s="91" t="n">
        <v>68</v>
      </c>
      <c r="AZ78" s="88" t="n">
        <v>0.01322599194939621</v>
      </c>
      <c r="BA78" s="88" t="n">
        <v>0.01495112133410006</v>
      </c>
      <c r="BB78" s="88" t="n">
        <v>0.019551466359977</v>
      </c>
      <c r="BC78" s="88" t="n">
        <v>0.3443708609271523</v>
      </c>
      <c r="BD78" s="91" t="n">
        <v>0</v>
      </c>
      <c r="BE78" s="91" t="n">
        <v>0</v>
      </c>
      <c r="BF78" s="89" t="n">
        <v>1</v>
      </c>
      <c r="BG78" s="89" t="n">
        <v>1</v>
      </c>
      <c r="BH78" s="89" t="inlineStr">
        <is>
          <t>-</t>
        </is>
      </c>
    </row>
    <row r="79" ht="19.55" customHeight="1">
      <c r="A79" s="92" t="n">
        <v>76</v>
      </c>
      <c r="B79" s="87" t="inlineStr">
        <is>
          <t>全国</t>
        </is>
      </c>
      <c r="C79" s="93" t="n">
        <v>46247</v>
      </c>
      <c r="D79" s="87" t="n"/>
      <c r="E79" s="87" t="n">
        <v>38</v>
      </c>
      <c r="F79" s="87" t="n">
        <v>38</v>
      </c>
      <c r="G79" s="88" t="n">
        <v>1</v>
      </c>
      <c r="H79" s="87" t="n">
        <v>38</v>
      </c>
      <c r="I79" s="89" t="n">
        <v>1</v>
      </c>
      <c r="J79" s="87" t="n">
        <v>1</v>
      </c>
      <c r="K79" s="87" t="n">
        <v>0</v>
      </c>
      <c r="L79" s="88" t="n">
        <v>0</v>
      </c>
      <c r="M79" s="87" t="n">
        <v>5</v>
      </c>
      <c r="N79" s="87" t="n">
        <v>2</v>
      </c>
      <c r="O79" s="87" t="n">
        <v>2</v>
      </c>
      <c r="P79" s="88" t="n">
        <v>0.4</v>
      </c>
      <c r="Q79" s="87" t="n">
        <v>3</v>
      </c>
      <c r="R79" s="87" t="n">
        <v>0</v>
      </c>
      <c r="S79" s="87" t="n">
        <v>0</v>
      </c>
      <c r="T79" s="88" t="n">
        <v>0</v>
      </c>
      <c r="U79" s="87" t="n">
        <v>0</v>
      </c>
      <c r="V79" s="88" t="n">
        <v>0</v>
      </c>
      <c r="W79" s="87" t="n">
        <v>9</v>
      </c>
      <c r="X79" s="88" t="n">
        <v>0.2368421052631579</v>
      </c>
      <c r="Y79" s="87" t="n">
        <v>4</v>
      </c>
      <c r="Z79" s="90" t="n">
        <v>0.1052631578947368</v>
      </c>
      <c r="AA79" s="87" t="n">
        <v>0</v>
      </c>
      <c r="AB79" s="88" t="n">
        <v>0</v>
      </c>
      <c r="AC79" s="87" t="n">
        <v>0</v>
      </c>
      <c r="AD79" s="88" t="n">
        <v>0</v>
      </c>
      <c r="AE79" s="87" t="n">
        <v>0</v>
      </c>
      <c r="AF79" s="88" t="n">
        <v>0</v>
      </c>
      <c r="AG79" s="87" t="n">
        <v>0</v>
      </c>
      <c r="AH79" s="88" t="n">
        <v>0</v>
      </c>
      <c r="AI79" s="91" t="n">
        <v>0</v>
      </c>
      <c r="AJ79" s="88" t="n">
        <v>0</v>
      </c>
      <c r="AK79" s="91" t="n">
        <v>0</v>
      </c>
      <c r="AL79" s="88" t="n">
        <v>0</v>
      </c>
      <c r="AM79" s="91" t="n">
        <v>0</v>
      </c>
      <c r="AN79" s="91" t="n">
        <v>0</v>
      </c>
      <c r="AO79" s="88" t="n">
        <v>0</v>
      </c>
      <c r="AP79" s="88" t="n">
        <v>0</v>
      </c>
      <c r="AQ79" s="89" t="n">
        <v>0</v>
      </c>
      <c r="AR79" s="89" t="n">
        <v>0</v>
      </c>
      <c r="AS79" s="89" t="n">
        <v>0</v>
      </c>
      <c r="AT79" s="91" t="n">
        <v>0</v>
      </c>
      <c r="AU79" s="91" t="n">
        <v>0</v>
      </c>
      <c r="AV79" s="91" t="n">
        <v>0</v>
      </c>
      <c r="AW79" s="91" t="n">
        <v>0</v>
      </c>
      <c r="AX79" s="91" t="n">
        <v>0</v>
      </c>
      <c r="AY79" s="91" t="n">
        <v>0</v>
      </c>
      <c r="AZ79" s="88" t="n">
        <v>0</v>
      </c>
      <c r="BA79" s="88" t="n">
        <v>0</v>
      </c>
      <c r="BB79" s="88" t="n">
        <v>0</v>
      </c>
      <c r="BC79" s="88" t="n">
        <v>0</v>
      </c>
      <c r="BD79" s="91" t="n">
        <v>0</v>
      </c>
      <c r="BE79" s="91" t="n">
        <v>0</v>
      </c>
      <c r="BF79" s="89" t="inlineStr">
        <is>
          <t>-</t>
        </is>
      </c>
      <c r="BG79" s="89" t="inlineStr">
        <is>
          <t>-</t>
        </is>
      </c>
      <c r="BH79" s="89" t="n">
        <v>0.9841269841269841</v>
      </c>
    </row>
    <row r="80" ht="19.55" customHeight="1">
      <c r="A80" s="92" t="n">
        <v>77</v>
      </c>
      <c r="B80" s="87" t="inlineStr">
        <is>
          <t>全国</t>
        </is>
      </c>
      <c r="C80" s="93" t="n">
        <v>46247</v>
      </c>
      <c r="D80" s="87" t="inlineStr">
        <is>
          <t>2026款探陆</t>
        </is>
      </c>
      <c r="E80" s="87" t="n">
        <v>327</v>
      </c>
      <c r="F80" s="87" t="n">
        <v>294</v>
      </c>
      <c r="G80" s="88" t="n">
        <v>0.8990825688073395</v>
      </c>
      <c r="H80" s="87" t="n">
        <v>77</v>
      </c>
      <c r="I80" s="89" t="n">
        <v>0.2354740061162079</v>
      </c>
      <c r="J80" s="87" t="n">
        <v>576</v>
      </c>
      <c r="K80" s="87" t="n">
        <v>355</v>
      </c>
      <c r="L80" s="88" t="n">
        <v>0.616</v>
      </c>
      <c r="M80" s="87" t="n">
        <v>1295</v>
      </c>
      <c r="N80" s="87" t="n">
        <v>1172</v>
      </c>
      <c r="O80" s="87" t="n">
        <v>995</v>
      </c>
      <c r="P80" s="88" t="n">
        <v>0.7683397683397684</v>
      </c>
      <c r="Q80" s="87" t="n">
        <v>97</v>
      </c>
      <c r="R80" s="87" t="n">
        <v>0</v>
      </c>
      <c r="S80" s="87" t="n">
        <v>0</v>
      </c>
      <c r="T80" s="88" t="n">
        <v>0</v>
      </c>
      <c r="U80" s="87" t="n">
        <v>0</v>
      </c>
      <c r="V80" s="88" t="n">
        <v>0</v>
      </c>
      <c r="W80" s="87" t="n">
        <v>7</v>
      </c>
      <c r="X80" s="88" t="n">
        <v>0.02140672782874618</v>
      </c>
      <c r="Y80" s="87" t="n">
        <v>38</v>
      </c>
      <c r="Z80" s="90" t="n">
        <v>0.1162079510703364</v>
      </c>
      <c r="AA80" s="87" t="n">
        <v>0</v>
      </c>
      <c r="AB80" s="88" t="n">
        <v>0</v>
      </c>
      <c r="AC80" s="87" t="n">
        <v>0</v>
      </c>
      <c r="AD80" s="88" t="n">
        <v>0</v>
      </c>
      <c r="AE80" s="87" t="n">
        <v>1</v>
      </c>
      <c r="AF80" s="88" t="n">
        <v>0</v>
      </c>
      <c r="AG80" s="87" t="n">
        <v>0</v>
      </c>
      <c r="AH80" s="88" t="n">
        <v>0</v>
      </c>
      <c r="AI80" s="91" t="n">
        <v>0</v>
      </c>
      <c r="AJ80" s="88" t="n">
        <v>0</v>
      </c>
      <c r="AK80" s="91" t="n">
        <v>0</v>
      </c>
      <c r="AL80" s="88" t="n">
        <v>0</v>
      </c>
      <c r="AM80" s="91" t="n">
        <v>0</v>
      </c>
      <c r="AN80" s="91" t="n">
        <v>0</v>
      </c>
      <c r="AO80" s="88" t="n">
        <v>0</v>
      </c>
      <c r="AP80" s="88" t="n">
        <v>0</v>
      </c>
      <c r="AQ80" s="89" t="n">
        <v>1</v>
      </c>
      <c r="AR80" s="89" t="inlineStr">
        <is>
          <t>0.0%</t>
        </is>
      </c>
      <c r="AS80" s="89" t="inlineStr">
        <is>
          <t>0.0%</t>
        </is>
      </c>
      <c r="AT80" s="91" t="n">
        <v>0</v>
      </c>
      <c r="AU80" s="91" t="n">
        <v>0</v>
      </c>
      <c r="AV80" s="91" t="n">
        <v>3</v>
      </c>
      <c r="AW80" s="91" t="n">
        <v>3</v>
      </c>
      <c r="AX80" s="91" t="n">
        <v>3</v>
      </c>
      <c r="AY80" s="91" t="n">
        <v>1</v>
      </c>
      <c r="AZ80" s="88" t="n">
        <v>0.009174311926605505</v>
      </c>
      <c r="BA80" s="88" t="n">
        <v>0.009174311926605505</v>
      </c>
      <c r="BB80" s="88" t="n">
        <v>0.003058103975535168</v>
      </c>
      <c r="BC80" s="88" t="n">
        <v>0</v>
      </c>
      <c r="BD80" s="91" t="n">
        <v>0</v>
      </c>
      <c r="BE80" s="91" t="n">
        <v>0</v>
      </c>
      <c r="BF80" s="89" t="inlineStr">
        <is>
          <t>-</t>
        </is>
      </c>
      <c r="BG80" s="89" t="n">
        <v>1</v>
      </c>
      <c r="BH80" s="89" t="inlineStr">
        <is>
          <t>-</t>
        </is>
      </c>
    </row>
    <row r="81" ht="19.55" customHeight="1">
      <c r="A81" s="92" t="n">
        <v>78</v>
      </c>
      <c r="B81" s="87" t="inlineStr">
        <is>
          <t>全国</t>
        </is>
      </c>
      <c r="C81" s="93" t="n">
        <v>46247</v>
      </c>
      <c r="D81" s="87" t="inlineStr">
        <is>
          <t>N6</t>
        </is>
      </c>
      <c r="E81" s="87" t="n">
        <v>1465</v>
      </c>
      <c r="F81" s="87" t="n">
        <v>1311</v>
      </c>
      <c r="G81" s="88" t="n">
        <v>0.8948805460750853</v>
      </c>
      <c r="H81" s="87" t="n">
        <v>799</v>
      </c>
      <c r="I81" s="89" t="n">
        <v>0.5453924914675768</v>
      </c>
      <c r="J81" s="87" t="n">
        <v>1563</v>
      </c>
      <c r="K81" s="87" t="n">
        <v>1536</v>
      </c>
      <c r="L81" s="88" t="n">
        <v>0.983</v>
      </c>
      <c r="M81" s="87" t="n">
        <v>7815</v>
      </c>
      <c r="N81" s="87" t="n">
        <v>7588</v>
      </c>
      <c r="O81" s="87" t="n">
        <v>7694</v>
      </c>
      <c r="P81" s="88" t="n">
        <v>0.9845169545745361</v>
      </c>
      <c r="Q81" s="87" t="n">
        <v>17</v>
      </c>
      <c r="R81" s="87" t="n">
        <v>0</v>
      </c>
      <c r="S81" s="87" t="n">
        <v>0</v>
      </c>
      <c r="T81" s="88" t="n">
        <v>0</v>
      </c>
      <c r="U81" s="87" t="n">
        <v>0</v>
      </c>
      <c r="V81" s="88" t="n">
        <v>0</v>
      </c>
      <c r="W81" s="87" t="n">
        <v>182</v>
      </c>
      <c r="X81" s="88" t="n">
        <v>0.1242320819112628</v>
      </c>
      <c r="Y81" s="87" t="n">
        <v>517</v>
      </c>
      <c r="Z81" s="90" t="n">
        <v>0.352901023890785</v>
      </c>
      <c r="AA81" s="87" t="n">
        <v>9</v>
      </c>
      <c r="AB81" s="88" t="n">
        <v>0.006143344709897611</v>
      </c>
      <c r="AC81" s="87" t="n">
        <v>136</v>
      </c>
      <c r="AD81" s="88" t="n">
        <v>0.09283276450511946</v>
      </c>
      <c r="AE81" s="87" t="n">
        <v>18</v>
      </c>
      <c r="AF81" s="88" t="n">
        <v>0.1323529411764706</v>
      </c>
      <c r="AG81" s="87" t="n">
        <v>108</v>
      </c>
      <c r="AH81" s="88" t="n">
        <v>0.7941176470588235</v>
      </c>
      <c r="AI81" s="91" t="n">
        <v>103</v>
      </c>
      <c r="AJ81" s="88" t="n">
        <v>0.07030716723549488</v>
      </c>
      <c r="AK81" s="91" t="n">
        <v>14</v>
      </c>
      <c r="AL81" s="88" t="n">
        <v>0.912621359223301</v>
      </c>
      <c r="AM81" s="91" t="n">
        <v>100</v>
      </c>
      <c r="AN81" s="91" t="n">
        <v>94</v>
      </c>
      <c r="AO81" s="88" t="n">
        <v>0.06416382252559727</v>
      </c>
      <c r="AP81" s="88" t="n">
        <v>0.6911764705882353</v>
      </c>
      <c r="AQ81" s="89" t="n">
        <v>1</v>
      </c>
      <c r="AR81" s="89" t="n">
        <v>0.6630434782608695</v>
      </c>
      <c r="AS81" s="89" t="n">
        <v>0.6521739130434783</v>
      </c>
      <c r="AT81" s="91" t="n">
        <v>0</v>
      </c>
      <c r="AU81" s="91" t="n">
        <v>0</v>
      </c>
      <c r="AV81" s="91" t="n">
        <v>29</v>
      </c>
      <c r="AW81" s="91" t="n">
        <v>27</v>
      </c>
      <c r="AX81" s="91" t="n">
        <v>27</v>
      </c>
      <c r="AY81" s="91" t="n">
        <v>32</v>
      </c>
      <c r="AZ81" s="88" t="n">
        <v>0.01843003412969283</v>
      </c>
      <c r="BA81" s="88" t="n">
        <v>0.01843003412969283</v>
      </c>
      <c r="BB81" s="88" t="n">
        <v>0.02184300341296928</v>
      </c>
      <c r="BC81" s="88" t="n">
        <v>0.2872340425531915</v>
      </c>
      <c r="BD81" s="91" t="n">
        <v>0</v>
      </c>
      <c r="BE81" s="91" t="n">
        <v>0</v>
      </c>
      <c r="BF81" s="89" t="n">
        <v>1</v>
      </c>
      <c r="BG81" s="89" t="n">
        <v>1</v>
      </c>
      <c r="BH81" s="89" t="inlineStr">
        <is>
          <t>-</t>
        </is>
      </c>
    </row>
    <row r="82" ht="19.55" customHeight="1">
      <c r="A82" s="92" t="n">
        <v>79</v>
      </c>
      <c r="B82" s="87" t="inlineStr">
        <is>
          <t>全国</t>
        </is>
      </c>
      <c r="C82" s="93" t="n">
        <v>46247</v>
      </c>
      <c r="D82" s="87" t="inlineStr">
        <is>
          <t>N7</t>
        </is>
      </c>
      <c r="E82" s="87" t="n">
        <v>1305</v>
      </c>
      <c r="F82" s="87" t="n">
        <v>1150</v>
      </c>
      <c r="G82" s="88" t="n">
        <v>0.8812260536398467</v>
      </c>
      <c r="H82" s="87" t="n">
        <v>669</v>
      </c>
      <c r="I82" s="89" t="n">
        <v>0.5126436781609195</v>
      </c>
      <c r="J82" s="87" t="n">
        <v>1326</v>
      </c>
      <c r="K82" s="87" t="n">
        <v>1294</v>
      </c>
      <c r="L82" s="88" t="n">
        <v>0.976</v>
      </c>
      <c r="M82" s="87" t="n">
        <v>6659</v>
      </c>
      <c r="N82" s="87" t="n">
        <v>6563</v>
      </c>
      <c r="O82" s="87" t="n">
        <v>6526</v>
      </c>
      <c r="P82" s="88" t="n">
        <v>0.9800270310857486</v>
      </c>
      <c r="Q82" s="87" t="n">
        <v>26</v>
      </c>
      <c r="R82" s="87" t="n">
        <v>0</v>
      </c>
      <c r="S82" s="87" t="n">
        <v>0</v>
      </c>
      <c r="T82" s="88" t="n">
        <v>0</v>
      </c>
      <c r="U82" s="87" t="n">
        <v>0</v>
      </c>
      <c r="V82" s="88" t="n">
        <v>0</v>
      </c>
      <c r="W82" s="87" t="n">
        <v>191</v>
      </c>
      <c r="X82" s="88" t="n">
        <v>0.146360153256705</v>
      </c>
      <c r="Y82" s="87" t="n">
        <v>311</v>
      </c>
      <c r="Z82" s="90" t="n">
        <v>0.2383141762452107</v>
      </c>
      <c r="AA82" s="87" t="n">
        <v>4</v>
      </c>
      <c r="AB82" s="88" t="n">
        <v>0.003065134099616858</v>
      </c>
      <c r="AC82" s="87" t="n">
        <v>137</v>
      </c>
      <c r="AD82" s="88" t="n">
        <v>0.1049808429118774</v>
      </c>
      <c r="AE82" s="87" t="n">
        <v>20</v>
      </c>
      <c r="AF82" s="88" t="n">
        <v>0.145985401459854</v>
      </c>
      <c r="AG82" s="87" t="n">
        <v>118</v>
      </c>
      <c r="AH82" s="88" t="n">
        <v>0.8613138686131386</v>
      </c>
      <c r="AI82" s="91" t="n">
        <v>128</v>
      </c>
      <c r="AJ82" s="88" t="n">
        <v>0.09808429118773947</v>
      </c>
      <c r="AK82" s="91" t="n">
        <v>6</v>
      </c>
      <c r="AL82" s="88" t="n">
        <v>0.828125</v>
      </c>
      <c r="AM82" s="91" t="n">
        <v>126</v>
      </c>
      <c r="AN82" s="91" t="n">
        <v>106</v>
      </c>
      <c r="AO82" s="88" t="n">
        <v>0.08122605363984674</v>
      </c>
      <c r="AP82" s="88" t="n">
        <v>0.7737226277372263</v>
      </c>
      <c r="AQ82" s="89" t="n">
        <v>0.9803921568627451</v>
      </c>
      <c r="AR82" s="89" t="n">
        <v>0.5446428571428571</v>
      </c>
      <c r="AS82" s="89" t="n">
        <v>0.5178571428571429</v>
      </c>
      <c r="AT82" s="91" t="n">
        <v>0</v>
      </c>
      <c r="AU82" s="91" t="n">
        <v>0</v>
      </c>
      <c r="AV82" s="91" t="n">
        <v>24</v>
      </c>
      <c r="AW82" s="91" t="n">
        <v>21</v>
      </c>
      <c r="AX82" s="91" t="n">
        <v>20</v>
      </c>
      <c r="AY82" s="91" t="n">
        <v>16</v>
      </c>
      <c r="AZ82" s="88" t="n">
        <v>0.01609195402298851</v>
      </c>
      <c r="BA82" s="88" t="n">
        <v>0.01532567049808429</v>
      </c>
      <c r="BB82" s="88" t="n">
        <v>0.01226053639846743</v>
      </c>
      <c r="BC82" s="88" t="n">
        <v>0.1886792452830189</v>
      </c>
      <c r="BD82" s="91" t="n">
        <v>0</v>
      </c>
      <c r="BE82" s="91" t="n">
        <v>0</v>
      </c>
      <c r="BF82" s="89" t="n">
        <v>1</v>
      </c>
      <c r="BG82" s="89" t="n">
        <v>1</v>
      </c>
      <c r="BH82" s="89" t="inlineStr">
        <is>
          <t>-</t>
        </is>
      </c>
    </row>
    <row r="83" ht="19.55" customHeight="1">
      <c r="A83" s="92" t="n">
        <v>80</v>
      </c>
      <c r="B83" s="87" t="inlineStr">
        <is>
          <t>全国</t>
        </is>
      </c>
      <c r="C83" s="93" t="n">
        <v>46247</v>
      </c>
      <c r="D83" s="87" t="inlineStr">
        <is>
          <t>NX8</t>
        </is>
      </c>
      <c r="E83" s="87" t="n">
        <v>5548</v>
      </c>
      <c r="F83" s="87" t="n">
        <v>4905</v>
      </c>
      <c r="G83" s="88" t="n">
        <v>0.8841023792357606</v>
      </c>
      <c r="H83" s="87" t="n">
        <v>1945</v>
      </c>
      <c r="I83" s="89" t="n">
        <v>0.3505767844268205</v>
      </c>
      <c r="J83" s="87" t="n">
        <v>7418</v>
      </c>
      <c r="K83" s="87" t="n">
        <v>7220</v>
      </c>
      <c r="L83" s="88" t="n">
        <v>0.973</v>
      </c>
      <c r="M83" s="87" t="n">
        <v>26875</v>
      </c>
      <c r="N83" s="87" t="n">
        <v>26759</v>
      </c>
      <c r="O83" s="87" t="n">
        <v>26370</v>
      </c>
      <c r="P83" s="88" t="n">
        <v>0.9812093023255813</v>
      </c>
      <c r="Q83" s="87" t="n">
        <v>103</v>
      </c>
      <c r="R83" s="87" t="n">
        <v>0</v>
      </c>
      <c r="S83" s="87" t="n">
        <v>0</v>
      </c>
      <c r="T83" s="88" t="n">
        <v>0</v>
      </c>
      <c r="U83" s="87" t="n">
        <v>0</v>
      </c>
      <c r="V83" s="88" t="n">
        <v>0</v>
      </c>
      <c r="W83" s="87" t="n">
        <v>480</v>
      </c>
      <c r="X83" s="88" t="n">
        <v>0.08651766402307137</v>
      </c>
      <c r="Y83" s="87" t="n">
        <v>1597</v>
      </c>
      <c r="Z83" s="90" t="n">
        <v>0.2878514780100938</v>
      </c>
      <c r="AA83" s="87" t="n">
        <v>6</v>
      </c>
      <c r="AB83" s="88" t="n">
        <v>0.001081470800288392</v>
      </c>
      <c r="AC83" s="87" t="n">
        <v>519</v>
      </c>
      <c r="AD83" s="88" t="n">
        <v>0.09354722422494592</v>
      </c>
      <c r="AE83" s="87" t="n">
        <v>75</v>
      </c>
      <c r="AF83" s="88" t="n">
        <v>0.1445086705202312</v>
      </c>
      <c r="AG83" s="87" t="n">
        <v>456</v>
      </c>
      <c r="AH83" s="88" t="n">
        <v>0.8786127167630058</v>
      </c>
      <c r="AI83" s="91" t="n">
        <v>461</v>
      </c>
      <c r="AJ83" s="88" t="n">
        <v>0.0830930064888248</v>
      </c>
      <c r="AK83" s="91" t="n">
        <v>29</v>
      </c>
      <c r="AL83" s="88" t="n">
        <v>0.8763557483731019</v>
      </c>
      <c r="AM83" s="91" t="n">
        <v>451</v>
      </c>
      <c r="AN83" s="91" t="n">
        <v>404</v>
      </c>
      <c r="AO83" s="88" t="n">
        <v>0.07281903388608507</v>
      </c>
      <c r="AP83" s="88" t="n">
        <v>0.7784200385356455</v>
      </c>
      <c r="AQ83" s="89" t="n">
        <v>0.9673659673659674</v>
      </c>
      <c r="AR83" s="89" t="n">
        <v>0.5902335456475584</v>
      </c>
      <c r="AS83" s="89" t="n">
        <v>0.5711252653927813</v>
      </c>
      <c r="AT83" s="91" t="n">
        <v>0</v>
      </c>
      <c r="AU83" s="91" t="n">
        <v>0</v>
      </c>
      <c r="AV83" s="91" t="n">
        <v>25</v>
      </c>
      <c r="AW83" s="91" t="n">
        <v>19</v>
      </c>
      <c r="AX83" s="91" t="n">
        <v>14</v>
      </c>
      <c r="AY83" s="91" t="n">
        <v>67</v>
      </c>
      <c r="AZ83" s="88" t="n">
        <v>0.003424657534246575</v>
      </c>
      <c r="BA83" s="88" t="n">
        <v>0.002523431867339582</v>
      </c>
      <c r="BB83" s="88" t="n">
        <v>0.01207642393655371</v>
      </c>
      <c r="BC83" s="88" t="n">
        <v>0.03465346534653466</v>
      </c>
      <c r="BD83" s="91" t="n">
        <v>0</v>
      </c>
      <c r="BE83" s="91" t="n">
        <v>0</v>
      </c>
      <c r="BF83" s="89" t="n">
        <v>1</v>
      </c>
      <c r="BG83" s="89" t="n">
        <v>1</v>
      </c>
      <c r="BH83" s="89" t="inlineStr">
        <is>
          <t>-</t>
        </is>
      </c>
    </row>
    <row r="84" ht="19.55" customHeight="1">
      <c r="A84" s="92" t="n">
        <v>81</v>
      </c>
      <c r="B84" s="87" t="inlineStr">
        <is>
          <t>全国</t>
        </is>
      </c>
      <c r="C84" s="93" t="n">
        <v>46247</v>
      </c>
      <c r="D84" s="87" t="inlineStr">
        <is>
          <t>天籁·鸿蒙座舱</t>
        </is>
      </c>
      <c r="E84" s="87" t="n">
        <v>3262</v>
      </c>
      <c r="F84" s="87" t="n">
        <v>2861</v>
      </c>
      <c r="G84" s="88" t="n">
        <v>0.8770692826486818</v>
      </c>
      <c r="H84" s="87" t="n">
        <v>1731</v>
      </c>
      <c r="I84" s="89" t="n">
        <v>0.5306560392397303</v>
      </c>
      <c r="J84" s="87" t="n">
        <v>4207</v>
      </c>
      <c r="K84" s="87" t="n">
        <v>4131</v>
      </c>
      <c r="L84" s="88" t="n">
        <v>0.982</v>
      </c>
      <c r="M84" s="87" t="n">
        <v>17583</v>
      </c>
      <c r="N84" s="87" t="n">
        <v>17422</v>
      </c>
      <c r="O84" s="87" t="n">
        <v>17314</v>
      </c>
      <c r="P84" s="88" t="n">
        <v>0.98470113177501</v>
      </c>
      <c r="Q84" s="87" t="n">
        <v>33</v>
      </c>
      <c r="R84" s="87" t="n">
        <v>0</v>
      </c>
      <c r="S84" s="87" t="n">
        <v>0</v>
      </c>
      <c r="T84" s="88" t="n">
        <v>0</v>
      </c>
      <c r="U84" s="87" t="n">
        <v>0</v>
      </c>
      <c r="V84" s="88" t="n">
        <v>0</v>
      </c>
      <c r="W84" s="87" t="n">
        <v>368</v>
      </c>
      <c r="X84" s="88" t="n">
        <v>0.1128142244022072</v>
      </c>
      <c r="Y84" s="87" t="n">
        <v>803</v>
      </c>
      <c r="Z84" s="90" t="n">
        <v>0.2461679950950337</v>
      </c>
      <c r="AA84" s="87" t="n">
        <v>15</v>
      </c>
      <c r="AB84" s="88" t="n">
        <v>0.004598405885959534</v>
      </c>
      <c r="AC84" s="87" t="n">
        <v>210</v>
      </c>
      <c r="AD84" s="88" t="n">
        <v>0.06437768240343347</v>
      </c>
      <c r="AE84" s="87" t="n">
        <v>48</v>
      </c>
      <c r="AF84" s="88" t="n">
        <v>0.2285714285714286</v>
      </c>
      <c r="AG84" s="87" t="n">
        <v>173</v>
      </c>
      <c r="AH84" s="88" t="n">
        <v>0.8238095238095238</v>
      </c>
      <c r="AI84" s="91" t="n">
        <v>185</v>
      </c>
      <c r="AJ84" s="88" t="n">
        <v>0.05671367259350092</v>
      </c>
      <c r="AK84" s="91" t="n">
        <v>15</v>
      </c>
      <c r="AL84" s="88" t="n">
        <v>0.8486486486486486</v>
      </c>
      <c r="AM84" s="91" t="n">
        <v>178</v>
      </c>
      <c r="AN84" s="91" t="n">
        <v>157</v>
      </c>
      <c r="AO84" s="88" t="n">
        <v>0.04812998160637646</v>
      </c>
      <c r="AP84" s="88" t="n">
        <v>0.7476190476190476</v>
      </c>
      <c r="AQ84" s="89" t="n">
        <v>0.9634146341463414</v>
      </c>
      <c r="AR84" s="89" t="n">
        <v>0.5368421052631579</v>
      </c>
      <c r="AS84" s="89" t="n">
        <v>0.5157894736842106</v>
      </c>
      <c r="AT84" s="91" t="n">
        <v>0</v>
      </c>
      <c r="AU84" s="91" t="n">
        <v>0</v>
      </c>
      <c r="AV84" s="91" t="n">
        <v>55</v>
      </c>
      <c r="AW84" s="91" t="n">
        <v>53</v>
      </c>
      <c r="AX84" s="91" t="n">
        <v>53</v>
      </c>
      <c r="AY84" s="91" t="n">
        <v>41</v>
      </c>
      <c r="AZ84" s="88" t="n">
        <v>0.01624770079705702</v>
      </c>
      <c r="BA84" s="88" t="n">
        <v>0.01624770079705702</v>
      </c>
      <c r="BB84" s="88" t="n">
        <v>0.01256897608828939</v>
      </c>
      <c r="BC84" s="88" t="n">
        <v>0.3375796178343949</v>
      </c>
      <c r="BD84" s="91" t="n">
        <v>0</v>
      </c>
      <c r="BE84" s="91" t="n">
        <v>0</v>
      </c>
      <c r="BF84" s="89" t="n">
        <v>0.9444444444444444</v>
      </c>
      <c r="BG84" s="89" t="n">
        <v>1</v>
      </c>
      <c r="BH84" s="89" t="inlineStr">
        <is>
          <t>-</t>
        </is>
      </c>
    </row>
    <row r="85" ht="19.55" customHeight="1">
      <c r="A85" s="92" t="n">
        <v>82</v>
      </c>
      <c r="B85" s="87" t="inlineStr">
        <is>
          <t>全国</t>
        </is>
      </c>
      <c r="C85" s="93" t="n">
        <v>46248</v>
      </c>
      <c r="D85" s="87" t="n"/>
      <c r="E85" s="87" t="n">
        <v>26</v>
      </c>
      <c r="F85" s="87" t="n">
        <v>25</v>
      </c>
      <c r="G85" s="88" t="n">
        <v>0.9615384615384616</v>
      </c>
      <c r="H85" s="87" t="n">
        <v>26</v>
      </c>
      <c r="I85" s="89" t="n">
        <v>1</v>
      </c>
      <c r="J85" s="87" t="n">
        <v>0</v>
      </c>
      <c r="K85" s="87" t="n">
        <v>0</v>
      </c>
      <c r="L85" s="88" t="n">
        <v>0</v>
      </c>
      <c r="M85" s="87" t="n">
        <v>2</v>
      </c>
      <c r="N85" s="87" t="n">
        <v>1</v>
      </c>
      <c r="O85" s="87" t="n">
        <v>0</v>
      </c>
      <c r="P85" s="88" t="n">
        <v>0</v>
      </c>
      <c r="Q85" s="87" t="n">
        <v>2</v>
      </c>
      <c r="R85" s="87" t="n">
        <v>0</v>
      </c>
      <c r="S85" s="87" t="n">
        <v>0</v>
      </c>
      <c r="T85" s="88" t="n">
        <v>0</v>
      </c>
      <c r="U85" s="87" t="n">
        <v>0</v>
      </c>
      <c r="V85" s="88" t="n">
        <v>0</v>
      </c>
      <c r="W85" s="87" t="n">
        <v>10</v>
      </c>
      <c r="X85" s="88" t="n">
        <v>0.3846153846153846</v>
      </c>
      <c r="Y85" s="87" t="n">
        <v>19</v>
      </c>
      <c r="Z85" s="90" t="n">
        <v>0.7307692307692307</v>
      </c>
      <c r="AA85" s="87" t="n">
        <v>0</v>
      </c>
      <c r="AB85" s="88" t="n">
        <v>0</v>
      </c>
      <c r="AC85" s="87" t="n">
        <v>0</v>
      </c>
      <c r="AD85" s="88" t="n">
        <v>0</v>
      </c>
      <c r="AE85" s="87" t="n">
        <v>0</v>
      </c>
      <c r="AF85" s="88" t="n">
        <v>0</v>
      </c>
      <c r="AG85" s="87" t="n">
        <v>0</v>
      </c>
      <c r="AH85" s="88" t="n">
        <v>0</v>
      </c>
      <c r="AI85" s="91" t="n">
        <v>0</v>
      </c>
      <c r="AJ85" s="88" t="n">
        <v>0</v>
      </c>
      <c r="AK85" s="91" t="n">
        <v>0</v>
      </c>
      <c r="AL85" s="88" t="n">
        <v>0</v>
      </c>
      <c r="AM85" s="91" t="n">
        <v>0</v>
      </c>
      <c r="AN85" s="91" t="n">
        <v>0</v>
      </c>
      <c r="AO85" s="88" t="n">
        <v>0</v>
      </c>
      <c r="AP85" s="88" t="n">
        <v>0</v>
      </c>
      <c r="AQ85" s="89" t="n">
        <v>0</v>
      </c>
      <c r="AR85" s="89" t="inlineStr">
        <is>
          <t>0.0%</t>
        </is>
      </c>
      <c r="AS85" s="89" t="inlineStr">
        <is>
          <t>0.0%</t>
        </is>
      </c>
      <c r="AT85" s="91" t="n">
        <v>0</v>
      </c>
      <c r="AU85" s="91" t="n">
        <v>0</v>
      </c>
      <c r="AV85" s="91" t="n">
        <v>0</v>
      </c>
      <c r="AW85" s="91" t="n">
        <v>0</v>
      </c>
      <c r="AX85" s="91" t="n">
        <v>0</v>
      </c>
      <c r="AY85" s="91" t="n">
        <v>0</v>
      </c>
      <c r="AZ85" s="88" t="n">
        <v>0</v>
      </c>
      <c r="BA85" s="88" t="n">
        <v>0</v>
      </c>
      <c r="BB85" s="88" t="n">
        <v>0</v>
      </c>
      <c r="BC85" s="88" t="n">
        <v>0</v>
      </c>
      <c r="BD85" s="91" t="n">
        <v>0</v>
      </c>
      <c r="BE85" s="91" t="n">
        <v>0</v>
      </c>
      <c r="BF85" s="89" t="inlineStr">
        <is>
          <t>-</t>
        </is>
      </c>
      <c r="BG85" s="89" t="inlineStr">
        <is>
          <t>-</t>
        </is>
      </c>
      <c r="BH85" s="89" t="n">
        <v>1</v>
      </c>
    </row>
    <row r="86" ht="19.55" customHeight="1">
      <c r="A86" s="92" t="n">
        <v>83</v>
      </c>
      <c r="B86" s="87" t="inlineStr">
        <is>
          <t>全国</t>
        </is>
      </c>
      <c r="C86" s="93" t="n">
        <v>46248</v>
      </c>
      <c r="D86" s="87" t="inlineStr">
        <is>
          <t>2026款探陆</t>
        </is>
      </c>
      <c r="E86" s="87" t="n">
        <v>358</v>
      </c>
      <c r="F86" s="87" t="n">
        <v>318</v>
      </c>
      <c r="G86" s="88" t="n">
        <v>0.888268156424581</v>
      </c>
      <c r="H86" s="87" t="n">
        <v>78</v>
      </c>
      <c r="I86" s="89" t="n">
        <v>0.217877094972067</v>
      </c>
      <c r="J86" s="87" t="n">
        <v>443</v>
      </c>
      <c r="K86" s="87" t="n">
        <v>301</v>
      </c>
      <c r="L86" s="88" t="n">
        <v>0.679</v>
      </c>
      <c r="M86" s="87" t="n">
        <v>1146</v>
      </c>
      <c r="N86" s="87" t="n">
        <v>1192</v>
      </c>
      <c r="O86" s="87" t="n">
        <v>952</v>
      </c>
      <c r="P86" s="88" t="n">
        <v>0.8307155322862129</v>
      </c>
      <c r="Q86" s="87" t="n">
        <v>79</v>
      </c>
      <c r="R86" s="87" t="n">
        <v>0</v>
      </c>
      <c r="S86" s="87" t="n">
        <v>0</v>
      </c>
      <c r="T86" s="88" t="n">
        <v>0</v>
      </c>
      <c r="U86" s="87" t="n">
        <v>0</v>
      </c>
      <c r="V86" s="88" t="n">
        <v>0</v>
      </c>
      <c r="W86" s="87" t="n">
        <v>6</v>
      </c>
      <c r="X86" s="88" t="n">
        <v>0.01675977653631285</v>
      </c>
      <c r="Y86" s="87" t="n">
        <v>41</v>
      </c>
      <c r="Z86" s="90" t="n">
        <v>0.1145251396648045</v>
      </c>
      <c r="AA86" s="87" t="n">
        <v>0</v>
      </c>
      <c r="AB86" s="88" t="n">
        <v>0</v>
      </c>
      <c r="AC86" s="87" t="n">
        <v>0</v>
      </c>
      <c r="AD86" s="88" t="n">
        <v>0</v>
      </c>
      <c r="AE86" s="87" t="n">
        <v>0</v>
      </c>
      <c r="AF86" s="88" t="n">
        <v>0</v>
      </c>
      <c r="AG86" s="87" t="n">
        <v>0</v>
      </c>
      <c r="AH86" s="88" t="n">
        <v>0</v>
      </c>
      <c r="AI86" s="91" t="n">
        <v>0</v>
      </c>
      <c r="AJ86" s="88" t="n">
        <v>0</v>
      </c>
      <c r="AK86" s="91" t="n">
        <v>0</v>
      </c>
      <c r="AL86" s="88" t="n">
        <v>0</v>
      </c>
      <c r="AM86" s="91" t="n">
        <v>0</v>
      </c>
      <c r="AN86" s="91" t="n">
        <v>0</v>
      </c>
      <c r="AO86" s="88" t="n">
        <v>0</v>
      </c>
      <c r="AP86" s="88" t="n">
        <v>0</v>
      </c>
      <c r="AQ86" s="89" t="n"/>
      <c r="AR86" s="89" t="n">
        <v>1</v>
      </c>
      <c r="AS86" s="89" t="n">
        <v>1</v>
      </c>
      <c r="AT86" s="91" t="n">
        <v>0</v>
      </c>
      <c r="AU86" s="91" t="n">
        <v>0</v>
      </c>
      <c r="AV86" s="91" t="n">
        <v>3</v>
      </c>
      <c r="AW86" s="91" t="n">
        <v>3</v>
      </c>
      <c r="AX86" s="91" t="n">
        <v>3</v>
      </c>
      <c r="AY86" s="91" t="n">
        <v>3</v>
      </c>
      <c r="AZ86" s="88" t="n">
        <v>0.008379888268156424</v>
      </c>
      <c r="BA86" s="88" t="n">
        <v>0.008379888268156424</v>
      </c>
      <c r="BB86" s="88" t="n">
        <v>0.008379888268156424</v>
      </c>
      <c r="BC86" s="88" t="n">
        <v>0</v>
      </c>
      <c r="BD86" s="91" t="n">
        <v>0</v>
      </c>
      <c r="BE86" s="91" t="n">
        <v>0</v>
      </c>
      <c r="BF86" s="89" t="inlineStr">
        <is>
          <t>-</t>
        </is>
      </c>
      <c r="BG86" s="89" t="n">
        <v>1</v>
      </c>
      <c r="BH86" s="89" t="inlineStr">
        <is>
          <t>-</t>
        </is>
      </c>
    </row>
    <row r="87" ht="19.55" customHeight="1">
      <c r="A87" s="92" t="n">
        <v>84</v>
      </c>
      <c r="B87" s="87" t="inlineStr">
        <is>
          <t>全国</t>
        </is>
      </c>
      <c r="C87" s="93" t="n">
        <v>46248</v>
      </c>
      <c r="D87" s="87" t="inlineStr">
        <is>
          <t>N6</t>
        </is>
      </c>
      <c r="E87" s="87" t="n">
        <v>1558</v>
      </c>
      <c r="F87" s="87" t="n">
        <v>1359</v>
      </c>
      <c r="G87" s="88" t="n">
        <v>0.8722721437740694</v>
      </c>
      <c r="H87" s="87" t="n">
        <v>806</v>
      </c>
      <c r="I87" s="89" t="n">
        <v>0.5173299101412067</v>
      </c>
      <c r="J87" s="87" t="n">
        <v>1650</v>
      </c>
      <c r="K87" s="87" t="n">
        <v>1604</v>
      </c>
      <c r="L87" s="88" t="n">
        <v>0.972</v>
      </c>
      <c r="M87" s="87" t="n">
        <v>8029</v>
      </c>
      <c r="N87" s="87" t="n">
        <v>8168</v>
      </c>
      <c r="O87" s="87" t="n">
        <v>7915</v>
      </c>
      <c r="P87" s="88" t="n">
        <v>0.9858014696724374</v>
      </c>
      <c r="Q87" s="87" t="n">
        <v>24</v>
      </c>
      <c r="R87" s="87" t="n">
        <v>0</v>
      </c>
      <c r="S87" s="87" t="n">
        <v>0</v>
      </c>
      <c r="T87" s="88" t="n">
        <v>0</v>
      </c>
      <c r="U87" s="87" t="n">
        <v>0</v>
      </c>
      <c r="V87" s="88" t="n">
        <v>0</v>
      </c>
      <c r="W87" s="87" t="n">
        <v>174</v>
      </c>
      <c r="X87" s="88" t="n">
        <v>0.1116816431322208</v>
      </c>
      <c r="Y87" s="87" t="n">
        <v>577</v>
      </c>
      <c r="Z87" s="90" t="n">
        <v>0.3703465982028241</v>
      </c>
      <c r="AA87" s="87" t="n">
        <v>7</v>
      </c>
      <c r="AB87" s="88" t="n">
        <v>0.004492939666238768</v>
      </c>
      <c r="AC87" s="87" t="n">
        <v>145</v>
      </c>
      <c r="AD87" s="88" t="n">
        <v>0.09306803594351733</v>
      </c>
      <c r="AE87" s="87" t="n">
        <v>34</v>
      </c>
      <c r="AF87" s="88" t="n">
        <v>0.2344827586206897</v>
      </c>
      <c r="AG87" s="87" t="n">
        <v>112</v>
      </c>
      <c r="AH87" s="88" t="n">
        <v>0.7724137931034483</v>
      </c>
      <c r="AI87" s="91" t="n">
        <v>131</v>
      </c>
      <c r="AJ87" s="88" t="n">
        <v>0.08408215661103979</v>
      </c>
      <c r="AK87" s="91" t="n">
        <v>12</v>
      </c>
      <c r="AL87" s="88" t="n">
        <v>0.8778625954198473</v>
      </c>
      <c r="AM87" s="91" t="n">
        <v>128</v>
      </c>
      <c r="AN87" s="91" t="n">
        <v>115</v>
      </c>
      <c r="AO87" s="88" t="n">
        <v>0.07381258023106547</v>
      </c>
      <c r="AP87" s="88" t="n">
        <v>0.7931034482758621</v>
      </c>
      <c r="AQ87" s="89" t="n">
        <v>0.9655172413793104</v>
      </c>
      <c r="AR87" s="89" t="n">
        <v>0.6910569105691057</v>
      </c>
      <c r="AS87" s="89" t="n">
        <v>0.7073170731707317</v>
      </c>
      <c r="AT87" s="91" t="n">
        <v>0</v>
      </c>
      <c r="AU87" s="91" t="n">
        <v>0</v>
      </c>
      <c r="AV87" s="91" t="n">
        <v>27</v>
      </c>
      <c r="AW87" s="91" t="n">
        <v>21</v>
      </c>
      <c r="AX87" s="91" t="n">
        <v>21</v>
      </c>
      <c r="AY87" s="91" t="n">
        <v>35</v>
      </c>
      <c r="AZ87" s="88" t="n">
        <v>0.0134788189987163</v>
      </c>
      <c r="BA87" s="88" t="n">
        <v>0.0134788189987163</v>
      </c>
      <c r="BB87" s="88" t="n">
        <v>0.02246469833119384</v>
      </c>
      <c r="BC87" s="88" t="n">
        <v>0.1826086956521739</v>
      </c>
      <c r="BD87" s="91" t="n">
        <v>0</v>
      </c>
      <c r="BE87" s="91" t="n">
        <v>0</v>
      </c>
      <c r="BF87" s="89" t="n">
        <v>1</v>
      </c>
      <c r="BG87" s="89" t="n">
        <v>1</v>
      </c>
      <c r="BH87" s="89" t="inlineStr">
        <is>
          <t>-</t>
        </is>
      </c>
    </row>
    <row r="88" ht="19.55" customHeight="1">
      <c r="A88" s="92" t="n">
        <v>85</v>
      </c>
      <c r="B88" s="87" t="inlineStr">
        <is>
          <t>全国</t>
        </is>
      </c>
      <c r="C88" s="93" t="n">
        <v>46248</v>
      </c>
      <c r="D88" s="87" t="inlineStr">
        <is>
          <t>N7</t>
        </is>
      </c>
      <c r="E88" s="87" t="n">
        <v>1317</v>
      </c>
      <c r="F88" s="87" t="n">
        <v>1144</v>
      </c>
      <c r="G88" s="88" t="n">
        <v>0.8686408504176157</v>
      </c>
      <c r="H88" s="87" t="n">
        <v>643</v>
      </c>
      <c r="I88" s="89" t="n">
        <v>0.4882308276385725</v>
      </c>
      <c r="J88" s="87" t="n">
        <v>1350</v>
      </c>
      <c r="K88" s="87" t="n">
        <v>1309</v>
      </c>
      <c r="L88" s="88" t="n">
        <v>0.97</v>
      </c>
      <c r="M88" s="87" t="n">
        <v>6599</v>
      </c>
      <c r="N88" s="87" t="n">
        <v>6639</v>
      </c>
      <c r="O88" s="87" t="n">
        <v>6504</v>
      </c>
      <c r="P88" s="88" t="n">
        <v>0.985603879375663</v>
      </c>
      <c r="Q88" s="87" t="n">
        <v>23</v>
      </c>
      <c r="R88" s="87" t="n">
        <v>0</v>
      </c>
      <c r="S88" s="87" t="n">
        <v>0</v>
      </c>
      <c r="T88" s="88" t="n">
        <v>0</v>
      </c>
      <c r="U88" s="87" t="n">
        <v>0</v>
      </c>
      <c r="V88" s="88" t="n">
        <v>0</v>
      </c>
      <c r="W88" s="87" t="n">
        <v>135</v>
      </c>
      <c r="X88" s="88" t="n">
        <v>0.10250569476082</v>
      </c>
      <c r="Y88" s="87" t="n">
        <v>364</v>
      </c>
      <c r="Z88" s="90" t="n">
        <v>0.2763857251328777</v>
      </c>
      <c r="AA88" s="87" t="n">
        <v>0</v>
      </c>
      <c r="AB88" s="88" t="n">
        <v>0</v>
      </c>
      <c r="AC88" s="87" t="n">
        <v>143</v>
      </c>
      <c r="AD88" s="88" t="n">
        <v>0.108580106302202</v>
      </c>
      <c r="AE88" s="87" t="n">
        <v>32</v>
      </c>
      <c r="AF88" s="88" t="n">
        <v>0.2237762237762238</v>
      </c>
      <c r="AG88" s="87" t="n">
        <v>130</v>
      </c>
      <c r="AH88" s="88" t="n">
        <v>0.9090909090909091</v>
      </c>
      <c r="AI88" s="91" t="n">
        <v>129</v>
      </c>
      <c r="AJ88" s="88" t="n">
        <v>0.0979498861047836</v>
      </c>
      <c r="AK88" s="91" t="n">
        <v>9</v>
      </c>
      <c r="AL88" s="88" t="n">
        <v>0.8682170542635659</v>
      </c>
      <c r="AM88" s="91" t="n">
        <v>123</v>
      </c>
      <c r="AN88" s="91" t="n">
        <v>112</v>
      </c>
      <c r="AO88" s="88" t="n">
        <v>0.08504176157934699</v>
      </c>
      <c r="AP88" s="88" t="n">
        <v>0.7832167832167832</v>
      </c>
      <c r="AQ88" s="89" t="n">
        <v>0.9439252336448598</v>
      </c>
      <c r="AR88" s="89" t="n">
        <v>0.5867768595041323</v>
      </c>
      <c r="AS88" s="89" t="n">
        <v>0.5785123966942148</v>
      </c>
      <c r="AT88" s="91" t="n">
        <v>0</v>
      </c>
      <c r="AU88" s="91" t="n">
        <v>0</v>
      </c>
      <c r="AV88" s="91" t="n">
        <v>22</v>
      </c>
      <c r="AW88" s="91" t="n">
        <v>21</v>
      </c>
      <c r="AX88" s="91" t="n">
        <v>21</v>
      </c>
      <c r="AY88" s="91" t="n">
        <v>29</v>
      </c>
      <c r="AZ88" s="88" t="n">
        <v>0.01594533029612756</v>
      </c>
      <c r="BA88" s="88" t="n">
        <v>0.01594533029612756</v>
      </c>
      <c r="BB88" s="88" t="n">
        <v>0.02201974183750949</v>
      </c>
      <c r="BC88" s="88" t="n">
        <v>0.1875</v>
      </c>
      <c r="BD88" s="91" t="n">
        <v>0</v>
      </c>
      <c r="BE88" s="91" t="n">
        <v>0</v>
      </c>
      <c r="BF88" s="89" t="n">
        <v>1</v>
      </c>
      <c r="BG88" s="89" t="n">
        <v>1</v>
      </c>
      <c r="BH88" s="89" t="inlineStr">
        <is>
          <t>-</t>
        </is>
      </c>
    </row>
    <row r="89" ht="19.55" customHeight="1">
      <c r="A89" s="92" t="n">
        <v>86</v>
      </c>
      <c r="B89" s="87" t="inlineStr">
        <is>
          <t>全国</t>
        </is>
      </c>
      <c r="C89" s="93" t="n">
        <v>46248</v>
      </c>
      <c r="D89" s="87" t="inlineStr">
        <is>
          <t>NX8</t>
        </is>
      </c>
      <c r="E89" s="87" t="n">
        <v>5542</v>
      </c>
      <c r="F89" s="87" t="n">
        <v>4883</v>
      </c>
      <c r="G89" s="88" t="n">
        <v>0.8810898592565861</v>
      </c>
      <c r="H89" s="87" t="n">
        <v>2005</v>
      </c>
      <c r="I89" s="89" t="n">
        <v>0.3617827499097799</v>
      </c>
      <c r="J89" s="87" t="n">
        <v>6329</v>
      </c>
      <c r="K89" s="87" t="n">
        <v>6112</v>
      </c>
      <c r="L89" s="88" t="n">
        <v>0.966</v>
      </c>
      <c r="M89" s="87" t="n">
        <v>26741</v>
      </c>
      <c r="N89" s="87" t="n">
        <v>27529</v>
      </c>
      <c r="O89" s="87" t="n">
        <v>26224</v>
      </c>
      <c r="P89" s="88" t="n">
        <v>0.9806663924310983</v>
      </c>
      <c r="Q89" s="87" t="n">
        <v>138</v>
      </c>
      <c r="R89" s="87" t="n">
        <v>0</v>
      </c>
      <c r="S89" s="87" t="n">
        <v>0</v>
      </c>
      <c r="T89" s="88" t="n">
        <v>0</v>
      </c>
      <c r="U89" s="87" t="n">
        <v>0</v>
      </c>
      <c r="V89" s="88" t="n">
        <v>0</v>
      </c>
      <c r="W89" s="87" t="n">
        <v>475</v>
      </c>
      <c r="X89" s="88" t="n">
        <v>0.08570913027787802</v>
      </c>
      <c r="Y89" s="87" t="n">
        <v>1813</v>
      </c>
      <c r="Z89" s="90" t="n">
        <v>0.3271382172500902</v>
      </c>
      <c r="AA89" s="87" t="n">
        <v>5</v>
      </c>
      <c r="AB89" s="88" t="n">
        <v>0.0009022013713460845</v>
      </c>
      <c r="AC89" s="87" t="n">
        <v>597</v>
      </c>
      <c r="AD89" s="88" t="n">
        <v>0.1077228437387225</v>
      </c>
      <c r="AE89" s="87" t="n">
        <v>104</v>
      </c>
      <c r="AF89" s="88" t="n">
        <v>0.1742043551088777</v>
      </c>
      <c r="AG89" s="87" t="n">
        <v>532</v>
      </c>
      <c r="AH89" s="88" t="n">
        <v>0.8911222780569514</v>
      </c>
      <c r="AI89" s="91" t="n">
        <v>534</v>
      </c>
      <c r="AJ89" s="88" t="n">
        <v>0.09635510645976182</v>
      </c>
      <c r="AK89" s="91" t="n">
        <v>48</v>
      </c>
      <c r="AL89" s="88" t="n">
        <v>0.8539325842696629</v>
      </c>
      <c r="AM89" s="91" t="n">
        <v>521</v>
      </c>
      <c r="AN89" s="91" t="n">
        <v>456</v>
      </c>
      <c r="AO89" s="88" t="n">
        <v>0.08228076506676291</v>
      </c>
      <c r="AP89" s="88" t="n">
        <v>0.7638190954773869</v>
      </c>
      <c r="AQ89" s="89" t="n">
        <v>0.98</v>
      </c>
      <c r="AR89" s="89" t="n">
        <v>0.6397748592870544</v>
      </c>
      <c r="AS89" s="89" t="n">
        <v>0.6529080675422139</v>
      </c>
      <c r="AT89" s="91" t="n">
        <v>0</v>
      </c>
      <c r="AU89" s="91" t="n">
        <v>0</v>
      </c>
      <c r="AV89" s="91" t="n">
        <v>177</v>
      </c>
      <c r="AW89" s="91" t="n">
        <v>160</v>
      </c>
      <c r="AX89" s="91" t="n">
        <v>160</v>
      </c>
      <c r="AY89" s="91" t="n">
        <v>72</v>
      </c>
      <c r="AZ89" s="88" t="n">
        <v>0.0288704438830747</v>
      </c>
      <c r="BA89" s="88" t="n">
        <v>0.0288704438830747</v>
      </c>
      <c r="BB89" s="88" t="n">
        <v>0.01299169974738362</v>
      </c>
      <c r="BC89" s="88" t="n">
        <v>0.3508771929824561</v>
      </c>
      <c r="BD89" s="91" t="n">
        <v>0</v>
      </c>
      <c r="BE89" s="91" t="n">
        <v>0</v>
      </c>
      <c r="BF89" s="89" t="n">
        <v>0.9852941176470589</v>
      </c>
      <c r="BG89" s="89" t="n">
        <v>1</v>
      </c>
      <c r="BH89" s="89" t="inlineStr">
        <is>
          <t>-</t>
        </is>
      </c>
    </row>
    <row r="90" ht="19.55" customHeight="1">
      <c r="A90" s="92" t="n">
        <v>87</v>
      </c>
      <c r="B90" s="87" t="inlineStr">
        <is>
          <t>全国</t>
        </is>
      </c>
      <c r="C90" s="93" t="n">
        <v>46248</v>
      </c>
      <c r="D90" s="87" t="inlineStr">
        <is>
          <t>天籁·鸿蒙座舱</t>
        </is>
      </c>
      <c r="E90" s="87" t="n">
        <v>2993</v>
      </c>
      <c r="F90" s="87" t="n">
        <v>2668</v>
      </c>
      <c r="G90" s="88" t="n">
        <v>0.8914132976946207</v>
      </c>
      <c r="H90" s="87" t="n">
        <v>1479</v>
      </c>
      <c r="I90" s="89" t="n">
        <v>0.494153023722018</v>
      </c>
      <c r="J90" s="87" t="n">
        <v>3541</v>
      </c>
      <c r="K90" s="87" t="n">
        <v>3474</v>
      </c>
      <c r="L90" s="88" t="n">
        <v>0.981</v>
      </c>
      <c r="M90" s="87" t="n">
        <v>18084</v>
      </c>
      <c r="N90" s="87" t="n">
        <v>18347</v>
      </c>
      <c r="O90" s="87" t="n">
        <v>17878</v>
      </c>
      <c r="P90" s="88" t="n">
        <v>0.9886087148860871</v>
      </c>
      <c r="Q90" s="87" t="n">
        <v>33</v>
      </c>
      <c r="R90" s="87" t="n">
        <v>0</v>
      </c>
      <c r="S90" s="87" t="n">
        <v>0</v>
      </c>
      <c r="T90" s="88" t="n">
        <v>0</v>
      </c>
      <c r="U90" s="87" t="n">
        <v>0</v>
      </c>
      <c r="V90" s="88" t="n">
        <v>0</v>
      </c>
      <c r="W90" s="87" t="n">
        <v>254</v>
      </c>
      <c r="X90" s="88" t="n">
        <v>0.08486468426328099</v>
      </c>
      <c r="Y90" s="87" t="n">
        <v>875</v>
      </c>
      <c r="Z90" s="90" t="n">
        <v>0.2923488138990979</v>
      </c>
      <c r="AA90" s="87" t="n">
        <v>10</v>
      </c>
      <c r="AB90" s="88" t="n">
        <v>0.003341129301703976</v>
      </c>
      <c r="AC90" s="87" t="n">
        <v>229</v>
      </c>
      <c r="AD90" s="88" t="n">
        <v>0.07651186100902105</v>
      </c>
      <c r="AE90" s="87" t="n">
        <v>75</v>
      </c>
      <c r="AF90" s="88" t="n">
        <v>0.3275109170305677</v>
      </c>
      <c r="AG90" s="87" t="n">
        <v>195</v>
      </c>
      <c r="AH90" s="88" t="n">
        <v>0.851528384279476</v>
      </c>
      <c r="AI90" s="91" t="n">
        <v>205</v>
      </c>
      <c r="AJ90" s="88" t="n">
        <v>0.0684931506849315</v>
      </c>
      <c r="AK90" s="91" t="n">
        <v>18</v>
      </c>
      <c r="AL90" s="88" t="n">
        <v>0.8829268292682927</v>
      </c>
      <c r="AM90" s="91" t="n">
        <v>199</v>
      </c>
      <c r="AN90" s="91" t="n">
        <v>181</v>
      </c>
      <c r="AO90" s="88" t="n">
        <v>0.06047444036084196</v>
      </c>
      <c r="AP90" s="88" t="n">
        <v>0.7903930131004366</v>
      </c>
      <c r="AQ90" s="89" t="n">
        <v>0.9707602339181286</v>
      </c>
      <c r="AR90" s="89" t="n">
        <v>0.5649999999999999</v>
      </c>
      <c r="AS90" s="89" t="n">
        <v>0.52</v>
      </c>
      <c r="AT90" s="91" t="n">
        <v>0</v>
      </c>
      <c r="AU90" s="91" t="n">
        <v>0</v>
      </c>
      <c r="AV90" s="91" t="n">
        <v>63</v>
      </c>
      <c r="AW90" s="91" t="n">
        <v>57</v>
      </c>
      <c r="AX90" s="91" t="n">
        <v>58</v>
      </c>
      <c r="AY90" s="91" t="n">
        <v>69</v>
      </c>
      <c r="AZ90" s="88" t="n">
        <v>0.01904443701971266</v>
      </c>
      <c r="BA90" s="88" t="n">
        <v>0.01937854994988306</v>
      </c>
      <c r="BB90" s="88" t="n">
        <v>0.02305379218175744</v>
      </c>
      <c r="BC90" s="88" t="n">
        <v>0.3204419889502763</v>
      </c>
      <c r="BD90" s="91" t="n">
        <v>0</v>
      </c>
      <c r="BE90" s="91" t="n">
        <v>0</v>
      </c>
      <c r="BF90" s="89" t="n">
        <v>1</v>
      </c>
      <c r="BG90" s="89" t="n">
        <v>1</v>
      </c>
      <c r="BH90" s="89" t="inlineStr">
        <is>
          <t>-</t>
        </is>
      </c>
    </row>
    <row r="91" ht="19.55" customHeight="1">
      <c r="A91" s="92" t="n">
        <v>88</v>
      </c>
      <c r="B91" s="87" t="inlineStr">
        <is>
          <t>全国</t>
        </is>
      </c>
      <c r="C91" s="93" t="n">
        <v>46249</v>
      </c>
      <c r="D91" s="87" t="n"/>
      <c r="E91" s="87" t="n">
        <v>80</v>
      </c>
      <c r="F91" s="87" t="n">
        <v>80</v>
      </c>
      <c r="G91" s="88" t="n">
        <v>1</v>
      </c>
      <c r="H91" s="87" t="n">
        <v>80</v>
      </c>
      <c r="I91" s="89" t="n">
        <v>1</v>
      </c>
      <c r="J91" s="87" t="n">
        <v>1</v>
      </c>
      <c r="K91" s="87" t="n">
        <v>0</v>
      </c>
      <c r="L91" s="88" t="n">
        <v>0</v>
      </c>
      <c r="M91" s="87" t="n">
        <v>7</v>
      </c>
      <c r="N91" s="87" t="n">
        <v>3</v>
      </c>
      <c r="O91" s="87" t="n">
        <v>3</v>
      </c>
      <c r="P91" s="88" t="n">
        <v>0.4285714285714285</v>
      </c>
      <c r="Q91" s="87" t="n">
        <v>4</v>
      </c>
      <c r="R91" s="87" t="n">
        <v>0</v>
      </c>
      <c r="S91" s="87" t="n">
        <v>0</v>
      </c>
      <c r="T91" s="88" t="n">
        <v>0</v>
      </c>
      <c r="U91" s="87" t="n">
        <v>0</v>
      </c>
      <c r="V91" s="88" t="n">
        <v>0</v>
      </c>
      <c r="W91" s="87" t="n">
        <v>37</v>
      </c>
      <c r="X91" s="88" t="n">
        <v>0.4625</v>
      </c>
      <c r="Y91" s="87" t="n">
        <v>24</v>
      </c>
      <c r="Z91" s="90" t="n">
        <v>0.3</v>
      </c>
      <c r="AA91" s="87" t="n">
        <v>0</v>
      </c>
      <c r="AB91" s="88" t="n">
        <v>0</v>
      </c>
      <c r="AC91" s="87" t="n">
        <v>0</v>
      </c>
      <c r="AD91" s="88" t="n">
        <v>0</v>
      </c>
      <c r="AE91" s="87" t="n">
        <v>0</v>
      </c>
      <c r="AF91" s="88" t="n">
        <v>0</v>
      </c>
      <c r="AG91" s="87" t="n">
        <v>0</v>
      </c>
      <c r="AH91" s="88" t="n">
        <v>0</v>
      </c>
      <c r="AI91" s="91" t="n">
        <v>0</v>
      </c>
      <c r="AJ91" s="88" t="n">
        <v>0</v>
      </c>
      <c r="AK91" s="91" t="n">
        <v>0</v>
      </c>
      <c r="AL91" s="88" t="n">
        <v>0</v>
      </c>
      <c r="AM91" s="91" t="n">
        <v>0</v>
      </c>
      <c r="AN91" s="91" t="n">
        <v>0</v>
      </c>
      <c r="AO91" s="88" t="n">
        <v>0</v>
      </c>
      <c r="AP91" s="88" t="n">
        <v>0</v>
      </c>
      <c r="AQ91" s="89" t="n"/>
      <c r="AR91" s="89" t="n">
        <v>0</v>
      </c>
      <c r="AS91" s="89" t="n">
        <v>0</v>
      </c>
      <c r="AT91" s="91" t="n">
        <v>0</v>
      </c>
      <c r="AU91" s="91" t="n">
        <v>0</v>
      </c>
      <c r="AV91" s="91" t="n">
        <v>0</v>
      </c>
      <c r="AW91" s="91" t="n">
        <v>0</v>
      </c>
      <c r="AX91" s="91" t="n">
        <v>0</v>
      </c>
      <c r="AY91" s="91" t="n">
        <v>0</v>
      </c>
      <c r="AZ91" s="88" t="n">
        <v>0</v>
      </c>
      <c r="BA91" s="88" t="n">
        <v>0</v>
      </c>
      <c r="BB91" s="88" t="n">
        <v>0</v>
      </c>
      <c r="BC91" s="88" t="n">
        <v>0</v>
      </c>
      <c r="BD91" s="91" t="n">
        <v>0</v>
      </c>
      <c r="BE91" s="91" t="n">
        <v>0</v>
      </c>
      <c r="BF91" s="89" t="inlineStr">
        <is>
          <t>-</t>
        </is>
      </c>
      <c r="BG91" s="89" t="inlineStr">
        <is>
          <t>-</t>
        </is>
      </c>
      <c r="BH91" s="89" t="n">
        <v>0.9861111111111112</v>
      </c>
    </row>
    <row r="92" ht="19.55" customHeight="1">
      <c r="A92" s="92" t="n">
        <v>89</v>
      </c>
      <c r="B92" s="87" t="inlineStr">
        <is>
          <t>全国</t>
        </is>
      </c>
      <c r="C92" s="93" t="n">
        <v>46249</v>
      </c>
      <c r="D92" s="87" t="inlineStr">
        <is>
          <t>2026款探陆</t>
        </is>
      </c>
      <c r="E92" s="87" t="n">
        <v>344</v>
      </c>
      <c r="F92" s="87" t="n">
        <v>295</v>
      </c>
      <c r="G92" s="88" t="n">
        <v>0.8575581395348837</v>
      </c>
      <c r="H92" s="87" t="n">
        <v>71</v>
      </c>
      <c r="I92" s="89" t="n">
        <v>0.2063953488372093</v>
      </c>
      <c r="J92" s="87" t="n">
        <v>412</v>
      </c>
      <c r="K92" s="87" t="n">
        <v>275</v>
      </c>
      <c r="L92" s="88" t="n">
        <v>0.667</v>
      </c>
      <c r="M92" s="87" t="n">
        <v>1225</v>
      </c>
      <c r="N92" s="87" t="n">
        <v>1141</v>
      </c>
      <c r="O92" s="87" t="n">
        <v>997</v>
      </c>
      <c r="P92" s="88" t="n">
        <v>0.8138775510204082</v>
      </c>
      <c r="Q92" s="87" t="n">
        <v>52</v>
      </c>
      <c r="R92" s="87" t="n">
        <v>0</v>
      </c>
      <c r="S92" s="87" t="n">
        <v>0</v>
      </c>
      <c r="T92" s="88" t="n">
        <v>0</v>
      </c>
      <c r="U92" s="87" t="n">
        <v>0</v>
      </c>
      <c r="V92" s="88" t="n">
        <v>0</v>
      </c>
      <c r="W92" s="87" t="n">
        <v>21</v>
      </c>
      <c r="X92" s="88" t="n">
        <v>0.06104651162790697</v>
      </c>
      <c r="Y92" s="87" t="n">
        <v>70</v>
      </c>
      <c r="Z92" s="90" t="n">
        <v>0.2034883720930233</v>
      </c>
      <c r="AA92" s="87" t="n">
        <v>0</v>
      </c>
      <c r="AB92" s="88" t="n">
        <v>0</v>
      </c>
      <c r="AC92" s="87" t="n">
        <v>0</v>
      </c>
      <c r="AD92" s="88" t="n">
        <v>0</v>
      </c>
      <c r="AE92" s="87" t="n">
        <v>0</v>
      </c>
      <c r="AF92" s="88" t="n">
        <v>0</v>
      </c>
      <c r="AG92" s="87" t="n">
        <v>0</v>
      </c>
      <c r="AH92" s="88" t="n">
        <v>0</v>
      </c>
      <c r="AI92" s="91" t="n">
        <v>1</v>
      </c>
      <c r="AJ92" s="88" t="n">
        <v>0.002906976744186046</v>
      </c>
      <c r="AK92" s="91" t="n">
        <v>0</v>
      </c>
      <c r="AL92" s="88" t="n">
        <v>0</v>
      </c>
      <c r="AM92" s="91" t="n">
        <v>0</v>
      </c>
      <c r="AN92" s="91" t="n">
        <v>0</v>
      </c>
      <c r="AO92" s="88" t="n">
        <v>0</v>
      </c>
      <c r="AP92" s="88" t="n">
        <v>0</v>
      </c>
      <c r="AQ92" s="89" t="n">
        <v>1</v>
      </c>
      <c r="AR92" s="89" t="inlineStr">
        <is>
          <t>0.0%</t>
        </is>
      </c>
      <c r="AS92" s="89" t="inlineStr">
        <is>
          <t>0.0%</t>
        </is>
      </c>
      <c r="AT92" s="91" t="n">
        <v>0</v>
      </c>
      <c r="AU92" s="91" t="n">
        <v>0</v>
      </c>
      <c r="AV92" s="91" t="n">
        <v>6</v>
      </c>
      <c r="AW92" s="91" t="n">
        <v>6</v>
      </c>
      <c r="AX92" s="91" t="n">
        <v>6</v>
      </c>
      <c r="AY92" s="91" t="n">
        <v>2</v>
      </c>
      <c r="AZ92" s="88" t="n">
        <v>0.01744186046511628</v>
      </c>
      <c r="BA92" s="88" t="n">
        <v>0.01744186046511628</v>
      </c>
      <c r="BB92" s="88" t="n">
        <v>0.005813953488372093</v>
      </c>
      <c r="BC92" s="88" t="n">
        <v>0</v>
      </c>
      <c r="BD92" s="91" t="n">
        <v>0</v>
      </c>
      <c r="BE92" s="91" t="n">
        <v>0</v>
      </c>
      <c r="BF92" s="89" t="inlineStr">
        <is>
          <t>-</t>
        </is>
      </c>
      <c r="BG92" s="89" t="n">
        <v>1</v>
      </c>
      <c r="BH92" s="89" t="inlineStr">
        <is>
          <t>-</t>
        </is>
      </c>
    </row>
    <row r="93" ht="19.55" customHeight="1">
      <c r="A93" s="92" t="n">
        <v>90</v>
      </c>
      <c r="B93" s="87" t="inlineStr">
        <is>
          <t>全国</t>
        </is>
      </c>
      <c r="C93" s="93" t="n">
        <v>46249</v>
      </c>
      <c r="D93" s="87" t="inlineStr">
        <is>
          <t>N6</t>
        </is>
      </c>
      <c r="E93" s="87" t="n">
        <v>1873</v>
      </c>
      <c r="F93" s="87" t="n">
        <v>1640</v>
      </c>
      <c r="G93" s="88" t="n">
        <v>0.8756006406833956</v>
      </c>
      <c r="H93" s="87" t="n">
        <v>885</v>
      </c>
      <c r="I93" s="89" t="n">
        <v>0.4725040042712226</v>
      </c>
      <c r="J93" s="87" t="n">
        <v>1882</v>
      </c>
      <c r="K93" s="87" t="n">
        <v>1844</v>
      </c>
      <c r="L93" s="88" t="n">
        <v>0.98</v>
      </c>
      <c r="M93" s="87" t="n">
        <v>8079</v>
      </c>
      <c r="N93" s="87" t="n">
        <v>8182</v>
      </c>
      <c r="O93" s="87" t="n">
        <v>7972</v>
      </c>
      <c r="P93" s="88" t="n">
        <v>0.9867557866072534</v>
      </c>
      <c r="Q93" s="87" t="n">
        <v>24</v>
      </c>
      <c r="R93" s="87" t="n">
        <v>0</v>
      </c>
      <c r="S93" s="87" t="n">
        <v>0</v>
      </c>
      <c r="T93" s="88" t="n">
        <v>0</v>
      </c>
      <c r="U93" s="87" t="n">
        <v>0</v>
      </c>
      <c r="V93" s="88" t="n">
        <v>0</v>
      </c>
      <c r="W93" s="87" t="n">
        <v>228</v>
      </c>
      <c r="X93" s="88" t="n">
        <v>0.1217298451681794</v>
      </c>
      <c r="Y93" s="87" t="n">
        <v>600</v>
      </c>
      <c r="Z93" s="90" t="n">
        <v>0.3203416978109984</v>
      </c>
      <c r="AA93" s="87" t="n">
        <v>2</v>
      </c>
      <c r="AB93" s="88" t="n">
        <v>0.001067805659369995</v>
      </c>
      <c r="AC93" s="87" t="n">
        <v>253</v>
      </c>
      <c r="AD93" s="88" t="n">
        <v>0.1350774159103043</v>
      </c>
      <c r="AE93" s="87" t="n">
        <v>26</v>
      </c>
      <c r="AF93" s="88" t="n">
        <v>0.1027667984189723</v>
      </c>
      <c r="AG93" s="87" t="n">
        <v>197</v>
      </c>
      <c r="AH93" s="88" t="n">
        <v>0.7786561264822134</v>
      </c>
      <c r="AI93" s="91" t="n">
        <v>210</v>
      </c>
      <c r="AJ93" s="88" t="n">
        <v>0.1121195942338494</v>
      </c>
      <c r="AK93" s="91" t="n">
        <v>15</v>
      </c>
      <c r="AL93" s="88" t="n">
        <v>0.8476190476190476</v>
      </c>
      <c r="AM93" s="91" t="n">
        <v>202</v>
      </c>
      <c r="AN93" s="91" t="n">
        <v>178</v>
      </c>
      <c r="AO93" s="88" t="n">
        <v>0.09503470368392952</v>
      </c>
      <c r="AP93" s="88" t="n">
        <v>0.7035573122529645</v>
      </c>
      <c r="AQ93" s="89" t="n">
        <v>0.9918032786885246</v>
      </c>
      <c r="AR93" s="89" t="n">
        <v>0.6197916666666666</v>
      </c>
      <c r="AS93" s="89" t="n">
        <v>0.6510416666666666</v>
      </c>
      <c r="AT93" s="91" t="n">
        <v>0</v>
      </c>
      <c r="AU93" s="91" t="n">
        <v>0</v>
      </c>
      <c r="AV93" s="91" t="n">
        <v>53</v>
      </c>
      <c r="AW93" s="91" t="n">
        <v>53</v>
      </c>
      <c r="AX93" s="91" t="n">
        <v>51</v>
      </c>
      <c r="AY93" s="91" t="n">
        <v>23</v>
      </c>
      <c r="AZ93" s="88" t="n">
        <v>0.02829684997330486</v>
      </c>
      <c r="BA93" s="88" t="n">
        <v>0.02722904431393487</v>
      </c>
      <c r="BB93" s="88" t="n">
        <v>0.01227976508275494</v>
      </c>
      <c r="BC93" s="88" t="n">
        <v>0.2865168539325842</v>
      </c>
      <c r="BD93" s="91" t="n">
        <v>0</v>
      </c>
      <c r="BE93" s="91" t="n">
        <v>0</v>
      </c>
      <c r="BF93" s="89" t="n">
        <v>0.9583333333333334</v>
      </c>
      <c r="BG93" s="89" t="n">
        <v>1</v>
      </c>
      <c r="BH93" s="89" t="inlineStr">
        <is>
          <t>-</t>
        </is>
      </c>
    </row>
    <row r="94" ht="19.55" customHeight="1">
      <c r="A94" s="92" t="n">
        <v>91</v>
      </c>
      <c r="B94" s="87" t="inlineStr">
        <is>
          <t>全国</t>
        </is>
      </c>
      <c r="C94" s="93" t="n">
        <v>46249</v>
      </c>
      <c r="D94" s="87" t="inlineStr">
        <is>
          <t>N7</t>
        </is>
      </c>
      <c r="E94" s="87" t="n">
        <v>1601</v>
      </c>
      <c r="F94" s="87" t="n">
        <v>1397</v>
      </c>
      <c r="G94" s="88" t="n">
        <v>0.872579637726421</v>
      </c>
      <c r="H94" s="87" t="n">
        <v>746</v>
      </c>
      <c r="I94" s="89" t="n">
        <v>0.4659587757651468</v>
      </c>
      <c r="J94" s="87" t="n">
        <v>1406</v>
      </c>
      <c r="K94" s="87" t="n">
        <v>1357</v>
      </c>
      <c r="L94" s="88" t="n">
        <v>0.965</v>
      </c>
      <c r="M94" s="87" t="n">
        <v>6558</v>
      </c>
      <c r="N94" s="87" t="n">
        <v>6793</v>
      </c>
      <c r="O94" s="87" t="n">
        <v>6444</v>
      </c>
      <c r="P94" s="88" t="n">
        <v>0.9826166514181153</v>
      </c>
      <c r="Q94" s="87" t="n">
        <v>41</v>
      </c>
      <c r="R94" s="87" t="n">
        <v>0</v>
      </c>
      <c r="S94" s="87" t="n">
        <v>0</v>
      </c>
      <c r="T94" s="88" t="n">
        <v>0</v>
      </c>
      <c r="U94" s="87" t="n">
        <v>0</v>
      </c>
      <c r="V94" s="88" t="n">
        <v>0</v>
      </c>
      <c r="W94" s="87" t="n">
        <v>229</v>
      </c>
      <c r="X94" s="88" t="n">
        <v>0.1430356027482823</v>
      </c>
      <c r="Y94" s="87" t="n">
        <v>400</v>
      </c>
      <c r="Z94" s="90" t="n">
        <v>0.249843847595253</v>
      </c>
      <c r="AA94" s="87" t="n">
        <v>2</v>
      </c>
      <c r="AB94" s="88" t="n">
        <v>0.001249219237976265</v>
      </c>
      <c r="AC94" s="87" t="n">
        <v>245</v>
      </c>
      <c r="AD94" s="88" t="n">
        <v>0.1530293566520924</v>
      </c>
      <c r="AE94" s="87" t="n">
        <v>25</v>
      </c>
      <c r="AF94" s="88" t="n">
        <v>0.1020408163265306</v>
      </c>
      <c r="AG94" s="87" t="n">
        <v>193</v>
      </c>
      <c r="AH94" s="88" t="n">
        <v>0.7877551020408163</v>
      </c>
      <c r="AI94" s="91" t="n">
        <v>194</v>
      </c>
      <c r="AJ94" s="88" t="n">
        <v>0.1211742660836977</v>
      </c>
      <c r="AK94" s="91" t="n">
        <v>17</v>
      </c>
      <c r="AL94" s="88" t="n">
        <v>0.8711340206185567</v>
      </c>
      <c r="AM94" s="91" t="n">
        <v>190</v>
      </c>
      <c r="AN94" s="91" t="n">
        <v>169</v>
      </c>
      <c r="AO94" s="88" t="n">
        <v>0.1055590256089944</v>
      </c>
      <c r="AP94" s="88" t="n">
        <v>0.689795918367347</v>
      </c>
      <c r="AQ94" s="89" t="n">
        <v>0.9826086956521739</v>
      </c>
      <c r="AR94" s="89" t="n">
        <v>0.6766169154228856</v>
      </c>
      <c r="AS94" s="89" t="n">
        <v>0.6318407960199005</v>
      </c>
      <c r="AT94" s="91" t="n">
        <v>0</v>
      </c>
      <c r="AU94" s="91" t="n">
        <v>0</v>
      </c>
      <c r="AV94" s="91" t="n">
        <v>35</v>
      </c>
      <c r="AW94" s="91" t="n">
        <v>33</v>
      </c>
      <c r="AX94" s="91" t="n">
        <v>33</v>
      </c>
      <c r="AY94" s="91" t="n">
        <v>26</v>
      </c>
      <c r="AZ94" s="88" t="n">
        <v>0.02061211742660837</v>
      </c>
      <c r="BA94" s="88" t="n">
        <v>0.02061211742660837</v>
      </c>
      <c r="BB94" s="88" t="n">
        <v>0.01623985009369144</v>
      </c>
      <c r="BC94" s="88" t="n">
        <v>0.1952662721893491</v>
      </c>
      <c r="BD94" s="91" t="n">
        <v>0</v>
      </c>
      <c r="BE94" s="91" t="n">
        <v>0</v>
      </c>
      <c r="BF94" s="89" t="n">
        <v>1</v>
      </c>
      <c r="BG94" s="89" t="n">
        <v>1</v>
      </c>
      <c r="BH94" s="89" t="inlineStr">
        <is>
          <t>-</t>
        </is>
      </c>
    </row>
    <row r="95" ht="19.55" customHeight="1">
      <c r="A95" s="92" t="n">
        <v>92</v>
      </c>
      <c r="B95" s="87" t="inlineStr">
        <is>
          <t>全国</t>
        </is>
      </c>
      <c r="C95" s="93" t="n">
        <v>46249</v>
      </c>
      <c r="D95" s="87" t="inlineStr">
        <is>
          <t>NX8</t>
        </is>
      </c>
      <c r="E95" s="87" t="n">
        <v>6427</v>
      </c>
      <c r="F95" s="87" t="n">
        <v>5710</v>
      </c>
      <c r="G95" s="88" t="n">
        <v>0.8884393962968725</v>
      </c>
      <c r="H95" s="87" t="n">
        <v>2321</v>
      </c>
      <c r="I95" s="89" t="n">
        <v>0.3611327213318811</v>
      </c>
      <c r="J95" s="87" t="n">
        <v>6443</v>
      </c>
      <c r="K95" s="87" t="n">
        <v>6227</v>
      </c>
      <c r="L95" s="88" t="n">
        <v>0.966</v>
      </c>
      <c r="M95" s="87" t="n">
        <v>26001</v>
      </c>
      <c r="N95" s="87" t="n">
        <v>27008</v>
      </c>
      <c r="O95" s="87" t="n">
        <v>25519</v>
      </c>
      <c r="P95" s="88" t="n">
        <v>0.9814622514518673</v>
      </c>
      <c r="Q95" s="87" t="n">
        <v>131</v>
      </c>
      <c r="R95" s="87" t="n">
        <v>0</v>
      </c>
      <c r="S95" s="87" t="n">
        <v>0</v>
      </c>
      <c r="T95" s="88" t="n">
        <v>0</v>
      </c>
      <c r="U95" s="87" t="n">
        <v>0</v>
      </c>
      <c r="V95" s="88" t="n">
        <v>0</v>
      </c>
      <c r="W95" s="87" t="n">
        <v>748</v>
      </c>
      <c r="X95" s="88" t="n">
        <v>0.1163840049789949</v>
      </c>
      <c r="Y95" s="87" t="n">
        <v>3349</v>
      </c>
      <c r="Z95" s="90" t="n">
        <v>0.521082931383227</v>
      </c>
      <c r="AA95" s="87" t="n">
        <v>7</v>
      </c>
      <c r="AB95" s="88" t="n">
        <v>0.001089155126808776</v>
      </c>
      <c r="AC95" s="87" t="n">
        <v>997</v>
      </c>
      <c r="AD95" s="88" t="n">
        <v>0.1551268087754785</v>
      </c>
      <c r="AE95" s="87" t="n">
        <v>159</v>
      </c>
      <c r="AF95" s="88" t="n">
        <v>0.1594784353059178</v>
      </c>
      <c r="AG95" s="87" t="n">
        <v>834</v>
      </c>
      <c r="AH95" s="88" t="n">
        <v>0.8365095285857572</v>
      </c>
      <c r="AI95" s="91" t="n">
        <v>867</v>
      </c>
      <c r="AJ95" s="88" t="n">
        <v>0.134899642134744</v>
      </c>
      <c r="AK95" s="91" t="n">
        <v>47</v>
      </c>
      <c r="AL95" s="88" t="n">
        <v>0.8269896193771626</v>
      </c>
      <c r="AM95" s="91" t="n">
        <v>791</v>
      </c>
      <c r="AN95" s="91" t="n">
        <v>717</v>
      </c>
      <c r="AO95" s="88" t="n">
        <v>0.1115606037031274</v>
      </c>
      <c r="AP95" s="88" t="n">
        <v>0.7191574724172518</v>
      </c>
      <c r="AQ95" s="89" t="n">
        <v>0.9739478957915831</v>
      </c>
      <c r="AR95" s="89" t="n">
        <v>0.6115196078431373</v>
      </c>
      <c r="AS95" s="89" t="n">
        <v>0.6176470588235294</v>
      </c>
      <c r="AT95" s="91" t="n">
        <v>0</v>
      </c>
      <c r="AU95" s="91" t="n">
        <v>0</v>
      </c>
      <c r="AV95" s="91" t="n">
        <v>289</v>
      </c>
      <c r="AW95" s="91" t="n">
        <v>280</v>
      </c>
      <c r="AX95" s="91" t="n">
        <v>269</v>
      </c>
      <c r="AY95" s="91" t="n">
        <v>68</v>
      </c>
      <c r="AZ95" s="88" t="n">
        <v>0.04356620507235102</v>
      </c>
      <c r="BA95" s="88" t="n">
        <v>0.0418546755873658</v>
      </c>
      <c r="BB95" s="88" t="n">
        <v>0.01058036408899953</v>
      </c>
      <c r="BC95" s="88" t="n">
        <v>0.3751743375174337</v>
      </c>
      <c r="BD95" s="91" t="n">
        <v>0</v>
      </c>
      <c r="BE95" s="91" t="n">
        <v>0</v>
      </c>
      <c r="BF95" s="89" t="n">
        <v>0.9444444444444444</v>
      </c>
      <c r="BG95" s="89" t="n">
        <v>1</v>
      </c>
      <c r="BH95" s="89" t="inlineStr">
        <is>
          <t>-</t>
        </is>
      </c>
    </row>
    <row r="96" ht="19.55" customHeight="1">
      <c r="A96" s="92" t="n">
        <v>93</v>
      </c>
      <c r="B96" s="87" t="inlineStr">
        <is>
          <t>全国</t>
        </is>
      </c>
      <c r="C96" s="93" t="n">
        <v>46249</v>
      </c>
      <c r="D96" s="87" t="inlineStr">
        <is>
          <t>天籁·鸿蒙座舱</t>
        </is>
      </c>
      <c r="E96" s="87" t="n">
        <v>3121</v>
      </c>
      <c r="F96" s="87" t="n">
        <v>2788</v>
      </c>
      <c r="G96" s="88" t="n">
        <v>0.8933034283883371</v>
      </c>
      <c r="H96" s="87" t="n">
        <v>1612</v>
      </c>
      <c r="I96" s="89" t="n">
        <v>0.5165011214354374</v>
      </c>
      <c r="J96" s="87" t="n">
        <v>3698</v>
      </c>
      <c r="K96" s="87" t="n">
        <v>3612</v>
      </c>
      <c r="L96" s="88" t="n">
        <v>0.977</v>
      </c>
      <c r="M96" s="87" t="n">
        <v>17112</v>
      </c>
      <c r="N96" s="87" t="n">
        <v>17412</v>
      </c>
      <c r="O96" s="87" t="n">
        <v>16903</v>
      </c>
      <c r="P96" s="88" t="n">
        <v>0.9877863487611033</v>
      </c>
      <c r="Q96" s="87" t="n">
        <v>37</v>
      </c>
      <c r="R96" s="87" t="n">
        <v>0</v>
      </c>
      <c r="S96" s="87" t="n">
        <v>0</v>
      </c>
      <c r="T96" s="88" t="n">
        <v>0</v>
      </c>
      <c r="U96" s="87" t="n">
        <v>0</v>
      </c>
      <c r="V96" s="88" t="n">
        <v>0</v>
      </c>
      <c r="W96" s="87" t="n">
        <v>458</v>
      </c>
      <c r="X96" s="88" t="n">
        <v>0.1467478372316565</v>
      </c>
      <c r="Y96" s="87" t="n">
        <v>774</v>
      </c>
      <c r="Z96" s="90" t="n">
        <v>0.2479974367190003</v>
      </c>
      <c r="AA96" s="87" t="n">
        <v>10</v>
      </c>
      <c r="AB96" s="88" t="n">
        <v>0.003204101249599487</v>
      </c>
      <c r="AC96" s="87" t="n">
        <v>389</v>
      </c>
      <c r="AD96" s="88" t="n">
        <v>0.1246395386094201</v>
      </c>
      <c r="AE96" s="87" t="n">
        <v>60</v>
      </c>
      <c r="AF96" s="88" t="n">
        <v>0.1542416452442159</v>
      </c>
      <c r="AG96" s="87" t="n">
        <v>313</v>
      </c>
      <c r="AH96" s="88" t="n">
        <v>0.8046272493573264</v>
      </c>
      <c r="AI96" s="91" t="n">
        <v>342</v>
      </c>
      <c r="AJ96" s="88" t="n">
        <v>0.1095802627363025</v>
      </c>
      <c r="AK96" s="91" t="n">
        <v>16</v>
      </c>
      <c r="AL96" s="88" t="n">
        <v>0.8391812865497076</v>
      </c>
      <c r="AM96" s="91" t="n">
        <v>305</v>
      </c>
      <c r="AN96" s="91" t="n">
        <v>287</v>
      </c>
      <c r="AO96" s="88" t="n">
        <v>0.09195770586350528</v>
      </c>
      <c r="AP96" s="88" t="n">
        <v>0.7377892030848329</v>
      </c>
      <c r="AQ96" s="89" t="n">
        <v>0.9894736842105263</v>
      </c>
      <c r="AR96" s="89" t="n">
        <v>0.6349206349206349</v>
      </c>
      <c r="AS96" s="89" t="n">
        <v>0.5682539682539682</v>
      </c>
      <c r="AT96" s="91" t="n">
        <v>0</v>
      </c>
      <c r="AU96" s="91" t="n">
        <v>0</v>
      </c>
      <c r="AV96" s="91" t="n">
        <v>118</v>
      </c>
      <c r="AW96" s="91" t="n">
        <v>113</v>
      </c>
      <c r="AX96" s="91" t="n">
        <v>109</v>
      </c>
      <c r="AY96" s="91" t="n">
        <v>58</v>
      </c>
      <c r="AZ96" s="88" t="n">
        <v>0.03620634412047421</v>
      </c>
      <c r="BA96" s="88" t="n">
        <v>0.03492470362063441</v>
      </c>
      <c r="BB96" s="88" t="n">
        <v>0.01858378724767703</v>
      </c>
      <c r="BC96" s="88" t="n">
        <v>0.3797909407665505</v>
      </c>
      <c r="BD96" s="91" t="n">
        <v>0</v>
      </c>
      <c r="BE96" s="91" t="n">
        <v>0</v>
      </c>
      <c r="BF96" s="89" t="n">
        <v>0.9444444444444444</v>
      </c>
      <c r="BG96" s="89" t="n">
        <v>1</v>
      </c>
      <c r="BH96" s="89" t="inlineStr">
        <is>
          <t>-</t>
        </is>
      </c>
    </row>
    <row r="97" ht="19.55" customHeight="1">
      <c r="A97" s="92" t="n">
        <v>94</v>
      </c>
      <c r="B97" s="87" t="inlineStr">
        <is>
          <t>全国</t>
        </is>
      </c>
      <c r="C97" s="93" t="n">
        <v>46250</v>
      </c>
      <c r="D97" s="87" t="n"/>
      <c r="E97" s="87" t="n">
        <v>72</v>
      </c>
      <c r="F97" s="87" t="n">
        <v>72</v>
      </c>
      <c r="G97" s="88" t="n">
        <v>1</v>
      </c>
      <c r="H97" s="87" t="n">
        <v>72</v>
      </c>
      <c r="I97" s="89" t="n">
        <v>1</v>
      </c>
      <c r="J97" s="87" t="n">
        <v>1</v>
      </c>
      <c r="K97" s="87" t="n">
        <v>0</v>
      </c>
      <c r="L97" s="88" t="n">
        <v>0</v>
      </c>
      <c r="M97" s="87" t="n">
        <v>2</v>
      </c>
      <c r="N97" s="87" t="n">
        <v>2</v>
      </c>
      <c r="O97" s="87" t="n">
        <v>1</v>
      </c>
      <c r="P97" s="88" t="n">
        <v>0.5</v>
      </c>
      <c r="Q97" s="87" t="n">
        <v>1</v>
      </c>
      <c r="R97" s="87" t="n">
        <v>0</v>
      </c>
      <c r="S97" s="87" t="n">
        <v>0</v>
      </c>
      <c r="T97" s="88" t="n">
        <v>0</v>
      </c>
      <c r="U97" s="87" t="n">
        <v>0</v>
      </c>
      <c r="V97" s="88" t="n">
        <v>0</v>
      </c>
      <c r="W97" s="87" t="n">
        <v>7</v>
      </c>
      <c r="X97" s="88" t="n">
        <v>0.09722222222222222</v>
      </c>
      <c r="Y97" s="87" t="n">
        <v>2</v>
      </c>
      <c r="Z97" s="90" t="n">
        <v>0.02777777777777778</v>
      </c>
      <c r="AA97" s="87" t="n">
        <v>0</v>
      </c>
      <c r="AB97" s="88" t="n">
        <v>0</v>
      </c>
      <c r="AC97" s="87" t="n">
        <v>0</v>
      </c>
      <c r="AD97" s="88" t="n">
        <v>0</v>
      </c>
      <c r="AE97" s="87" t="n">
        <v>0</v>
      </c>
      <c r="AF97" s="88" t="n">
        <v>0</v>
      </c>
      <c r="AG97" s="87" t="n">
        <v>0</v>
      </c>
      <c r="AH97" s="88" t="n">
        <v>0</v>
      </c>
      <c r="AI97" s="91" t="n">
        <v>0</v>
      </c>
      <c r="AJ97" s="88" t="n">
        <v>0</v>
      </c>
      <c r="AK97" s="91" t="n">
        <v>0</v>
      </c>
      <c r="AL97" s="88" t="n">
        <v>0</v>
      </c>
      <c r="AM97" s="91" t="n">
        <v>0</v>
      </c>
      <c r="AN97" s="91" t="n">
        <v>0</v>
      </c>
      <c r="AO97" s="88" t="n">
        <v>0</v>
      </c>
      <c r="AP97" s="88" t="n">
        <v>0</v>
      </c>
      <c r="AQ97" s="89" t="n">
        <v>0</v>
      </c>
      <c r="AR97" s="89" t="n">
        <v>0</v>
      </c>
      <c r="AS97" s="89" t="n">
        <v>0</v>
      </c>
      <c r="AT97" s="91" t="n">
        <v>0</v>
      </c>
      <c r="AU97" s="91" t="n">
        <v>0</v>
      </c>
      <c r="AV97" s="91" t="n">
        <v>0</v>
      </c>
      <c r="AW97" s="91" t="n">
        <v>0</v>
      </c>
      <c r="AX97" s="91" t="n">
        <v>0</v>
      </c>
      <c r="AY97" s="91" t="n">
        <v>0</v>
      </c>
      <c r="AZ97" s="88" t="n">
        <v>0</v>
      </c>
      <c r="BA97" s="88" t="n">
        <v>0</v>
      </c>
      <c r="BB97" s="88" t="n">
        <v>0</v>
      </c>
      <c r="BC97" s="88" t="n">
        <v>0</v>
      </c>
      <c r="BD97" s="91" t="n">
        <v>0</v>
      </c>
      <c r="BE97" s="91" t="n">
        <v>1</v>
      </c>
      <c r="BF97" s="89" t="inlineStr">
        <is>
          <t>-</t>
        </is>
      </c>
      <c r="BG97" s="89" t="inlineStr">
        <is>
          <t>-</t>
        </is>
      </c>
      <c r="BH97" s="89" t="n">
        <v>0.9583333333333334</v>
      </c>
    </row>
    <row r="98" ht="19.55" customHeight="1">
      <c r="A98" s="92" t="n">
        <v>95</v>
      </c>
      <c r="B98" s="87" t="inlineStr">
        <is>
          <t>全国</t>
        </is>
      </c>
      <c r="C98" s="93" t="n">
        <v>46250</v>
      </c>
      <c r="D98" s="87" t="inlineStr">
        <is>
          <t>2026款探陆</t>
        </is>
      </c>
      <c r="E98" s="87" t="n">
        <v>335</v>
      </c>
      <c r="F98" s="87" t="n">
        <v>301</v>
      </c>
      <c r="G98" s="88" t="n">
        <v>0.8985074626865671</v>
      </c>
      <c r="H98" s="87" t="n">
        <v>80</v>
      </c>
      <c r="I98" s="89" t="n">
        <v>0.2388059701492537</v>
      </c>
      <c r="J98" s="87" t="n">
        <v>271</v>
      </c>
      <c r="K98" s="87" t="n">
        <v>183</v>
      </c>
      <c r="L98" s="88" t="n">
        <v>0.675</v>
      </c>
      <c r="M98" s="87" t="n">
        <v>1018</v>
      </c>
      <c r="N98" s="87" t="n">
        <v>948</v>
      </c>
      <c r="O98" s="87" t="n">
        <v>870</v>
      </c>
      <c r="P98" s="88" t="n">
        <v>0.8546168958742633</v>
      </c>
      <c r="Q98" s="87" t="n">
        <v>32</v>
      </c>
      <c r="R98" s="87" t="n">
        <v>0</v>
      </c>
      <c r="S98" s="87" t="n">
        <v>0</v>
      </c>
      <c r="T98" s="88" t="n">
        <v>0</v>
      </c>
      <c r="U98" s="87" t="n">
        <v>0</v>
      </c>
      <c r="V98" s="88" t="n">
        <v>0</v>
      </c>
      <c r="W98" s="87" t="n">
        <v>11</v>
      </c>
      <c r="X98" s="88" t="n">
        <v>0.03283582089552239</v>
      </c>
      <c r="Y98" s="87" t="n">
        <v>37</v>
      </c>
      <c r="Z98" s="90" t="n">
        <v>0.1104477611940299</v>
      </c>
      <c r="AA98" s="87" t="n">
        <v>1</v>
      </c>
      <c r="AB98" s="88" t="n">
        <v>0.002985074626865672</v>
      </c>
      <c r="AC98" s="87" t="n">
        <v>6</v>
      </c>
      <c r="AD98" s="88" t="n">
        <v>0.01791044776119403</v>
      </c>
      <c r="AE98" s="87" t="n">
        <v>0</v>
      </c>
      <c r="AF98" s="88" t="n">
        <v>0</v>
      </c>
      <c r="AG98" s="87" t="n">
        <v>2</v>
      </c>
      <c r="AH98" s="88" t="n">
        <v>0.3333333333333333</v>
      </c>
      <c r="AI98" s="91" t="n">
        <v>0</v>
      </c>
      <c r="AJ98" s="88" t="n">
        <v>0</v>
      </c>
      <c r="AK98" s="91" t="n">
        <v>0</v>
      </c>
      <c r="AL98" s="88" t="n">
        <v>0</v>
      </c>
      <c r="AM98" s="91" t="n">
        <v>0</v>
      </c>
      <c r="AN98" s="91" t="n">
        <v>0</v>
      </c>
      <c r="AO98" s="88" t="n">
        <v>0</v>
      </c>
      <c r="AP98" s="88" t="n">
        <v>0</v>
      </c>
      <c r="AQ98" s="89" t="n"/>
      <c r="AR98" s="89" t="n">
        <v>0</v>
      </c>
      <c r="AS98" s="89" t="n">
        <v>0.5</v>
      </c>
      <c r="AT98" s="91" t="n">
        <v>0</v>
      </c>
      <c r="AU98" s="91" t="n">
        <v>0</v>
      </c>
      <c r="AV98" s="91" t="n">
        <v>2</v>
      </c>
      <c r="AW98" s="91" t="n">
        <v>2</v>
      </c>
      <c r="AX98" s="91" t="n">
        <v>2</v>
      </c>
      <c r="AY98" s="91" t="n">
        <v>0</v>
      </c>
      <c r="AZ98" s="88" t="n">
        <v>0.005970149253731343</v>
      </c>
      <c r="BA98" s="88" t="n">
        <v>0.005970149253731343</v>
      </c>
      <c r="BB98" s="88" t="n">
        <v>0</v>
      </c>
      <c r="BC98" s="88" t="n">
        <v>0</v>
      </c>
      <c r="BD98" s="91" t="n">
        <v>0</v>
      </c>
      <c r="BE98" s="91" t="n">
        <v>0</v>
      </c>
      <c r="BF98" s="89" t="inlineStr">
        <is>
          <t>-</t>
        </is>
      </c>
      <c r="BG98" s="89" t="n">
        <v>1</v>
      </c>
      <c r="BH98" s="89" t="inlineStr">
        <is>
          <t>-</t>
        </is>
      </c>
    </row>
    <row r="99" ht="19.55" customHeight="1">
      <c r="A99" s="92" t="n">
        <v>96</v>
      </c>
      <c r="B99" s="87" t="inlineStr">
        <is>
          <t>全国</t>
        </is>
      </c>
      <c r="C99" s="93" t="n">
        <v>46250</v>
      </c>
      <c r="D99" s="87" t="inlineStr">
        <is>
          <t>N6</t>
        </is>
      </c>
      <c r="E99" s="87" t="n">
        <v>1818</v>
      </c>
      <c r="F99" s="87" t="n">
        <v>1607</v>
      </c>
      <c r="G99" s="88" t="n">
        <v>0.8839383938393839</v>
      </c>
      <c r="H99" s="87" t="n">
        <v>890</v>
      </c>
      <c r="I99" s="89" t="n">
        <v>0.4895489548954896</v>
      </c>
      <c r="J99" s="87" t="n">
        <v>1879</v>
      </c>
      <c r="K99" s="87" t="n">
        <v>1776</v>
      </c>
      <c r="L99" s="88" t="n">
        <v>0.945</v>
      </c>
      <c r="M99" s="87" t="n">
        <v>8521</v>
      </c>
      <c r="N99" s="87" t="n">
        <v>8434</v>
      </c>
      <c r="O99" s="87" t="n">
        <v>8312</v>
      </c>
      <c r="P99" s="88" t="n">
        <v>0.9754723623987794</v>
      </c>
      <c r="Q99" s="87" t="n">
        <v>83</v>
      </c>
      <c r="R99" s="87" t="n">
        <v>0</v>
      </c>
      <c r="S99" s="87" t="n">
        <v>0</v>
      </c>
      <c r="T99" s="88" t="n">
        <v>0</v>
      </c>
      <c r="U99" s="87" t="n">
        <v>0</v>
      </c>
      <c r="V99" s="88" t="n">
        <v>0</v>
      </c>
      <c r="W99" s="87" t="n">
        <v>159</v>
      </c>
      <c r="X99" s="88" t="n">
        <v>0.08745874587458746</v>
      </c>
      <c r="Y99" s="87" t="n">
        <v>469</v>
      </c>
      <c r="Z99" s="90" t="n">
        <v>0.257975797579758</v>
      </c>
      <c r="AA99" s="87" t="n">
        <v>10</v>
      </c>
      <c r="AB99" s="88" t="n">
        <v>0.005500550055005501</v>
      </c>
      <c r="AC99" s="87" t="n">
        <v>232</v>
      </c>
      <c r="AD99" s="88" t="n">
        <v>0.1276127612761276</v>
      </c>
      <c r="AE99" s="87" t="n">
        <v>35</v>
      </c>
      <c r="AF99" s="88" t="n">
        <v>0.1508620689655172</v>
      </c>
      <c r="AG99" s="87" t="n">
        <v>182</v>
      </c>
      <c r="AH99" s="88" t="n">
        <v>0.7844827586206896</v>
      </c>
      <c r="AI99" s="91" t="n">
        <v>190</v>
      </c>
      <c r="AJ99" s="88" t="n">
        <v>0.1045104510451045</v>
      </c>
      <c r="AK99" s="91" t="n">
        <v>9</v>
      </c>
      <c r="AL99" s="88" t="n">
        <v>0.8263157894736842</v>
      </c>
      <c r="AM99" s="91" t="n">
        <v>183</v>
      </c>
      <c r="AN99" s="91" t="n">
        <v>157</v>
      </c>
      <c r="AO99" s="88" t="n">
        <v>0.08635863586358636</v>
      </c>
      <c r="AP99" s="88" t="n">
        <v>0.6767241379310345</v>
      </c>
      <c r="AQ99" s="89" t="n">
        <v>0.9836065573770492</v>
      </c>
      <c r="AR99" s="89" t="n">
        <v>0.6338797814207651</v>
      </c>
      <c r="AS99" s="89" t="n">
        <v>0.5956284153005464</v>
      </c>
      <c r="AT99" s="91" t="n">
        <v>0</v>
      </c>
      <c r="AU99" s="91" t="n">
        <v>0</v>
      </c>
      <c r="AV99" s="91" t="n">
        <v>67</v>
      </c>
      <c r="AW99" s="91" t="n">
        <v>62</v>
      </c>
      <c r="AX99" s="91" t="n">
        <v>58</v>
      </c>
      <c r="AY99" s="91" t="n">
        <v>23</v>
      </c>
      <c r="AZ99" s="88" t="n">
        <v>0.0341034103410341</v>
      </c>
      <c r="BA99" s="88" t="n">
        <v>0.0319031903190319</v>
      </c>
      <c r="BB99" s="88" t="n">
        <v>0.01265126512651265</v>
      </c>
      <c r="BC99" s="88" t="n">
        <v>0.3694267515923567</v>
      </c>
      <c r="BD99" s="91" t="n">
        <v>0</v>
      </c>
      <c r="BE99" s="91" t="n">
        <v>0</v>
      </c>
      <c r="BF99" s="89" t="n">
        <v>0.9333333333333333</v>
      </c>
      <c r="BG99" s="89" t="n">
        <v>1</v>
      </c>
      <c r="BH99" s="89" t="inlineStr">
        <is>
          <t>-</t>
        </is>
      </c>
    </row>
    <row r="100" ht="19.55" customHeight="1">
      <c r="A100" s="92" t="n">
        <v>97</v>
      </c>
      <c r="B100" s="87" t="inlineStr">
        <is>
          <t>全国</t>
        </is>
      </c>
      <c r="C100" s="93" t="n">
        <v>46250</v>
      </c>
      <c r="D100" s="87" t="inlineStr">
        <is>
          <t>N7</t>
        </is>
      </c>
      <c r="E100" s="87" t="n">
        <v>1662</v>
      </c>
      <c r="F100" s="87" t="n">
        <v>1470</v>
      </c>
      <c r="G100" s="88" t="n">
        <v>0.8844765342960289</v>
      </c>
      <c r="H100" s="87" t="n">
        <v>772</v>
      </c>
      <c r="I100" s="89" t="n">
        <v>0.4645006016847172</v>
      </c>
      <c r="J100" s="87" t="n">
        <v>1628</v>
      </c>
      <c r="K100" s="87" t="n">
        <v>1507</v>
      </c>
      <c r="L100" s="88" t="n">
        <v>0.926</v>
      </c>
      <c r="M100" s="87" t="n">
        <v>7135</v>
      </c>
      <c r="N100" s="87" t="n">
        <v>6862</v>
      </c>
      <c r="O100" s="87" t="n">
        <v>6896</v>
      </c>
      <c r="P100" s="88" t="n">
        <v>0.9665031534688157</v>
      </c>
      <c r="Q100" s="87" t="n">
        <v>103</v>
      </c>
      <c r="R100" s="87" t="n">
        <v>0</v>
      </c>
      <c r="S100" s="87" t="n">
        <v>0</v>
      </c>
      <c r="T100" s="88" t="n">
        <v>0</v>
      </c>
      <c r="U100" s="87" t="n">
        <v>0</v>
      </c>
      <c r="V100" s="88" t="n">
        <v>0</v>
      </c>
      <c r="W100" s="87" t="n">
        <v>138</v>
      </c>
      <c r="X100" s="88" t="n">
        <v>0.08303249097472924</v>
      </c>
      <c r="Y100" s="87" t="n">
        <v>255</v>
      </c>
      <c r="Z100" s="90" t="n">
        <v>0.1534296028880866</v>
      </c>
      <c r="AA100" s="87" t="n">
        <v>0</v>
      </c>
      <c r="AB100" s="88" t="n">
        <v>0</v>
      </c>
      <c r="AC100" s="87" t="n">
        <v>254</v>
      </c>
      <c r="AD100" s="88" t="n">
        <v>0.1528279181708785</v>
      </c>
      <c r="AE100" s="87" t="n">
        <v>30</v>
      </c>
      <c r="AF100" s="88" t="n">
        <v>0.1181102362204724</v>
      </c>
      <c r="AG100" s="87" t="n">
        <v>215</v>
      </c>
      <c r="AH100" s="88" t="n">
        <v>0.8464566929133859</v>
      </c>
      <c r="AI100" s="91" t="n">
        <v>232</v>
      </c>
      <c r="AJ100" s="88" t="n">
        <v>0.1395908543922984</v>
      </c>
      <c r="AK100" s="91" t="n">
        <v>12</v>
      </c>
      <c r="AL100" s="88" t="n">
        <v>0.7887931034482759</v>
      </c>
      <c r="AM100" s="91" t="n">
        <v>224</v>
      </c>
      <c r="AN100" s="91" t="n">
        <v>183</v>
      </c>
      <c r="AO100" s="88" t="n">
        <v>0.1101083032490975</v>
      </c>
      <c r="AP100" s="88" t="n">
        <v>0.7204724409448819</v>
      </c>
      <c r="AQ100" s="89" t="n">
        <v>0.9783783783783784</v>
      </c>
      <c r="AR100" s="89" t="n">
        <v>0.6223175965665236</v>
      </c>
      <c r="AS100" s="89" t="n">
        <v>0.6008583690987125</v>
      </c>
      <c r="AT100" s="91" t="n">
        <v>0</v>
      </c>
      <c r="AU100" s="91" t="n">
        <v>0</v>
      </c>
      <c r="AV100" s="91" t="n">
        <v>54</v>
      </c>
      <c r="AW100" s="91" t="n">
        <v>52</v>
      </c>
      <c r="AX100" s="91" t="n">
        <v>51</v>
      </c>
      <c r="AY100" s="91" t="n">
        <v>15</v>
      </c>
      <c r="AZ100" s="88" t="n">
        <v>0.03128760529482551</v>
      </c>
      <c r="BA100" s="88" t="n">
        <v>0.03068592057761733</v>
      </c>
      <c r="BB100" s="88" t="n">
        <v>0.009025270758122744</v>
      </c>
      <c r="BC100" s="88" t="n">
        <v>0.2786885245901639</v>
      </c>
      <c r="BD100" s="91" t="n">
        <v>0</v>
      </c>
      <c r="BE100" s="91" t="n">
        <v>0</v>
      </c>
      <c r="BF100" s="89" t="n">
        <v>1</v>
      </c>
      <c r="BG100" s="89" t="n">
        <v>1</v>
      </c>
      <c r="BH100" s="89" t="inlineStr">
        <is>
          <t>-</t>
        </is>
      </c>
    </row>
    <row r="101" ht="19.55" customHeight="1">
      <c r="A101" s="92" t="n">
        <v>98</v>
      </c>
      <c r="B101" s="87" t="inlineStr">
        <is>
          <t>全国</t>
        </is>
      </c>
      <c r="C101" s="93" t="n">
        <v>46250</v>
      </c>
      <c r="D101" s="87" t="inlineStr">
        <is>
          <t>NX8</t>
        </is>
      </c>
      <c r="E101" s="87" t="n">
        <v>6319</v>
      </c>
      <c r="F101" s="87" t="n">
        <v>5624</v>
      </c>
      <c r="G101" s="88" t="n">
        <v>0.8900142427599304</v>
      </c>
      <c r="H101" s="87" t="n">
        <v>2230</v>
      </c>
      <c r="I101" s="89" t="n">
        <v>0.3529039404969141</v>
      </c>
      <c r="J101" s="87" t="n">
        <v>5838</v>
      </c>
      <c r="K101" s="87" t="n">
        <v>5622</v>
      </c>
      <c r="L101" s="88" t="n">
        <v>0.963</v>
      </c>
      <c r="M101" s="87" t="n">
        <v>27259</v>
      </c>
      <c r="N101" s="87" t="n">
        <v>26717</v>
      </c>
      <c r="O101" s="87" t="n">
        <v>26702</v>
      </c>
      <c r="P101" s="88" t="n">
        <v>0.9795663817454786</v>
      </c>
      <c r="Q101" s="87" t="n">
        <v>159</v>
      </c>
      <c r="R101" s="87" t="n">
        <v>0</v>
      </c>
      <c r="S101" s="87" t="n">
        <v>0</v>
      </c>
      <c r="T101" s="88" t="n">
        <v>0</v>
      </c>
      <c r="U101" s="87" t="n">
        <v>0</v>
      </c>
      <c r="V101" s="88" t="n">
        <v>0</v>
      </c>
      <c r="W101" s="87" t="n">
        <v>515</v>
      </c>
      <c r="X101" s="88" t="n">
        <v>0.08150023737933217</v>
      </c>
      <c r="Y101" s="87" t="n">
        <v>1536</v>
      </c>
      <c r="Z101" s="90" t="n">
        <v>0.2430764361449596</v>
      </c>
      <c r="AA101" s="87" t="n">
        <v>8</v>
      </c>
      <c r="AB101" s="88" t="n">
        <v>0.001266023104921665</v>
      </c>
      <c r="AC101" s="87" t="n">
        <v>963</v>
      </c>
      <c r="AD101" s="88" t="n">
        <v>0.1523975312549454</v>
      </c>
      <c r="AE101" s="87" t="n">
        <v>152</v>
      </c>
      <c r="AF101" s="88" t="n">
        <v>0.1578400830737279</v>
      </c>
      <c r="AG101" s="87" t="n">
        <v>835</v>
      </c>
      <c r="AH101" s="88" t="n">
        <v>0.8670820353063343</v>
      </c>
      <c r="AI101" s="91" t="n">
        <v>904</v>
      </c>
      <c r="AJ101" s="88" t="n">
        <v>0.1430606108561481</v>
      </c>
      <c r="AK101" s="91" t="n">
        <v>46</v>
      </c>
      <c r="AL101" s="88" t="n">
        <v>0.7986725663716814</v>
      </c>
      <c r="AM101" s="91" t="n">
        <v>813</v>
      </c>
      <c r="AN101" s="91" t="n">
        <v>722</v>
      </c>
      <c r="AO101" s="88" t="n">
        <v>0.1142585852191803</v>
      </c>
      <c r="AP101" s="88" t="n">
        <v>0.7497403946002077</v>
      </c>
      <c r="AQ101" s="89" t="n">
        <v>0.98046875</v>
      </c>
      <c r="AR101" s="89" t="n">
        <v>0.5944976076555024</v>
      </c>
      <c r="AS101" s="89" t="n">
        <v>0.5753588516746412</v>
      </c>
      <c r="AT101" s="91" t="n">
        <v>0</v>
      </c>
      <c r="AU101" s="91" t="n">
        <v>0</v>
      </c>
      <c r="AV101" s="91" t="n">
        <v>409</v>
      </c>
      <c r="AW101" s="91" t="n">
        <v>392</v>
      </c>
      <c r="AX101" s="91" t="n">
        <v>370</v>
      </c>
      <c r="AY101" s="91" t="n">
        <v>85</v>
      </c>
      <c r="AZ101" s="88" t="n">
        <v>0.06203513214116158</v>
      </c>
      <c r="BA101" s="88" t="n">
        <v>0.058553568602627</v>
      </c>
      <c r="BB101" s="88" t="n">
        <v>0.01345149548979269</v>
      </c>
      <c r="BC101" s="88" t="n">
        <v>0.5124653739612188</v>
      </c>
      <c r="BD101" s="91" t="n">
        <v>0</v>
      </c>
      <c r="BE101" s="91" t="n">
        <v>0</v>
      </c>
      <c r="BF101" s="89" t="n">
        <v>0.9876543209876543</v>
      </c>
      <c r="BG101" s="89" t="n">
        <v>1</v>
      </c>
      <c r="BH101" s="89" t="inlineStr">
        <is>
          <t>-</t>
        </is>
      </c>
    </row>
    <row r="102" ht="19.55" customHeight="1">
      <c r="A102" s="92" t="n">
        <v>99</v>
      </c>
      <c r="B102" s="87" t="inlineStr">
        <is>
          <t>全国</t>
        </is>
      </c>
      <c r="C102" s="93" t="n">
        <v>46250</v>
      </c>
      <c r="D102" s="87" t="inlineStr">
        <is>
          <t>天籁·鸿蒙座舱</t>
        </is>
      </c>
      <c r="E102" s="87" t="n">
        <v>3723</v>
      </c>
      <c r="F102" s="87" t="n">
        <v>3296</v>
      </c>
      <c r="G102" s="88" t="n">
        <v>0.8853075476766049</v>
      </c>
      <c r="H102" s="87" t="n">
        <v>1878</v>
      </c>
      <c r="I102" s="89" t="n">
        <v>0.5044319097502015</v>
      </c>
      <c r="J102" s="87" t="n">
        <v>3761</v>
      </c>
      <c r="K102" s="87" t="n">
        <v>3673</v>
      </c>
      <c r="L102" s="88" t="n">
        <v>0.977</v>
      </c>
      <c r="M102" s="87" t="n">
        <v>17955</v>
      </c>
      <c r="N102" s="87" t="n">
        <v>17839</v>
      </c>
      <c r="O102" s="87" t="n">
        <v>17670</v>
      </c>
      <c r="P102" s="88" t="n">
        <v>0.9841269841269841</v>
      </c>
      <c r="Q102" s="87" t="n">
        <v>41</v>
      </c>
      <c r="R102" s="87" t="n">
        <v>0</v>
      </c>
      <c r="S102" s="87" t="n">
        <v>0</v>
      </c>
      <c r="T102" s="88" t="n">
        <v>0</v>
      </c>
      <c r="U102" s="87" t="n">
        <v>0</v>
      </c>
      <c r="V102" s="88" t="n">
        <v>0</v>
      </c>
      <c r="W102" s="87" t="n">
        <v>245</v>
      </c>
      <c r="X102" s="88" t="n">
        <v>0.0658071447757185</v>
      </c>
      <c r="Y102" s="87" t="n">
        <v>662</v>
      </c>
      <c r="Z102" s="90" t="n">
        <v>0.1778135911899006</v>
      </c>
      <c r="AA102" s="87" t="n">
        <v>16</v>
      </c>
      <c r="AB102" s="88" t="n">
        <v>0.004297609454740801</v>
      </c>
      <c r="AC102" s="87" t="n">
        <v>446</v>
      </c>
      <c r="AD102" s="88" t="n">
        <v>0.1197958635508998</v>
      </c>
      <c r="AE102" s="87" t="n">
        <v>65</v>
      </c>
      <c r="AF102" s="88" t="n">
        <v>0.1457399103139013</v>
      </c>
      <c r="AG102" s="87" t="n">
        <v>362</v>
      </c>
      <c r="AH102" s="88" t="n">
        <v>0.8116591928251121</v>
      </c>
      <c r="AI102" s="91" t="n">
        <v>381</v>
      </c>
      <c r="AJ102" s="88" t="n">
        <v>0.1023368251410153</v>
      </c>
      <c r="AK102" s="91" t="n">
        <v>29</v>
      </c>
      <c r="AL102" s="88" t="n">
        <v>0.8451443569553806</v>
      </c>
      <c r="AM102" s="91" t="n">
        <v>348</v>
      </c>
      <c r="AN102" s="91" t="n">
        <v>322</v>
      </c>
      <c r="AO102" s="88" t="n">
        <v>0.08648939027665861</v>
      </c>
      <c r="AP102" s="88" t="n">
        <v>0.7219730941704036</v>
      </c>
      <c r="AQ102" s="89" t="n">
        <v>0.9930795847750865</v>
      </c>
      <c r="AR102" s="89" t="n">
        <v>0.5945205479452055</v>
      </c>
      <c r="AS102" s="89" t="n">
        <v>0.536986301369863</v>
      </c>
      <c r="AT102" s="91" t="n">
        <v>0</v>
      </c>
      <c r="AU102" s="91" t="n">
        <v>0</v>
      </c>
      <c r="AV102" s="91" t="n">
        <v>151</v>
      </c>
      <c r="AW102" s="91" t="n">
        <v>146</v>
      </c>
      <c r="AX102" s="91" t="n">
        <v>144</v>
      </c>
      <c r="AY102" s="91" t="n">
        <v>52</v>
      </c>
      <c r="AZ102" s="88" t="n">
        <v>0.0392156862745098</v>
      </c>
      <c r="BA102" s="88" t="n">
        <v>0.03867848509266721</v>
      </c>
      <c r="BB102" s="88" t="n">
        <v>0.0139672307279076</v>
      </c>
      <c r="BC102" s="88" t="n">
        <v>0.4472049689440994</v>
      </c>
      <c r="BD102" s="91" t="n">
        <v>0</v>
      </c>
      <c r="BE102" s="91" t="n">
        <v>0</v>
      </c>
      <c r="BF102" s="89" t="n">
        <v>1</v>
      </c>
      <c r="BG102" s="89" t="n">
        <v>1</v>
      </c>
      <c r="BH102" s="89" t="inlineStr">
        <is>
          <t>-</t>
        </is>
      </c>
    </row>
    <row r="103" ht="19.55" customHeight="1">
      <c r="A103" s="92" t="n">
        <v>100</v>
      </c>
      <c r="B103" s="87" t="inlineStr">
        <is>
          <t>全国</t>
        </is>
      </c>
      <c r="C103" s="93" t="n">
        <v>46250</v>
      </c>
      <c r="D103" s="87" t="inlineStr">
        <is>
          <t>探陆</t>
        </is>
      </c>
      <c r="E103" s="87" t="n">
        <v>0</v>
      </c>
      <c r="F103" s="87" t="n">
        <v>0</v>
      </c>
      <c r="G103" s="88" t="n">
        <v>0</v>
      </c>
      <c r="H103" s="87" t="n">
        <v>0</v>
      </c>
      <c r="I103" s="89" t="n">
        <v>0</v>
      </c>
      <c r="J103" s="87" t="n">
        <v>0</v>
      </c>
      <c r="K103" s="87" t="n">
        <v>0</v>
      </c>
      <c r="L103" s="88" t="n">
        <v>0</v>
      </c>
      <c r="M103" s="87" t="n">
        <v>1</v>
      </c>
      <c r="N103" s="87" t="n">
        <v>1</v>
      </c>
      <c r="O103" s="87" t="n">
        <v>1</v>
      </c>
      <c r="P103" s="88" t="n">
        <v>1</v>
      </c>
      <c r="Q103" s="87" t="n">
        <v>0</v>
      </c>
      <c r="R103" s="87" t="n">
        <v>0</v>
      </c>
      <c r="S103" s="87" t="n">
        <v>0</v>
      </c>
      <c r="T103" s="88" t="n">
        <v>0</v>
      </c>
      <c r="U103" s="87" t="n">
        <v>0</v>
      </c>
      <c r="V103" s="88" t="n">
        <v>0</v>
      </c>
      <c r="W103" s="87" t="n">
        <v>0</v>
      </c>
      <c r="X103" s="88" t="n">
        <v>0</v>
      </c>
      <c r="Y103" s="87" t="n">
        <v>0</v>
      </c>
      <c r="Z103" s="90" t="n">
        <v>0</v>
      </c>
      <c r="AA103" s="87" t="n">
        <v>0</v>
      </c>
      <c r="AB103" s="88" t="n">
        <v>0</v>
      </c>
      <c r="AC103" s="87" t="n">
        <v>0</v>
      </c>
      <c r="AD103" s="88" t="n">
        <v>0</v>
      </c>
      <c r="AE103" s="87" t="n">
        <v>0</v>
      </c>
      <c r="AF103" s="88" t="n">
        <v>0</v>
      </c>
      <c r="AG103" s="87" t="n">
        <v>0</v>
      </c>
      <c r="AH103" s="88" t="n">
        <v>0</v>
      </c>
      <c r="AI103" s="91" t="n">
        <v>0</v>
      </c>
      <c r="AJ103" s="88" t="n">
        <v>0</v>
      </c>
      <c r="AK103" s="91" t="n">
        <v>0</v>
      </c>
      <c r="AL103" s="88" t="n">
        <v>0</v>
      </c>
      <c r="AM103" s="91" t="n">
        <v>0</v>
      </c>
      <c r="AN103" s="91" t="n">
        <v>0</v>
      </c>
      <c r="AO103" s="88" t="n">
        <v>0</v>
      </c>
      <c r="AP103" s="88" t="n">
        <v>0</v>
      </c>
      <c r="AQ103" s="89" t="n"/>
      <c r="AR103" s="89" t="inlineStr">
        <is>
          <t>0.0%</t>
        </is>
      </c>
      <c r="AS103" s="89" t="inlineStr">
        <is>
          <t>0.0%</t>
        </is>
      </c>
      <c r="AT103" s="91" t="n">
        <v>0</v>
      </c>
      <c r="AU103" s="91" t="n">
        <v>0</v>
      </c>
      <c r="AV103" s="91" t="n">
        <v>0</v>
      </c>
      <c r="AW103" s="91" t="n">
        <v>0</v>
      </c>
      <c r="AX103" s="91" t="n">
        <v>0</v>
      </c>
      <c r="AY103" s="91" t="n">
        <v>0</v>
      </c>
      <c r="AZ103" s="88" t="n">
        <v>0</v>
      </c>
      <c r="BA103" s="88" t="n">
        <v>0</v>
      </c>
      <c r="BB103" s="88" t="n">
        <v>0</v>
      </c>
      <c r="BC103" s="88" t="n">
        <v>0</v>
      </c>
      <c r="BD103" s="91" t="n">
        <v>0</v>
      </c>
      <c r="BE103" s="91" t="n">
        <v>0</v>
      </c>
      <c r="BF103" s="89" t="inlineStr">
        <is>
          <t>-</t>
        </is>
      </c>
      <c r="BG103" s="89" t="inlineStr">
        <is>
          <t>-</t>
        </is>
      </c>
      <c r="BH103" s="89" t="inlineStr">
        <is>
          <t>-</t>
        </is>
      </c>
    </row>
    <row r="104" ht="19.55" customHeight="1">
      <c r="A104" s="92" t="n">
        <v>101</v>
      </c>
      <c r="B104" s="87" t="inlineStr">
        <is>
          <t>全国</t>
        </is>
      </c>
      <c r="C104" s="93" t="n">
        <v>46251</v>
      </c>
      <c r="D104" s="87" t="n"/>
      <c r="E104" s="87" t="n">
        <v>26</v>
      </c>
      <c r="F104" s="87" t="n">
        <v>26</v>
      </c>
      <c r="G104" s="88" t="n">
        <v>1</v>
      </c>
      <c r="H104" s="87" t="n">
        <v>26</v>
      </c>
      <c r="I104" s="89" t="n">
        <v>1</v>
      </c>
      <c r="J104" s="87" t="n">
        <v>0</v>
      </c>
      <c r="K104" s="87" t="n">
        <v>0</v>
      </c>
      <c r="L104" s="88" t="n">
        <v>0</v>
      </c>
      <c r="M104" s="87" t="n">
        <v>1</v>
      </c>
      <c r="N104" s="87" t="n">
        <v>0</v>
      </c>
      <c r="O104" s="87" t="n">
        <v>1</v>
      </c>
      <c r="P104" s="88" t="n">
        <v>1</v>
      </c>
      <c r="Q104" s="87" t="n">
        <v>0</v>
      </c>
      <c r="R104" s="87" t="n">
        <v>0</v>
      </c>
      <c r="S104" s="87" t="n">
        <v>0</v>
      </c>
      <c r="T104" s="88" t="n">
        <v>0</v>
      </c>
      <c r="U104" s="87" t="n">
        <v>0</v>
      </c>
      <c r="V104" s="88" t="n">
        <v>0</v>
      </c>
      <c r="W104" s="87" t="n">
        <v>5</v>
      </c>
      <c r="X104" s="88" t="n">
        <v>0.1923076923076923</v>
      </c>
      <c r="Y104" s="87" t="n">
        <v>17</v>
      </c>
      <c r="Z104" s="90" t="n">
        <v>0.6538461538461539</v>
      </c>
      <c r="AA104" s="87" t="n">
        <v>0</v>
      </c>
      <c r="AB104" s="88" t="n">
        <v>0</v>
      </c>
      <c r="AC104" s="87" t="n">
        <v>0</v>
      </c>
      <c r="AD104" s="88" t="n">
        <v>0</v>
      </c>
      <c r="AE104" s="87" t="n">
        <v>0</v>
      </c>
      <c r="AF104" s="88" t="n">
        <v>0</v>
      </c>
      <c r="AG104" s="87" t="n">
        <v>0</v>
      </c>
      <c r="AH104" s="88" t="n">
        <v>0</v>
      </c>
      <c r="AI104" s="91" t="n">
        <v>0</v>
      </c>
      <c r="AJ104" s="88" t="n">
        <v>0</v>
      </c>
      <c r="AK104" s="91" t="n">
        <v>0</v>
      </c>
      <c r="AL104" s="88" t="n">
        <v>0</v>
      </c>
      <c r="AM104" s="91" t="n">
        <v>0</v>
      </c>
      <c r="AN104" s="91" t="n">
        <v>0</v>
      </c>
      <c r="AO104" s="88" t="n">
        <v>0</v>
      </c>
      <c r="AP104" s="88" t="n">
        <v>0</v>
      </c>
      <c r="AQ104" s="89" t="n"/>
      <c r="AR104" s="89" t="n">
        <v>0</v>
      </c>
      <c r="AS104" s="89" t="n">
        <v>0</v>
      </c>
      <c r="AT104" s="91" t="n">
        <v>0</v>
      </c>
      <c r="AU104" s="91" t="n">
        <v>0</v>
      </c>
      <c r="AV104" s="91" t="n">
        <v>0</v>
      </c>
      <c r="AW104" s="91" t="n">
        <v>0</v>
      </c>
      <c r="AX104" s="91" t="n">
        <v>0</v>
      </c>
      <c r="AY104" s="91" t="n">
        <v>0</v>
      </c>
      <c r="AZ104" s="88" t="n">
        <v>0</v>
      </c>
      <c r="BA104" s="88" t="n">
        <v>0</v>
      </c>
      <c r="BB104" s="88" t="n">
        <v>0</v>
      </c>
      <c r="BC104" s="88" t="n">
        <v>0</v>
      </c>
      <c r="BD104" s="91" t="n">
        <v>0</v>
      </c>
      <c r="BE104" s="91" t="n">
        <v>0</v>
      </c>
      <c r="BF104" s="89" t="inlineStr">
        <is>
          <t>-</t>
        </is>
      </c>
      <c r="BG104" s="89" t="inlineStr">
        <is>
          <t>-</t>
        </is>
      </c>
      <c r="BH104" s="89" t="n">
        <v>1</v>
      </c>
    </row>
    <row r="105" ht="19.55" customHeight="1">
      <c r="A105" s="92" t="n">
        <v>102</v>
      </c>
      <c r="B105" s="87" t="inlineStr">
        <is>
          <t>全国</t>
        </is>
      </c>
      <c r="C105" s="93" t="n">
        <v>46251</v>
      </c>
      <c r="D105" s="87" t="inlineStr">
        <is>
          <t>2026款探陆</t>
        </is>
      </c>
      <c r="E105" s="87" t="n">
        <v>390</v>
      </c>
      <c r="F105" s="87" t="n">
        <v>348</v>
      </c>
      <c r="G105" s="88" t="n">
        <v>0.8923076923076924</v>
      </c>
      <c r="H105" s="87" t="n">
        <v>83</v>
      </c>
      <c r="I105" s="89" t="n">
        <v>0.2128205128205128</v>
      </c>
      <c r="J105" s="87" t="n">
        <v>388</v>
      </c>
      <c r="K105" s="87" t="n">
        <v>238</v>
      </c>
      <c r="L105" s="88" t="n">
        <v>0.613</v>
      </c>
      <c r="M105" s="87" t="n">
        <v>1211</v>
      </c>
      <c r="N105" s="87" t="n">
        <v>1124</v>
      </c>
      <c r="O105" s="87" t="n">
        <v>978</v>
      </c>
      <c r="P105" s="88" t="n">
        <v>0.8075970272502064</v>
      </c>
      <c r="Q105" s="87" t="n">
        <v>65</v>
      </c>
      <c r="R105" s="87" t="n">
        <v>0</v>
      </c>
      <c r="S105" s="87" t="n">
        <v>0</v>
      </c>
      <c r="T105" s="88" t="n">
        <v>0</v>
      </c>
      <c r="U105" s="87" t="n">
        <v>0</v>
      </c>
      <c r="V105" s="88" t="n">
        <v>0</v>
      </c>
      <c r="W105" s="87" t="n">
        <v>3</v>
      </c>
      <c r="X105" s="88" t="n">
        <v>0.007692307692307693</v>
      </c>
      <c r="Y105" s="87" t="n">
        <v>68</v>
      </c>
      <c r="Z105" s="90" t="n">
        <v>0.1743589743589744</v>
      </c>
      <c r="AA105" s="87" t="n">
        <v>16</v>
      </c>
      <c r="AB105" s="88" t="n">
        <v>0.04102564102564103</v>
      </c>
      <c r="AC105" s="87" t="n">
        <v>0</v>
      </c>
      <c r="AD105" s="88" t="n">
        <v>0</v>
      </c>
      <c r="AE105" s="87" t="n">
        <v>0</v>
      </c>
      <c r="AF105" s="88" t="n">
        <v>0</v>
      </c>
      <c r="AG105" s="87" t="n">
        <v>0</v>
      </c>
      <c r="AH105" s="88" t="n">
        <v>0</v>
      </c>
      <c r="AI105" s="91" t="n">
        <v>0</v>
      </c>
      <c r="AJ105" s="88" t="n">
        <v>0</v>
      </c>
      <c r="AK105" s="91" t="n">
        <v>0</v>
      </c>
      <c r="AL105" s="88" t="n">
        <v>0</v>
      </c>
      <c r="AM105" s="91" t="n">
        <v>0</v>
      </c>
      <c r="AN105" s="91" t="n">
        <v>0</v>
      </c>
      <c r="AO105" s="88" t="n">
        <v>0</v>
      </c>
      <c r="AP105" s="88" t="n">
        <v>0</v>
      </c>
      <c r="AQ105" s="89" t="n">
        <v>1</v>
      </c>
      <c r="AR105" s="89" t="n">
        <v>1</v>
      </c>
      <c r="AS105" s="89" t="n">
        <v>1</v>
      </c>
      <c r="AT105" s="91" t="n">
        <v>0</v>
      </c>
      <c r="AU105" s="91" t="n">
        <v>0</v>
      </c>
      <c r="AV105" s="91" t="n">
        <v>3</v>
      </c>
      <c r="AW105" s="91" t="n">
        <v>3</v>
      </c>
      <c r="AX105" s="91" t="n">
        <v>3</v>
      </c>
      <c r="AY105" s="91" t="n">
        <v>1</v>
      </c>
      <c r="AZ105" s="88" t="n">
        <v>0.007692307692307693</v>
      </c>
      <c r="BA105" s="88" t="n">
        <v>0.007692307692307693</v>
      </c>
      <c r="BB105" s="88" t="n">
        <v>0.002564102564102564</v>
      </c>
      <c r="BC105" s="88" t="n">
        <v>0</v>
      </c>
      <c r="BD105" s="91" t="n">
        <v>0</v>
      </c>
      <c r="BE105" s="91" t="n">
        <v>0</v>
      </c>
      <c r="BF105" s="89" t="inlineStr">
        <is>
          <t>-</t>
        </is>
      </c>
      <c r="BG105" s="89" t="n">
        <v>1</v>
      </c>
      <c r="BH105" s="89" t="inlineStr">
        <is>
          <t>-</t>
        </is>
      </c>
    </row>
    <row r="106" ht="19.55" customHeight="1">
      <c r="A106" s="92" t="n">
        <v>103</v>
      </c>
      <c r="B106" s="87" t="inlineStr">
        <is>
          <t>全国</t>
        </is>
      </c>
      <c r="C106" s="93" t="n">
        <v>46251</v>
      </c>
      <c r="D106" s="87" t="inlineStr">
        <is>
          <t>N6</t>
        </is>
      </c>
      <c r="E106" s="87" t="n">
        <v>1706</v>
      </c>
      <c r="F106" s="87" t="n">
        <v>1494</v>
      </c>
      <c r="G106" s="88" t="n">
        <v>0.8757327080890973</v>
      </c>
      <c r="H106" s="87" t="n">
        <v>810</v>
      </c>
      <c r="I106" s="89" t="n">
        <v>0.4747948417350528</v>
      </c>
      <c r="J106" s="87" t="n">
        <v>1643</v>
      </c>
      <c r="K106" s="87" t="n">
        <v>1532</v>
      </c>
      <c r="L106" s="88" t="n">
        <v>0.9320000000000001</v>
      </c>
      <c r="M106" s="87" t="n">
        <v>8036</v>
      </c>
      <c r="N106" s="87" t="n">
        <v>7663</v>
      </c>
      <c r="O106" s="87" t="n">
        <v>7819</v>
      </c>
      <c r="P106" s="88" t="n">
        <v>0.9729965156794426</v>
      </c>
      <c r="Q106" s="87" t="n">
        <v>86</v>
      </c>
      <c r="R106" s="87" t="n">
        <v>0</v>
      </c>
      <c r="S106" s="87" t="n">
        <v>0</v>
      </c>
      <c r="T106" s="88" t="n">
        <v>0</v>
      </c>
      <c r="U106" s="87" t="n">
        <v>0</v>
      </c>
      <c r="V106" s="88" t="n">
        <v>0</v>
      </c>
      <c r="W106" s="87" t="n">
        <v>104</v>
      </c>
      <c r="X106" s="88" t="n">
        <v>0.06096131301289566</v>
      </c>
      <c r="Y106" s="87" t="n">
        <v>510</v>
      </c>
      <c r="Z106" s="90" t="n">
        <v>0.2989449003516999</v>
      </c>
      <c r="AA106" s="87" t="n">
        <v>8</v>
      </c>
      <c r="AB106" s="88" t="n">
        <v>0.004689331770222743</v>
      </c>
      <c r="AC106" s="87" t="n">
        <v>178</v>
      </c>
      <c r="AD106" s="88" t="n">
        <v>0.104337631887456</v>
      </c>
      <c r="AE106" s="87" t="n">
        <v>19</v>
      </c>
      <c r="AF106" s="88" t="n">
        <v>0.1067415730337079</v>
      </c>
      <c r="AG106" s="87" t="n">
        <v>128</v>
      </c>
      <c r="AH106" s="88" t="n">
        <v>0.7191011235955056</v>
      </c>
      <c r="AI106" s="91" t="n">
        <v>116</v>
      </c>
      <c r="AJ106" s="88" t="n">
        <v>0.06799531066822978</v>
      </c>
      <c r="AK106" s="91" t="n">
        <v>9</v>
      </c>
      <c r="AL106" s="88" t="n">
        <v>0.8448275862068966</v>
      </c>
      <c r="AM106" s="91" t="n">
        <v>116</v>
      </c>
      <c r="AN106" s="91" t="n">
        <v>98</v>
      </c>
      <c r="AO106" s="88" t="n">
        <v>0.05744431418522861</v>
      </c>
      <c r="AP106" s="88" t="n">
        <v>0.550561797752809</v>
      </c>
      <c r="AQ106" s="89" t="n">
        <v>0.9824561403508771</v>
      </c>
      <c r="AR106" s="89" t="n">
        <v>0.5779816513761468</v>
      </c>
      <c r="AS106" s="89" t="n">
        <v>0.6238532110091743</v>
      </c>
      <c r="AT106" s="91" t="n">
        <v>0</v>
      </c>
      <c r="AU106" s="91" t="n">
        <v>0</v>
      </c>
      <c r="AV106" s="91" t="n">
        <v>41</v>
      </c>
      <c r="AW106" s="91" t="n">
        <v>38</v>
      </c>
      <c r="AX106" s="91" t="n">
        <v>40</v>
      </c>
      <c r="AY106" s="91" t="n">
        <v>30</v>
      </c>
      <c r="AZ106" s="88" t="n">
        <v>0.02227432590855803</v>
      </c>
      <c r="BA106" s="88" t="n">
        <v>0.02344665885111372</v>
      </c>
      <c r="BB106" s="88" t="n">
        <v>0.01758499413833529</v>
      </c>
      <c r="BC106" s="88" t="n">
        <v>0.4081632653061225</v>
      </c>
      <c r="BD106" s="91" t="n">
        <v>0</v>
      </c>
      <c r="BE106" s="91" t="n">
        <v>0</v>
      </c>
      <c r="BF106" s="89" t="n">
        <v>1</v>
      </c>
      <c r="BG106" s="89" t="n">
        <v>1</v>
      </c>
      <c r="BH106" s="89" t="inlineStr">
        <is>
          <t>-</t>
        </is>
      </c>
    </row>
    <row r="107" ht="19.55" customHeight="1">
      <c r="A107" s="92" t="n">
        <v>104</v>
      </c>
      <c r="B107" s="87" t="inlineStr">
        <is>
          <t>全国</t>
        </is>
      </c>
      <c r="C107" s="93" t="n">
        <v>46251</v>
      </c>
      <c r="D107" s="87" t="inlineStr">
        <is>
          <t>N7</t>
        </is>
      </c>
      <c r="E107" s="87" t="n">
        <v>1430</v>
      </c>
      <c r="F107" s="87" t="n">
        <v>1219</v>
      </c>
      <c r="G107" s="88" t="n">
        <v>0.8524475524475524</v>
      </c>
      <c r="H107" s="87" t="n">
        <v>681</v>
      </c>
      <c r="I107" s="89" t="n">
        <v>0.4762237762237762</v>
      </c>
      <c r="J107" s="87" t="n">
        <v>1437</v>
      </c>
      <c r="K107" s="87" t="n">
        <v>1373</v>
      </c>
      <c r="L107" s="88" t="n">
        <v>0.955</v>
      </c>
      <c r="M107" s="87" t="n">
        <v>6688</v>
      </c>
      <c r="N107" s="87" t="n">
        <v>6432</v>
      </c>
      <c r="O107" s="87" t="n">
        <v>6551</v>
      </c>
      <c r="P107" s="88" t="n">
        <v>0.9795155502392344</v>
      </c>
      <c r="Q107" s="87" t="n">
        <v>46</v>
      </c>
      <c r="R107" s="87" t="n">
        <v>0</v>
      </c>
      <c r="S107" s="87" t="n">
        <v>0</v>
      </c>
      <c r="T107" s="88" t="n">
        <v>0</v>
      </c>
      <c r="U107" s="87" t="n">
        <v>0</v>
      </c>
      <c r="V107" s="88" t="n">
        <v>0</v>
      </c>
      <c r="W107" s="87" t="n">
        <v>80</v>
      </c>
      <c r="X107" s="88" t="n">
        <v>0.05594405594405594</v>
      </c>
      <c r="Y107" s="87" t="n">
        <v>331</v>
      </c>
      <c r="Z107" s="90" t="n">
        <v>0.2314685314685315</v>
      </c>
      <c r="AA107" s="87" t="n">
        <v>1</v>
      </c>
      <c r="AB107" s="88" t="n">
        <v>0.0006993006993006993</v>
      </c>
      <c r="AC107" s="87" t="n">
        <v>144</v>
      </c>
      <c r="AD107" s="88" t="n">
        <v>0.1006993006993007</v>
      </c>
      <c r="AE107" s="87" t="n">
        <v>41</v>
      </c>
      <c r="AF107" s="88" t="n">
        <v>0.2847222222222222</v>
      </c>
      <c r="AG107" s="87" t="n">
        <v>118</v>
      </c>
      <c r="AH107" s="88" t="n">
        <v>0.8194444444444444</v>
      </c>
      <c r="AI107" s="91" t="n">
        <v>120</v>
      </c>
      <c r="AJ107" s="88" t="n">
        <v>0.08391608391608392</v>
      </c>
      <c r="AK107" s="91" t="n">
        <v>7</v>
      </c>
      <c r="AL107" s="88" t="n">
        <v>0.8</v>
      </c>
      <c r="AM107" s="91" t="n">
        <v>121</v>
      </c>
      <c r="AN107" s="91" t="n">
        <v>96</v>
      </c>
      <c r="AO107" s="88" t="n">
        <v>0.06713286713286713</v>
      </c>
      <c r="AP107" s="88" t="n">
        <v>0.6666666666666666</v>
      </c>
      <c r="AQ107" s="89" t="n">
        <v>0.9771689497716894</v>
      </c>
      <c r="AR107" s="89" t="n">
        <v>0.5948275862068966</v>
      </c>
      <c r="AS107" s="89" t="n">
        <v>0.5775862068965517</v>
      </c>
      <c r="AT107" s="91" t="n">
        <v>0</v>
      </c>
      <c r="AU107" s="91" t="n">
        <v>0</v>
      </c>
      <c r="AV107" s="91" t="n">
        <v>20</v>
      </c>
      <c r="AW107" s="91" t="n">
        <v>10</v>
      </c>
      <c r="AX107" s="91" t="n">
        <v>12</v>
      </c>
      <c r="AY107" s="91" t="n">
        <v>41</v>
      </c>
      <c r="AZ107" s="88" t="n">
        <v>0.006993006993006993</v>
      </c>
      <c r="BA107" s="88" t="n">
        <v>0.008391608391608392</v>
      </c>
      <c r="BB107" s="88" t="n">
        <v>0.02867132867132867</v>
      </c>
      <c r="BC107" s="88" t="n">
        <v>0.125</v>
      </c>
      <c r="BD107" s="91" t="n">
        <v>0</v>
      </c>
      <c r="BE107" s="91" t="n">
        <v>0</v>
      </c>
      <c r="BF107" s="89" t="n">
        <v>1</v>
      </c>
      <c r="BG107" s="89" t="n">
        <v>1</v>
      </c>
      <c r="BH107" s="89" t="inlineStr">
        <is>
          <t>-</t>
        </is>
      </c>
    </row>
    <row r="108" ht="19.55" customHeight="1">
      <c r="A108" s="92" t="n">
        <v>105</v>
      </c>
      <c r="B108" s="87" t="inlineStr">
        <is>
          <t>全国</t>
        </is>
      </c>
      <c r="C108" s="93" t="n">
        <v>46251</v>
      </c>
      <c r="D108" s="87" t="inlineStr">
        <is>
          <t>NX8</t>
        </is>
      </c>
      <c r="E108" s="87" t="n">
        <v>5518</v>
      </c>
      <c r="F108" s="87" t="n">
        <v>4798</v>
      </c>
      <c r="G108" s="88" t="n">
        <v>0.8695179412830736</v>
      </c>
      <c r="H108" s="87" t="n">
        <v>2085</v>
      </c>
      <c r="I108" s="89" t="n">
        <v>0.3778542950344327</v>
      </c>
      <c r="J108" s="87" t="n">
        <v>6012</v>
      </c>
      <c r="K108" s="87" t="n">
        <v>5723</v>
      </c>
      <c r="L108" s="88" t="n">
        <v>0.952</v>
      </c>
      <c r="M108" s="87" t="n">
        <v>26362</v>
      </c>
      <c r="N108" s="87" t="n">
        <v>24888</v>
      </c>
      <c r="O108" s="87" t="n">
        <v>25703</v>
      </c>
      <c r="P108" s="88" t="n">
        <v>0.9750018966694485</v>
      </c>
      <c r="Q108" s="87" t="n">
        <v>190</v>
      </c>
      <c r="R108" s="87" t="n">
        <v>0</v>
      </c>
      <c r="S108" s="87" t="n">
        <v>0</v>
      </c>
      <c r="T108" s="88" t="n">
        <v>0</v>
      </c>
      <c r="U108" s="87" t="n">
        <v>0</v>
      </c>
      <c r="V108" s="88" t="n">
        <v>0</v>
      </c>
      <c r="W108" s="87" t="n">
        <v>286</v>
      </c>
      <c r="X108" s="88" t="n">
        <v>0.05183037332366799</v>
      </c>
      <c r="Y108" s="87" t="n">
        <v>1652</v>
      </c>
      <c r="Z108" s="90" t="n">
        <v>0.2993838347227256</v>
      </c>
      <c r="AA108" s="87" t="n">
        <v>5</v>
      </c>
      <c r="AB108" s="88" t="n">
        <v>0.0009061254077564335</v>
      </c>
      <c r="AC108" s="87" t="n">
        <v>549</v>
      </c>
      <c r="AD108" s="88" t="n">
        <v>0.09949256977165639</v>
      </c>
      <c r="AE108" s="87" t="n">
        <v>106</v>
      </c>
      <c r="AF108" s="88" t="n">
        <v>0.1930783242258652</v>
      </c>
      <c r="AG108" s="87" t="n">
        <v>471</v>
      </c>
      <c r="AH108" s="88" t="n">
        <v>0.8579234972677595</v>
      </c>
      <c r="AI108" s="91" t="n">
        <v>488</v>
      </c>
      <c r="AJ108" s="88" t="n">
        <v>0.08843783979702791</v>
      </c>
      <c r="AK108" s="91" t="n">
        <v>45</v>
      </c>
      <c r="AL108" s="88" t="n">
        <v>0.8524590163934426</v>
      </c>
      <c r="AM108" s="91" t="n">
        <v>475</v>
      </c>
      <c r="AN108" s="91" t="n">
        <v>416</v>
      </c>
      <c r="AO108" s="88" t="n">
        <v>0.07538963392533526</v>
      </c>
      <c r="AP108" s="88" t="n">
        <v>0.7577413479052824</v>
      </c>
      <c r="AQ108" s="89" t="n">
        <v>0.9712793733681462</v>
      </c>
      <c r="AR108" s="89" t="n">
        <v>0.5895833333333333</v>
      </c>
      <c r="AS108" s="89" t="n">
        <v>0.5979166666666667</v>
      </c>
      <c r="AT108" s="91" t="n">
        <v>0</v>
      </c>
      <c r="AU108" s="91" t="n">
        <v>0</v>
      </c>
      <c r="AV108" s="91" t="n">
        <v>26</v>
      </c>
      <c r="AW108" s="91" t="n">
        <v>5</v>
      </c>
      <c r="AX108" s="91" t="n">
        <v>21</v>
      </c>
      <c r="AY108" s="91" t="n">
        <v>97</v>
      </c>
      <c r="AZ108" s="88" t="n">
        <v>0.0009061254077564335</v>
      </c>
      <c r="BA108" s="88" t="n">
        <v>0.003805726712577021</v>
      </c>
      <c r="BB108" s="88" t="n">
        <v>0.01757883291047481</v>
      </c>
      <c r="BC108" s="88" t="n">
        <v>0.05048076923076923</v>
      </c>
      <c r="BD108" s="91" t="n">
        <v>0</v>
      </c>
      <c r="BE108" s="91" t="n">
        <v>0</v>
      </c>
      <c r="BF108" s="89" t="n">
        <v>0.9791666666666666</v>
      </c>
      <c r="BG108" s="89" t="n">
        <v>1</v>
      </c>
      <c r="BH108" s="89" t="inlineStr">
        <is>
          <t>-</t>
        </is>
      </c>
    </row>
    <row r="109" ht="19.55" customHeight="1">
      <c r="A109" s="92" t="n">
        <v>106</v>
      </c>
      <c r="B109" s="87" t="inlineStr">
        <is>
          <t>全国</t>
        </is>
      </c>
      <c r="C109" s="93" t="n">
        <v>46251</v>
      </c>
      <c r="D109" s="87" t="inlineStr">
        <is>
          <t>天籁·鸿蒙座舱</t>
        </is>
      </c>
      <c r="E109" s="87" t="n">
        <v>3991</v>
      </c>
      <c r="F109" s="87" t="n">
        <v>3470</v>
      </c>
      <c r="G109" s="88" t="n">
        <v>0.8694562766224004</v>
      </c>
      <c r="H109" s="87" t="n">
        <v>1863</v>
      </c>
      <c r="I109" s="89" t="n">
        <v>0.4668003006765222</v>
      </c>
      <c r="J109" s="87" t="n">
        <v>4787</v>
      </c>
      <c r="K109" s="87" t="n">
        <v>4642</v>
      </c>
      <c r="L109" s="88" t="n">
        <v>0.97</v>
      </c>
      <c r="M109" s="87" t="n">
        <v>18855</v>
      </c>
      <c r="N109" s="87" t="n">
        <v>18458</v>
      </c>
      <c r="O109" s="87" t="n">
        <v>18500</v>
      </c>
      <c r="P109" s="88" t="n">
        <v>0.98117210289048</v>
      </c>
      <c r="Q109" s="87" t="n">
        <v>64</v>
      </c>
      <c r="R109" s="87" t="n">
        <v>0</v>
      </c>
      <c r="S109" s="87" t="n">
        <v>0</v>
      </c>
      <c r="T109" s="88" t="n">
        <v>0</v>
      </c>
      <c r="U109" s="87" t="n">
        <v>0</v>
      </c>
      <c r="V109" s="88" t="n">
        <v>0</v>
      </c>
      <c r="W109" s="87" t="n">
        <v>178</v>
      </c>
      <c r="X109" s="88" t="n">
        <v>0.04460035078927587</v>
      </c>
      <c r="Y109" s="87" t="n">
        <v>743</v>
      </c>
      <c r="Z109" s="90" t="n">
        <v>0.1861688799799549</v>
      </c>
      <c r="AA109" s="87" t="n">
        <v>6</v>
      </c>
      <c r="AB109" s="88" t="n">
        <v>0.001503382610874467</v>
      </c>
      <c r="AC109" s="87" t="n">
        <v>217</v>
      </c>
      <c r="AD109" s="88" t="n">
        <v>0.05437233775995991</v>
      </c>
      <c r="AE109" s="87" t="n">
        <v>33</v>
      </c>
      <c r="AF109" s="88" t="n">
        <v>0.152073732718894</v>
      </c>
      <c r="AG109" s="87" t="n">
        <v>169</v>
      </c>
      <c r="AH109" s="88" t="n">
        <v>0.7788018433179723</v>
      </c>
      <c r="AI109" s="91" t="n">
        <v>172</v>
      </c>
      <c r="AJ109" s="88" t="n">
        <v>0.0430969681784014</v>
      </c>
      <c r="AK109" s="91" t="n">
        <v>16</v>
      </c>
      <c r="AL109" s="88" t="n">
        <v>0.8197674418604651</v>
      </c>
      <c r="AM109" s="91" t="n">
        <v>162</v>
      </c>
      <c r="AN109" s="91" t="n">
        <v>141</v>
      </c>
      <c r="AO109" s="88" t="n">
        <v>0.03532949135554999</v>
      </c>
      <c r="AP109" s="88" t="n">
        <v>0.6497695852534562</v>
      </c>
      <c r="AQ109" s="89" t="n">
        <v>0.9825581395348837</v>
      </c>
      <c r="AR109" s="89" t="n">
        <v>0.5344827586206896</v>
      </c>
      <c r="AS109" s="89" t="n">
        <v>0.5</v>
      </c>
      <c r="AT109" s="91" t="n">
        <v>0</v>
      </c>
      <c r="AU109" s="91" t="n">
        <v>0</v>
      </c>
      <c r="AV109" s="91" t="n">
        <v>82</v>
      </c>
      <c r="AW109" s="91" t="n">
        <v>74</v>
      </c>
      <c r="AX109" s="91" t="n">
        <v>77</v>
      </c>
      <c r="AY109" s="91" t="n">
        <v>84</v>
      </c>
      <c r="AZ109" s="88" t="n">
        <v>0.01854171886745177</v>
      </c>
      <c r="BA109" s="88" t="n">
        <v>0.019293410172889</v>
      </c>
      <c r="BB109" s="88" t="n">
        <v>0.02104735655224255</v>
      </c>
      <c r="BC109" s="88" t="n">
        <v>0.5460992907801419</v>
      </c>
      <c r="BD109" s="91" t="n">
        <v>0</v>
      </c>
      <c r="BE109" s="91" t="n">
        <v>0</v>
      </c>
      <c r="BF109" s="89" t="n">
        <v>1</v>
      </c>
      <c r="BG109" s="89" t="n">
        <v>1</v>
      </c>
      <c r="BH109" s="89" t="inlineStr">
        <is>
          <t>-</t>
        </is>
      </c>
    </row>
    <row r="110" ht="19.55" customHeight="1">
      <c r="A110" s="92" t="n">
        <v>107</v>
      </c>
      <c r="B110" s="87" t="inlineStr">
        <is>
          <t>全国</t>
        </is>
      </c>
      <c r="C110" s="93" t="n">
        <v>46252</v>
      </c>
      <c r="D110" s="87" t="n"/>
      <c r="E110" s="87" t="n">
        <v>41</v>
      </c>
      <c r="F110" s="87" t="n">
        <v>39</v>
      </c>
      <c r="G110" s="88" t="n">
        <v>0.9512195121951219</v>
      </c>
      <c r="H110" s="87" t="n">
        <v>41</v>
      </c>
      <c r="I110" s="89" t="n">
        <v>1</v>
      </c>
      <c r="J110" s="87" t="n">
        <v>0</v>
      </c>
      <c r="K110" s="87" t="n">
        <v>0</v>
      </c>
      <c r="L110" s="88" t="n">
        <v>0</v>
      </c>
      <c r="M110" s="87" t="n">
        <v>2</v>
      </c>
      <c r="N110" s="87" t="n">
        <v>1</v>
      </c>
      <c r="O110" s="87" t="n">
        <v>1</v>
      </c>
      <c r="P110" s="88" t="n">
        <v>0.5</v>
      </c>
      <c r="Q110" s="87" t="n">
        <v>1</v>
      </c>
      <c r="R110" s="87" t="n">
        <v>0</v>
      </c>
      <c r="S110" s="87" t="n">
        <v>0</v>
      </c>
      <c r="T110" s="88" t="n">
        <v>0</v>
      </c>
      <c r="U110" s="87" t="n">
        <v>0</v>
      </c>
      <c r="V110" s="88" t="n">
        <v>0</v>
      </c>
      <c r="W110" s="87" t="n">
        <v>3</v>
      </c>
      <c r="X110" s="88" t="n">
        <v>0.07317073170731707</v>
      </c>
      <c r="Y110" s="87" t="n">
        <v>5</v>
      </c>
      <c r="Z110" s="90" t="n">
        <v>0.1219512195121951</v>
      </c>
      <c r="AA110" s="87" t="n">
        <v>0</v>
      </c>
      <c r="AB110" s="88" t="n">
        <v>0</v>
      </c>
      <c r="AC110" s="87" t="n">
        <v>0</v>
      </c>
      <c r="AD110" s="88" t="n">
        <v>0</v>
      </c>
      <c r="AE110" s="87" t="n">
        <v>0</v>
      </c>
      <c r="AF110" s="88" t="n">
        <v>0</v>
      </c>
      <c r="AG110" s="87" t="n">
        <v>0</v>
      </c>
      <c r="AH110" s="88" t="n">
        <v>0</v>
      </c>
      <c r="AI110" s="91" t="n">
        <v>0</v>
      </c>
      <c r="AJ110" s="88" t="n">
        <v>0</v>
      </c>
      <c r="AK110" s="91" t="n">
        <v>0</v>
      </c>
      <c r="AL110" s="88" t="n">
        <v>0</v>
      </c>
      <c r="AM110" s="91" t="n">
        <v>0</v>
      </c>
      <c r="AN110" s="91" t="n">
        <v>0</v>
      </c>
      <c r="AO110" s="88" t="n">
        <v>0</v>
      </c>
      <c r="AP110" s="88" t="n">
        <v>0</v>
      </c>
      <c r="AQ110" s="89" t="n">
        <v>0</v>
      </c>
      <c r="AR110" s="89" t="inlineStr">
        <is>
          <t>0.0%</t>
        </is>
      </c>
      <c r="AS110" s="89" t="inlineStr">
        <is>
          <t>0.0%</t>
        </is>
      </c>
      <c r="AT110" s="91" t="n">
        <v>0</v>
      </c>
      <c r="AU110" s="91" t="n">
        <v>0</v>
      </c>
      <c r="AV110" s="91" t="n">
        <v>0</v>
      </c>
      <c r="AW110" s="91" t="n">
        <v>0</v>
      </c>
      <c r="AX110" s="91" t="n">
        <v>0</v>
      </c>
      <c r="AY110" s="91" t="n">
        <v>0</v>
      </c>
      <c r="AZ110" s="88" t="n">
        <v>0</v>
      </c>
      <c r="BA110" s="88" t="n">
        <v>0</v>
      </c>
      <c r="BB110" s="88" t="n">
        <v>0</v>
      </c>
      <c r="BC110" s="88" t="n">
        <v>0</v>
      </c>
      <c r="BD110" s="91" t="n">
        <v>0</v>
      </c>
      <c r="BE110" s="91" t="n">
        <v>0</v>
      </c>
      <c r="BF110" s="89" t="inlineStr">
        <is>
          <t>-</t>
        </is>
      </c>
      <c r="BG110" s="89" t="inlineStr">
        <is>
          <t>-</t>
        </is>
      </c>
      <c r="BH110" s="89" t="n">
        <v>0.9722222222222222</v>
      </c>
    </row>
    <row r="111" ht="19.55" customHeight="1">
      <c r="A111" s="92" t="n">
        <v>108</v>
      </c>
      <c r="B111" s="87" t="inlineStr">
        <is>
          <t>全国</t>
        </is>
      </c>
      <c r="C111" s="93" t="n">
        <v>46252</v>
      </c>
      <c r="D111" s="87" t="inlineStr">
        <is>
          <t>2026款探陆</t>
        </is>
      </c>
      <c r="E111" s="87" t="n">
        <v>363</v>
      </c>
      <c r="F111" s="87" t="n">
        <v>324</v>
      </c>
      <c r="G111" s="88" t="n">
        <v>0.8925619834710744</v>
      </c>
      <c r="H111" s="87" t="n">
        <v>76</v>
      </c>
      <c r="I111" s="89" t="n">
        <v>0.209366391184573</v>
      </c>
      <c r="J111" s="87" t="n">
        <v>282</v>
      </c>
      <c r="K111" s="87" t="n">
        <v>197</v>
      </c>
      <c r="L111" s="88" t="n">
        <v>0.699</v>
      </c>
      <c r="M111" s="87" t="n">
        <v>1059</v>
      </c>
      <c r="N111" s="87" t="n">
        <v>1008</v>
      </c>
      <c r="O111" s="87" t="n">
        <v>905</v>
      </c>
      <c r="P111" s="88" t="n">
        <v>0.8545797922568461</v>
      </c>
      <c r="Q111" s="87" t="n">
        <v>41</v>
      </c>
      <c r="R111" s="87" t="n">
        <v>0</v>
      </c>
      <c r="S111" s="87" t="n">
        <v>0</v>
      </c>
      <c r="T111" s="88" t="n">
        <v>0</v>
      </c>
      <c r="U111" s="87" t="n">
        <v>0</v>
      </c>
      <c r="V111" s="88" t="n">
        <v>0</v>
      </c>
      <c r="W111" s="87" t="n">
        <v>8</v>
      </c>
      <c r="X111" s="88" t="n">
        <v>0.02203856749311295</v>
      </c>
      <c r="Y111" s="87" t="n">
        <v>148</v>
      </c>
      <c r="Z111" s="90" t="n">
        <v>0.4077134986225895</v>
      </c>
      <c r="AA111" s="87" t="n">
        <v>25</v>
      </c>
      <c r="AB111" s="88" t="n">
        <v>0.06887052341597796</v>
      </c>
      <c r="AC111" s="87" t="n">
        <v>11</v>
      </c>
      <c r="AD111" s="88" t="n">
        <v>0.0303030303030303</v>
      </c>
      <c r="AE111" s="87" t="n">
        <v>1</v>
      </c>
      <c r="AF111" s="88" t="n">
        <v>0.09090909090909091</v>
      </c>
      <c r="AG111" s="87" t="n">
        <v>0</v>
      </c>
      <c r="AH111" s="88" t="n">
        <v>0</v>
      </c>
      <c r="AI111" s="91" t="n">
        <v>0</v>
      </c>
      <c r="AJ111" s="88" t="n">
        <v>0</v>
      </c>
      <c r="AK111" s="91" t="n">
        <v>0</v>
      </c>
      <c r="AL111" s="88" t="n">
        <v>0</v>
      </c>
      <c r="AM111" s="91" t="n">
        <v>0</v>
      </c>
      <c r="AN111" s="91" t="n">
        <v>0</v>
      </c>
      <c r="AO111" s="88" t="n">
        <v>0</v>
      </c>
      <c r="AP111" s="88" t="n">
        <v>0</v>
      </c>
      <c r="AQ111" s="89" t="n">
        <v>1</v>
      </c>
      <c r="AR111" s="89" t="n">
        <v>0</v>
      </c>
      <c r="AS111" s="89" t="n">
        <v>0</v>
      </c>
      <c r="AT111" s="91" t="n">
        <v>0</v>
      </c>
      <c r="AU111" s="91" t="n">
        <v>0</v>
      </c>
      <c r="AV111" s="91" t="n">
        <v>4</v>
      </c>
      <c r="AW111" s="91" t="n">
        <v>4</v>
      </c>
      <c r="AX111" s="91" t="n">
        <v>4</v>
      </c>
      <c r="AY111" s="91" t="n">
        <v>2</v>
      </c>
      <c r="AZ111" s="88" t="n">
        <v>0.01101928374655647</v>
      </c>
      <c r="BA111" s="88" t="n">
        <v>0.01101928374655647</v>
      </c>
      <c r="BB111" s="88" t="n">
        <v>0.005509641873278237</v>
      </c>
      <c r="BC111" s="88" t="n">
        <v>0</v>
      </c>
      <c r="BD111" s="91" t="n">
        <v>0</v>
      </c>
      <c r="BE111" s="91" t="n">
        <v>0</v>
      </c>
      <c r="BF111" s="89" t="inlineStr">
        <is>
          <t>-</t>
        </is>
      </c>
      <c r="BG111" s="89" t="inlineStr">
        <is>
          <t>-</t>
        </is>
      </c>
      <c r="BH111" s="89" t="inlineStr">
        <is>
          <t>-</t>
        </is>
      </c>
    </row>
    <row r="112" ht="19.55" customHeight="1">
      <c r="A112" s="92" t="n">
        <v>109</v>
      </c>
      <c r="B112" s="87" t="inlineStr">
        <is>
          <t>全国</t>
        </is>
      </c>
      <c r="C112" s="93" t="n">
        <v>46252</v>
      </c>
      <c r="D112" s="87" t="inlineStr">
        <is>
          <t>N6</t>
        </is>
      </c>
      <c r="E112" s="87" t="n">
        <v>1691</v>
      </c>
      <c r="F112" s="87" t="n">
        <v>1444</v>
      </c>
      <c r="G112" s="88" t="n">
        <v>0.8539325842696629</v>
      </c>
      <c r="H112" s="87" t="n">
        <v>881</v>
      </c>
      <c r="I112" s="89" t="n">
        <v>0.5209934949733885</v>
      </c>
      <c r="J112" s="87" t="n">
        <v>1932</v>
      </c>
      <c r="K112" s="87" t="n">
        <v>1857</v>
      </c>
      <c r="L112" s="88" t="n">
        <v>0.961</v>
      </c>
      <c r="M112" s="87" t="n">
        <v>8080</v>
      </c>
      <c r="N112" s="87" t="n">
        <v>8061</v>
      </c>
      <c r="O112" s="87" t="n">
        <v>7928</v>
      </c>
      <c r="P112" s="88" t="n">
        <v>0.9811881188118812</v>
      </c>
      <c r="Q112" s="87" t="n">
        <v>43</v>
      </c>
      <c r="R112" s="87" t="n">
        <v>0</v>
      </c>
      <c r="S112" s="87" t="n">
        <v>0</v>
      </c>
      <c r="T112" s="88" t="n">
        <v>0</v>
      </c>
      <c r="U112" s="87" t="n">
        <v>0</v>
      </c>
      <c r="V112" s="88" t="n">
        <v>0</v>
      </c>
      <c r="W112" s="87" t="n">
        <v>166</v>
      </c>
      <c r="X112" s="88" t="n">
        <v>0.09816676522767594</v>
      </c>
      <c r="Y112" s="87" t="n">
        <v>387</v>
      </c>
      <c r="Z112" s="90" t="n">
        <v>0.2288586635127144</v>
      </c>
      <c r="AA112" s="87" t="n">
        <v>4</v>
      </c>
      <c r="AB112" s="88" t="n">
        <v>0.002365464222353637</v>
      </c>
      <c r="AC112" s="87" t="n">
        <v>145</v>
      </c>
      <c r="AD112" s="88" t="n">
        <v>0.08574807806031934</v>
      </c>
      <c r="AE112" s="87" t="n">
        <v>28</v>
      </c>
      <c r="AF112" s="88" t="n">
        <v>0.1931034482758621</v>
      </c>
      <c r="AG112" s="87" t="n">
        <v>111</v>
      </c>
      <c r="AH112" s="88" t="n">
        <v>0.7655172413793103</v>
      </c>
      <c r="AI112" s="91" t="n">
        <v>118</v>
      </c>
      <c r="AJ112" s="88" t="n">
        <v>0.06978119455943228</v>
      </c>
      <c r="AK112" s="91" t="n">
        <v>8</v>
      </c>
      <c r="AL112" s="88" t="n">
        <v>0.8389830508474576</v>
      </c>
      <c r="AM112" s="91" t="n">
        <v>117</v>
      </c>
      <c r="AN112" s="91" t="n">
        <v>99</v>
      </c>
      <c r="AO112" s="88" t="n">
        <v>0.05854523950325251</v>
      </c>
      <c r="AP112" s="88" t="n">
        <v>0.6827586206896552</v>
      </c>
      <c r="AQ112" s="89" t="n">
        <v>0.9603960396039604</v>
      </c>
      <c r="AR112" s="89" t="n">
        <v>0.5344827586206896</v>
      </c>
      <c r="AS112" s="89" t="n">
        <v>0.5172413793103449</v>
      </c>
      <c r="AT112" s="91" t="n">
        <v>0</v>
      </c>
      <c r="AU112" s="91" t="n">
        <v>0</v>
      </c>
      <c r="AV112" s="91" t="n">
        <v>36</v>
      </c>
      <c r="AW112" s="91" t="n">
        <v>35</v>
      </c>
      <c r="AX112" s="91" t="n">
        <v>38</v>
      </c>
      <c r="AY112" s="91" t="n">
        <v>32</v>
      </c>
      <c r="AZ112" s="88" t="n">
        <v>0.02069781194559432</v>
      </c>
      <c r="BA112" s="88" t="n">
        <v>0.02247191011235955</v>
      </c>
      <c r="BB112" s="88" t="n">
        <v>0.0189237137788291</v>
      </c>
      <c r="BC112" s="88" t="n">
        <v>0.3838383838383838</v>
      </c>
      <c r="BD112" s="91" t="n">
        <v>0</v>
      </c>
      <c r="BE112" s="91" t="n">
        <v>0</v>
      </c>
      <c r="BF112" s="89" t="n">
        <v>1</v>
      </c>
      <c r="BG112" s="89" t="n">
        <v>1</v>
      </c>
      <c r="BH112" s="89" t="inlineStr">
        <is>
          <t>-</t>
        </is>
      </c>
    </row>
    <row r="113" ht="19.55" customHeight="1">
      <c r="A113" s="92" t="n">
        <v>110</v>
      </c>
      <c r="B113" s="87" t="inlineStr">
        <is>
          <t>全国</t>
        </is>
      </c>
      <c r="C113" s="93" t="n">
        <v>46252</v>
      </c>
      <c r="D113" s="87" t="inlineStr">
        <is>
          <t>N7</t>
        </is>
      </c>
      <c r="E113" s="87" t="n">
        <v>1489</v>
      </c>
      <c r="F113" s="87" t="n">
        <v>1295</v>
      </c>
      <c r="G113" s="88" t="n">
        <v>0.8697112155809268</v>
      </c>
      <c r="H113" s="87" t="n">
        <v>740</v>
      </c>
      <c r="I113" s="89" t="n">
        <v>0.4969778374748153</v>
      </c>
      <c r="J113" s="87" t="n">
        <v>1412</v>
      </c>
      <c r="K113" s="87" t="n">
        <v>1368</v>
      </c>
      <c r="L113" s="88" t="n">
        <v>0.969</v>
      </c>
      <c r="M113" s="87" t="n">
        <v>6319</v>
      </c>
      <c r="N113" s="87" t="n">
        <v>6498</v>
      </c>
      <c r="O113" s="87" t="n">
        <v>6207</v>
      </c>
      <c r="P113" s="88" t="n">
        <v>0.9822756765310967</v>
      </c>
      <c r="Q113" s="87" t="n">
        <v>36</v>
      </c>
      <c r="R113" s="87" t="n">
        <v>0</v>
      </c>
      <c r="S113" s="87" t="n">
        <v>0</v>
      </c>
      <c r="T113" s="88" t="n">
        <v>0</v>
      </c>
      <c r="U113" s="87" t="n">
        <v>0</v>
      </c>
      <c r="V113" s="88" t="n">
        <v>0</v>
      </c>
      <c r="W113" s="87" t="n">
        <v>152</v>
      </c>
      <c r="X113" s="88" t="n">
        <v>0.1020819341840161</v>
      </c>
      <c r="Y113" s="87" t="n">
        <v>224</v>
      </c>
      <c r="Z113" s="90" t="n">
        <v>0.1504365345869711</v>
      </c>
      <c r="AA113" s="87" t="n">
        <v>2</v>
      </c>
      <c r="AB113" s="88" t="n">
        <v>0.001343183344526528</v>
      </c>
      <c r="AC113" s="87" t="n">
        <v>137</v>
      </c>
      <c r="AD113" s="88" t="n">
        <v>0.09200805910006717</v>
      </c>
      <c r="AE113" s="87" t="n">
        <v>30</v>
      </c>
      <c r="AF113" s="88" t="n">
        <v>0.218978102189781</v>
      </c>
      <c r="AG113" s="87" t="n">
        <v>105</v>
      </c>
      <c r="AH113" s="88" t="n">
        <v>0.7664233576642335</v>
      </c>
      <c r="AI113" s="91" t="n">
        <v>103</v>
      </c>
      <c r="AJ113" s="88" t="n">
        <v>0.06917394224311618</v>
      </c>
      <c r="AK113" s="91" t="n">
        <v>6</v>
      </c>
      <c r="AL113" s="88" t="n">
        <v>0.9029126213592233</v>
      </c>
      <c r="AM113" s="91" t="n">
        <v>101</v>
      </c>
      <c r="AN113" s="91" t="n">
        <v>93</v>
      </c>
      <c r="AO113" s="88" t="n">
        <v>0.06245802552048355</v>
      </c>
      <c r="AP113" s="88" t="n">
        <v>0.6788321167883211</v>
      </c>
      <c r="AQ113" s="89" t="n">
        <v>0.9652173913043478</v>
      </c>
      <c r="AR113" s="89" t="n">
        <v>0.53125</v>
      </c>
      <c r="AS113" s="89" t="n">
        <v>0.5104166666666666</v>
      </c>
      <c r="AT113" s="91" t="n">
        <v>0</v>
      </c>
      <c r="AU113" s="91" t="n">
        <v>0</v>
      </c>
      <c r="AV113" s="91" t="n">
        <v>25</v>
      </c>
      <c r="AW113" s="91" t="n">
        <v>21</v>
      </c>
      <c r="AX113" s="91" t="n">
        <v>23</v>
      </c>
      <c r="AY113" s="91" t="n">
        <v>38</v>
      </c>
      <c r="AZ113" s="88" t="n">
        <v>0.01410342511752854</v>
      </c>
      <c r="BA113" s="88" t="n">
        <v>0.01544660846205507</v>
      </c>
      <c r="BB113" s="88" t="n">
        <v>0.02552048354600403</v>
      </c>
      <c r="BC113" s="88" t="n">
        <v>0.2473118279569892</v>
      </c>
      <c r="BD113" s="91" t="n">
        <v>0</v>
      </c>
      <c r="BE113" s="91" t="n">
        <v>0</v>
      </c>
      <c r="BF113" s="89" t="n">
        <v>1</v>
      </c>
      <c r="BG113" s="89" t="n">
        <v>1</v>
      </c>
      <c r="BH113" s="89" t="inlineStr">
        <is>
          <t>-</t>
        </is>
      </c>
    </row>
    <row r="114" ht="19.55" customHeight="1">
      <c r="A114" s="92" t="n">
        <v>111</v>
      </c>
      <c r="B114" s="87" t="inlineStr">
        <is>
          <t>全国</t>
        </is>
      </c>
      <c r="C114" s="93" t="n">
        <v>46252</v>
      </c>
      <c r="D114" s="87" t="inlineStr">
        <is>
          <t>NX8</t>
        </is>
      </c>
      <c r="E114" s="87" t="n">
        <v>5524</v>
      </c>
      <c r="F114" s="87" t="n">
        <v>4789</v>
      </c>
      <c r="G114" s="88" t="n">
        <v>0.8669442433019551</v>
      </c>
      <c r="H114" s="87" t="n">
        <v>1866</v>
      </c>
      <c r="I114" s="89" t="n">
        <v>0.3377986965966691</v>
      </c>
      <c r="J114" s="87" t="n">
        <v>4181</v>
      </c>
      <c r="K114" s="87" t="n">
        <v>4055</v>
      </c>
      <c r="L114" s="88" t="n">
        <v>0.97</v>
      </c>
      <c r="M114" s="87" t="n">
        <v>22834</v>
      </c>
      <c r="N114" s="87" t="n">
        <v>22566</v>
      </c>
      <c r="O114" s="87" t="n">
        <v>22406</v>
      </c>
      <c r="P114" s="88" t="n">
        <v>0.9812560217219936</v>
      </c>
      <c r="Q114" s="87" t="n">
        <v>98</v>
      </c>
      <c r="R114" s="87" t="n">
        <v>0</v>
      </c>
      <c r="S114" s="87" t="n">
        <v>0</v>
      </c>
      <c r="T114" s="88" t="n">
        <v>0</v>
      </c>
      <c r="U114" s="87" t="n">
        <v>0</v>
      </c>
      <c r="V114" s="88" t="n">
        <v>0</v>
      </c>
      <c r="W114" s="87" t="n">
        <v>475</v>
      </c>
      <c r="X114" s="88" t="n">
        <v>0.08598841419261405</v>
      </c>
      <c r="Y114" s="87" t="n">
        <v>2760</v>
      </c>
      <c r="Z114" s="90" t="n">
        <v>0.499637943519189</v>
      </c>
      <c r="AA114" s="87" t="n">
        <v>4</v>
      </c>
      <c r="AB114" s="88" t="n">
        <v>0.000724112961622013</v>
      </c>
      <c r="AC114" s="87" t="n">
        <v>543</v>
      </c>
      <c r="AD114" s="88" t="n">
        <v>0.09829833454018827</v>
      </c>
      <c r="AE114" s="87" t="n">
        <v>84</v>
      </c>
      <c r="AF114" s="88" t="n">
        <v>0.1546961325966851</v>
      </c>
      <c r="AG114" s="87" t="n">
        <v>453</v>
      </c>
      <c r="AH114" s="88" t="n">
        <v>0.8342541436464088</v>
      </c>
      <c r="AI114" s="91" t="n">
        <v>475</v>
      </c>
      <c r="AJ114" s="88" t="n">
        <v>0.08598841419261405</v>
      </c>
      <c r="AK114" s="91" t="n">
        <v>49</v>
      </c>
      <c r="AL114" s="88" t="n">
        <v>0.8547368421052631</v>
      </c>
      <c r="AM114" s="91" t="n">
        <v>460</v>
      </c>
      <c r="AN114" s="91" t="n">
        <v>406</v>
      </c>
      <c r="AO114" s="88" t="n">
        <v>0.07349746560463433</v>
      </c>
      <c r="AP114" s="88" t="n">
        <v>0.7476979742173112</v>
      </c>
      <c r="AQ114" s="89" t="n">
        <v>0.9787234042553191</v>
      </c>
      <c r="AR114" s="89" t="n">
        <v>0.6017316017316018</v>
      </c>
      <c r="AS114" s="89" t="n">
        <v>0.5844155844155844</v>
      </c>
      <c r="AT114" s="91" t="n">
        <v>0</v>
      </c>
      <c r="AU114" s="91" t="n">
        <v>0</v>
      </c>
      <c r="AV114" s="91" t="n">
        <v>55</v>
      </c>
      <c r="AW114" s="91" t="n">
        <v>42</v>
      </c>
      <c r="AX114" s="91" t="n">
        <v>50</v>
      </c>
      <c r="AY114" s="91" t="n">
        <v>112</v>
      </c>
      <c r="AZ114" s="88" t="n">
        <v>0.007603186097031137</v>
      </c>
      <c r="BA114" s="88" t="n">
        <v>0.009051412020275163</v>
      </c>
      <c r="BB114" s="88" t="n">
        <v>0.02027516292541636</v>
      </c>
      <c r="BC114" s="88" t="n">
        <v>0.1231527093596059</v>
      </c>
      <c r="BD114" s="91" t="n">
        <v>0</v>
      </c>
      <c r="BE114" s="91" t="n">
        <v>0</v>
      </c>
      <c r="BF114" s="89" t="n">
        <v>0.9824561403508771</v>
      </c>
      <c r="BG114" s="89" t="n">
        <v>1</v>
      </c>
      <c r="BH114" s="89" t="inlineStr">
        <is>
          <t>-</t>
        </is>
      </c>
    </row>
    <row r="115" ht="19.55" customHeight="1">
      <c r="A115" s="92" t="n">
        <v>112</v>
      </c>
      <c r="B115" s="87" t="inlineStr">
        <is>
          <t>全国</t>
        </is>
      </c>
      <c r="C115" s="93" t="n">
        <v>46252</v>
      </c>
      <c r="D115" s="87" t="inlineStr">
        <is>
          <t>天籁·鸿蒙座舱</t>
        </is>
      </c>
      <c r="E115" s="87" t="n">
        <v>3476</v>
      </c>
      <c r="F115" s="87" t="n">
        <v>3125</v>
      </c>
      <c r="G115" s="88" t="n">
        <v>0.8990218642117376</v>
      </c>
      <c r="H115" s="87" t="n">
        <v>1760</v>
      </c>
      <c r="I115" s="89" t="n">
        <v>0.5063291139240507</v>
      </c>
      <c r="J115" s="87" t="n">
        <v>3426</v>
      </c>
      <c r="K115" s="87" t="n">
        <v>3360</v>
      </c>
      <c r="L115" s="88" t="n">
        <v>0.981</v>
      </c>
      <c r="M115" s="87" t="n">
        <v>16342</v>
      </c>
      <c r="N115" s="87" t="n">
        <v>16562</v>
      </c>
      <c r="O115" s="87" t="n">
        <v>16130</v>
      </c>
      <c r="P115" s="88" t="n">
        <v>0.98702729164117</v>
      </c>
      <c r="Q115" s="87" t="n">
        <v>19</v>
      </c>
      <c r="R115" s="87" t="n">
        <v>0</v>
      </c>
      <c r="S115" s="87" t="n">
        <v>0</v>
      </c>
      <c r="T115" s="88" t="n">
        <v>0</v>
      </c>
      <c r="U115" s="87" t="n">
        <v>0</v>
      </c>
      <c r="V115" s="88" t="n">
        <v>0</v>
      </c>
      <c r="W115" s="87" t="n">
        <v>257</v>
      </c>
      <c r="X115" s="88" t="n">
        <v>0.0739355581127733</v>
      </c>
      <c r="Y115" s="87" t="n">
        <v>701</v>
      </c>
      <c r="Z115" s="90" t="n">
        <v>0.201668584579977</v>
      </c>
      <c r="AA115" s="87" t="n">
        <v>15</v>
      </c>
      <c r="AB115" s="88" t="n">
        <v>0.00431530494821634</v>
      </c>
      <c r="AC115" s="87" t="n">
        <v>212</v>
      </c>
      <c r="AD115" s="88" t="n">
        <v>0.06098964326812428</v>
      </c>
      <c r="AE115" s="87" t="n">
        <v>36</v>
      </c>
      <c r="AF115" s="88" t="n">
        <v>0.169811320754717</v>
      </c>
      <c r="AG115" s="87" t="n">
        <v>167</v>
      </c>
      <c r="AH115" s="88" t="n">
        <v>0.7877358490566038</v>
      </c>
      <c r="AI115" s="91" t="n">
        <v>167</v>
      </c>
      <c r="AJ115" s="88" t="n">
        <v>0.04804372842347526</v>
      </c>
      <c r="AK115" s="91" t="n">
        <v>26</v>
      </c>
      <c r="AL115" s="88" t="n">
        <v>0.8802395209580839</v>
      </c>
      <c r="AM115" s="91" t="n">
        <v>163</v>
      </c>
      <c r="AN115" s="91" t="n">
        <v>147</v>
      </c>
      <c r="AO115" s="88" t="n">
        <v>0.04228998849252014</v>
      </c>
      <c r="AP115" s="88" t="n">
        <v>0.6933962264150944</v>
      </c>
      <c r="AQ115" s="89" t="n">
        <v>0.9810126582278481</v>
      </c>
      <c r="AR115" s="89" t="n">
        <v>0.5454545454545454</v>
      </c>
      <c r="AS115" s="89" t="n">
        <v>0.487012987012987</v>
      </c>
      <c r="AT115" s="91" t="n">
        <v>0</v>
      </c>
      <c r="AU115" s="91" t="n">
        <v>0</v>
      </c>
      <c r="AV115" s="91" t="n">
        <v>67</v>
      </c>
      <c r="AW115" s="91" t="n">
        <v>59</v>
      </c>
      <c r="AX115" s="91" t="n">
        <v>58</v>
      </c>
      <c r="AY115" s="91" t="n">
        <v>98</v>
      </c>
      <c r="AZ115" s="88" t="n">
        <v>0.01697353279631761</v>
      </c>
      <c r="BA115" s="88" t="n">
        <v>0.01668584579976985</v>
      </c>
      <c r="BB115" s="88" t="n">
        <v>0.02819332566168009</v>
      </c>
      <c r="BC115" s="88" t="n">
        <v>0.3945578231292517</v>
      </c>
      <c r="BD115" s="91" t="n">
        <v>0</v>
      </c>
      <c r="BE115" s="91" t="n">
        <v>0</v>
      </c>
      <c r="BF115" s="89" t="n">
        <v>1</v>
      </c>
      <c r="BG115" s="89" t="n">
        <v>1</v>
      </c>
      <c r="BH115" s="89" t="inlineStr">
        <is>
          <t>-</t>
        </is>
      </c>
    </row>
    <row r="116" ht="19.55" customHeight="1">
      <c r="A116" s="92" t="n">
        <v>113</v>
      </c>
      <c r="B116" s="87" t="inlineStr">
        <is>
          <t>全国</t>
        </is>
      </c>
      <c r="C116" s="93" t="n">
        <v>46252</v>
      </c>
      <c r="D116" s="87" t="inlineStr">
        <is>
          <t>探陆</t>
        </is>
      </c>
      <c r="E116" s="87" t="n">
        <v>0</v>
      </c>
      <c r="F116" s="87" t="n">
        <v>0</v>
      </c>
      <c r="G116" s="88" t="n">
        <v>0</v>
      </c>
      <c r="H116" s="87" t="n">
        <v>0</v>
      </c>
      <c r="I116" s="89" t="n">
        <v>0</v>
      </c>
      <c r="J116" s="87" t="n">
        <v>0</v>
      </c>
      <c r="K116" s="87" t="n">
        <v>0</v>
      </c>
      <c r="L116" s="88" t="n">
        <v>0</v>
      </c>
      <c r="M116" s="87" t="n">
        <v>0</v>
      </c>
      <c r="N116" s="87" t="n">
        <v>0</v>
      </c>
      <c r="O116" s="87" t="n">
        <v>0</v>
      </c>
      <c r="P116" s="88" t="n">
        <v>0</v>
      </c>
      <c r="Q116" s="87" t="n">
        <v>0</v>
      </c>
      <c r="R116" s="87" t="n">
        <v>0</v>
      </c>
      <c r="S116" s="87" t="n">
        <v>0</v>
      </c>
      <c r="T116" s="88" t="n">
        <v>0</v>
      </c>
      <c r="U116" s="87" t="n">
        <v>0</v>
      </c>
      <c r="V116" s="88" t="n">
        <v>0</v>
      </c>
      <c r="W116" s="87" t="n">
        <v>0</v>
      </c>
      <c r="X116" s="88" t="n">
        <v>0</v>
      </c>
      <c r="Y116" s="87" t="n">
        <v>0</v>
      </c>
      <c r="Z116" s="90" t="n">
        <v>0</v>
      </c>
      <c r="AA116" s="87" t="n">
        <v>0</v>
      </c>
      <c r="AB116" s="88" t="n">
        <v>0</v>
      </c>
      <c r="AC116" s="87" t="n">
        <v>0</v>
      </c>
      <c r="AD116" s="88" t="n">
        <v>0</v>
      </c>
      <c r="AE116" s="87" t="n">
        <v>0</v>
      </c>
      <c r="AF116" s="88" t="n">
        <v>0</v>
      </c>
      <c r="AG116" s="87" t="n">
        <v>0</v>
      </c>
      <c r="AH116" s="88" t="n">
        <v>0</v>
      </c>
      <c r="AI116" s="91" t="n">
        <v>1</v>
      </c>
      <c r="AJ116" s="88" t="n">
        <v>0</v>
      </c>
      <c r="AK116" s="91" t="n">
        <v>0</v>
      </c>
      <c r="AL116" s="88" t="n">
        <v>0</v>
      </c>
      <c r="AM116" s="91" t="n">
        <v>1</v>
      </c>
      <c r="AN116" s="91" t="n">
        <v>0</v>
      </c>
      <c r="AO116" s="88" t="n">
        <v>0</v>
      </c>
      <c r="AP116" s="88" t="n">
        <v>0</v>
      </c>
      <c r="AQ116" s="89" t="n"/>
      <c r="AR116" s="89" t="inlineStr">
        <is>
          <t>0.0%</t>
        </is>
      </c>
      <c r="AS116" s="89" t="inlineStr">
        <is>
          <t>0.0%</t>
        </is>
      </c>
      <c r="AT116" s="91" t="n">
        <v>0</v>
      </c>
      <c r="AU116" s="91" t="n">
        <v>0</v>
      </c>
      <c r="AV116" s="91" t="n">
        <v>0</v>
      </c>
      <c r="AW116" s="91" t="n">
        <v>0</v>
      </c>
      <c r="AX116" s="91" t="n">
        <v>0</v>
      </c>
      <c r="AY116" s="91" t="n">
        <v>0</v>
      </c>
      <c r="AZ116" s="88" t="n">
        <v>0</v>
      </c>
      <c r="BA116" s="88" t="n">
        <v>0</v>
      </c>
      <c r="BB116" s="88" t="n">
        <v>0</v>
      </c>
      <c r="BC116" s="88" t="n">
        <v>0</v>
      </c>
      <c r="BD116" s="91" t="n">
        <v>0</v>
      </c>
      <c r="BE116" s="91" t="n">
        <v>0</v>
      </c>
      <c r="BF116" s="89" t="inlineStr">
        <is>
          <t>-</t>
        </is>
      </c>
      <c r="BG116" s="89" t="inlineStr">
        <is>
          <t>-</t>
        </is>
      </c>
      <c r="BH116" s="89" t="inlineStr">
        <is>
          <t>-</t>
        </is>
      </c>
    </row>
    <row r="117" ht="19.55" customHeight="1">
      <c r="A117" s="92" t="n">
        <v>114</v>
      </c>
      <c r="B117" s="87" t="inlineStr">
        <is>
          <t>全国</t>
        </is>
      </c>
      <c r="C117" s="93" t="n">
        <v>46253</v>
      </c>
      <c r="D117" s="87" t="n"/>
      <c r="E117" s="87" t="n">
        <v>41</v>
      </c>
      <c r="F117" s="87" t="n">
        <v>41</v>
      </c>
      <c r="G117" s="88" t="n">
        <v>1</v>
      </c>
      <c r="H117" s="87" t="n">
        <v>41</v>
      </c>
      <c r="I117" s="89" t="n">
        <v>1</v>
      </c>
      <c r="J117" s="87" t="n">
        <v>0</v>
      </c>
      <c r="K117" s="87" t="n">
        <v>0</v>
      </c>
      <c r="L117" s="88" t="n">
        <v>0</v>
      </c>
      <c r="M117" s="87" t="n">
        <v>1</v>
      </c>
      <c r="N117" s="87" t="n">
        <v>2</v>
      </c>
      <c r="O117" s="87" t="n">
        <v>0</v>
      </c>
      <c r="P117" s="88" t="n">
        <v>0</v>
      </c>
      <c r="Q117" s="87" t="n">
        <v>1</v>
      </c>
      <c r="R117" s="87" t="n">
        <v>0</v>
      </c>
      <c r="S117" s="87" t="n">
        <v>0</v>
      </c>
      <c r="T117" s="88" t="n">
        <v>0</v>
      </c>
      <c r="U117" s="87" t="n">
        <v>0</v>
      </c>
      <c r="V117" s="88" t="n">
        <v>0</v>
      </c>
      <c r="W117" s="87" t="n">
        <v>48</v>
      </c>
      <c r="X117" s="88" t="n">
        <v>1.170731707317073</v>
      </c>
      <c r="Y117" s="87" t="n">
        <v>9</v>
      </c>
      <c r="Z117" s="90" t="n">
        <v>0.2195121951219512</v>
      </c>
      <c r="AA117" s="87" t="n">
        <v>0</v>
      </c>
      <c r="AB117" s="88" t="n">
        <v>0</v>
      </c>
      <c r="AC117" s="87" t="n">
        <v>0</v>
      </c>
      <c r="AD117" s="88" t="n">
        <v>0</v>
      </c>
      <c r="AE117" s="87" t="n">
        <v>0</v>
      </c>
      <c r="AF117" s="88" t="n">
        <v>0</v>
      </c>
      <c r="AG117" s="87" t="n">
        <v>0</v>
      </c>
      <c r="AH117" s="88" t="n">
        <v>0</v>
      </c>
      <c r="AI117" s="91" t="n">
        <v>0</v>
      </c>
      <c r="AJ117" s="88" t="n">
        <v>0</v>
      </c>
      <c r="AK117" s="91" t="n">
        <v>0</v>
      </c>
      <c r="AL117" s="88" t="n">
        <v>0</v>
      </c>
      <c r="AM117" s="91" t="n">
        <v>0</v>
      </c>
      <c r="AN117" s="91" t="n">
        <v>0</v>
      </c>
      <c r="AO117" s="88" t="n">
        <v>0</v>
      </c>
      <c r="AP117" s="88" t="n">
        <v>0</v>
      </c>
      <c r="AQ117" s="89" t="n"/>
      <c r="AR117" s="89" t="inlineStr">
        <is>
          <t>0.0%</t>
        </is>
      </c>
      <c r="AS117" s="89" t="inlineStr">
        <is>
          <t>0.0%</t>
        </is>
      </c>
      <c r="AT117" s="91" t="n">
        <v>0</v>
      </c>
      <c r="AU117" s="91" t="n">
        <v>0</v>
      </c>
      <c r="AV117" s="91" t="n">
        <v>0</v>
      </c>
      <c r="AW117" s="91" t="n">
        <v>0</v>
      </c>
      <c r="AX117" s="91" t="n">
        <v>0</v>
      </c>
      <c r="AY117" s="91" t="n">
        <v>0</v>
      </c>
      <c r="AZ117" s="88" t="n">
        <v>0</v>
      </c>
      <c r="BA117" s="88" t="n">
        <v>0</v>
      </c>
      <c r="BB117" s="88" t="n">
        <v>0</v>
      </c>
      <c r="BC117" s="88" t="n">
        <v>0</v>
      </c>
      <c r="BD117" s="91" t="n">
        <v>0</v>
      </c>
      <c r="BE117" s="91" t="n">
        <v>1</v>
      </c>
      <c r="BF117" s="89" t="inlineStr">
        <is>
          <t>-</t>
        </is>
      </c>
      <c r="BG117" s="89" t="inlineStr">
        <is>
          <t>-</t>
        </is>
      </c>
      <c r="BH117" s="89" t="n">
        <v>0.9545454545454546</v>
      </c>
    </row>
    <row r="118" ht="19.55" customHeight="1">
      <c r="A118" s="92" t="n">
        <v>115</v>
      </c>
      <c r="B118" s="87" t="inlineStr">
        <is>
          <t>全国</t>
        </is>
      </c>
      <c r="C118" s="93" t="n">
        <v>46253</v>
      </c>
      <c r="D118" s="87" t="inlineStr">
        <is>
          <t>2026款探陆</t>
        </is>
      </c>
      <c r="E118" s="87" t="n">
        <v>354</v>
      </c>
      <c r="F118" s="87" t="n">
        <v>308</v>
      </c>
      <c r="G118" s="88" t="n">
        <v>0.8700564971751412</v>
      </c>
      <c r="H118" s="87" t="n">
        <v>79</v>
      </c>
      <c r="I118" s="89" t="n">
        <v>0.2231638418079096</v>
      </c>
      <c r="J118" s="87" t="n">
        <v>453</v>
      </c>
      <c r="K118" s="87" t="n">
        <v>283</v>
      </c>
      <c r="L118" s="88" t="n">
        <v>0.625</v>
      </c>
      <c r="M118" s="87" t="n">
        <v>1115</v>
      </c>
      <c r="N118" s="87" t="n">
        <v>1086</v>
      </c>
      <c r="O118" s="87" t="n">
        <v>888</v>
      </c>
      <c r="P118" s="88" t="n">
        <v>0.7964125560538117</v>
      </c>
      <c r="Q118" s="87" t="n">
        <v>76</v>
      </c>
      <c r="R118" s="87" t="n">
        <v>0</v>
      </c>
      <c r="S118" s="87" t="n">
        <v>0</v>
      </c>
      <c r="T118" s="88" t="n">
        <v>0</v>
      </c>
      <c r="U118" s="87" t="n">
        <v>0</v>
      </c>
      <c r="V118" s="88" t="n">
        <v>0</v>
      </c>
      <c r="W118" s="87" t="n">
        <v>19</v>
      </c>
      <c r="X118" s="88" t="n">
        <v>0.05367231638418079</v>
      </c>
      <c r="Y118" s="87" t="n">
        <v>56</v>
      </c>
      <c r="Z118" s="90" t="n">
        <v>0.1581920903954802</v>
      </c>
      <c r="AA118" s="87" t="n">
        <v>28</v>
      </c>
      <c r="AB118" s="88" t="n">
        <v>0.07909604519774012</v>
      </c>
      <c r="AC118" s="87" t="n">
        <v>0</v>
      </c>
      <c r="AD118" s="88" t="n">
        <v>0</v>
      </c>
      <c r="AE118" s="87" t="n">
        <v>0</v>
      </c>
      <c r="AF118" s="88" t="n">
        <v>0</v>
      </c>
      <c r="AG118" s="87" t="n">
        <v>0</v>
      </c>
      <c r="AH118" s="88" t="n">
        <v>0</v>
      </c>
      <c r="AI118" s="91" t="n">
        <v>0</v>
      </c>
      <c r="AJ118" s="88" t="n">
        <v>0</v>
      </c>
      <c r="AK118" s="91" t="n">
        <v>0</v>
      </c>
      <c r="AL118" s="88" t="n">
        <v>0</v>
      </c>
      <c r="AM118" s="91" t="n">
        <v>0</v>
      </c>
      <c r="AN118" s="91" t="n">
        <v>0</v>
      </c>
      <c r="AO118" s="88" t="n">
        <v>0</v>
      </c>
      <c r="AP118" s="88" t="n">
        <v>0</v>
      </c>
      <c r="AQ118" s="89" t="n">
        <v>1</v>
      </c>
      <c r="AR118" s="89" t="n">
        <v>1</v>
      </c>
      <c r="AS118" s="89" t="n">
        <v>1</v>
      </c>
      <c r="AT118" s="91" t="n">
        <v>0</v>
      </c>
      <c r="AU118" s="91" t="n">
        <v>0</v>
      </c>
      <c r="AV118" s="91" t="n">
        <v>7</v>
      </c>
      <c r="AW118" s="91" t="n">
        <v>7</v>
      </c>
      <c r="AX118" s="91" t="n">
        <v>7</v>
      </c>
      <c r="AY118" s="91" t="n">
        <v>3</v>
      </c>
      <c r="AZ118" s="88" t="n">
        <v>0.01977401129943503</v>
      </c>
      <c r="BA118" s="88" t="n">
        <v>0.01977401129943503</v>
      </c>
      <c r="BB118" s="88" t="n">
        <v>0.008474576271186441</v>
      </c>
      <c r="BC118" s="88" t="n">
        <v>0</v>
      </c>
      <c r="BD118" s="91" t="n">
        <v>0</v>
      </c>
      <c r="BE118" s="91" t="n">
        <v>0</v>
      </c>
      <c r="BF118" s="89" t="inlineStr">
        <is>
          <t>-</t>
        </is>
      </c>
      <c r="BG118" s="89" t="n">
        <v>1</v>
      </c>
      <c r="BH118" s="89" t="inlineStr">
        <is>
          <t>-</t>
        </is>
      </c>
    </row>
    <row r="119" ht="19.55" customHeight="1">
      <c r="A119" s="92" t="n">
        <v>116</v>
      </c>
      <c r="B119" s="87" t="inlineStr">
        <is>
          <t>全国</t>
        </is>
      </c>
      <c r="C119" s="93" t="n">
        <v>46253</v>
      </c>
      <c r="D119" s="87" t="inlineStr">
        <is>
          <t>N6</t>
        </is>
      </c>
      <c r="E119" s="87" t="n">
        <v>1672</v>
      </c>
      <c r="F119" s="87" t="n">
        <v>1459</v>
      </c>
      <c r="G119" s="88" t="n">
        <v>0.8726076555023924</v>
      </c>
      <c r="H119" s="87" t="n">
        <v>902</v>
      </c>
      <c r="I119" s="89" t="n">
        <v>0.5394736842105263</v>
      </c>
      <c r="J119" s="87" t="n">
        <v>1842</v>
      </c>
      <c r="K119" s="87" t="n">
        <v>1800</v>
      </c>
      <c r="L119" s="88" t="n">
        <v>0.977</v>
      </c>
      <c r="M119" s="87" t="n">
        <v>7795</v>
      </c>
      <c r="N119" s="87" t="n">
        <v>7549</v>
      </c>
      <c r="O119" s="87" t="n">
        <v>7624</v>
      </c>
      <c r="P119" s="88" t="n">
        <v>0.9780628608082104</v>
      </c>
      <c r="Q119" s="87" t="n">
        <v>23</v>
      </c>
      <c r="R119" s="87" t="n">
        <v>0</v>
      </c>
      <c r="S119" s="87" t="n">
        <v>0</v>
      </c>
      <c r="T119" s="88" t="n">
        <v>0</v>
      </c>
      <c r="U119" s="87" t="n">
        <v>0</v>
      </c>
      <c r="V119" s="88" t="n">
        <v>0</v>
      </c>
      <c r="W119" s="87" t="n">
        <v>299</v>
      </c>
      <c r="X119" s="88" t="n">
        <v>0.1788277511961723</v>
      </c>
      <c r="Y119" s="87" t="n">
        <v>457</v>
      </c>
      <c r="Z119" s="90" t="n">
        <v>0.2733253588516746</v>
      </c>
      <c r="AA119" s="87" t="n">
        <v>8</v>
      </c>
      <c r="AB119" s="88" t="n">
        <v>0.004784688995215311</v>
      </c>
      <c r="AC119" s="87" t="n">
        <v>149</v>
      </c>
      <c r="AD119" s="88" t="n">
        <v>0.08911483253588516</v>
      </c>
      <c r="AE119" s="87" t="n">
        <v>24</v>
      </c>
      <c r="AF119" s="88" t="n">
        <v>0.1610738255033557</v>
      </c>
      <c r="AG119" s="87" t="n">
        <v>114</v>
      </c>
      <c r="AH119" s="88" t="n">
        <v>0.7651006711409396</v>
      </c>
      <c r="AI119" s="91" t="n">
        <v>111</v>
      </c>
      <c r="AJ119" s="88" t="n">
        <v>0.06638755980861244</v>
      </c>
      <c r="AK119" s="91" t="n">
        <v>12</v>
      </c>
      <c r="AL119" s="88" t="n">
        <v>0.8558558558558559</v>
      </c>
      <c r="AM119" s="91" t="n">
        <v>109</v>
      </c>
      <c r="AN119" s="91" t="n">
        <v>95</v>
      </c>
      <c r="AO119" s="88" t="n">
        <v>0.05681818181818182</v>
      </c>
      <c r="AP119" s="88" t="n">
        <v>0.6375838926174496</v>
      </c>
      <c r="AQ119" s="89" t="n">
        <v>0.9719626168224299</v>
      </c>
      <c r="AR119" s="89" t="n">
        <v>0.6153846153846154</v>
      </c>
      <c r="AS119" s="89" t="n">
        <v>0.5961538461538461</v>
      </c>
      <c r="AT119" s="91" t="n">
        <v>0</v>
      </c>
      <c r="AU119" s="91" t="n">
        <v>0</v>
      </c>
      <c r="AV119" s="91" t="n">
        <v>30</v>
      </c>
      <c r="AW119" s="91" t="n">
        <v>25</v>
      </c>
      <c r="AX119" s="91" t="n">
        <v>26</v>
      </c>
      <c r="AY119" s="91" t="n">
        <v>27</v>
      </c>
      <c r="AZ119" s="88" t="n">
        <v>0.01495215311004785</v>
      </c>
      <c r="BA119" s="88" t="n">
        <v>0.01555023923444976</v>
      </c>
      <c r="BB119" s="88" t="n">
        <v>0.01614832535885168</v>
      </c>
      <c r="BC119" s="88" t="n">
        <v>0.2736842105263158</v>
      </c>
      <c r="BD119" s="91" t="n">
        <v>0</v>
      </c>
      <c r="BE119" s="91" t="n">
        <v>0</v>
      </c>
      <c r="BF119" s="89" t="n">
        <v>0.9285714285714286</v>
      </c>
      <c r="BG119" s="89" t="n">
        <v>1</v>
      </c>
      <c r="BH119" s="89" t="inlineStr">
        <is>
          <t>-</t>
        </is>
      </c>
    </row>
    <row r="120" ht="19.55" customHeight="1">
      <c r="A120" s="92" t="n">
        <v>117</v>
      </c>
      <c r="B120" s="87" t="inlineStr">
        <is>
          <t>全国</t>
        </is>
      </c>
      <c r="C120" s="93" t="n">
        <v>46253</v>
      </c>
      <c r="D120" s="87" t="inlineStr">
        <is>
          <t>N7</t>
        </is>
      </c>
      <c r="E120" s="87" t="n">
        <v>1422</v>
      </c>
      <c r="F120" s="87" t="n">
        <v>1174</v>
      </c>
      <c r="G120" s="88" t="n">
        <v>0.8255977496483825</v>
      </c>
      <c r="H120" s="87" t="n">
        <v>692</v>
      </c>
      <c r="I120" s="89" t="n">
        <v>0.4866385372714487</v>
      </c>
      <c r="J120" s="87" t="n">
        <v>1462</v>
      </c>
      <c r="K120" s="87" t="n">
        <v>1396</v>
      </c>
      <c r="L120" s="88" t="n">
        <v>0.955</v>
      </c>
      <c r="M120" s="87" t="n">
        <v>6341</v>
      </c>
      <c r="N120" s="87" t="n">
        <v>6168</v>
      </c>
      <c r="O120" s="87" t="n">
        <v>6204</v>
      </c>
      <c r="P120" s="88" t="n">
        <v>0.9783945749881722</v>
      </c>
      <c r="Q120" s="87" t="n">
        <v>37</v>
      </c>
      <c r="R120" s="87" t="n">
        <v>0</v>
      </c>
      <c r="S120" s="87" t="n">
        <v>0</v>
      </c>
      <c r="T120" s="88" t="n">
        <v>0</v>
      </c>
      <c r="U120" s="87" t="n">
        <v>0</v>
      </c>
      <c r="V120" s="88" t="n">
        <v>0</v>
      </c>
      <c r="W120" s="87" t="n">
        <v>269</v>
      </c>
      <c r="X120" s="88" t="n">
        <v>0.1891701828410689</v>
      </c>
      <c r="Y120" s="87" t="n">
        <v>219</v>
      </c>
      <c r="Z120" s="90" t="n">
        <v>0.1540084388185654</v>
      </c>
      <c r="AA120" s="87" t="n">
        <v>3</v>
      </c>
      <c r="AB120" s="88" t="n">
        <v>0.002109704641350211</v>
      </c>
      <c r="AC120" s="87" t="n">
        <v>152</v>
      </c>
      <c r="AD120" s="88" t="n">
        <v>0.1068917018284107</v>
      </c>
      <c r="AE120" s="87" t="n">
        <v>29</v>
      </c>
      <c r="AF120" s="88" t="n">
        <v>0.1907894736842105</v>
      </c>
      <c r="AG120" s="87" t="n">
        <v>134</v>
      </c>
      <c r="AH120" s="88" t="n">
        <v>0.881578947368421</v>
      </c>
      <c r="AI120" s="91" t="n">
        <v>125</v>
      </c>
      <c r="AJ120" s="88" t="n">
        <v>0.08790436005625879</v>
      </c>
      <c r="AK120" s="91" t="n">
        <v>10</v>
      </c>
      <c r="AL120" s="88" t="n">
        <v>0.848</v>
      </c>
      <c r="AM120" s="91" t="n">
        <v>123</v>
      </c>
      <c r="AN120" s="91" t="n">
        <v>106</v>
      </c>
      <c r="AO120" s="88" t="n">
        <v>0.07454289732770746</v>
      </c>
      <c r="AP120" s="88" t="n">
        <v>0.6973684210526315</v>
      </c>
      <c r="AQ120" s="89" t="n">
        <v>1</v>
      </c>
      <c r="AR120" s="89" t="n">
        <v>0.5871559633027523</v>
      </c>
      <c r="AS120" s="89" t="n">
        <v>0.6330275229357798</v>
      </c>
      <c r="AT120" s="91" t="n">
        <v>0</v>
      </c>
      <c r="AU120" s="91" t="n">
        <v>0</v>
      </c>
      <c r="AV120" s="91" t="n">
        <v>26</v>
      </c>
      <c r="AW120" s="91" t="n">
        <v>15</v>
      </c>
      <c r="AX120" s="91" t="n">
        <v>14</v>
      </c>
      <c r="AY120" s="91" t="n">
        <v>36</v>
      </c>
      <c r="AZ120" s="88" t="n">
        <v>0.01054852320675105</v>
      </c>
      <c r="BA120" s="88" t="n">
        <v>0.009845288326300985</v>
      </c>
      <c r="BB120" s="88" t="n">
        <v>0.02531645569620253</v>
      </c>
      <c r="BC120" s="88" t="n">
        <v>0.1320754716981132</v>
      </c>
      <c r="BD120" s="91" t="n">
        <v>0</v>
      </c>
      <c r="BE120" s="91" t="n">
        <v>0</v>
      </c>
      <c r="BF120" s="89" t="n">
        <v>1</v>
      </c>
      <c r="BG120" s="89" t="n">
        <v>1</v>
      </c>
      <c r="BH120" s="89" t="inlineStr">
        <is>
          <t>-</t>
        </is>
      </c>
    </row>
    <row r="121" ht="19.55" customHeight="1">
      <c r="A121" s="92" t="n">
        <v>118</v>
      </c>
      <c r="B121" s="87" t="inlineStr">
        <is>
          <t>全国</t>
        </is>
      </c>
      <c r="C121" s="93" t="n">
        <v>46253</v>
      </c>
      <c r="D121" s="87" t="inlineStr">
        <is>
          <t>NX8</t>
        </is>
      </c>
      <c r="E121" s="87" t="n">
        <v>5677</v>
      </c>
      <c r="F121" s="87" t="n">
        <v>5014</v>
      </c>
      <c r="G121" s="88" t="n">
        <v>0.8832129645939757</v>
      </c>
      <c r="H121" s="87" t="n">
        <v>2074</v>
      </c>
      <c r="I121" s="89" t="n">
        <v>0.3653338030649991</v>
      </c>
      <c r="J121" s="87" t="n">
        <v>6584</v>
      </c>
      <c r="K121" s="87" t="n">
        <v>6370</v>
      </c>
      <c r="L121" s="88" t="n">
        <v>0.967</v>
      </c>
      <c r="M121" s="87" t="n">
        <v>25024</v>
      </c>
      <c r="N121" s="87" t="n">
        <v>24702</v>
      </c>
      <c r="O121" s="87" t="n">
        <v>24428</v>
      </c>
      <c r="P121" s="88" t="n">
        <v>0.9761828644501279</v>
      </c>
      <c r="Q121" s="87" t="n">
        <v>127</v>
      </c>
      <c r="R121" s="87" t="n">
        <v>0</v>
      </c>
      <c r="S121" s="87" t="n">
        <v>0</v>
      </c>
      <c r="T121" s="88" t="n">
        <v>0</v>
      </c>
      <c r="U121" s="87" t="n">
        <v>0</v>
      </c>
      <c r="V121" s="88" t="n">
        <v>0</v>
      </c>
      <c r="W121" s="87" t="n">
        <v>1095</v>
      </c>
      <c r="X121" s="88" t="n">
        <v>0.1928835652633433</v>
      </c>
      <c r="Y121" s="87" t="n">
        <v>2210</v>
      </c>
      <c r="Z121" s="90" t="n">
        <v>0.389290118020081</v>
      </c>
      <c r="AA121" s="87" t="n">
        <v>12</v>
      </c>
      <c r="AB121" s="88" t="n">
        <v>0.002113792496036639</v>
      </c>
      <c r="AC121" s="87" t="n">
        <v>525</v>
      </c>
      <c r="AD121" s="88" t="n">
        <v>0.09247842170160296</v>
      </c>
      <c r="AE121" s="87" t="n">
        <v>94</v>
      </c>
      <c r="AF121" s="88" t="n">
        <v>0.179047619047619</v>
      </c>
      <c r="AG121" s="87" t="n">
        <v>437</v>
      </c>
      <c r="AH121" s="88" t="n">
        <v>0.8323809523809523</v>
      </c>
      <c r="AI121" s="91" t="n">
        <v>460</v>
      </c>
      <c r="AJ121" s="88" t="n">
        <v>0.08102871234807116</v>
      </c>
      <c r="AK121" s="91" t="n">
        <v>41</v>
      </c>
      <c r="AL121" s="88" t="n">
        <v>0.8826086956521739</v>
      </c>
      <c r="AM121" s="91" t="n">
        <v>450</v>
      </c>
      <c r="AN121" s="91" t="n">
        <v>406</v>
      </c>
      <c r="AO121" s="88" t="n">
        <v>0.07151664611590629</v>
      </c>
      <c r="AP121" s="88" t="n">
        <v>0.7733333333333333</v>
      </c>
      <c r="AQ121" s="89" t="n">
        <v>0.9841628959276018</v>
      </c>
      <c r="AR121" s="89" t="n">
        <v>0.5902335456475584</v>
      </c>
      <c r="AS121" s="89" t="n">
        <v>0.5987261146496815</v>
      </c>
      <c r="AT121" s="91" t="n">
        <v>0</v>
      </c>
      <c r="AU121" s="91" t="n">
        <v>0</v>
      </c>
      <c r="AV121" s="91" t="n">
        <v>42</v>
      </c>
      <c r="AW121" s="91" t="n">
        <v>22</v>
      </c>
      <c r="AX121" s="91" t="n">
        <v>37</v>
      </c>
      <c r="AY121" s="91" t="n">
        <v>73</v>
      </c>
      <c r="AZ121" s="88" t="n">
        <v>0.003875286242733838</v>
      </c>
      <c r="BA121" s="88" t="n">
        <v>0.006517526862779637</v>
      </c>
      <c r="BB121" s="88" t="n">
        <v>0.01285890435088955</v>
      </c>
      <c r="BC121" s="88" t="n">
        <v>0.09113300492610837</v>
      </c>
      <c r="BD121" s="91" t="n">
        <v>0</v>
      </c>
      <c r="BE121" s="91" t="n">
        <v>0</v>
      </c>
      <c r="BF121" s="89" t="n">
        <v>1</v>
      </c>
      <c r="BG121" s="89" t="n">
        <v>1</v>
      </c>
      <c r="BH121" s="89" t="inlineStr">
        <is>
          <t>-</t>
        </is>
      </c>
    </row>
    <row r="122" ht="19.55" customHeight="1">
      <c r="A122" s="92" t="n">
        <v>119</v>
      </c>
      <c r="B122" s="87" t="inlineStr">
        <is>
          <t>全国</t>
        </is>
      </c>
      <c r="C122" s="93" t="n">
        <v>46253</v>
      </c>
      <c r="D122" s="87" t="inlineStr">
        <is>
          <t>天籁·鸿蒙座舱</t>
        </is>
      </c>
      <c r="E122" s="87" t="n">
        <v>3316</v>
      </c>
      <c r="F122" s="87" t="n">
        <v>2941</v>
      </c>
      <c r="G122" s="88" t="n">
        <v>0.8869119420989143</v>
      </c>
      <c r="H122" s="87" t="n">
        <v>1825</v>
      </c>
      <c r="I122" s="89" t="n">
        <v>0.5503618817852834</v>
      </c>
      <c r="J122" s="87" t="n">
        <v>4854</v>
      </c>
      <c r="K122" s="87" t="n">
        <v>4768</v>
      </c>
      <c r="L122" s="88" t="n">
        <v>0.982</v>
      </c>
      <c r="M122" s="87" t="n">
        <v>17845</v>
      </c>
      <c r="N122" s="87" t="n">
        <v>17637</v>
      </c>
      <c r="O122" s="87" t="n">
        <v>17562</v>
      </c>
      <c r="P122" s="88" t="n">
        <v>0.9841412160268983</v>
      </c>
      <c r="Q122" s="87" t="n">
        <v>31</v>
      </c>
      <c r="R122" s="87" t="n">
        <v>0</v>
      </c>
      <c r="S122" s="87" t="n">
        <v>0</v>
      </c>
      <c r="T122" s="88" t="n">
        <v>0</v>
      </c>
      <c r="U122" s="87" t="n">
        <v>0</v>
      </c>
      <c r="V122" s="88" t="n">
        <v>0</v>
      </c>
      <c r="W122" s="87" t="n">
        <v>437</v>
      </c>
      <c r="X122" s="88" t="n">
        <v>0.1317852834740652</v>
      </c>
      <c r="Y122" s="87" t="n">
        <v>712</v>
      </c>
      <c r="Z122" s="90" t="n">
        <v>0.2147165259348613</v>
      </c>
      <c r="AA122" s="87" t="n">
        <v>15</v>
      </c>
      <c r="AB122" s="88" t="n">
        <v>0.004523522316043426</v>
      </c>
      <c r="AC122" s="87" t="n">
        <v>213</v>
      </c>
      <c r="AD122" s="88" t="n">
        <v>0.06423401688781664</v>
      </c>
      <c r="AE122" s="87" t="n">
        <v>39</v>
      </c>
      <c r="AF122" s="88" t="n">
        <v>0.1830985915492958</v>
      </c>
      <c r="AG122" s="87" t="n">
        <v>175</v>
      </c>
      <c r="AH122" s="88" t="n">
        <v>0.8215962441314554</v>
      </c>
      <c r="AI122" s="91" t="n">
        <v>163</v>
      </c>
      <c r="AJ122" s="88" t="n">
        <v>0.04915560916767189</v>
      </c>
      <c r="AK122" s="91" t="n">
        <v>14</v>
      </c>
      <c r="AL122" s="88" t="n">
        <v>0.8466257668711656</v>
      </c>
      <c r="AM122" s="91" t="n">
        <v>157</v>
      </c>
      <c r="AN122" s="91" t="n">
        <v>138</v>
      </c>
      <c r="AO122" s="88" t="n">
        <v>0.04161640530759952</v>
      </c>
      <c r="AP122" s="88" t="n">
        <v>0.647887323943662</v>
      </c>
      <c r="AQ122" s="89" t="n">
        <v>0.9583333333333334</v>
      </c>
      <c r="AR122" s="89" t="n">
        <v>0.5549132947976878</v>
      </c>
      <c r="AS122" s="89" t="n">
        <v>0.4913294797687861</v>
      </c>
      <c r="AT122" s="91" t="n">
        <v>0</v>
      </c>
      <c r="AU122" s="91" t="n">
        <v>0</v>
      </c>
      <c r="AV122" s="91" t="n">
        <v>68</v>
      </c>
      <c r="AW122" s="91" t="n">
        <v>59</v>
      </c>
      <c r="AX122" s="91" t="n">
        <v>57</v>
      </c>
      <c r="AY122" s="91" t="n">
        <v>94</v>
      </c>
      <c r="AZ122" s="88" t="n">
        <v>0.01779252110977081</v>
      </c>
      <c r="BA122" s="88" t="n">
        <v>0.01718938480096502</v>
      </c>
      <c r="BB122" s="88" t="n">
        <v>0.02834740651387213</v>
      </c>
      <c r="BC122" s="88" t="n">
        <v>0.4130434782608696</v>
      </c>
      <c r="BD122" s="91" t="n">
        <v>0</v>
      </c>
      <c r="BE122" s="91" t="n">
        <v>0</v>
      </c>
      <c r="BF122" s="89" t="n">
        <v>1</v>
      </c>
      <c r="BG122" s="89" t="n">
        <v>0.9473684210526315</v>
      </c>
      <c r="BH122" s="89" t="inlineStr">
        <is>
          <t>-</t>
        </is>
      </c>
    </row>
    <row r="123" ht="19.55" customHeight="1">
      <c r="A123" s="92" t="n">
        <v>120</v>
      </c>
      <c r="B123" s="87" t="inlineStr">
        <is>
          <t>全国</t>
        </is>
      </c>
      <c r="C123" s="93" t="n">
        <v>46254</v>
      </c>
      <c r="D123" s="87" t="n"/>
      <c r="E123" s="87" t="n">
        <v>31</v>
      </c>
      <c r="F123" s="87" t="n">
        <v>30</v>
      </c>
      <c r="G123" s="88" t="n">
        <v>0.967741935483871</v>
      </c>
      <c r="H123" s="87" t="n">
        <v>31</v>
      </c>
      <c r="I123" s="89" t="n">
        <v>1</v>
      </c>
      <c r="J123" s="87" t="n">
        <v>1</v>
      </c>
      <c r="K123" s="87" t="n">
        <v>0</v>
      </c>
      <c r="L123" s="88" t="n">
        <v>0</v>
      </c>
      <c r="M123" s="87" t="n">
        <v>4</v>
      </c>
      <c r="N123" s="87" t="n">
        <v>1</v>
      </c>
      <c r="O123" s="87" t="n">
        <v>2</v>
      </c>
      <c r="P123" s="88" t="n">
        <v>0.5</v>
      </c>
      <c r="Q123" s="87" t="n">
        <v>2</v>
      </c>
      <c r="R123" s="87" t="n">
        <v>0</v>
      </c>
      <c r="S123" s="87" t="n">
        <v>0</v>
      </c>
      <c r="T123" s="88" t="n">
        <v>0</v>
      </c>
      <c r="U123" s="87" t="n">
        <v>0</v>
      </c>
      <c r="V123" s="88" t="n">
        <v>0</v>
      </c>
      <c r="W123" s="87" t="n">
        <v>21</v>
      </c>
      <c r="X123" s="88" t="n">
        <v>0.6774193548387096</v>
      </c>
      <c r="Y123" s="87" t="n">
        <v>14</v>
      </c>
      <c r="Z123" s="90" t="n">
        <v>0.4516129032258064</v>
      </c>
      <c r="AA123" s="87" t="n">
        <v>0</v>
      </c>
      <c r="AB123" s="88" t="n">
        <v>0</v>
      </c>
      <c r="AC123" s="87" t="n">
        <v>0</v>
      </c>
      <c r="AD123" s="88" t="n">
        <v>0</v>
      </c>
      <c r="AE123" s="87" t="n">
        <v>0</v>
      </c>
      <c r="AF123" s="88" t="n">
        <v>0</v>
      </c>
      <c r="AG123" s="87" t="n">
        <v>0</v>
      </c>
      <c r="AH123" s="88" t="n">
        <v>0</v>
      </c>
      <c r="AI123" s="91" t="n">
        <v>0</v>
      </c>
      <c r="AJ123" s="88" t="n">
        <v>0</v>
      </c>
      <c r="AK123" s="91" t="n">
        <v>0</v>
      </c>
      <c r="AL123" s="88" t="n">
        <v>0</v>
      </c>
      <c r="AM123" s="91" t="n">
        <v>0</v>
      </c>
      <c r="AN123" s="91" t="n">
        <v>0</v>
      </c>
      <c r="AO123" s="88" t="n">
        <v>0</v>
      </c>
      <c r="AP123" s="88" t="n">
        <v>0</v>
      </c>
      <c r="AQ123" s="89" t="n"/>
      <c r="AR123" s="89" t="inlineStr">
        <is>
          <t>0.0%</t>
        </is>
      </c>
      <c r="AS123" s="89" t="inlineStr">
        <is>
          <t>0.0%</t>
        </is>
      </c>
      <c r="AT123" s="91" t="n">
        <v>0</v>
      </c>
      <c r="AU123" s="91" t="n">
        <v>0</v>
      </c>
      <c r="AV123" s="91" t="n">
        <v>0</v>
      </c>
      <c r="AW123" s="91" t="n">
        <v>0</v>
      </c>
      <c r="AX123" s="91" t="n">
        <v>0</v>
      </c>
      <c r="AY123" s="91" t="n">
        <v>0</v>
      </c>
      <c r="AZ123" s="88" t="n">
        <v>0</v>
      </c>
      <c r="BA123" s="88" t="n">
        <v>0</v>
      </c>
      <c r="BB123" s="88" t="n">
        <v>0</v>
      </c>
      <c r="BC123" s="88" t="n">
        <v>0</v>
      </c>
      <c r="BD123" s="91" t="n">
        <v>0</v>
      </c>
      <c r="BE123" s="91" t="n">
        <v>0</v>
      </c>
      <c r="BF123" s="89" t="inlineStr">
        <is>
          <t>-</t>
        </is>
      </c>
      <c r="BG123" s="89" t="inlineStr">
        <is>
          <t>-</t>
        </is>
      </c>
      <c r="BH123" s="89" t="n">
        <v>1</v>
      </c>
    </row>
    <row r="124" ht="19.55" customHeight="1">
      <c r="A124" s="92" t="n">
        <v>121</v>
      </c>
      <c r="B124" s="87" t="inlineStr">
        <is>
          <t>全国</t>
        </is>
      </c>
      <c r="C124" s="93" t="n">
        <v>46254</v>
      </c>
      <c r="D124" s="87" t="inlineStr">
        <is>
          <t>2026款探陆</t>
        </is>
      </c>
      <c r="E124" s="87" t="n">
        <v>308</v>
      </c>
      <c r="F124" s="87" t="n">
        <v>267</v>
      </c>
      <c r="G124" s="88" t="n">
        <v>0.8668831168831169</v>
      </c>
      <c r="H124" s="87" t="n">
        <v>70</v>
      </c>
      <c r="I124" s="89" t="n">
        <v>0.2272727272727273</v>
      </c>
      <c r="J124" s="87" t="n">
        <v>590</v>
      </c>
      <c r="K124" s="87" t="n">
        <v>379</v>
      </c>
      <c r="L124" s="88" t="n">
        <v>0.642</v>
      </c>
      <c r="M124" s="87" t="n">
        <v>1370</v>
      </c>
      <c r="N124" s="87" t="n">
        <v>1328</v>
      </c>
      <c r="O124" s="87" t="n">
        <v>1088</v>
      </c>
      <c r="P124" s="88" t="n">
        <v>0.7941605839416058</v>
      </c>
      <c r="Q124" s="87" t="n">
        <v>105</v>
      </c>
      <c r="R124" s="87" t="n">
        <v>0</v>
      </c>
      <c r="S124" s="87" t="n">
        <v>0</v>
      </c>
      <c r="T124" s="88" t="n">
        <v>0</v>
      </c>
      <c r="U124" s="87" t="n">
        <v>0</v>
      </c>
      <c r="V124" s="88" t="n">
        <v>0</v>
      </c>
      <c r="W124" s="87" t="n">
        <v>16</v>
      </c>
      <c r="X124" s="88" t="n">
        <v>0.05194805194805195</v>
      </c>
      <c r="Y124" s="87" t="n">
        <v>102</v>
      </c>
      <c r="Z124" s="90" t="n">
        <v>0.3311688311688312</v>
      </c>
      <c r="AA124" s="87" t="n">
        <v>20</v>
      </c>
      <c r="AB124" s="88" t="n">
        <v>0.06493506493506493</v>
      </c>
      <c r="AC124" s="87" t="n">
        <v>1</v>
      </c>
      <c r="AD124" s="88" t="n">
        <v>0.003246753246753247</v>
      </c>
      <c r="AE124" s="87" t="n">
        <v>0</v>
      </c>
      <c r="AF124" s="88" t="n">
        <v>0</v>
      </c>
      <c r="AG124" s="87" t="n">
        <v>0</v>
      </c>
      <c r="AH124" s="88" t="n">
        <v>0</v>
      </c>
      <c r="AI124" s="91" t="n">
        <v>1</v>
      </c>
      <c r="AJ124" s="88" t="n">
        <v>0.003246753246753247</v>
      </c>
      <c r="AK124" s="91" t="n">
        <v>0</v>
      </c>
      <c r="AL124" s="88" t="n">
        <v>0</v>
      </c>
      <c r="AM124" s="91" t="n">
        <v>0</v>
      </c>
      <c r="AN124" s="91" t="n">
        <v>0</v>
      </c>
      <c r="AO124" s="88" t="n">
        <v>0</v>
      </c>
      <c r="AP124" s="88" t="n">
        <v>0</v>
      </c>
      <c r="AQ124" s="89" t="n">
        <v>1</v>
      </c>
      <c r="AR124" s="89" t="inlineStr">
        <is>
          <t>0.0%</t>
        </is>
      </c>
      <c r="AS124" s="89" t="inlineStr">
        <is>
          <t>0.0%</t>
        </is>
      </c>
      <c r="AT124" s="91" t="n">
        <v>0</v>
      </c>
      <c r="AU124" s="91" t="n">
        <v>0</v>
      </c>
      <c r="AV124" s="91" t="n">
        <v>4</v>
      </c>
      <c r="AW124" s="91" t="n">
        <v>4</v>
      </c>
      <c r="AX124" s="91" t="n">
        <v>4</v>
      </c>
      <c r="AY124" s="91" t="n">
        <v>2</v>
      </c>
      <c r="AZ124" s="88" t="n">
        <v>0.01298701298701299</v>
      </c>
      <c r="BA124" s="88" t="n">
        <v>0.01298701298701299</v>
      </c>
      <c r="BB124" s="88" t="n">
        <v>0.006493506493506494</v>
      </c>
      <c r="BC124" s="88" t="n">
        <v>0</v>
      </c>
      <c r="BD124" s="91" t="n">
        <v>0</v>
      </c>
      <c r="BE124" s="91" t="n">
        <v>0</v>
      </c>
      <c r="BF124" s="89" t="inlineStr">
        <is>
          <t>-</t>
        </is>
      </c>
      <c r="BG124" s="89" t="n">
        <v>1</v>
      </c>
      <c r="BH124" s="89" t="inlineStr">
        <is>
          <t>-</t>
        </is>
      </c>
    </row>
    <row r="125" ht="19.55" customHeight="1">
      <c r="A125" s="92" t="n">
        <v>122</v>
      </c>
      <c r="B125" s="87" t="inlineStr">
        <is>
          <t>全国</t>
        </is>
      </c>
      <c r="C125" s="93" t="n">
        <v>46254</v>
      </c>
      <c r="D125" s="87" t="inlineStr">
        <is>
          <t>N6</t>
        </is>
      </c>
      <c r="E125" s="87" t="n">
        <v>1477</v>
      </c>
      <c r="F125" s="87" t="n">
        <v>1256</v>
      </c>
      <c r="G125" s="88" t="n">
        <v>0.8503723764387271</v>
      </c>
      <c r="H125" s="87" t="n">
        <v>880</v>
      </c>
      <c r="I125" s="89" t="n">
        <v>0.5958023019634394</v>
      </c>
      <c r="J125" s="87" t="n">
        <v>1717</v>
      </c>
      <c r="K125" s="87" t="n">
        <v>1668</v>
      </c>
      <c r="L125" s="88" t="n">
        <v>0.971</v>
      </c>
      <c r="M125" s="87" t="n">
        <v>7621</v>
      </c>
      <c r="N125" s="87" t="n">
        <v>7685</v>
      </c>
      <c r="O125" s="87" t="n">
        <v>7494</v>
      </c>
      <c r="P125" s="88" t="n">
        <v>0.98333552027293</v>
      </c>
      <c r="Q125" s="87" t="n">
        <v>35</v>
      </c>
      <c r="R125" s="87" t="n">
        <v>0</v>
      </c>
      <c r="S125" s="87" t="n">
        <v>0</v>
      </c>
      <c r="T125" s="88" t="n">
        <v>0</v>
      </c>
      <c r="U125" s="87" t="n">
        <v>0</v>
      </c>
      <c r="V125" s="88" t="n">
        <v>0</v>
      </c>
      <c r="W125" s="87" t="n">
        <v>191</v>
      </c>
      <c r="X125" s="88" t="n">
        <v>0.1293161814488829</v>
      </c>
      <c r="Y125" s="87" t="n">
        <v>731</v>
      </c>
      <c r="Z125" s="90" t="n">
        <v>0.4949221394719025</v>
      </c>
      <c r="AA125" s="87" t="n">
        <v>10</v>
      </c>
      <c r="AB125" s="88" t="n">
        <v>0.006770480704129994</v>
      </c>
      <c r="AC125" s="87" t="n">
        <v>154</v>
      </c>
      <c r="AD125" s="88" t="n">
        <v>0.1042654028436019</v>
      </c>
      <c r="AE125" s="87" t="n">
        <v>37</v>
      </c>
      <c r="AF125" s="88" t="n">
        <v>0.2402597402597403</v>
      </c>
      <c r="AG125" s="87" t="n">
        <v>119</v>
      </c>
      <c r="AH125" s="88" t="n">
        <v>0.7727272727272727</v>
      </c>
      <c r="AI125" s="91" t="n">
        <v>150</v>
      </c>
      <c r="AJ125" s="88" t="n">
        <v>0.1015572105619499</v>
      </c>
      <c r="AK125" s="91" t="n">
        <v>11</v>
      </c>
      <c r="AL125" s="88" t="n">
        <v>0.86</v>
      </c>
      <c r="AM125" s="91" t="n">
        <v>146</v>
      </c>
      <c r="AN125" s="91" t="n">
        <v>129</v>
      </c>
      <c r="AO125" s="88" t="n">
        <v>0.08733920108327692</v>
      </c>
      <c r="AP125" s="88" t="n">
        <v>0.8376623376623377</v>
      </c>
      <c r="AQ125" s="89" t="n">
        <v>0.9795918367346939</v>
      </c>
      <c r="AR125" s="89" t="n">
        <v>0.5942028985507246</v>
      </c>
      <c r="AS125" s="89" t="n">
        <v>0.5797101449275363</v>
      </c>
      <c r="AT125" s="91" t="n">
        <v>0</v>
      </c>
      <c r="AU125" s="91" t="n">
        <v>0</v>
      </c>
      <c r="AV125" s="91" t="n">
        <v>36</v>
      </c>
      <c r="AW125" s="91" t="n">
        <v>32</v>
      </c>
      <c r="AX125" s="91" t="n">
        <v>33</v>
      </c>
      <c r="AY125" s="91" t="n">
        <v>30</v>
      </c>
      <c r="AZ125" s="88" t="n">
        <v>0.02166553825321598</v>
      </c>
      <c r="BA125" s="88" t="n">
        <v>0.02234258632362898</v>
      </c>
      <c r="BB125" s="88" t="n">
        <v>0.02031144211238998</v>
      </c>
      <c r="BC125" s="88" t="n">
        <v>0.2558139534883721</v>
      </c>
      <c r="BD125" s="91" t="n">
        <v>0</v>
      </c>
      <c r="BE125" s="91" t="n">
        <v>0</v>
      </c>
      <c r="BF125" s="89" t="n">
        <v>1</v>
      </c>
      <c r="BG125" s="89" t="n">
        <v>1</v>
      </c>
      <c r="BH125" s="89" t="inlineStr">
        <is>
          <t>-</t>
        </is>
      </c>
    </row>
    <row r="126" ht="19.55" customHeight="1">
      <c r="A126" s="92" t="n">
        <v>123</v>
      </c>
      <c r="B126" s="87" t="inlineStr">
        <is>
          <t>全国</t>
        </is>
      </c>
      <c r="C126" s="93" t="n">
        <v>46254</v>
      </c>
      <c r="D126" s="87" t="inlineStr">
        <is>
          <t>N7</t>
        </is>
      </c>
      <c r="E126" s="87" t="n">
        <v>1569</v>
      </c>
      <c r="F126" s="87" t="n">
        <v>1342</v>
      </c>
      <c r="G126" s="88" t="n">
        <v>0.8553218610579987</v>
      </c>
      <c r="H126" s="87" t="n">
        <v>1005</v>
      </c>
      <c r="I126" s="89" t="n">
        <v>0.6405353728489483</v>
      </c>
      <c r="J126" s="87" t="n">
        <v>1404</v>
      </c>
      <c r="K126" s="87" t="n">
        <v>1345</v>
      </c>
      <c r="L126" s="88" t="n">
        <v>0.958</v>
      </c>
      <c r="M126" s="87" t="n">
        <v>6398</v>
      </c>
      <c r="N126" s="87" t="n">
        <v>6412</v>
      </c>
      <c r="O126" s="87" t="n">
        <v>6272</v>
      </c>
      <c r="P126" s="88" t="n">
        <v>0.9803063457330415</v>
      </c>
      <c r="Q126" s="87" t="n">
        <v>38</v>
      </c>
      <c r="R126" s="87" t="n">
        <v>0</v>
      </c>
      <c r="S126" s="87" t="n">
        <v>0</v>
      </c>
      <c r="T126" s="88" t="n">
        <v>0</v>
      </c>
      <c r="U126" s="87" t="n">
        <v>0</v>
      </c>
      <c r="V126" s="88" t="n">
        <v>0</v>
      </c>
      <c r="W126" s="87" t="n">
        <v>183</v>
      </c>
      <c r="X126" s="88" t="n">
        <v>0.1166347992351816</v>
      </c>
      <c r="Y126" s="87" t="n">
        <v>628</v>
      </c>
      <c r="Z126" s="90" t="n">
        <v>0.4002549394518802</v>
      </c>
      <c r="AA126" s="87" t="n">
        <v>2</v>
      </c>
      <c r="AB126" s="88" t="n">
        <v>0.001274697259400892</v>
      </c>
      <c r="AC126" s="87" t="n">
        <v>152</v>
      </c>
      <c r="AD126" s="88" t="n">
        <v>0.09687699171446781</v>
      </c>
      <c r="AE126" s="87" t="n">
        <v>30</v>
      </c>
      <c r="AF126" s="88" t="n">
        <v>0.1973684210526316</v>
      </c>
      <c r="AG126" s="87" t="n">
        <v>133</v>
      </c>
      <c r="AH126" s="88" t="n">
        <v>0.875</v>
      </c>
      <c r="AI126" s="91" t="n">
        <v>135</v>
      </c>
      <c r="AJ126" s="88" t="n">
        <v>0.08604206500956023</v>
      </c>
      <c r="AK126" s="91" t="n">
        <v>11</v>
      </c>
      <c r="AL126" s="88" t="n">
        <v>0.7925925925925926</v>
      </c>
      <c r="AM126" s="91" t="n">
        <v>132</v>
      </c>
      <c r="AN126" s="91" t="n">
        <v>107</v>
      </c>
      <c r="AO126" s="88" t="n">
        <v>0.06819630337794774</v>
      </c>
      <c r="AP126" s="88" t="n">
        <v>0.7039473684210527</v>
      </c>
      <c r="AQ126" s="89" t="n">
        <v>0.9900990099009901</v>
      </c>
      <c r="AR126" s="89" t="n">
        <v>0.5748031496062992</v>
      </c>
      <c r="AS126" s="89" t="n">
        <v>0.6062992125984252</v>
      </c>
      <c r="AT126" s="91" t="n">
        <v>0</v>
      </c>
      <c r="AU126" s="91" t="n">
        <v>0</v>
      </c>
      <c r="AV126" s="91" t="n">
        <v>51</v>
      </c>
      <c r="AW126" s="91" t="n">
        <v>45</v>
      </c>
      <c r="AX126" s="91" t="n">
        <v>45</v>
      </c>
      <c r="AY126" s="91" t="n">
        <v>26</v>
      </c>
      <c r="AZ126" s="88" t="n">
        <v>0.02868068833652008</v>
      </c>
      <c r="BA126" s="88" t="n">
        <v>0.02868068833652008</v>
      </c>
      <c r="BB126" s="88" t="n">
        <v>0.0165710643722116</v>
      </c>
      <c r="BC126" s="88" t="n">
        <v>0.4205607476635514</v>
      </c>
      <c r="BD126" s="91" t="n">
        <v>0</v>
      </c>
      <c r="BE126" s="91" t="n">
        <v>0</v>
      </c>
      <c r="BF126" s="89" t="n">
        <v>1</v>
      </c>
      <c r="BG126" s="89" t="n">
        <v>1</v>
      </c>
      <c r="BH126" s="89" t="inlineStr">
        <is>
          <t>-</t>
        </is>
      </c>
    </row>
    <row r="127" ht="19.55" customHeight="1">
      <c r="A127" s="92" t="n">
        <v>124</v>
      </c>
      <c r="B127" s="87" t="inlineStr">
        <is>
          <t>全国</t>
        </is>
      </c>
      <c r="C127" s="93" t="n">
        <v>46254</v>
      </c>
      <c r="D127" s="87" t="inlineStr">
        <is>
          <t>NX8</t>
        </is>
      </c>
      <c r="E127" s="87" t="n">
        <v>5538</v>
      </c>
      <c r="F127" s="87" t="n">
        <v>4899</v>
      </c>
      <c r="G127" s="88" t="n">
        <v>0.8846153846153846</v>
      </c>
      <c r="H127" s="87" t="n">
        <v>1890</v>
      </c>
      <c r="I127" s="89" t="n">
        <v>0.3412784398699892</v>
      </c>
      <c r="J127" s="87" t="n">
        <v>6952</v>
      </c>
      <c r="K127" s="87" t="n">
        <v>6726</v>
      </c>
      <c r="L127" s="88" t="n">
        <v>0.967</v>
      </c>
      <c r="M127" s="87" t="n">
        <v>26413</v>
      </c>
      <c r="N127" s="87" t="n">
        <v>26322</v>
      </c>
      <c r="O127" s="87" t="n">
        <v>25905</v>
      </c>
      <c r="P127" s="88" t="n">
        <v>0.9807670465301177</v>
      </c>
      <c r="Q127" s="87" t="n">
        <v>127</v>
      </c>
      <c r="R127" s="87" t="n">
        <v>0</v>
      </c>
      <c r="S127" s="87" t="n">
        <v>0</v>
      </c>
      <c r="T127" s="88" t="n">
        <v>0</v>
      </c>
      <c r="U127" s="87" t="n">
        <v>0</v>
      </c>
      <c r="V127" s="88" t="n">
        <v>0</v>
      </c>
      <c r="W127" s="87" t="n">
        <v>563</v>
      </c>
      <c r="X127" s="88" t="n">
        <v>0.1016612495485735</v>
      </c>
      <c r="Y127" s="87" t="n">
        <v>3109</v>
      </c>
      <c r="Z127" s="90" t="n">
        <v>0.5613940050559769</v>
      </c>
      <c r="AA127" s="87" t="n">
        <v>7</v>
      </c>
      <c r="AB127" s="88" t="n">
        <v>0.001263994221740701</v>
      </c>
      <c r="AC127" s="87" t="n">
        <v>550</v>
      </c>
      <c r="AD127" s="88" t="n">
        <v>0.09931383170819791</v>
      </c>
      <c r="AE127" s="87" t="n">
        <v>96</v>
      </c>
      <c r="AF127" s="88" t="n">
        <v>0.1745454545454546</v>
      </c>
      <c r="AG127" s="87" t="n">
        <v>455</v>
      </c>
      <c r="AH127" s="88" t="n">
        <v>0.8272727272727273</v>
      </c>
      <c r="AI127" s="91" t="n">
        <v>473</v>
      </c>
      <c r="AJ127" s="88" t="n">
        <v>0.0854098952690502</v>
      </c>
      <c r="AK127" s="91" t="n">
        <v>45</v>
      </c>
      <c r="AL127" s="88" t="n">
        <v>0.8498942917547568</v>
      </c>
      <c r="AM127" s="91" t="n">
        <v>461</v>
      </c>
      <c r="AN127" s="91" t="n">
        <v>402</v>
      </c>
      <c r="AO127" s="88" t="n">
        <v>0.07258938244853738</v>
      </c>
      <c r="AP127" s="88" t="n">
        <v>0.730909090909091</v>
      </c>
      <c r="AQ127" s="89" t="n">
        <v>0.967032967032967</v>
      </c>
      <c r="AR127" s="89" t="n">
        <v>0.6215644820295984</v>
      </c>
      <c r="AS127" s="89" t="n">
        <v>0.6236786469344608</v>
      </c>
      <c r="AT127" s="91" t="n">
        <v>0</v>
      </c>
      <c r="AU127" s="91" t="n">
        <v>0</v>
      </c>
      <c r="AV127" s="91" t="n">
        <v>42</v>
      </c>
      <c r="AW127" s="91" t="n">
        <v>31</v>
      </c>
      <c r="AX127" s="91" t="n">
        <v>31</v>
      </c>
      <c r="AY127" s="91" t="n">
        <v>79</v>
      </c>
      <c r="AZ127" s="88" t="n">
        <v>0.005597688696280245</v>
      </c>
      <c r="BA127" s="88" t="n">
        <v>0.005597688696280245</v>
      </c>
      <c r="BB127" s="88" t="n">
        <v>0.01426507764535933</v>
      </c>
      <c r="BC127" s="88" t="n">
        <v>0.07711442786069651</v>
      </c>
      <c r="BD127" s="91" t="n">
        <v>0</v>
      </c>
      <c r="BE127" s="91" t="n">
        <v>1</v>
      </c>
      <c r="BF127" s="89" t="n">
        <v>0.9230769230769231</v>
      </c>
      <c r="BG127" s="89" t="n">
        <v>1</v>
      </c>
      <c r="BH127" s="89" t="inlineStr">
        <is>
          <t>-</t>
        </is>
      </c>
    </row>
    <row r="128" ht="19.55" customHeight="1">
      <c r="A128" s="92" t="n">
        <v>125</v>
      </c>
      <c r="B128" s="87" t="inlineStr">
        <is>
          <t>全国</t>
        </is>
      </c>
      <c r="C128" s="93" t="n">
        <v>46254</v>
      </c>
      <c r="D128" s="87" t="inlineStr">
        <is>
          <t>天籁·鸿蒙座舱</t>
        </is>
      </c>
      <c r="E128" s="87" t="n">
        <v>3213</v>
      </c>
      <c r="F128" s="87" t="n">
        <v>2857</v>
      </c>
      <c r="G128" s="88" t="n">
        <v>0.8892001244942421</v>
      </c>
      <c r="H128" s="87" t="n">
        <v>1842</v>
      </c>
      <c r="I128" s="89" t="n">
        <v>0.5732959850606909</v>
      </c>
      <c r="J128" s="87" t="n">
        <v>4451</v>
      </c>
      <c r="K128" s="87" t="n">
        <v>4353</v>
      </c>
      <c r="L128" s="88" t="n">
        <v>0.978</v>
      </c>
      <c r="M128" s="87" t="n">
        <v>18221</v>
      </c>
      <c r="N128" s="87" t="n">
        <v>18077</v>
      </c>
      <c r="O128" s="87" t="n">
        <v>17957</v>
      </c>
      <c r="P128" s="88" t="n">
        <v>0.9855112233137588</v>
      </c>
      <c r="Q128" s="87" t="n">
        <v>40</v>
      </c>
      <c r="R128" s="87" t="n">
        <v>0</v>
      </c>
      <c r="S128" s="87" t="n">
        <v>0</v>
      </c>
      <c r="T128" s="88" t="n">
        <v>0</v>
      </c>
      <c r="U128" s="87" t="n">
        <v>0</v>
      </c>
      <c r="V128" s="88" t="n">
        <v>0</v>
      </c>
      <c r="W128" s="87" t="n">
        <v>372</v>
      </c>
      <c r="X128" s="88" t="n">
        <v>0.1157796451914099</v>
      </c>
      <c r="Y128" s="87" t="n">
        <v>1255</v>
      </c>
      <c r="Z128" s="90" t="n">
        <v>0.3906006847183318</v>
      </c>
      <c r="AA128" s="87" t="n">
        <v>22</v>
      </c>
      <c r="AB128" s="88" t="n">
        <v>0.006847183317771553</v>
      </c>
      <c r="AC128" s="87" t="n">
        <v>191</v>
      </c>
      <c r="AD128" s="88" t="n">
        <v>0.05944600062247121</v>
      </c>
      <c r="AE128" s="87" t="n">
        <v>30</v>
      </c>
      <c r="AF128" s="88" t="n">
        <v>0.1570680628272251</v>
      </c>
      <c r="AG128" s="87" t="n">
        <v>157</v>
      </c>
      <c r="AH128" s="88" t="n">
        <v>0.8219895287958116</v>
      </c>
      <c r="AI128" s="91" t="n">
        <v>171</v>
      </c>
      <c r="AJ128" s="88" t="n">
        <v>0.05322128851540616</v>
      </c>
      <c r="AK128" s="91" t="n">
        <v>10</v>
      </c>
      <c r="AL128" s="88" t="n">
        <v>0.847953216374269</v>
      </c>
      <c r="AM128" s="91" t="n">
        <v>162</v>
      </c>
      <c r="AN128" s="91" t="n">
        <v>145</v>
      </c>
      <c r="AO128" s="88" t="n">
        <v>0.0451291627762216</v>
      </c>
      <c r="AP128" s="88" t="n">
        <v>0.7591623036649214</v>
      </c>
      <c r="AQ128" s="89" t="n">
        <v>0.9113924050632911</v>
      </c>
      <c r="AR128" s="89" t="n">
        <v>0.5714285714285714</v>
      </c>
      <c r="AS128" s="89" t="n">
        <v>0.5485714285714286</v>
      </c>
      <c r="AT128" s="91" t="n">
        <v>0</v>
      </c>
      <c r="AU128" s="91" t="n">
        <v>0</v>
      </c>
      <c r="AV128" s="91" t="n">
        <v>55</v>
      </c>
      <c r="AW128" s="91" t="n">
        <v>51</v>
      </c>
      <c r="AX128" s="91" t="n">
        <v>51</v>
      </c>
      <c r="AY128" s="91" t="n">
        <v>67</v>
      </c>
      <c r="AZ128" s="88" t="n">
        <v>0.01587301587301587</v>
      </c>
      <c r="BA128" s="88" t="n">
        <v>0.01587301587301587</v>
      </c>
      <c r="BB128" s="88" t="n">
        <v>0.02085278555866791</v>
      </c>
      <c r="BC128" s="88" t="n">
        <v>0.3517241379310345</v>
      </c>
      <c r="BD128" s="91" t="n">
        <v>0</v>
      </c>
      <c r="BE128" s="91" t="n">
        <v>0</v>
      </c>
      <c r="BF128" s="89" t="n">
        <v>1</v>
      </c>
      <c r="BG128" s="89" t="n">
        <v>0.9333333333333333</v>
      </c>
      <c r="BH128" s="89" t="inlineStr">
        <is>
          <t>-</t>
        </is>
      </c>
    </row>
    <row r="129" ht="19.55" customHeight="1">
      <c r="A129" s="92" t="n">
        <v>126</v>
      </c>
      <c r="B129" s="87" t="inlineStr">
        <is>
          <t>全国</t>
        </is>
      </c>
      <c r="C129" s="93" t="n">
        <v>46255</v>
      </c>
      <c r="D129" s="87" t="n"/>
      <c r="E129" s="87" t="n">
        <v>35</v>
      </c>
      <c r="F129" s="87" t="n">
        <v>35</v>
      </c>
      <c r="G129" s="88" t="n">
        <v>1</v>
      </c>
      <c r="H129" s="87" t="n">
        <v>35</v>
      </c>
      <c r="I129" s="89" t="n">
        <v>1</v>
      </c>
      <c r="J129" s="87" t="n">
        <v>0</v>
      </c>
      <c r="K129" s="87" t="n">
        <v>0</v>
      </c>
      <c r="L129" s="88" t="n">
        <v>0</v>
      </c>
      <c r="M129" s="87" t="n">
        <v>0</v>
      </c>
      <c r="N129" s="87" t="n">
        <v>1</v>
      </c>
      <c r="O129" s="87" t="n">
        <v>0</v>
      </c>
      <c r="P129" s="88" t="n">
        <v>0</v>
      </c>
      <c r="Q129" s="87" t="n">
        <v>0</v>
      </c>
      <c r="R129" s="87" t="n">
        <v>0</v>
      </c>
      <c r="S129" s="87" t="n">
        <v>0</v>
      </c>
      <c r="T129" s="88" t="n">
        <v>0</v>
      </c>
      <c r="U129" s="87" t="n">
        <v>0</v>
      </c>
      <c r="V129" s="88" t="n">
        <v>0</v>
      </c>
      <c r="W129" s="87" t="n">
        <v>80</v>
      </c>
      <c r="X129" s="88" t="n">
        <v>2.285714285714286</v>
      </c>
      <c r="Y129" s="87" t="n">
        <v>14</v>
      </c>
      <c r="Z129" s="90" t="n">
        <v>0.4</v>
      </c>
      <c r="AA129" s="87" t="n">
        <v>0</v>
      </c>
      <c r="AB129" s="88" t="n">
        <v>0</v>
      </c>
      <c r="AC129" s="87" t="n">
        <v>0</v>
      </c>
      <c r="AD129" s="88" t="n">
        <v>0</v>
      </c>
      <c r="AE129" s="87" t="n">
        <v>0</v>
      </c>
      <c r="AF129" s="88" t="n">
        <v>0</v>
      </c>
      <c r="AG129" s="87" t="n">
        <v>0</v>
      </c>
      <c r="AH129" s="88" t="n">
        <v>0</v>
      </c>
      <c r="AI129" s="91" t="n">
        <v>0</v>
      </c>
      <c r="AJ129" s="88" t="n">
        <v>0</v>
      </c>
      <c r="AK129" s="91" t="n">
        <v>0</v>
      </c>
      <c r="AL129" s="88" t="n">
        <v>0</v>
      </c>
      <c r="AM129" s="91" t="n">
        <v>0</v>
      </c>
      <c r="AN129" s="91" t="n">
        <v>0</v>
      </c>
      <c r="AO129" s="88" t="n">
        <v>0</v>
      </c>
      <c r="AP129" s="88" t="n">
        <v>0</v>
      </c>
      <c r="AQ129" s="89" t="n"/>
      <c r="AR129" s="89" t="n">
        <v>0</v>
      </c>
      <c r="AS129" s="89" t="n">
        <v>0</v>
      </c>
      <c r="AT129" s="91" t="n">
        <v>0</v>
      </c>
      <c r="AU129" s="91" t="n">
        <v>0</v>
      </c>
      <c r="AV129" s="91" t="n">
        <v>0</v>
      </c>
      <c r="AW129" s="91" t="n">
        <v>0</v>
      </c>
      <c r="AX129" s="91" t="n">
        <v>0</v>
      </c>
      <c r="AY129" s="91" t="n">
        <v>0</v>
      </c>
      <c r="AZ129" s="88" t="n">
        <v>0</v>
      </c>
      <c r="BA129" s="88" t="n">
        <v>0</v>
      </c>
      <c r="BB129" s="88" t="n">
        <v>0</v>
      </c>
      <c r="BC129" s="88" t="n">
        <v>0</v>
      </c>
      <c r="BD129" s="91" t="n">
        <v>0</v>
      </c>
      <c r="BE129" s="91" t="n">
        <v>0</v>
      </c>
      <c r="BF129" s="89" t="inlineStr">
        <is>
          <t>-</t>
        </is>
      </c>
      <c r="BG129" s="89" t="inlineStr">
        <is>
          <t>-</t>
        </is>
      </c>
      <c r="BH129" s="89" t="n">
        <v>0.9746835443037974</v>
      </c>
    </row>
    <row r="130" ht="19.55" customHeight="1">
      <c r="A130" s="92" t="n">
        <v>127</v>
      </c>
      <c r="B130" s="87" t="inlineStr">
        <is>
          <t>全国</t>
        </is>
      </c>
      <c r="C130" s="93" t="n">
        <v>46255</v>
      </c>
      <c r="D130" s="87" t="inlineStr">
        <is>
          <t>2026款探陆</t>
        </is>
      </c>
      <c r="E130" s="87" t="n">
        <v>349</v>
      </c>
      <c r="F130" s="87" t="n">
        <v>309</v>
      </c>
      <c r="G130" s="88" t="n">
        <v>0.8853868194842407</v>
      </c>
      <c r="H130" s="87" t="n">
        <v>70</v>
      </c>
      <c r="I130" s="89" t="n">
        <v>0.2005730659025788</v>
      </c>
      <c r="J130" s="87" t="n">
        <v>383</v>
      </c>
      <c r="K130" s="87" t="n">
        <v>251</v>
      </c>
      <c r="L130" s="88" t="n">
        <v>0.655</v>
      </c>
      <c r="M130" s="87" t="n">
        <v>1092</v>
      </c>
      <c r="N130" s="87" t="n">
        <v>1098</v>
      </c>
      <c r="O130" s="87" t="n">
        <v>888</v>
      </c>
      <c r="P130" s="88" t="n">
        <v>0.8131868131868132</v>
      </c>
      <c r="Q130" s="87" t="n">
        <v>51</v>
      </c>
      <c r="R130" s="87" t="n">
        <v>0</v>
      </c>
      <c r="S130" s="87" t="n">
        <v>0</v>
      </c>
      <c r="T130" s="88" t="n">
        <v>0</v>
      </c>
      <c r="U130" s="87" t="n">
        <v>0</v>
      </c>
      <c r="V130" s="88" t="n">
        <v>0</v>
      </c>
      <c r="W130" s="87" t="n">
        <v>15</v>
      </c>
      <c r="X130" s="88" t="n">
        <v>0.04297994269340974</v>
      </c>
      <c r="Y130" s="87" t="n">
        <v>93</v>
      </c>
      <c r="Z130" s="90" t="n">
        <v>0.2664756446991404</v>
      </c>
      <c r="AA130" s="87" t="n">
        <v>37</v>
      </c>
      <c r="AB130" s="88" t="n">
        <v>0.1060171919770774</v>
      </c>
      <c r="AC130" s="87" t="n">
        <v>2</v>
      </c>
      <c r="AD130" s="88" t="n">
        <v>0.005730659025787965</v>
      </c>
      <c r="AE130" s="87" t="n">
        <v>0</v>
      </c>
      <c r="AF130" s="88" t="n">
        <v>0</v>
      </c>
      <c r="AG130" s="87" t="n">
        <v>1</v>
      </c>
      <c r="AH130" s="88" t="n">
        <v>0.5</v>
      </c>
      <c r="AI130" s="91" t="n">
        <v>0</v>
      </c>
      <c r="AJ130" s="88" t="n">
        <v>0</v>
      </c>
      <c r="AK130" s="91" t="n">
        <v>0</v>
      </c>
      <c r="AL130" s="88" t="n">
        <v>0</v>
      </c>
      <c r="AM130" s="91" t="n">
        <v>0</v>
      </c>
      <c r="AN130" s="91" t="n">
        <v>0</v>
      </c>
      <c r="AO130" s="88" t="n">
        <v>0</v>
      </c>
      <c r="AP130" s="88" t="n">
        <v>0</v>
      </c>
      <c r="AQ130" s="89" t="n"/>
      <c r="AR130" s="89" t="n">
        <v>1</v>
      </c>
      <c r="AS130" s="89" t="n">
        <v>1</v>
      </c>
      <c r="AT130" s="91" t="n">
        <v>0</v>
      </c>
      <c r="AU130" s="91" t="n">
        <v>0</v>
      </c>
      <c r="AV130" s="91" t="n">
        <v>2</v>
      </c>
      <c r="AW130" s="91" t="n">
        <v>2</v>
      </c>
      <c r="AX130" s="91" t="n">
        <v>2</v>
      </c>
      <c r="AY130" s="91" t="n">
        <v>5</v>
      </c>
      <c r="AZ130" s="88" t="n">
        <v>0.005730659025787965</v>
      </c>
      <c r="BA130" s="88" t="n">
        <v>0.005730659025787965</v>
      </c>
      <c r="BB130" s="88" t="n">
        <v>0.01432664756446991</v>
      </c>
      <c r="BC130" s="88" t="n">
        <v>0</v>
      </c>
      <c r="BD130" s="91" t="n">
        <v>0</v>
      </c>
      <c r="BE130" s="91" t="n">
        <v>0</v>
      </c>
      <c r="BF130" s="89" t="inlineStr">
        <is>
          <t>-</t>
        </is>
      </c>
      <c r="BG130" s="89" t="inlineStr">
        <is>
          <t>-</t>
        </is>
      </c>
      <c r="BH130" s="89" t="inlineStr">
        <is>
          <t>-</t>
        </is>
      </c>
    </row>
    <row r="131" ht="19.55" customHeight="1">
      <c r="A131" s="92" t="n">
        <v>128</v>
      </c>
      <c r="B131" s="87" t="inlineStr">
        <is>
          <t>全国</t>
        </is>
      </c>
      <c r="C131" s="93" t="n">
        <v>46255</v>
      </c>
      <c r="D131" s="87" t="inlineStr">
        <is>
          <t>N6</t>
        </is>
      </c>
      <c r="E131" s="87" t="n">
        <v>2166</v>
      </c>
      <c r="F131" s="87" t="n">
        <v>1902</v>
      </c>
      <c r="G131" s="88" t="n">
        <v>0.8781163434903048</v>
      </c>
      <c r="H131" s="87" t="n">
        <v>1021</v>
      </c>
      <c r="I131" s="89" t="n">
        <v>0.4713758079409049</v>
      </c>
      <c r="J131" s="87" t="n">
        <v>1758</v>
      </c>
      <c r="K131" s="87" t="n">
        <v>1689</v>
      </c>
      <c r="L131" s="88" t="n">
        <v>0.961</v>
      </c>
      <c r="M131" s="87" t="n">
        <v>8126</v>
      </c>
      <c r="N131" s="87" t="n">
        <v>8534</v>
      </c>
      <c r="O131" s="87" t="n">
        <v>7989</v>
      </c>
      <c r="P131" s="88" t="n">
        <v>0.9831405365493477</v>
      </c>
      <c r="Q131" s="87" t="n">
        <v>43</v>
      </c>
      <c r="R131" s="87" t="n">
        <v>0</v>
      </c>
      <c r="S131" s="87" t="n">
        <v>0</v>
      </c>
      <c r="T131" s="88" t="n">
        <v>0</v>
      </c>
      <c r="U131" s="87" t="n">
        <v>0</v>
      </c>
      <c r="V131" s="88" t="n">
        <v>0</v>
      </c>
      <c r="W131" s="87" t="n">
        <v>242</v>
      </c>
      <c r="X131" s="88" t="n">
        <v>0.1117266851338874</v>
      </c>
      <c r="Y131" s="87" t="n">
        <v>604</v>
      </c>
      <c r="Z131" s="90" t="n">
        <v>0.2788550323176362</v>
      </c>
      <c r="AA131" s="87" t="n">
        <v>4</v>
      </c>
      <c r="AB131" s="88" t="n">
        <v>0.001846722068328716</v>
      </c>
      <c r="AC131" s="87" t="n">
        <v>168</v>
      </c>
      <c r="AD131" s="88" t="n">
        <v>0.07756232686980609</v>
      </c>
      <c r="AE131" s="87" t="n">
        <v>47</v>
      </c>
      <c r="AF131" s="88" t="n">
        <v>0.2797619047619048</v>
      </c>
      <c r="AG131" s="87" t="n">
        <v>129</v>
      </c>
      <c r="AH131" s="88" t="n">
        <v>0.7678571428571429</v>
      </c>
      <c r="AI131" s="91" t="n">
        <v>148</v>
      </c>
      <c r="AJ131" s="88" t="n">
        <v>0.06832871652816251</v>
      </c>
      <c r="AK131" s="91" t="n">
        <v>16</v>
      </c>
      <c r="AL131" s="88" t="n">
        <v>0.9256756756756757</v>
      </c>
      <c r="AM131" s="91" t="n">
        <v>147</v>
      </c>
      <c r="AN131" s="91" t="n">
        <v>137</v>
      </c>
      <c r="AO131" s="88" t="n">
        <v>0.06325023084025855</v>
      </c>
      <c r="AP131" s="88" t="n">
        <v>0.8154761904761905</v>
      </c>
      <c r="AQ131" s="89" t="n">
        <v>0.952755905511811</v>
      </c>
      <c r="AR131" s="89" t="n">
        <v>0.7016129032258065</v>
      </c>
      <c r="AS131" s="89" t="n">
        <v>0.6693548387096774</v>
      </c>
      <c r="AT131" s="91" t="n">
        <v>0</v>
      </c>
      <c r="AU131" s="91" t="n">
        <v>0</v>
      </c>
      <c r="AV131" s="91" t="n">
        <v>38</v>
      </c>
      <c r="AW131" s="91" t="n">
        <v>34</v>
      </c>
      <c r="AX131" s="91" t="n">
        <v>30</v>
      </c>
      <c r="AY131" s="91" t="n">
        <v>29</v>
      </c>
      <c r="AZ131" s="88" t="n">
        <v>0.01569713758079409</v>
      </c>
      <c r="BA131" s="88" t="n">
        <v>0.01385041551246537</v>
      </c>
      <c r="BB131" s="88" t="n">
        <v>0.0133887349953832</v>
      </c>
      <c r="BC131" s="88" t="n">
        <v>0.218978102189781</v>
      </c>
      <c r="BD131" s="91" t="n">
        <v>0</v>
      </c>
      <c r="BE131" s="91" t="n">
        <v>0</v>
      </c>
      <c r="BF131" s="89" t="n">
        <v>0.9375</v>
      </c>
      <c r="BG131" s="89" t="n">
        <v>1</v>
      </c>
      <c r="BH131" s="89" t="inlineStr">
        <is>
          <t>-</t>
        </is>
      </c>
    </row>
    <row r="132" ht="19.55" customHeight="1">
      <c r="A132" s="92" t="n">
        <v>129</v>
      </c>
      <c r="B132" s="87" t="inlineStr">
        <is>
          <t>全国</t>
        </is>
      </c>
      <c r="C132" s="93" t="n">
        <v>46255</v>
      </c>
      <c r="D132" s="87" t="inlineStr">
        <is>
          <t>N7</t>
        </is>
      </c>
      <c r="E132" s="87" t="n">
        <v>1986</v>
      </c>
      <c r="F132" s="87" t="n">
        <v>1753</v>
      </c>
      <c r="G132" s="88" t="n">
        <v>0.8826787512588117</v>
      </c>
      <c r="H132" s="87" t="n">
        <v>1092</v>
      </c>
      <c r="I132" s="89" t="n">
        <v>0.5498489425981873</v>
      </c>
      <c r="J132" s="87" t="n">
        <v>1808</v>
      </c>
      <c r="K132" s="87" t="n">
        <v>1742</v>
      </c>
      <c r="L132" s="88" t="n">
        <v>0.963</v>
      </c>
      <c r="M132" s="87" t="n">
        <v>7149</v>
      </c>
      <c r="N132" s="87" t="n">
        <v>7413</v>
      </c>
      <c r="O132" s="87" t="n">
        <v>7003</v>
      </c>
      <c r="P132" s="88" t="n">
        <v>0.9795775632955658</v>
      </c>
      <c r="Q132" s="87" t="n">
        <v>29</v>
      </c>
      <c r="R132" s="87" t="n">
        <v>0</v>
      </c>
      <c r="S132" s="87" t="n">
        <v>0</v>
      </c>
      <c r="T132" s="88" t="n">
        <v>0</v>
      </c>
      <c r="U132" s="87" t="n">
        <v>0</v>
      </c>
      <c r="V132" s="88" t="n">
        <v>0</v>
      </c>
      <c r="W132" s="87" t="n">
        <v>295</v>
      </c>
      <c r="X132" s="88" t="n">
        <v>0.148539778449144</v>
      </c>
      <c r="Y132" s="87" t="n">
        <v>438</v>
      </c>
      <c r="Z132" s="90" t="n">
        <v>0.2205438066465257</v>
      </c>
      <c r="AA132" s="87" t="n">
        <v>1</v>
      </c>
      <c r="AB132" s="88" t="n">
        <v>0.0005035246727089627</v>
      </c>
      <c r="AC132" s="87" t="n">
        <v>170</v>
      </c>
      <c r="AD132" s="88" t="n">
        <v>0.08559919436052367</v>
      </c>
      <c r="AE132" s="87" t="n">
        <v>40</v>
      </c>
      <c r="AF132" s="88" t="n">
        <v>0.2352941176470588</v>
      </c>
      <c r="AG132" s="87" t="n">
        <v>145</v>
      </c>
      <c r="AH132" s="88" t="n">
        <v>0.8529411764705882</v>
      </c>
      <c r="AI132" s="91" t="n">
        <v>155</v>
      </c>
      <c r="AJ132" s="88" t="n">
        <v>0.07804632426988922</v>
      </c>
      <c r="AK132" s="91" t="n">
        <v>12</v>
      </c>
      <c r="AL132" s="88" t="n">
        <v>0.9225806451612903</v>
      </c>
      <c r="AM132" s="91" t="n">
        <v>152</v>
      </c>
      <c r="AN132" s="91" t="n">
        <v>143</v>
      </c>
      <c r="AO132" s="88" t="n">
        <v>0.07200402819738168</v>
      </c>
      <c r="AP132" s="88" t="n">
        <v>0.8411764705882353</v>
      </c>
      <c r="AQ132" s="89" t="n">
        <v>0.9917355371900827</v>
      </c>
      <c r="AR132" s="89" t="n">
        <v>0.6533333333333333</v>
      </c>
      <c r="AS132" s="89" t="n">
        <v>0.6666666666666666</v>
      </c>
      <c r="AT132" s="91" t="n">
        <v>0</v>
      </c>
      <c r="AU132" s="91" t="n">
        <v>0</v>
      </c>
      <c r="AV132" s="91" t="n">
        <v>26</v>
      </c>
      <c r="AW132" s="91" t="n">
        <v>23</v>
      </c>
      <c r="AX132" s="91" t="n">
        <v>22</v>
      </c>
      <c r="AY132" s="91" t="n">
        <v>41</v>
      </c>
      <c r="AZ132" s="88" t="n">
        <v>0.01158106747230614</v>
      </c>
      <c r="BA132" s="88" t="n">
        <v>0.01107754279959718</v>
      </c>
      <c r="BB132" s="88" t="n">
        <v>0.02064451158106747</v>
      </c>
      <c r="BC132" s="88" t="n">
        <v>0.1538461538461539</v>
      </c>
      <c r="BD132" s="91" t="n">
        <v>0</v>
      </c>
      <c r="BE132" s="91" t="n">
        <v>0</v>
      </c>
      <c r="BF132" s="89" t="n">
        <v>1</v>
      </c>
      <c r="BG132" s="89" t="n">
        <v>1</v>
      </c>
      <c r="BH132" s="89" t="inlineStr">
        <is>
          <t>-</t>
        </is>
      </c>
    </row>
    <row r="133" ht="19.55" customHeight="1">
      <c r="A133" s="92" t="n">
        <v>130</v>
      </c>
      <c r="B133" s="87" t="inlineStr">
        <is>
          <t>全国</t>
        </is>
      </c>
      <c r="C133" s="93" t="n">
        <v>46255</v>
      </c>
      <c r="D133" s="87" t="inlineStr">
        <is>
          <t>NX8</t>
        </is>
      </c>
      <c r="E133" s="87" t="n">
        <v>6181</v>
      </c>
      <c r="F133" s="87" t="n">
        <v>5415</v>
      </c>
      <c r="G133" s="88" t="n">
        <v>0.8760718330367254</v>
      </c>
      <c r="H133" s="87" t="n">
        <v>2110</v>
      </c>
      <c r="I133" s="89" t="n">
        <v>0.3413687105646336</v>
      </c>
      <c r="J133" s="87" t="n">
        <v>5675</v>
      </c>
      <c r="K133" s="87" t="n">
        <v>5415</v>
      </c>
      <c r="L133" s="88" t="n">
        <v>0.954</v>
      </c>
      <c r="M133" s="87" t="n">
        <v>24911</v>
      </c>
      <c r="N133" s="87" t="n">
        <v>25866</v>
      </c>
      <c r="O133" s="87" t="n">
        <v>24379</v>
      </c>
      <c r="P133" s="88" t="n">
        <v>0.9786439725422504</v>
      </c>
      <c r="Q133" s="87" t="n">
        <v>155</v>
      </c>
      <c r="R133" s="87" t="n">
        <v>0</v>
      </c>
      <c r="S133" s="87" t="n">
        <v>0</v>
      </c>
      <c r="T133" s="88" t="n">
        <v>0</v>
      </c>
      <c r="U133" s="87" t="n">
        <v>0</v>
      </c>
      <c r="V133" s="88" t="n">
        <v>0</v>
      </c>
      <c r="W133" s="87" t="n">
        <v>544</v>
      </c>
      <c r="X133" s="88" t="n">
        <v>0.08801164860055007</v>
      </c>
      <c r="Y133" s="87" t="n">
        <v>2727</v>
      </c>
      <c r="Z133" s="90" t="n">
        <v>0.4411907458340075</v>
      </c>
      <c r="AA133" s="87" t="n">
        <v>1</v>
      </c>
      <c r="AB133" s="88" t="n">
        <v>0.0001617861187510112</v>
      </c>
      <c r="AC133" s="87" t="n">
        <v>562</v>
      </c>
      <c r="AD133" s="88" t="n">
        <v>0.09092379873806827</v>
      </c>
      <c r="AE133" s="87" t="n">
        <v>110</v>
      </c>
      <c r="AF133" s="88" t="n">
        <v>0.1957295373665481</v>
      </c>
      <c r="AG133" s="87" t="n">
        <v>492</v>
      </c>
      <c r="AH133" s="88" t="n">
        <v>0.8754448398576512</v>
      </c>
      <c r="AI133" s="91" t="n">
        <v>538</v>
      </c>
      <c r="AJ133" s="88" t="n">
        <v>0.087040931888044</v>
      </c>
      <c r="AK133" s="91" t="n">
        <v>43</v>
      </c>
      <c r="AL133" s="88" t="n">
        <v>0.8494423791821561</v>
      </c>
      <c r="AM133" s="91" t="n">
        <v>519</v>
      </c>
      <c r="AN133" s="91" t="n">
        <v>457</v>
      </c>
      <c r="AO133" s="88" t="n">
        <v>0.0739362562692121</v>
      </c>
      <c r="AP133" s="88" t="n">
        <v>0.8131672597864769</v>
      </c>
      <c r="AQ133" s="89" t="n">
        <v>0.9750566893424036</v>
      </c>
      <c r="AR133" s="89" t="n">
        <v>0.5982142857142857</v>
      </c>
      <c r="AS133" s="89" t="n">
        <v>0.6196428571428572</v>
      </c>
      <c r="AT133" s="91" t="n">
        <v>0</v>
      </c>
      <c r="AU133" s="91" t="n">
        <v>0</v>
      </c>
      <c r="AV133" s="91" t="n">
        <v>89</v>
      </c>
      <c r="AW133" s="91" t="n">
        <v>73</v>
      </c>
      <c r="AX133" s="91" t="n">
        <v>71</v>
      </c>
      <c r="AY133" s="91" t="n">
        <v>94</v>
      </c>
      <c r="AZ133" s="88" t="n">
        <v>0.01181038666882381</v>
      </c>
      <c r="BA133" s="88" t="n">
        <v>0.01148681443132179</v>
      </c>
      <c r="BB133" s="88" t="n">
        <v>0.01520789516259505</v>
      </c>
      <c r="BC133" s="88" t="n">
        <v>0.1553610503282276</v>
      </c>
      <c r="BD133" s="91" t="n">
        <v>0</v>
      </c>
      <c r="BE133" s="91" t="n">
        <v>1</v>
      </c>
      <c r="BF133" s="89" t="n">
        <v>0.9615384615384616</v>
      </c>
      <c r="BG133" s="89" t="n">
        <v>1</v>
      </c>
      <c r="BH133" s="89" t="inlineStr">
        <is>
          <t>-</t>
        </is>
      </c>
    </row>
    <row r="134" ht="19.55" customHeight="1">
      <c r="A134" s="92" t="n">
        <v>131</v>
      </c>
      <c r="B134" s="87" t="inlineStr">
        <is>
          <t>全国</t>
        </is>
      </c>
      <c r="C134" s="93" t="n">
        <v>46255</v>
      </c>
      <c r="D134" s="87" t="inlineStr">
        <is>
          <t>天籁·鸿蒙座舱</t>
        </is>
      </c>
      <c r="E134" s="87" t="n">
        <v>3924</v>
      </c>
      <c r="F134" s="87" t="n">
        <v>3466</v>
      </c>
      <c r="G134" s="88" t="n">
        <v>0.8832823649337411</v>
      </c>
      <c r="H134" s="87" t="n">
        <v>2113</v>
      </c>
      <c r="I134" s="89" t="n">
        <v>0.5384811416921509</v>
      </c>
      <c r="J134" s="87" t="n">
        <v>4516</v>
      </c>
      <c r="K134" s="87" t="n">
        <v>4389</v>
      </c>
      <c r="L134" s="88" t="n">
        <v>0.972</v>
      </c>
      <c r="M134" s="87" t="n">
        <v>18650</v>
      </c>
      <c r="N134" s="87" t="n">
        <v>19642</v>
      </c>
      <c r="O134" s="87" t="n">
        <v>18384</v>
      </c>
      <c r="P134" s="88" t="n">
        <v>0.9857372654155496</v>
      </c>
      <c r="Q134" s="87" t="n">
        <v>48</v>
      </c>
      <c r="R134" s="87" t="n">
        <v>0</v>
      </c>
      <c r="S134" s="87" t="n">
        <v>0</v>
      </c>
      <c r="T134" s="88" t="n">
        <v>0</v>
      </c>
      <c r="U134" s="87" t="n">
        <v>0</v>
      </c>
      <c r="V134" s="88" t="n">
        <v>0</v>
      </c>
      <c r="W134" s="87" t="n">
        <v>387</v>
      </c>
      <c r="X134" s="88" t="n">
        <v>0.09862385321100918</v>
      </c>
      <c r="Y134" s="87" t="n">
        <v>1170</v>
      </c>
      <c r="Z134" s="90" t="n">
        <v>0.2981651376146789</v>
      </c>
      <c r="AA134" s="87" t="n">
        <v>13</v>
      </c>
      <c r="AB134" s="88" t="n">
        <v>0.003312945973496432</v>
      </c>
      <c r="AC134" s="87" t="n">
        <v>202</v>
      </c>
      <c r="AD134" s="88" t="n">
        <v>0.05147808358817533</v>
      </c>
      <c r="AE134" s="87" t="n">
        <v>52</v>
      </c>
      <c r="AF134" s="88" t="n">
        <v>0.2574257425742574</v>
      </c>
      <c r="AG134" s="87" t="n">
        <v>163</v>
      </c>
      <c r="AH134" s="88" t="n">
        <v>0.806930693069307</v>
      </c>
      <c r="AI134" s="91" t="n">
        <v>172</v>
      </c>
      <c r="AJ134" s="88" t="n">
        <v>0.04383282364933741</v>
      </c>
      <c r="AK134" s="91" t="n">
        <v>19</v>
      </c>
      <c r="AL134" s="88" t="n">
        <v>0.8546511627906976</v>
      </c>
      <c r="AM134" s="91" t="n">
        <v>167</v>
      </c>
      <c r="AN134" s="91" t="n">
        <v>147</v>
      </c>
      <c r="AO134" s="88" t="n">
        <v>0.03746177370030581</v>
      </c>
      <c r="AP134" s="88" t="n">
        <v>0.7277227722772277</v>
      </c>
      <c r="AQ134" s="89" t="n">
        <v>0.9570552147239264</v>
      </c>
      <c r="AR134" s="89" t="n">
        <v>0.5314285714285715</v>
      </c>
      <c r="AS134" s="89" t="n">
        <v>0.48</v>
      </c>
      <c r="AT134" s="91" t="n">
        <v>0</v>
      </c>
      <c r="AU134" s="91" t="n">
        <v>0</v>
      </c>
      <c r="AV134" s="91" t="n">
        <v>76</v>
      </c>
      <c r="AW134" s="91" t="n">
        <v>66</v>
      </c>
      <c r="AX134" s="91" t="n">
        <v>65</v>
      </c>
      <c r="AY134" s="91" t="n">
        <v>86</v>
      </c>
      <c r="AZ134" s="88" t="n">
        <v>0.01681957186544342</v>
      </c>
      <c r="BA134" s="88" t="n">
        <v>0.01656472986748216</v>
      </c>
      <c r="BB134" s="88" t="n">
        <v>0.02191641182466871</v>
      </c>
      <c r="BC134" s="88" t="n">
        <v>0.4421768707482993</v>
      </c>
      <c r="BD134" s="91" t="n">
        <v>0</v>
      </c>
      <c r="BE134" s="91" t="n">
        <v>0</v>
      </c>
      <c r="BF134" s="89" t="n">
        <v>1</v>
      </c>
      <c r="BG134" s="89" t="n">
        <v>1</v>
      </c>
      <c r="BH134" s="89" t="inlineStr">
        <is>
          <t>-</t>
        </is>
      </c>
    </row>
    <row r="135" ht="19.55" customHeight="1">
      <c r="A135" s="92" t="n">
        <v>132</v>
      </c>
      <c r="B135" s="87" t="inlineStr">
        <is>
          <t>全国</t>
        </is>
      </c>
      <c r="C135" s="93" t="n">
        <v>46256</v>
      </c>
      <c r="D135" s="87" t="n"/>
      <c r="E135" s="87" t="n">
        <v>66</v>
      </c>
      <c r="F135" s="87" t="n">
        <v>64</v>
      </c>
      <c r="G135" s="88" t="n">
        <v>0.9696969696969697</v>
      </c>
      <c r="H135" s="87" t="n">
        <v>66</v>
      </c>
      <c r="I135" s="89" t="n">
        <v>1</v>
      </c>
      <c r="J135" s="87" t="n">
        <v>0</v>
      </c>
      <c r="K135" s="87" t="n">
        <v>0</v>
      </c>
      <c r="L135" s="88" t="n">
        <v>0</v>
      </c>
      <c r="M135" s="87" t="n">
        <v>3</v>
      </c>
      <c r="N135" s="87" t="n">
        <v>2</v>
      </c>
      <c r="O135" s="87" t="n">
        <v>3</v>
      </c>
      <c r="P135" s="88" t="n">
        <v>1</v>
      </c>
      <c r="Q135" s="87" t="n">
        <v>0</v>
      </c>
      <c r="R135" s="87" t="n">
        <v>0</v>
      </c>
      <c r="S135" s="87" t="n">
        <v>0</v>
      </c>
      <c r="T135" s="88" t="n">
        <v>0</v>
      </c>
      <c r="U135" s="87" t="n">
        <v>0</v>
      </c>
      <c r="V135" s="88" t="n">
        <v>0</v>
      </c>
      <c r="W135" s="87" t="n">
        <v>44</v>
      </c>
      <c r="X135" s="88" t="n">
        <v>0.6666666666666666</v>
      </c>
      <c r="Y135" s="87" t="n">
        <v>19</v>
      </c>
      <c r="Z135" s="90" t="n">
        <v>0.2878787878787879</v>
      </c>
      <c r="AA135" s="87" t="n">
        <v>0</v>
      </c>
      <c r="AB135" s="88" t="n">
        <v>0</v>
      </c>
      <c r="AC135" s="87" t="n">
        <v>0</v>
      </c>
      <c r="AD135" s="88" t="n">
        <v>0</v>
      </c>
      <c r="AE135" s="87" t="n">
        <v>0</v>
      </c>
      <c r="AF135" s="88" t="n">
        <v>0</v>
      </c>
      <c r="AG135" s="87" t="n">
        <v>0</v>
      </c>
      <c r="AH135" s="88" t="n">
        <v>0</v>
      </c>
      <c r="AI135" s="91" t="n">
        <v>0</v>
      </c>
      <c r="AJ135" s="88" t="n">
        <v>0</v>
      </c>
      <c r="AK135" s="91" t="n">
        <v>0</v>
      </c>
      <c r="AL135" s="88" t="n">
        <v>0</v>
      </c>
      <c r="AM135" s="91" t="n">
        <v>0</v>
      </c>
      <c r="AN135" s="91" t="n">
        <v>0</v>
      </c>
      <c r="AO135" s="88" t="n">
        <v>0</v>
      </c>
      <c r="AP135" s="88" t="n">
        <v>0</v>
      </c>
      <c r="AQ135" s="89" t="n"/>
      <c r="AR135" s="89" t="n">
        <v>0</v>
      </c>
      <c r="AS135" s="89" t="n">
        <v>0</v>
      </c>
      <c r="AT135" s="91" t="n">
        <v>0</v>
      </c>
      <c r="AU135" s="91" t="n">
        <v>0</v>
      </c>
      <c r="AV135" s="91" t="n">
        <v>0</v>
      </c>
      <c r="AW135" s="91" t="n">
        <v>0</v>
      </c>
      <c r="AX135" s="91" t="n">
        <v>0</v>
      </c>
      <c r="AY135" s="91" t="n">
        <v>0</v>
      </c>
      <c r="AZ135" s="88" t="n">
        <v>0</v>
      </c>
      <c r="BA135" s="88" t="n">
        <v>0</v>
      </c>
      <c r="BB135" s="88" t="n">
        <v>0</v>
      </c>
      <c r="BC135" s="88" t="n">
        <v>0</v>
      </c>
      <c r="BD135" s="91" t="n">
        <v>0</v>
      </c>
      <c r="BE135" s="91" t="n">
        <v>1</v>
      </c>
      <c r="BF135" s="89" t="inlineStr">
        <is>
          <t>-</t>
        </is>
      </c>
      <c r="BG135" s="89" t="inlineStr">
        <is>
          <t>-</t>
        </is>
      </c>
      <c r="BH135" s="89" t="n">
        <v>0.953125</v>
      </c>
    </row>
    <row r="136" ht="19.55" customHeight="1">
      <c r="A136" s="92" t="n">
        <v>133</v>
      </c>
      <c r="B136" s="87" t="inlineStr">
        <is>
          <t>全国</t>
        </is>
      </c>
      <c r="C136" s="93" t="n">
        <v>46256</v>
      </c>
      <c r="D136" s="87" t="inlineStr">
        <is>
          <t>2026款探陆</t>
        </is>
      </c>
      <c r="E136" s="87" t="n">
        <v>346</v>
      </c>
      <c r="F136" s="87" t="n">
        <v>309</v>
      </c>
      <c r="G136" s="88" t="n">
        <v>0.8930635838150289</v>
      </c>
      <c r="H136" s="87" t="n">
        <v>83</v>
      </c>
      <c r="I136" s="89" t="n">
        <v>0.2398843930635838</v>
      </c>
      <c r="J136" s="87" t="n">
        <v>400</v>
      </c>
      <c r="K136" s="87" t="n">
        <v>284</v>
      </c>
      <c r="L136" s="88" t="n">
        <v>0.71</v>
      </c>
      <c r="M136" s="87" t="n">
        <v>1197</v>
      </c>
      <c r="N136" s="87" t="n">
        <v>1223</v>
      </c>
      <c r="O136" s="87" t="n">
        <v>1029</v>
      </c>
      <c r="P136" s="88" t="n">
        <v>0.8596491228070176</v>
      </c>
      <c r="Q136" s="87" t="n">
        <v>50</v>
      </c>
      <c r="R136" s="87" t="n">
        <v>0</v>
      </c>
      <c r="S136" s="87" t="n">
        <v>0</v>
      </c>
      <c r="T136" s="88" t="n">
        <v>0</v>
      </c>
      <c r="U136" s="87" t="n">
        <v>0</v>
      </c>
      <c r="V136" s="88" t="n">
        <v>0</v>
      </c>
      <c r="W136" s="87" t="n">
        <v>14</v>
      </c>
      <c r="X136" s="88" t="n">
        <v>0.04046242774566474</v>
      </c>
      <c r="Y136" s="87" t="n">
        <v>175</v>
      </c>
      <c r="Z136" s="90" t="n">
        <v>0.5057803468208093</v>
      </c>
      <c r="AA136" s="87" t="n">
        <v>24</v>
      </c>
      <c r="AB136" s="88" t="n">
        <v>0.06936416184971098</v>
      </c>
      <c r="AC136" s="87" t="n">
        <v>2</v>
      </c>
      <c r="AD136" s="88" t="n">
        <v>0.005780346820809248</v>
      </c>
      <c r="AE136" s="87" t="n">
        <v>0</v>
      </c>
      <c r="AF136" s="88" t="n">
        <v>0</v>
      </c>
      <c r="AG136" s="87" t="n">
        <v>1</v>
      </c>
      <c r="AH136" s="88" t="n">
        <v>0.5</v>
      </c>
      <c r="AI136" s="91" t="n">
        <v>0</v>
      </c>
      <c r="AJ136" s="88" t="n">
        <v>0</v>
      </c>
      <c r="AK136" s="91" t="n">
        <v>0</v>
      </c>
      <c r="AL136" s="88" t="n">
        <v>0</v>
      </c>
      <c r="AM136" s="91" t="n">
        <v>0</v>
      </c>
      <c r="AN136" s="91" t="n">
        <v>0</v>
      </c>
      <c r="AO136" s="88" t="n">
        <v>0</v>
      </c>
      <c r="AP136" s="88" t="n">
        <v>0</v>
      </c>
      <c r="AQ136" s="89" t="n">
        <v>1</v>
      </c>
      <c r="AR136" s="89" t="n">
        <v>1</v>
      </c>
      <c r="AS136" s="89" t="n">
        <v>1</v>
      </c>
      <c r="AT136" s="91" t="n">
        <v>0</v>
      </c>
      <c r="AU136" s="91" t="n">
        <v>0</v>
      </c>
      <c r="AV136" s="91" t="n">
        <v>9</v>
      </c>
      <c r="AW136" s="91" t="n">
        <v>9</v>
      </c>
      <c r="AX136" s="91" t="n">
        <v>9</v>
      </c>
      <c r="AY136" s="91" t="n">
        <v>2</v>
      </c>
      <c r="AZ136" s="88" t="n">
        <v>0.02601156069364162</v>
      </c>
      <c r="BA136" s="88" t="n">
        <v>0.02601156069364162</v>
      </c>
      <c r="BB136" s="88" t="n">
        <v>0.005780346820809248</v>
      </c>
      <c r="BC136" s="88" t="n">
        <v>0</v>
      </c>
      <c r="BD136" s="91" t="n">
        <v>0</v>
      </c>
      <c r="BE136" s="91" t="n">
        <v>0</v>
      </c>
      <c r="BF136" s="89" t="inlineStr">
        <is>
          <t>-</t>
        </is>
      </c>
      <c r="BG136" s="89" t="n">
        <v>1</v>
      </c>
      <c r="BH136" s="89" t="inlineStr">
        <is>
          <t>-</t>
        </is>
      </c>
    </row>
    <row r="137" ht="19.55" customHeight="1">
      <c r="A137" s="92" t="n">
        <v>134</v>
      </c>
      <c r="B137" s="87" t="inlineStr">
        <is>
          <t>全国</t>
        </is>
      </c>
      <c r="C137" s="93" t="n">
        <v>46256</v>
      </c>
      <c r="D137" s="87" t="inlineStr">
        <is>
          <t>N6</t>
        </is>
      </c>
      <c r="E137" s="87" t="n">
        <v>1777</v>
      </c>
      <c r="F137" s="87" t="n">
        <v>1595</v>
      </c>
      <c r="G137" s="88" t="n">
        <v>0.8975801913337085</v>
      </c>
      <c r="H137" s="87" t="n">
        <v>834</v>
      </c>
      <c r="I137" s="89" t="n">
        <v>0.4693303320202589</v>
      </c>
      <c r="J137" s="87" t="n">
        <v>1727</v>
      </c>
      <c r="K137" s="87" t="n">
        <v>1673</v>
      </c>
      <c r="L137" s="88" t="n">
        <v>0.969</v>
      </c>
      <c r="M137" s="87" t="n">
        <v>8012</v>
      </c>
      <c r="N137" s="87" t="n">
        <v>8050</v>
      </c>
      <c r="O137" s="87" t="n">
        <v>7893</v>
      </c>
      <c r="P137" s="88" t="n">
        <v>0.9851472790813779</v>
      </c>
      <c r="Q137" s="87" t="n">
        <v>33</v>
      </c>
      <c r="R137" s="87" t="n">
        <v>0</v>
      </c>
      <c r="S137" s="87" t="n">
        <v>0</v>
      </c>
      <c r="T137" s="88" t="n">
        <v>0</v>
      </c>
      <c r="U137" s="87" t="n">
        <v>0</v>
      </c>
      <c r="V137" s="88" t="n">
        <v>0</v>
      </c>
      <c r="W137" s="87" t="n">
        <v>284</v>
      </c>
      <c r="X137" s="88" t="n">
        <v>0.1598199212155318</v>
      </c>
      <c r="Y137" s="87" t="n">
        <v>522</v>
      </c>
      <c r="Z137" s="90" t="n">
        <v>0.2937535171637591</v>
      </c>
      <c r="AA137" s="87" t="n">
        <v>1</v>
      </c>
      <c r="AB137" s="88" t="n">
        <v>0.0005627462014631402</v>
      </c>
      <c r="AC137" s="87" t="n">
        <v>227</v>
      </c>
      <c r="AD137" s="88" t="n">
        <v>0.1277433877321328</v>
      </c>
      <c r="AE137" s="87" t="n">
        <v>56</v>
      </c>
      <c r="AF137" s="88" t="n">
        <v>0.2466960352422908</v>
      </c>
      <c r="AG137" s="87" t="n">
        <v>192</v>
      </c>
      <c r="AH137" s="88" t="n">
        <v>0.8458149779735683</v>
      </c>
      <c r="AI137" s="91" t="n">
        <v>222</v>
      </c>
      <c r="AJ137" s="88" t="n">
        <v>0.1249296567248171</v>
      </c>
      <c r="AK137" s="91" t="n">
        <v>19</v>
      </c>
      <c r="AL137" s="88" t="n">
        <v>0.7387387387387387</v>
      </c>
      <c r="AM137" s="91" t="n">
        <v>218</v>
      </c>
      <c r="AN137" s="91" t="n">
        <v>164</v>
      </c>
      <c r="AO137" s="88" t="n">
        <v>0.09229037703995498</v>
      </c>
      <c r="AP137" s="88" t="n">
        <v>0.7224669603524229</v>
      </c>
      <c r="AQ137" s="89" t="n">
        <v>1</v>
      </c>
      <c r="AR137" s="89" t="n">
        <v>0.4549763033175355</v>
      </c>
      <c r="AS137" s="89" t="n">
        <v>0.4739336492890995</v>
      </c>
      <c r="AT137" s="91" t="n">
        <v>0</v>
      </c>
      <c r="AU137" s="91" t="n">
        <v>0</v>
      </c>
      <c r="AV137" s="91" t="n">
        <v>44</v>
      </c>
      <c r="AW137" s="91" t="n">
        <v>43</v>
      </c>
      <c r="AX137" s="91" t="n">
        <v>41</v>
      </c>
      <c r="AY137" s="91" t="n">
        <v>22</v>
      </c>
      <c r="AZ137" s="88" t="n">
        <v>0.02419808666291503</v>
      </c>
      <c r="BA137" s="88" t="n">
        <v>0.02307259425998874</v>
      </c>
      <c r="BB137" s="88" t="n">
        <v>0.01238041643218908</v>
      </c>
      <c r="BC137" s="88" t="n">
        <v>0.25</v>
      </c>
      <c r="BD137" s="91" t="n">
        <v>0</v>
      </c>
      <c r="BE137" s="91" t="n">
        <v>0</v>
      </c>
      <c r="BF137" s="89" t="n">
        <v>1</v>
      </c>
      <c r="BG137" s="89" t="n">
        <v>1</v>
      </c>
      <c r="BH137" s="89" t="inlineStr">
        <is>
          <t>-</t>
        </is>
      </c>
    </row>
    <row r="138" ht="19.55" customHeight="1">
      <c r="A138" s="92" t="n">
        <v>135</v>
      </c>
      <c r="B138" s="87" t="inlineStr">
        <is>
          <t>全国</t>
        </is>
      </c>
      <c r="C138" s="93" t="n">
        <v>46256</v>
      </c>
      <c r="D138" s="87" t="inlineStr">
        <is>
          <t>N7</t>
        </is>
      </c>
      <c r="E138" s="87" t="n">
        <v>1819</v>
      </c>
      <c r="F138" s="87" t="n">
        <v>1600</v>
      </c>
      <c r="G138" s="88" t="n">
        <v>0.879604178119846</v>
      </c>
      <c r="H138" s="87" t="n">
        <v>1078</v>
      </c>
      <c r="I138" s="89" t="n">
        <v>0.5926333150082463</v>
      </c>
      <c r="J138" s="87" t="n">
        <v>1621</v>
      </c>
      <c r="K138" s="87" t="n">
        <v>1561</v>
      </c>
      <c r="L138" s="88" t="n">
        <v>0.963</v>
      </c>
      <c r="M138" s="87" t="n">
        <v>6896</v>
      </c>
      <c r="N138" s="87" t="n">
        <v>7162</v>
      </c>
      <c r="O138" s="87" t="n">
        <v>6754</v>
      </c>
      <c r="P138" s="88" t="n">
        <v>0.9794083526682135</v>
      </c>
      <c r="Q138" s="87" t="n">
        <v>33</v>
      </c>
      <c r="R138" s="87" t="n">
        <v>0</v>
      </c>
      <c r="S138" s="87" t="n">
        <v>0</v>
      </c>
      <c r="T138" s="88" t="n">
        <v>0</v>
      </c>
      <c r="U138" s="87" t="n">
        <v>0</v>
      </c>
      <c r="V138" s="88" t="n">
        <v>0</v>
      </c>
      <c r="W138" s="87" t="n">
        <v>299</v>
      </c>
      <c r="X138" s="88" t="n">
        <v>0.1643760307861462</v>
      </c>
      <c r="Y138" s="87" t="n">
        <v>657</v>
      </c>
      <c r="Z138" s="90" t="n">
        <v>0.3611874656404618</v>
      </c>
      <c r="AA138" s="87" t="n">
        <v>1</v>
      </c>
      <c r="AB138" s="88" t="n">
        <v>0.0005497526113249038</v>
      </c>
      <c r="AC138" s="87" t="n">
        <v>230</v>
      </c>
      <c r="AD138" s="88" t="n">
        <v>0.1264431006047279</v>
      </c>
      <c r="AE138" s="87" t="n">
        <v>40</v>
      </c>
      <c r="AF138" s="88" t="n">
        <v>0.1739130434782609</v>
      </c>
      <c r="AG138" s="87" t="n">
        <v>208</v>
      </c>
      <c r="AH138" s="88" t="n">
        <v>0.9043478260869565</v>
      </c>
      <c r="AI138" s="91" t="n">
        <v>216</v>
      </c>
      <c r="AJ138" s="88" t="n">
        <v>0.1187465640461792</v>
      </c>
      <c r="AK138" s="91" t="n">
        <v>15</v>
      </c>
      <c r="AL138" s="88" t="n">
        <v>0.8657407407407407</v>
      </c>
      <c r="AM138" s="91" t="n">
        <v>213</v>
      </c>
      <c r="AN138" s="91" t="n">
        <v>187</v>
      </c>
      <c r="AO138" s="88" t="n">
        <v>0.102803738317757</v>
      </c>
      <c r="AP138" s="88" t="n">
        <v>0.8130434782608695</v>
      </c>
      <c r="AQ138" s="89" t="n">
        <v>0.9788732394366197</v>
      </c>
      <c r="AR138" s="89" t="n">
        <v>0.4639639639639639</v>
      </c>
      <c r="AS138" s="89" t="n">
        <v>0.4504504504504505</v>
      </c>
      <c r="AT138" s="91" t="n">
        <v>0</v>
      </c>
      <c r="AU138" s="91" t="n">
        <v>0</v>
      </c>
      <c r="AV138" s="91" t="n">
        <v>55</v>
      </c>
      <c r="AW138" s="91" t="n">
        <v>54</v>
      </c>
      <c r="AX138" s="91" t="n">
        <v>48</v>
      </c>
      <c r="AY138" s="91" t="n">
        <v>30</v>
      </c>
      <c r="AZ138" s="88" t="n">
        <v>0.02968664101154481</v>
      </c>
      <c r="BA138" s="88" t="n">
        <v>0.02638812534359538</v>
      </c>
      <c r="BB138" s="88" t="n">
        <v>0.01649257833974711</v>
      </c>
      <c r="BC138" s="88" t="n">
        <v>0.2566844919786097</v>
      </c>
      <c r="BD138" s="91" t="n">
        <v>0</v>
      </c>
      <c r="BE138" s="91" t="n">
        <v>0</v>
      </c>
      <c r="BF138" s="89" t="n">
        <v>1</v>
      </c>
      <c r="BG138" s="89" t="n">
        <v>1</v>
      </c>
      <c r="BH138" s="89" t="inlineStr">
        <is>
          <t>-</t>
        </is>
      </c>
    </row>
    <row r="139" ht="19.55" customHeight="1">
      <c r="A139" s="92" t="n">
        <v>136</v>
      </c>
      <c r="B139" s="87" t="inlineStr">
        <is>
          <t>全国</t>
        </is>
      </c>
      <c r="C139" s="93" t="n">
        <v>46256</v>
      </c>
      <c r="D139" s="87" t="inlineStr">
        <is>
          <t>NX8</t>
        </is>
      </c>
      <c r="E139" s="87" t="n">
        <v>6128</v>
      </c>
      <c r="F139" s="87" t="n">
        <v>5441</v>
      </c>
      <c r="G139" s="88" t="n">
        <v>0.8878916449086162</v>
      </c>
      <c r="H139" s="87" t="n">
        <v>2302</v>
      </c>
      <c r="I139" s="89" t="n">
        <v>0.3756527415143603</v>
      </c>
      <c r="J139" s="87" t="n">
        <v>4837</v>
      </c>
      <c r="K139" s="87" t="n">
        <v>4648</v>
      </c>
      <c r="L139" s="88" t="n">
        <v>0.961</v>
      </c>
      <c r="M139" s="87" t="n">
        <v>25180</v>
      </c>
      <c r="N139" s="87" t="n">
        <v>25433</v>
      </c>
      <c r="O139" s="87" t="n">
        <v>24720</v>
      </c>
      <c r="P139" s="88" t="n">
        <v>0.9817315329626688</v>
      </c>
      <c r="Q139" s="87" t="n">
        <v>134</v>
      </c>
      <c r="R139" s="87" t="n">
        <v>0</v>
      </c>
      <c r="S139" s="87" t="n">
        <v>0</v>
      </c>
      <c r="T139" s="88" t="n">
        <v>0</v>
      </c>
      <c r="U139" s="87" t="n">
        <v>0</v>
      </c>
      <c r="V139" s="88" t="n">
        <v>0</v>
      </c>
      <c r="W139" s="87" t="n">
        <v>1015</v>
      </c>
      <c r="X139" s="88" t="n">
        <v>0.1656331592689295</v>
      </c>
      <c r="Y139" s="87" t="n">
        <v>3963</v>
      </c>
      <c r="Z139" s="90" t="n">
        <v>0.6467036553524804</v>
      </c>
      <c r="AA139" s="87" t="n">
        <v>6</v>
      </c>
      <c r="AB139" s="88" t="n">
        <v>0.0009791122715404699</v>
      </c>
      <c r="AC139" s="87" t="n">
        <v>921</v>
      </c>
      <c r="AD139" s="88" t="n">
        <v>0.1502937336814621</v>
      </c>
      <c r="AE139" s="87" t="n">
        <v>160</v>
      </c>
      <c r="AF139" s="88" t="n">
        <v>0.1737242128121607</v>
      </c>
      <c r="AG139" s="87" t="n">
        <v>777</v>
      </c>
      <c r="AH139" s="88" t="n">
        <v>0.8436482084690554</v>
      </c>
      <c r="AI139" s="91" t="n">
        <v>860</v>
      </c>
      <c r="AJ139" s="88" t="n">
        <v>0.1403394255874674</v>
      </c>
      <c r="AK139" s="91" t="n">
        <v>59</v>
      </c>
      <c r="AL139" s="88" t="n">
        <v>0.7604651162790698</v>
      </c>
      <c r="AM139" s="91" t="n">
        <v>788</v>
      </c>
      <c r="AN139" s="91" t="n">
        <v>654</v>
      </c>
      <c r="AO139" s="88" t="n">
        <v>0.1067232375979112</v>
      </c>
      <c r="AP139" s="88" t="n">
        <v>0.7100977198697068</v>
      </c>
      <c r="AQ139" s="89" t="n">
        <v>0.9751434034416826</v>
      </c>
      <c r="AR139" s="89" t="n">
        <v>0.4085365853658536</v>
      </c>
      <c r="AS139" s="89" t="n">
        <v>0.4317073170731707</v>
      </c>
      <c r="AT139" s="91" t="n">
        <v>0</v>
      </c>
      <c r="AU139" s="91" t="n">
        <v>0</v>
      </c>
      <c r="AV139" s="91" t="n">
        <v>130</v>
      </c>
      <c r="AW139" s="91" t="n">
        <v>123</v>
      </c>
      <c r="AX139" s="91" t="n">
        <v>119</v>
      </c>
      <c r="AY139" s="91" t="n">
        <v>59</v>
      </c>
      <c r="AZ139" s="88" t="n">
        <v>0.02007180156657963</v>
      </c>
      <c r="BA139" s="88" t="n">
        <v>0.01941906005221932</v>
      </c>
      <c r="BB139" s="88" t="n">
        <v>0.009627937336814621</v>
      </c>
      <c r="BC139" s="88" t="n">
        <v>0.1819571865443425</v>
      </c>
      <c r="BD139" s="91" t="n">
        <v>0</v>
      </c>
      <c r="BE139" s="91" t="n">
        <v>0</v>
      </c>
      <c r="BF139" s="89" t="n">
        <v>1</v>
      </c>
      <c r="BG139" s="89" t="n">
        <v>1</v>
      </c>
      <c r="BH139" s="89" t="inlineStr">
        <is>
          <t>-</t>
        </is>
      </c>
    </row>
    <row r="140" ht="19.55" customHeight="1">
      <c r="A140" s="92" t="n">
        <v>137</v>
      </c>
      <c r="B140" s="87" t="inlineStr">
        <is>
          <t>全国</t>
        </is>
      </c>
      <c r="C140" s="93" t="n">
        <v>46256</v>
      </c>
      <c r="D140" s="87" t="inlineStr">
        <is>
          <t>天籁·鸿蒙座舱</t>
        </is>
      </c>
      <c r="E140" s="87" t="n">
        <v>4013</v>
      </c>
      <c r="F140" s="87" t="n">
        <v>3554</v>
      </c>
      <c r="G140" s="88" t="n">
        <v>0.8856217293795166</v>
      </c>
      <c r="H140" s="87" t="n">
        <v>2732</v>
      </c>
      <c r="I140" s="89" t="n">
        <v>0.6807874408173437</v>
      </c>
      <c r="J140" s="87" t="n">
        <v>5441</v>
      </c>
      <c r="K140" s="87" t="n">
        <v>5331</v>
      </c>
      <c r="L140" s="88" t="n">
        <v>0.98</v>
      </c>
      <c r="M140" s="87" t="n">
        <v>20460</v>
      </c>
      <c r="N140" s="87" t="n">
        <v>20658</v>
      </c>
      <c r="O140" s="87" t="n">
        <v>20178</v>
      </c>
      <c r="P140" s="88" t="n">
        <v>0.9862170087976539</v>
      </c>
      <c r="Q140" s="87" t="n">
        <v>59</v>
      </c>
      <c r="R140" s="87" t="n">
        <v>0</v>
      </c>
      <c r="S140" s="87" t="n">
        <v>0</v>
      </c>
      <c r="T140" s="88" t="n">
        <v>0</v>
      </c>
      <c r="U140" s="87" t="n">
        <v>0</v>
      </c>
      <c r="V140" s="88" t="n">
        <v>0</v>
      </c>
      <c r="W140" s="87" t="n">
        <v>557</v>
      </c>
      <c r="X140" s="88" t="n">
        <v>0.1387989035634189</v>
      </c>
      <c r="Y140" s="87" t="n">
        <v>1243</v>
      </c>
      <c r="Z140" s="90" t="n">
        <v>0.3097433341639671</v>
      </c>
      <c r="AA140" s="87" t="n">
        <v>6</v>
      </c>
      <c r="AB140" s="88" t="n">
        <v>0.00149514079242462</v>
      </c>
      <c r="AC140" s="87" t="n">
        <v>334</v>
      </c>
      <c r="AD140" s="88" t="n">
        <v>0.08322950411163718</v>
      </c>
      <c r="AE140" s="87" t="n">
        <v>55</v>
      </c>
      <c r="AF140" s="88" t="n">
        <v>0.1646706586826347</v>
      </c>
      <c r="AG140" s="87" t="n">
        <v>281</v>
      </c>
      <c r="AH140" s="88" t="n">
        <v>0.8413173652694611</v>
      </c>
      <c r="AI140" s="91" t="n">
        <v>303</v>
      </c>
      <c r="AJ140" s="88" t="n">
        <v>0.07550461001744331</v>
      </c>
      <c r="AK140" s="91" t="n">
        <v>17</v>
      </c>
      <c r="AL140" s="88" t="n">
        <v>0.8217821782178217</v>
      </c>
      <c r="AM140" s="91" t="n">
        <v>278</v>
      </c>
      <c r="AN140" s="91" t="n">
        <v>249</v>
      </c>
      <c r="AO140" s="88" t="n">
        <v>0.06204834288562173</v>
      </c>
      <c r="AP140" s="88" t="n">
        <v>0.7455089820359282</v>
      </c>
      <c r="AQ140" s="89" t="n">
        <v>0.949685534591195</v>
      </c>
      <c r="AR140" s="89" t="n">
        <v>0.3838028169014084</v>
      </c>
      <c r="AS140" s="89" t="n">
        <v>0.4119718309859155</v>
      </c>
      <c r="AT140" s="91" t="n">
        <v>0</v>
      </c>
      <c r="AU140" s="91" t="n">
        <v>0</v>
      </c>
      <c r="AV140" s="91" t="n">
        <v>105</v>
      </c>
      <c r="AW140" s="91" t="n">
        <v>100</v>
      </c>
      <c r="AX140" s="91" t="n">
        <v>101</v>
      </c>
      <c r="AY140" s="91" t="n">
        <v>63</v>
      </c>
      <c r="AZ140" s="88" t="n">
        <v>0.024919013207077</v>
      </c>
      <c r="BA140" s="88" t="n">
        <v>0.02516820333914777</v>
      </c>
      <c r="BB140" s="88" t="n">
        <v>0.01569897832045851</v>
      </c>
      <c r="BC140" s="88" t="n">
        <v>0.4056224899598393</v>
      </c>
      <c r="BD140" s="91" t="n">
        <v>0</v>
      </c>
      <c r="BE140" s="91" t="n">
        <v>0</v>
      </c>
      <c r="BF140" s="89" t="n">
        <v>1</v>
      </c>
      <c r="BG140" s="89" t="n">
        <v>1</v>
      </c>
      <c r="BH140" s="89" t="inlineStr">
        <is>
          <t>-</t>
        </is>
      </c>
    </row>
    <row r="141" ht="19.55" customHeight="1">
      <c r="A141" s="92" t="n">
        <v>138</v>
      </c>
      <c r="B141" s="87" t="inlineStr">
        <is>
          <t>全国</t>
        </is>
      </c>
      <c r="C141" s="93" t="n">
        <v>46257</v>
      </c>
      <c r="D141" s="87" t="n"/>
      <c r="E141" s="87" t="n">
        <v>24</v>
      </c>
      <c r="F141" s="87" t="n">
        <v>24</v>
      </c>
      <c r="G141" s="88" t="n">
        <v>1</v>
      </c>
      <c r="H141" s="87" t="n">
        <v>24</v>
      </c>
      <c r="I141" s="89" t="n">
        <v>1</v>
      </c>
      <c r="J141" s="87" t="n">
        <v>2</v>
      </c>
      <c r="K141" s="87" t="n">
        <v>0</v>
      </c>
      <c r="L141" s="88" t="n">
        <v>0</v>
      </c>
      <c r="M141" s="87" t="n">
        <v>6</v>
      </c>
      <c r="N141" s="87" t="n">
        <v>0</v>
      </c>
      <c r="O141" s="87" t="n">
        <v>0</v>
      </c>
      <c r="P141" s="88" t="n">
        <v>0</v>
      </c>
      <c r="Q141" s="87" t="n">
        <v>6</v>
      </c>
      <c r="R141" s="87" t="n">
        <v>0</v>
      </c>
      <c r="S141" s="87" t="n">
        <v>0</v>
      </c>
      <c r="T141" s="88" t="n">
        <v>0</v>
      </c>
      <c r="U141" s="87" t="n">
        <v>0</v>
      </c>
      <c r="V141" s="88" t="n">
        <v>0</v>
      </c>
      <c r="W141" s="87" t="n">
        <v>5</v>
      </c>
      <c r="X141" s="88" t="n">
        <v>0.2083333333333333</v>
      </c>
      <c r="Y141" s="87" t="n">
        <v>9</v>
      </c>
      <c r="Z141" s="90" t="n">
        <v>0.375</v>
      </c>
      <c r="AA141" s="87" t="n">
        <v>0</v>
      </c>
      <c r="AB141" s="88" t="n">
        <v>0</v>
      </c>
      <c r="AC141" s="87" t="n">
        <v>0</v>
      </c>
      <c r="AD141" s="88" t="n">
        <v>0</v>
      </c>
      <c r="AE141" s="87" t="n">
        <v>0</v>
      </c>
      <c r="AF141" s="88" t="n">
        <v>0</v>
      </c>
      <c r="AG141" s="87" t="n">
        <v>0</v>
      </c>
      <c r="AH141" s="88" t="n">
        <v>0</v>
      </c>
      <c r="AI141" s="91" t="n">
        <v>0</v>
      </c>
      <c r="AJ141" s="88" t="n">
        <v>0</v>
      </c>
      <c r="AK141" s="91" t="n">
        <v>0</v>
      </c>
      <c r="AL141" s="88" t="n">
        <v>0</v>
      </c>
      <c r="AM141" s="91" t="n">
        <v>0</v>
      </c>
      <c r="AN141" s="91" t="n">
        <v>0</v>
      </c>
      <c r="AO141" s="88" t="n">
        <v>0</v>
      </c>
      <c r="AP141" s="88" t="n">
        <v>0</v>
      </c>
      <c r="AQ141" s="89" t="n">
        <v>0</v>
      </c>
      <c r="AR141" s="89" t="inlineStr">
        <is>
          <t>0.0%</t>
        </is>
      </c>
      <c r="AS141" s="89" t="inlineStr">
        <is>
          <t>0.0%</t>
        </is>
      </c>
      <c r="AT141" s="91" t="n">
        <v>0</v>
      </c>
      <c r="AU141" s="91" t="n">
        <v>0</v>
      </c>
      <c r="AV141" s="91" t="n">
        <v>0</v>
      </c>
      <c r="AW141" s="91" t="n">
        <v>0</v>
      </c>
      <c r="AX141" s="91" t="n">
        <v>0</v>
      </c>
      <c r="AY141" s="91" t="n">
        <v>0</v>
      </c>
      <c r="AZ141" s="88" t="n">
        <v>0</v>
      </c>
      <c r="BA141" s="88" t="n">
        <v>0</v>
      </c>
      <c r="BB141" s="88" t="n">
        <v>0</v>
      </c>
      <c r="BC141" s="88" t="n">
        <v>0</v>
      </c>
      <c r="BD141" s="91" t="n">
        <v>0</v>
      </c>
      <c r="BE141" s="91" t="n">
        <v>0</v>
      </c>
      <c r="BF141" s="89" t="inlineStr">
        <is>
          <t>-</t>
        </is>
      </c>
      <c r="BG141" s="89" t="inlineStr">
        <is>
          <t>-</t>
        </is>
      </c>
      <c r="BH141" s="89" t="n">
        <v>1</v>
      </c>
    </row>
    <row r="142" ht="19.55" customHeight="1">
      <c r="A142" s="92" t="n">
        <v>139</v>
      </c>
      <c r="B142" s="87" t="inlineStr">
        <is>
          <t>全国</t>
        </is>
      </c>
      <c r="C142" s="93" t="n">
        <v>46257</v>
      </c>
      <c r="D142" s="87" t="inlineStr">
        <is>
          <t>2026款探陆</t>
        </is>
      </c>
      <c r="E142" s="87" t="n">
        <v>150</v>
      </c>
      <c r="F142" s="87" t="n">
        <v>127</v>
      </c>
      <c r="G142" s="88" t="n">
        <v>0.8466666666666667</v>
      </c>
      <c r="H142" s="87" t="n">
        <v>27</v>
      </c>
      <c r="I142" s="89" t="n">
        <v>0.18</v>
      </c>
      <c r="J142" s="87" t="n">
        <v>125</v>
      </c>
      <c r="K142" s="87" t="n">
        <v>90</v>
      </c>
      <c r="L142" s="88" t="n">
        <v>0.72</v>
      </c>
      <c r="M142" s="87" t="n">
        <v>888</v>
      </c>
      <c r="N142" s="87" t="n">
        <v>288</v>
      </c>
      <c r="O142" s="87" t="n">
        <v>406</v>
      </c>
      <c r="P142" s="88" t="n">
        <v>0.4572072072072072</v>
      </c>
      <c r="Q142" s="87" t="n">
        <v>16</v>
      </c>
      <c r="R142" s="87" t="n">
        <v>0</v>
      </c>
      <c r="S142" s="87" t="n">
        <v>0</v>
      </c>
      <c r="T142" s="88" t="n">
        <v>0</v>
      </c>
      <c r="U142" s="87" t="n">
        <v>0</v>
      </c>
      <c r="V142" s="88" t="n">
        <v>0</v>
      </c>
      <c r="W142" s="87" t="n">
        <v>1</v>
      </c>
      <c r="X142" s="88" t="n">
        <v>0.006666666666666667</v>
      </c>
      <c r="Y142" s="87" t="n">
        <v>11</v>
      </c>
      <c r="Z142" s="90" t="n">
        <v>0.07333333333333333</v>
      </c>
      <c r="AA142" s="87" t="n">
        <v>26</v>
      </c>
      <c r="AB142" s="88" t="n">
        <v>0.1733333333333333</v>
      </c>
      <c r="AC142" s="87" t="n">
        <v>0</v>
      </c>
      <c r="AD142" s="88" t="n">
        <v>0</v>
      </c>
      <c r="AE142" s="87" t="n">
        <v>0</v>
      </c>
      <c r="AF142" s="88" t="n">
        <v>0</v>
      </c>
      <c r="AG142" s="87" t="n">
        <v>0</v>
      </c>
      <c r="AH142" s="88" t="n">
        <v>0</v>
      </c>
      <c r="AI142" s="91" t="n">
        <v>0</v>
      </c>
      <c r="AJ142" s="88" t="n">
        <v>0</v>
      </c>
      <c r="AK142" s="91" t="n">
        <v>0</v>
      </c>
      <c r="AL142" s="88" t="n">
        <v>0</v>
      </c>
      <c r="AM142" s="91" t="n">
        <v>0</v>
      </c>
      <c r="AN142" s="91" t="n">
        <v>0</v>
      </c>
      <c r="AO142" s="88" t="n">
        <v>0</v>
      </c>
      <c r="AP142" s="88" t="n">
        <v>0</v>
      </c>
      <c r="AQ142" s="89" t="n">
        <v>1</v>
      </c>
      <c r="AR142" s="89" t="inlineStr">
        <is>
          <t>0.0%</t>
        </is>
      </c>
      <c r="AS142" s="89" t="inlineStr">
        <is>
          <t>0.0%</t>
        </is>
      </c>
      <c r="AT142" s="91" t="n">
        <v>0</v>
      </c>
      <c r="AU142" s="91" t="n">
        <v>0</v>
      </c>
      <c r="AV142" s="91" t="n">
        <v>1</v>
      </c>
      <c r="AW142" s="91" t="n">
        <v>1</v>
      </c>
      <c r="AX142" s="91" t="n">
        <v>1</v>
      </c>
      <c r="AY142" s="91" t="n">
        <v>0</v>
      </c>
      <c r="AZ142" s="88" t="n">
        <v>0.006666666666666667</v>
      </c>
      <c r="BA142" s="88" t="n">
        <v>0.006666666666666667</v>
      </c>
      <c r="BB142" s="88" t="n">
        <v>0</v>
      </c>
      <c r="BC142" s="88" t="n">
        <v>0</v>
      </c>
      <c r="BD142" s="91" t="n">
        <v>0</v>
      </c>
      <c r="BE142" s="91" t="n">
        <v>0</v>
      </c>
      <c r="BF142" s="89" t="inlineStr">
        <is>
          <t>-</t>
        </is>
      </c>
      <c r="BG142" s="89" t="inlineStr">
        <is>
          <t>-</t>
        </is>
      </c>
      <c r="BH142" s="89" t="inlineStr">
        <is>
          <t>-</t>
        </is>
      </c>
    </row>
    <row r="143" ht="19.55" customHeight="1">
      <c r="A143" s="92" t="n">
        <v>140</v>
      </c>
      <c r="B143" s="87" t="inlineStr">
        <is>
          <t>全国</t>
        </is>
      </c>
      <c r="C143" s="93" t="n">
        <v>46257</v>
      </c>
      <c r="D143" s="87" t="inlineStr">
        <is>
          <t>N6</t>
        </is>
      </c>
      <c r="E143" s="87" t="n">
        <v>1230</v>
      </c>
      <c r="F143" s="87" t="n">
        <v>1071</v>
      </c>
      <c r="G143" s="88" t="n">
        <v>0.8707317073170732</v>
      </c>
      <c r="H143" s="87" t="n">
        <v>648</v>
      </c>
      <c r="I143" s="89" t="n">
        <v>0.526829268292683</v>
      </c>
      <c r="J143" s="87" t="n">
        <v>1308</v>
      </c>
      <c r="K143" s="87" t="n">
        <v>1220</v>
      </c>
      <c r="L143" s="88" t="n">
        <v>0.9330000000000001</v>
      </c>
      <c r="M143" s="87" t="n">
        <v>7244</v>
      </c>
      <c r="N143" s="87" t="n">
        <v>2833</v>
      </c>
      <c r="O143" s="87" t="n">
        <v>3863</v>
      </c>
      <c r="P143" s="88" t="n">
        <v>0.5332689122032026</v>
      </c>
      <c r="Q143" s="87" t="n">
        <v>163</v>
      </c>
      <c r="R143" s="87" t="n">
        <v>0</v>
      </c>
      <c r="S143" s="87" t="n">
        <v>0</v>
      </c>
      <c r="T143" s="88" t="n">
        <v>0</v>
      </c>
      <c r="U143" s="87" t="n">
        <v>0</v>
      </c>
      <c r="V143" s="88" t="n">
        <v>0</v>
      </c>
      <c r="W143" s="87" t="n">
        <v>137</v>
      </c>
      <c r="X143" s="88" t="n">
        <v>0.1113821138211382</v>
      </c>
      <c r="Y143" s="87" t="n">
        <v>395</v>
      </c>
      <c r="Z143" s="90" t="n">
        <v>0.3211382113821138</v>
      </c>
      <c r="AA143" s="87" t="n">
        <v>4</v>
      </c>
      <c r="AB143" s="88" t="n">
        <v>0.003252032520325203</v>
      </c>
      <c r="AC143" s="87" t="n">
        <v>42</v>
      </c>
      <c r="AD143" s="88" t="n">
        <v>0.03414634146341464</v>
      </c>
      <c r="AE143" s="87" t="n">
        <v>9</v>
      </c>
      <c r="AF143" s="88" t="n">
        <v>0.2142857142857143</v>
      </c>
      <c r="AG143" s="87" t="n">
        <v>40</v>
      </c>
      <c r="AH143" s="88" t="n">
        <v>0.9523809523809523</v>
      </c>
      <c r="AI143" s="91" t="n">
        <v>75</v>
      </c>
      <c r="AJ143" s="88" t="n">
        <v>0.06097560975609756</v>
      </c>
      <c r="AK143" s="91" t="n">
        <v>5</v>
      </c>
      <c r="AL143" s="88" t="n">
        <v>0.06666666666666667</v>
      </c>
      <c r="AM143" s="91" t="n">
        <v>21</v>
      </c>
      <c r="AN143" s="91" t="n">
        <v>5</v>
      </c>
      <c r="AO143" s="88" t="n">
        <v>0.004065040650406504</v>
      </c>
      <c r="AP143" s="88" t="n">
        <v>0.119047619047619</v>
      </c>
      <c r="AQ143" s="89" t="n">
        <v>0.6649214659685864</v>
      </c>
      <c r="AR143" s="89" t="n">
        <v>0.5625</v>
      </c>
      <c r="AS143" s="89" t="n">
        <v>0.375</v>
      </c>
      <c r="AT143" s="91" t="n">
        <v>0</v>
      </c>
      <c r="AU143" s="91" t="n">
        <v>0</v>
      </c>
      <c r="AV143" s="91" t="n">
        <v>0</v>
      </c>
      <c r="AW143" s="91" t="n">
        <v>0</v>
      </c>
      <c r="AX143" s="91" t="n">
        <v>0</v>
      </c>
      <c r="AY143" s="91" t="n">
        <v>1</v>
      </c>
      <c r="AZ143" s="88" t="n">
        <v>0</v>
      </c>
      <c r="BA143" s="88" t="n">
        <v>0</v>
      </c>
      <c r="BB143" s="88" t="n">
        <v>0.0008130081300813008</v>
      </c>
      <c r="BC143" s="88" t="n">
        <v>0</v>
      </c>
      <c r="BD143" s="91" t="n">
        <v>0</v>
      </c>
      <c r="BE143" s="91" t="n">
        <v>0</v>
      </c>
      <c r="BF143" s="89" t="inlineStr">
        <is>
          <t>-</t>
        </is>
      </c>
      <c r="BG143" s="89" t="inlineStr">
        <is>
          <t>-</t>
        </is>
      </c>
      <c r="BH143" s="89" t="inlineStr">
        <is>
          <t>-</t>
        </is>
      </c>
    </row>
    <row r="144" ht="19.55" customHeight="1">
      <c r="A144" s="92" t="n">
        <v>141</v>
      </c>
      <c r="B144" s="87" t="inlineStr">
        <is>
          <t>全国</t>
        </is>
      </c>
      <c r="C144" s="93" t="n">
        <v>46257</v>
      </c>
      <c r="D144" s="87" t="inlineStr">
        <is>
          <t>N7</t>
        </is>
      </c>
      <c r="E144" s="87" t="n">
        <v>828</v>
      </c>
      <c r="F144" s="87" t="n">
        <v>698</v>
      </c>
      <c r="G144" s="88" t="n">
        <v>0.8429951690821256</v>
      </c>
      <c r="H144" s="87" t="n">
        <v>322</v>
      </c>
      <c r="I144" s="89" t="n">
        <v>0.3888888888888889</v>
      </c>
      <c r="J144" s="87" t="n">
        <v>1323</v>
      </c>
      <c r="K144" s="87" t="n">
        <v>1228</v>
      </c>
      <c r="L144" s="88" t="n">
        <v>0.928</v>
      </c>
      <c r="M144" s="87" t="n">
        <v>6393</v>
      </c>
      <c r="N144" s="87" t="n">
        <v>2551</v>
      </c>
      <c r="O144" s="87" t="n">
        <v>3535</v>
      </c>
      <c r="P144" s="88" t="n">
        <v>0.55294853746285</v>
      </c>
      <c r="Q144" s="87" t="n">
        <v>157</v>
      </c>
      <c r="R144" s="87" t="n">
        <v>0</v>
      </c>
      <c r="S144" s="87" t="n">
        <v>0</v>
      </c>
      <c r="T144" s="88" t="n">
        <v>0</v>
      </c>
      <c r="U144" s="87" t="n">
        <v>0</v>
      </c>
      <c r="V144" s="88" t="n">
        <v>0</v>
      </c>
      <c r="W144" s="87" t="n">
        <v>169</v>
      </c>
      <c r="X144" s="88" t="n">
        <v>0.2041062801932367</v>
      </c>
      <c r="Y144" s="87" t="n">
        <v>315</v>
      </c>
      <c r="Z144" s="90" t="n">
        <v>0.3804347826086957</v>
      </c>
      <c r="AA144" s="87" t="n">
        <v>0</v>
      </c>
      <c r="AB144" s="88" t="n">
        <v>0</v>
      </c>
      <c r="AC144" s="87" t="n">
        <v>35</v>
      </c>
      <c r="AD144" s="88" t="n">
        <v>0.04227053140096618</v>
      </c>
      <c r="AE144" s="87" t="n">
        <v>9</v>
      </c>
      <c r="AF144" s="88" t="n">
        <v>0.2571428571428571</v>
      </c>
      <c r="AG144" s="87" t="n">
        <v>30</v>
      </c>
      <c r="AH144" s="88" t="n">
        <v>0.8571428571428571</v>
      </c>
      <c r="AI144" s="91" t="n">
        <v>85</v>
      </c>
      <c r="AJ144" s="88" t="n">
        <v>0.1026570048309179</v>
      </c>
      <c r="AK144" s="91" t="n">
        <v>8</v>
      </c>
      <c r="AL144" s="88" t="n">
        <v>0.1529411764705882</v>
      </c>
      <c r="AM144" s="91" t="n">
        <v>27</v>
      </c>
      <c r="AN144" s="91" t="n">
        <v>13</v>
      </c>
      <c r="AO144" s="88" t="n">
        <v>0.01570048309178744</v>
      </c>
      <c r="AP144" s="88" t="n">
        <v>0.3714285714285714</v>
      </c>
      <c r="AQ144" s="89" t="n">
        <v>0.680952380952381</v>
      </c>
      <c r="AR144" s="89" t="n">
        <v>0.5</v>
      </c>
      <c r="AS144" s="89" t="n">
        <v>0.4615384615384616</v>
      </c>
      <c r="AT144" s="91" t="n">
        <v>0</v>
      </c>
      <c r="AU144" s="91" t="n">
        <v>0</v>
      </c>
      <c r="AV144" s="91" t="n">
        <v>2</v>
      </c>
      <c r="AW144" s="91" t="n">
        <v>2</v>
      </c>
      <c r="AX144" s="91" t="n">
        <v>4</v>
      </c>
      <c r="AY144" s="91" t="n">
        <v>2</v>
      </c>
      <c r="AZ144" s="88" t="n">
        <v>0.002415458937198068</v>
      </c>
      <c r="BA144" s="88" t="n">
        <v>0.004830917874396135</v>
      </c>
      <c r="BB144" s="88" t="n">
        <v>0.002415458937198068</v>
      </c>
      <c r="BC144" s="88" t="n">
        <v>0.3076923076923077</v>
      </c>
      <c r="BD144" s="91" t="n">
        <v>0</v>
      </c>
      <c r="BE144" s="91" t="n">
        <v>0</v>
      </c>
      <c r="BF144" s="89" t="inlineStr">
        <is>
          <t>-</t>
        </is>
      </c>
      <c r="BG144" s="89" t="inlineStr">
        <is>
          <t>-</t>
        </is>
      </c>
      <c r="BH144" s="89" t="inlineStr">
        <is>
          <t>-</t>
        </is>
      </c>
    </row>
    <row r="145" ht="19.55" customHeight="1">
      <c r="A145" s="92" t="n">
        <v>142</v>
      </c>
      <c r="B145" s="87" t="inlineStr">
        <is>
          <t>全国</t>
        </is>
      </c>
      <c r="C145" s="93" t="n">
        <v>46257</v>
      </c>
      <c r="D145" s="87" t="inlineStr">
        <is>
          <t>NX8</t>
        </is>
      </c>
      <c r="E145" s="87" t="n">
        <v>2463</v>
      </c>
      <c r="F145" s="87" t="n">
        <v>2140</v>
      </c>
      <c r="G145" s="88" t="n">
        <v>0.8688591149005278</v>
      </c>
      <c r="H145" s="87" t="n">
        <v>686</v>
      </c>
      <c r="I145" s="89" t="n">
        <v>0.2785221274868047</v>
      </c>
      <c r="J145" s="87" t="n">
        <v>3000</v>
      </c>
      <c r="K145" s="87" t="n">
        <v>2759</v>
      </c>
      <c r="L145" s="88" t="n">
        <v>0.92</v>
      </c>
      <c r="M145" s="87" t="n">
        <v>22428</v>
      </c>
      <c r="N145" s="87" t="n">
        <v>7460</v>
      </c>
      <c r="O145" s="87" t="n">
        <v>11367</v>
      </c>
      <c r="P145" s="88" t="n">
        <v>0.5068218298555377</v>
      </c>
      <c r="Q145" s="87" t="n">
        <v>452</v>
      </c>
      <c r="R145" s="87" t="n">
        <v>0</v>
      </c>
      <c r="S145" s="87" t="n">
        <v>0</v>
      </c>
      <c r="T145" s="88" t="n">
        <v>0</v>
      </c>
      <c r="U145" s="87" t="n">
        <v>0</v>
      </c>
      <c r="V145" s="88" t="n">
        <v>0</v>
      </c>
      <c r="W145" s="87" t="n">
        <v>429</v>
      </c>
      <c r="X145" s="88" t="n">
        <v>0.1741778319123021</v>
      </c>
      <c r="Y145" s="87" t="n">
        <v>723</v>
      </c>
      <c r="Z145" s="90" t="n">
        <v>0.2935444579780755</v>
      </c>
      <c r="AA145" s="87" t="n">
        <v>4</v>
      </c>
      <c r="AB145" s="88" t="n">
        <v>0.001624035728786033</v>
      </c>
      <c r="AC145" s="87" t="n">
        <v>158</v>
      </c>
      <c r="AD145" s="88" t="n">
        <v>0.06414941128704832</v>
      </c>
      <c r="AE145" s="87" t="n">
        <v>26</v>
      </c>
      <c r="AF145" s="88" t="n">
        <v>0.1645569620253164</v>
      </c>
      <c r="AG145" s="87" t="n">
        <v>133</v>
      </c>
      <c r="AH145" s="88" t="n">
        <v>0.8417721518987342</v>
      </c>
      <c r="AI145" s="91" t="n">
        <v>442</v>
      </c>
      <c r="AJ145" s="88" t="n">
        <v>0.1794559480308567</v>
      </c>
      <c r="AK145" s="91" t="n">
        <v>18</v>
      </c>
      <c r="AL145" s="88" t="n">
        <v>0.06561085972850679</v>
      </c>
      <c r="AM145" s="91" t="n">
        <v>68</v>
      </c>
      <c r="AN145" s="91" t="n">
        <v>29</v>
      </c>
      <c r="AO145" s="88" t="n">
        <v>0.01177425903369874</v>
      </c>
      <c r="AP145" s="88" t="n">
        <v>0.1835443037974684</v>
      </c>
      <c r="AQ145" s="89" t="n">
        <v>0.6335483870967742</v>
      </c>
      <c r="AR145" s="89" t="n">
        <v>0.6533333333333333</v>
      </c>
      <c r="AS145" s="89" t="n">
        <v>0.6266666666666667</v>
      </c>
      <c r="AT145" s="91" t="n">
        <v>0</v>
      </c>
      <c r="AU145" s="91" t="n">
        <v>0</v>
      </c>
      <c r="AV145" s="91" t="n">
        <v>7</v>
      </c>
      <c r="AW145" s="91" t="n">
        <v>7</v>
      </c>
      <c r="AX145" s="91" t="n">
        <v>7</v>
      </c>
      <c r="AY145" s="91" t="n">
        <v>5</v>
      </c>
      <c r="AZ145" s="88" t="n">
        <v>0.002842062525375558</v>
      </c>
      <c r="BA145" s="88" t="n">
        <v>0.002842062525375558</v>
      </c>
      <c r="BB145" s="88" t="n">
        <v>0.002030044660982542</v>
      </c>
      <c r="BC145" s="88" t="n">
        <v>0.2413793103448276</v>
      </c>
      <c r="BD145" s="91" t="n">
        <v>0</v>
      </c>
      <c r="BE145" s="91" t="n">
        <v>0</v>
      </c>
      <c r="BF145" s="89" t="n">
        <v>1</v>
      </c>
      <c r="BG145" s="89" t="n">
        <v>1</v>
      </c>
      <c r="BH145" s="89" t="inlineStr">
        <is>
          <t>-</t>
        </is>
      </c>
    </row>
    <row r="146" ht="19.55" customHeight="1">
      <c r="A146" s="92" t="n">
        <v>143</v>
      </c>
      <c r="B146" s="87" t="inlineStr">
        <is>
          <t>全国</t>
        </is>
      </c>
      <c r="C146" s="93" t="n">
        <v>46257</v>
      </c>
      <c r="D146" s="87" t="inlineStr">
        <is>
          <t>天籁·鸿蒙座舱</t>
        </is>
      </c>
      <c r="E146" s="87" t="n">
        <v>1566</v>
      </c>
      <c r="F146" s="87" t="n">
        <v>1382</v>
      </c>
      <c r="G146" s="88" t="n">
        <v>0.8825031928480205</v>
      </c>
      <c r="H146" s="87" t="n">
        <v>738</v>
      </c>
      <c r="I146" s="89" t="n">
        <v>0.4712643678160919</v>
      </c>
      <c r="J146" s="87" t="n">
        <v>2492</v>
      </c>
      <c r="K146" s="87" t="n">
        <v>2374</v>
      </c>
      <c r="L146" s="88" t="n">
        <v>0.953</v>
      </c>
      <c r="M146" s="87" t="n">
        <v>16030</v>
      </c>
      <c r="N146" s="87" t="n">
        <v>5797</v>
      </c>
      <c r="O146" s="87" t="n">
        <v>8232</v>
      </c>
      <c r="P146" s="88" t="n">
        <v>0.5135371179039301</v>
      </c>
      <c r="Q146" s="87" t="n">
        <v>220</v>
      </c>
      <c r="R146" s="87" t="n">
        <v>0</v>
      </c>
      <c r="S146" s="87" t="n">
        <v>0</v>
      </c>
      <c r="T146" s="88" t="n">
        <v>0</v>
      </c>
      <c r="U146" s="87" t="n">
        <v>0</v>
      </c>
      <c r="V146" s="88" t="n">
        <v>0</v>
      </c>
      <c r="W146" s="87" t="n">
        <v>195</v>
      </c>
      <c r="X146" s="88" t="n">
        <v>0.1245210727969349</v>
      </c>
      <c r="Y146" s="87" t="n">
        <v>613</v>
      </c>
      <c r="Z146" s="90" t="n">
        <v>0.3914431673052363</v>
      </c>
      <c r="AA146" s="87" t="n">
        <v>8</v>
      </c>
      <c r="AB146" s="88" t="n">
        <v>0.005108556832694764</v>
      </c>
      <c r="AC146" s="87" t="n">
        <v>60</v>
      </c>
      <c r="AD146" s="88" t="n">
        <v>0.03831417624521073</v>
      </c>
      <c r="AE146" s="87" t="n">
        <v>10</v>
      </c>
      <c r="AF146" s="88" t="n">
        <v>0.1666666666666667</v>
      </c>
      <c r="AG146" s="87" t="n">
        <v>52</v>
      </c>
      <c r="AH146" s="88" t="n">
        <v>0.8666666666666667</v>
      </c>
      <c r="AI146" s="91" t="n">
        <v>145</v>
      </c>
      <c r="AJ146" s="88" t="n">
        <v>0.09259259259259259</v>
      </c>
      <c r="AK146" s="91" t="n">
        <v>5</v>
      </c>
      <c r="AL146" s="88" t="n">
        <v>0.08275862068965517</v>
      </c>
      <c r="AM146" s="91" t="n">
        <v>19</v>
      </c>
      <c r="AN146" s="91" t="n">
        <v>12</v>
      </c>
      <c r="AO146" s="88" t="n">
        <v>0.007662835249042145</v>
      </c>
      <c r="AP146" s="88" t="n">
        <v>0.2</v>
      </c>
      <c r="AQ146" s="89" t="n">
        <v>0.631578947368421</v>
      </c>
      <c r="AR146" s="89" t="n">
        <v>0.35</v>
      </c>
      <c r="AS146" s="89" t="n">
        <v>0.3</v>
      </c>
      <c r="AT146" s="91" t="n">
        <v>0</v>
      </c>
      <c r="AU146" s="91" t="n">
        <v>0</v>
      </c>
      <c r="AV146" s="91" t="n">
        <v>2</v>
      </c>
      <c r="AW146" s="91" t="n">
        <v>1</v>
      </c>
      <c r="AX146" s="91" t="n">
        <v>2</v>
      </c>
      <c r="AY146" s="91" t="n">
        <v>3</v>
      </c>
      <c r="AZ146" s="88" t="n">
        <v>0.0006385696040868455</v>
      </c>
      <c r="BA146" s="88" t="n">
        <v>0.001277139208173691</v>
      </c>
      <c r="BB146" s="88" t="n">
        <v>0.001915708812260536</v>
      </c>
      <c r="BC146" s="88" t="n">
        <v>0.1666666666666667</v>
      </c>
      <c r="BD146" s="91" t="n">
        <v>0</v>
      </c>
      <c r="BE146" s="91" t="n">
        <v>0</v>
      </c>
      <c r="BF146" s="89" t="n">
        <v>1</v>
      </c>
      <c r="BG146" s="89" t="n">
        <v>1</v>
      </c>
      <c r="BH146" s="89" t="inlineStr">
        <is>
          <t>-</t>
        </is>
      </c>
    </row>
    <row r="147" ht="19.55" customHeight="1">
      <c r="A147" s="92" t="n">
        <v>144</v>
      </c>
      <c r="B147" s="87" t="inlineStr">
        <is>
          <t>全国</t>
        </is>
      </c>
      <c r="C147" s="93" t="n">
        <v>46257</v>
      </c>
      <c r="D147" s="87" t="inlineStr">
        <is>
          <t>探陆</t>
        </is>
      </c>
      <c r="E147" s="87" t="n">
        <v>0</v>
      </c>
      <c r="F147" s="87" t="n">
        <v>0</v>
      </c>
      <c r="G147" s="88" t="n">
        <v>0</v>
      </c>
      <c r="H147" s="87" t="n">
        <v>0</v>
      </c>
      <c r="I147" s="89" t="n">
        <v>0</v>
      </c>
      <c r="J147" s="87" t="n">
        <v>0</v>
      </c>
      <c r="K147" s="87" t="n">
        <v>0</v>
      </c>
      <c r="L147" s="88" t="n">
        <v>0</v>
      </c>
      <c r="M147" s="87" t="n">
        <v>1</v>
      </c>
      <c r="N147" s="87" t="n">
        <v>0</v>
      </c>
      <c r="O147" s="87" t="n">
        <v>0</v>
      </c>
      <c r="P147" s="88" t="n">
        <v>0</v>
      </c>
      <c r="Q147" s="87" t="n">
        <v>0</v>
      </c>
      <c r="R147" s="87" t="n">
        <v>0</v>
      </c>
      <c r="S147" s="87" t="n">
        <v>0</v>
      </c>
      <c r="T147" s="88" t="n">
        <v>0</v>
      </c>
      <c r="U147" s="87" t="n">
        <v>0</v>
      </c>
      <c r="V147" s="88" t="n">
        <v>0</v>
      </c>
      <c r="W147" s="87" t="n">
        <v>0</v>
      </c>
      <c r="X147" s="88" t="n">
        <v>0</v>
      </c>
      <c r="Y147" s="87" t="n">
        <v>0</v>
      </c>
      <c r="Z147" s="90" t="n">
        <v>0</v>
      </c>
      <c r="AA147" s="87" t="n">
        <v>0</v>
      </c>
      <c r="AB147" s="88" t="n">
        <v>0</v>
      </c>
      <c r="AC147" s="87" t="n">
        <v>0</v>
      </c>
      <c r="AD147" s="88" t="n">
        <v>0</v>
      </c>
      <c r="AE147" s="87" t="n">
        <v>0</v>
      </c>
      <c r="AF147" s="88" t="n">
        <v>0</v>
      </c>
      <c r="AG147" s="87" t="n">
        <v>0</v>
      </c>
      <c r="AH147" s="88" t="n">
        <v>0</v>
      </c>
      <c r="AI147" s="91" t="n">
        <v>0</v>
      </c>
      <c r="AJ147" s="88" t="n">
        <v>0</v>
      </c>
      <c r="AK147" s="91" t="n">
        <v>0</v>
      </c>
      <c r="AL147" s="88" t="n">
        <v>0</v>
      </c>
      <c r="AM147" s="91" t="n">
        <v>0</v>
      </c>
      <c r="AN147" s="91" t="n">
        <v>0</v>
      </c>
      <c r="AO147" s="88" t="n">
        <v>0</v>
      </c>
      <c r="AP147" s="88" t="n">
        <v>0</v>
      </c>
      <c r="AQ147" s="89" t="n"/>
      <c r="AR147" s="89" t="inlineStr">
        <is>
          <t>0.0%</t>
        </is>
      </c>
      <c r="AS147" s="89" t="inlineStr">
        <is>
          <t>0.0%</t>
        </is>
      </c>
      <c r="AT147" s="91" t="n">
        <v>0</v>
      </c>
      <c r="AU147" s="91" t="n">
        <v>0</v>
      </c>
      <c r="AV147" s="91" t="n">
        <v>0</v>
      </c>
      <c r="AW147" s="91" t="n">
        <v>0</v>
      </c>
      <c r="AX147" s="91" t="n">
        <v>0</v>
      </c>
      <c r="AY147" s="91" t="n">
        <v>0</v>
      </c>
      <c r="AZ147" s="88" t="n">
        <v>0</v>
      </c>
      <c r="BA147" s="88" t="n">
        <v>0</v>
      </c>
      <c r="BB147" s="88" t="n">
        <v>0</v>
      </c>
      <c r="BC147" s="88" t="n">
        <v>0</v>
      </c>
      <c r="BD147" s="91" t="n">
        <v>0</v>
      </c>
      <c r="BE147" s="91" t="n">
        <v>0</v>
      </c>
      <c r="BF147" s="89" t="inlineStr">
        <is>
          <t>-</t>
        </is>
      </c>
      <c r="BG147" s="89" t="inlineStr">
        <is>
          <t>-</t>
        </is>
      </c>
      <c r="BH147" s="89" t="inlineStr">
        <is>
          <t>-</t>
        </is>
      </c>
    </row>
    <row r="148" ht="19.55" customHeight="1">
      <c r="A148" s="92" t="n">
        <v>145</v>
      </c>
      <c r="B148" s="87" t="inlineStr">
        <is>
          <t>全国</t>
        </is>
      </c>
      <c r="C148" s="93" t="n">
        <v>46258</v>
      </c>
      <c r="D148" s="87" t="n"/>
      <c r="E148" s="87" t="n">
        <v>24</v>
      </c>
      <c r="F148" s="87" t="n">
        <v>23</v>
      </c>
      <c r="G148" s="88" t="n">
        <v>0.9583333333333334</v>
      </c>
      <c r="H148" s="87" t="n">
        <v>24</v>
      </c>
      <c r="I148" s="89" t="n">
        <v>1</v>
      </c>
      <c r="J148" s="87" t="n">
        <v>0</v>
      </c>
      <c r="K148" s="87" t="n">
        <v>0</v>
      </c>
      <c r="L148" s="88" t="n">
        <v>0</v>
      </c>
      <c r="M148" s="87" t="n">
        <v>4</v>
      </c>
      <c r="N148" s="87" t="n">
        <v>2</v>
      </c>
      <c r="O148" s="87" t="n">
        <v>2</v>
      </c>
      <c r="P148" s="88" t="n">
        <v>0.5</v>
      </c>
      <c r="Q148" s="87" t="n">
        <v>2</v>
      </c>
      <c r="R148" s="87" t="n">
        <v>0</v>
      </c>
      <c r="S148" s="87" t="n">
        <v>0</v>
      </c>
      <c r="T148" s="88" t="n">
        <v>0</v>
      </c>
      <c r="U148" s="87" t="n">
        <v>0</v>
      </c>
      <c r="V148" s="88" t="n">
        <v>0</v>
      </c>
      <c r="W148" s="87" t="n">
        <v>15</v>
      </c>
      <c r="X148" s="88" t="n">
        <v>0.625</v>
      </c>
      <c r="Y148" s="87" t="n">
        <v>17</v>
      </c>
      <c r="Z148" s="90" t="n">
        <v>0.7083333333333334</v>
      </c>
      <c r="AA148" s="87" t="n">
        <v>0</v>
      </c>
      <c r="AB148" s="88" t="n">
        <v>0</v>
      </c>
      <c r="AC148" s="87" t="n">
        <v>0</v>
      </c>
      <c r="AD148" s="88" t="n">
        <v>0</v>
      </c>
      <c r="AE148" s="87" t="n">
        <v>0</v>
      </c>
      <c r="AF148" s="88" t="n">
        <v>0</v>
      </c>
      <c r="AG148" s="87" t="n">
        <v>0</v>
      </c>
      <c r="AH148" s="88" t="n">
        <v>0</v>
      </c>
      <c r="AI148" s="91" t="n">
        <v>0</v>
      </c>
      <c r="AJ148" s="88" t="n">
        <v>0</v>
      </c>
      <c r="AK148" s="91" t="n">
        <v>0</v>
      </c>
      <c r="AL148" s="88" t="n">
        <v>0</v>
      </c>
      <c r="AM148" s="91" t="n">
        <v>0</v>
      </c>
      <c r="AN148" s="91" t="n">
        <v>0</v>
      </c>
      <c r="AO148" s="88" t="n">
        <v>0</v>
      </c>
      <c r="AP148" s="88" t="n">
        <v>0</v>
      </c>
      <c r="AQ148" s="89" t="n"/>
      <c r="AR148" s="89" t="n">
        <v>0</v>
      </c>
      <c r="AS148" s="89" t="n">
        <v>0</v>
      </c>
      <c r="AT148" s="91" t="n">
        <v>0</v>
      </c>
      <c r="AU148" s="91" t="n">
        <v>0</v>
      </c>
      <c r="AV148" s="91" t="n">
        <v>0</v>
      </c>
      <c r="AW148" s="91" t="n">
        <v>0</v>
      </c>
      <c r="AX148" s="91" t="n">
        <v>0</v>
      </c>
      <c r="AY148" s="91" t="n">
        <v>0</v>
      </c>
      <c r="AZ148" s="88" t="n">
        <v>0</v>
      </c>
      <c r="BA148" s="88" t="n">
        <v>0</v>
      </c>
      <c r="BB148" s="88" t="n">
        <v>0</v>
      </c>
      <c r="BC148" s="88" t="n">
        <v>0</v>
      </c>
      <c r="BD148" s="91" t="n">
        <v>0</v>
      </c>
      <c r="BE148" s="91" t="n">
        <v>1</v>
      </c>
      <c r="BF148" s="89" t="inlineStr">
        <is>
          <t>-</t>
        </is>
      </c>
      <c r="BG148" s="89" t="inlineStr">
        <is>
          <t>-</t>
        </is>
      </c>
      <c r="BH148" s="89" t="n">
        <v>0.9333333333333333</v>
      </c>
    </row>
    <row r="149" ht="19.55" customHeight="1">
      <c r="A149" s="92" t="n">
        <v>146</v>
      </c>
      <c r="B149" s="87" t="inlineStr">
        <is>
          <t>全国</t>
        </is>
      </c>
      <c r="C149" s="93" t="n">
        <v>46258</v>
      </c>
      <c r="D149" s="87" t="inlineStr">
        <is>
          <t>2026款探陆</t>
        </is>
      </c>
      <c r="E149" s="87" t="n">
        <v>424</v>
      </c>
      <c r="F149" s="87" t="n">
        <v>381</v>
      </c>
      <c r="G149" s="88" t="n">
        <v>0.8985849056603774</v>
      </c>
      <c r="H149" s="87" t="n">
        <v>121</v>
      </c>
      <c r="I149" s="89" t="n">
        <v>0.2853773584905661</v>
      </c>
      <c r="J149" s="87" t="n">
        <v>287</v>
      </c>
      <c r="K149" s="87" t="n">
        <v>170</v>
      </c>
      <c r="L149" s="88" t="n">
        <v>0.592</v>
      </c>
      <c r="M149" s="87" t="n">
        <v>997</v>
      </c>
      <c r="N149" s="87" t="n">
        <v>1256</v>
      </c>
      <c r="O149" s="87" t="n">
        <v>801</v>
      </c>
      <c r="P149" s="88" t="n">
        <v>0.8034102306920762</v>
      </c>
      <c r="Q149" s="87" t="n">
        <v>47</v>
      </c>
      <c r="R149" s="87" t="n">
        <v>0</v>
      </c>
      <c r="S149" s="87" t="n">
        <v>0</v>
      </c>
      <c r="T149" s="88" t="n">
        <v>0</v>
      </c>
      <c r="U149" s="87" t="n">
        <v>0</v>
      </c>
      <c r="V149" s="88" t="n">
        <v>0</v>
      </c>
      <c r="W149" s="87" t="n">
        <v>19</v>
      </c>
      <c r="X149" s="88" t="n">
        <v>0.04481132075471698</v>
      </c>
      <c r="Y149" s="87" t="n">
        <v>70</v>
      </c>
      <c r="Z149" s="90" t="n">
        <v>0.1650943396226415</v>
      </c>
      <c r="AA149" s="87" t="n">
        <v>0</v>
      </c>
      <c r="AB149" s="88" t="n">
        <v>0</v>
      </c>
      <c r="AC149" s="87" t="n">
        <v>1</v>
      </c>
      <c r="AD149" s="88" t="n">
        <v>0.002358490566037736</v>
      </c>
      <c r="AE149" s="87" t="n">
        <v>0</v>
      </c>
      <c r="AF149" s="88" t="n">
        <v>0</v>
      </c>
      <c r="AG149" s="87" t="n">
        <v>0</v>
      </c>
      <c r="AH149" s="88" t="n">
        <v>0</v>
      </c>
      <c r="AI149" s="91" t="n">
        <v>0</v>
      </c>
      <c r="AJ149" s="88" t="n">
        <v>0</v>
      </c>
      <c r="AK149" s="91" t="n">
        <v>0</v>
      </c>
      <c r="AL149" s="88" t="n">
        <v>0</v>
      </c>
      <c r="AM149" s="91" t="n">
        <v>0</v>
      </c>
      <c r="AN149" s="91" t="n">
        <v>0</v>
      </c>
      <c r="AO149" s="88" t="n">
        <v>0</v>
      </c>
      <c r="AP149" s="88" t="n">
        <v>0</v>
      </c>
      <c r="AQ149" s="89" t="n"/>
      <c r="AR149" s="89" t="n">
        <v>0.6666666666666666</v>
      </c>
      <c r="AS149" s="89" t="n">
        <v>0.3333333333333333</v>
      </c>
      <c r="AT149" s="91" t="n">
        <v>0</v>
      </c>
      <c r="AU149" s="91" t="n">
        <v>0</v>
      </c>
      <c r="AV149" s="91" t="n">
        <v>2</v>
      </c>
      <c r="AW149" s="91" t="n">
        <v>2</v>
      </c>
      <c r="AX149" s="91" t="n">
        <v>2</v>
      </c>
      <c r="AY149" s="91" t="n">
        <v>0</v>
      </c>
      <c r="AZ149" s="88" t="n">
        <v>0.004716981132075472</v>
      </c>
      <c r="BA149" s="88" t="n">
        <v>0.004716981132075472</v>
      </c>
      <c r="BB149" s="88" t="n">
        <v>0</v>
      </c>
      <c r="BC149" s="88" t="n">
        <v>0</v>
      </c>
      <c r="BD149" s="91" t="n">
        <v>0</v>
      </c>
      <c r="BE149" s="91" t="n">
        <v>0</v>
      </c>
      <c r="BF149" s="89" t="inlineStr">
        <is>
          <t>-</t>
        </is>
      </c>
      <c r="BG149" s="89" t="inlineStr">
        <is>
          <t>-</t>
        </is>
      </c>
      <c r="BH149" s="89" t="inlineStr">
        <is>
          <t>-</t>
        </is>
      </c>
    </row>
    <row r="150" ht="19.55" customHeight="1">
      <c r="A150" s="92" t="n">
        <v>147</v>
      </c>
      <c r="B150" s="87" t="inlineStr">
        <is>
          <t>全国</t>
        </is>
      </c>
      <c r="C150" s="93" t="n">
        <v>46258</v>
      </c>
      <c r="D150" s="87" t="inlineStr">
        <is>
          <t>N6</t>
        </is>
      </c>
      <c r="E150" s="87" t="n">
        <v>2089</v>
      </c>
      <c r="F150" s="87" t="n">
        <v>1824</v>
      </c>
      <c r="G150" s="88" t="n">
        <v>0.8731450454763044</v>
      </c>
      <c r="H150" s="87" t="n">
        <v>931</v>
      </c>
      <c r="I150" s="89" t="n">
        <v>0.4456677836285304</v>
      </c>
      <c r="J150" s="87" t="n">
        <v>1737</v>
      </c>
      <c r="K150" s="87" t="n">
        <v>1657</v>
      </c>
      <c r="L150" s="88" t="n">
        <v>0.954</v>
      </c>
      <c r="M150" s="87" t="n">
        <v>7330</v>
      </c>
      <c r="N150" s="87" t="n">
        <v>10226</v>
      </c>
      <c r="O150" s="87" t="n">
        <v>7126</v>
      </c>
      <c r="P150" s="88" t="n">
        <v>0.9721691678035471</v>
      </c>
      <c r="Q150" s="87" t="n">
        <v>19</v>
      </c>
      <c r="R150" s="87" t="n">
        <v>0</v>
      </c>
      <c r="S150" s="87" t="n">
        <v>0</v>
      </c>
      <c r="T150" s="88" t="n">
        <v>0</v>
      </c>
      <c r="U150" s="87" t="n">
        <v>0</v>
      </c>
      <c r="V150" s="88" t="n">
        <v>0</v>
      </c>
      <c r="W150" s="87" t="n">
        <v>382</v>
      </c>
      <c r="X150" s="88" t="n">
        <v>0.1828626136907611</v>
      </c>
      <c r="Y150" s="87" t="n">
        <v>812</v>
      </c>
      <c r="Z150" s="90" t="n">
        <v>0.3887027285782671</v>
      </c>
      <c r="AA150" s="87" t="n">
        <v>0</v>
      </c>
      <c r="AB150" s="88" t="n">
        <v>0</v>
      </c>
      <c r="AC150" s="87" t="n">
        <v>195</v>
      </c>
      <c r="AD150" s="88" t="n">
        <v>0.09334609861177597</v>
      </c>
      <c r="AE150" s="87" t="n">
        <v>42</v>
      </c>
      <c r="AF150" s="88" t="n">
        <v>0.2153846153846154</v>
      </c>
      <c r="AG150" s="87" t="n">
        <v>167</v>
      </c>
      <c r="AH150" s="88" t="n">
        <v>0.8564102564102564</v>
      </c>
      <c r="AI150" s="91" t="n">
        <v>151</v>
      </c>
      <c r="AJ150" s="88" t="n">
        <v>0.07228338918142652</v>
      </c>
      <c r="AK150" s="91" t="n">
        <v>3</v>
      </c>
      <c r="AL150" s="88" t="n">
        <v>0.8344370860927153</v>
      </c>
      <c r="AM150" s="91" t="n">
        <v>150</v>
      </c>
      <c r="AN150" s="91" t="n">
        <v>126</v>
      </c>
      <c r="AO150" s="88" t="n">
        <v>0.06031594064145524</v>
      </c>
      <c r="AP150" s="88" t="n">
        <v>0.6461538461538462</v>
      </c>
      <c r="AQ150" s="89" t="n">
        <v>0.875</v>
      </c>
      <c r="AR150" s="89" t="n">
        <v>0.625</v>
      </c>
      <c r="AS150" s="89" t="n">
        <v>0.5882352941176471</v>
      </c>
      <c r="AT150" s="91" t="n">
        <v>0</v>
      </c>
      <c r="AU150" s="91" t="n">
        <v>0</v>
      </c>
      <c r="AV150" s="91" t="n">
        <v>51</v>
      </c>
      <c r="AW150" s="91" t="n">
        <v>45</v>
      </c>
      <c r="AX150" s="91" t="n">
        <v>48</v>
      </c>
      <c r="AY150" s="91" t="n">
        <v>34</v>
      </c>
      <c r="AZ150" s="88" t="n">
        <v>0.0215414073719483</v>
      </c>
      <c r="BA150" s="88" t="n">
        <v>0.02297750119674485</v>
      </c>
      <c r="BB150" s="88" t="n">
        <v>0.01627573001436094</v>
      </c>
      <c r="BC150" s="88" t="n">
        <v>0.3809523809523809</v>
      </c>
      <c r="BD150" s="91" t="n">
        <v>0</v>
      </c>
      <c r="BE150" s="91" t="n">
        <v>0</v>
      </c>
      <c r="BF150" s="89" t="n">
        <v>1</v>
      </c>
      <c r="BG150" s="89" t="n">
        <v>1</v>
      </c>
      <c r="BH150" s="89" t="inlineStr">
        <is>
          <t>-</t>
        </is>
      </c>
    </row>
    <row r="151" ht="19.55" customHeight="1">
      <c r="A151" s="92" t="n">
        <v>148</v>
      </c>
      <c r="B151" s="87" t="inlineStr">
        <is>
          <t>全国</t>
        </is>
      </c>
      <c r="C151" s="93" t="n">
        <v>46258</v>
      </c>
      <c r="D151" s="87" t="inlineStr">
        <is>
          <t>N7</t>
        </is>
      </c>
      <c r="E151" s="87" t="n">
        <v>3699</v>
      </c>
      <c r="F151" s="87" t="n">
        <v>3261</v>
      </c>
      <c r="G151" s="88" t="n">
        <v>0.8815896188158961</v>
      </c>
      <c r="H151" s="87" t="n">
        <v>2191</v>
      </c>
      <c r="I151" s="89" t="n">
        <v>0.5923222492565559</v>
      </c>
      <c r="J151" s="87" t="n">
        <v>3005</v>
      </c>
      <c r="K151" s="87" t="n">
        <v>2880</v>
      </c>
      <c r="L151" s="88" t="n">
        <v>0.958</v>
      </c>
      <c r="M151" s="87" t="n">
        <v>8523</v>
      </c>
      <c r="N151" s="87" t="n">
        <v>11214</v>
      </c>
      <c r="O151" s="87" t="n">
        <v>8264</v>
      </c>
      <c r="P151" s="88" t="n">
        <v>0.9696116390942157</v>
      </c>
      <c r="Q151" s="87" t="n">
        <v>23</v>
      </c>
      <c r="R151" s="87" t="n">
        <v>0</v>
      </c>
      <c r="S151" s="87" t="n">
        <v>0</v>
      </c>
      <c r="T151" s="88" t="n">
        <v>0</v>
      </c>
      <c r="U151" s="87" t="n">
        <v>0</v>
      </c>
      <c r="V151" s="88" t="n">
        <v>0</v>
      </c>
      <c r="W151" s="87" t="n">
        <v>283</v>
      </c>
      <c r="X151" s="88" t="n">
        <v>0.07650716409840498</v>
      </c>
      <c r="Y151" s="87" t="n">
        <v>674</v>
      </c>
      <c r="Z151" s="90" t="n">
        <v>0.1822114084887808</v>
      </c>
      <c r="AA151" s="87" t="n">
        <v>0</v>
      </c>
      <c r="AB151" s="88" t="n">
        <v>0</v>
      </c>
      <c r="AC151" s="87" t="n">
        <v>139</v>
      </c>
      <c r="AD151" s="88" t="n">
        <v>0.03757772370911057</v>
      </c>
      <c r="AE151" s="87" t="n">
        <v>32</v>
      </c>
      <c r="AF151" s="88" t="n">
        <v>0.2302158273381295</v>
      </c>
      <c r="AG151" s="87" t="n">
        <v>110</v>
      </c>
      <c r="AH151" s="88" t="n">
        <v>0.7913669064748201</v>
      </c>
      <c r="AI151" s="91" t="n">
        <v>124</v>
      </c>
      <c r="AJ151" s="88" t="n">
        <v>0.03352257366855907</v>
      </c>
      <c r="AK151" s="91" t="n">
        <v>3</v>
      </c>
      <c r="AL151" s="88" t="n">
        <v>0.8548387096774194</v>
      </c>
      <c r="AM151" s="91" t="n">
        <v>124</v>
      </c>
      <c r="AN151" s="91" t="n">
        <v>106</v>
      </c>
      <c r="AO151" s="88" t="n">
        <v>0.02865639361989727</v>
      </c>
      <c r="AP151" s="88" t="n">
        <v>0.762589928057554</v>
      </c>
      <c r="AQ151" s="89" t="n">
        <v>0.9285714285714286</v>
      </c>
      <c r="AR151" s="89" t="n">
        <v>0.5645161290322581</v>
      </c>
      <c r="AS151" s="89" t="n">
        <v>0.6048387096774194</v>
      </c>
      <c r="AT151" s="91" t="n">
        <v>0</v>
      </c>
      <c r="AU151" s="91" t="n">
        <v>0</v>
      </c>
      <c r="AV151" s="91" t="n">
        <v>45</v>
      </c>
      <c r="AW151" s="91" t="n">
        <v>40</v>
      </c>
      <c r="AX151" s="91" t="n">
        <v>44</v>
      </c>
      <c r="AY151" s="91" t="n">
        <v>40</v>
      </c>
      <c r="AZ151" s="88" t="n">
        <v>0.01081373344147067</v>
      </c>
      <c r="BA151" s="88" t="n">
        <v>0.01189510678561773</v>
      </c>
      <c r="BB151" s="88" t="n">
        <v>0.01081373344147067</v>
      </c>
      <c r="BC151" s="88" t="n">
        <v>0.4150943396226415</v>
      </c>
      <c r="BD151" s="91" t="n">
        <v>0</v>
      </c>
      <c r="BE151" s="91" t="n">
        <v>0</v>
      </c>
      <c r="BF151" s="89" t="n">
        <v>1</v>
      </c>
      <c r="BG151" s="89" t="n">
        <v>1</v>
      </c>
      <c r="BH151" s="89" t="inlineStr">
        <is>
          <t>-</t>
        </is>
      </c>
    </row>
    <row r="152" ht="19.55" customHeight="1">
      <c r="A152" s="92" t="n">
        <v>149</v>
      </c>
      <c r="B152" s="87" t="inlineStr">
        <is>
          <t>全国</t>
        </is>
      </c>
      <c r="C152" s="93" t="n">
        <v>46258</v>
      </c>
      <c r="D152" s="87" t="inlineStr">
        <is>
          <t>NX8</t>
        </is>
      </c>
      <c r="E152" s="87" t="n">
        <v>7727</v>
      </c>
      <c r="F152" s="87" t="n">
        <v>6745</v>
      </c>
      <c r="G152" s="88" t="n">
        <v>0.8729131616409991</v>
      </c>
      <c r="H152" s="87" t="n">
        <v>3197</v>
      </c>
      <c r="I152" s="89" t="n">
        <v>0.4137440144946292</v>
      </c>
      <c r="J152" s="87" t="n">
        <v>5424</v>
      </c>
      <c r="K152" s="87" t="n">
        <v>5172</v>
      </c>
      <c r="L152" s="88" t="n">
        <v>0.954</v>
      </c>
      <c r="M152" s="87" t="n">
        <v>22998</v>
      </c>
      <c r="N152" s="87" t="n">
        <v>32974</v>
      </c>
      <c r="O152" s="87" t="n">
        <v>22406</v>
      </c>
      <c r="P152" s="88" t="n">
        <v>0.9742586311853204</v>
      </c>
      <c r="Q152" s="87" t="n">
        <v>98</v>
      </c>
      <c r="R152" s="87" t="n">
        <v>0</v>
      </c>
      <c r="S152" s="87" t="n">
        <v>0</v>
      </c>
      <c r="T152" s="88" t="n">
        <v>0</v>
      </c>
      <c r="U152" s="87" t="n">
        <v>0</v>
      </c>
      <c r="V152" s="88" t="n">
        <v>0</v>
      </c>
      <c r="W152" s="87" t="n">
        <v>1083</v>
      </c>
      <c r="X152" s="88" t="n">
        <v>0.1401578879254562</v>
      </c>
      <c r="Y152" s="87" t="n">
        <v>2419</v>
      </c>
      <c r="Z152" s="90" t="n">
        <v>0.3130581079332212</v>
      </c>
      <c r="AA152" s="87" t="n">
        <v>0</v>
      </c>
      <c r="AB152" s="88" t="n">
        <v>0</v>
      </c>
      <c r="AC152" s="87" t="n">
        <v>590</v>
      </c>
      <c r="AD152" s="88" t="n">
        <v>0.07635563608127345</v>
      </c>
      <c r="AE152" s="87" t="n">
        <v>119</v>
      </c>
      <c r="AF152" s="88" t="n">
        <v>0.2016949152542373</v>
      </c>
      <c r="AG152" s="87" t="n">
        <v>465</v>
      </c>
      <c r="AH152" s="88" t="n">
        <v>0.788135593220339</v>
      </c>
      <c r="AI152" s="91" t="n">
        <v>448</v>
      </c>
      <c r="AJ152" s="88" t="n">
        <v>0.05797851688883137</v>
      </c>
      <c r="AK152" s="91" t="n">
        <v>5</v>
      </c>
      <c r="AL152" s="88" t="n">
        <v>0.8973214285714286</v>
      </c>
      <c r="AM152" s="91" t="n">
        <v>456</v>
      </c>
      <c r="AN152" s="91" t="n">
        <v>402</v>
      </c>
      <c r="AO152" s="88" t="n">
        <v>0.05202536560113886</v>
      </c>
      <c r="AP152" s="88" t="n">
        <v>0.6813559322033899</v>
      </c>
      <c r="AQ152" s="89" t="n">
        <v>0.9859154929577465</v>
      </c>
      <c r="AR152" s="89" t="n">
        <v>0.6420824295010846</v>
      </c>
      <c r="AS152" s="89" t="n">
        <v>0.6442516268980477</v>
      </c>
      <c r="AT152" s="91" t="n">
        <v>0</v>
      </c>
      <c r="AU152" s="91" t="n">
        <v>0</v>
      </c>
      <c r="AV152" s="91" t="n">
        <v>277</v>
      </c>
      <c r="AW152" s="91" t="n">
        <v>256</v>
      </c>
      <c r="AX152" s="91" t="n">
        <v>244</v>
      </c>
      <c r="AY152" s="91" t="n">
        <v>111</v>
      </c>
      <c r="AZ152" s="88" t="n">
        <v>0.03313058107933221</v>
      </c>
      <c r="BA152" s="88" t="n">
        <v>0.03157758509123852</v>
      </c>
      <c r="BB152" s="88" t="n">
        <v>0.0143652128898667</v>
      </c>
      <c r="BC152" s="88" t="n">
        <v>0.6069651741293532</v>
      </c>
      <c r="BD152" s="91" t="n">
        <v>0</v>
      </c>
      <c r="BE152" s="91" t="n">
        <v>0</v>
      </c>
      <c r="BF152" s="89" t="n">
        <v>1</v>
      </c>
      <c r="BG152" s="89" t="n">
        <v>1</v>
      </c>
      <c r="BH152" s="89" t="inlineStr">
        <is>
          <t>-</t>
        </is>
      </c>
    </row>
    <row r="153" ht="19.55" customHeight="1">
      <c r="A153" s="92" t="n">
        <v>150</v>
      </c>
      <c r="B153" s="87" t="inlineStr">
        <is>
          <t>全国</t>
        </is>
      </c>
      <c r="C153" s="93" t="n">
        <v>46258</v>
      </c>
      <c r="D153" s="87" t="inlineStr">
        <is>
          <t>天籁·鸿蒙座舱</t>
        </is>
      </c>
      <c r="E153" s="87" t="n">
        <v>4357</v>
      </c>
      <c r="F153" s="87" t="n">
        <v>3867</v>
      </c>
      <c r="G153" s="88" t="n">
        <v>0.8875372963047968</v>
      </c>
      <c r="H153" s="87" t="n">
        <v>2915</v>
      </c>
      <c r="I153" s="89" t="n">
        <v>0.6690383291255451</v>
      </c>
      <c r="J153" s="87" t="n">
        <v>5017</v>
      </c>
      <c r="K153" s="87" t="n">
        <v>4837</v>
      </c>
      <c r="L153" s="88" t="n">
        <v>0.964</v>
      </c>
      <c r="M153" s="87" t="n">
        <v>18602</v>
      </c>
      <c r="N153" s="87" t="n">
        <v>25502</v>
      </c>
      <c r="O153" s="87" t="n">
        <v>18189</v>
      </c>
      <c r="P153" s="88" t="n">
        <v>0.9777980862272874</v>
      </c>
      <c r="Q153" s="87" t="n">
        <v>56</v>
      </c>
      <c r="R153" s="87" t="n">
        <v>0</v>
      </c>
      <c r="S153" s="87" t="n">
        <v>0</v>
      </c>
      <c r="T153" s="88" t="n">
        <v>0</v>
      </c>
      <c r="U153" s="87" t="n">
        <v>0</v>
      </c>
      <c r="V153" s="88" t="n">
        <v>0</v>
      </c>
      <c r="W153" s="87" t="n">
        <v>661</v>
      </c>
      <c r="X153" s="88" t="n">
        <v>0.1517098921276107</v>
      </c>
      <c r="Y153" s="87" t="n">
        <v>1360</v>
      </c>
      <c r="Z153" s="90" t="n">
        <v>0.3121413816846454</v>
      </c>
      <c r="AA153" s="87" t="n">
        <v>0</v>
      </c>
      <c r="AB153" s="88" t="n">
        <v>0</v>
      </c>
      <c r="AC153" s="87" t="n">
        <v>198</v>
      </c>
      <c r="AD153" s="88" t="n">
        <v>0.04544411292173514</v>
      </c>
      <c r="AE153" s="87" t="n">
        <v>46</v>
      </c>
      <c r="AF153" s="88" t="n">
        <v>0.2323232323232323</v>
      </c>
      <c r="AG153" s="87" t="n">
        <v>154</v>
      </c>
      <c r="AH153" s="88" t="n">
        <v>0.7777777777777778</v>
      </c>
      <c r="AI153" s="91" t="n">
        <v>147</v>
      </c>
      <c r="AJ153" s="88" t="n">
        <v>0.03373881110856094</v>
      </c>
      <c r="AK153" s="91" t="n">
        <v>2</v>
      </c>
      <c r="AL153" s="88" t="n">
        <v>0.8979591836734694</v>
      </c>
      <c r="AM153" s="91" t="n">
        <v>144</v>
      </c>
      <c r="AN153" s="91" t="n">
        <v>132</v>
      </c>
      <c r="AO153" s="88" t="n">
        <v>0.03029607528115676</v>
      </c>
      <c r="AP153" s="88" t="n">
        <v>0.6666666666666666</v>
      </c>
      <c r="AQ153" s="89" t="n">
        <v>0.85</v>
      </c>
      <c r="AR153" s="89" t="n">
        <v>0.5341614906832298</v>
      </c>
      <c r="AS153" s="89" t="n">
        <v>0.5031055900621118</v>
      </c>
      <c r="AT153" s="91" t="n">
        <v>0</v>
      </c>
      <c r="AU153" s="91" t="n">
        <v>0</v>
      </c>
      <c r="AV153" s="91" t="n">
        <v>137</v>
      </c>
      <c r="AW153" s="91" t="n">
        <v>124</v>
      </c>
      <c r="AX153" s="91" t="n">
        <v>123</v>
      </c>
      <c r="AY153" s="91" t="n">
        <v>83</v>
      </c>
      <c r="AZ153" s="88" t="n">
        <v>0.0284599495065412</v>
      </c>
      <c r="BA153" s="88" t="n">
        <v>0.02823043378471425</v>
      </c>
      <c r="BB153" s="88" t="n">
        <v>0.01904980491163645</v>
      </c>
      <c r="BC153" s="88" t="n">
        <v>0.9318181818181818</v>
      </c>
      <c r="BD153" s="91" t="n">
        <v>0</v>
      </c>
      <c r="BE153" s="91" t="n">
        <v>0</v>
      </c>
      <c r="BF153" s="89" t="n">
        <v>0.9411764705882353</v>
      </c>
      <c r="BG153" s="89" t="n">
        <v>1</v>
      </c>
      <c r="BH153" s="89" t="inlineStr">
        <is>
          <t>-</t>
        </is>
      </c>
    </row>
    <row r="154" ht="25.6" customHeight="1">
      <c r="A154" s="92" t="n">
        <v>151</v>
      </c>
      <c r="B154" s="87" t="inlineStr">
        <is>
          <t>全国</t>
        </is>
      </c>
      <c r="C154" s="93" t="n">
        <v>46259</v>
      </c>
      <c r="D154" s="87" t="n"/>
      <c r="E154" s="87" t="n">
        <v>24</v>
      </c>
      <c r="F154" s="87" t="n">
        <v>23</v>
      </c>
      <c r="G154" s="88" t="n">
        <v>0.9583333333333334</v>
      </c>
      <c r="H154" s="87" t="n">
        <v>24</v>
      </c>
      <c r="I154" s="89" t="n">
        <v>1</v>
      </c>
      <c r="J154" s="87" t="n">
        <v>0</v>
      </c>
      <c r="K154" s="87" t="n">
        <v>0</v>
      </c>
      <c r="L154" s="88" t="n">
        <v>0</v>
      </c>
      <c r="M154" s="87" t="n">
        <v>3</v>
      </c>
      <c r="N154" s="87" t="n">
        <v>2</v>
      </c>
      <c r="O154" s="87" t="n">
        <v>1</v>
      </c>
      <c r="P154" s="88" t="n">
        <v>0.3333333333333333</v>
      </c>
      <c r="Q154" s="87" t="n">
        <v>2</v>
      </c>
      <c r="R154" s="87" t="n">
        <v>0</v>
      </c>
      <c r="S154" s="87" t="n">
        <v>0</v>
      </c>
      <c r="T154" s="88" t="n">
        <v>0</v>
      </c>
      <c r="U154" s="87" t="n">
        <v>0</v>
      </c>
      <c r="V154" s="88" t="n">
        <v>0</v>
      </c>
      <c r="W154" s="87" t="n">
        <v>11</v>
      </c>
      <c r="X154" s="88" t="n">
        <v>0.4583333333333333</v>
      </c>
      <c r="Y154" s="87" t="n">
        <v>26</v>
      </c>
      <c r="Z154" s="90" t="n">
        <v>1.083333333333333</v>
      </c>
      <c r="AA154" s="87" t="n">
        <v>0</v>
      </c>
      <c r="AB154" s="88" t="n">
        <v>0</v>
      </c>
      <c r="AC154" s="87" t="n">
        <v>0</v>
      </c>
      <c r="AD154" s="88" t="n">
        <v>0</v>
      </c>
      <c r="AE154" s="87" t="n">
        <v>0</v>
      </c>
      <c r="AF154" s="88" t="n">
        <v>0</v>
      </c>
      <c r="AG154" s="87" t="n">
        <v>0</v>
      </c>
      <c r="AH154" s="88" t="n">
        <v>0</v>
      </c>
      <c r="AI154" s="91" t="n">
        <v>0</v>
      </c>
      <c r="AJ154" s="88" t="n">
        <v>0</v>
      </c>
      <c r="AK154" s="91" t="n">
        <v>0</v>
      </c>
      <c r="AL154" s="88" t="n">
        <v>0</v>
      </c>
      <c r="AM154" s="91" t="n">
        <v>0</v>
      </c>
      <c r="AN154" s="91" t="n">
        <v>0</v>
      </c>
      <c r="AO154" s="88" t="n">
        <v>0</v>
      </c>
      <c r="AP154" s="88" t="n">
        <v>0</v>
      </c>
      <c r="AQ154" s="89" t="n">
        <v>0</v>
      </c>
      <c r="AR154" s="89" t="n">
        <v>0</v>
      </c>
      <c r="AS154" s="89" t="n">
        <v>0</v>
      </c>
      <c r="AT154" s="91" t="n">
        <v>0</v>
      </c>
      <c r="AU154" s="91" t="n">
        <v>0</v>
      </c>
      <c r="AV154" s="91" t="n">
        <v>0</v>
      </c>
      <c r="AW154" s="91" t="n">
        <v>0</v>
      </c>
      <c r="AX154" s="91" t="n">
        <v>0</v>
      </c>
      <c r="AY154" s="91" t="n">
        <v>0</v>
      </c>
      <c r="AZ154" s="88" t="n">
        <v>0</v>
      </c>
      <c r="BA154" s="88" t="n">
        <v>0</v>
      </c>
      <c r="BB154" s="88" t="n">
        <v>0</v>
      </c>
      <c r="BC154" s="88" t="n">
        <v>0</v>
      </c>
      <c r="BD154" s="91" t="n">
        <v>0</v>
      </c>
      <c r="BE154" s="91" t="n">
        <v>0</v>
      </c>
      <c r="BF154" s="89" t="inlineStr">
        <is>
          <t>-</t>
        </is>
      </c>
      <c r="BG154" s="89" t="inlineStr">
        <is>
          <t>-</t>
        </is>
      </c>
      <c r="BH154" s="89" t="n">
        <v>0.9859154929577465</v>
      </c>
    </row>
    <row r="155" ht="19.55" customHeight="1">
      <c r="A155" s="92" t="n">
        <v>152</v>
      </c>
      <c r="B155" s="87" t="inlineStr">
        <is>
          <t>全国</t>
        </is>
      </c>
      <c r="C155" s="93" t="n">
        <v>46259</v>
      </c>
      <c r="D155" s="87" t="inlineStr">
        <is>
          <t>2026款探陆</t>
        </is>
      </c>
      <c r="E155" s="87" t="n">
        <v>394</v>
      </c>
      <c r="F155" s="87" t="n">
        <v>351</v>
      </c>
      <c r="G155" s="88" t="n">
        <v>0.8908629441624365</v>
      </c>
      <c r="H155" s="87" t="n">
        <v>87</v>
      </c>
      <c r="I155" s="89" t="n">
        <v>0.2208121827411167</v>
      </c>
      <c r="J155" s="87" t="n">
        <v>373</v>
      </c>
      <c r="K155" s="87" t="n">
        <v>239</v>
      </c>
      <c r="L155" s="88" t="n">
        <v>0.641</v>
      </c>
      <c r="M155" s="87" t="n">
        <v>1143</v>
      </c>
      <c r="N155" s="87" t="n">
        <v>1104</v>
      </c>
      <c r="O155" s="87" t="n">
        <v>951</v>
      </c>
      <c r="P155" s="88" t="n">
        <v>0.8320209973753281</v>
      </c>
      <c r="Q155" s="87" t="n">
        <v>57</v>
      </c>
      <c r="R155" s="87" t="n">
        <v>0</v>
      </c>
      <c r="S155" s="87" t="n">
        <v>0</v>
      </c>
      <c r="T155" s="88" t="n">
        <v>0</v>
      </c>
      <c r="U155" s="87" t="n">
        <v>0</v>
      </c>
      <c r="V155" s="88" t="n">
        <v>0</v>
      </c>
      <c r="W155" s="87" t="n">
        <v>7</v>
      </c>
      <c r="X155" s="88" t="n">
        <v>0.01776649746192894</v>
      </c>
      <c r="Y155" s="87" t="n">
        <v>186</v>
      </c>
      <c r="Z155" s="90" t="n">
        <v>0.4720812182741117</v>
      </c>
      <c r="AA155" s="87" t="n">
        <v>47</v>
      </c>
      <c r="AB155" s="88" t="n">
        <v>0.1192893401015228</v>
      </c>
      <c r="AC155" s="87" t="n">
        <v>0</v>
      </c>
      <c r="AD155" s="88" t="n">
        <v>0</v>
      </c>
      <c r="AE155" s="87" t="n">
        <v>0</v>
      </c>
      <c r="AF155" s="88" t="n">
        <v>0</v>
      </c>
      <c r="AG155" s="87" t="n">
        <v>0</v>
      </c>
      <c r="AH155" s="88" t="n">
        <v>0</v>
      </c>
      <c r="AI155" s="91" t="n">
        <v>0</v>
      </c>
      <c r="AJ155" s="88" t="n">
        <v>0</v>
      </c>
      <c r="AK155" s="91" t="n">
        <v>0</v>
      </c>
      <c r="AL155" s="88" t="n">
        <v>0</v>
      </c>
      <c r="AM155" s="91" t="n">
        <v>0</v>
      </c>
      <c r="AN155" s="91" t="n">
        <v>0</v>
      </c>
      <c r="AO155" s="88" t="n">
        <v>0</v>
      </c>
      <c r="AP155" s="88" t="n">
        <v>0</v>
      </c>
      <c r="AQ155" s="89" t="n">
        <v>1</v>
      </c>
      <c r="AR155" s="89" t="n">
        <v>0.75</v>
      </c>
      <c r="AS155" s="89" t="n">
        <v>0.75</v>
      </c>
      <c r="AT155" s="91" t="n">
        <v>0</v>
      </c>
      <c r="AU155" s="91" t="n">
        <v>0</v>
      </c>
      <c r="AV155" s="91" t="n">
        <v>3</v>
      </c>
      <c r="AW155" s="91" t="n">
        <v>3</v>
      </c>
      <c r="AX155" s="91" t="n">
        <v>3</v>
      </c>
      <c r="AY155" s="91" t="n">
        <v>1</v>
      </c>
      <c r="AZ155" s="88" t="n">
        <v>0.007614213197969543</v>
      </c>
      <c r="BA155" s="88" t="n">
        <v>0.007614213197969543</v>
      </c>
      <c r="BB155" s="88" t="n">
        <v>0.002538071065989848</v>
      </c>
      <c r="BC155" s="88" t="n">
        <v>0</v>
      </c>
      <c r="BD155" s="91" t="n">
        <v>0</v>
      </c>
      <c r="BE155" s="91" t="n">
        <v>0</v>
      </c>
      <c r="BF155" s="89" t="inlineStr">
        <is>
          <t>-</t>
        </is>
      </c>
      <c r="BG155" s="89" t="inlineStr">
        <is>
          <t>-</t>
        </is>
      </c>
      <c r="BH155" s="89" t="inlineStr">
        <is>
          <t>-</t>
        </is>
      </c>
    </row>
    <row r="156" ht="19.55" customHeight="1">
      <c r="A156" s="92" t="n">
        <v>153</v>
      </c>
      <c r="B156" s="87" t="inlineStr">
        <is>
          <t>全国</t>
        </is>
      </c>
      <c r="C156" s="93" t="n">
        <v>46259</v>
      </c>
      <c r="D156" s="87" t="inlineStr">
        <is>
          <t>N6</t>
        </is>
      </c>
      <c r="E156" s="87" t="n">
        <v>2230</v>
      </c>
      <c r="F156" s="87" t="n">
        <v>1946</v>
      </c>
      <c r="G156" s="88" t="n">
        <v>0.8726457399103139</v>
      </c>
      <c r="H156" s="87" t="n">
        <v>1215</v>
      </c>
      <c r="I156" s="89" t="n">
        <v>0.5448430493273543</v>
      </c>
      <c r="J156" s="87" t="n">
        <v>1601</v>
      </c>
      <c r="K156" s="87" t="n">
        <v>1524</v>
      </c>
      <c r="L156" s="88" t="n">
        <v>0.952</v>
      </c>
      <c r="M156" s="87" t="n">
        <v>7685</v>
      </c>
      <c r="N156" s="87" t="n">
        <v>7849</v>
      </c>
      <c r="O156" s="87" t="n">
        <v>7485</v>
      </c>
      <c r="P156" s="88" t="n">
        <v>0.973975276512687</v>
      </c>
      <c r="Q156" s="87" t="n">
        <v>57</v>
      </c>
      <c r="R156" s="87" t="n">
        <v>0</v>
      </c>
      <c r="S156" s="87" t="n">
        <v>0</v>
      </c>
      <c r="T156" s="88" t="n">
        <v>0</v>
      </c>
      <c r="U156" s="87" t="n">
        <v>0</v>
      </c>
      <c r="V156" s="88" t="n">
        <v>0</v>
      </c>
      <c r="W156" s="87" t="n">
        <v>345</v>
      </c>
      <c r="X156" s="88" t="n">
        <v>0.1547085201793722</v>
      </c>
      <c r="Y156" s="87" t="n">
        <v>660</v>
      </c>
      <c r="Z156" s="90" t="n">
        <v>0.2959641255605381</v>
      </c>
      <c r="AA156" s="87" t="n">
        <v>4</v>
      </c>
      <c r="AB156" s="88" t="n">
        <v>0.00179372197309417</v>
      </c>
      <c r="AC156" s="87" t="n">
        <v>245</v>
      </c>
      <c r="AD156" s="88" t="n">
        <v>0.1098654708520179</v>
      </c>
      <c r="AE156" s="87" t="n">
        <v>58</v>
      </c>
      <c r="AF156" s="88" t="n">
        <v>0.236734693877551</v>
      </c>
      <c r="AG156" s="87" t="n">
        <v>198</v>
      </c>
      <c r="AH156" s="88" t="n">
        <v>0.8081632653061225</v>
      </c>
      <c r="AI156" s="91" t="n">
        <v>204</v>
      </c>
      <c r="AJ156" s="88" t="n">
        <v>0.09147982062780269</v>
      </c>
      <c r="AK156" s="91" t="n">
        <v>33</v>
      </c>
      <c r="AL156" s="88" t="n">
        <v>0.8823529411764706</v>
      </c>
      <c r="AM156" s="91" t="n">
        <v>207</v>
      </c>
      <c r="AN156" s="91" t="n">
        <v>180</v>
      </c>
      <c r="AO156" s="88" t="n">
        <v>0.08071748878923767</v>
      </c>
      <c r="AP156" s="88" t="n">
        <v>0.7346938775510204</v>
      </c>
      <c r="AQ156" s="89" t="n">
        <v>0.9919354838709677</v>
      </c>
      <c r="AR156" s="89" t="n">
        <v>0.5721925133689839</v>
      </c>
      <c r="AS156" s="89" t="n">
        <v>0.5882352941176471</v>
      </c>
      <c r="AT156" s="91" t="n">
        <v>0</v>
      </c>
      <c r="AU156" s="91" t="n">
        <v>0</v>
      </c>
      <c r="AV156" s="91" t="n">
        <v>48</v>
      </c>
      <c r="AW156" s="91" t="n">
        <v>45</v>
      </c>
      <c r="AX156" s="91" t="n">
        <v>47</v>
      </c>
      <c r="AY156" s="91" t="n">
        <v>34</v>
      </c>
      <c r="AZ156" s="88" t="n">
        <v>0.02017937219730942</v>
      </c>
      <c r="BA156" s="88" t="n">
        <v>0.0210762331838565</v>
      </c>
      <c r="BB156" s="88" t="n">
        <v>0.01524663677130045</v>
      </c>
      <c r="BC156" s="88" t="n">
        <v>0.2611111111111111</v>
      </c>
      <c r="BD156" s="91" t="n">
        <v>0</v>
      </c>
      <c r="BE156" s="91" t="n">
        <v>0</v>
      </c>
      <c r="BF156" s="89" t="n">
        <v>1</v>
      </c>
      <c r="BG156" s="89" t="n">
        <v>1</v>
      </c>
      <c r="BH156" s="89" t="inlineStr">
        <is>
          <t>-</t>
        </is>
      </c>
    </row>
    <row r="157" ht="19.55" customHeight="1">
      <c r="A157" s="92" t="n">
        <v>154</v>
      </c>
      <c r="B157" s="87" t="inlineStr">
        <is>
          <t>全国</t>
        </is>
      </c>
      <c r="C157" s="93" t="n">
        <v>46259</v>
      </c>
      <c r="D157" s="87" t="inlineStr">
        <is>
          <t>N7</t>
        </is>
      </c>
      <c r="E157" s="87" t="n">
        <v>2347</v>
      </c>
      <c r="F157" s="87" t="n">
        <v>2076</v>
      </c>
      <c r="G157" s="88" t="n">
        <v>0.8845334469535577</v>
      </c>
      <c r="H157" s="87" t="n">
        <v>1079</v>
      </c>
      <c r="I157" s="89" t="n">
        <v>0.4597358329782701</v>
      </c>
      <c r="J157" s="87" t="n">
        <v>1643</v>
      </c>
      <c r="K157" s="87" t="n">
        <v>1551</v>
      </c>
      <c r="L157" s="88" t="n">
        <v>0.944</v>
      </c>
      <c r="M157" s="87" t="n">
        <v>7117</v>
      </c>
      <c r="N157" s="87" t="n">
        <v>7139</v>
      </c>
      <c r="O157" s="87" t="n">
        <v>6878</v>
      </c>
      <c r="P157" s="88" t="n">
        <v>0.9664184347337361</v>
      </c>
      <c r="Q157" s="87" t="n">
        <v>53</v>
      </c>
      <c r="R157" s="87" t="n">
        <v>0</v>
      </c>
      <c r="S157" s="87" t="n">
        <v>0</v>
      </c>
      <c r="T157" s="88" t="n">
        <v>0</v>
      </c>
      <c r="U157" s="87" t="n">
        <v>0</v>
      </c>
      <c r="V157" s="88" t="n">
        <v>0</v>
      </c>
      <c r="W157" s="87" t="n">
        <v>284</v>
      </c>
      <c r="X157" s="88" t="n">
        <v>0.1210055389859395</v>
      </c>
      <c r="Y157" s="87" t="n">
        <v>853</v>
      </c>
      <c r="Z157" s="90" t="n">
        <v>0.3634426927993183</v>
      </c>
      <c r="AA157" s="87" t="n">
        <v>1</v>
      </c>
      <c r="AB157" s="88" t="n">
        <v>0.0004260758414997869</v>
      </c>
      <c r="AC157" s="87" t="n">
        <v>192</v>
      </c>
      <c r="AD157" s="88" t="n">
        <v>0.0818065615679591</v>
      </c>
      <c r="AE157" s="87" t="n">
        <v>31</v>
      </c>
      <c r="AF157" s="88" t="n">
        <v>0.1614583333333333</v>
      </c>
      <c r="AG157" s="87" t="n">
        <v>150</v>
      </c>
      <c r="AH157" s="88" t="n">
        <v>0.78125</v>
      </c>
      <c r="AI157" s="91" t="n">
        <v>151</v>
      </c>
      <c r="AJ157" s="88" t="n">
        <v>0.06433745206646783</v>
      </c>
      <c r="AK157" s="91" t="n">
        <v>18</v>
      </c>
      <c r="AL157" s="88" t="n">
        <v>0.8807947019867549</v>
      </c>
      <c r="AM157" s="91" t="n">
        <v>150</v>
      </c>
      <c r="AN157" s="91" t="n">
        <v>133</v>
      </c>
      <c r="AO157" s="88" t="n">
        <v>0.05666808691947166</v>
      </c>
      <c r="AP157" s="88" t="n">
        <v>0.6927083333333334</v>
      </c>
      <c r="AQ157" s="89" t="n">
        <v>0.9809523809523809</v>
      </c>
      <c r="AR157" s="89" t="n">
        <v>0.6375</v>
      </c>
      <c r="AS157" s="89" t="n">
        <v>0.6375</v>
      </c>
      <c r="AT157" s="91" t="n">
        <v>0</v>
      </c>
      <c r="AU157" s="91" t="n">
        <v>0</v>
      </c>
      <c r="AV157" s="91" t="n">
        <v>25</v>
      </c>
      <c r="AW157" s="91" t="n">
        <v>22</v>
      </c>
      <c r="AX157" s="91" t="n">
        <v>24</v>
      </c>
      <c r="AY157" s="91" t="n">
        <v>28</v>
      </c>
      <c r="AZ157" s="88" t="n">
        <v>0.009373668512995313</v>
      </c>
      <c r="BA157" s="88" t="n">
        <v>0.01022582019599489</v>
      </c>
      <c r="BB157" s="88" t="n">
        <v>0.01193012356199404</v>
      </c>
      <c r="BC157" s="88" t="n">
        <v>0.1804511278195489</v>
      </c>
      <c r="BD157" s="91" t="n">
        <v>0</v>
      </c>
      <c r="BE157" s="91" t="n">
        <v>0</v>
      </c>
      <c r="BF157" s="89" t="n">
        <v>1</v>
      </c>
      <c r="BG157" s="89" t="n">
        <v>1</v>
      </c>
      <c r="BH157" s="89" t="inlineStr">
        <is>
          <t>-</t>
        </is>
      </c>
    </row>
    <row r="158" ht="19.55" customHeight="1">
      <c r="A158" s="92" t="n">
        <v>155</v>
      </c>
      <c r="B158" s="87" t="inlineStr">
        <is>
          <t>全国</t>
        </is>
      </c>
      <c r="C158" s="93" t="n">
        <v>46259</v>
      </c>
      <c r="D158" s="87" t="inlineStr">
        <is>
          <t>NX8</t>
        </is>
      </c>
      <c r="E158" s="87" t="n">
        <v>5686</v>
      </c>
      <c r="F158" s="87" t="n">
        <v>4966</v>
      </c>
      <c r="G158" s="88" t="n">
        <v>0.8733731973267675</v>
      </c>
      <c r="H158" s="87" t="n">
        <v>2098</v>
      </c>
      <c r="I158" s="89" t="n">
        <v>0.368976433345058</v>
      </c>
      <c r="J158" s="87" t="n">
        <v>5346</v>
      </c>
      <c r="K158" s="87" t="n">
        <v>5006</v>
      </c>
      <c r="L158" s="88" t="n">
        <v>0.9360000000000001</v>
      </c>
      <c r="M158" s="87" t="n">
        <v>24611</v>
      </c>
      <c r="N158" s="87" t="n">
        <v>24571</v>
      </c>
      <c r="O158" s="87" t="n">
        <v>23915</v>
      </c>
      <c r="P158" s="88" t="n">
        <v>0.9717199626183414</v>
      </c>
      <c r="Q158" s="87" t="n">
        <v>247</v>
      </c>
      <c r="R158" s="87" t="n">
        <v>0</v>
      </c>
      <c r="S158" s="87" t="n">
        <v>0</v>
      </c>
      <c r="T158" s="88" t="n">
        <v>0</v>
      </c>
      <c r="U158" s="87" t="n">
        <v>0</v>
      </c>
      <c r="V158" s="88" t="n">
        <v>0</v>
      </c>
      <c r="W158" s="87" t="n">
        <v>874</v>
      </c>
      <c r="X158" s="88" t="n">
        <v>0.1537108688005628</v>
      </c>
      <c r="Y158" s="87" t="n">
        <v>2894</v>
      </c>
      <c r="Z158" s="90" t="n">
        <v>0.5089693985226873</v>
      </c>
      <c r="AA158" s="87" t="n">
        <v>4</v>
      </c>
      <c r="AB158" s="88" t="n">
        <v>0.0007034822370735139</v>
      </c>
      <c r="AC158" s="87" t="n">
        <v>668</v>
      </c>
      <c r="AD158" s="88" t="n">
        <v>0.1174815335912768</v>
      </c>
      <c r="AE158" s="87" t="n">
        <v>165</v>
      </c>
      <c r="AF158" s="88" t="n">
        <v>0.2470059880239521</v>
      </c>
      <c r="AG158" s="87" t="n">
        <v>571</v>
      </c>
      <c r="AH158" s="88" t="n">
        <v>0.8547904191616766</v>
      </c>
      <c r="AI158" s="91" t="n">
        <v>601</v>
      </c>
      <c r="AJ158" s="88" t="n">
        <v>0.1056982061202955</v>
      </c>
      <c r="AK158" s="91" t="n">
        <v>68</v>
      </c>
      <c r="AL158" s="88" t="n">
        <v>0.8735440931780366</v>
      </c>
      <c r="AM158" s="91" t="n">
        <v>595</v>
      </c>
      <c r="AN158" s="91" t="n">
        <v>525</v>
      </c>
      <c r="AO158" s="88" t="n">
        <v>0.0923320436158987</v>
      </c>
      <c r="AP158" s="88" t="n">
        <v>0.7859281437125748</v>
      </c>
      <c r="AQ158" s="89" t="n">
        <v>0.9903147699757869</v>
      </c>
      <c r="AR158" s="89" t="n">
        <v>0.609717868338558</v>
      </c>
      <c r="AS158" s="89" t="n">
        <v>0.6003134796238244</v>
      </c>
      <c r="AT158" s="91" t="n">
        <v>0</v>
      </c>
      <c r="AU158" s="91" t="n">
        <v>0</v>
      </c>
      <c r="AV158" s="91" t="n">
        <v>33</v>
      </c>
      <c r="AW158" s="91" t="n">
        <v>15</v>
      </c>
      <c r="AX158" s="91" t="n">
        <v>26</v>
      </c>
      <c r="AY158" s="91" t="n">
        <v>78</v>
      </c>
      <c r="AZ158" s="88" t="n">
        <v>0.002638058389025677</v>
      </c>
      <c r="BA158" s="88" t="n">
        <v>0.004572634540977841</v>
      </c>
      <c r="BB158" s="88" t="n">
        <v>0.01371790362293352</v>
      </c>
      <c r="BC158" s="88" t="n">
        <v>0.04952380952380953</v>
      </c>
      <c r="BD158" s="91" t="n">
        <v>0</v>
      </c>
      <c r="BE158" s="91" t="n">
        <v>1</v>
      </c>
      <c r="BF158" s="89" t="n">
        <v>0.9830508474576272</v>
      </c>
      <c r="BG158" s="89" t="n">
        <v>0.9047619047619048</v>
      </c>
      <c r="BH158" s="89" t="inlineStr">
        <is>
          <t>-</t>
        </is>
      </c>
    </row>
    <row r="159" ht="19.55" customHeight="1">
      <c r="A159" s="92" t="n">
        <v>156</v>
      </c>
      <c r="B159" s="87" t="inlineStr">
        <is>
          <t>全国</t>
        </is>
      </c>
      <c r="C159" s="93" t="n">
        <v>46259</v>
      </c>
      <c r="D159" s="87" t="inlineStr">
        <is>
          <t>天籁·鸿蒙座舱</t>
        </is>
      </c>
      <c r="E159" s="87" t="n">
        <v>3415</v>
      </c>
      <c r="F159" s="87" t="n">
        <v>3040</v>
      </c>
      <c r="G159" s="88" t="n">
        <v>0.890190336749634</v>
      </c>
      <c r="H159" s="87" t="n">
        <v>2083</v>
      </c>
      <c r="I159" s="89" t="n">
        <v>0.6099560761346998</v>
      </c>
      <c r="J159" s="87" t="n">
        <v>4497</v>
      </c>
      <c r="K159" s="87" t="n">
        <v>4324</v>
      </c>
      <c r="L159" s="88" t="n">
        <v>0.962</v>
      </c>
      <c r="M159" s="87" t="n">
        <v>19352</v>
      </c>
      <c r="N159" s="87" t="n">
        <v>19446</v>
      </c>
      <c r="O159" s="87" t="n">
        <v>18933</v>
      </c>
      <c r="P159" s="88" t="n">
        <v>0.9783484911120298</v>
      </c>
      <c r="Q159" s="87" t="n">
        <v>102</v>
      </c>
      <c r="R159" s="87" t="n">
        <v>0</v>
      </c>
      <c r="S159" s="87" t="n">
        <v>0</v>
      </c>
      <c r="T159" s="88" t="n">
        <v>0</v>
      </c>
      <c r="U159" s="87" t="n">
        <v>0</v>
      </c>
      <c r="V159" s="88" t="n">
        <v>0</v>
      </c>
      <c r="W159" s="87" t="n">
        <v>471</v>
      </c>
      <c r="X159" s="88" t="n">
        <v>0.1379209370424597</v>
      </c>
      <c r="Y159" s="87" t="n">
        <v>1174</v>
      </c>
      <c r="Z159" s="90" t="n">
        <v>0.3437774524158126</v>
      </c>
      <c r="AA159" s="87" t="n">
        <v>8</v>
      </c>
      <c r="AB159" s="88" t="n">
        <v>0.002342606149341142</v>
      </c>
      <c r="AC159" s="87" t="n">
        <v>220</v>
      </c>
      <c r="AD159" s="88" t="n">
        <v>0.06442166910688141</v>
      </c>
      <c r="AE159" s="87" t="n">
        <v>63</v>
      </c>
      <c r="AF159" s="88" t="n">
        <v>0.2863636363636364</v>
      </c>
      <c r="AG159" s="87" t="n">
        <v>180</v>
      </c>
      <c r="AH159" s="88" t="n">
        <v>0.8181818181818182</v>
      </c>
      <c r="AI159" s="91" t="n">
        <v>180</v>
      </c>
      <c r="AJ159" s="88" t="n">
        <v>0.0527086383601757</v>
      </c>
      <c r="AK159" s="91" t="n">
        <v>23</v>
      </c>
      <c r="AL159" s="88" t="n">
        <v>0.8444444444444444</v>
      </c>
      <c r="AM159" s="91" t="n">
        <v>179</v>
      </c>
      <c r="AN159" s="91" t="n">
        <v>152</v>
      </c>
      <c r="AO159" s="88" t="n">
        <v>0.0445095168374817</v>
      </c>
      <c r="AP159" s="88" t="n">
        <v>0.6909090909090909</v>
      </c>
      <c r="AQ159" s="89" t="n">
        <v>0.9655172413793104</v>
      </c>
      <c r="AR159" s="89" t="n">
        <v>0.5401069518716578</v>
      </c>
      <c r="AS159" s="89" t="n">
        <v>0.5561497326203209</v>
      </c>
      <c r="AT159" s="91" t="n">
        <v>0</v>
      </c>
      <c r="AU159" s="91" t="n">
        <v>0</v>
      </c>
      <c r="AV159" s="91" t="n">
        <v>98</v>
      </c>
      <c r="AW159" s="91" t="n">
        <v>79</v>
      </c>
      <c r="AX159" s="91" t="n">
        <v>81</v>
      </c>
      <c r="AY159" s="91" t="n">
        <v>82</v>
      </c>
      <c r="AZ159" s="88" t="n">
        <v>0.02313323572474378</v>
      </c>
      <c r="BA159" s="88" t="n">
        <v>0.02371888726207906</v>
      </c>
      <c r="BB159" s="88" t="n">
        <v>0.0240117130307467</v>
      </c>
      <c r="BC159" s="88" t="n">
        <v>0.5328947368421053</v>
      </c>
      <c r="BD159" s="91" t="n">
        <v>0</v>
      </c>
      <c r="BE159" s="91" t="n">
        <v>0</v>
      </c>
      <c r="BF159" s="89" t="n">
        <v>0.9565217391304348</v>
      </c>
      <c r="BG159" s="89" t="n">
        <v>0.9666666666666667</v>
      </c>
      <c r="BH159" s="89" t="inlineStr">
        <is>
          <t>-</t>
        </is>
      </c>
    </row>
    <row r="160" ht="19.55" customHeight="1">
      <c r="A160" s="92" t="n">
        <v>157</v>
      </c>
      <c r="B160" s="87" t="inlineStr">
        <is>
          <t>全国</t>
        </is>
      </c>
      <c r="C160" s="93" t="n">
        <v>46260</v>
      </c>
      <c r="D160" s="87" t="n"/>
      <c r="E160" s="87" t="n">
        <v>43</v>
      </c>
      <c r="F160" s="87" t="n">
        <v>43</v>
      </c>
      <c r="G160" s="88" t="n">
        <v>1</v>
      </c>
      <c r="H160" s="87" t="n">
        <v>43</v>
      </c>
      <c r="I160" s="89" t="n">
        <v>1</v>
      </c>
      <c r="J160" s="87" t="n">
        <v>0</v>
      </c>
      <c r="K160" s="87" t="n">
        <v>0</v>
      </c>
      <c r="L160" s="88" t="n">
        <v>0</v>
      </c>
      <c r="M160" s="87" t="n">
        <v>2</v>
      </c>
      <c r="N160" s="87" t="n">
        <v>0</v>
      </c>
      <c r="O160" s="87" t="n">
        <v>1</v>
      </c>
      <c r="P160" s="88" t="n">
        <v>0.5</v>
      </c>
      <c r="Q160" s="87" t="n">
        <v>0</v>
      </c>
      <c r="R160" s="87" t="n">
        <v>0</v>
      </c>
      <c r="S160" s="87" t="n">
        <v>0</v>
      </c>
      <c r="T160" s="88" t="n">
        <v>0</v>
      </c>
      <c r="U160" s="87" t="n">
        <v>0</v>
      </c>
      <c r="V160" s="88" t="n">
        <v>0</v>
      </c>
      <c r="W160" s="87" t="n">
        <v>3</v>
      </c>
      <c r="X160" s="88" t="n">
        <v>0.06976744186046512</v>
      </c>
      <c r="Y160" s="87" t="n">
        <v>9</v>
      </c>
      <c r="Z160" s="90" t="n">
        <v>0.2093023255813954</v>
      </c>
      <c r="AA160" s="87" t="n">
        <v>0</v>
      </c>
      <c r="AB160" s="88" t="n">
        <v>0</v>
      </c>
      <c r="AC160" s="87" t="n">
        <v>0</v>
      </c>
      <c r="AD160" s="88" t="n">
        <v>0</v>
      </c>
      <c r="AE160" s="87" t="n">
        <v>0</v>
      </c>
      <c r="AF160" s="88" t="n">
        <v>0</v>
      </c>
      <c r="AG160" s="87" t="n">
        <v>0</v>
      </c>
      <c r="AH160" s="88" t="n">
        <v>0</v>
      </c>
      <c r="AI160" s="91" t="n">
        <v>0</v>
      </c>
      <c r="AJ160" s="88" t="n">
        <v>0</v>
      </c>
      <c r="AK160" s="91" t="n">
        <v>0</v>
      </c>
      <c r="AL160" s="88" t="n">
        <v>0</v>
      </c>
      <c r="AM160" s="91" t="n">
        <v>0</v>
      </c>
      <c r="AN160" s="91" t="n">
        <v>0</v>
      </c>
      <c r="AO160" s="88" t="n">
        <v>0</v>
      </c>
      <c r="AP160" s="88" t="n">
        <v>0</v>
      </c>
      <c r="AQ160" s="89" t="n"/>
      <c r="AR160" s="89" t="n">
        <v>0</v>
      </c>
      <c r="AS160" s="89" t="n">
        <v>0</v>
      </c>
      <c r="AT160" s="91" t="n">
        <v>0</v>
      </c>
      <c r="AU160" s="91" t="n">
        <v>0</v>
      </c>
      <c r="AV160" s="91" t="n">
        <v>0</v>
      </c>
      <c r="AW160" s="91" t="n">
        <v>0</v>
      </c>
      <c r="AX160" s="91" t="n">
        <v>0</v>
      </c>
      <c r="AY160" s="91" t="n">
        <v>0</v>
      </c>
      <c r="AZ160" s="88" t="n">
        <v>0</v>
      </c>
      <c r="BA160" s="88" t="n">
        <v>0</v>
      </c>
      <c r="BB160" s="88" t="n">
        <v>0</v>
      </c>
      <c r="BC160" s="88" t="n">
        <v>0</v>
      </c>
      <c r="BD160" s="91" t="n">
        <v>0</v>
      </c>
      <c r="BE160" s="91" t="n">
        <v>0</v>
      </c>
      <c r="BF160" s="89" t="inlineStr">
        <is>
          <t>-</t>
        </is>
      </c>
      <c r="BG160" s="89" t="inlineStr">
        <is>
          <t>-</t>
        </is>
      </c>
      <c r="BH160" s="89" t="n">
        <v>0.9791666666666666</v>
      </c>
    </row>
    <row r="161" ht="19.55" customHeight="1">
      <c r="A161" s="92" t="n">
        <v>158</v>
      </c>
      <c r="B161" s="87" t="inlineStr">
        <is>
          <t>全国</t>
        </is>
      </c>
      <c r="C161" s="93" t="n">
        <v>46260</v>
      </c>
      <c r="D161" s="87" t="inlineStr">
        <is>
          <t>2026款探陆</t>
        </is>
      </c>
      <c r="E161" s="87" t="n">
        <v>415</v>
      </c>
      <c r="F161" s="87" t="n">
        <v>372</v>
      </c>
      <c r="G161" s="88" t="n">
        <v>0.8963855421686747</v>
      </c>
      <c r="H161" s="87" t="n">
        <v>83</v>
      </c>
      <c r="I161" s="89" t="n">
        <v>0.2</v>
      </c>
      <c r="J161" s="87" t="n">
        <v>633</v>
      </c>
      <c r="K161" s="87" t="n">
        <v>431</v>
      </c>
      <c r="L161" s="88" t="n">
        <v>0.681</v>
      </c>
      <c r="M161" s="87" t="n">
        <v>1109</v>
      </c>
      <c r="N161" s="87" t="n">
        <v>1123</v>
      </c>
      <c r="O161" s="87" t="n">
        <v>843</v>
      </c>
      <c r="P161" s="88" t="n">
        <v>0.7601442741208295</v>
      </c>
      <c r="Q161" s="87" t="n">
        <v>103</v>
      </c>
      <c r="R161" s="87" t="n">
        <v>0</v>
      </c>
      <c r="S161" s="87" t="n">
        <v>0</v>
      </c>
      <c r="T161" s="88" t="n">
        <v>0</v>
      </c>
      <c r="U161" s="87" t="n">
        <v>0</v>
      </c>
      <c r="V161" s="88" t="n">
        <v>0</v>
      </c>
      <c r="W161" s="87" t="n">
        <v>20</v>
      </c>
      <c r="X161" s="88" t="n">
        <v>0.04819277108433735</v>
      </c>
      <c r="Y161" s="87" t="n">
        <v>140</v>
      </c>
      <c r="Z161" s="90" t="n">
        <v>0.3373493975903614</v>
      </c>
      <c r="AA161" s="87" t="n">
        <v>38</v>
      </c>
      <c r="AB161" s="88" t="n">
        <v>0.09156626506024096</v>
      </c>
      <c r="AC161" s="87" t="n">
        <v>0</v>
      </c>
      <c r="AD161" s="88" t="n">
        <v>0</v>
      </c>
      <c r="AE161" s="87" t="n">
        <v>0</v>
      </c>
      <c r="AF161" s="88" t="n">
        <v>0</v>
      </c>
      <c r="AG161" s="87" t="n">
        <v>0</v>
      </c>
      <c r="AH161" s="88" t="n">
        <v>0</v>
      </c>
      <c r="AI161" s="91" t="n">
        <v>0</v>
      </c>
      <c r="AJ161" s="88" t="n">
        <v>0</v>
      </c>
      <c r="AK161" s="91" t="n">
        <v>0</v>
      </c>
      <c r="AL161" s="88" t="n">
        <v>0</v>
      </c>
      <c r="AM161" s="91" t="n">
        <v>0</v>
      </c>
      <c r="AN161" s="91" t="n">
        <v>0</v>
      </c>
      <c r="AO161" s="88" t="n">
        <v>0</v>
      </c>
      <c r="AP161" s="88" t="n">
        <v>0</v>
      </c>
      <c r="AQ161" s="89" t="n">
        <v>1</v>
      </c>
      <c r="AR161" s="89" t="inlineStr">
        <is>
          <t>0.0%</t>
        </is>
      </c>
      <c r="AS161" s="89" t="inlineStr">
        <is>
          <t>0.0%</t>
        </is>
      </c>
      <c r="AT161" s="91" t="n">
        <v>0</v>
      </c>
      <c r="AU161" s="91" t="n">
        <v>0</v>
      </c>
      <c r="AV161" s="91" t="n">
        <v>4</v>
      </c>
      <c r="AW161" s="91" t="n">
        <v>4</v>
      </c>
      <c r="AX161" s="91" t="n">
        <v>4</v>
      </c>
      <c r="AY161" s="91" t="n">
        <v>1</v>
      </c>
      <c r="AZ161" s="88" t="n">
        <v>0.009638554216867471</v>
      </c>
      <c r="BA161" s="88" t="n">
        <v>0.009638554216867471</v>
      </c>
      <c r="BB161" s="88" t="n">
        <v>0.002409638554216868</v>
      </c>
      <c r="BC161" s="88" t="n">
        <v>0</v>
      </c>
      <c r="BD161" s="91" t="n">
        <v>0</v>
      </c>
      <c r="BE161" s="91" t="n">
        <v>0</v>
      </c>
      <c r="BF161" s="89" t="inlineStr">
        <is>
          <t>-</t>
        </is>
      </c>
      <c r="BG161" s="89" t="n">
        <v>1</v>
      </c>
      <c r="BH161" s="89" t="inlineStr">
        <is>
          <t>-</t>
        </is>
      </c>
    </row>
    <row r="162" ht="19.55" customHeight="1">
      <c r="A162" s="92" t="n">
        <v>159</v>
      </c>
      <c r="B162" s="87" t="inlineStr">
        <is>
          <t>全国</t>
        </is>
      </c>
      <c r="C162" s="93" t="n">
        <v>46260</v>
      </c>
      <c r="D162" s="87" t="inlineStr">
        <is>
          <t>N6</t>
        </is>
      </c>
      <c r="E162" s="87" t="n">
        <v>1942</v>
      </c>
      <c r="F162" s="87" t="n">
        <v>1716</v>
      </c>
      <c r="G162" s="88" t="n">
        <v>0.8836251287332647</v>
      </c>
      <c r="H162" s="87" t="n">
        <v>945</v>
      </c>
      <c r="I162" s="89" t="n">
        <v>0.4866117404737384</v>
      </c>
      <c r="J162" s="87" t="n">
        <v>1981</v>
      </c>
      <c r="K162" s="87" t="n">
        <v>1933</v>
      </c>
      <c r="L162" s="88" t="n">
        <v>0.976</v>
      </c>
      <c r="M162" s="87" t="n">
        <v>6601</v>
      </c>
      <c r="N162" s="87" t="n">
        <v>6801</v>
      </c>
      <c r="O162" s="87" t="n">
        <v>6439</v>
      </c>
      <c r="P162" s="88" t="n">
        <v>0.9754582638994092</v>
      </c>
      <c r="Q162" s="87" t="n">
        <v>43</v>
      </c>
      <c r="R162" s="87" t="n">
        <v>0</v>
      </c>
      <c r="S162" s="87" t="n">
        <v>0</v>
      </c>
      <c r="T162" s="88" t="n">
        <v>0</v>
      </c>
      <c r="U162" s="87" t="n">
        <v>0</v>
      </c>
      <c r="V162" s="88" t="n">
        <v>0</v>
      </c>
      <c r="W162" s="87" t="n">
        <v>153</v>
      </c>
      <c r="X162" s="88" t="n">
        <v>0.07878475798146241</v>
      </c>
      <c r="Y162" s="87" t="n">
        <v>597</v>
      </c>
      <c r="Z162" s="90" t="n">
        <v>0.3074150360453141</v>
      </c>
      <c r="AA162" s="87" t="n">
        <v>5</v>
      </c>
      <c r="AB162" s="88" t="n">
        <v>0.002574665293511844</v>
      </c>
      <c r="AC162" s="87" t="n">
        <v>239</v>
      </c>
      <c r="AD162" s="88" t="n">
        <v>0.1230690010298661</v>
      </c>
      <c r="AE162" s="87" t="n">
        <v>68</v>
      </c>
      <c r="AF162" s="88" t="n">
        <v>0.2845188284518829</v>
      </c>
      <c r="AG162" s="87" t="n">
        <v>202</v>
      </c>
      <c r="AH162" s="88" t="n">
        <v>0.8451882845188284</v>
      </c>
      <c r="AI162" s="91" t="n">
        <v>224</v>
      </c>
      <c r="AJ162" s="88" t="n">
        <v>0.1153450051493306</v>
      </c>
      <c r="AK162" s="91" t="n">
        <v>47</v>
      </c>
      <c r="AL162" s="88" t="n">
        <v>0.8660714285714286</v>
      </c>
      <c r="AM162" s="91" t="n">
        <v>222</v>
      </c>
      <c r="AN162" s="91" t="n">
        <v>194</v>
      </c>
      <c r="AO162" s="88" t="n">
        <v>0.09989701338825953</v>
      </c>
      <c r="AP162" s="88" t="n">
        <v>0.8117154811715481</v>
      </c>
      <c r="AQ162" s="89" t="n">
        <v>0.9885057471264368</v>
      </c>
      <c r="AR162" s="89" t="n">
        <v>0.5586854460093896</v>
      </c>
      <c r="AS162" s="89" t="n">
        <v>0.5727699530516432</v>
      </c>
      <c r="AT162" s="91" t="n">
        <v>0</v>
      </c>
      <c r="AU162" s="91" t="n">
        <v>0</v>
      </c>
      <c r="AV162" s="91" t="n">
        <v>40</v>
      </c>
      <c r="AW162" s="91" t="n">
        <v>37</v>
      </c>
      <c r="AX162" s="91" t="n">
        <v>37</v>
      </c>
      <c r="AY162" s="91" t="n">
        <v>46</v>
      </c>
      <c r="AZ162" s="88" t="n">
        <v>0.01905252317198764</v>
      </c>
      <c r="BA162" s="88" t="n">
        <v>0.01905252317198764</v>
      </c>
      <c r="BB162" s="88" t="n">
        <v>0.02368692070030896</v>
      </c>
      <c r="BC162" s="88" t="n">
        <v>0.1907216494845361</v>
      </c>
      <c r="BD162" s="91" t="n">
        <v>0</v>
      </c>
      <c r="BE162" s="91" t="n">
        <v>0</v>
      </c>
      <c r="BF162" s="89" t="n">
        <v>1</v>
      </c>
      <c r="BG162" s="89" t="n">
        <v>1</v>
      </c>
      <c r="BH162" s="89" t="inlineStr">
        <is>
          <t>-</t>
        </is>
      </c>
    </row>
    <row r="163" ht="19.55" customHeight="1">
      <c r="A163" s="92" t="n">
        <v>160</v>
      </c>
      <c r="B163" s="87" t="inlineStr">
        <is>
          <t>全国</t>
        </is>
      </c>
      <c r="C163" s="93" t="n">
        <v>46260</v>
      </c>
      <c r="D163" s="87" t="inlineStr">
        <is>
          <t>N7</t>
        </is>
      </c>
      <c r="E163" s="87" t="n">
        <v>2193</v>
      </c>
      <c r="F163" s="87" t="n">
        <v>1974</v>
      </c>
      <c r="G163" s="88" t="n">
        <v>0.9001367989056087</v>
      </c>
      <c r="H163" s="87" t="n">
        <v>847</v>
      </c>
      <c r="I163" s="89" t="n">
        <v>0.3862289101687186</v>
      </c>
      <c r="J163" s="87" t="n">
        <v>1553</v>
      </c>
      <c r="K163" s="87" t="n">
        <v>1511</v>
      </c>
      <c r="L163" s="88" t="n">
        <v>0.973</v>
      </c>
      <c r="M163" s="87" t="n">
        <v>5625</v>
      </c>
      <c r="N163" s="87" t="n">
        <v>6135</v>
      </c>
      <c r="O163" s="87" t="n">
        <v>5504</v>
      </c>
      <c r="P163" s="88" t="n">
        <v>0.9784888888888889</v>
      </c>
      <c r="Q163" s="87" t="n">
        <v>37</v>
      </c>
      <c r="R163" s="87" t="n">
        <v>0</v>
      </c>
      <c r="S163" s="87" t="n">
        <v>0</v>
      </c>
      <c r="T163" s="88" t="n">
        <v>0</v>
      </c>
      <c r="U163" s="87" t="n">
        <v>0</v>
      </c>
      <c r="V163" s="88" t="n">
        <v>0</v>
      </c>
      <c r="W163" s="87" t="n">
        <v>164</v>
      </c>
      <c r="X163" s="88" t="n">
        <v>0.07478340173278614</v>
      </c>
      <c r="Y163" s="87" t="n">
        <v>1024</v>
      </c>
      <c r="Z163" s="90" t="n">
        <v>0.4669402644778842</v>
      </c>
      <c r="AA163" s="87" t="n">
        <v>2</v>
      </c>
      <c r="AB163" s="88" t="n">
        <v>0.0009119927040583675</v>
      </c>
      <c r="AC163" s="87" t="n">
        <v>180</v>
      </c>
      <c r="AD163" s="88" t="n">
        <v>0.08207934336525308</v>
      </c>
      <c r="AE163" s="87" t="n">
        <v>47</v>
      </c>
      <c r="AF163" s="88" t="n">
        <v>0.2611111111111111</v>
      </c>
      <c r="AG163" s="87" t="n">
        <v>159</v>
      </c>
      <c r="AH163" s="88" t="n">
        <v>0.8833333333333333</v>
      </c>
      <c r="AI163" s="91" t="n">
        <v>176</v>
      </c>
      <c r="AJ163" s="88" t="n">
        <v>0.08025535795713634</v>
      </c>
      <c r="AK163" s="91" t="n">
        <v>21</v>
      </c>
      <c r="AL163" s="88" t="n">
        <v>0.8579545454545454</v>
      </c>
      <c r="AM163" s="91" t="n">
        <v>176</v>
      </c>
      <c r="AN163" s="91" t="n">
        <v>151</v>
      </c>
      <c r="AO163" s="88" t="n">
        <v>0.06885544915640675</v>
      </c>
      <c r="AP163" s="88" t="n">
        <v>0.8388888888888889</v>
      </c>
      <c r="AQ163" s="89" t="n">
        <v>0.9793103448275862</v>
      </c>
      <c r="AR163" s="89" t="n">
        <v>0.6133333333333333</v>
      </c>
      <c r="AS163" s="89" t="n">
        <v>0.62</v>
      </c>
      <c r="AT163" s="91" t="n">
        <v>0</v>
      </c>
      <c r="AU163" s="91" t="n">
        <v>0</v>
      </c>
      <c r="AV163" s="91" t="n">
        <v>22</v>
      </c>
      <c r="AW163" s="91" t="n">
        <v>20</v>
      </c>
      <c r="AX163" s="91" t="n">
        <v>20</v>
      </c>
      <c r="AY163" s="91" t="n">
        <v>24</v>
      </c>
      <c r="AZ163" s="88" t="n">
        <v>0.009119927040583675</v>
      </c>
      <c r="BA163" s="88" t="n">
        <v>0.009119927040583675</v>
      </c>
      <c r="BB163" s="88" t="n">
        <v>0.01094391244870041</v>
      </c>
      <c r="BC163" s="88" t="n">
        <v>0.1324503311258278</v>
      </c>
      <c r="BD163" s="91" t="n">
        <v>0</v>
      </c>
      <c r="BE163" s="91" t="n">
        <v>0</v>
      </c>
      <c r="BF163" s="89" t="n">
        <v>1</v>
      </c>
      <c r="BG163" s="89" t="n">
        <v>1</v>
      </c>
      <c r="BH163" s="89" t="inlineStr">
        <is>
          <t>-</t>
        </is>
      </c>
    </row>
    <row r="164" ht="19.55" customHeight="1">
      <c r="A164" s="92" t="n">
        <v>161</v>
      </c>
      <c r="B164" s="87" t="inlineStr">
        <is>
          <t>全国</t>
        </is>
      </c>
      <c r="C164" s="93" t="n">
        <v>46260</v>
      </c>
      <c r="D164" s="87" t="inlineStr">
        <is>
          <t>NX8</t>
        </is>
      </c>
      <c r="E164" s="87" t="n">
        <v>6264</v>
      </c>
      <c r="F164" s="87" t="n">
        <v>5559</v>
      </c>
      <c r="G164" s="88" t="n">
        <v>0.8874521072796935</v>
      </c>
      <c r="H164" s="87" t="n">
        <v>1959</v>
      </c>
      <c r="I164" s="89" t="n">
        <v>0.3127394636015325</v>
      </c>
      <c r="J164" s="87" t="n">
        <v>4515</v>
      </c>
      <c r="K164" s="87" t="n">
        <v>4303</v>
      </c>
      <c r="L164" s="88" t="n">
        <v>0.953</v>
      </c>
      <c r="M164" s="87" t="n">
        <v>18029</v>
      </c>
      <c r="N164" s="87" t="n">
        <v>19459</v>
      </c>
      <c r="O164" s="87" t="n">
        <v>17475</v>
      </c>
      <c r="P164" s="88" t="n">
        <v>0.9692717288812469</v>
      </c>
      <c r="Q164" s="87" t="n">
        <v>167</v>
      </c>
      <c r="R164" s="87" t="n">
        <v>0</v>
      </c>
      <c r="S164" s="87" t="n">
        <v>0</v>
      </c>
      <c r="T164" s="88" t="n">
        <v>0</v>
      </c>
      <c r="U164" s="87" t="n">
        <v>0</v>
      </c>
      <c r="V164" s="88" t="n">
        <v>0</v>
      </c>
      <c r="W164" s="87" t="n">
        <v>579</v>
      </c>
      <c r="X164" s="88" t="n">
        <v>0.09243295019157088</v>
      </c>
      <c r="Y164" s="87" t="n">
        <v>1856</v>
      </c>
      <c r="Z164" s="90" t="n">
        <v>0.2962962962962963</v>
      </c>
      <c r="AA164" s="87" t="n">
        <v>5</v>
      </c>
      <c r="AB164" s="88" t="n">
        <v>0.0007982120051085569</v>
      </c>
      <c r="AC164" s="87" t="n">
        <v>710</v>
      </c>
      <c r="AD164" s="88" t="n">
        <v>0.1133461047254151</v>
      </c>
      <c r="AE164" s="87" t="n">
        <v>135</v>
      </c>
      <c r="AF164" s="88" t="n">
        <v>0.1901408450704225</v>
      </c>
      <c r="AG164" s="87" t="n">
        <v>577</v>
      </c>
      <c r="AH164" s="88" t="n">
        <v>0.8126760563380282</v>
      </c>
      <c r="AI164" s="91" t="n">
        <v>611</v>
      </c>
      <c r="AJ164" s="88" t="n">
        <v>0.09754150702426564</v>
      </c>
      <c r="AK164" s="91" t="n">
        <v>75</v>
      </c>
      <c r="AL164" s="88" t="n">
        <v>0.8788870703764321</v>
      </c>
      <c r="AM164" s="91" t="n">
        <v>603</v>
      </c>
      <c r="AN164" s="91" t="n">
        <v>537</v>
      </c>
      <c r="AO164" s="88" t="n">
        <v>0.08572796934865901</v>
      </c>
      <c r="AP164" s="88" t="n">
        <v>0.7563380281690141</v>
      </c>
      <c r="AQ164" s="89" t="n">
        <v>0.9901153212520593</v>
      </c>
      <c r="AR164" s="89" t="n">
        <v>0.5990415335463258</v>
      </c>
      <c r="AS164" s="89" t="n">
        <v>0.6054313099041534</v>
      </c>
      <c r="AT164" s="91" t="n">
        <v>0</v>
      </c>
      <c r="AU164" s="91" t="n">
        <v>0</v>
      </c>
      <c r="AV164" s="91" t="n">
        <v>42</v>
      </c>
      <c r="AW164" s="91" t="n">
        <v>25</v>
      </c>
      <c r="AX164" s="91" t="n">
        <v>26</v>
      </c>
      <c r="AY164" s="91" t="n">
        <v>122</v>
      </c>
      <c r="AZ164" s="88" t="n">
        <v>0.003991060025542784</v>
      </c>
      <c r="BA164" s="88" t="n">
        <v>0.004150702426564496</v>
      </c>
      <c r="BB164" s="88" t="n">
        <v>0.01947637292464879</v>
      </c>
      <c r="BC164" s="88" t="n">
        <v>0.0484171322160149</v>
      </c>
      <c r="BD164" s="91" t="n">
        <v>0</v>
      </c>
      <c r="BE164" s="91" t="n">
        <v>0</v>
      </c>
      <c r="BF164" s="89" t="n">
        <v>1</v>
      </c>
      <c r="BG164" s="89" t="n">
        <v>1</v>
      </c>
      <c r="BH164" s="89" t="inlineStr">
        <is>
          <t>-</t>
        </is>
      </c>
    </row>
    <row r="165" ht="19.55" customHeight="1">
      <c r="A165" s="92" t="n">
        <v>162</v>
      </c>
      <c r="B165" s="87" t="inlineStr">
        <is>
          <t>全国</t>
        </is>
      </c>
      <c r="C165" s="93" t="n">
        <v>46260</v>
      </c>
      <c r="D165" s="87" t="inlineStr">
        <is>
          <t>天籁·鸿蒙座舱</t>
        </is>
      </c>
      <c r="E165" s="87" t="n">
        <v>3489</v>
      </c>
      <c r="F165" s="87" t="n">
        <v>3090</v>
      </c>
      <c r="G165" s="88" t="n">
        <v>0.8856405846947549</v>
      </c>
      <c r="H165" s="87" t="n">
        <v>2154</v>
      </c>
      <c r="I165" s="89" t="n">
        <v>0.6173688736027515</v>
      </c>
      <c r="J165" s="87" t="n">
        <v>4059</v>
      </c>
      <c r="K165" s="87" t="n">
        <v>3952</v>
      </c>
      <c r="L165" s="88" t="n">
        <v>0.974</v>
      </c>
      <c r="M165" s="87" t="n">
        <v>14277</v>
      </c>
      <c r="N165" s="87" t="n">
        <v>15440</v>
      </c>
      <c r="O165" s="87" t="n">
        <v>13914</v>
      </c>
      <c r="P165" s="88" t="n">
        <v>0.9745744904391679</v>
      </c>
      <c r="Q165" s="87" t="n">
        <v>62</v>
      </c>
      <c r="R165" s="87" t="n">
        <v>0</v>
      </c>
      <c r="S165" s="87" t="n">
        <v>0</v>
      </c>
      <c r="T165" s="88" t="n">
        <v>0</v>
      </c>
      <c r="U165" s="87" t="n">
        <v>0</v>
      </c>
      <c r="V165" s="88" t="n">
        <v>0</v>
      </c>
      <c r="W165" s="87" t="n">
        <v>357</v>
      </c>
      <c r="X165" s="88" t="n">
        <v>0.1023215821152193</v>
      </c>
      <c r="Y165" s="87" t="n">
        <v>1073</v>
      </c>
      <c r="Z165" s="90" t="n">
        <v>0.3075379764975638</v>
      </c>
      <c r="AA165" s="87" t="n">
        <v>14</v>
      </c>
      <c r="AB165" s="88" t="n">
        <v>0.004012611063341932</v>
      </c>
      <c r="AC165" s="87" t="n">
        <v>252</v>
      </c>
      <c r="AD165" s="88" t="n">
        <v>0.07222699914015478</v>
      </c>
      <c r="AE165" s="87" t="n">
        <v>53</v>
      </c>
      <c r="AF165" s="88" t="n">
        <v>0.2103174603174603</v>
      </c>
      <c r="AG165" s="87" t="n">
        <v>202</v>
      </c>
      <c r="AH165" s="88" t="n">
        <v>0.8015873015873016</v>
      </c>
      <c r="AI165" s="91" t="n">
        <v>191</v>
      </c>
      <c r="AJ165" s="88" t="n">
        <v>0.05474347950702207</v>
      </c>
      <c r="AK165" s="91" t="n">
        <v>25</v>
      </c>
      <c r="AL165" s="88" t="n">
        <v>0.8638743455497382</v>
      </c>
      <c r="AM165" s="91" t="n">
        <v>187</v>
      </c>
      <c r="AN165" s="91" t="n">
        <v>165</v>
      </c>
      <c r="AO165" s="88" t="n">
        <v>0.04729148753224419</v>
      </c>
      <c r="AP165" s="88" t="n">
        <v>0.6547619047619048</v>
      </c>
      <c r="AQ165" s="89" t="n">
        <v>0.9757575757575757</v>
      </c>
      <c r="AR165" s="89" t="n">
        <v>0.5153061224489796</v>
      </c>
      <c r="AS165" s="89" t="n">
        <v>0.5102040816326531</v>
      </c>
      <c r="AT165" s="91" t="n">
        <v>0</v>
      </c>
      <c r="AU165" s="91" t="n">
        <v>0</v>
      </c>
      <c r="AV165" s="91" t="n">
        <v>62</v>
      </c>
      <c r="AW165" s="91" t="n">
        <v>51</v>
      </c>
      <c r="AX165" s="91" t="n">
        <v>50</v>
      </c>
      <c r="AY165" s="91" t="n">
        <v>86</v>
      </c>
      <c r="AZ165" s="88" t="n">
        <v>0.01461736887360275</v>
      </c>
      <c r="BA165" s="88" t="n">
        <v>0.01433075379764976</v>
      </c>
      <c r="BB165" s="88" t="n">
        <v>0.02464889653195758</v>
      </c>
      <c r="BC165" s="88" t="n">
        <v>0.303030303030303</v>
      </c>
      <c r="BD165" s="91" t="n">
        <v>0</v>
      </c>
      <c r="BE165" s="91" t="n">
        <v>0</v>
      </c>
      <c r="BF165" s="89" t="n">
        <v>1</v>
      </c>
      <c r="BG165" s="89" t="n">
        <v>1</v>
      </c>
      <c r="BH165" s="89" t="inlineStr">
        <is>
          <t>-</t>
        </is>
      </c>
    </row>
    <row r="166" ht="19.55" customHeight="1">
      <c r="A166" s="92" t="n">
        <v>163</v>
      </c>
      <c r="B166" s="87" t="inlineStr">
        <is>
          <t>全国</t>
        </is>
      </c>
      <c r="C166" s="93" t="n">
        <v>46261</v>
      </c>
      <c r="D166" s="87" t="n"/>
      <c r="E166" s="87" t="n">
        <v>34</v>
      </c>
      <c r="F166" s="87" t="n">
        <v>33</v>
      </c>
      <c r="G166" s="88" t="n">
        <v>0.9705882352941176</v>
      </c>
      <c r="H166" s="87" t="n">
        <v>34</v>
      </c>
      <c r="I166" s="89" t="n">
        <v>1</v>
      </c>
      <c r="J166" s="87" t="n">
        <v>2</v>
      </c>
      <c r="K166" s="87" t="n">
        <v>0</v>
      </c>
      <c r="L166" s="88" t="n">
        <v>0</v>
      </c>
      <c r="M166" s="87" t="n">
        <v>5</v>
      </c>
      <c r="N166" s="87" t="n">
        <v>3</v>
      </c>
      <c r="O166" s="87" t="n">
        <v>1</v>
      </c>
      <c r="P166" s="88" t="n">
        <v>0.2</v>
      </c>
      <c r="Q166" s="87" t="n">
        <v>4</v>
      </c>
      <c r="R166" s="87" t="n">
        <v>0</v>
      </c>
      <c r="S166" s="87" t="n">
        <v>0</v>
      </c>
      <c r="T166" s="88" t="n">
        <v>0</v>
      </c>
      <c r="U166" s="87" t="n">
        <v>0</v>
      </c>
      <c r="V166" s="88" t="n">
        <v>0</v>
      </c>
      <c r="W166" s="87" t="n">
        <v>19</v>
      </c>
      <c r="X166" s="88" t="n">
        <v>0.5588235294117647</v>
      </c>
      <c r="Y166" s="87" t="n">
        <v>11</v>
      </c>
      <c r="Z166" s="90" t="n">
        <v>0.3235294117647059</v>
      </c>
      <c r="AA166" s="87" t="n">
        <v>0</v>
      </c>
      <c r="AB166" s="88" t="n">
        <v>0</v>
      </c>
      <c r="AC166" s="87" t="n">
        <v>0</v>
      </c>
      <c r="AD166" s="88" t="n">
        <v>0</v>
      </c>
      <c r="AE166" s="87" t="n">
        <v>0</v>
      </c>
      <c r="AF166" s="88" t="n">
        <v>0</v>
      </c>
      <c r="AG166" s="87" t="n">
        <v>0</v>
      </c>
      <c r="AH166" s="88" t="n">
        <v>0</v>
      </c>
      <c r="AI166" s="91" t="n">
        <v>0</v>
      </c>
      <c r="AJ166" s="88" t="n">
        <v>0</v>
      </c>
      <c r="AK166" s="91" t="n">
        <v>0</v>
      </c>
      <c r="AL166" s="88" t="n">
        <v>0</v>
      </c>
      <c r="AM166" s="91" t="n">
        <v>0</v>
      </c>
      <c r="AN166" s="91" t="n">
        <v>0</v>
      </c>
      <c r="AO166" s="88" t="n">
        <v>0</v>
      </c>
      <c r="AP166" s="88" t="n">
        <v>0</v>
      </c>
      <c r="AQ166" s="89" t="n">
        <v>0</v>
      </c>
      <c r="AR166" s="89" t="inlineStr">
        <is>
          <t>0.0%</t>
        </is>
      </c>
      <c r="AS166" s="89" t="inlineStr">
        <is>
          <t>0.0%</t>
        </is>
      </c>
      <c r="AT166" s="91" t="n">
        <v>0</v>
      </c>
      <c r="AU166" s="91" t="n">
        <v>0</v>
      </c>
      <c r="AV166" s="91" t="n">
        <v>0</v>
      </c>
      <c r="AW166" s="91" t="n">
        <v>0</v>
      </c>
      <c r="AX166" s="91" t="n">
        <v>0</v>
      </c>
      <c r="AY166" s="91" t="n">
        <v>0</v>
      </c>
      <c r="AZ166" s="88" t="n">
        <v>0</v>
      </c>
      <c r="BA166" s="88" t="n">
        <v>0</v>
      </c>
      <c r="BB166" s="88" t="n">
        <v>0</v>
      </c>
      <c r="BC166" s="88" t="n">
        <v>0</v>
      </c>
      <c r="BD166" s="91" t="n">
        <v>0</v>
      </c>
      <c r="BE166" s="91" t="n">
        <v>1</v>
      </c>
      <c r="BF166" s="89" t="inlineStr">
        <is>
          <t>-</t>
        </is>
      </c>
      <c r="BG166" s="89" t="inlineStr">
        <is>
          <t>-</t>
        </is>
      </c>
      <c r="BH166" s="89" t="n">
        <v>0.9770114942528736</v>
      </c>
    </row>
    <row r="167" ht="19.55" customHeight="1">
      <c r="A167" s="92" t="n">
        <v>164</v>
      </c>
      <c r="B167" s="87" t="inlineStr">
        <is>
          <t>全国</t>
        </is>
      </c>
      <c r="C167" s="93" t="n">
        <v>46261</v>
      </c>
      <c r="D167" s="87" t="inlineStr">
        <is>
          <t>2026款探陆</t>
        </is>
      </c>
      <c r="E167" s="87" t="n">
        <v>402</v>
      </c>
      <c r="F167" s="87" t="n">
        <v>357</v>
      </c>
      <c r="G167" s="88" t="n">
        <v>0.8880597014925373</v>
      </c>
      <c r="H167" s="87" t="n">
        <v>76</v>
      </c>
      <c r="I167" s="89" t="n">
        <v>0.1890547263681592</v>
      </c>
      <c r="J167" s="87" t="n">
        <v>278</v>
      </c>
      <c r="K167" s="87" t="n">
        <v>172</v>
      </c>
      <c r="L167" s="88" t="n">
        <v>0.619</v>
      </c>
      <c r="M167" s="87" t="n">
        <v>1157</v>
      </c>
      <c r="N167" s="87" t="n">
        <v>1036</v>
      </c>
      <c r="O167" s="87" t="n">
        <v>960</v>
      </c>
      <c r="P167" s="88" t="n">
        <v>0.8297320656871219</v>
      </c>
      <c r="Q167" s="87" t="n">
        <v>59</v>
      </c>
      <c r="R167" s="87" t="n">
        <v>0</v>
      </c>
      <c r="S167" s="87" t="n">
        <v>0</v>
      </c>
      <c r="T167" s="88" t="n">
        <v>0</v>
      </c>
      <c r="U167" s="87" t="n">
        <v>0</v>
      </c>
      <c r="V167" s="88" t="n">
        <v>0</v>
      </c>
      <c r="W167" s="87" t="n">
        <v>5</v>
      </c>
      <c r="X167" s="88" t="n">
        <v>0.01243781094527363</v>
      </c>
      <c r="Y167" s="87" t="n">
        <v>114</v>
      </c>
      <c r="Z167" s="90" t="n">
        <v>0.2835820895522388</v>
      </c>
      <c r="AA167" s="87" t="n">
        <v>19</v>
      </c>
      <c r="AB167" s="88" t="n">
        <v>0.0472636815920398</v>
      </c>
      <c r="AC167" s="87" t="n">
        <v>3</v>
      </c>
      <c r="AD167" s="88" t="n">
        <v>0.007462686567164179</v>
      </c>
      <c r="AE167" s="87" t="n">
        <v>0</v>
      </c>
      <c r="AF167" s="88" t="n">
        <v>0</v>
      </c>
      <c r="AG167" s="87" t="n">
        <v>0</v>
      </c>
      <c r="AH167" s="88" t="n">
        <v>0</v>
      </c>
      <c r="AI167" s="91" t="n">
        <v>0</v>
      </c>
      <c r="AJ167" s="88" t="n">
        <v>0</v>
      </c>
      <c r="AK167" s="91" t="n">
        <v>0</v>
      </c>
      <c r="AL167" s="88" t="n">
        <v>0</v>
      </c>
      <c r="AM167" s="91" t="n">
        <v>0</v>
      </c>
      <c r="AN167" s="91" t="n">
        <v>0</v>
      </c>
      <c r="AO167" s="88" t="n">
        <v>0</v>
      </c>
      <c r="AP167" s="88" t="n">
        <v>0</v>
      </c>
      <c r="AQ167" s="89" t="n"/>
      <c r="AR167" s="89" t="inlineStr">
        <is>
          <t>0.0%</t>
        </is>
      </c>
      <c r="AS167" s="89" t="inlineStr">
        <is>
          <t>0.0%</t>
        </is>
      </c>
      <c r="AT167" s="91" t="n">
        <v>0</v>
      </c>
      <c r="AU167" s="91" t="n">
        <v>0</v>
      </c>
      <c r="AV167" s="91" t="n">
        <v>2</v>
      </c>
      <c r="AW167" s="91" t="n">
        <v>2</v>
      </c>
      <c r="AX167" s="91" t="n">
        <v>2</v>
      </c>
      <c r="AY167" s="91" t="n">
        <v>3</v>
      </c>
      <c r="AZ167" s="88" t="n">
        <v>0.004975124378109453</v>
      </c>
      <c r="BA167" s="88" t="n">
        <v>0.004975124378109453</v>
      </c>
      <c r="BB167" s="88" t="n">
        <v>0.007462686567164179</v>
      </c>
      <c r="BC167" s="88" t="n">
        <v>0</v>
      </c>
      <c r="BD167" s="91" t="n">
        <v>0</v>
      </c>
      <c r="BE167" s="91" t="n">
        <v>0</v>
      </c>
      <c r="BF167" s="89" t="inlineStr">
        <is>
          <t>-</t>
        </is>
      </c>
      <c r="BG167" s="89" t="n">
        <v>1</v>
      </c>
      <c r="BH167" s="89" t="inlineStr">
        <is>
          <t>-</t>
        </is>
      </c>
    </row>
    <row r="168" ht="19.55" customHeight="1">
      <c r="A168" s="92" t="n">
        <v>165</v>
      </c>
      <c r="B168" s="87" t="inlineStr">
        <is>
          <t>全国</t>
        </is>
      </c>
      <c r="C168" s="93" t="n">
        <v>46261</v>
      </c>
      <c r="D168" s="87" t="inlineStr">
        <is>
          <t>N6</t>
        </is>
      </c>
      <c r="E168" s="87" t="n">
        <v>1446</v>
      </c>
      <c r="F168" s="87" t="n">
        <v>1229</v>
      </c>
      <c r="G168" s="88" t="n">
        <v>0.8499308437067773</v>
      </c>
      <c r="H168" s="87" t="n">
        <v>852</v>
      </c>
      <c r="I168" s="89" t="n">
        <v>0.5892116182572614</v>
      </c>
      <c r="J168" s="87" t="n">
        <v>1725</v>
      </c>
      <c r="K168" s="87" t="n">
        <v>1669</v>
      </c>
      <c r="L168" s="88" t="n">
        <v>0.968</v>
      </c>
      <c r="M168" s="87" t="n">
        <v>8339</v>
      </c>
      <c r="N168" s="87" t="n">
        <v>7987</v>
      </c>
      <c r="O168" s="87" t="n">
        <v>8170</v>
      </c>
      <c r="P168" s="88" t="n">
        <v>0.9797337810289003</v>
      </c>
      <c r="Q168" s="87" t="n">
        <v>34</v>
      </c>
      <c r="R168" s="87" t="n">
        <v>0</v>
      </c>
      <c r="S168" s="87" t="n">
        <v>0</v>
      </c>
      <c r="T168" s="88" t="n">
        <v>0</v>
      </c>
      <c r="U168" s="87" t="n">
        <v>0</v>
      </c>
      <c r="V168" s="88" t="n">
        <v>0</v>
      </c>
      <c r="W168" s="87" t="n">
        <v>357</v>
      </c>
      <c r="X168" s="88" t="n">
        <v>0.2468879668049793</v>
      </c>
      <c r="Y168" s="87" t="n">
        <v>536</v>
      </c>
      <c r="Z168" s="90" t="n">
        <v>0.3706777316735823</v>
      </c>
      <c r="AA168" s="87" t="n">
        <v>4</v>
      </c>
      <c r="AB168" s="88" t="n">
        <v>0.002766251728907331</v>
      </c>
      <c r="AC168" s="87" t="n">
        <v>200</v>
      </c>
      <c r="AD168" s="88" t="n">
        <v>0.1383125864453665</v>
      </c>
      <c r="AE168" s="87" t="n">
        <v>57</v>
      </c>
      <c r="AF168" s="88" t="n">
        <v>0.285</v>
      </c>
      <c r="AG168" s="87" t="n">
        <v>176</v>
      </c>
      <c r="AH168" s="88" t="n">
        <v>0.88</v>
      </c>
      <c r="AI168" s="91" t="n">
        <v>183</v>
      </c>
      <c r="AJ168" s="88" t="n">
        <v>0.1265560165975104</v>
      </c>
      <c r="AK168" s="91" t="n">
        <v>30</v>
      </c>
      <c r="AL168" s="88" t="n">
        <v>0.907103825136612</v>
      </c>
      <c r="AM168" s="91" t="n">
        <v>186</v>
      </c>
      <c r="AN168" s="91" t="n">
        <v>166</v>
      </c>
      <c r="AO168" s="88" t="n">
        <v>0.1147994467496542</v>
      </c>
      <c r="AP168" s="88" t="n">
        <v>0.83</v>
      </c>
      <c r="AQ168" s="89" t="n">
        <v>0.9950980392156863</v>
      </c>
      <c r="AR168" s="89" t="n">
        <v>0.64</v>
      </c>
      <c r="AS168" s="89" t="n">
        <v>0.6171428571428571</v>
      </c>
      <c r="AT168" s="91" t="n">
        <v>0</v>
      </c>
      <c r="AU168" s="91" t="n">
        <v>0</v>
      </c>
      <c r="AV168" s="91" t="n">
        <v>28</v>
      </c>
      <c r="AW168" s="91" t="n">
        <v>25</v>
      </c>
      <c r="AX168" s="91" t="n">
        <v>25</v>
      </c>
      <c r="AY168" s="91" t="n">
        <v>26</v>
      </c>
      <c r="AZ168" s="88" t="n">
        <v>0.01728907330567082</v>
      </c>
      <c r="BA168" s="88" t="n">
        <v>0.01728907330567082</v>
      </c>
      <c r="BB168" s="88" t="n">
        <v>0.01798063623789765</v>
      </c>
      <c r="BC168" s="88" t="n">
        <v>0.1506024096385542</v>
      </c>
      <c r="BD168" s="91" t="n">
        <v>0</v>
      </c>
      <c r="BE168" s="91" t="n">
        <v>0</v>
      </c>
      <c r="BF168" s="89" t="n">
        <v>1</v>
      </c>
      <c r="BG168" s="89" t="n">
        <v>1</v>
      </c>
      <c r="BH168" s="89" t="inlineStr">
        <is>
          <t>-</t>
        </is>
      </c>
    </row>
    <row r="169" ht="19.55" customHeight="1">
      <c r="A169" s="92" t="n">
        <v>166</v>
      </c>
      <c r="B169" s="87" t="inlineStr">
        <is>
          <t>全国</t>
        </is>
      </c>
      <c r="C169" s="93" t="n">
        <v>46261</v>
      </c>
      <c r="D169" s="87" t="inlineStr">
        <is>
          <t>N7</t>
        </is>
      </c>
      <c r="E169" s="87" t="n">
        <v>1791</v>
      </c>
      <c r="F169" s="87" t="n">
        <v>1603</v>
      </c>
      <c r="G169" s="88" t="n">
        <v>0.8950307091010609</v>
      </c>
      <c r="H169" s="87" t="n">
        <v>972</v>
      </c>
      <c r="I169" s="89" t="n">
        <v>0.542713567839196</v>
      </c>
      <c r="J169" s="87" t="n">
        <v>1390</v>
      </c>
      <c r="K169" s="87" t="n">
        <v>1346</v>
      </c>
      <c r="L169" s="88" t="n">
        <v>0.968</v>
      </c>
      <c r="M169" s="87" t="n">
        <v>7955</v>
      </c>
      <c r="N169" s="87" t="n">
        <v>7521</v>
      </c>
      <c r="O169" s="87" t="n">
        <v>7791</v>
      </c>
      <c r="P169" s="88" t="n">
        <v>0.9793840351979887</v>
      </c>
      <c r="Q169" s="87" t="n">
        <v>43</v>
      </c>
      <c r="R169" s="87" t="n">
        <v>0</v>
      </c>
      <c r="S169" s="87" t="n">
        <v>0</v>
      </c>
      <c r="T169" s="88" t="n">
        <v>0</v>
      </c>
      <c r="U169" s="87" t="n">
        <v>0</v>
      </c>
      <c r="V169" s="88" t="n">
        <v>0</v>
      </c>
      <c r="W169" s="87" t="n">
        <v>240</v>
      </c>
      <c r="X169" s="88" t="n">
        <v>0.1340033500837521</v>
      </c>
      <c r="Y169" s="87" t="n">
        <v>910</v>
      </c>
      <c r="Z169" s="90" t="n">
        <v>0.5080960357342267</v>
      </c>
      <c r="AA169" s="87" t="n">
        <v>1</v>
      </c>
      <c r="AB169" s="88" t="n">
        <v>0.0005583472920156337</v>
      </c>
      <c r="AC169" s="87" t="n">
        <v>199</v>
      </c>
      <c r="AD169" s="88" t="n">
        <v>0.1111111111111111</v>
      </c>
      <c r="AE169" s="87" t="n">
        <v>51</v>
      </c>
      <c r="AF169" s="88" t="n">
        <v>0.2562814070351759</v>
      </c>
      <c r="AG169" s="87" t="n">
        <v>157</v>
      </c>
      <c r="AH169" s="88" t="n">
        <v>0.7889447236180904</v>
      </c>
      <c r="AI169" s="91" t="n">
        <v>178</v>
      </c>
      <c r="AJ169" s="88" t="n">
        <v>0.09938581797878281</v>
      </c>
      <c r="AK169" s="91" t="n">
        <v>20</v>
      </c>
      <c r="AL169" s="88" t="n">
        <v>0.8707865168539326</v>
      </c>
      <c r="AM169" s="91" t="n">
        <v>178</v>
      </c>
      <c r="AN169" s="91" t="n">
        <v>155</v>
      </c>
      <c r="AO169" s="88" t="n">
        <v>0.08654383026242322</v>
      </c>
      <c r="AP169" s="88" t="n">
        <v>0.7788944723618091</v>
      </c>
      <c r="AQ169" s="89" t="n">
        <v>0.9703703703703703</v>
      </c>
      <c r="AR169" s="89" t="n">
        <v>0.6513157894736842</v>
      </c>
      <c r="AS169" s="89" t="n">
        <v>0.6513157894736842</v>
      </c>
      <c r="AT169" s="91" t="n">
        <v>0</v>
      </c>
      <c r="AU169" s="91" t="n">
        <v>0</v>
      </c>
      <c r="AV169" s="91" t="n">
        <v>20</v>
      </c>
      <c r="AW169" s="91" t="n">
        <v>18</v>
      </c>
      <c r="AX169" s="91" t="n">
        <v>17</v>
      </c>
      <c r="AY169" s="91" t="n">
        <v>23</v>
      </c>
      <c r="AZ169" s="88" t="n">
        <v>0.01005025125628141</v>
      </c>
      <c r="BA169" s="88" t="n">
        <v>0.009491903964265773</v>
      </c>
      <c r="BB169" s="88" t="n">
        <v>0.01284198771635957</v>
      </c>
      <c r="BC169" s="88" t="n">
        <v>0.1096774193548387</v>
      </c>
      <c r="BD169" s="91" t="n">
        <v>0</v>
      </c>
      <c r="BE169" s="91" t="n">
        <v>0</v>
      </c>
      <c r="BF169" s="89" t="n">
        <v>1</v>
      </c>
      <c r="BG169" s="89" t="n">
        <v>1</v>
      </c>
      <c r="BH169" s="89" t="inlineStr">
        <is>
          <t>-</t>
        </is>
      </c>
    </row>
    <row r="170" ht="19.55" customHeight="1">
      <c r="A170" s="92" t="n">
        <v>167</v>
      </c>
      <c r="B170" s="87" t="inlineStr">
        <is>
          <t>全国</t>
        </is>
      </c>
      <c r="C170" s="93" t="n">
        <v>46261</v>
      </c>
      <c r="D170" s="87" t="inlineStr">
        <is>
          <t>NX8</t>
        </is>
      </c>
      <c r="E170" s="87" t="n">
        <v>5601</v>
      </c>
      <c r="F170" s="87" t="n">
        <v>4985</v>
      </c>
      <c r="G170" s="88" t="n">
        <v>0.8900196393501161</v>
      </c>
      <c r="H170" s="87" t="n">
        <v>2183</v>
      </c>
      <c r="I170" s="89" t="n">
        <v>0.3897518300303517</v>
      </c>
      <c r="J170" s="87" t="n">
        <v>5651</v>
      </c>
      <c r="K170" s="87" t="n">
        <v>5500</v>
      </c>
      <c r="L170" s="88" t="n">
        <v>0.973</v>
      </c>
      <c r="M170" s="87" t="n">
        <v>26704</v>
      </c>
      <c r="N170" s="87" t="n">
        <v>25971</v>
      </c>
      <c r="O170" s="87" t="n">
        <v>26260</v>
      </c>
      <c r="P170" s="88" t="n">
        <v>0.9833732774116237</v>
      </c>
      <c r="Q170" s="87" t="n">
        <v>117</v>
      </c>
      <c r="R170" s="87" t="n">
        <v>0</v>
      </c>
      <c r="S170" s="87" t="n">
        <v>0</v>
      </c>
      <c r="T170" s="88" t="n">
        <v>0</v>
      </c>
      <c r="U170" s="87" t="n">
        <v>0</v>
      </c>
      <c r="V170" s="88" t="n">
        <v>0</v>
      </c>
      <c r="W170" s="87" t="n">
        <v>782</v>
      </c>
      <c r="X170" s="88" t="n">
        <v>0.1396179253704695</v>
      </c>
      <c r="Y170" s="87" t="n">
        <v>1706</v>
      </c>
      <c r="Z170" s="90" t="n">
        <v>0.3045884663452955</v>
      </c>
      <c r="AA170" s="87" t="n">
        <v>4</v>
      </c>
      <c r="AB170" s="88" t="n">
        <v>0.0007141581860382074</v>
      </c>
      <c r="AC170" s="87" t="n">
        <v>757</v>
      </c>
      <c r="AD170" s="88" t="n">
        <v>0.1351544367077308</v>
      </c>
      <c r="AE170" s="87" t="n">
        <v>129</v>
      </c>
      <c r="AF170" s="88" t="n">
        <v>0.1704095112285337</v>
      </c>
      <c r="AG170" s="87" t="n">
        <v>644</v>
      </c>
      <c r="AH170" s="88" t="n">
        <v>0.8507265521796565</v>
      </c>
      <c r="AI170" s="91" t="n">
        <v>651</v>
      </c>
      <c r="AJ170" s="88" t="n">
        <v>0.1162292447777183</v>
      </c>
      <c r="AK170" s="91" t="n">
        <v>84</v>
      </c>
      <c r="AL170" s="88" t="n">
        <v>0.8894009216589862</v>
      </c>
      <c r="AM170" s="91" t="n">
        <v>636</v>
      </c>
      <c r="AN170" s="91" t="n">
        <v>579</v>
      </c>
      <c r="AO170" s="88" t="n">
        <v>0.1033743974290305</v>
      </c>
      <c r="AP170" s="88" t="n">
        <v>0.7648612945838837</v>
      </c>
      <c r="AQ170" s="89" t="n">
        <v>0.9801324503311258</v>
      </c>
      <c r="AR170" s="89" t="n">
        <v>0.6262626262626263</v>
      </c>
      <c r="AS170" s="89" t="n">
        <v>0.6031746031746031</v>
      </c>
      <c r="AT170" s="91" t="n">
        <v>0</v>
      </c>
      <c r="AU170" s="91" t="n">
        <v>0</v>
      </c>
      <c r="AV170" s="91" t="n">
        <v>36</v>
      </c>
      <c r="AW170" s="91" t="n">
        <v>19</v>
      </c>
      <c r="AX170" s="91" t="n">
        <v>24</v>
      </c>
      <c r="AY170" s="91" t="n">
        <v>73</v>
      </c>
      <c r="AZ170" s="88" t="n">
        <v>0.003392251383681486</v>
      </c>
      <c r="BA170" s="88" t="n">
        <v>0.004284949116229245</v>
      </c>
      <c r="BB170" s="88" t="n">
        <v>0.01303338689519729</v>
      </c>
      <c r="BC170" s="88" t="n">
        <v>0.04145077720207254</v>
      </c>
      <c r="BD170" s="91" t="n">
        <v>0</v>
      </c>
      <c r="BE170" s="91" t="n">
        <v>0</v>
      </c>
      <c r="BF170" s="89" t="n">
        <v>1</v>
      </c>
      <c r="BG170" s="89" t="n">
        <v>1</v>
      </c>
      <c r="BH170" s="89" t="inlineStr">
        <is>
          <t>-</t>
        </is>
      </c>
    </row>
    <row r="171" ht="19.55" customHeight="1">
      <c r="A171" s="92" t="n">
        <v>168</v>
      </c>
      <c r="B171" s="87" t="inlineStr">
        <is>
          <t>全国</t>
        </is>
      </c>
      <c r="C171" s="93" t="n">
        <v>46261</v>
      </c>
      <c r="D171" s="87" t="inlineStr">
        <is>
          <t>天籁·鸿蒙座舱</t>
        </is>
      </c>
      <c r="E171" s="87" t="n">
        <v>2883</v>
      </c>
      <c r="F171" s="87" t="n">
        <v>2600</v>
      </c>
      <c r="G171" s="88" t="n">
        <v>0.9018383628165105</v>
      </c>
      <c r="H171" s="87" t="n">
        <v>2090</v>
      </c>
      <c r="I171" s="89" t="n">
        <v>0.7249392993409642</v>
      </c>
      <c r="J171" s="87" t="n">
        <v>5064</v>
      </c>
      <c r="K171" s="87" t="n">
        <v>4966</v>
      </c>
      <c r="L171" s="88" t="n">
        <v>0.981</v>
      </c>
      <c r="M171" s="87" t="n">
        <v>21715</v>
      </c>
      <c r="N171" s="87" t="n">
        <v>21369</v>
      </c>
      <c r="O171" s="87" t="n">
        <v>21410</v>
      </c>
      <c r="P171" s="88" t="n">
        <v>0.9859544093944278</v>
      </c>
      <c r="Q171" s="87" t="n">
        <v>61</v>
      </c>
      <c r="R171" s="87" t="n">
        <v>0</v>
      </c>
      <c r="S171" s="87" t="n">
        <v>0</v>
      </c>
      <c r="T171" s="88" t="n">
        <v>0</v>
      </c>
      <c r="U171" s="87" t="n">
        <v>0</v>
      </c>
      <c r="V171" s="88" t="n">
        <v>0</v>
      </c>
      <c r="W171" s="87" t="n">
        <v>398</v>
      </c>
      <c r="X171" s="88" t="n">
        <v>0.1380506416926812</v>
      </c>
      <c r="Y171" s="87" t="n">
        <v>923</v>
      </c>
      <c r="Z171" s="90" t="n">
        <v>0.3201526187998612</v>
      </c>
      <c r="AA171" s="87" t="n">
        <v>3</v>
      </c>
      <c r="AB171" s="88" t="n">
        <v>0.001040582726326743</v>
      </c>
      <c r="AC171" s="87" t="n">
        <v>216</v>
      </c>
      <c r="AD171" s="88" t="n">
        <v>0.07492195629552549</v>
      </c>
      <c r="AE171" s="87" t="n">
        <v>52</v>
      </c>
      <c r="AF171" s="88" t="n">
        <v>0.2407407407407407</v>
      </c>
      <c r="AG171" s="87" t="n">
        <v>186</v>
      </c>
      <c r="AH171" s="88" t="n">
        <v>0.8611111111111112</v>
      </c>
      <c r="AI171" s="91" t="n">
        <v>165</v>
      </c>
      <c r="AJ171" s="88" t="n">
        <v>0.05723204994797086</v>
      </c>
      <c r="AK171" s="91" t="n">
        <v>38</v>
      </c>
      <c r="AL171" s="88" t="n">
        <v>0.896969696969697</v>
      </c>
      <c r="AM171" s="91" t="n">
        <v>163</v>
      </c>
      <c r="AN171" s="91" t="n">
        <v>148</v>
      </c>
      <c r="AO171" s="88" t="n">
        <v>0.05133541449878599</v>
      </c>
      <c r="AP171" s="88" t="n">
        <v>0.6851851851851852</v>
      </c>
      <c r="AQ171" s="89" t="n">
        <v>0.9395604395604396</v>
      </c>
      <c r="AR171" s="89" t="n">
        <v>0.5</v>
      </c>
      <c r="AS171" s="89" t="n">
        <v>0.4941176470588236</v>
      </c>
      <c r="AT171" s="91" t="n">
        <v>0</v>
      </c>
      <c r="AU171" s="91" t="n">
        <v>0</v>
      </c>
      <c r="AV171" s="91" t="n">
        <v>53</v>
      </c>
      <c r="AW171" s="91" t="n">
        <v>45</v>
      </c>
      <c r="AX171" s="91" t="n">
        <v>46</v>
      </c>
      <c r="AY171" s="91" t="n">
        <v>57</v>
      </c>
      <c r="AZ171" s="88" t="n">
        <v>0.01560874089490114</v>
      </c>
      <c r="BA171" s="88" t="n">
        <v>0.01595560180367673</v>
      </c>
      <c r="BB171" s="88" t="n">
        <v>0.01977107180020812</v>
      </c>
      <c r="BC171" s="88" t="n">
        <v>0.3108108108108108</v>
      </c>
      <c r="BD171" s="91" t="n">
        <v>0</v>
      </c>
      <c r="BE171" s="91" t="n">
        <v>0</v>
      </c>
      <c r="BF171" s="89" t="n">
        <v>0.95</v>
      </c>
      <c r="BG171" s="89" t="n">
        <v>1</v>
      </c>
      <c r="BH171" s="89" t="inlineStr">
        <is>
          <t>-</t>
        </is>
      </c>
    </row>
    <row r="172" ht="19.55" customHeight="1">
      <c r="A172" s="92" t="n">
        <v>169</v>
      </c>
      <c r="B172" s="87" t="inlineStr">
        <is>
          <t>全国</t>
        </is>
      </c>
      <c r="C172" s="93" t="n">
        <v>46262</v>
      </c>
      <c r="D172" s="87" t="n"/>
      <c r="E172" s="87" t="n">
        <v>58</v>
      </c>
      <c r="F172" s="87" t="n">
        <v>58</v>
      </c>
      <c r="G172" s="88" t="n">
        <v>1</v>
      </c>
      <c r="H172" s="87" t="n">
        <v>58</v>
      </c>
      <c r="I172" s="89" t="n">
        <v>1</v>
      </c>
      <c r="J172" s="87" t="n">
        <v>0</v>
      </c>
      <c r="K172" s="87" t="n">
        <v>0</v>
      </c>
      <c r="L172" s="88" t="n">
        <v>0</v>
      </c>
      <c r="M172" s="87" t="n">
        <v>2</v>
      </c>
      <c r="N172" s="87" t="n">
        <v>0</v>
      </c>
      <c r="O172" s="87" t="n">
        <v>0</v>
      </c>
      <c r="P172" s="88" t="n">
        <v>0</v>
      </c>
      <c r="Q172" s="87" t="n">
        <v>2</v>
      </c>
      <c r="R172" s="87" t="n">
        <v>0</v>
      </c>
      <c r="S172" s="87" t="n">
        <v>0</v>
      </c>
      <c r="T172" s="88" t="n">
        <v>0</v>
      </c>
      <c r="U172" s="87" t="n">
        <v>0</v>
      </c>
      <c r="V172" s="88" t="n">
        <v>0</v>
      </c>
      <c r="W172" s="87" t="n">
        <v>27</v>
      </c>
      <c r="X172" s="88" t="n">
        <v>0.4655172413793103</v>
      </c>
      <c r="Y172" s="87" t="n">
        <v>25</v>
      </c>
      <c r="Z172" s="90" t="n">
        <v>0.4310344827586207</v>
      </c>
      <c r="AA172" s="87" t="n">
        <v>0</v>
      </c>
      <c r="AB172" s="88" t="n">
        <v>0</v>
      </c>
      <c r="AC172" s="87" t="n">
        <v>0</v>
      </c>
      <c r="AD172" s="88" t="n">
        <v>0</v>
      </c>
      <c r="AE172" s="87" t="n">
        <v>0</v>
      </c>
      <c r="AF172" s="88" t="n">
        <v>0</v>
      </c>
      <c r="AG172" s="87" t="n">
        <v>0</v>
      </c>
      <c r="AH172" s="88" t="n">
        <v>0</v>
      </c>
      <c r="AI172" s="91" t="n">
        <v>0</v>
      </c>
      <c r="AJ172" s="88" t="n">
        <v>0</v>
      </c>
      <c r="AK172" s="91" t="n">
        <v>0</v>
      </c>
      <c r="AL172" s="88" t="n">
        <v>0</v>
      </c>
      <c r="AM172" s="91" t="n">
        <v>0</v>
      </c>
      <c r="AN172" s="91" t="n">
        <v>0</v>
      </c>
      <c r="AO172" s="88" t="n">
        <v>0</v>
      </c>
      <c r="AP172" s="88" t="n">
        <v>0</v>
      </c>
      <c r="AQ172" s="89" t="n"/>
      <c r="AR172" s="89" t="n">
        <v>0</v>
      </c>
      <c r="AS172" s="89" t="n">
        <v>0</v>
      </c>
      <c r="AT172" s="91" t="n">
        <v>0</v>
      </c>
      <c r="AU172" s="91" t="n">
        <v>0</v>
      </c>
      <c r="AV172" s="91" t="n">
        <v>0</v>
      </c>
      <c r="AW172" s="91" t="n">
        <v>0</v>
      </c>
      <c r="AX172" s="91" t="n">
        <v>0</v>
      </c>
      <c r="AY172" s="91" t="n">
        <v>0</v>
      </c>
      <c r="AZ172" s="88" t="n">
        <v>0</v>
      </c>
      <c r="BA172" s="88" t="n">
        <v>0</v>
      </c>
      <c r="BB172" s="88" t="n">
        <v>0</v>
      </c>
      <c r="BC172" s="88" t="n">
        <v>0</v>
      </c>
      <c r="BD172" s="91" t="n">
        <v>0</v>
      </c>
      <c r="BE172" s="91" t="n">
        <v>1</v>
      </c>
      <c r="BF172" s="89" t="inlineStr">
        <is>
          <t>-</t>
        </is>
      </c>
      <c r="BG172" s="89" t="inlineStr">
        <is>
          <t>-</t>
        </is>
      </c>
      <c r="BH172" s="89" t="n">
        <v>0.9701492537313433</v>
      </c>
    </row>
    <row r="173" ht="19.55" customHeight="1">
      <c r="A173" s="92" t="n">
        <v>170</v>
      </c>
      <c r="B173" s="87" t="inlineStr">
        <is>
          <t>全国</t>
        </is>
      </c>
      <c r="C173" s="93" t="n">
        <v>46262</v>
      </c>
      <c r="D173" s="87" t="inlineStr">
        <is>
          <t>2026款探陆</t>
        </is>
      </c>
      <c r="E173" s="87" t="n">
        <v>279</v>
      </c>
      <c r="F173" s="87" t="n">
        <v>257</v>
      </c>
      <c r="G173" s="88" t="n">
        <v>0.921146953405018</v>
      </c>
      <c r="H173" s="87" t="n">
        <v>90</v>
      </c>
      <c r="I173" s="89" t="n">
        <v>0.3225806451612903</v>
      </c>
      <c r="J173" s="87" t="n">
        <v>324</v>
      </c>
      <c r="K173" s="87" t="n">
        <v>219</v>
      </c>
      <c r="L173" s="88" t="n">
        <v>0.676</v>
      </c>
      <c r="M173" s="87" t="n">
        <v>1107</v>
      </c>
      <c r="N173" s="87" t="n">
        <v>1062</v>
      </c>
      <c r="O173" s="87" t="n">
        <v>935</v>
      </c>
      <c r="P173" s="88" t="n">
        <v>0.8446251129177959</v>
      </c>
      <c r="Q173" s="87" t="n">
        <v>59</v>
      </c>
      <c r="R173" s="87" t="n">
        <v>0</v>
      </c>
      <c r="S173" s="87" t="n">
        <v>0</v>
      </c>
      <c r="T173" s="88" t="n">
        <v>0</v>
      </c>
      <c r="U173" s="87" t="n">
        <v>0</v>
      </c>
      <c r="V173" s="88" t="n">
        <v>0</v>
      </c>
      <c r="W173" s="87" t="n">
        <v>21</v>
      </c>
      <c r="X173" s="88" t="n">
        <v>0.07526881720430108</v>
      </c>
      <c r="Y173" s="87" t="n">
        <v>186</v>
      </c>
      <c r="Z173" s="90" t="n">
        <v>0.6666666666666666</v>
      </c>
      <c r="AA173" s="87" t="n">
        <v>27</v>
      </c>
      <c r="AB173" s="88" t="n">
        <v>0.09677419354838709</v>
      </c>
      <c r="AC173" s="87" t="n">
        <v>0</v>
      </c>
      <c r="AD173" s="88" t="n">
        <v>0</v>
      </c>
      <c r="AE173" s="87" t="n">
        <v>0</v>
      </c>
      <c r="AF173" s="88" t="n">
        <v>0</v>
      </c>
      <c r="AG173" s="87" t="n">
        <v>0</v>
      </c>
      <c r="AH173" s="88" t="n">
        <v>0</v>
      </c>
      <c r="AI173" s="91" t="n">
        <v>0</v>
      </c>
      <c r="AJ173" s="88" t="n">
        <v>0</v>
      </c>
      <c r="AK173" s="91" t="n">
        <v>0</v>
      </c>
      <c r="AL173" s="88" t="n">
        <v>0</v>
      </c>
      <c r="AM173" s="91" t="n">
        <v>0</v>
      </c>
      <c r="AN173" s="91" t="n">
        <v>0</v>
      </c>
      <c r="AO173" s="88" t="n">
        <v>0</v>
      </c>
      <c r="AP173" s="88" t="n">
        <v>0</v>
      </c>
      <c r="AQ173" s="89" t="n"/>
      <c r="AR173" s="89" t="n">
        <v>1</v>
      </c>
      <c r="AS173" s="89" t="n">
        <v>1</v>
      </c>
      <c r="AT173" s="91" t="n">
        <v>0</v>
      </c>
      <c r="AU173" s="91" t="n">
        <v>0</v>
      </c>
      <c r="AV173" s="91" t="n">
        <v>3</v>
      </c>
      <c r="AW173" s="91" t="n">
        <v>3</v>
      </c>
      <c r="AX173" s="91" t="n">
        <v>3</v>
      </c>
      <c r="AY173" s="91" t="n">
        <v>5</v>
      </c>
      <c r="AZ173" s="88" t="n">
        <v>0.01075268817204301</v>
      </c>
      <c r="BA173" s="88" t="n">
        <v>0.01075268817204301</v>
      </c>
      <c r="BB173" s="88" t="n">
        <v>0.01792114695340502</v>
      </c>
      <c r="BC173" s="88" t="n">
        <v>0</v>
      </c>
      <c r="BD173" s="91" t="n">
        <v>0</v>
      </c>
      <c r="BE173" s="91" t="n">
        <v>0</v>
      </c>
      <c r="BF173" s="89" t="inlineStr">
        <is>
          <t>-</t>
        </is>
      </c>
      <c r="BG173" s="89" t="inlineStr">
        <is>
          <t>-</t>
        </is>
      </c>
      <c r="BH173" s="89" t="inlineStr">
        <is>
          <t>-</t>
        </is>
      </c>
    </row>
    <row r="174" ht="19.55" customHeight="1">
      <c r="A174" s="92" t="n">
        <v>171</v>
      </c>
      <c r="B174" s="87" t="inlineStr">
        <is>
          <t>全国</t>
        </is>
      </c>
      <c r="C174" s="93" t="n">
        <v>46262</v>
      </c>
      <c r="D174" s="87" t="inlineStr">
        <is>
          <t>N6</t>
        </is>
      </c>
      <c r="E174" s="87" t="n">
        <v>1945</v>
      </c>
      <c r="F174" s="87" t="n">
        <v>1680</v>
      </c>
      <c r="G174" s="88" t="n">
        <v>0.8637532133676092</v>
      </c>
      <c r="H174" s="87" t="n">
        <v>1003</v>
      </c>
      <c r="I174" s="89" t="n">
        <v>0.515681233933162</v>
      </c>
      <c r="J174" s="87" t="n">
        <v>1595</v>
      </c>
      <c r="K174" s="87" t="n">
        <v>1559</v>
      </c>
      <c r="L174" s="88" t="n">
        <v>0.977</v>
      </c>
      <c r="M174" s="87" t="n">
        <v>7907</v>
      </c>
      <c r="N174" s="87" t="n">
        <v>8256</v>
      </c>
      <c r="O174" s="87" t="n">
        <v>7782</v>
      </c>
      <c r="P174" s="88" t="n">
        <v>0.9841912229669912</v>
      </c>
      <c r="Q174" s="87" t="n">
        <v>23</v>
      </c>
      <c r="R174" s="87" t="n">
        <v>0</v>
      </c>
      <c r="S174" s="87" t="n">
        <v>0</v>
      </c>
      <c r="T174" s="88" t="n">
        <v>0</v>
      </c>
      <c r="U174" s="87" t="n">
        <v>0</v>
      </c>
      <c r="V174" s="88" t="n">
        <v>0</v>
      </c>
      <c r="W174" s="87" t="n">
        <v>268</v>
      </c>
      <c r="X174" s="88" t="n">
        <v>0.1377892030848329</v>
      </c>
      <c r="Y174" s="87" t="n">
        <v>549</v>
      </c>
      <c r="Z174" s="90" t="n">
        <v>0.2822622107969152</v>
      </c>
      <c r="AA174" s="87" t="n">
        <v>3</v>
      </c>
      <c r="AB174" s="88" t="n">
        <v>0.001542416452442159</v>
      </c>
      <c r="AC174" s="87" t="n">
        <v>247</v>
      </c>
      <c r="AD174" s="88" t="n">
        <v>0.1269922879177378</v>
      </c>
      <c r="AE174" s="87" t="n">
        <v>74</v>
      </c>
      <c r="AF174" s="88" t="n">
        <v>0.2995951417004049</v>
      </c>
      <c r="AG174" s="87" t="n">
        <v>207</v>
      </c>
      <c r="AH174" s="88" t="n">
        <v>0.8380566801619433</v>
      </c>
      <c r="AI174" s="91" t="n">
        <v>238</v>
      </c>
      <c r="AJ174" s="88" t="n">
        <v>0.1223650385604113</v>
      </c>
      <c r="AK174" s="91" t="n">
        <v>36</v>
      </c>
      <c r="AL174" s="88" t="n">
        <v>0.8613445378151261</v>
      </c>
      <c r="AM174" s="91" t="n">
        <v>236</v>
      </c>
      <c r="AN174" s="91" t="n">
        <v>205</v>
      </c>
      <c r="AO174" s="88" t="n">
        <v>0.1053984575835476</v>
      </c>
      <c r="AP174" s="88" t="n">
        <v>0.8299595141700404</v>
      </c>
      <c r="AQ174" s="89" t="n">
        <v>0.9876543209876543</v>
      </c>
      <c r="AR174" s="89" t="n">
        <v>0.6465116279069767</v>
      </c>
      <c r="AS174" s="89" t="n">
        <v>0.6186046511627907</v>
      </c>
      <c r="AT174" s="91" t="n">
        <v>0</v>
      </c>
      <c r="AU174" s="91" t="n">
        <v>0</v>
      </c>
      <c r="AV174" s="91" t="n">
        <v>66</v>
      </c>
      <c r="AW174" s="91" t="n">
        <v>60</v>
      </c>
      <c r="AX174" s="91" t="n">
        <v>57</v>
      </c>
      <c r="AY174" s="91" t="n">
        <v>39</v>
      </c>
      <c r="AZ174" s="88" t="n">
        <v>0.03084832904884319</v>
      </c>
      <c r="BA174" s="88" t="n">
        <v>0.02930591259640103</v>
      </c>
      <c r="BB174" s="88" t="n">
        <v>0.02005141388174807</v>
      </c>
      <c r="BC174" s="88" t="n">
        <v>0.2780487804878049</v>
      </c>
      <c r="BD174" s="91" t="n">
        <v>0</v>
      </c>
      <c r="BE174" s="91" t="n">
        <v>0</v>
      </c>
      <c r="BF174" s="89" t="n">
        <v>1</v>
      </c>
      <c r="BG174" s="89" t="n">
        <v>1</v>
      </c>
      <c r="BH174" s="89" t="inlineStr">
        <is>
          <t>-</t>
        </is>
      </c>
    </row>
    <row r="175" ht="19.55" customHeight="1">
      <c r="A175" s="92" t="n">
        <v>172</v>
      </c>
      <c r="B175" s="87" t="inlineStr">
        <is>
          <t>全国</t>
        </is>
      </c>
      <c r="C175" s="93" t="n">
        <v>46262</v>
      </c>
      <c r="D175" s="87" t="inlineStr">
        <is>
          <t>N7</t>
        </is>
      </c>
      <c r="E175" s="87" t="n">
        <v>2056</v>
      </c>
      <c r="F175" s="87" t="n">
        <v>1822</v>
      </c>
      <c r="G175" s="88" t="n">
        <v>0.8861867704280155</v>
      </c>
      <c r="H175" s="87" t="n">
        <v>1050</v>
      </c>
      <c r="I175" s="89" t="n">
        <v>0.5107003891050583</v>
      </c>
      <c r="J175" s="87" t="n">
        <v>1644</v>
      </c>
      <c r="K175" s="87" t="n">
        <v>1601</v>
      </c>
      <c r="L175" s="88" t="n">
        <v>0.974</v>
      </c>
      <c r="M175" s="87" t="n">
        <v>7240</v>
      </c>
      <c r="N175" s="87" t="n">
        <v>7531</v>
      </c>
      <c r="O175" s="87" t="n">
        <v>7120</v>
      </c>
      <c r="P175" s="88" t="n">
        <v>0.9834254143646409</v>
      </c>
      <c r="Q175" s="87" t="n">
        <v>23</v>
      </c>
      <c r="R175" s="87" t="n">
        <v>0</v>
      </c>
      <c r="S175" s="87" t="n">
        <v>0</v>
      </c>
      <c r="T175" s="88" t="n">
        <v>0</v>
      </c>
      <c r="U175" s="87" t="n">
        <v>0</v>
      </c>
      <c r="V175" s="88" t="n">
        <v>0</v>
      </c>
      <c r="W175" s="87" t="n">
        <v>306</v>
      </c>
      <c r="X175" s="88" t="n">
        <v>0.1488326848249027</v>
      </c>
      <c r="Y175" s="87" t="n">
        <v>1064</v>
      </c>
      <c r="Z175" s="90" t="n">
        <v>0.5175097276264592</v>
      </c>
      <c r="AA175" s="87" t="n">
        <v>5</v>
      </c>
      <c r="AB175" s="88" t="n">
        <v>0.002431906614785992</v>
      </c>
      <c r="AC175" s="87" t="n">
        <v>223</v>
      </c>
      <c r="AD175" s="88" t="n">
        <v>0.1084630350194553</v>
      </c>
      <c r="AE175" s="87" t="n">
        <v>58</v>
      </c>
      <c r="AF175" s="88" t="n">
        <v>0.2600896860986547</v>
      </c>
      <c r="AG175" s="87" t="n">
        <v>196</v>
      </c>
      <c r="AH175" s="88" t="n">
        <v>0.8789237668161435</v>
      </c>
      <c r="AI175" s="91" t="n">
        <v>223</v>
      </c>
      <c r="AJ175" s="88" t="n">
        <v>0.1084630350194553</v>
      </c>
      <c r="AK175" s="91" t="n">
        <v>23</v>
      </c>
      <c r="AL175" s="88" t="n">
        <v>0.8923766816143498</v>
      </c>
      <c r="AM175" s="91" t="n">
        <v>221</v>
      </c>
      <c r="AN175" s="91" t="n">
        <v>199</v>
      </c>
      <c r="AO175" s="88" t="n">
        <v>0.09678988326848249</v>
      </c>
      <c r="AP175" s="88" t="n">
        <v>0.8923766816143498</v>
      </c>
      <c r="AQ175" s="89" t="n">
        <v>0.9795918367346939</v>
      </c>
      <c r="AR175" s="89" t="n">
        <v>0.6527777777777778</v>
      </c>
      <c r="AS175" s="89" t="n">
        <v>0.6157407407407407</v>
      </c>
      <c r="AT175" s="91" t="n">
        <v>0</v>
      </c>
      <c r="AU175" s="91" t="n">
        <v>0</v>
      </c>
      <c r="AV175" s="91" t="n">
        <v>15</v>
      </c>
      <c r="AW175" s="91" t="n">
        <v>13</v>
      </c>
      <c r="AX175" s="91" t="n">
        <v>14</v>
      </c>
      <c r="AY175" s="91" t="n">
        <v>29</v>
      </c>
      <c r="AZ175" s="88" t="n">
        <v>0.00632295719844358</v>
      </c>
      <c r="BA175" s="88" t="n">
        <v>0.006809338521400778</v>
      </c>
      <c r="BB175" s="88" t="n">
        <v>0.01410505836575876</v>
      </c>
      <c r="BC175" s="88" t="n">
        <v>0.07035175879396985</v>
      </c>
      <c r="BD175" s="91" t="n">
        <v>0</v>
      </c>
      <c r="BE175" s="91" t="n">
        <v>0</v>
      </c>
      <c r="BF175" s="89" t="n">
        <v>1</v>
      </c>
      <c r="BG175" s="89" t="n">
        <v>1</v>
      </c>
      <c r="BH175" s="89" t="inlineStr">
        <is>
          <t>-</t>
        </is>
      </c>
    </row>
    <row r="176" ht="19.55" customHeight="1">
      <c r="A176" s="92" t="n">
        <v>173</v>
      </c>
      <c r="B176" s="87" t="inlineStr">
        <is>
          <t>全国</t>
        </is>
      </c>
      <c r="C176" s="93" t="n">
        <v>46262</v>
      </c>
      <c r="D176" s="87" t="inlineStr">
        <is>
          <t>NX8</t>
        </is>
      </c>
      <c r="E176" s="87" t="n">
        <v>5750</v>
      </c>
      <c r="F176" s="87" t="n">
        <v>5154</v>
      </c>
      <c r="G176" s="88" t="n">
        <v>0.8963478260869565</v>
      </c>
      <c r="H176" s="87" t="n">
        <v>2113</v>
      </c>
      <c r="I176" s="89" t="n">
        <v>0.3674782608695652</v>
      </c>
      <c r="J176" s="87" t="n">
        <v>5020</v>
      </c>
      <c r="K176" s="87" t="n">
        <v>4815</v>
      </c>
      <c r="L176" s="88" t="n">
        <v>0.959</v>
      </c>
      <c r="M176" s="87" t="n">
        <v>24647</v>
      </c>
      <c r="N176" s="87" t="n">
        <v>25227</v>
      </c>
      <c r="O176" s="87" t="n">
        <v>24090</v>
      </c>
      <c r="P176" s="88" t="n">
        <v>0.9774009007181401</v>
      </c>
      <c r="Q176" s="87" t="n">
        <v>149</v>
      </c>
      <c r="R176" s="87" t="n">
        <v>0</v>
      </c>
      <c r="S176" s="87" t="n">
        <v>0</v>
      </c>
      <c r="T176" s="88" t="n">
        <v>0</v>
      </c>
      <c r="U176" s="87" t="n">
        <v>0</v>
      </c>
      <c r="V176" s="88" t="n">
        <v>0</v>
      </c>
      <c r="W176" s="87" t="n">
        <v>913</v>
      </c>
      <c r="X176" s="88" t="n">
        <v>0.1587826086956522</v>
      </c>
      <c r="Y176" s="87" t="n">
        <v>3434</v>
      </c>
      <c r="Z176" s="90" t="n">
        <v>0.5972173913043478</v>
      </c>
      <c r="AA176" s="87" t="n">
        <v>2</v>
      </c>
      <c r="AB176" s="88" t="n">
        <v>0.0003478260869565218</v>
      </c>
      <c r="AC176" s="87" t="n">
        <v>774</v>
      </c>
      <c r="AD176" s="88" t="n">
        <v>0.1346086956521739</v>
      </c>
      <c r="AE176" s="87" t="n">
        <v>168</v>
      </c>
      <c r="AF176" s="88" t="n">
        <v>0.2170542635658915</v>
      </c>
      <c r="AG176" s="87" t="n">
        <v>619</v>
      </c>
      <c r="AH176" s="88" t="n">
        <v>0.7997416020671835</v>
      </c>
      <c r="AI176" s="91" t="n">
        <v>679</v>
      </c>
      <c r="AJ176" s="88" t="n">
        <v>0.1180869565217391</v>
      </c>
      <c r="AK176" s="91" t="n">
        <v>104</v>
      </c>
      <c r="AL176" s="88" t="n">
        <v>0.8718703976435935</v>
      </c>
      <c r="AM176" s="91" t="n">
        <v>665</v>
      </c>
      <c r="AN176" s="91" t="n">
        <v>592</v>
      </c>
      <c r="AO176" s="88" t="n">
        <v>0.1029565217391304</v>
      </c>
      <c r="AP176" s="88" t="n">
        <v>0.7648578811369509</v>
      </c>
      <c r="AQ176" s="89" t="n">
        <v>0.9909365558912386</v>
      </c>
      <c r="AR176" s="89" t="n">
        <v>0.6594202898550725</v>
      </c>
      <c r="AS176" s="89" t="n">
        <v>0.6420289855072464</v>
      </c>
      <c r="AT176" s="91" t="n">
        <v>0</v>
      </c>
      <c r="AU176" s="91" t="n">
        <v>0</v>
      </c>
      <c r="AV176" s="91" t="n">
        <v>73</v>
      </c>
      <c r="AW176" s="91" t="n">
        <v>49</v>
      </c>
      <c r="AX176" s="91" t="n">
        <v>50</v>
      </c>
      <c r="AY176" s="91" t="n">
        <v>91</v>
      </c>
      <c r="AZ176" s="88" t="n">
        <v>0.008521739130434783</v>
      </c>
      <c r="BA176" s="88" t="n">
        <v>0.008695652173913044</v>
      </c>
      <c r="BB176" s="88" t="n">
        <v>0.01582608695652174</v>
      </c>
      <c r="BC176" s="88" t="n">
        <v>0.08445945945945946</v>
      </c>
      <c r="BD176" s="91" t="n">
        <v>0</v>
      </c>
      <c r="BE176" s="91" t="n">
        <v>0</v>
      </c>
      <c r="BF176" s="89" t="n">
        <v>1</v>
      </c>
      <c r="BG176" s="89" t="n">
        <v>1</v>
      </c>
      <c r="BH176" s="89" t="inlineStr">
        <is>
          <t>-</t>
        </is>
      </c>
    </row>
    <row r="177" ht="19.55" customHeight="1">
      <c r="A177" s="92" t="n">
        <v>174</v>
      </c>
      <c r="B177" s="87" t="inlineStr">
        <is>
          <t>全国</t>
        </is>
      </c>
      <c r="C177" s="93" t="n">
        <v>46262</v>
      </c>
      <c r="D177" s="87" t="inlineStr">
        <is>
          <t>天籁·鸿蒙座舱</t>
        </is>
      </c>
      <c r="E177" s="87" t="n">
        <v>3210</v>
      </c>
      <c r="F177" s="87" t="n">
        <v>2866</v>
      </c>
      <c r="G177" s="88" t="n">
        <v>0.8928348909657321</v>
      </c>
      <c r="H177" s="87" t="n">
        <v>2035</v>
      </c>
      <c r="I177" s="89" t="n">
        <v>0.6339563862928349</v>
      </c>
      <c r="J177" s="87" t="n">
        <v>4041</v>
      </c>
      <c r="K177" s="87" t="n">
        <v>3943</v>
      </c>
      <c r="L177" s="88" t="n">
        <v>0.976</v>
      </c>
      <c r="M177" s="87" t="n">
        <v>19778</v>
      </c>
      <c r="N177" s="87" t="n">
        <v>20164</v>
      </c>
      <c r="O177" s="87" t="n">
        <v>19456</v>
      </c>
      <c r="P177" s="88" t="n">
        <v>0.9837192840529881</v>
      </c>
      <c r="Q177" s="87" t="n">
        <v>52</v>
      </c>
      <c r="R177" s="87" t="n">
        <v>0</v>
      </c>
      <c r="S177" s="87" t="n">
        <v>0</v>
      </c>
      <c r="T177" s="88" t="n">
        <v>0</v>
      </c>
      <c r="U177" s="87" t="n">
        <v>0</v>
      </c>
      <c r="V177" s="88" t="n">
        <v>0</v>
      </c>
      <c r="W177" s="87" t="n">
        <v>461</v>
      </c>
      <c r="X177" s="88" t="n">
        <v>0.143613707165109</v>
      </c>
      <c r="Y177" s="87" t="n">
        <v>942</v>
      </c>
      <c r="Z177" s="90" t="n">
        <v>0.2934579439252337</v>
      </c>
      <c r="AA177" s="87" t="n">
        <v>11</v>
      </c>
      <c r="AB177" s="88" t="n">
        <v>0.003426791277258567</v>
      </c>
      <c r="AC177" s="87" t="n">
        <v>213</v>
      </c>
      <c r="AD177" s="88" t="n">
        <v>0.06635514018691589</v>
      </c>
      <c r="AE177" s="87" t="n">
        <v>86</v>
      </c>
      <c r="AF177" s="88" t="n">
        <v>0.4037558685446009</v>
      </c>
      <c r="AG177" s="87" t="n">
        <v>182</v>
      </c>
      <c r="AH177" s="88" t="n">
        <v>0.8544600938967136</v>
      </c>
      <c r="AI177" s="91" t="n">
        <v>205</v>
      </c>
      <c r="AJ177" s="88" t="n">
        <v>0.06386292834890965</v>
      </c>
      <c r="AK177" s="91" t="n">
        <v>49</v>
      </c>
      <c r="AL177" s="88" t="n">
        <v>0.8975609756097561</v>
      </c>
      <c r="AM177" s="91" t="n">
        <v>200</v>
      </c>
      <c r="AN177" s="91" t="n">
        <v>184</v>
      </c>
      <c r="AO177" s="88" t="n">
        <v>0.0573208722741433</v>
      </c>
      <c r="AP177" s="88" t="n">
        <v>0.863849765258216</v>
      </c>
      <c r="AQ177" s="89" t="n">
        <v>0.9565217391304348</v>
      </c>
      <c r="AR177" s="89" t="n">
        <v>0.5231481481481481</v>
      </c>
      <c r="AS177" s="89" t="n">
        <v>0.5601851851851852</v>
      </c>
      <c r="AT177" s="91" t="n">
        <v>0</v>
      </c>
      <c r="AU177" s="91" t="n">
        <v>0</v>
      </c>
      <c r="AV177" s="91" t="n">
        <v>103</v>
      </c>
      <c r="AW177" s="91" t="n">
        <v>88</v>
      </c>
      <c r="AX177" s="91" t="n">
        <v>90</v>
      </c>
      <c r="AY177" s="91" t="n">
        <v>103</v>
      </c>
      <c r="AZ177" s="88" t="n">
        <v>0.02741433021806854</v>
      </c>
      <c r="BA177" s="88" t="n">
        <v>0.02803738317757009</v>
      </c>
      <c r="BB177" s="88" t="n">
        <v>0.03208722741433022</v>
      </c>
      <c r="BC177" s="88" t="n">
        <v>0.4891304347826087</v>
      </c>
      <c r="BD177" s="91" t="n">
        <v>0</v>
      </c>
      <c r="BE177" s="91" t="n">
        <v>0</v>
      </c>
      <c r="BF177" s="89" t="n">
        <v>1</v>
      </c>
      <c r="BG177" s="89" t="n">
        <v>1</v>
      </c>
      <c r="BH177" s="89" t="inlineStr">
        <is>
          <t>-</t>
        </is>
      </c>
    </row>
    <row r="178" ht="19.55" customHeight="1">
      <c r="A178" s="92" t="n">
        <v>175</v>
      </c>
      <c r="B178" s="87" t="inlineStr">
        <is>
          <t>全国</t>
        </is>
      </c>
      <c r="C178" s="93" t="n">
        <v>46262</v>
      </c>
      <c r="D178" s="87" t="inlineStr">
        <is>
          <t>探陆</t>
        </is>
      </c>
      <c r="E178" s="87" t="n">
        <v>0</v>
      </c>
      <c r="F178" s="87" t="n">
        <v>0</v>
      </c>
      <c r="G178" s="88" t="n">
        <v>0</v>
      </c>
      <c r="H178" s="87" t="n">
        <v>0</v>
      </c>
      <c r="I178" s="89" t="n">
        <v>0</v>
      </c>
      <c r="J178" s="87" t="n">
        <v>0</v>
      </c>
      <c r="K178" s="87" t="n">
        <v>0</v>
      </c>
      <c r="L178" s="88" t="n">
        <v>0</v>
      </c>
      <c r="M178" s="87" t="n">
        <v>0</v>
      </c>
      <c r="N178" s="87" t="n">
        <v>1</v>
      </c>
      <c r="O178" s="87" t="n">
        <v>0</v>
      </c>
      <c r="P178" s="88" t="n">
        <v>0</v>
      </c>
      <c r="Q178" s="87" t="n">
        <v>0</v>
      </c>
      <c r="R178" s="87" t="n">
        <v>0</v>
      </c>
      <c r="S178" s="87" t="n">
        <v>0</v>
      </c>
      <c r="T178" s="88" t="n">
        <v>0</v>
      </c>
      <c r="U178" s="87" t="n">
        <v>0</v>
      </c>
      <c r="V178" s="88" t="n">
        <v>0</v>
      </c>
      <c r="W178" s="87" t="n">
        <v>0</v>
      </c>
      <c r="X178" s="88" t="n">
        <v>0</v>
      </c>
      <c r="Y178" s="87" t="n">
        <v>0</v>
      </c>
      <c r="Z178" s="90" t="n">
        <v>0</v>
      </c>
      <c r="AA178" s="87" t="n">
        <v>0</v>
      </c>
      <c r="AB178" s="88" t="n">
        <v>0</v>
      </c>
      <c r="AC178" s="87" t="n">
        <v>0</v>
      </c>
      <c r="AD178" s="88" t="n">
        <v>0</v>
      </c>
      <c r="AE178" s="87" t="n">
        <v>0</v>
      </c>
      <c r="AF178" s="88" t="n">
        <v>0</v>
      </c>
      <c r="AG178" s="87" t="n">
        <v>0</v>
      </c>
      <c r="AH178" s="88" t="n">
        <v>0</v>
      </c>
      <c r="AI178" s="91" t="n">
        <v>0</v>
      </c>
      <c r="AJ178" s="88" t="n">
        <v>0</v>
      </c>
      <c r="AK178" s="91" t="n">
        <v>0</v>
      </c>
      <c r="AL178" s="88" t="n">
        <v>0</v>
      </c>
      <c r="AM178" s="91" t="n">
        <v>0</v>
      </c>
      <c r="AN178" s="91" t="n">
        <v>0</v>
      </c>
      <c r="AO178" s="88" t="n">
        <v>0</v>
      </c>
      <c r="AP178" s="88" t="n">
        <v>0</v>
      </c>
      <c r="AQ178" s="89" t="n"/>
      <c r="AR178" s="89" t="inlineStr">
        <is>
          <t>0.0%</t>
        </is>
      </c>
      <c r="AS178" s="89" t="inlineStr">
        <is>
          <t>0.0%</t>
        </is>
      </c>
      <c r="AT178" s="91" t="n">
        <v>0</v>
      </c>
      <c r="AU178" s="91" t="n">
        <v>0</v>
      </c>
      <c r="AV178" s="91" t="n">
        <v>0</v>
      </c>
      <c r="AW178" s="91" t="n">
        <v>0</v>
      </c>
      <c r="AX178" s="91" t="n">
        <v>0</v>
      </c>
      <c r="AY178" s="91" t="n">
        <v>0</v>
      </c>
      <c r="AZ178" s="88" t="n">
        <v>0</v>
      </c>
      <c r="BA178" s="88" t="n">
        <v>0</v>
      </c>
      <c r="BB178" s="88" t="n">
        <v>0</v>
      </c>
      <c r="BC178" s="88" t="n">
        <v>0</v>
      </c>
      <c r="BD178" s="91" t="n">
        <v>0</v>
      </c>
      <c r="BE178" s="91" t="n">
        <v>0</v>
      </c>
      <c r="BF178" s="89" t="inlineStr">
        <is>
          <t>-</t>
        </is>
      </c>
      <c r="BG178" s="89" t="inlineStr">
        <is>
          <t>-</t>
        </is>
      </c>
      <c r="BH178" s="89" t="inlineStr">
        <is>
          <t>-</t>
        </is>
      </c>
    </row>
    <row r="179" ht="19.55" customHeight="1">
      <c r="A179" s="92" t="n">
        <v>176</v>
      </c>
      <c r="B179" s="87" t="inlineStr">
        <is>
          <t>全国</t>
        </is>
      </c>
      <c r="C179" s="93" t="n">
        <v>46263</v>
      </c>
      <c r="D179" s="87" t="n"/>
      <c r="E179" s="87" t="n">
        <v>64</v>
      </c>
      <c r="F179" s="87" t="n">
        <v>63</v>
      </c>
      <c r="G179" s="88" t="n">
        <v>0.984375</v>
      </c>
      <c r="H179" s="87" t="n">
        <v>64</v>
      </c>
      <c r="I179" s="89" t="n">
        <v>1</v>
      </c>
      <c r="J179" s="87" t="n">
        <v>0</v>
      </c>
      <c r="K179" s="87" t="n">
        <v>0</v>
      </c>
      <c r="L179" s="88" t="n">
        <v>0</v>
      </c>
      <c r="M179" s="87" t="n">
        <v>3</v>
      </c>
      <c r="N179" s="87" t="n">
        <v>0</v>
      </c>
      <c r="O179" s="87" t="n">
        <v>0</v>
      </c>
      <c r="P179" s="88" t="n">
        <v>0</v>
      </c>
      <c r="Q179" s="87" t="n">
        <v>3</v>
      </c>
      <c r="R179" s="87" t="n">
        <v>0</v>
      </c>
      <c r="S179" s="87" t="n">
        <v>0</v>
      </c>
      <c r="T179" s="88" t="n">
        <v>0</v>
      </c>
      <c r="U179" s="87" t="n">
        <v>0</v>
      </c>
      <c r="V179" s="88" t="n">
        <v>0</v>
      </c>
      <c r="W179" s="87" t="n">
        <v>34</v>
      </c>
      <c r="X179" s="88" t="n">
        <v>0.53125</v>
      </c>
      <c r="Y179" s="87" t="n">
        <v>18</v>
      </c>
      <c r="Z179" s="90" t="n">
        <v>0.28125</v>
      </c>
      <c r="AA179" s="87" t="n">
        <v>0</v>
      </c>
      <c r="AB179" s="88" t="n">
        <v>0</v>
      </c>
      <c r="AC179" s="87" t="n">
        <v>0</v>
      </c>
      <c r="AD179" s="88" t="n">
        <v>0</v>
      </c>
      <c r="AE179" s="87" t="n">
        <v>0</v>
      </c>
      <c r="AF179" s="88" t="n">
        <v>0</v>
      </c>
      <c r="AG179" s="87" t="n">
        <v>0</v>
      </c>
      <c r="AH179" s="88" t="n">
        <v>0</v>
      </c>
      <c r="AI179" s="91" t="n">
        <v>0</v>
      </c>
      <c r="AJ179" s="88" t="n">
        <v>0</v>
      </c>
      <c r="AK179" s="91" t="n">
        <v>0</v>
      </c>
      <c r="AL179" s="88" t="n">
        <v>0</v>
      </c>
      <c r="AM179" s="91" t="n">
        <v>0</v>
      </c>
      <c r="AN179" s="91" t="n">
        <v>0</v>
      </c>
      <c r="AO179" s="88" t="n">
        <v>0</v>
      </c>
      <c r="AP179" s="88" t="n">
        <v>0</v>
      </c>
      <c r="AQ179" s="89" t="n">
        <v>0</v>
      </c>
      <c r="AR179" s="89" t="n">
        <v>0</v>
      </c>
      <c r="AS179" s="89" t="n">
        <v>0</v>
      </c>
      <c r="AT179" s="91" t="n">
        <v>0</v>
      </c>
      <c r="AU179" s="91" t="n">
        <v>0</v>
      </c>
      <c r="AV179" s="91" t="n">
        <v>0</v>
      </c>
      <c r="AW179" s="91" t="n">
        <v>0</v>
      </c>
      <c r="AX179" s="91" t="n">
        <v>0</v>
      </c>
      <c r="AY179" s="91" t="n">
        <v>0</v>
      </c>
      <c r="AZ179" s="88" t="n">
        <v>0</v>
      </c>
      <c r="BA179" s="88" t="n">
        <v>0</v>
      </c>
      <c r="BB179" s="88" t="n">
        <v>0</v>
      </c>
      <c r="BC179" s="88" t="n">
        <v>0</v>
      </c>
      <c r="BD179" s="91" t="n">
        <v>0</v>
      </c>
      <c r="BE179" s="91" t="n">
        <v>0</v>
      </c>
      <c r="BF179" s="89" t="inlineStr">
        <is>
          <t>-</t>
        </is>
      </c>
      <c r="BG179" s="89" t="inlineStr">
        <is>
          <t>-</t>
        </is>
      </c>
      <c r="BH179" s="89" t="n">
        <v>0.9452054794520548</v>
      </c>
    </row>
    <row r="180" ht="19.55" customHeight="1">
      <c r="A180" s="92" t="n">
        <v>177</v>
      </c>
      <c r="B180" s="87" t="inlineStr">
        <is>
          <t>全国</t>
        </is>
      </c>
      <c r="C180" s="93" t="n">
        <v>46263</v>
      </c>
      <c r="D180" s="87" t="inlineStr">
        <is>
          <t>2026款探陆</t>
        </is>
      </c>
      <c r="E180" s="87" t="n">
        <v>403</v>
      </c>
      <c r="F180" s="87" t="n">
        <v>372</v>
      </c>
      <c r="G180" s="88" t="n">
        <v>0.9230769230769231</v>
      </c>
      <c r="H180" s="87" t="n">
        <v>92</v>
      </c>
      <c r="I180" s="89" t="n">
        <v>0.228287841191067</v>
      </c>
      <c r="J180" s="87" t="n">
        <v>285</v>
      </c>
      <c r="K180" s="87" t="n">
        <v>203</v>
      </c>
      <c r="L180" s="88" t="n">
        <v>0.712</v>
      </c>
      <c r="M180" s="87" t="n">
        <v>1146</v>
      </c>
      <c r="N180" s="87" t="n">
        <v>1069</v>
      </c>
      <c r="O180" s="87" t="n">
        <v>948</v>
      </c>
      <c r="P180" s="88" t="n">
        <v>0.8272251308900523</v>
      </c>
      <c r="Q180" s="87" t="n">
        <v>85</v>
      </c>
      <c r="R180" s="87" t="n">
        <v>0</v>
      </c>
      <c r="S180" s="87" t="n">
        <v>0</v>
      </c>
      <c r="T180" s="88" t="n">
        <v>0</v>
      </c>
      <c r="U180" s="87" t="n">
        <v>0</v>
      </c>
      <c r="V180" s="88" t="n">
        <v>0</v>
      </c>
      <c r="W180" s="87" t="n">
        <v>17</v>
      </c>
      <c r="X180" s="88" t="n">
        <v>0.04218362282878412</v>
      </c>
      <c r="Y180" s="87" t="n">
        <v>139</v>
      </c>
      <c r="Z180" s="90" t="n">
        <v>0.3449131513647642</v>
      </c>
      <c r="AA180" s="87" t="n">
        <v>23</v>
      </c>
      <c r="AB180" s="88" t="n">
        <v>0.05707196029776675</v>
      </c>
      <c r="AC180" s="87" t="n">
        <v>1</v>
      </c>
      <c r="AD180" s="88" t="n">
        <v>0.002481389578163772</v>
      </c>
      <c r="AE180" s="87" t="n">
        <v>0</v>
      </c>
      <c r="AF180" s="88" t="n">
        <v>0</v>
      </c>
      <c r="AG180" s="87" t="n">
        <v>1</v>
      </c>
      <c r="AH180" s="88" t="n">
        <v>1</v>
      </c>
      <c r="AI180" s="91" t="n">
        <v>0</v>
      </c>
      <c r="AJ180" s="88" t="n">
        <v>0</v>
      </c>
      <c r="AK180" s="91" t="n">
        <v>0</v>
      </c>
      <c r="AL180" s="88" t="n">
        <v>0</v>
      </c>
      <c r="AM180" s="91" t="n">
        <v>0</v>
      </c>
      <c r="AN180" s="91" t="n">
        <v>0</v>
      </c>
      <c r="AO180" s="88" t="n">
        <v>0</v>
      </c>
      <c r="AP180" s="88" t="n">
        <v>0</v>
      </c>
      <c r="AQ180" s="89" t="n">
        <v>1</v>
      </c>
      <c r="AR180" s="89" t="n">
        <v>0</v>
      </c>
      <c r="AS180" s="89" t="n">
        <v>0</v>
      </c>
      <c r="AT180" s="91" t="n">
        <v>0</v>
      </c>
      <c r="AU180" s="91" t="n">
        <v>0</v>
      </c>
      <c r="AV180" s="91" t="n">
        <v>3</v>
      </c>
      <c r="AW180" s="91" t="n">
        <v>3</v>
      </c>
      <c r="AX180" s="91" t="n">
        <v>3</v>
      </c>
      <c r="AY180" s="91" t="n">
        <v>3</v>
      </c>
      <c r="AZ180" s="88" t="n">
        <v>0.007444168734491315</v>
      </c>
      <c r="BA180" s="88" t="n">
        <v>0.007444168734491315</v>
      </c>
      <c r="BB180" s="88" t="n">
        <v>0.007444168734491315</v>
      </c>
      <c r="BC180" s="88" t="n">
        <v>0</v>
      </c>
      <c r="BD180" s="91" t="n">
        <v>0</v>
      </c>
      <c r="BE180" s="91" t="n">
        <v>0</v>
      </c>
      <c r="BF180" s="89" t="inlineStr">
        <is>
          <t>-</t>
        </is>
      </c>
      <c r="BG180" s="89" t="inlineStr">
        <is>
          <t>-</t>
        </is>
      </c>
      <c r="BH180" s="89" t="inlineStr">
        <is>
          <t>-</t>
        </is>
      </c>
    </row>
    <row r="181" ht="19.55" customHeight="1">
      <c r="A181" s="92" t="n">
        <v>178</v>
      </c>
      <c r="B181" s="87" t="inlineStr">
        <is>
          <t>全国</t>
        </is>
      </c>
      <c r="C181" s="93" t="n">
        <v>46263</v>
      </c>
      <c r="D181" s="87" t="inlineStr">
        <is>
          <t>N6</t>
        </is>
      </c>
      <c r="E181" s="87" t="n">
        <v>2093</v>
      </c>
      <c r="F181" s="87" t="n">
        <v>1868</v>
      </c>
      <c r="G181" s="88" t="n">
        <v>0.8924988055422838</v>
      </c>
      <c r="H181" s="87" t="n">
        <v>952</v>
      </c>
      <c r="I181" s="89" t="n">
        <v>0.4548494983277592</v>
      </c>
      <c r="J181" s="87" t="n">
        <v>1791</v>
      </c>
      <c r="K181" s="87" t="n">
        <v>1745</v>
      </c>
      <c r="L181" s="88" t="n">
        <v>0.974</v>
      </c>
      <c r="M181" s="87" t="n">
        <v>7684</v>
      </c>
      <c r="N181" s="87" t="n">
        <v>7964</v>
      </c>
      <c r="O181" s="87" t="n">
        <v>7522</v>
      </c>
      <c r="P181" s="88" t="n">
        <v>0.9789172306090578</v>
      </c>
      <c r="Q181" s="87" t="n">
        <v>36</v>
      </c>
      <c r="R181" s="87" t="n">
        <v>0</v>
      </c>
      <c r="S181" s="87" t="n">
        <v>0</v>
      </c>
      <c r="T181" s="88" t="n">
        <v>0</v>
      </c>
      <c r="U181" s="87" t="n">
        <v>0</v>
      </c>
      <c r="V181" s="88" t="n">
        <v>0</v>
      </c>
      <c r="W181" s="87" t="n">
        <v>308</v>
      </c>
      <c r="X181" s="88" t="n">
        <v>0.1471571906354515</v>
      </c>
      <c r="Y181" s="87" t="n">
        <v>593</v>
      </c>
      <c r="Z181" s="90" t="n">
        <v>0.283325370281892</v>
      </c>
      <c r="AA181" s="87" t="n">
        <v>2</v>
      </c>
      <c r="AB181" s="88" t="n">
        <v>0.0009555661729574773</v>
      </c>
      <c r="AC181" s="87" t="n">
        <v>314</v>
      </c>
      <c r="AD181" s="88" t="n">
        <v>0.1500238891543239</v>
      </c>
      <c r="AE181" s="87" t="n">
        <v>69</v>
      </c>
      <c r="AF181" s="88" t="n">
        <v>0.2197452229299363</v>
      </c>
      <c r="AG181" s="87" t="n">
        <v>270</v>
      </c>
      <c r="AH181" s="88" t="n">
        <v>0.8598726114649682</v>
      </c>
      <c r="AI181" s="91" t="n">
        <v>302</v>
      </c>
      <c r="AJ181" s="88" t="n">
        <v>0.1442904921165791</v>
      </c>
      <c r="AK181" s="91" t="n">
        <v>38</v>
      </c>
      <c r="AL181" s="88" t="n">
        <v>0.8278145695364238</v>
      </c>
      <c r="AM181" s="91" t="n">
        <v>291</v>
      </c>
      <c r="AN181" s="91" t="n">
        <v>250</v>
      </c>
      <c r="AO181" s="88" t="n">
        <v>0.1194457716196847</v>
      </c>
      <c r="AP181" s="88" t="n">
        <v>0.7961783439490446</v>
      </c>
      <c r="AQ181" s="89" t="n">
        <v>0.9850746268656716</v>
      </c>
      <c r="AR181" s="89" t="n">
        <v>0.6391752577319587</v>
      </c>
      <c r="AS181" s="89" t="n">
        <v>0.5876288659793815</v>
      </c>
      <c r="AT181" s="91" t="n">
        <v>0</v>
      </c>
      <c r="AU181" s="91" t="n">
        <v>0</v>
      </c>
      <c r="AV181" s="91" t="n">
        <v>112</v>
      </c>
      <c r="AW181" s="91" t="n">
        <v>108</v>
      </c>
      <c r="AX181" s="91" t="n">
        <v>107</v>
      </c>
      <c r="AY181" s="91" t="n">
        <v>133</v>
      </c>
      <c r="AZ181" s="88" t="n">
        <v>0.05160057333970378</v>
      </c>
      <c r="BA181" s="88" t="n">
        <v>0.05112279025322503</v>
      </c>
      <c r="BB181" s="88" t="n">
        <v>0.06354515050167224</v>
      </c>
      <c r="BC181" s="88" t="n">
        <v>0.428</v>
      </c>
      <c r="BD181" s="91" t="n">
        <v>0</v>
      </c>
      <c r="BE181" s="91" t="n">
        <v>0</v>
      </c>
      <c r="BF181" s="89" t="n">
        <v>1</v>
      </c>
      <c r="BG181" s="89" t="n">
        <v>1</v>
      </c>
      <c r="BH181" s="89" t="inlineStr">
        <is>
          <t>-</t>
        </is>
      </c>
    </row>
    <row r="182" ht="19.55" customHeight="1">
      <c r="A182" s="92" t="n">
        <v>179</v>
      </c>
      <c r="B182" s="87" t="inlineStr">
        <is>
          <t>全国</t>
        </is>
      </c>
      <c r="C182" s="93" t="n">
        <v>46263</v>
      </c>
      <c r="D182" s="87" t="inlineStr">
        <is>
          <t>N7</t>
        </is>
      </c>
      <c r="E182" s="87" t="n">
        <v>1975</v>
      </c>
      <c r="F182" s="87" t="n">
        <v>1717</v>
      </c>
      <c r="G182" s="88" t="n">
        <v>0.8693670886075949</v>
      </c>
      <c r="H182" s="87" t="n">
        <v>1027</v>
      </c>
      <c r="I182" s="89" t="n">
        <v>0.52</v>
      </c>
      <c r="J182" s="87" t="n">
        <v>1584</v>
      </c>
      <c r="K182" s="87" t="n">
        <v>1530</v>
      </c>
      <c r="L182" s="88" t="n">
        <v>0.966</v>
      </c>
      <c r="M182" s="87" t="n">
        <v>6990</v>
      </c>
      <c r="N182" s="87" t="n">
        <v>7023</v>
      </c>
      <c r="O182" s="87" t="n">
        <v>6832</v>
      </c>
      <c r="P182" s="88" t="n">
        <v>0.9773962804005722</v>
      </c>
      <c r="Q182" s="87" t="n">
        <v>38</v>
      </c>
      <c r="R182" s="87" t="n">
        <v>0</v>
      </c>
      <c r="S182" s="87" t="n">
        <v>0</v>
      </c>
      <c r="T182" s="88" t="n">
        <v>0</v>
      </c>
      <c r="U182" s="87" t="n">
        <v>0</v>
      </c>
      <c r="V182" s="88" t="n">
        <v>0</v>
      </c>
      <c r="W182" s="87" t="n">
        <v>354</v>
      </c>
      <c r="X182" s="88" t="n">
        <v>0.1792405063291139</v>
      </c>
      <c r="Y182" s="87" t="n">
        <v>861</v>
      </c>
      <c r="Z182" s="90" t="n">
        <v>0.4359493670886076</v>
      </c>
      <c r="AA182" s="87" t="n">
        <v>1</v>
      </c>
      <c r="AB182" s="88" t="n">
        <v>0.0005063291139240507</v>
      </c>
      <c r="AC182" s="87" t="n">
        <v>321</v>
      </c>
      <c r="AD182" s="88" t="n">
        <v>0.1625316455696202</v>
      </c>
      <c r="AE182" s="87" t="n">
        <v>61</v>
      </c>
      <c r="AF182" s="88" t="n">
        <v>0.1900311526479751</v>
      </c>
      <c r="AG182" s="87" t="n">
        <v>273</v>
      </c>
      <c r="AH182" s="88" t="n">
        <v>0.8504672897196262</v>
      </c>
      <c r="AI182" s="91" t="n">
        <v>285</v>
      </c>
      <c r="AJ182" s="88" t="n">
        <v>0.1443037974683544</v>
      </c>
      <c r="AK182" s="91" t="n">
        <v>34</v>
      </c>
      <c r="AL182" s="88" t="n">
        <v>0.887719298245614</v>
      </c>
      <c r="AM182" s="91" t="n">
        <v>283</v>
      </c>
      <c r="AN182" s="91" t="n">
        <v>253</v>
      </c>
      <c r="AO182" s="88" t="n">
        <v>0.1281012658227848</v>
      </c>
      <c r="AP182" s="88" t="n">
        <v>0.7881619937694704</v>
      </c>
      <c r="AQ182" s="89" t="n">
        <v>0.9854368932038835</v>
      </c>
      <c r="AR182" s="89" t="n">
        <v>0.6159420289855072</v>
      </c>
      <c r="AS182" s="89" t="n">
        <v>0.5760869565217391</v>
      </c>
      <c r="AT182" s="91" t="n">
        <v>0</v>
      </c>
      <c r="AU182" s="91" t="n">
        <v>0</v>
      </c>
      <c r="AV182" s="91" t="n">
        <v>33</v>
      </c>
      <c r="AW182" s="91" t="n">
        <v>31</v>
      </c>
      <c r="AX182" s="91" t="n">
        <v>30</v>
      </c>
      <c r="AY182" s="91" t="n">
        <v>29</v>
      </c>
      <c r="AZ182" s="88" t="n">
        <v>0.01569620253164557</v>
      </c>
      <c r="BA182" s="88" t="n">
        <v>0.01518987341772152</v>
      </c>
      <c r="BB182" s="88" t="n">
        <v>0.01468354430379747</v>
      </c>
      <c r="BC182" s="88" t="n">
        <v>0.1185770750988142</v>
      </c>
      <c r="BD182" s="91" t="n">
        <v>0</v>
      </c>
      <c r="BE182" s="91" t="n">
        <v>0</v>
      </c>
      <c r="BF182" s="89" t="n">
        <v>0.9655172413793104</v>
      </c>
      <c r="BG182" s="89" t="n">
        <v>1</v>
      </c>
      <c r="BH182" s="89" t="inlineStr">
        <is>
          <t>-</t>
        </is>
      </c>
    </row>
    <row r="183" ht="19.55" customHeight="1">
      <c r="A183" s="92" t="n">
        <v>180</v>
      </c>
      <c r="B183" s="87" t="inlineStr">
        <is>
          <t>全国</t>
        </is>
      </c>
      <c r="C183" s="93" t="n">
        <v>46263</v>
      </c>
      <c r="D183" s="87" t="inlineStr">
        <is>
          <t>NX8</t>
        </is>
      </c>
      <c r="E183" s="87" t="n">
        <v>7027</v>
      </c>
      <c r="F183" s="87" t="n">
        <v>6327</v>
      </c>
      <c r="G183" s="88" t="n">
        <v>0.9003842322470471</v>
      </c>
      <c r="H183" s="87" t="n">
        <v>2488</v>
      </c>
      <c r="I183" s="89" t="n">
        <v>0.354062900241924</v>
      </c>
      <c r="J183" s="87" t="n">
        <v>5064</v>
      </c>
      <c r="K183" s="87" t="n">
        <v>4927</v>
      </c>
      <c r="L183" s="88" t="n">
        <v>0.973</v>
      </c>
      <c r="M183" s="87" t="n">
        <v>22433</v>
      </c>
      <c r="N183" s="87" t="n">
        <v>23167</v>
      </c>
      <c r="O183" s="87" t="n">
        <v>21973</v>
      </c>
      <c r="P183" s="88" t="n">
        <v>0.9794944947176035</v>
      </c>
      <c r="Q183" s="87" t="n">
        <v>158</v>
      </c>
      <c r="R183" s="87" t="n">
        <v>0</v>
      </c>
      <c r="S183" s="87" t="n">
        <v>0</v>
      </c>
      <c r="T183" s="88" t="n">
        <v>0</v>
      </c>
      <c r="U183" s="87" t="n">
        <v>0</v>
      </c>
      <c r="V183" s="88" t="n">
        <v>0</v>
      </c>
      <c r="W183" s="87" t="n">
        <v>891</v>
      </c>
      <c r="X183" s="88" t="n">
        <v>0.1267966415255443</v>
      </c>
      <c r="Y183" s="87" t="n">
        <v>3137</v>
      </c>
      <c r="Z183" s="90" t="n">
        <v>0.4464209477728761</v>
      </c>
      <c r="AA183" s="87" t="n">
        <v>7</v>
      </c>
      <c r="AB183" s="88" t="n">
        <v>0.0009961576775295289</v>
      </c>
      <c r="AC183" s="87" t="n">
        <v>1101</v>
      </c>
      <c r="AD183" s="88" t="n">
        <v>0.1566813718514302</v>
      </c>
      <c r="AE183" s="87" t="n">
        <v>203</v>
      </c>
      <c r="AF183" s="88" t="n">
        <v>0.184377838328792</v>
      </c>
      <c r="AG183" s="87" t="n">
        <v>913</v>
      </c>
      <c r="AH183" s="88" t="n">
        <v>0.8292461398728429</v>
      </c>
      <c r="AI183" s="91" t="n">
        <v>980</v>
      </c>
      <c r="AJ183" s="88" t="n">
        <v>0.1394620748541341</v>
      </c>
      <c r="AK183" s="91" t="n">
        <v>99</v>
      </c>
      <c r="AL183" s="88" t="n">
        <v>0.8653061224489796</v>
      </c>
      <c r="AM183" s="91" t="n">
        <v>929</v>
      </c>
      <c r="AN183" s="91" t="n">
        <v>848</v>
      </c>
      <c r="AO183" s="88" t="n">
        <v>0.1206773872207201</v>
      </c>
      <c r="AP183" s="88" t="n">
        <v>0.7702089009990918</v>
      </c>
      <c r="AQ183" s="89" t="n">
        <v>0.9697885196374623</v>
      </c>
      <c r="AR183" s="89" t="n">
        <v>0.6217616580310881</v>
      </c>
      <c r="AS183" s="89" t="n">
        <v>0.5958549222797928</v>
      </c>
      <c r="AT183" s="91" t="n">
        <v>0</v>
      </c>
      <c r="AU183" s="91" t="n">
        <v>0</v>
      </c>
      <c r="AV183" s="91" t="n">
        <v>122</v>
      </c>
      <c r="AW183" s="91" t="n">
        <v>115</v>
      </c>
      <c r="AX183" s="91" t="n">
        <v>115</v>
      </c>
      <c r="AY183" s="91" t="n">
        <v>90</v>
      </c>
      <c r="AZ183" s="88" t="n">
        <v>0.01636544755941369</v>
      </c>
      <c r="BA183" s="88" t="n">
        <v>0.01636544755941369</v>
      </c>
      <c r="BB183" s="88" t="n">
        <v>0.0128077415682368</v>
      </c>
      <c r="BC183" s="88" t="n">
        <v>0.1356132075471698</v>
      </c>
      <c r="BD183" s="91" t="n">
        <v>0</v>
      </c>
      <c r="BE183" s="91" t="n">
        <v>0</v>
      </c>
      <c r="BF183" s="89" t="n">
        <v>0.9761904761904762</v>
      </c>
      <c r="BG183" s="89" t="n">
        <v>1</v>
      </c>
      <c r="BH183" s="89" t="inlineStr">
        <is>
          <t>-</t>
        </is>
      </c>
    </row>
    <row r="184" ht="19.55" customHeight="1">
      <c r="A184" s="92" t="n">
        <v>181</v>
      </c>
      <c r="B184" s="87" t="inlineStr">
        <is>
          <t>全国</t>
        </is>
      </c>
      <c r="C184" s="93" t="n">
        <v>46263</v>
      </c>
      <c r="D184" s="87" t="inlineStr">
        <is>
          <t>天籁·鸿蒙座舱</t>
        </is>
      </c>
      <c r="E184" s="87" t="n">
        <v>3888</v>
      </c>
      <c r="F184" s="87" t="n">
        <v>3419</v>
      </c>
      <c r="G184" s="88" t="n">
        <v>0.8793724279835391</v>
      </c>
      <c r="H184" s="87" t="n">
        <v>2349</v>
      </c>
      <c r="I184" s="89" t="n">
        <v>0.6041666666666666</v>
      </c>
      <c r="J184" s="87" t="n">
        <v>4615</v>
      </c>
      <c r="K184" s="87" t="n">
        <v>4521</v>
      </c>
      <c r="L184" s="88" t="n">
        <v>0.98</v>
      </c>
      <c r="M184" s="87" t="n">
        <v>18472</v>
      </c>
      <c r="N184" s="87" t="n">
        <v>18987</v>
      </c>
      <c r="O184" s="87" t="n">
        <v>18167</v>
      </c>
      <c r="P184" s="88" t="n">
        <v>0.9834885231702035</v>
      </c>
      <c r="Q184" s="87" t="n">
        <v>68</v>
      </c>
      <c r="R184" s="87" t="n">
        <v>0</v>
      </c>
      <c r="S184" s="87" t="n">
        <v>0</v>
      </c>
      <c r="T184" s="88" t="n">
        <v>0</v>
      </c>
      <c r="U184" s="87" t="n">
        <v>0</v>
      </c>
      <c r="V184" s="88" t="n">
        <v>0</v>
      </c>
      <c r="W184" s="87" t="n">
        <v>423</v>
      </c>
      <c r="X184" s="88" t="n">
        <v>0.1087962962962963</v>
      </c>
      <c r="Y184" s="87" t="n">
        <v>975</v>
      </c>
      <c r="Z184" s="90" t="n">
        <v>0.2507716049382716</v>
      </c>
      <c r="AA184" s="87" t="n">
        <v>12</v>
      </c>
      <c r="AB184" s="88" t="n">
        <v>0.00308641975308642</v>
      </c>
      <c r="AC184" s="87" t="n">
        <v>376</v>
      </c>
      <c r="AD184" s="88" t="n">
        <v>0.09670781893004116</v>
      </c>
      <c r="AE184" s="87" t="n">
        <v>76</v>
      </c>
      <c r="AF184" s="88" t="n">
        <v>0.2021276595744681</v>
      </c>
      <c r="AG184" s="87" t="n">
        <v>325</v>
      </c>
      <c r="AH184" s="88" t="n">
        <v>0.8643617021276596</v>
      </c>
      <c r="AI184" s="91" t="n">
        <v>328</v>
      </c>
      <c r="AJ184" s="88" t="n">
        <v>0.08436213991769548</v>
      </c>
      <c r="AK184" s="91" t="n">
        <v>36</v>
      </c>
      <c r="AL184" s="88" t="n">
        <v>0.801829268292683</v>
      </c>
      <c r="AM184" s="91" t="n">
        <v>308</v>
      </c>
      <c r="AN184" s="91" t="n">
        <v>263</v>
      </c>
      <c r="AO184" s="88" t="n">
        <v>0.0676440329218107</v>
      </c>
      <c r="AP184" s="88" t="n">
        <v>0.699468085106383</v>
      </c>
      <c r="AQ184" s="89" t="n">
        <v>0.9692307692307692</v>
      </c>
      <c r="AR184" s="89" t="n">
        <v>0.535031847133758</v>
      </c>
      <c r="AS184" s="89" t="n">
        <v>0.5254777070063694</v>
      </c>
      <c r="AT184" s="91" t="n">
        <v>0</v>
      </c>
      <c r="AU184" s="91" t="n">
        <v>0</v>
      </c>
      <c r="AV184" s="91" t="n">
        <v>110</v>
      </c>
      <c r="AW184" s="91" t="n">
        <v>101</v>
      </c>
      <c r="AX184" s="91" t="n">
        <v>96</v>
      </c>
      <c r="AY184" s="91" t="n">
        <v>66</v>
      </c>
      <c r="AZ184" s="88" t="n">
        <v>0.02597736625514403</v>
      </c>
      <c r="BA184" s="88" t="n">
        <v>0.02469135802469136</v>
      </c>
      <c r="BB184" s="88" t="n">
        <v>0.01697530864197531</v>
      </c>
      <c r="BC184" s="88" t="n">
        <v>0.3650190114068441</v>
      </c>
      <c r="BD184" s="91" t="n">
        <v>0</v>
      </c>
      <c r="BE184" s="91" t="n">
        <v>0</v>
      </c>
      <c r="BF184" s="89" t="n">
        <v>1</v>
      </c>
      <c r="BG184" s="89" t="n">
        <v>1</v>
      </c>
      <c r="BH184" s="89" t="inlineStr">
        <is>
          <t>-</t>
        </is>
      </c>
    </row>
    <row r="185" ht="19.55" customHeight="1">
      <c r="A185" s="92" t="n">
        <v>182</v>
      </c>
      <c r="B185" s="87" t="inlineStr">
        <is>
          <t>全国</t>
        </is>
      </c>
      <c r="C185" s="93" t="n">
        <v>46263</v>
      </c>
      <c r="D185" s="87" t="inlineStr">
        <is>
          <t>探陆</t>
        </is>
      </c>
      <c r="E185" s="87" t="n">
        <v>0</v>
      </c>
      <c r="F185" s="87" t="n">
        <v>0</v>
      </c>
      <c r="G185" s="88" t="n">
        <v>0</v>
      </c>
      <c r="H185" s="87" t="n">
        <v>0</v>
      </c>
      <c r="I185" s="89" t="n">
        <v>0</v>
      </c>
      <c r="J185" s="87" t="n">
        <v>0</v>
      </c>
      <c r="K185" s="87" t="n">
        <v>0</v>
      </c>
      <c r="L185" s="88" t="n">
        <v>0</v>
      </c>
      <c r="M185" s="87" t="n">
        <v>0</v>
      </c>
      <c r="N185" s="87" t="n">
        <v>0</v>
      </c>
      <c r="O185" s="87" t="n">
        <v>0</v>
      </c>
      <c r="P185" s="88" t="n">
        <v>0</v>
      </c>
      <c r="Q185" s="87" t="n">
        <v>0</v>
      </c>
      <c r="R185" s="87" t="n">
        <v>0</v>
      </c>
      <c r="S185" s="87" t="n">
        <v>0</v>
      </c>
      <c r="T185" s="88" t="n">
        <v>0</v>
      </c>
      <c r="U185" s="87" t="n">
        <v>0</v>
      </c>
      <c r="V185" s="88" t="n">
        <v>0</v>
      </c>
      <c r="W185" s="87" t="n">
        <v>0</v>
      </c>
      <c r="X185" s="88" t="n">
        <v>0</v>
      </c>
      <c r="Y185" s="87" t="n">
        <v>0</v>
      </c>
      <c r="Z185" s="90" t="n">
        <v>0</v>
      </c>
      <c r="AA185" s="87" t="n">
        <v>0</v>
      </c>
      <c r="AB185" s="88" t="n">
        <v>0</v>
      </c>
      <c r="AC185" s="87" t="n">
        <v>0</v>
      </c>
      <c r="AD185" s="88" t="n">
        <v>0</v>
      </c>
      <c r="AE185" s="87" t="n">
        <v>0</v>
      </c>
      <c r="AF185" s="88" t="n">
        <v>0</v>
      </c>
      <c r="AG185" s="87" t="n">
        <v>0</v>
      </c>
      <c r="AH185" s="88" t="n">
        <v>0</v>
      </c>
      <c r="AI185" s="91" t="n">
        <v>2</v>
      </c>
      <c r="AJ185" s="88" t="n">
        <v>0</v>
      </c>
      <c r="AK185" s="91" t="n">
        <v>0</v>
      </c>
      <c r="AL185" s="88" t="n">
        <v>0.5</v>
      </c>
      <c r="AM185" s="91" t="n">
        <v>1</v>
      </c>
      <c r="AN185" s="91" t="n">
        <v>1</v>
      </c>
      <c r="AO185" s="88" t="n">
        <v>0</v>
      </c>
      <c r="AP185" s="88" t="n">
        <v>0</v>
      </c>
      <c r="AQ185" s="89" t="n"/>
      <c r="AR185" s="89" t="inlineStr">
        <is>
          <t>0.0%</t>
        </is>
      </c>
      <c r="AS185" s="89" t="inlineStr">
        <is>
          <t>0.0%</t>
        </is>
      </c>
      <c r="AT185" s="91" t="n">
        <v>0</v>
      </c>
      <c r="AU185" s="91" t="n">
        <v>0</v>
      </c>
      <c r="AV185" s="91" t="n">
        <v>0</v>
      </c>
      <c r="AW185" s="91" t="n">
        <v>0</v>
      </c>
      <c r="AX185" s="91" t="n">
        <v>0</v>
      </c>
      <c r="AY185" s="91" t="n">
        <v>0</v>
      </c>
      <c r="AZ185" s="88" t="n">
        <v>0</v>
      </c>
      <c r="BA185" s="88" t="n">
        <v>0</v>
      </c>
      <c r="BB185" s="88" t="n">
        <v>0</v>
      </c>
      <c r="BC185" s="88" t="n">
        <v>0</v>
      </c>
      <c r="BD185" s="91" t="n">
        <v>0</v>
      </c>
      <c r="BE185" s="91" t="n">
        <v>0</v>
      </c>
      <c r="BF185" s="89" t="inlineStr">
        <is>
          <t>-</t>
        </is>
      </c>
      <c r="BG185" s="89" t="inlineStr">
        <is>
          <t>-</t>
        </is>
      </c>
      <c r="BH185" s="89" t="inlineStr">
        <is>
          <t>-</t>
        </is>
      </c>
    </row>
    <row r="186" ht="19.55" customHeight="1">
      <c r="A186" s="92" t="n">
        <v>183</v>
      </c>
      <c r="B186" s="87" t="inlineStr">
        <is>
          <t>全国</t>
        </is>
      </c>
      <c r="C186" s="93" t="n">
        <v>46264</v>
      </c>
      <c r="D186" s="87" t="n"/>
      <c r="E186" s="87" t="n">
        <v>52</v>
      </c>
      <c r="F186" s="87" t="n">
        <v>51</v>
      </c>
      <c r="G186" s="88" t="n">
        <v>0.9807692307692307</v>
      </c>
      <c r="H186" s="87" t="n">
        <v>52</v>
      </c>
      <c r="I186" s="89" t="n">
        <v>1</v>
      </c>
      <c r="J186" s="87" t="n">
        <v>1</v>
      </c>
      <c r="K186" s="87" t="n">
        <v>0</v>
      </c>
      <c r="L186" s="88" t="n">
        <v>0</v>
      </c>
      <c r="M186" s="87" t="n">
        <v>6</v>
      </c>
      <c r="N186" s="87" t="n">
        <v>1</v>
      </c>
      <c r="O186" s="87" t="n">
        <v>2</v>
      </c>
      <c r="P186" s="88" t="n">
        <v>0.3333333333333333</v>
      </c>
      <c r="Q186" s="87" t="n">
        <v>4</v>
      </c>
      <c r="R186" s="87" t="n">
        <v>0</v>
      </c>
      <c r="S186" s="87" t="n">
        <v>0</v>
      </c>
      <c r="T186" s="88" t="n">
        <v>0</v>
      </c>
      <c r="U186" s="87" t="n">
        <v>0</v>
      </c>
      <c r="V186" s="88" t="n">
        <v>0</v>
      </c>
      <c r="W186" s="87" t="n">
        <v>10</v>
      </c>
      <c r="X186" s="88" t="n">
        <v>0.1923076923076923</v>
      </c>
      <c r="Y186" s="87" t="n">
        <v>11</v>
      </c>
      <c r="Z186" s="90" t="n">
        <v>0.2115384615384615</v>
      </c>
      <c r="AA186" s="87" t="n">
        <v>0</v>
      </c>
      <c r="AB186" s="88" t="n">
        <v>0</v>
      </c>
      <c r="AC186" s="87" t="n">
        <v>0</v>
      </c>
      <c r="AD186" s="88" t="n">
        <v>0</v>
      </c>
      <c r="AE186" s="87" t="n">
        <v>0</v>
      </c>
      <c r="AF186" s="88" t="n">
        <v>0</v>
      </c>
      <c r="AG186" s="87" t="n">
        <v>0</v>
      </c>
      <c r="AH186" s="88" t="n">
        <v>0</v>
      </c>
      <c r="AI186" s="91" t="n">
        <v>0</v>
      </c>
      <c r="AJ186" s="88" t="n">
        <v>0</v>
      </c>
      <c r="AK186" s="91" t="n">
        <v>0</v>
      </c>
      <c r="AL186" s="88" t="n">
        <v>0</v>
      </c>
      <c r="AM186" s="91" t="n">
        <v>0</v>
      </c>
      <c r="AN186" s="91" t="n">
        <v>0</v>
      </c>
      <c r="AO186" s="88" t="n">
        <v>0</v>
      </c>
      <c r="AP186" s="88" t="n">
        <v>0</v>
      </c>
      <c r="AQ186" s="89" t="n">
        <v>0</v>
      </c>
      <c r="AR186" s="89" t="n">
        <v>0</v>
      </c>
      <c r="AS186" s="89" t="n">
        <v>0</v>
      </c>
      <c r="AT186" s="91" t="n">
        <v>0</v>
      </c>
      <c r="AU186" s="91" t="n">
        <v>0</v>
      </c>
      <c r="AV186" s="91" t="n">
        <v>0</v>
      </c>
      <c r="AW186" s="91" t="n">
        <v>0</v>
      </c>
      <c r="AX186" s="91" t="n">
        <v>0</v>
      </c>
      <c r="AY186" s="91" t="n">
        <v>0</v>
      </c>
      <c r="AZ186" s="88" t="n">
        <v>0</v>
      </c>
      <c r="BA186" s="88" t="n">
        <v>0</v>
      </c>
      <c r="BB186" s="88" t="n">
        <v>0</v>
      </c>
      <c r="BC186" s="88" t="n">
        <v>0</v>
      </c>
      <c r="BD186" s="91" t="n">
        <v>0</v>
      </c>
      <c r="BE186" s="91" t="n">
        <v>0</v>
      </c>
      <c r="BF186" s="89" t="inlineStr">
        <is>
          <t>-</t>
        </is>
      </c>
      <c r="BG186" s="89" t="inlineStr">
        <is>
          <t>-</t>
        </is>
      </c>
      <c r="BH186" s="89" t="n">
        <v>0.9733333333333334</v>
      </c>
    </row>
    <row r="187" ht="19.55" customHeight="1">
      <c r="A187" s="92" t="n">
        <v>184</v>
      </c>
      <c r="B187" s="87" t="inlineStr">
        <is>
          <t>全国</t>
        </is>
      </c>
      <c r="C187" s="93" t="n">
        <v>46264</v>
      </c>
      <c r="D187" s="87" t="inlineStr">
        <is>
          <t>2026款探陆</t>
        </is>
      </c>
      <c r="E187" s="87" t="n">
        <v>280</v>
      </c>
      <c r="F187" s="87" t="n">
        <v>262</v>
      </c>
      <c r="G187" s="88" t="n">
        <v>0.9357142857142857</v>
      </c>
      <c r="H187" s="87" t="n">
        <v>64</v>
      </c>
      <c r="I187" s="89" t="n">
        <v>0.2285714285714286</v>
      </c>
      <c r="J187" s="87" t="n">
        <v>343</v>
      </c>
      <c r="K187" s="87" t="n">
        <v>234</v>
      </c>
      <c r="L187" s="88" t="n">
        <v>0.6820000000000001</v>
      </c>
      <c r="M187" s="87" t="n">
        <v>1003</v>
      </c>
      <c r="N187" s="87" t="n">
        <v>983</v>
      </c>
      <c r="O187" s="87" t="n">
        <v>811</v>
      </c>
      <c r="P187" s="88" t="n">
        <v>0.8085742771684945</v>
      </c>
      <c r="Q187" s="87" t="n">
        <v>74</v>
      </c>
      <c r="R187" s="87" t="n">
        <v>0</v>
      </c>
      <c r="S187" s="87" t="n">
        <v>0</v>
      </c>
      <c r="T187" s="88" t="n">
        <v>0</v>
      </c>
      <c r="U187" s="87" t="n">
        <v>0</v>
      </c>
      <c r="V187" s="88" t="n">
        <v>0</v>
      </c>
      <c r="W187" s="87" t="n">
        <v>14</v>
      </c>
      <c r="X187" s="88" t="n">
        <v>0.05</v>
      </c>
      <c r="Y187" s="87" t="n">
        <v>111</v>
      </c>
      <c r="Z187" s="90" t="n">
        <v>0.3964285714285714</v>
      </c>
      <c r="AA187" s="87" t="n">
        <v>17</v>
      </c>
      <c r="AB187" s="88" t="n">
        <v>0.06071428571428571</v>
      </c>
      <c r="AC187" s="87" t="n">
        <v>1</v>
      </c>
      <c r="AD187" s="88" t="n">
        <v>0.003571428571428571</v>
      </c>
      <c r="AE187" s="87" t="n">
        <v>0</v>
      </c>
      <c r="AF187" s="88" t="n">
        <v>0</v>
      </c>
      <c r="AG187" s="87" t="n">
        <v>0</v>
      </c>
      <c r="AH187" s="88" t="n">
        <v>0</v>
      </c>
      <c r="AI187" s="91" t="n">
        <v>0</v>
      </c>
      <c r="AJ187" s="88" t="n">
        <v>0</v>
      </c>
      <c r="AK187" s="91" t="n">
        <v>0</v>
      </c>
      <c r="AL187" s="88" t="n">
        <v>0</v>
      </c>
      <c r="AM187" s="91" t="n">
        <v>0</v>
      </c>
      <c r="AN187" s="91" t="n">
        <v>0</v>
      </c>
      <c r="AO187" s="88" t="n">
        <v>0</v>
      </c>
      <c r="AP187" s="88" t="n">
        <v>0</v>
      </c>
      <c r="AQ187" s="89" t="n">
        <v>1</v>
      </c>
      <c r="AR187" s="89" t="n">
        <v>0.3333333333333333</v>
      </c>
      <c r="AS187" s="89" t="n">
        <v>0.3333333333333333</v>
      </c>
      <c r="AT187" s="91" t="n">
        <v>0</v>
      </c>
      <c r="AU187" s="91" t="n">
        <v>0</v>
      </c>
      <c r="AV187" s="91" t="n">
        <v>7</v>
      </c>
      <c r="AW187" s="91" t="n">
        <v>7</v>
      </c>
      <c r="AX187" s="91" t="n">
        <v>7</v>
      </c>
      <c r="AY187" s="91" t="n">
        <v>2</v>
      </c>
      <c r="AZ187" s="88" t="n">
        <v>0.025</v>
      </c>
      <c r="BA187" s="88" t="n">
        <v>0.025</v>
      </c>
      <c r="BB187" s="88" t="n">
        <v>0.007142857142857143</v>
      </c>
      <c r="BC187" s="88" t="n">
        <v>0</v>
      </c>
      <c r="BD187" s="91" t="n">
        <v>0</v>
      </c>
      <c r="BE187" s="91" t="n">
        <v>0</v>
      </c>
      <c r="BF187" s="89" t="inlineStr">
        <is>
          <t>-</t>
        </is>
      </c>
      <c r="BG187" s="89" t="n">
        <v>1</v>
      </c>
      <c r="BH187" s="89" t="inlineStr">
        <is>
          <t>-</t>
        </is>
      </c>
    </row>
    <row r="188" ht="19.55" customHeight="1">
      <c r="A188" s="92" t="n">
        <v>185</v>
      </c>
      <c r="B188" s="87" t="inlineStr">
        <is>
          <t>全国</t>
        </is>
      </c>
      <c r="C188" s="93" t="n">
        <v>46264</v>
      </c>
      <c r="D188" s="87" t="inlineStr">
        <is>
          <t>N6</t>
        </is>
      </c>
      <c r="E188" s="87" t="n">
        <v>2225</v>
      </c>
      <c r="F188" s="87" t="n">
        <v>1923</v>
      </c>
      <c r="G188" s="88" t="n">
        <v>0.8642696629213483</v>
      </c>
      <c r="H188" s="87" t="n">
        <v>1003</v>
      </c>
      <c r="I188" s="89" t="n">
        <v>0.4507865168539326</v>
      </c>
      <c r="J188" s="87" t="n">
        <v>1766</v>
      </c>
      <c r="K188" s="87" t="n">
        <v>1723</v>
      </c>
      <c r="L188" s="88" t="n">
        <v>0.976</v>
      </c>
      <c r="M188" s="87" t="n">
        <v>7091</v>
      </c>
      <c r="N188" s="87" t="n">
        <v>7556</v>
      </c>
      <c r="O188" s="87" t="n">
        <v>6956</v>
      </c>
      <c r="P188" s="88" t="n">
        <v>0.9809617825412494</v>
      </c>
      <c r="Q188" s="87" t="n">
        <v>36</v>
      </c>
      <c r="R188" s="87" t="n">
        <v>0</v>
      </c>
      <c r="S188" s="87" t="n">
        <v>0</v>
      </c>
      <c r="T188" s="88" t="n">
        <v>0</v>
      </c>
      <c r="U188" s="87" t="n">
        <v>0</v>
      </c>
      <c r="V188" s="88" t="n">
        <v>0</v>
      </c>
      <c r="W188" s="87" t="n">
        <v>422</v>
      </c>
      <c r="X188" s="88" t="n">
        <v>0.1896629213483146</v>
      </c>
      <c r="Y188" s="87" t="n">
        <v>609</v>
      </c>
      <c r="Z188" s="90" t="n">
        <v>0.2737078651685393</v>
      </c>
      <c r="AA188" s="87" t="n">
        <v>0</v>
      </c>
      <c r="AB188" s="88" t="n">
        <v>0</v>
      </c>
      <c r="AC188" s="87" t="n">
        <v>336</v>
      </c>
      <c r="AD188" s="88" t="n">
        <v>0.1510112359550562</v>
      </c>
      <c r="AE188" s="87" t="n">
        <v>84</v>
      </c>
      <c r="AF188" s="88" t="n">
        <v>0.25</v>
      </c>
      <c r="AG188" s="87" t="n">
        <v>297</v>
      </c>
      <c r="AH188" s="88" t="n">
        <v>0.8839285714285714</v>
      </c>
      <c r="AI188" s="91" t="n">
        <v>372</v>
      </c>
      <c r="AJ188" s="88" t="n">
        <v>0.1671910112359551</v>
      </c>
      <c r="AK188" s="91" t="n">
        <v>45</v>
      </c>
      <c r="AL188" s="88" t="n">
        <v>0.8306451612903226</v>
      </c>
      <c r="AM188" s="91" t="n">
        <v>354</v>
      </c>
      <c r="AN188" s="91" t="n">
        <v>309</v>
      </c>
      <c r="AO188" s="88" t="n">
        <v>0.138876404494382</v>
      </c>
      <c r="AP188" s="88" t="n">
        <v>0.9196428571428571</v>
      </c>
      <c r="AQ188" s="89" t="n">
        <v>0.9847908745247148</v>
      </c>
      <c r="AR188" s="89" t="n">
        <v>0.5870206489675516</v>
      </c>
      <c r="AS188" s="89" t="n">
        <v>0.528023598820059</v>
      </c>
      <c r="AT188" s="91" t="n">
        <v>0</v>
      </c>
      <c r="AU188" s="91" t="n">
        <v>0</v>
      </c>
      <c r="AV188" s="91" t="n">
        <v>51</v>
      </c>
      <c r="AW188" s="91" t="n">
        <v>50</v>
      </c>
      <c r="AX188" s="91" t="n">
        <v>47</v>
      </c>
      <c r="AY188" s="91" t="n">
        <v>37</v>
      </c>
      <c r="AZ188" s="88" t="n">
        <v>0.02247191011235955</v>
      </c>
      <c r="BA188" s="88" t="n">
        <v>0.02112359550561798</v>
      </c>
      <c r="BB188" s="88" t="n">
        <v>0.01662921348314607</v>
      </c>
      <c r="BC188" s="88" t="n">
        <v>0.1521035598705502</v>
      </c>
      <c r="BD188" s="91" t="n">
        <v>0</v>
      </c>
      <c r="BE188" s="91" t="n">
        <v>0</v>
      </c>
      <c r="BF188" s="89" t="n">
        <v>1</v>
      </c>
      <c r="BG188" s="89" t="n">
        <v>1</v>
      </c>
      <c r="BH188" s="89" t="inlineStr">
        <is>
          <t>-</t>
        </is>
      </c>
    </row>
    <row r="189" ht="19.55" customHeight="1">
      <c r="A189" s="92" t="n">
        <v>186</v>
      </c>
      <c r="B189" s="87" t="inlineStr">
        <is>
          <t>全国</t>
        </is>
      </c>
      <c r="C189" s="93" t="n">
        <v>46264</v>
      </c>
      <c r="D189" s="87" t="inlineStr">
        <is>
          <t>N7</t>
        </is>
      </c>
      <c r="E189" s="87" t="n">
        <v>1971</v>
      </c>
      <c r="F189" s="87" t="n">
        <v>1706</v>
      </c>
      <c r="G189" s="88" t="n">
        <v>0.8655504819888381</v>
      </c>
      <c r="H189" s="87" t="n">
        <v>1040</v>
      </c>
      <c r="I189" s="89" t="n">
        <v>0.5276509386098427</v>
      </c>
      <c r="J189" s="87" t="n">
        <v>1570</v>
      </c>
      <c r="K189" s="87" t="n">
        <v>1527</v>
      </c>
      <c r="L189" s="88" t="n">
        <v>0.973</v>
      </c>
      <c r="M189" s="87" t="n">
        <v>6823</v>
      </c>
      <c r="N189" s="87" t="n">
        <v>7156</v>
      </c>
      <c r="O189" s="87" t="n">
        <v>6719</v>
      </c>
      <c r="P189" s="88" t="n">
        <v>0.9847574380770922</v>
      </c>
      <c r="Q189" s="87" t="n">
        <v>28</v>
      </c>
      <c r="R189" s="87" t="n">
        <v>0</v>
      </c>
      <c r="S189" s="87" t="n">
        <v>0</v>
      </c>
      <c r="T189" s="88" t="n">
        <v>0</v>
      </c>
      <c r="U189" s="87" t="n">
        <v>0</v>
      </c>
      <c r="V189" s="88" t="n">
        <v>0</v>
      </c>
      <c r="W189" s="87" t="n">
        <v>400</v>
      </c>
      <c r="X189" s="88" t="n">
        <v>0.2029426686960933</v>
      </c>
      <c r="Y189" s="87" t="n">
        <v>786</v>
      </c>
      <c r="Z189" s="90" t="n">
        <v>0.3987823439878234</v>
      </c>
      <c r="AA189" s="87" t="n">
        <v>1</v>
      </c>
      <c r="AB189" s="88" t="n">
        <v>0.0005073566717402334</v>
      </c>
      <c r="AC189" s="87" t="n">
        <v>274</v>
      </c>
      <c r="AD189" s="88" t="n">
        <v>0.1390157280568239</v>
      </c>
      <c r="AE189" s="87" t="n">
        <v>73</v>
      </c>
      <c r="AF189" s="88" t="n">
        <v>0.2664233576642336</v>
      </c>
      <c r="AG189" s="87" t="n">
        <v>242</v>
      </c>
      <c r="AH189" s="88" t="n">
        <v>0.8832116788321168</v>
      </c>
      <c r="AI189" s="91" t="n">
        <v>284</v>
      </c>
      <c r="AJ189" s="88" t="n">
        <v>0.1440892947742263</v>
      </c>
      <c r="AK189" s="91" t="n">
        <v>45</v>
      </c>
      <c r="AL189" s="88" t="n">
        <v>0.8697183098591549</v>
      </c>
      <c r="AM189" s="91" t="n">
        <v>272</v>
      </c>
      <c r="AN189" s="91" t="n">
        <v>247</v>
      </c>
      <c r="AO189" s="88" t="n">
        <v>0.1253170979198376</v>
      </c>
      <c r="AP189" s="88" t="n">
        <v>0.9014598540145985</v>
      </c>
      <c r="AQ189" s="89" t="n">
        <v>0.9770992366412213</v>
      </c>
      <c r="AR189" s="89" t="n">
        <v>0.5764705882352941</v>
      </c>
      <c r="AS189" s="89" t="n">
        <v>0.5490196078431373</v>
      </c>
      <c r="AT189" s="91" t="n">
        <v>0</v>
      </c>
      <c r="AU189" s="91" t="n">
        <v>0</v>
      </c>
      <c r="AV189" s="91" t="n">
        <v>51</v>
      </c>
      <c r="AW189" s="91" t="n">
        <v>49</v>
      </c>
      <c r="AX189" s="91" t="n">
        <v>46</v>
      </c>
      <c r="AY189" s="91" t="n">
        <v>28</v>
      </c>
      <c r="AZ189" s="88" t="n">
        <v>0.02486047691527143</v>
      </c>
      <c r="BA189" s="88" t="n">
        <v>0.02333840690005073</v>
      </c>
      <c r="BB189" s="88" t="n">
        <v>0.01420598680872653</v>
      </c>
      <c r="BC189" s="88" t="n">
        <v>0.1862348178137652</v>
      </c>
      <c r="BD189" s="91" t="n">
        <v>0</v>
      </c>
      <c r="BE189" s="91" t="n">
        <v>0</v>
      </c>
      <c r="BF189" s="89" t="n">
        <v>0.9444444444444444</v>
      </c>
      <c r="BG189" s="89" t="n">
        <v>1</v>
      </c>
      <c r="BH189" s="89" t="inlineStr">
        <is>
          <t>-</t>
        </is>
      </c>
    </row>
    <row r="190" ht="19.55" customHeight="1">
      <c r="A190" s="92" t="n">
        <v>187</v>
      </c>
      <c r="B190" s="87" t="inlineStr">
        <is>
          <t>全国</t>
        </is>
      </c>
      <c r="C190" s="93" t="n">
        <v>46264</v>
      </c>
      <c r="D190" s="87" t="inlineStr">
        <is>
          <t>NX8</t>
        </is>
      </c>
      <c r="E190" s="87" t="n">
        <v>7637</v>
      </c>
      <c r="F190" s="87" t="n">
        <v>6902</v>
      </c>
      <c r="G190" s="88" t="n">
        <v>0.9037580201649863</v>
      </c>
      <c r="H190" s="87" t="n">
        <v>2325</v>
      </c>
      <c r="I190" s="89" t="n">
        <v>0.3044389158046353</v>
      </c>
      <c r="J190" s="87" t="n">
        <v>4865</v>
      </c>
      <c r="K190" s="87" t="n">
        <v>4711</v>
      </c>
      <c r="L190" s="88" t="n">
        <v>0.968</v>
      </c>
      <c r="M190" s="87" t="n">
        <v>22201</v>
      </c>
      <c r="N190" s="87" t="n">
        <v>22928</v>
      </c>
      <c r="O190" s="87" t="n">
        <v>21712</v>
      </c>
      <c r="P190" s="88" t="n">
        <v>0.9779739651367055</v>
      </c>
      <c r="Q190" s="87" t="n">
        <v>183</v>
      </c>
      <c r="R190" s="87" t="n">
        <v>0</v>
      </c>
      <c r="S190" s="87" t="n">
        <v>0</v>
      </c>
      <c r="T190" s="88" t="n">
        <v>0</v>
      </c>
      <c r="U190" s="87" t="n">
        <v>0</v>
      </c>
      <c r="V190" s="88" t="n">
        <v>0</v>
      </c>
      <c r="W190" s="87" t="n">
        <v>1151</v>
      </c>
      <c r="X190" s="88" t="n">
        <v>0.1507136310069399</v>
      </c>
      <c r="Y190" s="87" t="n">
        <v>2759</v>
      </c>
      <c r="Z190" s="90" t="n">
        <v>0.3612675134215006</v>
      </c>
      <c r="AA190" s="87" t="n">
        <v>4</v>
      </c>
      <c r="AB190" s="88" t="n">
        <v>0.0005237658766531361</v>
      </c>
      <c r="AC190" s="87" t="n">
        <v>996</v>
      </c>
      <c r="AD190" s="88" t="n">
        <v>0.1304177032866309</v>
      </c>
      <c r="AE190" s="87" t="n">
        <v>208</v>
      </c>
      <c r="AF190" s="88" t="n">
        <v>0.2088353413654618</v>
      </c>
      <c r="AG190" s="87" t="n">
        <v>849</v>
      </c>
      <c r="AH190" s="88" t="n">
        <v>0.8524096385542169</v>
      </c>
      <c r="AI190" s="91" t="n">
        <v>1010</v>
      </c>
      <c r="AJ190" s="88" t="n">
        <v>0.1322508838549168</v>
      </c>
      <c r="AK190" s="91" t="n">
        <v>118</v>
      </c>
      <c r="AL190" s="88" t="n">
        <v>0.8158415841584158</v>
      </c>
      <c r="AM190" s="91" t="n">
        <v>923</v>
      </c>
      <c r="AN190" s="91" t="n">
        <v>824</v>
      </c>
      <c r="AO190" s="88" t="n">
        <v>0.107895770590546</v>
      </c>
      <c r="AP190" s="88" t="n">
        <v>0.8273092369477911</v>
      </c>
      <c r="AQ190" s="89" t="n">
        <v>0.9690949227373068</v>
      </c>
      <c r="AR190" s="89" t="n">
        <v>0.6002120890774125</v>
      </c>
      <c r="AS190" s="89" t="n">
        <v>0.5853658536585366</v>
      </c>
      <c r="AT190" s="91" t="n">
        <v>0</v>
      </c>
      <c r="AU190" s="91" t="n">
        <v>0</v>
      </c>
      <c r="AV190" s="91" t="n">
        <v>145</v>
      </c>
      <c r="AW190" s="91" t="n">
        <v>138</v>
      </c>
      <c r="AX190" s="91" t="n">
        <v>126</v>
      </c>
      <c r="AY190" s="91" t="n">
        <v>66</v>
      </c>
      <c r="AZ190" s="88" t="n">
        <v>0.01806992274453319</v>
      </c>
      <c r="BA190" s="88" t="n">
        <v>0.01649862511457378</v>
      </c>
      <c r="BB190" s="88" t="n">
        <v>0.008642136964776745</v>
      </c>
      <c r="BC190" s="88" t="n">
        <v>0.1529126213592233</v>
      </c>
      <c r="BD190" s="91" t="n">
        <v>0</v>
      </c>
      <c r="BE190" s="91" t="n">
        <v>0</v>
      </c>
      <c r="BF190" s="89" t="n">
        <v>0.9873417721518988</v>
      </c>
      <c r="BG190" s="89" t="n">
        <v>1</v>
      </c>
      <c r="BH190" s="89" t="inlineStr">
        <is>
          <t>-</t>
        </is>
      </c>
    </row>
    <row r="191" ht="19.55" customHeight="1">
      <c r="A191" s="92" t="n">
        <v>188</v>
      </c>
      <c r="B191" s="87" t="inlineStr">
        <is>
          <t>全国</t>
        </is>
      </c>
      <c r="C191" s="93" t="n">
        <v>46264</v>
      </c>
      <c r="D191" s="87" t="inlineStr">
        <is>
          <t>天籁·鸿蒙座舱</t>
        </is>
      </c>
      <c r="E191" s="87" t="n">
        <v>4013</v>
      </c>
      <c r="F191" s="87" t="n">
        <v>3720</v>
      </c>
      <c r="G191" s="88" t="n">
        <v>0.9269872913032644</v>
      </c>
      <c r="H191" s="87" t="n">
        <v>2236</v>
      </c>
      <c r="I191" s="89" t="n">
        <v>0.5571891353102417</v>
      </c>
      <c r="J191" s="87" t="n">
        <v>4721</v>
      </c>
      <c r="K191" s="87" t="n">
        <v>4611</v>
      </c>
      <c r="L191" s="88" t="n">
        <v>0.977</v>
      </c>
      <c r="M191" s="87" t="n">
        <v>18268</v>
      </c>
      <c r="N191" s="87" t="n">
        <v>19305</v>
      </c>
      <c r="O191" s="87" t="n">
        <v>17938</v>
      </c>
      <c r="P191" s="88" t="n">
        <v>0.9819356251368513</v>
      </c>
      <c r="Q191" s="87" t="n">
        <v>89</v>
      </c>
      <c r="R191" s="87" t="n">
        <v>0</v>
      </c>
      <c r="S191" s="87" t="n">
        <v>0</v>
      </c>
      <c r="T191" s="88" t="n">
        <v>0</v>
      </c>
      <c r="U191" s="87" t="n">
        <v>0</v>
      </c>
      <c r="V191" s="88" t="n">
        <v>0</v>
      </c>
      <c r="W191" s="87" t="n">
        <v>654</v>
      </c>
      <c r="X191" s="88" t="n">
        <v>0.1629703463742836</v>
      </c>
      <c r="Y191" s="87" t="n">
        <v>985</v>
      </c>
      <c r="Z191" s="90" t="n">
        <v>0.2454522800897085</v>
      </c>
      <c r="AA191" s="87" t="n">
        <v>8</v>
      </c>
      <c r="AB191" s="88" t="n">
        <v>0.00199352105656616</v>
      </c>
      <c r="AC191" s="87" t="n">
        <v>360</v>
      </c>
      <c r="AD191" s="88" t="n">
        <v>0.0897084475454772</v>
      </c>
      <c r="AE191" s="87" t="n">
        <v>83</v>
      </c>
      <c r="AF191" s="88" t="n">
        <v>0.2305555555555556</v>
      </c>
      <c r="AG191" s="87" t="n">
        <v>319</v>
      </c>
      <c r="AH191" s="88" t="n">
        <v>0.8861111111111111</v>
      </c>
      <c r="AI191" s="91" t="n">
        <v>374</v>
      </c>
      <c r="AJ191" s="88" t="n">
        <v>0.09319710939446797</v>
      </c>
      <c r="AK191" s="91" t="n">
        <v>42</v>
      </c>
      <c r="AL191" s="88" t="n">
        <v>0.7994652406417112</v>
      </c>
      <c r="AM191" s="91" t="n">
        <v>330</v>
      </c>
      <c r="AN191" s="91" t="n">
        <v>299</v>
      </c>
      <c r="AO191" s="88" t="n">
        <v>0.07450784948916023</v>
      </c>
      <c r="AP191" s="88" t="n">
        <v>0.8305555555555556</v>
      </c>
      <c r="AQ191" s="89" t="n">
        <v>0.9623287671232876</v>
      </c>
      <c r="AR191" s="89" t="n">
        <v>0.5786666666666667</v>
      </c>
      <c r="AS191" s="89" t="n">
        <v>0.5093333333333333</v>
      </c>
      <c r="AT191" s="91" t="n">
        <v>0</v>
      </c>
      <c r="AU191" s="91" t="n">
        <v>0</v>
      </c>
      <c r="AV191" s="91" t="n">
        <v>176</v>
      </c>
      <c r="AW191" s="91" t="n">
        <v>169</v>
      </c>
      <c r="AX191" s="91" t="n">
        <v>168</v>
      </c>
      <c r="AY191" s="91" t="n">
        <v>51</v>
      </c>
      <c r="AZ191" s="88" t="n">
        <v>0.04211313231996013</v>
      </c>
      <c r="BA191" s="88" t="n">
        <v>0.04186394218788936</v>
      </c>
      <c r="BB191" s="88" t="n">
        <v>0.01270869673560927</v>
      </c>
      <c r="BC191" s="88" t="n">
        <v>0.5618729096989966</v>
      </c>
      <c r="BD191" s="91" t="n">
        <v>0</v>
      </c>
      <c r="BE191" s="91" t="n">
        <v>0</v>
      </c>
      <c r="BF191" s="89" t="n">
        <v>0.9772727272727273</v>
      </c>
      <c r="BG191" s="89" t="n">
        <v>1</v>
      </c>
      <c r="BH191" s="89" t="inlineStr">
        <is>
          <t>-</t>
        </is>
      </c>
    </row>
    <row r="192" ht="19.55" customHeight="1">
      <c r="A192" s="92" t="n">
        <v>189</v>
      </c>
      <c r="B192" s="87" t="inlineStr">
        <is>
          <t>全国</t>
        </is>
      </c>
      <c r="C192" s="93" t="n">
        <v>46264</v>
      </c>
      <c r="D192" s="87" t="inlineStr">
        <is>
          <t>探陆</t>
        </is>
      </c>
      <c r="E192" s="87" t="n">
        <v>0</v>
      </c>
      <c r="F192" s="87" t="n">
        <v>0</v>
      </c>
      <c r="G192" s="88" t="n">
        <v>0</v>
      </c>
      <c r="H192" s="87" t="n">
        <v>0</v>
      </c>
      <c r="I192" s="89" t="n">
        <v>0</v>
      </c>
      <c r="J192" s="87" t="n">
        <v>0</v>
      </c>
      <c r="K192" s="87" t="n">
        <v>0</v>
      </c>
      <c r="L192" s="88" t="n">
        <v>0</v>
      </c>
      <c r="M192" s="87" t="n">
        <v>0</v>
      </c>
      <c r="N192" s="87" t="n">
        <v>1</v>
      </c>
      <c r="O192" s="87" t="n">
        <v>0</v>
      </c>
      <c r="P192" s="88" t="n">
        <v>0</v>
      </c>
      <c r="Q192" s="87" t="n">
        <v>0</v>
      </c>
      <c r="R192" s="87" t="n">
        <v>0</v>
      </c>
      <c r="S192" s="87" t="n">
        <v>0</v>
      </c>
      <c r="T192" s="88" t="n">
        <v>0</v>
      </c>
      <c r="U192" s="87" t="n">
        <v>0</v>
      </c>
      <c r="V192" s="88" t="n">
        <v>0</v>
      </c>
      <c r="W192" s="87" t="n">
        <v>0</v>
      </c>
      <c r="X192" s="88" t="n">
        <v>0</v>
      </c>
      <c r="Y192" s="87" t="n">
        <v>0</v>
      </c>
      <c r="Z192" s="90" t="n">
        <v>0</v>
      </c>
      <c r="AA192" s="87" t="n">
        <v>0</v>
      </c>
      <c r="AB192" s="88" t="n">
        <v>0</v>
      </c>
      <c r="AC192" s="87" t="n">
        <v>0</v>
      </c>
      <c r="AD192" s="88" t="n">
        <v>0</v>
      </c>
      <c r="AE192" s="87" t="n">
        <v>0</v>
      </c>
      <c r="AF192" s="88" t="n">
        <v>0</v>
      </c>
      <c r="AG192" s="87" t="n">
        <v>0</v>
      </c>
      <c r="AH192" s="88" t="n">
        <v>0</v>
      </c>
      <c r="AI192" s="91" t="n">
        <v>1</v>
      </c>
      <c r="AJ192" s="88" t="n">
        <v>0</v>
      </c>
      <c r="AK192" s="91" t="n">
        <v>0</v>
      </c>
      <c r="AL192" s="88" t="n">
        <v>0</v>
      </c>
      <c r="AM192" s="91" t="n">
        <v>0</v>
      </c>
      <c r="AN192" s="91" t="n">
        <v>0</v>
      </c>
      <c r="AO192" s="88" t="n">
        <v>0</v>
      </c>
      <c r="AP192" s="88" t="n">
        <v>0</v>
      </c>
      <c r="AQ192" s="89" t="n"/>
      <c r="AR192" s="89" t="inlineStr">
        <is>
          <t>0.0%</t>
        </is>
      </c>
      <c r="AS192" s="89" t="inlineStr">
        <is>
          <t>0.0%</t>
        </is>
      </c>
      <c r="AT192" s="91" t="n">
        <v>0</v>
      </c>
      <c r="AU192" s="91" t="n">
        <v>0</v>
      </c>
      <c r="AV192" s="91" t="n">
        <v>0</v>
      </c>
      <c r="AW192" s="91" t="n">
        <v>0</v>
      </c>
      <c r="AX192" s="91" t="n">
        <v>0</v>
      </c>
      <c r="AY192" s="91" t="n">
        <v>0</v>
      </c>
      <c r="AZ192" s="88" t="n">
        <v>0</v>
      </c>
      <c r="BA192" s="88" t="n">
        <v>0</v>
      </c>
      <c r="BB192" s="88" t="n">
        <v>0</v>
      </c>
      <c r="BC192" s="88" t="n">
        <v>0</v>
      </c>
      <c r="BD192" s="91" t="n">
        <v>0</v>
      </c>
      <c r="BE192" s="91" t="n">
        <v>0</v>
      </c>
      <c r="BF192" s="89" t="inlineStr">
        <is>
          <t>-</t>
        </is>
      </c>
      <c r="BG192" s="89" t="inlineStr">
        <is>
          <t>-</t>
        </is>
      </c>
      <c r="BH192" s="89" t="inlineStr">
        <is>
          <t>-</t>
        </is>
      </c>
    </row>
    <row r="193" ht="19.55" customHeight="1">
      <c r="A193" s="92" t="n">
        <v>190</v>
      </c>
      <c r="B193" s="87" t="inlineStr">
        <is>
          <t>全国</t>
        </is>
      </c>
      <c r="C193" s="93" t="n">
        <v>46265</v>
      </c>
      <c r="D193" s="87" t="n"/>
      <c r="E193" s="87" t="n">
        <v>31</v>
      </c>
      <c r="F193" s="87" t="n">
        <v>31</v>
      </c>
      <c r="G193" s="88" t="n">
        <v>1</v>
      </c>
      <c r="H193" s="87" t="n">
        <v>31</v>
      </c>
      <c r="I193" s="89" t="n">
        <v>1</v>
      </c>
      <c r="J193" s="87" t="n">
        <v>0</v>
      </c>
      <c r="K193" s="87" t="n">
        <v>0</v>
      </c>
      <c r="L193" s="88" t="n">
        <v>0</v>
      </c>
      <c r="M193" s="87" t="n">
        <v>2</v>
      </c>
      <c r="N193" s="87" t="n">
        <v>0</v>
      </c>
      <c r="O193" s="87" t="n">
        <v>0</v>
      </c>
      <c r="P193" s="88" t="n">
        <v>0</v>
      </c>
      <c r="Q193" s="87" t="n">
        <v>2</v>
      </c>
      <c r="R193" s="87" t="n">
        <v>0</v>
      </c>
      <c r="S193" s="87" t="n">
        <v>0</v>
      </c>
      <c r="T193" s="88" t="n">
        <v>0</v>
      </c>
      <c r="U193" s="87" t="n">
        <v>0</v>
      </c>
      <c r="V193" s="88" t="n">
        <v>0</v>
      </c>
      <c r="W193" s="87" t="n">
        <v>4</v>
      </c>
      <c r="X193" s="88" t="n">
        <v>0.1290322580645161</v>
      </c>
      <c r="Y193" s="87" t="n">
        <v>11</v>
      </c>
      <c r="Z193" s="90" t="n">
        <v>0.3548387096774194</v>
      </c>
      <c r="AA193" s="87" t="n">
        <v>0</v>
      </c>
      <c r="AB193" s="88" t="n">
        <v>0</v>
      </c>
      <c r="AC193" s="87" t="n">
        <v>0</v>
      </c>
      <c r="AD193" s="88" t="n">
        <v>0</v>
      </c>
      <c r="AE193" s="87" t="n">
        <v>0</v>
      </c>
      <c r="AF193" s="88" t="n">
        <v>0</v>
      </c>
      <c r="AG193" s="87" t="n">
        <v>0</v>
      </c>
      <c r="AH193" s="88" t="n">
        <v>0</v>
      </c>
      <c r="AI193" s="91" t="n">
        <v>0</v>
      </c>
      <c r="AJ193" s="88" t="n">
        <v>0</v>
      </c>
      <c r="AK193" s="91" t="n">
        <v>0</v>
      </c>
      <c r="AL193" s="88" t="n">
        <v>0</v>
      </c>
      <c r="AM193" s="91" t="n">
        <v>0</v>
      </c>
      <c r="AN193" s="91" t="n">
        <v>0</v>
      </c>
      <c r="AO193" s="88" t="n">
        <v>0</v>
      </c>
      <c r="AP193" s="88" t="n">
        <v>0</v>
      </c>
      <c r="AQ193" s="89" t="n">
        <v>0</v>
      </c>
      <c r="AR193" s="89" t="inlineStr">
        <is>
          <t>0.0%</t>
        </is>
      </c>
      <c r="AS193" s="89" t="inlineStr">
        <is>
          <t>0.0%</t>
        </is>
      </c>
      <c r="AT193" s="91" t="n">
        <v>0</v>
      </c>
      <c r="AU193" s="91" t="n">
        <v>0</v>
      </c>
      <c r="AV193" s="91" t="n">
        <v>0</v>
      </c>
      <c r="AW193" s="91" t="n">
        <v>0</v>
      </c>
      <c r="AX193" s="91" t="n">
        <v>0</v>
      </c>
      <c r="AY193" s="91" t="n">
        <v>0</v>
      </c>
      <c r="AZ193" s="88" t="n">
        <v>0</v>
      </c>
      <c r="BA193" s="88" t="n">
        <v>0</v>
      </c>
      <c r="BB193" s="88" t="n">
        <v>0</v>
      </c>
      <c r="BC193" s="88" t="n">
        <v>0</v>
      </c>
      <c r="BD193" s="91" t="n">
        <v>0</v>
      </c>
      <c r="BE193" s="91" t="n">
        <v>1</v>
      </c>
      <c r="BF193" s="89" t="inlineStr">
        <is>
          <t>-</t>
        </is>
      </c>
      <c r="BG193" s="89" t="inlineStr">
        <is>
          <t>-</t>
        </is>
      </c>
      <c r="BH193" s="89" t="n">
        <v>0.9647058823529412</v>
      </c>
    </row>
    <row r="194" ht="25.6" customHeight="1">
      <c r="A194" s="92" t="n">
        <v>191</v>
      </c>
      <c r="B194" s="87" t="inlineStr">
        <is>
          <t>全国</t>
        </is>
      </c>
      <c r="C194" s="93" t="n">
        <v>46265</v>
      </c>
      <c r="D194" s="87" t="inlineStr">
        <is>
          <t>2026款探陆</t>
        </is>
      </c>
      <c r="E194" s="87" t="n">
        <v>112</v>
      </c>
      <c r="F194" s="87" t="n">
        <v>102</v>
      </c>
      <c r="G194" s="88" t="n">
        <v>0.9107142857142857</v>
      </c>
      <c r="H194" s="87" t="n">
        <v>72</v>
      </c>
      <c r="I194" s="89" t="n">
        <v>0.6428571428571429</v>
      </c>
      <c r="J194" s="87" t="n">
        <v>287</v>
      </c>
      <c r="K194" s="87" t="n">
        <v>185</v>
      </c>
      <c r="L194" s="88" t="n">
        <v>0.645</v>
      </c>
      <c r="M194" s="87" t="n">
        <v>1071</v>
      </c>
      <c r="N194" s="87" t="n">
        <v>1050</v>
      </c>
      <c r="O194" s="87" t="n">
        <v>876</v>
      </c>
      <c r="P194" s="88" t="n">
        <v>0.8179271708683473</v>
      </c>
      <c r="Q194" s="87" t="n">
        <v>63</v>
      </c>
      <c r="R194" s="87" t="n">
        <v>0</v>
      </c>
      <c r="S194" s="87" t="n">
        <v>0</v>
      </c>
      <c r="T194" s="88" t="n">
        <v>0</v>
      </c>
      <c r="U194" s="87" t="n">
        <v>0</v>
      </c>
      <c r="V194" s="88" t="n">
        <v>0</v>
      </c>
      <c r="W194" s="87" t="n">
        <v>24</v>
      </c>
      <c r="X194" s="88" t="n">
        <v>0.2142857142857143</v>
      </c>
      <c r="Y194" s="87" t="n">
        <v>247</v>
      </c>
      <c r="Z194" s="90" t="n">
        <v>2.205357142857143</v>
      </c>
      <c r="AA194" s="87" t="n">
        <v>27</v>
      </c>
      <c r="AB194" s="88" t="n">
        <v>0.2410714285714286</v>
      </c>
      <c r="AC194" s="87" t="n">
        <v>1</v>
      </c>
      <c r="AD194" s="88" t="n">
        <v>0.008928571428571428</v>
      </c>
      <c r="AE194" s="87" t="n">
        <v>0</v>
      </c>
      <c r="AF194" s="88" t="n">
        <v>0</v>
      </c>
      <c r="AG194" s="87" t="n">
        <v>0</v>
      </c>
      <c r="AH194" s="88" t="n">
        <v>0</v>
      </c>
      <c r="AI194" s="91" t="n">
        <v>0</v>
      </c>
      <c r="AJ194" s="88" t="n">
        <v>0</v>
      </c>
      <c r="AK194" s="91" t="n">
        <v>0</v>
      </c>
      <c r="AL194" s="88" t="n">
        <v>0</v>
      </c>
      <c r="AM194" s="91" t="n">
        <v>0</v>
      </c>
      <c r="AN194" s="91" t="n">
        <v>0</v>
      </c>
      <c r="AO194" s="88" t="n">
        <v>0</v>
      </c>
      <c r="AP194" s="88" t="n">
        <v>0</v>
      </c>
      <c r="AQ194" s="89" t="n">
        <v>1</v>
      </c>
      <c r="AR194" s="89" t="n">
        <v>1</v>
      </c>
      <c r="AS194" s="89" t="n">
        <v>1</v>
      </c>
      <c r="AT194" s="91" t="n">
        <v>0</v>
      </c>
      <c r="AU194" s="91" t="n">
        <v>0</v>
      </c>
      <c r="AV194" s="91" t="n">
        <v>5</v>
      </c>
      <c r="AW194" s="91" t="n">
        <v>5</v>
      </c>
      <c r="AX194" s="91" t="n">
        <v>5</v>
      </c>
      <c r="AY194" s="91" t="n">
        <v>7</v>
      </c>
      <c r="AZ194" s="88" t="n">
        <v>0.04464285714285714</v>
      </c>
      <c r="BA194" s="88" t="n">
        <v>0.04464285714285714</v>
      </c>
      <c r="BB194" s="88" t="n">
        <v>0.0625</v>
      </c>
      <c r="BC194" s="88" t="n">
        <v>0</v>
      </c>
      <c r="BD194" s="91" t="n">
        <v>0</v>
      </c>
      <c r="BE194" s="91" t="n">
        <v>0</v>
      </c>
      <c r="BF194" s="89" t="inlineStr">
        <is>
          <t>-</t>
        </is>
      </c>
      <c r="BG194" s="89" t="inlineStr">
        <is>
          <t>-</t>
        </is>
      </c>
      <c r="BH194" s="89" t="inlineStr">
        <is>
          <t>-</t>
        </is>
      </c>
    </row>
    <row r="195" ht="19.55" customHeight="1">
      <c r="A195" s="92" t="n">
        <v>192</v>
      </c>
      <c r="B195" s="87" t="inlineStr">
        <is>
          <t>全国</t>
        </is>
      </c>
      <c r="C195" s="93" t="n">
        <v>46265</v>
      </c>
      <c r="D195" s="87" t="inlineStr">
        <is>
          <t>N6</t>
        </is>
      </c>
      <c r="E195" s="87" t="n">
        <v>1926</v>
      </c>
      <c r="F195" s="87" t="n">
        <v>1638</v>
      </c>
      <c r="G195" s="88" t="n">
        <v>0.8504672897196262</v>
      </c>
      <c r="H195" s="87" t="n">
        <v>1006</v>
      </c>
      <c r="I195" s="89" t="n">
        <v>0.5223260643821391</v>
      </c>
      <c r="J195" s="87" t="n">
        <v>1890</v>
      </c>
      <c r="K195" s="87" t="n">
        <v>1836</v>
      </c>
      <c r="L195" s="88" t="n">
        <v>0.971</v>
      </c>
      <c r="M195" s="87" t="n">
        <v>8516</v>
      </c>
      <c r="N195" s="87" t="n">
        <v>8261</v>
      </c>
      <c r="O195" s="87" t="n">
        <v>8344</v>
      </c>
      <c r="P195" s="88" t="n">
        <v>0.9798027242837013</v>
      </c>
      <c r="Q195" s="87" t="n">
        <v>55</v>
      </c>
      <c r="R195" s="87" t="n">
        <v>0</v>
      </c>
      <c r="S195" s="87" t="n">
        <v>0</v>
      </c>
      <c r="T195" s="88" t="n">
        <v>0</v>
      </c>
      <c r="U195" s="87" t="n">
        <v>0</v>
      </c>
      <c r="V195" s="88" t="n">
        <v>0</v>
      </c>
      <c r="W195" s="87" t="n">
        <v>377</v>
      </c>
      <c r="X195" s="88" t="n">
        <v>0.195742471443406</v>
      </c>
      <c r="Y195" s="87" t="n">
        <v>915</v>
      </c>
      <c r="Z195" s="90" t="n">
        <v>0.4750778816199377</v>
      </c>
      <c r="AA195" s="87" t="n">
        <v>0</v>
      </c>
      <c r="AB195" s="88" t="n">
        <v>0</v>
      </c>
      <c r="AC195" s="87" t="n">
        <v>208</v>
      </c>
      <c r="AD195" s="88" t="n">
        <v>0.1079958463136033</v>
      </c>
      <c r="AE195" s="87" t="n">
        <v>74</v>
      </c>
      <c r="AF195" s="88" t="n">
        <v>0.3557692307692308</v>
      </c>
      <c r="AG195" s="87" t="n">
        <v>167</v>
      </c>
      <c r="AH195" s="88" t="n">
        <v>0.8028846153846154</v>
      </c>
      <c r="AI195" s="91" t="n">
        <v>235</v>
      </c>
      <c r="AJ195" s="88" t="n">
        <v>0.1220145379023884</v>
      </c>
      <c r="AK195" s="91" t="n">
        <v>44</v>
      </c>
      <c r="AL195" s="88" t="n">
        <v>0.8808510638297873</v>
      </c>
      <c r="AM195" s="91" t="n">
        <v>232</v>
      </c>
      <c r="AN195" s="91" t="n">
        <v>207</v>
      </c>
      <c r="AO195" s="88" t="n">
        <v>0.1074766355140187</v>
      </c>
      <c r="AP195" s="88" t="n">
        <v>0.9951923076923077</v>
      </c>
      <c r="AQ195" s="89" t="n">
        <v>0.9873015873015873</v>
      </c>
      <c r="AR195" s="89" t="n">
        <v>0.6299212598425197</v>
      </c>
      <c r="AS195" s="89" t="n">
        <v>0.5354330708661418</v>
      </c>
      <c r="AT195" s="91" t="n">
        <v>0</v>
      </c>
      <c r="AU195" s="91" t="n">
        <v>0</v>
      </c>
      <c r="AV195" s="91" t="n">
        <v>67</v>
      </c>
      <c r="AW195" s="91" t="n">
        <v>61</v>
      </c>
      <c r="AX195" s="91" t="n">
        <v>60</v>
      </c>
      <c r="AY195" s="91" t="n">
        <v>89</v>
      </c>
      <c r="AZ195" s="88" t="n">
        <v>0.03167185877466251</v>
      </c>
      <c r="BA195" s="88" t="n">
        <v>0.03115264797507788</v>
      </c>
      <c r="BB195" s="88" t="n">
        <v>0.04620976116303219</v>
      </c>
      <c r="BC195" s="88" t="n">
        <v>0.2898550724637681</v>
      </c>
      <c r="BD195" s="91" t="n">
        <v>0</v>
      </c>
      <c r="BE195" s="91" t="n">
        <v>0</v>
      </c>
      <c r="BF195" s="89" t="n">
        <v>1</v>
      </c>
      <c r="BG195" s="89" t="n">
        <v>1</v>
      </c>
      <c r="BH195" s="89" t="inlineStr">
        <is>
          <t>-</t>
        </is>
      </c>
    </row>
    <row r="196" ht="19.55" customHeight="1">
      <c r="A196" s="92" t="n">
        <v>193</v>
      </c>
      <c r="B196" s="87" t="inlineStr">
        <is>
          <t>全国</t>
        </is>
      </c>
      <c r="C196" s="93" t="n">
        <v>46265</v>
      </c>
      <c r="D196" s="87" t="inlineStr">
        <is>
          <t>N7</t>
        </is>
      </c>
      <c r="E196" s="87" t="n">
        <v>1851</v>
      </c>
      <c r="F196" s="87" t="n">
        <v>1554</v>
      </c>
      <c r="G196" s="88" t="n">
        <v>0.839546191247974</v>
      </c>
      <c r="H196" s="87" t="n">
        <v>1005</v>
      </c>
      <c r="I196" s="89" t="n">
        <v>0.5429497568881686</v>
      </c>
      <c r="J196" s="87" t="n">
        <v>1940</v>
      </c>
      <c r="K196" s="87" t="n">
        <v>1870</v>
      </c>
      <c r="L196" s="88" t="n">
        <v>0.964</v>
      </c>
      <c r="M196" s="87" t="n">
        <v>8075</v>
      </c>
      <c r="N196" s="87" t="n">
        <v>7873</v>
      </c>
      <c r="O196" s="87" t="n">
        <v>7863</v>
      </c>
      <c r="P196" s="88" t="n">
        <v>0.9737461300309598</v>
      </c>
      <c r="Q196" s="87" t="n">
        <v>61</v>
      </c>
      <c r="R196" s="87" t="n">
        <v>0</v>
      </c>
      <c r="S196" s="87" t="n">
        <v>0</v>
      </c>
      <c r="T196" s="88" t="n">
        <v>0</v>
      </c>
      <c r="U196" s="87" t="n">
        <v>0</v>
      </c>
      <c r="V196" s="88" t="n">
        <v>0</v>
      </c>
      <c r="W196" s="87" t="n">
        <v>344</v>
      </c>
      <c r="X196" s="88" t="n">
        <v>0.1858454889249055</v>
      </c>
      <c r="Y196" s="87" t="n">
        <v>1047</v>
      </c>
      <c r="Z196" s="90" t="n">
        <v>0.5656401944894651</v>
      </c>
      <c r="AA196" s="87" t="n">
        <v>2</v>
      </c>
      <c r="AB196" s="88" t="n">
        <v>0.001080497028633171</v>
      </c>
      <c r="AC196" s="87" t="n">
        <v>200</v>
      </c>
      <c r="AD196" s="88" t="n">
        <v>0.1080497028633171</v>
      </c>
      <c r="AE196" s="87" t="n">
        <v>55</v>
      </c>
      <c r="AF196" s="88" t="n">
        <v>0.275</v>
      </c>
      <c r="AG196" s="87" t="n">
        <v>172</v>
      </c>
      <c r="AH196" s="88" t="n">
        <v>0.86</v>
      </c>
      <c r="AI196" s="91" t="n">
        <v>213</v>
      </c>
      <c r="AJ196" s="88" t="n">
        <v>0.1150729335494327</v>
      </c>
      <c r="AK196" s="91" t="n">
        <v>20</v>
      </c>
      <c r="AL196" s="88" t="n">
        <v>0.8873239436619719</v>
      </c>
      <c r="AM196" s="91" t="n">
        <v>209</v>
      </c>
      <c r="AN196" s="91" t="n">
        <v>189</v>
      </c>
      <c r="AO196" s="88" t="n">
        <v>0.1021069692058347</v>
      </c>
      <c r="AP196" s="88" t="n">
        <v>0.945</v>
      </c>
      <c r="AQ196" s="89" t="n">
        <v>0.9918032786885246</v>
      </c>
      <c r="AR196" s="89" t="n">
        <v>0.6467391304347826</v>
      </c>
      <c r="AS196" s="89" t="n">
        <v>0.6032608695652174</v>
      </c>
      <c r="AT196" s="91" t="n">
        <v>0</v>
      </c>
      <c r="AU196" s="91" t="n">
        <v>0</v>
      </c>
      <c r="AV196" s="91" t="n">
        <v>42</v>
      </c>
      <c r="AW196" s="91" t="n">
        <v>35</v>
      </c>
      <c r="AX196" s="91" t="n">
        <v>30</v>
      </c>
      <c r="AY196" s="91" t="n">
        <v>65</v>
      </c>
      <c r="AZ196" s="88" t="n">
        <v>0.0189086980010805</v>
      </c>
      <c r="BA196" s="88" t="n">
        <v>0.01620745542949757</v>
      </c>
      <c r="BB196" s="88" t="n">
        <v>0.03511615343057806</v>
      </c>
      <c r="BC196" s="88" t="n">
        <v>0.1587301587301587</v>
      </c>
      <c r="BD196" s="91" t="n">
        <v>0</v>
      </c>
      <c r="BE196" s="91" t="n">
        <v>0</v>
      </c>
      <c r="BF196" s="89" t="n">
        <v>1</v>
      </c>
      <c r="BG196" s="89" t="n">
        <v>1</v>
      </c>
      <c r="BH196" s="89" t="inlineStr">
        <is>
          <t>-</t>
        </is>
      </c>
    </row>
    <row r="197" ht="19.55" customHeight="1">
      <c r="A197" s="92" t="n">
        <v>194</v>
      </c>
      <c r="B197" s="87" t="inlineStr">
        <is>
          <t>全国</t>
        </is>
      </c>
      <c r="C197" s="93" t="n">
        <v>46265</v>
      </c>
      <c r="D197" s="87" t="inlineStr">
        <is>
          <t>NX8</t>
        </is>
      </c>
      <c r="E197" s="87" t="n">
        <v>6146</v>
      </c>
      <c r="F197" s="87" t="n">
        <v>5504</v>
      </c>
      <c r="G197" s="88" t="n">
        <v>0.8955418158151643</v>
      </c>
      <c r="H197" s="87" t="n">
        <v>1822</v>
      </c>
      <c r="I197" s="89" t="n">
        <v>0.2964529775463716</v>
      </c>
      <c r="J197" s="87" t="n">
        <v>6574</v>
      </c>
      <c r="K197" s="87" t="n">
        <v>6281</v>
      </c>
      <c r="L197" s="88" t="n">
        <v>0.955</v>
      </c>
      <c r="M197" s="87" t="n">
        <v>27287</v>
      </c>
      <c r="N197" s="87" t="n">
        <v>25940</v>
      </c>
      <c r="O197" s="87" t="n">
        <v>26620</v>
      </c>
      <c r="P197" s="88" t="n">
        <v>0.9755561256275882</v>
      </c>
      <c r="Q197" s="87" t="n">
        <v>208</v>
      </c>
      <c r="R197" s="87" t="n">
        <v>0</v>
      </c>
      <c r="S197" s="87" t="n">
        <v>0</v>
      </c>
      <c r="T197" s="88" t="n">
        <v>0</v>
      </c>
      <c r="U197" s="87" t="n">
        <v>0</v>
      </c>
      <c r="V197" s="88" t="n">
        <v>0</v>
      </c>
      <c r="W197" s="87" t="n">
        <v>961</v>
      </c>
      <c r="X197" s="88" t="n">
        <v>0.1563618613732509</v>
      </c>
      <c r="Y197" s="87" t="n">
        <v>3761</v>
      </c>
      <c r="Z197" s="90" t="n">
        <v>0.6119427269768956</v>
      </c>
      <c r="AA197" s="87" t="n">
        <v>4</v>
      </c>
      <c r="AB197" s="88" t="n">
        <v>0.0006508298080052066</v>
      </c>
      <c r="AC197" s="87" t="n">
        <v>693</v>
      </c>
      <c r="AD197" s="88" t="n">
        <v>0.112756264236902</v>
      </c>
      <c r="AE197" s="87" t="n">
        <v>159</v>
      </c>
      <c r="AF197" s="88" t="n">
        <v>0.2294372294372294</v>
      </c>
      <c r="AG197" s="87" t="n">
        <v>546</v>
      </c>
      <c r="AH197" s="88" t="n">
        <v>0.7878787878787878</v>
      </c>
      <c r="AI197" s="91" t="n">
        <v>662</v>
      </c>
      <c r="AJ197" s="88" t="n">
        <v>0.1077123332248617</v>
      </c>
      <c r="AK197" s="91" t="n">
        <v>93</v>
      </c>
      <c r="AL197" s="88" t="n">
        <v>0.8444108761329305</v>
      </c>
      <c r="AM197" s="91" t="n">
        <v>632</v>
      </c>
      <c r="AN197" s="91" t="n">
        <v>559</v>
      </c>
      <c r="AO197" s="88" t="n">
        <v>0.09095346566872763</v>
      </c>
      <c r="AP197" s="88" t="n">
        <v>0.8066378066378066</v>
      </c>
      <c r="AQ197" s="89" t="n">
        <v>0.9590909090909091</v>
      </c>
      <c r="AR197" s="89" t="n">
        <v>0.6117274167987322</v>
      </c>
      <c r="AS197" s="89" t="n">
        <v>0.6291600633914421</v>
      </c>
      <c r="AT197" s="91" t="n">
        <v>0</v>
      </c>
      <c r="AU197" s="91" t="n">
        <v>0</v>
      </c>
      <c r="AV197" s="91" t="n">
        <v>209</v>
      </c>
      <c r="AW197" s="91" t="n">
        <v>181</v>
      </c>
      <c r="AX197" s="91" t="n">
        <v>168</v>
      </c>
      <c r="AY197" s="91" t="n">
        <v>181</v>
      </c>
      <c r="AZ197" s="88" t="n">
        <v>0.0294500488122356</v>
      </c>
      <c r="BA197" s="88" t="n">
        <v>0.02733485193621868</v>
      </c>
      <c r="BB197" s="88" t="n">
        <v>0.0294500488122356</v>
      </c>
      <c r="BC197" s="88" t="n">
        <v>0.3005366726296959</v>
      </c>
      <c r="BD197" s="91" t="n">
        <v>0</v>
      </c>
      <c r="BE197" s="91" t="n">
        <v>1</v>
      </c>
      <c r="BF197" s="89" t="n">
        <v>0.9833333333333333</v>
      </c>
      <c r="BG197" s="89" t="n">
        <v>0.9459459459459459</v>
      </c>
      <c r="BH197" s="89" t="inlineStr">
        <is>
          <t>-</t>
        </is>
      </c>
    </row>
    <row r="198" ht="19.55" customHeight="1">
      <c r="A198" s="92" t="n">
        <v>195</v>
      </c>
      <c r="B198" s="87" t="inlineStr">
        <is>
          <t>全国</t>
        </is>
      </c>
      <c r="C198" s="93" t="n">
        <v>46265</v>
      </c>
      <c r="D198" s="87" t="inlineStr">
        <is>
          <t>天籁·鸿蒙座舱</t>
        </is>
      </c>
      <c r="E198" s="87" t="n">
        <v>3709</v>
      </c>
      <c r="F198" s="87" t="n">
        <v>3310</v>
      </c>
      <c r="G198" s="88" t="n">
        <v>0.892423833917498</v>
      </c>
      <c r="H198" s="87" t="n">
        <v>2197</v>
      </c>
      <c r="I198" s="89" t="n">
        <v>0.5923429495820977</v>
      </c>
      <c r="J198" s="87" t="n">
        <v>4874</v>
      </c>
      <c r="K198" s="87" t="n">
        <v>4731</v>
      </c>
      <c r="L198" s="88" t="n">
        <v>0.971</v>
      </c>
      <c r="M198" s="87" t="n">
        <v>20941</v>
      </c>
      <c r="N198" s="87" t="n">
        <v>20159</v>
      </c>
      <c r="O198" s="87" t="n">
        <v>20480</v>
      </c>
      <c r="P198" s="88" t="n">
        <v>0.9779857695430018</v>
      </c>
      <c r="Q198" s="87" t="n">
        <v>98</v>
      </c>
      <c r="R198" s="87" t="n">
        <v>0</v>
      </c>
      <c r="S198" s="87" t="n">
        <v>0</v>
      </c>
      <c r="T198" s="88" t="n">
        <v>0</v>
      </c>
      <c r="U198" s="87" t="n">
        <v>0</v>
      </c>
      <c r="V198" s="88" t="n">
        <v>0</v>
      </c>
      <c r="W198" s="87" t="n">
        <v>667</v>
      </c>
      <c r="X198" s="88" t="n">
        <v>0.1798328390401726</v>
      </c>
      <c r="Y198" s="87" t="n">
        <v>1866</v>
      </c>
      <c r="Z198" s="90" t="n">
        <v>0.5031005661903478</v>
      </c>
      <c r="AA198" s="87" t="n">
        <v>12</v>
      </c>
      <c r="AB198" s="88" t="n">
        <v>0.003235373416015098</v>
      </c>
      <c r="AC198" s="87" t="n">
        <v>232</v>
      </c>
      <c r="AD198" s="88" t="n">
        <v>0.06255055270962524</v>
      </c>
      <c r="AE198" s="87" t="n">
        <v>75</v>
      </c>
      <c r="AF198" s="88" t="n">
        <v>0.3232758620689655</v>
      </c>
      <c r="AG198" s="87" t="n">
        <v>194</v>
      </c>
      <c r="AH198" s="88" t="n">
        <v>0.8362068965517241</v>
      </c>
      <c r="AI198" s="91" t="n">
        <v>211</v>
      </c>
      <c r="AJ198" s="88" t="n">
        <v>0.05688864923159882</v>
      </c>
      <c r="AK198" s="91" t="n">
        <v>26</v>
      </c>
      <c r="AL198" s="88" t="n">
        <v>0.8104265402843602</v>
      </c>
      <c r="AM198" s="91" t="n">
        <v>201</v>
      </c>
      <c r="AN198" s="91" t="n">
        <v>171</v>
      </c>
      <c r="AO198" s="88" t="n">
        <v>0.04610407117821515</v>
      </c>
      <c r="AP198" s="88" t="n">
        <v>0.7370689655172413</v>
      </c>
      <c r="AQ198" s="89" t="n">
        <v>0.9769452449567724</v>
      </c>
      <c r="AR198" s="89" t="n">
        <v>0.5688073394495413</v>
      </c>
      <c r="AS198" s="89" t="n">
        <v>0.555045871559633</v>
      </c>
      <c r="AT198" s="91" t="n">
        <v>0</v>
      </c>
      <c r="AU198" s="91" t="n">
        <v>0</v>
      </c>
      <c r="AV198" s="91" t="n">
        <v>171</v>
      </c>
      <c r="AW198" s="91" t="n">
        <v>152</v>
      </c>
      <c r="AX198" s="91" t="n">
        <v>147</v>
      </c>
      <c r="AY198" s="91" t="n">
        <v>245</v>
      </c>
      <c r="AZ198" s="88" t="n">
        <v>0.04098139660285791</v>
      </c>
      <c r="BA198" s="88" t="n">
        <v>0.03963332434618495</v>
      </c>
      <c r="BB198" s="88" t="n">
        <v>0.06605554057697492</v>
      </c>
      <c r="BC198" s="88" t="n">
        <v>0.8596491228070176</v>
      </c>
      <c r="BD198" s="91" t="n">
        <v>0</v>
      </c>
      <c r="BE198" s="91" t="n">
        <v>0</v>
      </c>
      <c r="BF198" s="89" t="n">
        <v>1</v>
      </c>
      <c r="BG198" s="89" t="n">
        <v>1</v>
      </c>
      <c r="BH198" s="89" t="inlineStr">
        <is>
          <t>-</t>
        </is>
      </c>
    </row>
    <row r="199" ht="19.55" customHeight="1">
      <c r="A199" s="92" t="n">
        <v>196</v>
      </c>
      <c r="B199" s="87" t="inlineStr">
        <is>
          <t>全国</t>
        </is>
      </c>
      <c r="C199" s="93" t="n">
        <v>46265</v>
      </c>
      <c r="D199" s="87" t="inlineStr">
        <is>
          <t>探陆</t>
        </is>
      </c>
      <c r="E199" s="87" t="n">
        <v>0</v>
      </c>
      <c r="F199" s="87" t="n">
        <v>0</v>
      </c>
      <c r="G199" s="88" t="n">
        <v>0</v>
      </c>
      <c r="H199" s="87" t="n">
        <v>0</v>
      </c>
      <c r="I199" s="89" t="n">
        <v>0</v>
      </c>
      <c r="J199" s="87" t="n">
        <v>0</v>
      </c>
      <c r="K199" s="87" t="n">
        <v>0</v>
      </c>
      <c r="L199" s="88" t="n">
        <v>0</v>
      </c>
      <c r="M199" s="87" t="n">
        <v>1</v>
      </c>
      <c r="N199" s="87" t="n">
        <v>0</v>
      </c>
      <c r="O199" s="87" t="n">
        <v>1</v>
      </c>
      <c r="P199" s="88" t="n">
        <v>1</v>
      </c>
      <c r="Q199" s="87" t="n">
        <v>0</v>
      </c>
      <c r="R199" s="87" t="n">
        <v>0</v>
      </c>
      <c r="S199" s="87" t="n">
        <v>0</v>
      </c>
      <c r="T199" s="88" t="n">
        <v>0</v>
      </c>
      <c r="U199" s="87" t="n">
        <v>0</v>
      </c>
      <c r="V199" s="88" t="n">
        <v>0</v>
      </c>
      <c r="W199" s="87" t="n">
        <v>0</v>
      </c>
      <c r="X199" s="88" t="n">
        <v>0</v>
      </c>
      <c r="Y199" s="87" t="n">
        <v>0</v>
      </c>
      <c r="Z199" s="90" t="n">
        <v>0</v>
      </c>
      <c r="AA199" s="87" t="n">
        <v>0</v>
      </c>
      <c r="AB199" s="88" t="n">
        <v>0</v>
      </c>
      <c r="AC199" s="87" t="n">
        <v>0</v>
      </c>
      <c r="AD199" s="88" t="n">
        <v>0</v>
      </c>
      <c r="AE199" s="87" t="n">
        <v>0</v>
      </c>
      <c r="AF199" s="88" t="n">
        <v>0</v>
      </c>
      <c r="AG199" s="87" t="n">
        <v>0</v>
      </c>
      <c r="AH199" s="88" t="n">
        <v>0</v>
      </c>
      <c r="AI199" s="91" t="n">
        <v>0</v>
      </c>
      <c r="AJ199" s="88" t="n">
        <v>0</v>
      </c>
      <c r="AK199" s="91" t="n">
        <v>0</v>
      </c>
      <c r="AL199" s="88" t="n">
        <v>0</v>
      </c>
      <c r="AM199" s="91" t="n">
        <v>0</v>
      </c>
      <c r="AN199" s="91" t="n">
        <v>0</v>
      </c>
      <c r="AO199" s="88" t="n">
        <v>0</v>
      </c>
      <c r="AP199" s="88" t="n">
        <v>0</v>
      </c>
      <c r="AQ199" s="89" t="n"/>
      <c r="AR199" s="89" t="inlineStr">
        <is>
          <t>0.0%</t>
        </is>
      </c>
      <c r="AS199" s="89" t="inlineStr">
        <is>
          <t>0.0%</t>
        </is>
      </c>
      <c r="AT199" s="91" t="n">
        <v>0</v>
      </c>
      <c r="AU199" s="91" t="n">
        <v>0</v>
      </c>
      <c r="AV199" s="91" t="n">
        <v>0</v>
      </c>
      <c r="AW199" s="91" t="n">
        <v>0</v>
      </c>
      <c r="AX199" s="91" t="n">
        <v>0</v>
      </c>
      <c r="AY199" s="91" t="n">
        <v>0</v>
      </c>
      <c r="AZ199" s="88" t="n">
        <v>0</v>
      </c>
      <c r="BA199" s="88" t="n">
        <v>0</v>
      </c>
      <c r="BB199" s="88" t="n">
        <v>0</v>
      </c>
      <c r="BC199" s="88" t="n">
        <v>0</v>
      </c>
      <c r="BD199" s="91" t="n">
        <v>0</v>
      </c>
      <c r="BE199" s="91" t="n">
        <v>0</v>
      </c>
      <c r="BF199" s="89" t="inlineStr">
        <is>
          <t>-</t>
        </is>
      </c>
      <c r="BG199" s="89" t="inlineStr">
        <is>
          <t>-</t>
        </is>
      </c>
      <c r="BH199" s="89" t="inlineStr">
        <is>
          <t>-</t>
        </is>
      </c>
    </row>
    <row r="200" ht="19.55" customHeight="1">
      <c r="A200" s="92" t="n">
        <v>197</v>
      </c>
      <c r="B200" s="87" t="inlineStr">
        <is>
          <t>全国</t>
        </is>
      </c>
      <c r="C200" s="93" t="n">
        <v>46266</v>
      </c>
      <c r="D200" s="87" t="n"/>
      <c r="E200" s="87" t="n">
        <v>40</v>
      </c>
      <c r="F200" s="87" t="n">
        <v>40</v>
      </c>
      <c r="G200" s="88" t="n">
        <v>1</v>
      </c>
      <c r="H200" s="87" t="n">
        <v>40</v>
      </c>
      <c r="I200" s="89" t="n">
        <v>1</v>
      </c>
      <c r="J200" s="87" t="n">
        <v>0</v>
      </c>
      <c r="K200" s="87" t="n">
        <v>0</v>
      </c>
      <c r="L200" s="88" t="n">
        <v>0</v>
      </c>
      <c r="M200" s="87" t="n">
        <v>1</v>
      </c>
      <c r="N200" s="87" t="n">
        <v>2</v>
      </c>
      <c r="O200" s="87" t="n">
        <v>1</v>
      </c>
      <c r="P200" s="88" t="n">
        <v>1</v>
      </c>
      <c r="Q200" s="87" t="n">
        <v>0</v>
      </c>
      <c r="R200" s="87" t="n">
        <v>0</v>
      </c>
      <c r="S200" s="87" t="n">
        <v>0</v>
      </c>
      <c r="T200" s="88" t="n">
        <v>0</v>
      </c>
      <c r="U200" s="87" t="n">
        <v>0</v>
      </c>
      <c r="V200" s="88" t="n">
        <v>0</v>
      </c>
      <c r="W200" s="87" t="n">
        <v>14</v>
      </c>
      <c r="X200" s="88" t="n">
        <v>0.35</v>
      </c>
      <c r="Y200" s="87" t="n">
        <v>22</v>
      </c>
      <c r="Z200" s="90" t="n">
        <v>0.55</v>
      </c>
      <c r="AA200" s="87" t="n">
        <v>0</v>
      </c>
      <c r="AB200" s="88" t="n">
        <v>0</v>
      </c>
      <c r="AC200" s="87" t="n">
        <v>0</v>
      </c>
      <c r="AD200" s="88" t="n">
        <v>0</v>
      </c>
      <c r="AE200" s="87" t="n">
        <v>0</v>
      </c>
      <c r="AF200" s="88" t="n">
        <v>0</v>
      </c>
      <c r="AG200" s="87" t="n">
        <v>0</v>
      </c>
      <c r="AH200" s="88" t="n">
        <v>0</v>
      </c>
      <c r="AI200" s="91" t="n">
        <v>0</v>
      </c>
      <c r="AJ200" s="88" t="n">
        <v>0</v>
      </c>
      <c r="AK200" s="91" t="n">
        <v>0</v>
      </c>
      <c r="AL200" s="88" t="n">
        <v>0</v>
      </c>
      <c r="AM200" s="91" t="n">
        <v>0</v>
      </c>
      <c r="AN200" s="91" t="n">
        <v>0</v>
      </c>
      <c r="AO200" s="88" t="n">
        <v>0</v>
      </c>
      <c r="AP200" s="88" t="n">
        <v>0</v>
      </c>
      <c r="AQ200" s="89" t="n"/>
      <c r="AR200" s="89" t="inlineStr">
        <is>
          <t>0.0%</t>
        </is>
      </c>
      <c r="AS200" s="89" t="inlineStr">
        <is>
          <t>0.0%</t>
        </is>
      </c>
      <c r="AT200" s="91" t="n">
        <v>0</v>
      </c>
      <c r="AU200" s="91" t="n">
        <v>0</v>
      </c>
      <c r="AV200" s="91" t="n">
        <v>0</v>
      </c>
      <c r="AW200" s="91" t="n">
        <v>0</v>
      </c>
      <c r="AX200" s="91" t="n">
        <v>0</v>
      </c>
      <c r="AY200" s="91" t="n">
        <v>0</v>
      </c>
      <c r="AZ200" s="88" t="n">
        <v>0</v>
      </c>
      <c r="BA200" s="88" t="n">
        <v>0</v>
      </c>
      <c r="BB200" s="88" t="n">
        <v>0</v>
      </c>
      <c r="BC200" s="88" t="n">
        <v>0</v>
      </c>
      <c r="BD200" s="91" t="n">
        <v>0</v>
      </c>
      <c r="BE200" s="91" t="n">
        <v>0</v>
      </c>
      <c r="BF200" s="89" t="inlineStr">
        <is>
          <t>-</t>
        </is>
      </c>
      <c r="BG200" s="89" t="inlineStr">
        <is>
          <t>-</t>
        </is>
      </c>
      <c r="BH200" s="89" t="n">
        <v>0.9818181818181818</v>
      </c>
    </row>
    <row r="201" ht="25.6" customHeight="1">
      <c r="A201" s="92" t="n">
        <v>198</v>
      </c>
      <c r="B201" s="87" t="inlineStr">
        <is>
          <t>全国</t>
        </is>
      </c>
      <c r="C201" s="93" t="n">
        <v>46266</v>
      </c>
      <c r="D201" s="87" t="inlineStr">
        <is>
          <t>2026款探陆</t>
        </is>
      </c>
      <c r="E201" s="87" t="n">
        <v>80</v>
      </c>
      <c r="F201" s="87" t="n">
        <v>74</v>
      </c>
      <c r="G201" s="88" t="n">
        <v>0.925</v>
      </c>
      <c r="H201" s="87" t="n">
        <v>59</v>
      </c>
      <c r="I201" s="89" t="n">
        <v>0.7375</v>
      </c>
      <c r="J201" s="87" t="n">
        <v>578</v>
      </c>
      <c r="K201" s="87" t="n">
        <v>357</v>
      </c>
      <c r="L201" s="88" t="n">
        <v>0.618</v>
      </c>
      <c r="M201" s="87" t="n">
        <v>1377</v>
      </c>
      <c r="N201" s="87" t="n">
        <v>1230</v>
      </c>
      <c r="O201" s="87" t="n">
        <v>1066</v>
      </c>
      <c r="P201" s="88" t="n">
        <v>0.7741466957153231</v>
      </c>
      <c r="Q201" s="87" t="n">
        <v>119</v>
      </c>
      <c r="R201" s="87" t="n">
        <v>0</v>
      </c>
      <c r="S201" s="87" t="n">
        <v>0</v>
      </c>
      <c r="T201" s="88" t="n">
        <v>0</v>
      </c>
      <c r="U201" s="87" t="n">
        <v>0</v>
      </c>
      <c r="V201" s="88" t="n">
        <v>0</v>
      </c>
      <c r="W201" s="87" t="n">
        <v>6</v>
      </c>
      <c r="X201" s="88" t="n">
        <v>0.075</v>
      </c>
      <c r="Y201" s="87" t="n">
        <v>126</v>
      </c>
      <c r="Z201" s="90" t="n">
        <v>1.575</v>
      </c>
      <c r="AA201" s="87" t="n">
        <v>36</v>
      </c>
      <c r="AB201" s="88" t="n">
        <v>0.45</v>
      </c>
      <c r="AC201" s="87" t="n">
        <v>1</v>
      </c>
      <c r="AD201" s="88" t="n">
        <v>0.0125</v>
      </c>
      <c r="AE201" s="87" t="n">
        <v>0</v>
      </c>
      <c r="AF201" s="88" t="n">
        <v>0</v>
      </c>
      <c r="AG201" s="87" t="n">
        <v>0</v>
      </c>
      <c r="AH201" s="88" t="n">
        <v>0</v>
      </c>
      <c r="AI201" s="91" t="n">
        <v>0</v>
      </c>
      <c r="AJ201" s="88" t="n">
        <v>0</v>
      </c>
      <c r="AK201" s="91" t="n">
        <v>0</v>
      </c>
      <c r="AL201" s="88" t="n">
        <v>0</v>
      </c>
      <c r="AM201" s="91" t="n">
        <v>0</v>
      </c>
      <c r="AN201" s="91" t="n">
        <v>0</v>
      </c>
      <c r="AO201" s="88" t="n">
        <v>0</v>
      </c>
      <c r="AP201" s="88" t="n">
        <v>0</v>
      </c>
      <c r="AQ201" s="89" t="n">
        <v>1</v>
      </c>
      <c r="AR201" s="89" t="n">
        <v>0</v>
      </c>
      <c r="AS201" s="89" t="n">
        <v>0</v>
      </c>
      <c r="AT201" s="91" t="n">
        <v>0</v>
      </c>
      <c r="AU201" s="91" t="n">
        <v>0</v>
      </c>
      <c r="AV201" s="91" t="n">
        <v>4</v>
      </c>
      <c r="AW201" s="91" t="n">
        <v>3</v>
      </c>
      <c r="AX201" s="91" t="n">
        <v>3</v>
      </c>
      <c r="AY201" s="91" t="n">
        <v>1</v>
      </c>
      <c r="AZ201" s="88" t="n">
        <v>0.0375</v>
      </c>
      <c r="BA201" s="88" t="n">
        <v>0.0375</v>
      </c>
      <c r="BB201" s="88" t="n">
        <v>0.0125</v>
      </c>
      <c r="BC201" s="88" t="n">
        <v>0</v>
      </c>
      <c r="BD201" s="91" t="n">
        <v>0</v>
      </c>
      <c r="BE201" s="91" t="n">
        <v>0</v>
      </c>
      <c r="BF201" s="89" t="inlineStr">
        <is>
          <t>-</t>
        </is>
      </c>
      <c r="BG201" s="89" t="inlineStr">
        <is>
          <t>-</t>
        </is>
      </c>
      <c r="BH201" s="89" t="inlineStr">
        <is>
          <t>-</t>
        </is>
      </c>
    </row>
    <row r="202" ht="19.55" customHeight="1">
      <c r="A202" s="92" t="n">
        <v>199</v>
      </c>
      <c r="B202" s="87" t="inlineStr">
        <is>
          <t>全国</t>
        </is>
      </c>
      <c r="C202" s="93" t="n">
        <v>46266</v>
      </c>
      <c r="D202" s="87" t="inlineStr">
        <is>
          <t>N6</t>
        </is>
      </c>
      <c r="E202" s="87" t="n">
        <v>1787</v>
      </c>
      <c r="F202" s="87" t="n">
        <v>1542</v>
      </c>
      <c r="G202" s="88" t="n">
        <v>0.8628987129266927</v>
      </c>
      <c r="H202" s="87" t="n">
        <v>715</v>
      </c>
      <c r="I202" s="89" t="n">
        <v>0.400111919418019</v>
      </c>
      <c r="J202" s="87" t="n">
        <v>1768</v>
      </c>
      <c r="K202" s="87" t="n">
        <v>1720</v>
      </c>
      <c r="L202" s="88" t="n">
        <v>0.973</v>
      </c>
      <c r="M202" s="87" t="n">
        <v>7821</v>
      </c>
      <c r="N202" s="87" t="n">
        <v>7408</v>
      </c>
      <c r="O202" s="87" t="n">
        <v>7652</v>
      </c>
      <c r="P202" s="88" t="n">
        <v>0.9783915100370797</v>
      </c>
      <c r="Q202" s="87" t="n">
        <v>65</v>
      </c>
      <c r="R202" s="87" t="n">
        <v>0</v>
      </c>
      <c r="S202" s="87" t="n">
        <v>0</v>
      </c>
      <c r="T202" s="88" t="n">
        <v>0</v>
      </c>
      <c r="U202" s="87" t="n">
        <v>0</v>
      </c>
      <c r="V202" s="88" t="n">
        <v>0</v>
      </c>
      <c r="W202" s="87" t="n">
        <v>199</v>
      </c>
      <c r="X202" s="88" t="n">
        <v>0.1113598209289312</v>
      </c>
      <c r="Y202" s="87" t="n">
        <v>566</v>
      </c>
      <c r="Z202" s="90" t="n">
        <v>0.3167319529938444</v>
      </c>
      <c r="AA202" s="87" t="n">
        <v>2</v>
      </c>
      <c r="AB202" s="88" t="n">
        <v>0.001119194180190263</v>
      </c>
      <c r="AC202" s="87" t="n">
        <v>96</v>
      </c>
      <c r="AD202" s="88" t="n">
        <v>0.05372132064913263</v>
      </c>
      <c r="AE202" s="87" t="n">
        <v>13</v>
      </c>
      <c r="AF202" s="88" t="n">
        <v>0.1354166666666667</v>
      </c>
      <c r="AG202" s="87" t="n">
        <v>64</v>
      </c>
      <c r="AH202" s="88" t="n">
        <v>0.6666666666666666</v>
      </c>
      <c r="AI202" s="91" t="n">
        <v>67</v>
      </c>
      <c r="AJ202" s="88" t="n">
        <v>0.03749300503637381</v>
      </c>
      <c r="AK202" s="91" t="n">
        <v>1</v>
      </c>
      <c r="AL202" s="88" t="n">
        <v>0.8656716417910447</v>
      </c>
      <c r="AM202" s="91" t="n">
        <v>64</v>
      </c>
      <c r="AN202" s="91" t="n">
        <v>58</v>
      </c>
      <c r="AO202" s="88" t="n">
        <v>0.03245663122551763</v>
      </c>
      <c r="AP202" s="88" t="n">
        <v>0.6041666666666666</v>
      </c>
      <c r="AQ202" s="89" t="n">
        <v>0.9913793103448276</v>
      </c>
      <c r="AR202" s="89" t="n">
        <v>0.5901639344262295</v>
      </c>
      <c r="AS202" s="89" t="n">
        <v>0.5737704918032787</v>
      </c>
      <c r="AT202" s="91" t="n">
        <v>0</v>
      </c>
      <c r="AU202" s="91" t="n">
        <v>0</v>
      </c>
      <c r="AV202" s="91" t="n">
        <v>19</v>
      </c>
      <c r="AW202" s="91" t="n">
        <v>19</v>
      </c>
      <c r="AX202" s="91" t="n">
        <v>22</v>
      </c>
      <c r="AY202" s="91" t="n">
        <v>32</v>
      </c>
      <c r="AZ202" s="88" t="n">
        <v>0.0106323447118075</v>
      </c>
      <c r="BA202" s="88" t="n">
        <v>0.01231113598209289</v>
      </c>
      <c r="BB202" s="88" t="n">
        <v>0.01790710688304421</v>
      </c>
      <c r="BC202" s="88" t="n">
        <v>0.3793103448275862</v>
      </c>
      <c r="BD202" s="91" t="n">
        <v>0</v>
      </c>
      <c r="BE202" s="91" t="n">
        <v>0</v>
      </c>
      <c r="BF202" s="89" t="n">
        <v>1</v>
      </c>
      <c r="BG202" s="89" t="n">
        <v>1</v>
      </c>
      <c r="BH202" s="89" t="inlineStr">
        <is>
          <t>-</t>
        </is>
      </c>
    </row>
    <row r="203" ht="19.55" customHeight="1">
      <c r="A203" s="92" t="n">
        <v>200</v>
      </c>
      <c r="B203" s="87" t="inlineStr">
        <is>
          <t>全国</t>
        </is>
      </c>
      <c r="C203" s="93" t="n">
        <v>46266</v>
      </c>
      <c r="D203" s="87" t="inlineStr">
        <is>
          <t>N7</t>
        </is>
      </c>
      <c r="E203" s="87" t="n">
        <v>2046</v>
      </c>
      <c r="F203" s="87" t="n">
        <v>1881</v>
      </c>
      <c r="G203" s="88" t="n">
        <v>0.9193548387096774</v>
      </c>
      <c r="H203" s="87" t="n">
        <v>612</v>
      </c>
      <c r="I203" s="89" t="n">
        <v>0.2991202346041056</v>
      </c>
      <c r="J203" s="87" t="n">
        <v>1557</v>
      </c>
      <c r="K203" s="87" t="n">
        <v>1513</v>
      </c>
      <c r="L203" s="88" t="n">
        <v>0.972</v>
      </c>
      <c r="M203" s="87" t="n">
        <v>6915</v>
      </c>
      <c r="N203" s="87" t="n">
        <v>6323</v>
      </c>
      <c r="O203" s="87" t="n">
        <v>6732</v>
      </c>
      <c r="P203" s="88" t="n">
        <v>0.9735357917570499</v>
      </c>
      <c r="Q203" s="87" t="n">
        <v>69</v>
      </c>
      <c r="R203" s="87" t="n">
        <v>0</v>
      </c>
      <c r="S203" s="87" t="n">
        <v>0</v>
      </c>
      <c r="T203" s="88" t="n">
        <v>0</v>
      </c>
      <c r="U203" s="87" t="n">
        <v>0</v>
      </c>
      <c r="V203" s="88" t="n">
        <v>0</v>
      </c>
      <c r="W203" s="87" t="n">
        <v>194</v>
      </c>
      <c r="X203" s="88" t="n">
        <v>0.09481915933528837</v>
      </c>
      <c r="Y203" s="87" t="n">
        <v>434</v>
      </c>
      <c r="Z203" s="90" t="n">
        <v>0.2121212121212121</v>
      </c>
      <c r="AA203" s="87" t="n">
        <v>4</v>
      </c>
      <c r="AB203" s="88" t="n">
        <v>0.001955034213098729</v>
      </c>
      <c r="AC203" s="87" t="n">
        <v>77</v>
      </c>
      <c r="AD203" s="88" t="n">
        <v>0.03763440860215054</v>
      </c>
      <c r="AE203" s="87" t="n">
        <v>18</v>
      </c>
      <c r="AF203" s="88" t="n">
        <v>0.2337662337662338</v>
      </c>
      <c r="AG203" s="87" t="n">
        <v>65</v>
      </c>
      <c r="AH203" s="88" t="n">
        <v>0.8441558441558441</v>
      </c>
      <c r="AI203" s="91" t="n">
        <v>68</v>
      </c>
      <c r="AJ203" s="88" t="n">
        <v>0.0332355816226784</v>
      </c>
      <c r="AK203" s="91" t="n">
        <v>0</v>
      </c>
      <c r="AL203" s="88" t="n">
        <v>0.7794117647058824</v>
      </c>
      <c r="AM203" s="91" t="n">
        <v>65</v>
      </c>
      <c r="AN203" s="91" t="n">
        <v>53</v>
      </c>
      <c r="AO203" s="88" t="n">
        <v>0.02590420332355816</v>
      </c>
      <c r="AP203" s="88" t="n">
        <v>0.6883116883116883</v>
      </c>
      <c r="AQ203" s="89" t="n">
        <v>0.9714285714285714</v>
      </c>
      <c r="AR203" s="89" t="n">
        <v>0.5571428571428572</v>
      </c>
      <c r="AS203" s="89" t="n">
        <v>0.5142857142857142</v>
      </c>
      <c r="AT203" s="91" t="n">
        <v>0</v>
      </c>
      <c r="AU203" s="91" t="n">
        <v>0</v>
      </c>
      <c r="AV203" s="91" t="n">
        <v>19</v>
      </c>
      <c r="AW203" s="91" t="n">
        <v>18</v>
      </c>
      <c r="AX203" s="91" t="n">
        <v>19</v>
      </c>
      <c r="AY203" s="91" t="n">
        <v>27</v>
      </c>
      <c r="AZ203" s="88" t="n">
        <v>0.008797653958944282</v>
      </c>
      <c r="BA203" s="88" t="n">
        <v>0.009286412512218964</v>
      </c>
      <c r="BB203" s="88" t="n">
        <v>0.01319648093841642</v>
      </c>
      <c r="BC203" s="88" t="n">
        <v>0.3584905660377358</v>
      </c>
      <c r="BD203" s="91" t="n">
        <v>0</v>
      </c>
      <c r="BE203" s="91" t="n">
        <v>0</v>
      </c>
      <c r="BF203" s="89" t="n">
        <v>1</v>
      </c>
      <c r="BG203" s="89" t="n">
        <v>1</v>
      </c>
      <c r="BH203" s="89" t="inlineStr">
        <is>
          <t>-</t>
        </is>
      </c>
    </row>
    <row r="204" ht="19.55" customHeight="1">
      <c r="A204" s="92" t="n">
        <v>201</v>
      </c>
      <c r="B204" s="87" t="inlineStr">
        <is>
          <t>全国</t>
        </is>
      </c>
      <c r="C204" s="93" t="n">
        <v>46266</v>
      </c>
      <c r="D204" s="87" t="inlineStr">
        <is>
          <t>NX8</t>
        </is>
      </c>
      <c r="E204" s="87" t="n">
        <v>3515</v>
      </c>
      <c r="F204" s="87" t="n">
        <v>3138</v>
      </c>
      <c r="G204" s="88" t="n">
        <v>0.8927453769559033</v>
      </c>
      <c r="H204" s="87" t="n">
        <v>1062</v>
      </c>
      <c r="I204" s="89" t="n">
        <v>0.3021337126600285</v>
      </c>
      <c r="J204" s="87" t="n">
        <v>4387</v>
      </c>
      <c r="K204" s="87" t="n">
        <v>4197</v>
      </c>
      <c r="L204" s="88" t="n">
        <v>0.957</v>
      </c>
      <c r="M204" s="87" t="n">
        <v>21523</v>
      </c>
      <c r="N204" s="87" t="n">
        <v>20471</v>
      </c>
      <c r="O204" s="87" t="n">
        <v>20886</v>
      </c>
      <c r="P204" s="88" t="n">
        <v>0.9704037541234958</v>
      </c>
      <c r="Q204" s="87" t="n">
        <v>244</v>
      </c>
      <c r="R204" s="87" t="n">
        <v>0</v>
      </c>
      <c r="S204" s="87" t="n">
        <v>0</v>
      </c>
      <c r="T204" s="88" t="n">
        <v>0</v>
      </c>
      <c r="U204" s="87" t="n">
        <v>0</v>
      </c>
      <c r="V204" s="88" t="n">
        <v>0</v>
      </c>
      <c r="W204" s="87" t="n">
        <v>546</v>
      </c>
      <c r="X204" s="88" t="n">
        <v>0.1553342816500711</v>
      </c>
      <c r="Y204" s="87" t="n">
        <v>2564</v>
      </c>
      <c r="Z204" s="90" t="n">
        <v>0.7294452347083926</v>
      </c>
      <c r="AA204" s="87" t="n">
        <v>6</v>
      </c>
      <c r="AB204" s="88" t="n">
        <v>0.00170697012802276</v>
      </c>
      <c r="AC204" s="87" t="n">
        <v>318</v>
      </c>
      <c r="AD204" s="88" t="n">
        <v>0.09046941678520626</v>
      </c>
      <c r="AE204" s="87" t="n">
        <v>49</v>
      </c>
      <c r="AF204" s="88" t="n">
        <v>0.1540880503144654</v>
      </c>
      <c r="AG204" s="87" t="n">
        <v>258</v>
      </c>
      <c r="AH204" s="88" t="n">
        <v>0.8113207547169812</v>
      </c>
      <c r="AI204" s="91" t="n">
        <v>269</v>
      </c>
      <c r="AJ204" s="88" t="n">
        <v>0.07652916073968706</v>
      </c>
      <c r="AK204" s="91" t="n">
        <v>6</v>
      </c>
      <c r="AL204" s="88" t="n">
        <v>0.8104089219330854</v>
      </c>
      <c r="AM204" s="91" t="n">
        <v>247</v>
      </c>
      <c r="AN204" s="91" t="n">
        <v>218</v>
      </c>
      <c r="AO204" s="88" t="n">
        <v>0.0620199146514936</v>
      </c>
      <c r="AP204" s="88" t="n">
        <v>0.6855345911949685</v>
      </c>
      <c r="AQ204" s="89" t="n">
        <v>0.967409948542024</v>
      </c>
      <c r="AR204" s="89" t="n">
        <v>0.625</v>
      </c>
      <c r="AS204" s="89" t="n">
        <v>0.6174242424242424</v>
      </c>
      <c r="AT204" s="91" t="n">
        <v>0</v>
      </c>
      <c r="AU204" s="91" t="n">
        <v>0</v>
      </c>
      <c r="AV204" s="91" t="n">
        <v>34</v>
      </c>
      <c r="AW204" s="91" t="n">
        <v>25</v>
      </c>
      <c r="AX204" s="91" t="n">
        <v>32</v>
      </c>
      <c r="AY204" s="91" t="n">
        <v>101</v>
      </c>
      <c r="AZ204" s="88" t="n">
        <v>0.007112375533428165</v>
      </c>
      <c r="BA204" s="88" t="n">
        <v>0.009103840682788052</v>
      </c>
      <c r="BB204" s="88" t="n">
        <v>0.02873399715504979</v>
      </c>
      <c r="BC204" s="88" t="n">
        <v>0.1467889908256881</v>
      </c>
      <c r="BD204" s="91" t="n">
        <v>0</v>
      </c>
      <c r="BE204" s="91" t="n">
        <v>1</v>
      </c>
      <c r="BF204" s="89" t="n">
        <v>0.9375</v>
      </c>
      <c r="BG204" s="89" t="n">
        <v>1</v>
      </c>
      <c r="BH204" s="89" t="inlineStr">
        <is>
          <t>-</t>
        </is>
      </c>
    </row>
    <row r="205" ht="19.55" customHeight="1">
      <c r="A205" s="92" t="n">
        <v>202</v>
      </c>
      <c r="B205" s="87" t="inlineStr">
        <is>
          <t>全国</t>
        </is>
      </c>
      <c r="C205" s="93" t="n">
        <v>46266</v>
      </c>
      <c r="D205" s="87" t="inlineStr">
        <is>
          <t>天籁·鸿蒙座舱</t>
        </is>
      </c>
      <c r="E205" s="87" t="n">
        <v>2960</v>
      </c>
      <c r="F205" s="87" t="n">
        <v>2672</v>
      </c>
      <c r="G205" s="88" t="n">
        <v>0.9027027027027027</v>
      </c>
      <c r="H205" s="87" t="n">
        <v>1693</v>
      </c>
      <c r="I205" s="89" t="n">
        <v>0.5719594594594595</v>
      </c>
      <c r="J205" s="87" t="n">
        <v>4109</v>
      </c>
      <c r="K205" s="87" t="n">
        <v>3992</v>
      </c>
      <c r="L205" s="88" t="n">
        <v>0.972</v>
      </c>
      <c r="M205" s="87" t="n">
        <v>17962</v>
      </c>
      <c r="N205" s="87" t="n">
        <v>17494</v>
      </c>
      <c r="O205" s="87" t="n">
        <v>17612</v>
      </c>
      <c r="P205" s="88" t="n">
        <v>0.9805144193296961</v>
      </c>
      <c r="Q205" s="87" t="n">
        <v>89</v>
      </c>
      <c r="R205" s="87" t="n">
        <v>0</v>
      </c>
      <c r="S205" s="87" t="n">
        <v>0</v>
      </c>
      <c r="T205" s="88" t="n">
        <v>0</v>
      </c>
      <c r="U205" s="87" t="n">
        <v>0</v>
      </c>
      <c r="V205" s="88" t="n">
        <v>0</v>
      </c>
      <c r="W205" s="87" t="n">
        <v>271</v>
      </c>
      <c r="X205" s="88" t="n">
        <v>0.09155405405405405</v>
      </c>
      <c r="Y205" s="87" t="n">
        <v>970</v>
      </c>
      <c r="Z205" s="90" t="n">
        <v>0.3277027027027027</v>
      </c>
      <c r="AA205" s="87" t="n">
        <v>6</v>
      </c>
      <c r="AB205" s="88" t="n">
        <v>0.002027027027027027</v>
      </c>
      <c r="AC205" s="87" t="n">
        <v>177</v>
      </c>
      <c r="AD205" s="88" t="n">
        <v>0.0597972972972973</v>
      </c>
      <c r="AE205" s="87" t="n">
        <v>19</v>
      </c>
      <c r="AF205" s="88" t="n">
        <v>0.1073446327683616</v>
      </c>
      <c r="AG205" s="87" t="n">
        <v>156</v>
      </c>
      <c r="AH205" s="88" t="n">
        <v>0.8813559322033898</v>
      </c>
      <c r="AI205" s="91" t="n">
        <v>136</v>
      </c>
      <c r="AJ205" s="88" t="n">
        <v>0.04594594594594595</v>
      </c>
      <c r="AK205" s="91" t="n">
        <v>10</v>
      </c>
      <c r="AL205" s="88" t="n">
        <v>0.875</v>
      </c>
      <c r="AM205" s="91" t="n">
        <v>136</v>
      </c>
      <c r="AN205" s="91" t="n">
        <v>119</v>
      </c>
      <c r="AO205" s="88" t="n">
        <v>0.0402027027027027</v>
      </c>
      <c r="AP205" s="88" t="n">
        <v>0.672316384180791</v>
      </c>
      <c r="AQ205" s="89" t="n">
        <v>0.9844559585492227</v>
      </c>
      <c r="AR205" s="89" t="n">
        <v>0.648</v>
      </c>
      <c r="AS205" s="89" t="n">
        <v>0.632</v>
      </c>
      <c r="AT205" s="91" t="n">
        <v>0</v>
      </c>
      <c r="AU205" s="91" t="n">
        <v>0</v>
      </c>
      <c r="AV205" s="91" t="n">
        <v>37</v>
      </c>
      <c r="AW205" s="91" t="n">
        <v>26</v>
      </c>
      <c r="AX205" s="91" t="n">
        <v>33</v>
      </c>
      <c r="AY205" s="91" t="n">
        <v>79</v>
      </c>
      <c r="AZ205" s="88" t="n">
        <v>0.008783783783783784</v>
      </c>
      <c r="BA205" s="88" t="n">
        <v>0.01114864864864865</v>
      </c>
      <c r="BB205" s="88" t="n">
        <v>0.02668918918918919</v>
      </c>
      <c r="BC205" s="88" t="n">
        <v>0.2773109243697479</v>
      </c>
      <c r="BD205" s="91" t="n">
        <v>0</v>
      </c>
      <c r="BE205" s="91" t="n">
        <v>0</v>
      </c>
      <c r="BF205" s="89" t="n">
        <v>1</v>
      </c>
      <c r="BG205" s="89" t="n">
        <v>1</v>
      </c>
      <c r="BH205" s="89" t="inlineStr">
        <is>
          <t>-</t>
        </is>
      </c>
    </row>
    <row r="206" ht="19.55" customHeight="1">
      <c r="A206" s="92" t="n">
        <v>203</v>
      </c>
      <c r="B206" s="87" t="inlineStr">
        <is>
          <t>全国</t>
        </is>
      </c>
      <c r="C206" s="93" t="n">
        <v>46267</v>
      </c>
      <c r="D206" s="87" t="n"/>
      <c r="E206" s="87" t="n">
        <v>42</v>
      </c>
      <c r="F206" s="87" t="n">
        <v>41</v>
      </c>
      <c r="G206" s="88" t="n">
        <v>0.9761904761904762</v>
      </c>
      <c r="H206" s="87" t="n">
        <v>42</v>
      </c>
      <c r="I206" s="89" t="n">
        <v>1</v>
      </c>
      <c r="J206" s="87" t="n">
        <v>0</v>
      </c>
      <c r="K206" s="87" t="n">
        <v>0</v>
      </c>
      <c r="L206" s="88" t="n">
        <v>0</v>
      </c>
      <c r="M206" s="87" t="n">
        <v>1</v>
      </c>
      <c r="N206" s="87" t="n">
        <v>0</v>
      </c>
      <c r="O206" s="87" t="n">
        <v>1</v>
      </c>
      <c r="P206" s="88" t="n">
        <v>1</v>
      </c>
      <c r="Q206" s="87" t="n">
        <v>0</v>
      </c>
      <c r="R206" s="87" t="n">
        <v>0</v>
      </c>
      <c r="S206" s="87" t="n">
        <v>0</v>
      </c>
      <c r="T206" s="88" t="n">
        <v>0</v>
      </c>
      <c r="U206" s="87" t="n">
        <v>0</v>
      </c>
      <c r="V206" s="88" t="n">
        <v>0</v>
      </c>
      <c r="W206" s="87" t="n">
        <v>2</v>
      </c>
      <c r="X206" s="88" t="n">
        <v>0.04761904761904762</v>
      </c>
      <c r="Y206" s="87" t="n">
        <v>11</v>
      </c>
      <c r="Z206" s="90" t="n">
        <v>0.2619047619047619</v>
      </c>
      <c r="AA206" s="87" t="n">
        <v>0</v>
      </c>
      <c r="AB206" s="88" t="n">
        <v>0</v>
      </c>
      <c r="AC206" s="87" t="n">
        <v>0</v>
      </c>
      <c r="AD206" s="88" t="n">
        <v>0</v>
      </c>
      <c r="AE206" s="87" t="n">
        <v>0</v>
      </c>
      <c r="AF206" s="88" t="n">
        <v>0</v>
      </c>
      <c r="AG206" s="87" t="n">
        <v>0</v>
      </c>
      <c r="AH206" s="88" t="n">
        <v>0</v>
      </c>
      <c r="AI206" s="91" t="n">
        <v>0</v>
      </c>
      <c r="AJ206" s="88" t="n">
        <v>0</v>
      </c>
      <c r="AK206" s="91" t="n">
        <v>0</v>
      </c>
      <c r="AL206" s="88" t="n">
        <v>0</v>
      </c>
      <c r="AM206" s="91" t="n">
        <v>0</v>
      </c>
      <c r="AN206" s="91" t="n">
        <v>0</v>
      </c>
      <c r="AO206" s="88" t="n">
        <v>0</v>
      </c>
      <c r="AP206" s="88" t="n">
        <v>0</v>
      </c>
      <c r="AQ206" s="89" t="n"/>
      <c r="AR206" s="89" t="n">
        <v>0</v>
      </c>
      <c r="AS206" s="89" t="n">
        <v>0</v>
      </c>
      <c r="AT206" s="91" t="n">
        <v>0</v>
      </c>
      <c r="AU206" s="91" t="n">
        <v>0</v>
      </c>
      <c r="AV206" s="91" t="n">
        <v>0</v>
      </c>
      <c r="AW206" s="91" t="n">
        <v>0</v>
      </c>
      <c r="AX206" s="91" t="n">
        <v>0</v>
      </c>
      <c r="AY206" s="91" t="n">
        <v>0</v>
      </c>
      <c r="AZ206" s="88" t="n">
        <v>0</v>
      </c>
      <c r="BA206" s="88" t="n">
        <v>0</v>
      </c>
      <c r="BB206" s="88" t="n">
        <v>0</v>
      </c>
      <c r="BC206" s="88" t="n">
        <v>0</v>
      </c>
      <c r="BD206" s="91" t="n">
        <v>0</v>
      </c>
      <c r="BE206" s="91" t="n">
        <v>0</v>
      </c>
      <c r="BF206" s="89" t="inlineStr">
        <is>
          <t>-</t>
        </is>
      </c>
      <c r="BG206" s="89" t="inlineStr">
        <is>
          <t>-</t>
        </is>
      </c>
      <c r="BH206" s="89" t="n">
        <v>1</v>
      </c>
    </row>
    <row r="207" ht="19.55" customHeight="1">
      <c r="A207" s="92" t="n">
        <v>204</v>
      </c>
      <c r="B207" s="87" t="inlineStr">
        <is>
          <t>全国</t>
        </is>
      </c>
      <c r="C207" s="93" t="n">
        <v>46267</v>
      </c>
      <c r="D207" s="87" t="inlineStr">
        <is>
          <t>2026款探陆</t>
        </is>
      </c>
      <c r="E207" s="87" t="n">
        <v>99</v>
      </c>
      <c r="F207" s="87" t="n">
        <v>90</v>
      </c>
      <c r="G207" s="88" t="n">
        <v>0.9090909090909091</v>
      </c>
      <c r="H207" s="87" t="n">
        <v>78</v>
      </c>
      <c r="I207" s="89" t="n">
        <v>0.7878787878787878</v>
      </c>
      <c r="J207" s="87" t="n">
        <v>362</v>
      </c>
      <c r="K207" s="87" t="n">
        <v>240</v>
      </c>
      <c r="L207" s="88" t="n">
        <v>0.663</v>
      </c>
      <c r="M207" s="87" t="n">
        <v>1078</v>
      </c>
      <c r="N207" s="87" t="n">
        <v>1015</v>
      </c>
      <c r="O207" s="87" t="n">
        <v>857</v>
      </c>
      <c r="P207" s="88" t="n">
        <v>0.7949907235621522</v>
      </c>
      <c r="Q207" s="87" t="n">
        <v>101</v>
      </c>
      <c r="R207" s="87" t="n">
        <v>0</v>
      </c>
      <c r="S207" s="87" t="n">
        <v>0</v>
      </c>
      <c r="T207" s="88" t="n">
        <v>0</v>
      </c>
      <c r="U207" s="87" t="n">
        <v>0</v>
      </c>
      <c r="V207" s="88" t="n">
        <v>0</v>
      </c>
      <c r="W207" s="87" t="n">
        <v>7</v>
      </c>
      <c r="X207" s="88" t="n">
        <v>0.0707070707070707</v>
      </c>
      <c r="Y207" s="87" t="n">
        <v>75</v>
      </c>
      <c r="Z207" s="90" t="n">
        <v>0.7575757575757576</v>
      </c>
      <c r="AA207" s="87" t="n">
        <v>28</v>
      </c>
      <c r="AB207" s="88" t="n">
        <v>0.2828282828282828</v>
      </c>
      <c r="AC207" s="87" t="n">
        <v>2</v>
      </c>
      <c r="AD207" s="88" t="n">
        <v>0.0202020202020202</v>
      </c>
      <c r="AE207" s="87" t="n">
        <v>0</v>
      </c>
      <c r="AF207" s="88" t="n">
        <v>0</v>
      </c>
      <c r="AG207" s="87" t="n">
        <v>0</v>
      </c>
      <c r="AH207" s="88" t="n">
        <v>0</v>
      </c>
      <c r="AI207" s="91" t="n">
        <v>0</v>
      </c>
      <c r="AJ207" s="88" t="n">
        <v>0</v>
      </c>
      <c r="AK207" s="91" t="n">
        <v>0</v>
      </c>
      <c r="AL207" s="88" t="n">
        <v>0</v>
      </c>
      <c r="AM207" s="91" t="n">
        <v>0</v>
      </c>
      <c r="AN207" s="91" t="n">
        <v>0</v>
      </c>
      <c r="AO207" s="88" t="n">
        <v>0</v>
      </c>
      <c r="AP207" s="88" t="n">
        <v>0</v>
      </c>
      <c r="AQ207" s="89" t="n">
        <v>1</v>
      </c>
      <c r="AR207" s="89" t="inlineStr">
        <is>
          <t>0.0%</t>
        </is>
      </c>
      <c r="AS207" s="89" t="inlineStr">
        <is>
          <t>0.0%</t>
        </is>
      </c>
      <c r="AT207" s="91" t="n">
        <v>0</v>
      </c>
      <c r="AU207" s="91" t="n">
        <v>0</v>
      </c>
      <c r="AV207" s="91" t="n">
        <v>5</v>
      </c>
      <c r="AW207" s="91" t="n">
        <v>5</v>
      </c>
      <c r="AX207" s="91" t="n">
        <v>4</v>
      </c>
      <c r="AY207" s="91" t="n">
        <v>3</v>
      </c>
      <c r="AZ207" s="88" t="n">
        <v>0.0505050505050505</v>
      </c>
      <c r="BA207" s="88" t="n">
        <v>0.04040404040404041</v>
      </c>
      <c r="BB207" s="88" t="n">
        <v>0.0303030303030303</v>
      </c>
      <c r="BC207" s="88" t="n">
        <v>0</v>
      </c>
      <c r="BD207" s="91" t="n">
        <v>0</v>
      </c>
      <c r="BE207" s="91" t="n">
        <v>0</v>
      </c>
      <c r="BF207" s="89" t="inlineStr">
        <is>
          <t>-</t>
        </is>
      </c>
      <c r="BG207" s="89" t="n">
        <v>1</v>
      </c>
      <c r="BH207" s="89" t="inlineStr">
        <is>
          <t>-</t>
        </is>
      </c>
    </row>
    <row r="208" ht="19.55" customHeight="1">
      <c r="A208" s="92" t="n">
        <v>205</v>
      </c>
      <c r="B208" s="87" t="inlineStr">
        <is>
          <t>全国</t>
        </is>
      </c>
      <c r="C208" s="93" t="n">
        <v>46267</v>
      </c>
      <c r="D208" s="87" t="inlineStr">
        <is>
          <t>N6</t>
        </is>
      </c>
      <c r="E208" s="87" t="n">
        <v>1553</v>
      </c>
      <c r="F208" s="87" t="n">
        <v>1359</v>
      </c>
      <c r="G208" s="88" t="n">
        <v>0.8750804893754024</v>
      </c>
      <c r="H208" s="87" t="n">
        <v>470</v>
      </c>
      <c r="I208" s="89" t="n">
        <v>0.3026400515132003</v>
      </c>
      <c r="J208" s="87" t="n">
        <v>1156</v>
      </c>
      <c r="K208" s="87" t="n">
        <v>1110</v>
      </c>
      <c r="L208" s="88" t="n">
        <v>0.96</v>
      </c>
      <c r="M208" s="87" t="n">
        <v>6392</v>
      </c>
      <c r="N208" s="87" t="n">
        <v>6491</v>
      </c>
      <c r="O208" s="87" t="n">
        <v>6255</v>
      </c>
      <c r="P208" s="88" t="n">
        <v>0.978566958698373</v>
      </c>
      <c r="Q208" s="87" t="n">
        <v>48</v>
      </c>
      <c r="R208" s="87" t="n">
        <v>0</v>
      </c>
      <c r="S208" s="87" t="n">
        <v>0</v>
      </c>
      <c r="T208" s="88" t="n">
        <v>0</v>
      </c>
      <c r="U208" s="87" t="n">
        <v>0</v>
      </c>
      <c r="V208" s="88" t="n">
        <v>0</v>
      </c>
      <c r="W208" s="87" t="n">
        <v>202</v>
      </c>
      <c r="X208" s="88" t="n">
        <v>0.1300708306503542</v>
      </c>
      <c r="Y208" s="87" t="n">
        <v>612</v>
      </c>
      <c r="Z208" s="90" t="n">
        <v>0.3940759819703799</v>
      </c>
      <c r="AA208" s="87" t="n">
        <v>8</v>
      </c>
      <c r="AB208" s="88" t="n">
        <v>0.0051513200257566</v>
      </c>
      <c r="AC208" s="87" t="n">
        <v>100</v>
      </c>
      <c r="AD208" s="88" t="n">
        <v>0.06439150032195751</v>
      </c>
      <c r="AE208" s="87" t="n">
        <v>12</v>
      </c>
      <c r="AF208" s="88" t="n">
        <v>0.12</v>
      </c>
      <c r="AG208" s="87" t="n">
        <v>72</v>
      </c>
      <c r="AH208" s="88" t="n">
        <v>0.72</v>
      </c>
      <c r="AI208" s="91" t="n">
        <v>66</v>
      </c>
      <c r="AJ208" s="88" t="n">
        <v>0.04249839021249195</v>
      </c>
      <c r="AK208" s="91" t="n">
        <v>5</v>
      </c>
      <c r="AL208" s="88" t="n">
        <v>0.8787878787878788</v>
      </c>
      <c r="AM208" s="91" t="n">
        <v>65</v>
      </c>
      <c r="AN208" s="91" t="n">
        <v>58</v>
      </c>
      <c r="AO208" s="88" t="n">
        <v>0.03734707018673535</v>
      </c>
      <c r="AP208" s="88" t="n">
        <v>0.58</v>
      </c>
      <c r="AQ208" s="89" t="n">
        <v>0.9824561403508771</v>
      </c>
      <c r="AR208" s="89" t="n">
        <v>0.6190476190476191</v>
      </c>
      <c r="AS208" s="89" t="n">
        <v>0.5238095238095238</v>
      </c>
      <c r="AT208" s="91" t="n">
        <v>0</v>
      </c>
      <c r="AU208" s="91" t="n">
        <v>0</v>
      </c>
      <c r="AV208" s="91" t="n">
        <v>16</v>
      </c>
      <c r="AW208" s="91" t="n">
        <v>16</v>
      </c>
      <c r="AX208" s="91" t="n">
        <v>18</v>
      </c>
      <c r="AY208" s="91" t="n">
        <v>39</v>
      </c>
      <c r="AZ208" s="88" t="n">
        <v>0.0103026400515132</v>
      </c>
      <c r="BA208" s="88" t="n">
        <v>0.01159047005795235</v>
      </c>
      <c r="BB208" s="88" t="n">
        <v>0.02511268512556343</v>
      </c>
      <c r="BC208" s="88" t="n">
        <v>0.3103448275862069</v>
      </c>
      <c r="BD208" s="91" t="n">
        <v>0</v>
      </c>
      <c r="BE208" s="91" t="n">
        <v>0</v>
      </c>
      <c r="BF208" s="89" t="n">
        <v>1</v>
      </c>
      <c r="BG208" s="89" t="n">
        <v>1</v>
      </c>
      <c r="BH208" s="89" t="inlineStr">
        <is>
          <t>-</t>
        </is>
      </c>
    </row>
    <row r="209" ht="19.55" customHeight="1">
      <c r="A209" s="92" t="n">
        <v>206</v>
      </c>
      <c r="B209" s="87" t="inlineStr">
        <is>
          <t>全国</t>
        </is>
      </c>
      <c r="C209" s="93" t="n">
        <v>46267</v>
      </c>
      <c r="D209" s="87" t="inlineStr">
        <is>
          <t>N7</t>
        </is>
      </c>
      <c r="E209" s="87" t="n">
        <v>1753</v>
      </c>
      <c r="F209" s="87" t="n">
        <v>1604</v>
      </c>
      <c r="G209" s="88" t="n">
        <v>0.91500285225328</v>
      </c>
      <c r="H209" s="87" t="n">
        <v>657</v>
      </c>
      <c r="I209" s="89" t="n">
        <v>0.3747860810039931</v>
      </c>
      <c r="J209" s="87" t="n">
        <v>1005</v>
      </c>
      <c r="K209" s="87" t="n">
        <v>969</v>
      </c>
      <c r="L209" s="88" t="n">
        <v>0.964</v>
      </c>
      <c r="M209" s="87" t="n">
        <v>6273</v>
      </c>
      <c r="N209" s="87" t="n">
        <v>6133</v>
      </c>
      <c r="O209" s="87" t="n">
        <v>6133</v>
      </c>
      <c r="P209" s="88" t="n">
        <v>0.9776821297624742</v>
      </c>
      <c r="Q209" s="87" t="n">
        <v>46</v>
      </c>
      <c r="R209" s="87" t="n">
        <v>0</v>
      </c>
      <c r="S209" s="87" t="n">
        <v>0</v>
      </c>
      <c r="T209" s="88" t="n">
        <v>0</v>
      </c>
      <c r="U209" s="87" t="n">
        <v>0</v>
      </c>
      <c r="V209" s="88" t="n">
        <v>0</v>
      </c>
      <c r="W209" s="87" t="n">
        <v>157</v>
      </c>
      <c r="X209" s="88" t="n">
        <v>0.08956075299486595</v>
      </c>
      <c r="Y209" s="87" t="n">
        <v>607</v>
      </c>
      <c r="Z209" s="90" t="n">
        <v>0.3462635482030804</v>
      </c>
      <c r="AA209" s="87" t="n">
        <v>1</v>
      </c>
      <c r="AB209" s="88" t="n">
        <v>0.0005704506560182544</v>
      </c>
      <c r="AC209" s="87" t="n">
        <v>70</v>
      </c>
      <c r="AD209" s="88" t="n">
        <v>0.03993154592127781</v>
      </c>
      <c r="AE209" s="87" t="n">
        <v>13</v>
      </c>
      <c r="AF209" s="88" t="n">
        <v>0.1857142857142857</v>
      </c>
      <c r="AG209" s="87" t="n">
        <v>61</v>
      </c>
      <c r="AH209" s="88" t="n">
        <v>0.8714285714285714</v>
      </c>
      <c r="AI209" s="91" t="n">
        <v>55</v>
      </c>
      <c r="AJ209" s="88" t="n">
        <v>0.03137478608100399</v>
      </c>
      <c r="AK209" s="91" t="n">
        <v>5</v>
      </c>
      <c r="AL209" s="88" t="n">
        <v>0.9090909090909091</v>
      </c>
      <c r="AM209" s="91" t="n">
        <v>55</v>
      </c>
      <c r="AN209" s="91" t="n">
        <v>50</v>
      </c>
      <c r="AO209" s="88" t="n">
        <v>0.02852253280091272</v>
      </c>
      <c r="AP209" s="88" t="n">
        <v>0.7142857142857143</v>
      </c>
      <c r="AQ209" s="89" t="n">
        <v>0.9848484848484849</v>
      </c>
      <c r="AR209" s="89" t="n">
        <v>0.6909090909090909</v>
      </c>
      <c r="AS209" s="89" t="n">
        <v>0.6181818181818182</v>
      </c>
      <c r="AT209" s="91" t="n">
        <v>0</v>
      </c>
      <c r="AU209" s="91" t="n">
        <v>0</v>
      </c>
      <c r="AV209" s="91" t="n">
        <v>16</v>
      </c>
      <c r="AW209" s="91" t="n">
        <v>13</v>
      </c>
      <c r="AX209" s="91" t="n">
        <v>18</v>
      </c>
      <c r="AY209" s="91" t="n">
        <v>28</v>
      </c>
      <c r="AZ209" s="88" t="n">
        <v>0.007415858528237307</v>
      </c>
      <c r="BA209" s="88" t="n">
        <v>0.01026811180832858</v>
      </c>
      <c r="BB209" s="88" t="n">
        <v>0.01597261836851113</v>
      </c>
      <c r="BC209" s="88" t="n">
        <v>0.36</v>
      </c>
      <c r="BD209" s="91" t="n">
        <v>0</v>
      </c>
      <c r="BE209" s="91" t="n">
        <v>0</v>
      </c>
      <c r="BF209" s="89" t="n">
        <v>1</v>
      </c>
      <c r="BG209" s="89" t="n">
        <v>1</v>
      </c>
      <c r="BH209" s="89" t="inlineStr">
        <is>
          <t>-</t>
        </is>
      </c>
    </row>
    <row r="210" ht="19.55" customHeight="1">
      <c r="A210" s="92" t="n">
        <v>207</v>
      </c>
      <c r="B210" s="87" t="inlineStr">
        <is>
          <t>全国</t>
        </is>
      </c>
      <c r="C210" s="93" t="n">
        <v>46267</v>
      </c>
      <c r="D210" s="87" t="inlineStr">
        <is>
          <t>NX8</t>
        </is>
      </c>
      <c r="E210" s="87" t="n">
        <v>4122</v>
      </c>
      <c r="F210" s="87" t="n">
        <v>3734</v>
      </c>
      <c r="G210" s="88" t="n">
        <v>0.905870936438622</v>
      </c>
      <c r="H210" s="87" t="n">
        <v>1030</v>
      </c>
      <c r="I210" s="89" t="n">
        <v>0.2498786996603591</v>
      </c>
      <c r="J210" s="87" t="n">
        <v>4777</v>
      </c>
      <c r="K210" s="87" t="n">
        <v>4620</v>
      </c>
      <c r="L210" s="88" t="n">
        <v>0.967</v>
      </c>
      <c r="M210" s="87" t="n">
        <v>21356</v>
      </c>
      <c r="N210" s="87" t="n">
        <v>21201</v>
      </c>
      <c r="O210" s="87" t="n">
        <v>20899</v>
      </c>
      <c r="P210" s="88" t="n">
        <v>0.9786008615845664</v>
      </c>
      <c r="Q210" s="87" t="n">
        <v>178</v>
      </c>
      <c r="R210" s="87" t="n">
        <v>0</v>
      </c>
      <c r="S210" s="87" t="n">
        <v>0</v>
      </c>
      <c r="T210" s="88" t="n">
        <v>0</v>
      </c>
      <c r="U210" s="87" t="n">
        <v>0</v>
      </c>
      <c r="V210" s="88" t="n">
        <v>0</v>
      </c>
      <c r="W210" s="87" t="n">
        <v>634</v>
      </c>
      <c r="X210" s="88" t="n">
        <v>0.1538088306647259</v>
      </c>
      <c r="Y210" s="87" t="n">
        <v>1740</v>
      </c>
      <c r="Z210" s="90" t="n">
        <v>0.4221251819505095</v>
      </c>
      <c r="AA210" s="87" t="n">
        <v>6</v>
      </c>
      <c r="AB210" s="88" t="n">
        <v>0.001455604075691412</v>
      </c>
      <c r="AC210" s="87" t="n">
        <v>322</v>
      </c>
      <c r="AD210" s="88" t="n">
        <v>0.07811741872877244</v>
      </c>
      <c r="AE210" s="87" t="n">
        <v>39</v>
      </c>
      <c r="AF210" s="88" t="n">
        <v>0.1211180124223603</v>
      </c>
      <c r="AG210" s="87" t="n">
        <v>247</v>
      </c>
      <c r="AH210" s="88" t="n">
        <v>0.7670807453416149</v>
      </c>
      <c r="AI210" s="91" t="n">
        <v>251</v>
      </c>
      <c r="AJ210" s="88" t="n">
        <v>0.0608927704997574</v>
      </c>
      <c r="AK210" s="91" t="n">
        <v>18</v>
      </c>
      <c r="AL210" s="88" t="n">
        <v>0.8406374501992032</v>
      </c>
      <c r="AM210" s="91" t="n">
        <v>241</v>
      </c>
      <c r="AN210" s="91" t="n">
        <v>211</v>
      </c>
      <c r="AO210" s="88" t="n">
        <v>0.05118874332848132</v>
      </c>
      <c r="AP210" s="88" t="n">
        <v>0.65527950310559</v>
      </c>
      <c r="AQ210" s="89" t="n">
        <v>0.96875</v>
      </c>
      <c r="AR210" s="89" t="n">
        <v>0.5183673469387755</v>
      </c>
      <c r="AS210" s="89" t="n">
        <v>0.5020408163265306</v>
      </c>
      <c r="AT210" s="91" t="n">
        <v>0</v>
      </c>
      <c r="AU210" s="91" t="n">
        <v>0</v>
      </c>
      <c r="AV210" s="91" t="n">
        <v>29</v>
      </c>
      <c r="AW210" s="91" t="n">
        <v>21</v>
      </c>
      <c r="AX210" s="91" t="n">
        <v>33</v>
      </c>
      <c r="AY210" s="91" t="n">
        <v>99</v>
      </c>
      <c r="AZ210" s="88" t="n">
        <v>0.005094614264919942</v>
      </c>
      <c r="BA210" s="88" t="n">
        <v>0.008005822416302766</v>
      </c>
      <c r="BB210" s="88" t="n">
        <v>0.0240174672489083</v>
      </c>
      <c r="BC210" s="88" t="n">
        <v>0.1563981042654028</v>
      </c>
      <c r="BD210" s="91" t="n">
        <v>0</v>
      </c>
      <c r="BE210" s="91" t="n">
        <v>0</v>
      </c>
      <c r="BF210" s="89" t="n">
        <v>1</v>
      </c>
      <c r="BG210" s="89" t="n">
        <v>1</v>
      </c>
      <c r="BH210" s="89" t="inlineStr">
        <is>
          <t>-</t>
        </is>
      </c>
    </row>
    <row r="211" ht="19.55" customHeight="1">
      <c r="A211" s="92" t="n">
        <v>208</v>
      </c>
      <c r="B211" s="87" t="inlineStr">
        <is>
          <t>全国</t>
        </is>
      </c>
      <c r="C211" s="93" t="n">
        <v>46267</v>
      </c>
      <c r="D211" s="87" t="inlineStr">
        <is>
          <t>天籁·鸿蒙座舱</t>
        </is>
      </c>
      <c r="E211" s="87" t="n">
        <v>3965</v>
      </c>
      <c r="F211" s="87" t="n">
        <v>3615</v>
      </c>
      <c r="G211" s="88" t="n">
        <v>0.9117276166456494</v>
      </c>
      <c r="H211" s="87" t="n">
        <v>2107</v>
      </c>
      <c r="I211" s="89" t="n">
        <v>0.5313997477931904</v>
      </c>
      <c r="J211" s="87" t="n">
        <v>4618</v>
      </c>
      <c r="K211" s="87" t="n">
        <v>4514</v>
      </c>
      <c r="L211" s="88" t="n">
        <v>0.977</v>
      </c>
      <c r="M211" s="87" t="n">
        <v>19029</v>
      </c>
      <c r="N211" s="87" t="n">
        <v>19211</v>
      </c>
      <c r="O211" s="87" t="n">
        <v>18711</v>
      </c>
      <c r="P211" s="88" t="n">
        <v>0.9832886646697147</v>
      </c>
      <c r="Q211" s="87" t="n">
        <v>91</v>
      </c>
      <c r="R211" s="87" t="n">
        <v>0</v>
      </c>
      <c r="S211" s="87" t="n">
        <v>0</v>
      </c>
      <c r="T211" s="88" t="n">
        <v>0</v>
      </c>
      <c r="U211" s="87" t="n">
        <v>0</v>
      </c>
      <c r="V211" s="88" t="n">
        <v>0</v>
      </c>
      <c r="W211" s="87" t="n">
        <v>373</v>
      </c>
      <c r="X211" s="88" t="n">
        <v>0.09407313997477931</v>
      </c>
      <c r="Y211" s="87" t="n">
        <v>1139</v>
      </c>
      <c r="Z211" s="90" t="n">
        <v>0.2872635561160151</v>
      </c>
      <c r="AA211" s="87" t="n">
        <v>6</v>
      </c>
      <c r="AB211" s="88" t="n">
        <v>0.001513240857503153</v>
      </c>
      <c r="AC211" s="87" t="n">
        <v>174</v>
      </c>
      <c r="AD211" s="88" t="n">
        <v>0.04388398486759142</v>
      </c>
      <c r="AE211" s="87" t="n">
        <v>23</v>
      </c>
      <c r="AF211" s="88" t="n">
        <v>0.132183908045977</v>
      </c>
      <c r="AG211" s="87" t="n">
        <v>149</v>
      </c>
      <c r="AH211" s="88" t="n">
        <v>0.8563218390804598</v>
      </c>
      <c r="AI211" s="91" t="n">
        <v>132</v>
      </c>
      <c r="AJ211" s="88" t="n">
        <v>0.03329129886506936</v>
      </c>
      <c r="AK211" s="91" t="n">
        <v>5</v>
      </c>
      <c r="AL211" s="88" t="n">
        <v>0.8560606060606061</v>
      </c>
      <c r="AM211" s="91" t="n">
        <v>127</v>
      </c>
      <c r="AN211" s="91" t="n">
        <v>113</v>
      </c>
      <c r="AO211" s="88" t="n">
        <v>0.02849936948297604</v>
      </c>
      <c r="AP211" s="88" t="n">
        <v>0.6494252873563219</v>
      </c>
      <c r="AQ211" s="89" t="n">
        <v>0.9827586206896551</v>
      </c>
      <c r="AR211" s="89" t="n">
        <v>0.5703125</v>
      </c>
      <c r="AS211" s="89" t="n">
        <v>0.5546875</v>
      </c>
      <c r="AT211" s="91" t="n">
        <v>0</v>
      </c>
      <c r="AU211" s="91" t="n">
        <v>0</v>
      </c>
      <c r="AV211" s="91" t="n">
        <v>47</v>
      </c>
      <c r="AW211" s="91" t="n">
        <v>40</v>
      </c>
      <c r="AX211" s="91" t="n">
        <v>43</v>
      </c>
      <c r="AY211" s="91" t="n">
        <v>62</v>
      </c>
      <c r="AZ211" s="88" t="n">
        <v>0.01008827238335435</v>
      </c>
      <c r="BA211" s="88" t="n">
        <v>0.01084489281210593</v>
      </c>
      <c r="BB211" s="88" t="n">
        <v>0.01563682219419925</v>
      </c>
      <c r="BC211" s="88" t="n">
        <v>0.3805309734513274</v>
      </c>
      <c r="BD211" s="91" t="n">
        <v>0</v>
      </c>
      <c r="BE211" s="91" t="n">
        <v>0</v>
      </c>
      <c r="BF211" s="89" t="n">
        <v>1</v>
      </c>
      <c r="BG211" s="89" t="n">
        <v>1</v>
      </c>
      <c r="BH211" s="89" t="inlineStr">
        <is>
          <t>-</t>
        </is>
      </c>
    </row>
    <row r="212" ht="19.55" customHeight="1">
      <c r="A212" s="92" t="n">
        <v>209</v>
      </c>
      <c r="B212" s="87" t="inlineStr">
        <is>
          <t>全国</t>
        </is>
      </c>
      <c r="C212" s="93" t="n">
        <v>46268</v>
      </c>
      <c r="D212" s="87" t="n"/>
      <c r="E212" s="87" t="n">
        <v>30</v>
      </c>
      <c r="F212" s="87" t="n">
        <v>30</v>
      </c>
      <c r="G212" s="88" t="n">
        <v>1</v>
      </c>
      <c r="H212" s="87" t="n">
        <v>30</v>
      </c>
      <c r="I212" s="89" t="n">
        <v>1</v>
      </c>
      <c r="J212" s="87" t="n">
        <v>0</v>
      </c>
      <c r="K212" s="87" t="n">
        <v>0</v>
      </c>
      <c r="L212" s="88" t="n">
        <v>0</v>
      </c>
      <c r="M212" s="87" t="n">
        <v>3</v>
      </c>
      <c r="N212" s="87" t="n">
        <v>2</v>
      </c>
      <c r="O212" s="87" t="n">
        <v>1</v>
      </c>
      <c r="P212" s="88" t="n">
        <v>0.3333333333333333</v>
      </c>
      <c r="Q212" s="87" t="n">
        <v>2</v>
      </c>
      <c r="R212" s="87" t="n">
        <v>0</v>
      </c>
      <c r="S212" s="87" t="n">
        <v>0</v>
      </c>
      <c r="T212" s="88" t="n">
        <v>0</v>
      </c>
      <c r="U212" s="87" t="n">
        <v>0</v>
      </c>
      <c r="V212" s="88" t="n">
        <v>0</v>
      </c>
      <c r="W212" s="87" t="n">
        <v>9</v>
      </c>
      <c r="X212" s="88" t="n">
        <v>0.3</v>
      </c>
      <c r="Y212" s="87" t="n">
        <v>7</v>
      </c>
      <c r="Z212" s="90" t="n">
        <v>0.2333333333333333</v>
      </c>
      <c r="AA212" s="87" t="n">
        <v>1</v>
      </c>
      <c r="AB212" s="88" t="n">
        <v>0.03333333333333333</v>
      </c>
      <c r="AC212" s="87" t="n">
        <v>0</v>
      </c>
      <c r="AD212" s="88" t="n">
        <v>0</v>
      </c>
      <c r="AE212" s="87" t="n">
        <v>0</v>
      </c>
      <c r="AF212" s="88" t="n">
        <v>0</v>
      </c>
      <c r="AG212" s="87" t="n">
        <v>0</v>
      </c>
      <c r="AH212" s="88" t="n">
        <v>0</v>
      </c>
      <c r="AI212" s="91" t="n">
        <v>0</v>
      </c>
      <c r="AJ212" s="88" t="n">
        <v>0</v>
      </c>
      <c r="AK212" s="91" t="n">
        <v>0</v>
      </c>
      <c r="AL212" s="88" t="n">
        <v>0</v>
      </c>
      <c r="AM212" s="91" t="n">
        <v>0</v>
      </c>
      <c r="AN212" s="91" t="n">
        <v>0</v>
      </c>
      <c r="AO212" s="88" t="n">
        <v>0</v>
      </c>
      <c r="AP212" s="88" t="n">
        <v>0</v>
      </c>
      <c r="AQ212" s="89" t="n">
        <v>0</v>
      </c>
      <c r="AR212" s="89" t="n">
        <v>0</v>
      </c>
      <c r="AS212" s="89" t="n">
        <v>0</v>
      </c>
      <c r="AT212" s="91" t="n">
        <v>0</v>
      </c>
      <c r="AU212" s="91" t="n">
        <v>0</v>
      </c>
      <c r="AV212" s="91" t="n">
        <v>0</v>
      </c>
      <c r="AW212" s="91" t="n">
        <v>0</v>
      </c>
      <c r="AX212" s="91" t="n">
        <v>0</v>
      </c>
      <c r="AY212" s="91" t="n">
        <v>0</v>
      </c>
      <c r="AZ212" s="88" t="n">
        <v>0</v>
      </c>
      <c r="BA212" s="88" t="n">
        <v>0</v>
      </c>
      <c r="BB212" s="88" t="n">
        <v>0</v>
      </c>
      <c r="BC212" s="88" t="n">
        <v>0</v>
      </c>
      <c r="BD212" s="91" t="n">
        <v>0</v>
      </c>
      <c r="BE212" s="91" t="n">
        <v>1</v>
      </c>
      <c r="BF212" s="89" t="inlineStr">
        <is>
          <t>-</t>
        </is>
      </c>
      <c r="BG212" s="89" t="inlineStr">
        <is>
          <t>-</t>
        </is>
      </c>
      <c r="BH212" s="89" t="n">
        <v>0.9722222222222222</v>
      </c>
    </row>
    <row r="213" ht="19.55" customHeight="1">
      <c r="A213" s="92" t="n">
        <v>210</v>
      </c>
      <c r="B213" s="87" t="inlineStr">
        <is>
          <t>全国</t>
        </is>
      </c>
      <c r="C213" s="93" t="n">
        <v>46268</v>
      </c>
      <c r="D213" s="87" t="inlineStr">
        <is>
          <t>2026款探陆</t>
        </is>
      </c>
      <c r="E213" s="87" t="n">
        <v>95</v>
      </c>
      <c r="F213" s="87" t="n">
        <v>87</v>
      </c>
      <c r="G213" s="88" t="n">
        <v>0.9157894736842105</v>
      </c>
      <c r="H213" s="87" t="n">
        <v>72</v>
      </c>
      <c r="I213" s="89" t="n">
        <v>0.7578947368421053</v>
      </c>
      <c r="J213" s="87" t="n">
        <v>234</v>
      </c>
      <c r="K213" s="87" t="n">
        <v>149</v>
      </c>
      <c r="L213" s="88" t="n">
        <v>0.637</v>
      </c>
      <c r="M213" s="87" t="n">
        <v>902</v>
      </c>
      <c r="N213" s="87" t="n">
        <v>775</v>
      </c>
      <c r="O213" s="87" t="n">
        <v>728</v>
      </c>
      <c r="P213" s="88" t="n">
        <v>0.8070953436807096</v>
      </c>
      <c r="Q213" s="87" t="n">
        <v>68</v>
      </c>
      <c r="R213" s="87" t="n">
        <v>0</v>
      </c>
      <c r="S213" s="87" t="n">
        <v>0</v>
      </c>
      <c r="T213" s="88" t="n">
        <v>0</v>
      </c>
      <c r="U213" s="87" t="n">
        <v>0</v>
      </c>
      <c r="V213" s="88" t="n">
        <v>0</v>
      </c>
      <c r="W213" s="87" t="n">
        <v>19</v>
      </c>
      <c r="X213" s="88" t="n">
        <v>0.2</v>
      </c>
      <c r="Y213" s="87" t="n">
        <v>78</v>
      </c>
      <c r="Z213" s="90" t="n">
        <v>0.8210526315789474</v>
      </c>
      <c r="AA213" s="87" t="n">
        <v>19</v>
      </c>
      <c r="AB213" s="88" t="n">
        <v>0.2</v>
      </c>
      <c r="AC213" s="87" t="n">
        <v>1</v>
      </c>
      <c r="AD213" s="88" t="n">
        <v>0.01052631578947368</v>
      </c>
      <c r="AE213" s="87" t="n">
        <v>0</v>
      </c>
      <c r="AF213" s="88" t="n">
        <v>0</v>
      </c>
      <c r="AG213" s="87" t="n">
        <v>1</v>
      </c>
      <c r="AH213" s="88" t="n">
        <v>1</v>
      </c>
      <c r="AI213" s="91" t="n">
        <v>0</v>
      </c>
      <c r="AJ213" s="88" t="n">
        <v>0</v>
      </c>
      <c r="AK213" s="91" t="n">
        <v>0</v>
      </c>
      <c r="AL213" s="88" t="n">
        <v>0</v>
      </c>
      <c r="AM213" s="91" t="n">
        <v>0</v>
      </c>
      <c r="AN213" s="91" t="n">
        <v>0</v>
      </c>
      <c r="AO213" s="88" t="n">
        <v>0</v>
      </c>
      <c r="AP213" s="88" t="n">
        <v>0</v>
      </c>
      <c r="AQ213" s="89" t="n"/>
      <c r="AR213" s="89" t="n">
        <v>1</v>
      </c>
      <c r="AS213" s="89" t="n">
        <v>1</v>
      </c>
      <c r="AT213" s="91" t="n">
        <v>0</v>
      </c>
      <c r="AU213" s="91" t="n">
        <v>0</v>
      </c>
      <c r="AV213" s="91" t="n">
        <v>1</v>
      </c>
      <c r="AW213" s="91" t="n">
        <v>1</v>
      </c>
      <c r="AX213" s="91" t="n">
        <v>2</v>
      </c>
      <c r="AY213" s="91" t="n">
        <v>1</v>
      </c>
      <c r="AZ213" s="88" t="n">
        <v>0.01052631578947368</v>
      </c>
      <c r="BA213" s="88" t="n">
        <v>0.02105263157894737</v>
      </c>
      <c r="BB213" s="88" t="n">
        <v>0.01052631578947368</v>
      </c>
      <c r="BC213" s="88" t="n">
        <v>0</v>
      </c>
      <c r="BD213" s="91" t="n">
        <v>0</v>
      </c>
      <c r="BE213" s="91" t="n">
        <v>0</v>
      </c>
      <c r="BF213" s="89" t="inlineStr">
        <is>
          <t>-</t>
        </is>
      </c>
      <c r="BG213" s="89" t="inlineStr">
        <is>
          <t>-</t>
        </is>
      </c>
      <c r="BH213" s="89" t="inlineStr">
        <is>
          <t>-</t>
        </is>
      </c>
    </row>
    <row r="214" ht="19.55" customHeight="1">
      <c r="A214" s="92" t="n">
        <v>211</v>
      </c>
      <c r="B214" s="87" t="inlineStr">
        <is>
          <t>全国</t>
        </is>
      </c>
      <c r="C214" s="93" t="n">
        <v>46268</v>
      </c>
      <c r="D214" s="87" t="inlineStr">
        <is>
          <t>N6</t>
        </is>
      </c>
      <c r="E214" s="87" t="n">
        <v>1548</v>
      </c>
      <c r="F214" s="87" t="n">
        <v>1343</v>
      </c>
      <c r="G214" s="88" t="n">
        <v>0.8675710594315246</v>
      </c>
      <c r="H214" s="87" t="n">
        <v>636</v>
      </c>
      <c r="I214" s="89" t="n">
        <v>0.4108527131782946</v>
      </c>
      <c r="J214" s="87" t="n">
        <v>1709</v>
      </c>
      <c r="K214" s="87" t="n">
        <v>1639</v>
      </c>
      <c r="L214" s="88" t="n">
        <v>0.959</v>
      </c>
      <c r="M214" s="87" t="n">
        <v>7478</v>
      </c>
      <c r="N214" s="87" t="n">
        <v>7034</v>
      </c>
      <c r="O214" s="87" t="n">
        <v>7296</v>
      </c>
      <c r="P214" s="88" t="n">
        <v>0.9756619416956406</v>
      </c>
      <c r="Q214" s="87" t="n">
        <v>61</v>
      </c>
      <c r="R214" s="87" t="n">
        <v>0</v>
      </c>
      <c r="S214" s="87" t="n">
        <v>0</v>
      </c>
      <c r="T214" s="88" t="n">
        <v>0</v>
      </c>
      <c r="U214" s="87" t="n">
        <v>0</v>
      </c>
      <c r="V214" s="88" t="n">
        <v>0</v>
      </c>
      <c r="W214" s="87" t="n">
        <v>260</v>
      </c>
      <c r="X214" s="88" t="n">
        <v>0.1679586563307494</v>
      </c>
      <c r="Y214" s="87" t="n">
        <v>579</v>
      </c>
      <c r="Z214" s="90" t="n">
        <v>0.374031007751938</v>
      </c>
      <c r="AA214" s="87" t="n">
        <v>8</v>
      </c>
      <c r="AB214" s="88" t="n">
        <v>0.00516795865633075</v>
      </c>
      <c r="AC214" s="87" t="n">
        <v>74</v>
      </c>
      <c r="AD214" s="88" t="n">
        <v>0.04780361757105943</v>
      </c>
      <c r="AE214" s="87" t="n">
        <v>14</v>
      </c>
      <c r="AF214" s="88" t="n">
        <v>0.1891891891891892</v>
      </c>
      <c r="AG214" s="87" t="n">
        <v>49</v>
      </c>
      <c r="AH214" s="88" t="n">
        <v>0.6621621621621622</v>
      </c>
      <c r="AI214" s="91" t="n">
        <v>56</v>
      </c>
      <c r="AJ214" s="88" t="n">
        <v>0.03617571059431524</v>
      </c>
      <c r="AK214" s="91" t="n">
        <v>7</v>
      </c>
      <c r="AL214" s="88" t="n">
        <v>0.8928571428571429</v>
      </c>
      <c r="AM214" s="91" t="n">
        <v>56</v>
      </c>
      <c r="AN214" s="91" t="n">
        <v>50</v>
      </c>
      <c r="AO214" s="88" t="n">
        <v>0.03229974160206718</v>
      </c>
      <c r="AP214" s="88" t="n">
        <v>0.6756756756756757</v>
      </c>
      <c r="AQ214" s="89" t="n">
        <v>1</v>
      </c>
      <c r="AR214" s="89" t="n">
        <v>0.7037037037037037</v>
      </c>
      <c r="AS214" s="89" t="n">
        <v>0.6851851851851852</v>
      </c>
      <c r="AT214" s="91" t="n">
        <v>0</v>
      </c>
      <c r="AU214" s="91" t="n">
        <v>0</v>
      </c>
      <c r="AV214" s="91" t="n">
        <v>17</v>
      </c>
      <c r="AW214" s="91" t="n">
        <v>16</v>
      </c>
      <c r="AX214" s="91" t="n">
        <v>19</v>
      </c>
      <c r="AY214" s="91" t="n">
        <v>31</v>
      </c>
      <c r="AZ214" s="88" t="n">
        <v>0.0103359173126615</v>
      </c>
      <c r="BA214" s="88" t="n">
        <v>0.01227390180878553</v>
      </c>
      <c r="BB214" s="88" t="n">
        <v>0.02002583979328165</v>
      </c>
      <c r="BC214" s="88" t="n">
        <v>0.38</v>
      </c>
      <c r="BD214" s="91" t="n">
        <v>0</v>
      </c>
      <c r="BE214" s="91" t="n">
        <v>0</v>
      </c>
      <c r="BF214" s="89" t="n">
        <v>1</v>
      </c>
      <c r="BG214" s="89" t="n">
        <v>1</v>
      </c>
      <c r="BH214" s="89" t="inlineStr">
        <is>
          <t>-</t>
        </is>
      </c>
    </row>
    <row r="215" ht="19.55" customHeight="1">
      <c r="A215" s="92" t="n">
        <v>212</v>
      </c>
      <c r="B215" s="87" t="inlineStr">
        <is>
          <t>全国</t>
        </is>
      </c>
      <c r="C215" s="93" t="n">
        <v>46268</v>
      </c>
      <c r="D215" s="87" t="inlineStr">
        <is>
          <t>N7</t>
        </is>
      </c>
      <c r="E215" s="87" t="n">
        <v>2042</v>
      </c>
      <c r="F215" s="87" t="n">
        <v>1868</v>
      </c>
      <c r="G215" s="88" t="n">
        <v>0.9147894221351616</v>
      </c>
      <c r="H215" s="87" t="n">
        <v>647</v>
      </c>
      <c r="I215" s="89" t="n">
        <v>0.3168462291870715</v>
      </c>
      <c r="J215" s="87" t="n">
        <v>1429</v>
      </c>
      <c r="K215" s="87" t="n">
        <v>1390</v>
      </c>
      <c r="L215" s="88" t="n">
        <v>0.973</v>
      </c>
      <c r="M215" s="87" t="n">
        <v>6802</v>
      </c>
      <c r="N215" s="87" t="n">
        <v>6485</v>
      </c>
      <c r="O215" s="87" t="n">
        <v>6682</v>
      </c>
      <c r="P215" s="88" t="n">
        <v>0.982358129961776</v>
      </c>
      <c r="Q215" s="87" t="n">
        <v>32</v>
      </c>
      <c r="R215" s="87" t="n">
        <v>0</v>
      </c>
      <c r="S215" s="87" t="n">
        <v>0</v>
      </c>
      <c r="T215" s="88" t="n">
        <v>0</v>
      </c>
      <c r="U215" s="87" t="n">
        <v>0</v>
      </c>
      <c r="V215" s="88" t="n">
        <v>0</v>
      </c>
      <c r="W215" s="87" t="n">
        <v>256</v>
      </c>
      <c r="X215" s="88" t="n">
        <v>0.1253672869735553</v>
      </c>
      <c r="Y215" s="87" t="n">
        <v>554</v>
      </c>
      <c r="Z215" s="90" t="n">
        <v>0.2713026444662096</v>
      </c>
      <c r="AA215" s="87" t="n">
        <v>1</v>
      </c>
      <c r="AB215" s="88" t="n">
        <v>0.0004897159647404506</v>
      </c>
      <c r="AC215" s="87" t="n">
        <v>90</v>
      </c>
      <c r="AD215" s="88" t="n">
        <v>0.04407443682664055</v>
      </c>
      <c r="AE215" s="87" t="n">
        <v>10</v>
      </c>
      <c r="AF215" s="88" t="n">
        <v>0.1111111111111111</v>
      </c>
      <c r="AG215" s="87" t="n">
        <v>71</v>
      </c>
      <c r="AH215" s="88" t="n">
        <v>0.7888888888888889</v>
      </c>
      <c r="AI215" s="91" t="n">
        <v>75</v>
      </c>
      <c r="AJ215" s="88" t="n">
        <v>0.03672869735553379</v>
      </c>
      <c r="AK215" s="91" t="n">
        <v>4</v>
      </c>
      <c r="AL215" s="88" t="n">
        <v>0.7466666666666667</v>
      </c>
      <c r="AM215" s="91" t="n">
        <v>70</v>
      </c>
      <c r="AN215" s="91" t="n">
        <v>56</v>
      </c>
      <c r="AO215" s="88" t="n">
        <v>0.02742409402546523</v>
      </c>
      <c r="AP215" s="88" t="n">
        <v>0.6222222222222222</v>
      </c>
      <c r="AQ215" s="89" t="n">
        <v>0.9636363636363636</v>
      </c>
      <c r="AR215" s="89" t="n">
        <v>0.647887323943662</v>
      </c>
      <c r="AS215" s="89" t="n">
        <v>0.6338028169014085</v>
      </c>
      <c r="AT215" s="91" t="n">
        <v>0</v>
      </c>
      <c r="AU215" s="91" t="n">
        <v>0</v>
      </c>
      <c r="AV215" s="91" t="n">
        <v>7</v>
      </c>
      <c r="AW215" s="91" t="n">
        <v>6</v>
      </c>
      <c r="AX215" s="91" t="n">
        <v>8</v>
      </c>
      <c r="AY215" s="91" t="n">
        <v>22</v>
      </c>
      <c r="AZ215" s="88" t="n">
        <v>0.002938295788442703</v>
      </c>
      <c r="BA215" s="88" t="n">
        <v>0.003917727717923604</v>
      </c>
      <c r="BB215" s="88" t="n">
        <v>0.01077375122428991</v>
      </c>
      <c r="BC215" s="88" t="n">
        <v>0.1428571428571428</v>
      </c>
      <c r="BD215" s="91" t="n">
        <v>0</v>
      </c>
      <c r="BE215" s="91" t="n">
        <v>0</v>
      </c>
      <c r="BF215" s="89" t="n">
        <v>1</v>
      </c>
      <c r="BG215" s="89" t="n">
        <v>1</v>
      </c>
      <c r="BH215" s="89" t="inlineStr">
        <is>
          <t>-</t>
        </is>
      </c>
    </row>
    <row r="216" ht="19.55" customHeight="1">
      <c r="A216" s="92" t="n">
        <v>213</v>
      </c>
      <c r="B216" s="87" t="inlineStr">
        <is>
          <t>全国</t>
        </is>
      </c>
      <c r="C216" s="93" t="n">
        <v>46268</v>
      </c>
      <c r="D216" s="87" t="inlineStr">
        <is>
          <t>NX8</t>
        </is>
      </c>
      <c r="E216" s="87" t="n">
        <v>4660</v>
      </c>
      <c r="F216" s="87" t="n">
        <v>4240</v>
      </c>
      <c r="G216" s="88" t="n">
        <v>0.9098712446351931</v>
      </c>
      <c r="H216" s="87" t="n">
        <v>1223</v>
      </c>
      <c r="I216" s="89" t="n">
        <v>0.2624463519313305</v>
      </c>
      <c r="J216" s="87" t="n">
        <v>4299</v>
      </c>
      <c r="K216" s="87" t="n">
        <v>4107</v>
      </c>
      <c r="L216" s="88" t="n">
        <v>0.955</v>
      </c>
      <c r="M216" s="87" t="n">
        <v>22209</v>
      </c>
      <c r="N216" s="87" t="n">
        <v>21579</v>
      </c>
      <c r="O216" s="87" t="n">
        <v>21695</v>
      </c>
      <c r="P216" s="88" t="n">
        <v>0.9768562294565266</v>
      </c>
      <c r="Q216" s="87" t="n">
        <v>203</v>
      </c>
      <c r="R216" s="87" t="n">
        <v>0</v>
      </c>
      <c r="S216" s="87" t="n">
        <v>0</v>
      </c>
      <c r="T216" s="88" t="n">
        <v>0</v>
      </c>
      <c r="U216" s="87" t="n">
        <v>0</v>
      </c>
      <c r="V216" s="88" t="n">
        <v>0</v>
      </c>
      <c r="W216" s="87" t="n">
        <v>885</v>
      </c>
      <c r="X216" s="88" t="n">
        <v>0.1899141630901288</v>
      </c>
      <c r="Y216" s="87" t="n">
        <v>1821</v>
      </c>
      <c r="Z216" s="90" t="n">
        <v>0.3907725321888412</v>
      </c>
      <c r="AA216" s="87" t="n">
        <v>6</v>
      </c>
      <c r="AB216" s="88" t="n">
        <v>0.00128755364806867</v>
      </c>
      <c r="AC216" s="87" t="n">
        <v>313</v>
      </c>
      <c r="AD216" s="88" t="n">
        <v>0.06716738197424893</v>
      </c>
      <c r="AE216" s="87" t="n">
        <v>54</v>
      </c>
      <c r="AF216" s="88" t="n">
        <v>0.1725239616613418</v>
      </c>
      <c r="AG216" s="87" t="n">
        <v>264</v>
      </c>
      <c r="AH216" s="88" t="n">
        <v>0.8434504792332268</v>
      </c>
      <c r="AI216" s="91" t="n">
        <v>276</v>
      </c>
      <c r="AJ216" s="88" t="n">
        <v>0.0592274678111588</v>
      </c>
      <c r="AK216" s="91" t="n">
        <v>17</v>
      </c>
      <c r="AL216" s="88" t="n">
        <v>0.8442028985507246</v>
      </c>
      <c r="AM216" s="91" t="n">
        <v>260</v>
      </c>
      <c r="AN216" s="91" t="n">
        <v>233</v>
      </c>
      <c r="AO216" s="88" t="n">
        <v>0.05</v>
      </c>
      <c r="AP216" s="88" t="n">
        <v>0.744408945686901</v>
      </c>
      <c r="AQ216" s="89" t="n">
        <v>0.975</v>
      </c>
      <c r="AR216" s="89" t="n">
        <v>0.5593869731800766</v>
      </c>
      <c r="AS216" s="89" t="n">
        <v>0.5287356321839081</v>
      </c>
      <c r="AT216" s="91" t="n">
        <v>0</v>
      </c>
      <c r="AU216" s="91" t="n">
        <v>0</v>
      </c>
      <c r="AV216" s="91" t="n">
        <v>32</v>
      </c>
      <c r="AW216" s="91" t="n">
        <v>25</v>
      </c>
      <c r="AX216" s="91" t="n">
        <v>34</v>
      </c>
      <c r="AY216" s="91" t="n">
        <v>83</v>
      </c>
      <c r="AZ216" s="88" t="n">
        <v>0.00536480686695279</v>
      </c>
      <c r="BA216" s="88" t="n">
        <v>0.007296137339055794</v>
      </c>
      <c r="BB216" s="88" t="n">
        <v>0.01781115879828326</v>
      </c>
      <c r="BC216" s="88" t="n">
        <v>0.1459227467811159</v>
      </c>
      <c r="BD216" s="91" t="n">
        <v>0</v>
      </c>
      <c r="BE216" s="91" t="n">
        <v>1</v>
      </c>
      <c r="BF216" s="89" t="n">
        <v>1</v>
      </c>
      <c r="BG216" s="89" t="n">
        <v>0.75</v>
      </c>
      <c r="BH216" s="89" t="inlineStr">
        <is>
          <t>-</t>
        </is>
      </c>
    </row>
    <row r="217" ht="19.55" customHeight="1">
      <c r="A217" s="92" t="n">
        <v>214</v>
      </c>
      <c r="B217" s="87" t="inlineStr">
        <is>
          <t>全国</t>
        </is>
      </c>
      <c r="C217" s="93" t="n">
        <v>46268</v>
      </c>
      <c r="D217" s="87" t="inlineStr">
        <is>
          <t>天籁·鸿蒙座舱</t>
        </is>
      </c>
      <c r="E217" s="87" t="n">
        <v>4011</v>
      </c>
      <c r="F217" s="87" t="n">
        <v>3576</v>
      </c>
      <c r="G217" s="88" t="n">
        <v>0.8915482423335827</v>
      </c>
      <c r="H217" s="87" t="n">
        <v>1879</v>
      </c>
      <c r="I217" s="89" t="n">
        <v>0.468461730241835</v>
      </c>
      <c r="J217" s="87" t="n">
        <v>4271</v>
      </c>
      <c r="K217" s="87" t="n">
        <v>4139</v>
      </c>
      <c r="L217" s="88" t="n">
        <v>0.969</v>
      </c>
      <c r="M217" s="87" t="n">
        <v>19703</v>
      </c>
      <c r="N217" s="87" t="n">
        <v>19263</v>
      </c>
      <c r="O217" s="87" t="n">
        <v>19273</v>
      </c>
      <c r="P217" s="88" t="n">
        <v>0.9781759122976197</v>
      </c>
      <c r="Q217" s="87" t="n">
        <v>142</v>
      </c>
      <c r="R217" s="87" t="n">
        <v>0</v>
      </c>
      <c r="S217" s="87" t="n">
        <v>0</v>
      </c>
      <c r="T217" s="88" t="n">
        <v>0</v>
      </c>
      <c r="U217" s="87" t="n">
        <v>0</v>
      </c>
      <c r="V217" s="88" t="n">
        <v>0</v>
      </c>
      <c r="W217" s="87" t="n">
        <v>426</v>
      </c>
      <c r="X217" s="88" t="n">
        <v>0.106207928197457</v>
      </c>
      <c r="Y217" s="87" t="n">
        <v>813</v>
      </c>
      <c r="Z217" s="90" t="n">
        <v>0.2026925953627524</v>
      </c>
      <c r="AA217" s="87" t="n">
        <v>10</v>
      </c>
      <c r="AB217" s="88" t="n">
        <v>0.002493143854400399</v>
      </c>
      <c r="AC217" s="87" t="n">
        <v>168</v>
      </c>
      <c r="AD217" s="88" t="n">
        <v>0.0418848167539267</v>
      </c>
      <c r="AE217" s="87" t="n">
        <v>16</v>
      </c>
      <c r="AF217" s="88" t="n">
        <v>0.09523809523809523</v>
      </c>
      <c r="AG217" s="87" t="n">
        <v>135</v>
      </c>
      <c r="AH217" s="88" t="n">
        <v>0.8035714285714286</v>
      </c>
      <c r="AI217" s="91" t="n">
        <v>122</v>
      </c>
      <c r="AJ217" s="88" t="n">
        <v>0.03041635502368487</v>
      </c>
      <c r="AK217" s="91" t="n">
        <v>5</v>
      </c>
      <c r="AL217" s="88" t="n">
        <v>0.8770491803278688</v>
      </c>
      <c r="AM217" s="91" t="n">
        <v>115</v>
      </c>
      <c r="AN217" s="91" t="n">
        <v>107</v>
      </c>
      <c r="AO217" s="88" t="n">
        <v>0.02667663924208427</v>
      </c>
      <c r="AP217" s="88" t="n">
        <v>0.6369047619047619</v>
      </c>
      <c r="AQ217" s="89" t="n">
        <v>0.9672131147540983</v>
      </c>
      <c r="AR217" s="89" t="n">
        <v>0.5476190476190477</v>
      </c>
      <c r="AS217" s="89" t="n">
        <v>0.5158730158730159</v>
      </c>
      <c r="AT217" s="91" t="n">
        <v>0</v>
      </c>
      <c r="AU217" s="91" t="n">
        <v>0</v>
      </c>
      <c r="AV217" s="91" t="n">
        <v>34</v>
      </c>
      <c r="AW217" s="91" t="n">
        <v>33</v>
      </c>
      <c r="AX217" s="91" t="n">
        <v>35</v>
      </c>
      <c r="AY217" s="91" t="n">
        <v>50</v>
      </c>
      <c r="AZ217" s="88" t="n">
        <v>0.008227374719521317</v>
      </c>
      <c r="BA217" s="88" t="n">
        <v>0.008726003490401396</v>
      </c>
      <c r="BB217" s="88" t="n">
        <v>0.01246571927200199</v>
      </c>
      <c r="BC217" s="88" t="n">
        <v>0.3271028037383177</v>
      </c>
      <c r="BD217" s="91" t="n">
        <v>0</v>
      </c>
      <c r="BE217" s="91" t="n">
        <v>0</v>
      </c>
      <c r="BF217" s="89" t="n">
        <v>1</v>
      </c>
      <c r="BG217" s="89" t="n">
        <v>1</v>
      </c>
      <c r="BH217" s="89" t="inlineStr">
        <is>
          <t>-</t>
        </is>
      </c>
    </row>
    <row r="218" ht="19.55" customHeight="1">
      <c r="A218" s="92" t="n">
        <v>215</v>
      </c>
      <c r="B218" s="87" t="inlineStr">
        <is>
          <t>全国</t>
        </is>
      </c>
      <c r="C218" s="93" t="n">
        <v>46269</v>
      </c>
      <c r="D218" s="87" t="n"/>
      <c r="E218" s="87" t="n">
        <v>31</v>
      </c>
      <c r="F218" s="87" t="n">
        <v>31</v>
      </c>
      <c r="G218" s="88" t="n">
        <v>1</v>
      </c>
      <c r="H218" s="87" t="n">
        <v>31</v>
      </c>
      <c r="I218" s="89" t="n">
        <v>1</v>
      </c>
      <c r="J218" s="87" t="n">
        <v>0</v>
      </c>
      <c r="K218" s="87" t="n">
        <v>0</v>
      </c>
      <c r="L218" s="88" t="n">
        <v>0</v>
      </c>
      <c r="M218" s="87" t="n">
        <v>1</v>
      </c>
      <c r="N218" s="87" t="n">
        <v>1</v>
      </c>
      <c r="O218" s="87" t="n">
        <v>1</v>
      </c>
      <c r="P218" s="88" t="n">
        <v>1</v>
      </c>
      <c r="Q218" s="87" t="n">
        <v>0</v>
      </c>
      <c r="R218" s="87" t="n">
        <v>0</v>
      </c>
      <c r="S218" s="87" t="n">
        <v>0</v>
      </c>
      <c r="T218" s="88" t="n">
        <v>0</v>
      </c>
      <c r="U218" s="87" t="n">
        <v>0</v>
      </c>
      <c r="V218" s="88" t="n">
        <v>0</v>
      </c>
      <c r="W218" s="87" t="n">
        <v>8</v>
      </c>
      <c r="X218" s="88" t="n">
        <v>0.2580645161290323</v>
      </c>
      <c r="Y218" s="87" t="n">
        <v>7</v>
      </c>
      <c r="Z218" s="90" t="n">
        <v>0.2258064516129032</v>
      </c>
      <c r="AA218" s="87" t="n">
        <v>0</v>
      </c>
      <c r="AB218" s="88" t="n">
        <v>0</v>
      </c>
      <c r="AC218" s="87" t="n">
        <v>0</v>
      </c>
      <c r="AD218" s="88" t="n">
        <v>0</v>
      </c>
      <c r="AE218" s="87" t="n">
        <v>0</v>
      </c>
      <c r="AF218" s="88" t="n">
        <v>0</v>
      </c>
      <c r="AG218" s="87" t="n">
        <v>0</v>
      </c>
      <c r="AH218" s="88" t="n">
        <v>0</v>
      </c>
      <c r="AI218" s="91" t="n">
        <v>0</v>
      </c>
      <c r="AJ218" s="88" t="n">
        <v>0</v>
      </c>
      <c r="AK218" s="91" t="n">
        <v>0</v>
      </c>
      <c r="AL218" s="88" t="n">
        <v>0</v>
      </c>
      <c r="AM218" s="91" t="n">
        <v>0</v>
      </c>
      <c r="AN218" s="91" t="n">
        <v>0</v>
      </c>
      <c r="AO218" s="88" t="n">
        <v>0</v>
      </c>
      <c r="AP218" s="88" t="n">
        <v>0</v>
      </c>
      <c r="AQ218" s="89" t="n"/>
      <c r="AR218" s="89" t="inlineStr">
        <is>
          <t>0.0%</t>
        </is>
      </c>
      <c r="AS218" s="89" t="inlineStr">
        <is>
          <t>0.0%</t>
        </is>
      </c>
      <c r="AT218" s="91" t="n">
        <v>0</v>
      </c>
      <c r="AU218" s="91" t="n">
        <v>0</v>
      </c>
      <c r="AV218" s="91" t="n">
        <v>0</v>
      </c>
      <c r="AW218" s="91" t="n">
        <v>0</v>
      </c>
      <c r="AX218" s="91" t="n">
        <v>0</v>
      </c>
      <c r="AY218" s="91" t="n">
        <v>0</v>
      </c>
      <c r="AZ218" s="88" t="n">
        <v>0</v>
      </c>
      <c r="BA218" s="88" t="n">
        <v>0</v>
      </c>
      <c r="BB218" s="88" t="n">
        <v>0</v>
      </c>
      <c r="BC218" s="88" t="n">
        <v>0</v>
      </c>
      <c r="BD218" s="91" t="n">
        <v>0</v>
      </c>
      <c r="BE218" s="91" t="n">
        <v>0</v>
      </c>
      <c r="BF218" s="89" t="inlineStr">
        <is>
          <t>-</t>
        </is>
      </c>
      <c r="BG218" s="89" t="inlineStr">
        <is>
          <t>-</t>
        </is>
      </c>
      <c r="BH218" s="89" t="n">
        <v>1</v>
      </c>
    </row>
    <row r="219" ht="25.6" customHeight="1">
      <c r="A219" s="92" t="n">
        <v>216</v>
      </c>
      <c r="B219" s="87" t="inlineStr">
        <is>
          <t>全国</t>
        </is>
      </c>
      <c r="C219" s="93" t="n">
        <v>46269</v>
      </c>
      <c r="D219" s="87" t="inlineStr">
        <is>
          <t>2026款探陆</t>
        </is>
      </c>
      <c r="E219" s="87" t="n">
        <v>78</v>
      </c>
      <c r="F219" s="87" t="n">
        <v>73</v>
      </c>
      <c r="G219" s="88" t="n">
        <v>0.9358974358974359</v>
      </c>
      <c r="H219" s="87" t="n">
        <v>61</v>
      </c>
      <c r="I219" s="89" t="n">
        <v>0.782051282051282</v>
      </c>
      <c r="J219" s="87" t="n">
        <v>287</v>
      </c>
      <c r="K219" s="87" t="n">
        <v>200</v>
      </c>
      <c r="L219" s="88" t="n">
        <v>0.697</v>
      </c>
      <c r="M219" s="87" t="n">
        <v>1129</v>
      </c>
      <c r="N219" s="87" t="n">
        <v>1038</v>
      </c>
      <c r="O219" s="87" t="n">
        <v>918</v>
      </c>
      <c r="P219" s="88" t="n">
        <v>0.8131089459698848</v>
      </c>
      <c r="Q219" s="87" t="n">
        <v>105</v>
      </c>
      <c r="R219" s="87" t="n">
        <v>0</v>
      </c>
      <c r="S219" s="87" t="n">
        <v>0</v>
      </c>
      <c r="T219" s="88" t="n">
        <v>0</v>
      </c>
      <c r="U219" s="87" t="n">
        <v>0</v>
      </c>
      <c r="V219" s="88" t="n">
        <v>0</v>
      </c>
      <c r="W219" s="87" t="n">
        <v>10</v>
      </c>
      <c r="X219" s="88" t="n">
        <v>0.1282051282051282</v>
      </c>
      <c r="Y219" s="87" t="n">
        <v>242</v>
      </c>
      <c r="Z219" s="90" t="n">
        <v>3.102564102564103</v>
      </c>
      <c r="AA219" s="87" t="n">
        <v>0</v>
      </c>
      <c r="AB219" s="88" t="n">
        <v>0</v>
      </c>
      <c r="AC219" s="87" t="n">
        <v>1</v>
      </c>
      <c r="AD219" s="88" t="n">
        <v>0.01282051282051282</v>
      </c>
      <c r="AE219" s="87" t="n">
        <v>0</v>
      </c>
      <c r="AF219" s="88" t="n">
        <v>0</v>
      </c>
      <c r="AG219" s="87" t="n">
        <v>0</v>
      </c>
      <c r="AH219" s="88" t="n">
        <v>0</v>
      </c>
      <c r="AI219" s="91" t="n">
        <v>0</v>
      </c>
      <c r="AJ219" s="88" t="n">
        <v>0</v>
      </c>
      <c r="AK219" s="91" t="n">
        <v>0</v>
      </c>
      <c r="AL219" s="88" t="n">
        <v>0</v>
      </c>
      <c r="AM219" s="91" t="n">
        <v>0</v>
      </c>
      <c r="AN219" s="91" t="n">
        <v>0</v>
      </c>
      <c r="AO219" s="88" t="n">
        <v>0</v>
      </c>
      <c r="AP219" s="88" t="n">
        <v>0</v>
      </c>
      <c r="AQ219" s="89" t="n">
        <v>1</v>
      </c>
      <c r="AR219" s="89" t="inlineStr">
        <is>
          <t>0.0%</t>
        </is>
      </c>
      <c r="AS219" s="89" t="inlineStr">
        <is>
          <t>0.0%</t>
        </is>
      </c>
      <c r="AT219" s="91" t="n">
        <v>0</v>
      </c>
      <c r="AU219" s="91" t="n">
        <v>0</v>
      </c>
      <c r="AV219" s="91" t="n">
        <v>1</v>
      </c>
      <c r="AW219" s="91" t="n">
        <v>1</v>
      </c>
      <c r="AX219" s="91" t="n">
        <v>1</v>
      </c>
      <c r="AY219" s="91" t="n">
        <v>1</v>
      </c>
      <c r="AZ219" s="88" t="n">
        <v>0.01282051282051282</v>
      </c>
      <c r="BA219" s="88" t="n">
        <v>0.01282051282051282</v>
      </c>
      <c r="BB219" s="88" t="n">
        <v>0.01282051282051282</v>
      </c>
      <c r="BC219" s="88" t="n">
        <v>0</v>
      </c>
      <c r="BD219" s="91" t="n">
        <v>0</v>
      </c>
      <c r="BE219" s="91" t="n">
        <v>0</v>
      </c>
      <c r="BF219" s="89" t="inlineStr">
        <is>
          <t>-</t>
        </is>
      </c>
      <c r="BG219" s="89" t="n">
        <v>1</v>
      </c>
      <c r="BH219" s="89" t="inlineStr">
        <is>
          <t>-</t>
        </is>
      </c>
    </row>
    <row r="220" ht="19.55" customHeight="1">
      <c r="A220" s="92" t="n">
        <v>217</v>
      </c>
      <c r="B220" s="87" t="inlineStr">
        <is>
          <t>全国</t>
        </is>
      </c>
      <c r="C220" s="93" t="n">
        <v>46269</v>
      </c>
      <c r="D220" s="87" t="inlineStr">
        <is>
          <t>N6</t>
        </is>
      </c>
      <c r="E220" s="87" t="n">
        <v>1540</v>
      </c>
      <c r="F220" s="87" t="n">
        <v>1319</v>
      </c>
      <c r="G220" s="88" t="n">
        <v>0.8564935064935065</v>
      </c>
      <c r="H220" s="87" t="n">
        <v>646</v>
      </c>
      <c r="I220" s="89" t="n">
        <v>0.4194805194805195</v>
      </c>
      <c r="J220" s="87" t="n">
        <v>2220</v>
      </c>
      <c r="K220" s="87" t="n">
        <v>2142</v>
      </c>
      <c r="L220" s="88" t="n">
        <v>0.965</v>
      </c>
      <c r="M220" s="87" t="n">
        <v>8062</v>
      </c>
      <c r="N220" s="87" t="n">
        <v>8278</v>
      </c>
      <c r="O220" s="87" t="n">
        <v>7876</v>
      </c>
      <c r="P220" s="88" t="n">
        <v>0.9769288017861573</v>
      </c>
      <c r="Q220" s="87" t="n">
        <v>71</v>
      </c>
      <c r="R220" s="87" t="n">
        <v>0</v>
      </c>
      <c r="S220" s="87" t="n">
        <v>0</v>
      </c>
      <c r="T220" s="88" t="n">
        <v>0</v>
      </c>
      <c r="U220" s="87" t="n">
        <v>0</v>
      </c>
      <c r="V220" s="88" t="n">
        <v>0</v>
      </c>
      <c r="W220" s="87" t="n">
        <v>185</v>
      </c>
      <c r="X220" s="88" t="n">
        <v>0.1201298701298701</v>
      </c>
      <c r="Y220" s="87" t="n">
        <v>732</v>
      </c>
      <c r="Z220" s="90" t="n">
        <v>0.4753246753246753</v>
      </c>
      <c r="AA220" s="87" t="n">
        <v>0</v>
      </c>
      <c r="AB220" s="88" t="n">
        <v>0</v>
      </c>
      <c r="AC220" s="87" t="n">
        <v>122</v>
      </c>
      <c r="AD220" s="88" t="n">
        <v>0.07922077922077922</v>
      </c>
      <c r="AE220" s="87" t="n">
        <v>12</v>
      </c>
      <c r="AF220" s="88" t="n">
        <v>0.09836065573770492</v>
      </c>
      <c r="AG220" s="87" t="n">
        <v>72</v>
      </c>
      <c r="AH220" s="88" t="n">
        <v>0.5901639344262295</v>
      </c>
      <c r="AI220" s="91" t="n">
        <v>74</v>
      </c>
      <c r="AJ220" s="88" t="n">
        <v>0.04805194805194805</v>
      </c>
      <c r="AK220" s="91" t="n">
        <v>4</v>
      </c>
      <c r="AL220" s="88" t="n">
        <v>0.8918918918918919</v>
      </c>
      <c r="AM220" s="91" t="n">
        <v>74</v>
      </c>
      <c r="AN220" s="91" t="n">
        <v>66</v>
      </c>
      <c r="AO220" s="88" t="n">
        <v>0.04285714285714286</v>
      </c>
      <c r="AP220" s="88" t="n">
        <v>0.5409836065573771</v>
      </c>
      <c r="AQ220" s="89" t="n">
        <v>0.9245283018867925</v>
      </c>
      <c r="AR220" s="89" t="n">
        <v>0.5633802816901409</v>
      </c>
      <c r="AS220" s="89" t="n">
        <v>0.5352112676056338</v>
      </c>
      <c r="AT220" s="91" t="n">
        <v>0</v>
      </c>
      <c r="AU220" s="91" t="n">
        <v>0</v>
      </c>
      <c r="AV220" s="91" t="n">
        <v>17</v>
      </c>
      <c r="AW220" s="91" t="n">
        <v>17</v>
      </c>
      <c r="AX220" s="91" t="n">
        <v>18</v>
      </c>
      <c r="AY220" s="91" t="n">
        <v>37</v>
      </c>
      <c r="AZ220" s="88" t="n">
        <v>0.01103896103896104</v>
      </c>
      <c r="BA220" s="88" t="n">
        <v>0.01168831168831169</v>
      </c>
      <c r="BB220" s="88" t="n">
        <v>0.02402597402597403</v>
      </c>
      <c r="BC220" s="88" t="n">
        <v>0.2727272727272727</v>
      </c>
      <c r="BD220" s="91" t="n">
        <v>0</v>
      </c>
      <c r="BE220" s="91" t="n">
        <v>0</v>
      </c>
      <c r="BF220" s="89" t="n">
        <v>1</v>
      </c>
      <c r="BG220" s="89" t="n">
        <v>1</v>
      </c>
      <c r="BH220" s="89" t="inlineStr">
        <is>
          <t>-</t>
        </is>
      </c>
    </row>
    <row r="221" ht="19.55" customHeight="1">
      <c r="A221" s="92" t="n">
        <v>218</v>
      </c>
      <c r="B221" s="87" t="inlineStr">
        <is>
          <t>全国</t>
        </is>
      </c>
      <c r="C221" s="93" t="n">
        <v>46269</v>
      </c>
      <c r="D221" s="87" t="inlineStr">
        <is>
          <t>N7</t>
        </is>
      </c>
      <c r="E221" s="87" t="n">
        <v>2141</v>
      </c>
      <c r="F221" s="87" t="n">
        <v>1948</v>
      </c>
      <c r="G221" s="88" t="n">
        <v>0.9098552078468005</v>
      </c>
      <c r="H221" s="87" t="n">
        <v>719</v>
      </c>
      <c r="I221" s="89" t="n">
        <v>0.3358243811303129</v>
      </c>
      <c r="J221" s="87" t="n">
        <v>2177</v>
      </c>
      <c r="K221" s="87" t="n">
        <v>2115</v>
      </c>
      <c r="L221" s="88" t="n">
        <v>0.972</v>
      </c>
      <c r="M221" s="87" t="n">
        <v>7563</v>
      </c>
      <c r="N221" s="87" t="n">
        <v>7870</v>
      </c>
      <c r="O221" s="87" t="n">
        <v>7425</v>
      </c>
      <c r="P221" s="88" t="n">
        <v>0.9817532725109084</v>
      </c>
      <c r="Q221" s="87" t="n">
        <v>46</v>
      </c>
      <c r="R221" s="87" t="n">
        <v>0</v>
      </c>
      <c r="S221" s="87" t="n">
        <v>0</v>
      </c>
      <c r="T221" s="88" t="n">
        <v>0</v>
      </c>
      <c r="U221" s="87" t="n">
        <v>0</v>
      </c>
      <c r="V221" s="88" t="n">
        <v>0</v>
      </c>
      <c r="W221" s="87" t="n">
        <v>209</v>
      </c>
      <c r="X221" s="88" t="n">
        <v>0.09761793554413825</v>
      </c>
      <c r="Y221" s="87" t="n">
        <v>885</v>
      </c>
      <c r="Z221" s="90" t="n">
        <v>0.4133582438113031</v>
      </c>
      <c r="AA221" s="87" t="n">
        <v>0</v>
      </c>
      <c r="AB221" s="88" t="n">
        <v>0</v>
      </c>
      <c r="AC221" s="87" t="n">
        <v>95</v>
      </c>
      <c r="AD221" s="88" t="n">
        <v>0.04437178888369921</v>
      </c>
      <c r="AE221" s="87" t="n">
        <v>13</v>
      </c>
      <c r="AF221" s="88" t="n">
        <v>0.1368421052631579</v>
      </c>
      <c r="AG221" s="87" t="n">
        <v>74</v>
      </c>
      <c r="AH221" s="88" t="n">
        <v>0.7789473684210526</v>
      </c>
      <c r="AI221" s="91" t="n">
        <v>74</v>
      </c>
      <c r="AJ221" s="88" t="n">
        <v>0.03456328818309201</v>
      </c>
      <c r="AK221" s="91" t="n">
        <v>8</v>
      </c>
      <c r="AL221" s="88" t="n">
        <v>0.9054054054054054</v>
      </c>
      <c r="AM221" s="91" t="n">
        <v>73</v>
      </c>
      <c r="AN221" s="91" t="n">
        <v>67</v>
      </c>
      <c r="AO221" s="88" t="n">
        <v>0.03129378794955628</v>
      </c>
      <c r="AP221" s="88" t="n">
        <v>0.7052631578947368</v>
      </c>
      <c r="AQ221" s="89" t="n">
        <v>0.9852941176470589</v>
      </c>
      <c r="AR221" s="89" t="n">
        <v>0.5797101449275363</v>
      </c>
      <c r="AS221" s="89" t="n">
        <v>0.6086956521739131</v>
      </c>
      <c r="AT221" s="91" t="n">
        <v>0</v>
      </c>
      <c r="AU221" s="91" t="n">
        <v>0</v>
      </c>
      <c r="AV221" s="91" t="n">
        <v>19</v>
      </c>
      <c r="AW221" s="91" t="n">
        <v>16</v>
      </c>
      <c r="AX221" s="91" t="n">
        <v>16</v>
      </c>
      <c r="AY221" s="91" t="n">
        <v>26</v>
      </c>
      <c r="AZ221" s="88" t="n">
        <v>0.007473143390938813</v>
      </c>
      <c r="BA221" s="88" t="n">
        <v>0.007473143390938813</v>
      </c>
      <c r="BB221" s="88" t="n">
        <v>0.01214385801027557</v>
      </c>
      <c r="BC221" s="88" t="n">
        <v>0.2388059701492537</v>
      </c>
      <c r="BD221" s="91" t="n">
        <v>0</v>
      </c>
      <c r="BE221" s="91" t="n">
        <v>0</v>
      </c>
      <c r="BF221" s="89" t="n">
        <v>1</v>
      </c>
      <c r="BG221" s="89" t="n">
        <v>1</v>
      </c>
      <c r="BH221" s="89" t="inlineStr">
        <is>
          <t>-</t>
        </is>
      </c>
    </row>
    <row r="222" ht="19.55" customHeight="1">
      <c r="A222" s="92" t="n">
        <v>219</v>
      </c>
      <c r="B222" s="87" t="inlineStr">
        <is>
          <t>全国</t>
        </is>
      </c>
      <c r="C222" s="93" t="n">
        <v>46269</v>
      </c>
      <c r="D222" s="87" t="inlineStr">
        <is>
          <t>NX8</t>
        </is>
      </c>
      <c r="E222" s="87" t="n">
        <v>4665</v>
      </c>
      <c r="F222" s="87" t="n">
        <v>4201</v>
      </c>
      <c r="G222" s="88" t="n">
        <v>0.9005359056806003</v>
      </c>
      <c r="H222" s="87" t="n">
        <v>1366</v>
      </c>
      <c r="I222" s="89" t="n">
        <v>0.2928188638799571</v>
      </c>
      <c r="J222" s="87" t="n">
        <v>6363</v>
      </c>
      <c r="K222" s="87" t="n">
        <v>6164</v>
      </c>
      <c r="L222" s="88" t="n">
        <v>0.969</v>
      </c>
      <c r="M222" s="87" t="n">
        <v>23670</v>
      </c>
      <c r="N222" s="87" t="n">
        <v>24599</v>
      </c>
      <c r="O222" s="87" t="n">
        <v>23186</v>
      </c>
      <c r="P222" s="88" t="n">
        <v>0.9795521757498944</v>
      </c>
      <c r="Q222" s="87" t="n">
        <v>191</v>
      </c>
      <c r="R222" s="87" t="n">
        <v>0</v>
      </c>
      <c r="S222" s="87" t="n">
        <v>0</v>
      </c>
      <c r="T222" s="88" t="n">
        <v>0</v>
      </c>
      <c r="U222" s="87" t="n">
        <v>0</v>
      </c>
      <c r="V222" s="88" t="n">
        <v>0</v>
      </c>
      <c r="W222" s="87" t="n">
        <v>633</v>
      </c>
      <c r="X222" s="88" t="n">
        <v>0.1356913183279743</v>
      </c>
      <c r="Y222" s="87" t="n">
        <v>4049</v>
      </c>
      <c r="Z222" s="90" t="n">
        <v>0.8679528403001072</v>
      </c>
      <c r="AA222" s="87" t="n">
        <v>0</v>
      </c>
      <c r="AB222" s="88" t="n">
        <v>0</v>
      </c>
      <c r="AC222" s="87" t="n">
        <v>394</v>
      </c>
      <c r="AD222" s="88" t="n">
        <v>0.08445873526259379</v>
      </c>
      <c r="AE222" s="87" t="n">
        <v>55</v>
      </c>
      <c r="AF222" s="88" t="n">
        <v>0.1395939086294416</v>
      </c>
      <c r="AG222" s="87" t="n">
        <v>277</v>
      </c>
      <c r="AH222" s="88" t="n">
        <v>0.7030456852791879</v>
      </c>
      <c r="AI222" s="91" t="n">
        <v>274</v>
      </c>
      <c r="AJ222" s="88" t="n">
        <v>0.05873526259378349</v>
      </c>
      <c r="AK222" s="91" t="n">
        <v>18</v>
      </c>
      <c r="AL222" s="88" t="n">
        <v>0.8795620437956204</v>
      </c>
      <c r="AM222" s="91" t="n">
        <v>266</v>
      </c>
      <c r="AN222" s="91" t="n">
        <v>241</v>
      </c>
      <c r="AO222" s="88" t="n">
        <v>0.05166130760986067</v>
      </c>
      <c r="AP222" s="88" t="n">
        <v>0.6116751269035533</v>
      </c>
      <c r="AQ222" s="89" t="n">
        <v>0.9725490196078431</v>
      </c>
      <c r="AR222" s="89" t="n">
        <v>0.5575539568345323</v>
      </c>
      <c r="AS222" s="89" t="n">
        <v>0.5503597122302158</v>
      </c>
      <c r="AT222" s="91" t="n">
        <v>0</v>
      </c>
      <c r="AU222" s="91" t="n">
        <v>0</v>
      </c>
      <c r="AV222" s="91" t="n">
        <v>40</v>
      </c>
      <c r="AW222" s="91" t="n">
        <v>38</v>
      </c>
      <c r="AX222" s="91" t="n">
        <v>38</v>
      </c>
      <c r="AY222" s="91" t="n">
        <v>74</v>
      </c>
      <c r="AZ222" s="88" t="n">
        <v>0.008145766345123259</v>
      </c>
      <c r="BA222" s="88" t="n">
        <v>0.008145766345123259</v>
      </c>
      <c r="BB222" s="88" t="n">
        <v>0.01586280814576635</v>
      </c>
      <c r="BC222" s="88" t="n">
        <v>0.1576763485477178</v>
      </c>
      <c r="BD222" s="91" t="n">
        <v>0</v>
      </c>
      <c r="BE222" s="91" t="n">
        <v>1</v>
      </c>
      <c r="BF222" s="89" t="n">
        <v>0.9701492537313433</v>
      </c>
      <c r="BG222" s="89" t="n">
        <v>0.8666666666666667</v>
      </c>
      <c r="BH222" s="89" t="inlineStr">
        <is>
          <t>-</t>
        </is>
      </c>
    </row>
    <row r="223" ht="19.55" customHeight="1">
      <c r="A223" s="92" t="n">
        <v>220</v>
      </c>
      <c r="B223" s="87" t="inlineStr">
        <is>
          <t>全国</t>
        </is>
      </c>
      <c r="C223" s="93" t="n">
        <v>46269</v>
      </c>
      <c r="D223" s="87" t="inlineStr">
        <is>
          <t>天籁·鸿蒙座舱</t>
        </is>
      </c>
      <c r="E223" s="87" t="n">
        <v>3915</v>
      </c>
      <c r="F223" s="87" t="n">
        <v>3585</v>
      </c>
      <c r="G223" s="88" t="n">
        <v>0.9157088122605364</v>
      </c>
      <c r="H223" s="87" t="n">
        <v>1928</v>
      </c>
      <c r="I223" s="89" t="n">
        <v>0.4924648786717752</v>
      </c>
      <c r="J223" s="87" t="n">
        <v>5432</v>
      </c>
      <c r="K223" s="87" t="n">
        <v>5313</v>
      </c>
      <c r="L223" s="88" t="n">
        <v>0.978</v>
      </c>
      <c r="M223" s="87" t="n">
        <v>20559</v>
      </c>
      <c r="N223" s="87" t="n">
        <v>21336</v>
      </c>
      <c r="O223" s="87" t="n">
        <v>20225</v>
      </c>
      <c r="P223" s="88" t="n">
        <v>0.9837540736417141</v>
      </c>
      <c r="Q223" s="87" t="n">
        <v>117</v>
      </c>
      <c r="R223" s="87" t="n">
        <v>0</v>
      </c>
      <c r="S223" s="87" t="n">
        <v>0</v>
      </c>
      <c r="T223" s="88" t="n">
        <v>0</v>
      </c>
      <c r="U223" s="87" t="n">
        <v>0</v>
      </c>
      <c r="V223" s="88" t="n">
        <v>0</v>
      </c>
      <c r="W223" s="87" t="n">
        <v>479</v>
      </c>
      <c r="X223" s="88" t="n">
        <v>0.1223499361430396</v>
      </c>
      <c r="Y223" s="87" t="n">
        <v>1099</v>
      </c>
      <c r="Z223" s="90" t="n">
        <v>0.2807151979565773</v>
      </c>
      <c r="AA223" s="87" t="n">
        <v>0</v>
      </c>
      <c r="AB223" s="88" t="n">
        <v>0</v>
      </c>
      <c r="AC223" s="87" t="n">
        <v>183</v>
      </c>
      <c r="AD223" s="88" t="n">
        <v>0.04674329501915709</v>
      </c>
      <c r="AE223" s="87" t="n">
        <v>16</v>
      </c>
      <c r="AF223" s="88" t="n">
        <v>0.08743169398907104</v>
      </c>
      <c r="AG223" s="87" t="n">
        <v>144</v>
      </c>
      <c r="AH223" s="88" t="n">
        <v>0.7868852459016393</v>
      </c>
      <c r="AI223" s="91" t="n">
        <v>135</v>
      </c>
      <c r="AJ223" s="88" t="n">
        <v>0.03448275862068965</v>
      </c>
      <c r="AK223" s="91" t="n">
        <v>4</v>
      </c>
      <c r="AL223" s="88" t="n">
        <v>0.8148148148148148</v>
      </c>
      <c r="AM223" s="91" t="n">
        <v>128</v>
      </c>
      <c r="AN223" s="91" t="n">
        <v>110</v>
      </c>
      <c r="AO223" s="88" t="n">
        <v>0.0280970625798212</v>
      </c>
      <c r="AP223" s="88" t="n">
        <v>0.6010928961748634</v>
      </c>
      <c r="AQ223" s="89" t="n">
        <v>0.957983193277311</v>
      </c>
      <c r="AR223" s="89" t="n">
        <v>0.6148148148148148</v>
      </c>
      <c r="AS223" s="89" t="n">
        <v>0.5777777777777777</v>
      </c>
      <c r="AT223" s="91" t="n">
        <v>0</v>
      </c>
      <c r="AU223" s="91" t="n">
        <v>0</v>
      </c>
      <c r="AV223" s="91" t="n">
        <v>42</v>
      </c>
      <c r="AW223" s="91" t="n">
        <v>41</v>
      </c>
      <c r="AX223" s="91" t="n">
        <v>42</v>
      </c>
      <c r="AY223" s="91" t="n">
        <v>57</v>
      </c>
      <c r="AZ223" s="88" t="n">
        <v>0.01047254150702427</v>
      </c>
      <c r="BA223" s="88" t="n">
        <v>0.010727969348659</v>
      </c>
      <c r="BB223" s="88" t="n">
        <v>0.01455938697318008</v>
      </c>
      <c r="BC223" s="88" t="n">
        <v>0.3818181818181818</v>
      </c>
      <c r="BD223" s="91" t="n">
        <v>0</v>
      </c>
      <c r="BE223" s="91" t="n">
        <v>0</v>
      </c>
      <c r="BF223" s="89" t="n">
        <v>1</v>
      </c>
      <c r="BG223" s="89" t="n">
        <v>1</v>
      </c>
      <c r="BH223" s="89" t="inlineStr">
        <is>
          <t>-</t>
        </is>
      </c>
    </row>
    <row r="224" ht="19.55" customHeight="1">
      <c r="A224" s="92" t="n">
        <v>221</v>
      </c>
      <c r="B224" s="87" t="inlineStr">
        <is>
          <t>全国</t>
        </is>
      </c>
      <c r="C224" s="93" t="n">
        <v>46270</v>
      </c>
      <c r="D224" s="87" t="n"/>
      <c r="E224" s="87" t="n">
        <v>78</v>
      </c>
      <c r="F224" s="87" t="n">
        <v>77</v>
      </c>
      <c r="G224" s="88" t="n">
        <v>0.9871794871794872</v>
      </c>
      <c r="H224" s="87" t="n">
        <v>78</v>
      </c>
      <c r="I224" s="89" t="n">
        <v>1</v>
      </c>
      <c r="J224" s="87" t="n">
        <v>0</v>
      </c>
      <c r="K224" s="87" t="n">
        <v>0</v>
      </c>
      <c r="L224" s="88" t="n">
        <v>0</v>
      </c>
      <c r="M224" s="87" t="n">
        <v>1</v>
      </c>
      <c r="N224" s="87" t="n">
        <v>0</v>
      </c>
      <c r="O224" s="87" t="n">
        <v>0</v>
      </c>
      <c r="P224" s="88" t="n">
        <v>0</v>
      </c>
      <c r="Q224" s="87" t="n">
        <v>1</v>
      </c>
      <c r="R224" s="87" t="n">
        <v>0</v>
      </c>
      <c r="S224" s="87" t="n">
        <v>0</v>
      </c>
      <c r="T224" s="88" t="n">
        <v>0</v>
      </c>
      <c r="U224" s="87" t="n">
        <v>0</v>
      </c>
      <c r="V224" s="88" t="n">
        <v>0</v>
      </c>
      <c r="W224" s="87" t="n">
        <v>14</v>
      </c>
      <c r="X224" s="88" t="n">
        <v>0.1794871794871795</v>
      </c>
      <c r="Y224" s="87" t="n">
        <v>4</v>
      </c>
      <c r="Z224" s="90" t="n">
        <v>0.05128205128205128</v>
      </c>
      <c r="AA224" s="87" t="n">
        <v>0</v>
      </c>
      <c r="AB224" s="88" t="n">
        <v>0</v>
      </c>
      <c r="AC224" s="87" t="n">
        <v>0</v>
      </c>
      <c r="AD224" s="88" t="n">
        <v>0</v>
      </c>
      <c r="AE224" s="87" t="n">
        <v>0</v>
      </c>
      <c r="AF224" s="88" t="n">
        <v>0</v>
      </c>
      <c r="AG224" s="87" t="n">
        <v>0</v>
      </c>
      <c r="AH224" s="88" t="n">
        <v>0</v>
      </c>
      <c r="AI224" s="91" t="n">
        <v>0</v>
      </c>
      <c r="AJ224" s="88" t="n">
        <v>0</v>
      </c>
      <c r="AK224" s="91" t="n">
        <v>0</v>
      </c>
      <c r="AL224" s="88" t="n">
        <v>0</v>
      </c>
      <c r="AM224" s="91" t="n">
        <v>0</v>
      </c>
      <c r="AN224" s="91" t="n">
        <v>0</v>
      </c>
      <c r="AO224" s="88" t="n">
        <v>0</v>
      </c>
      <c r="AP224" s="88" t="n">
        <v>0</v>
      </c>
      <c r="AQ224" s="89" t="n"/>
      <c r="AR224" s="89" t="inlineStr">
        <is>
          <t>0.0%</t>
        </is>
      </c>
      <c r="AS224" s="89" t="inlineStr">
        <is>
          <t>0.0%</t>
        </is>
      </c>
      <c r="AT224" s="91" t="n">
        <v>0</v>
      </c>
      <c r="AU224" s="91" t="n">
        <v>0</v>
      </c>
      <c r="AV224" s="91" t="n">
        <v>0</v>
      </c>
      <c r="AW224" s="91" t="n">
        <v>0</v>
      </c>
      <c r="AX224" s="91" t="n">
        <v>0</v>
      </c>
      <c r="AY224" s="91" t="n">
        <v>0</v>
      </c>
      <c r="AZ224" s="88" t="n">
        <v>0</v>
      </c>
      <c r="BA224" s="88" t="n">
        <v>0</v>
      </c>
      <c r="BB224" s="88" t="n">
        <v>0</v>
      </c>
      <c r="BC224" s="88" t="n">
        <v>0</v>
      </c>
      <c r="BD224" s="91" t="n">
        <v>0</v>
      </c>
      <c r="BE224" s="91" t="n">
        <v>0</v>
      </c>
      <c r="BF224" s="89" t="inlineStr">
        <is>
          <t>-</t>
        </is>
      </c>
      <c r="BG224" s="89" t="inlineStr">
        <is>
          <t>-</t>
        </is>
      </c>
      <c r="BH224" s="89" t="n">
        <v>1</v>
      </c>
    </row>
    <row r="225" ht="19.55" customHeight="1">
      <c r="A225" s="92" t="n">
        <v>222</v>
      </c>
      <c r="B225" s="87" t="inlineStr">
        <is>
          <t>全国</t>
        </is>
      </c>
      <c r="C225" s="93" t="n">
        <v>46270</v>
      </c>
      <c r="D225" s="87" t="inlineStr">
        <is>
          <t>2026款探陆</t>
        </is>
      </c>
      <c r="E225" s="87" t="n">
        <v>127</v>
      </c>
      <c r="F225" s="87" t="n">
        <v>118</v>
      </c>
      <c r="G225" s="88" t="n">
        <v>0.9291338582677166</v>
      </c>
      <c r="H225" s="87" t="n">
        <v>77</v>
      </c>
      <c r="I225" s="89" t="n">
        <v>0.6062992125984252</v>
      </c>
      <c r="J225" s="87" t="n">
        <v>214</v>
      </c>
      <c r="K225" s="87" t="n">
        <v>138</v>
      </c>
      <c r="L225" s="88" t="n">
        <v>0.645</v>
      </c>
      <c r="M225" s="87" t="n">
        <v>1026</v>
      </c>
      <c r="N225" s="87" t="n">
        <v>956</v>
      </c>
      <c r="O225" s="87" t="n">
        <v>855</v>
      </c>
      <c r="P225" s="88" t="n">
        <v>0.8333333333333334</v>
      </c>
      <c r="Q225" s="87" t="n">
        <v>78</v>
      </c>
      <c r="R225" s="87" t="n">
        <v>0</v>
      </c>
      <c r="S225" s="87" t="n">
        <v>0</v>
      </c>
      <c r="T225" s="88" t="n">
        <v>0</v>
      </c>
      <c r="U225" s="87" t="n">
        <v>0</v>
      </c>
      <c r="V225" s="88" t="n">
        <v>0</v>
      </c>
      <c r="W225" s="87" t="n">
        <v>14</v>
      </c>
      <c r="X225" s="88" t="n">
        <v>0.1102362204724409</v>
      </c>
      <c r="Y225" s="87" t="n">
        <v>39</v>
      </c>
      <c r="Z225" s="90" t="n">
        <v>0.3070866141732284</v>
      </c>
      <c r="AA225" s="87" t="n">
        <v>29</v>
      </c>
      <c r="AB225" s="88" t="n">
        <v>0.2283464566929134</v>
      </c>
      <c r="AC225" s="87" t="n">
        <v>0</v>
      </c>
      <c r="AD225" s="88" t="n">
        <v>0</v>
      </c>
      <c r="AE225" s="87" t="n">
        <v>0</v>
      </c>
      <c r="AF225" s="88" t="n">
        <v>0</v>
      </c>
      <c r="AG225" s="87" t="n">
        <v>0</v>
      </c>
      <c r="AH225" s="88" t="n">
        <v>0</v>
      </c>
      <c r="AI225" s="91" t="n">
        <v>0</v>
      </c>
      <c r="AJ225" s="88" t="n">
        <v>0</v>
      </c>
      <c r="AK225" s="91" t="n">
        <v>0</v>
      </c>
      <c r="AL225" s="88" t="n">
        <v>0</v>
      </c>
      <c r="AM225" s="91" t="n">
        <v>0</v>
      </c>
      <c r="AN225" s="91" t="n">
        <v>0</v>
      </c>
      <c r="AO225" s="88" t="n">
        <v>0</v>
      </c>
      <c r="AP225" s="88" t="n">
        <v>0</v>
      </c>
      <c r="AQ225" s="89" t="n"/>
      <c r="AR225" s="89" t="n">
        <v>1</v>
      </c>
      <c r="AS225" s="89" t="n">
        <v>1</v>
      </c>
      <c r="AT225" s="91" t="n">
        <v>0</v>
      </c>
      <c r="AU225" s="91" t="n">
        <v>0</v>
      </c>
      <c r="AV225" s="91" t="n">
        <v>6</v>
      </c>
      <c r="AW225" s="91" t="n">
        <v>5</v>
      </c>
      <c r="AX225" s="91" t="n">
        <v>5</v>
      </c>
      <c r="AY225" s="91" t="n">
        <v>3</v>
      </c>
      <c r="AZ225" s="88" t="n">
        <v>0.03937007874015748</v>
      </c>
      <c r="BA225" s="88" t="n">
        <v>0.03937007874015748</v>
      </c>
      <c r="BB225" s="88" t="n">
        <v>0.02362204724409449</v>
      </c>
      <c r="BC225" s="88" t="n">
        <v>0</v>
      </c>
      <c r="BD225" s="91" t="n">
        <v>0</v>
      </c>
      <c r="BE225" s="91" t="n">
        <v>0</v>
      </c>
      <c r="BF225" s="89" t="inlineStr">
        <is>
          <t>-</t>
        </is>
      </c>
      <c r="BG225" s="89" t="n">
        <v>1</v>
      </c>
      <c r="BH225" s="89" t="inlineStr">
        <is>
          <t>-</t>
        </is>
      </c>
    </row>
    <row r="226" ht="19.55" customHeight="1">
      <c r="A226" s="92" t="n">
        <v>223</v>
      </c>
      <c r="B226" s="87" t="inlineStr">
        <is>
          <t>全国</t>
        </is>
      </c>
      <c r="C226" s="93" t="n">
        <v>46270</v>
      </c>
      <c r="D226" s="87" t="inlineStr">
        <is>
          <t>N6</t>
        </is>
      </c>
      <c r="E226" s="87" t="n">
        <v>1895</v>
      </c>
      <c r="F226" s="87" t="n">
        <v>1673</v>
      </c>
      <c r="G226" s="88" t="n">
        <v>0.8828496042216358</v>
      </c>
      <c r="H226" s="87" t="n">
        <v>718</v>
      </c>
      <c r="I226" s="89" t="n">
        <v>0.3788918205804749</v>
      </c>
      <c r="J226" s="87" t="n">
        <v>2145</v>
      </c>
      <c r="K226" s="87" t="n">
        <v>2093</v>
      </c>
      <c r="L226" s="88" t="n">
        <v>0.976</v>
      </c>
      <c r="M226" s="87" t="n">
        <v>7671</v>
      </c>
      <c r="N226" s="87" t="n">
        <v>7914</v>
      </c>
      <c r="O226" s="87" t="n">
        <v>7557</v>
      </c>
      <c r="P226" s="88" t="n">
        <v>0.9851388345717638</v>
      </c>
      <c r="Q226" s="87" t="n">
        <v>45</v>
      </c>
      <c r="R226" s="87" t="n">
        <v>0</v>
      </c>
      <c r="S226" s="87" t="n">
        <v>0</v>
      </c>
      <c r="T226" s="88" t="n">
        <v>0</v>
      </c>
      <c r="U226" s="87" t="n">
        <v>0</v>
      </c>
      <c r="V226" s="88" t="n">
        <v>0</v>
      </c>
      <c r="W226" s="87" t="n">
        <v>197</v>
      </c>
      <c r="X226" s="88" t="n">
        <v>0.103957783641161</v>
      </c>
      <c r="Y226" s="87" t="n">
        <v>503</v>
      </c>
      <c r="Z226" s="90" t="n">
        <v>0.2654353562005277</v>
      </c>
      <c r="AA226" s="87" t="n">
        <v>7</v>
      </c>
      <c r="AB226" s="88" t="n">
        <v>0.003693931398416886</v>
      </c>
      <c r="AC226" s="87" t="n">
        <v>179</v>
      </c>
      <c r="AD226" s="88" t="n">
        <v>0.09445910290237466</v>
      </c>
      <c r="AE226" s="87" t="n">
        <v>11</v>
      </c>
      <c r="AF226" s="88" t="n">
        <v>0.06145251396648044</v>
      </c>
      <c r="AG226" s="87" t="n">
        <v>132</v>
      </c>
      <c r="AH226" s="88" t="n">
        <v>0.7374301675977654</v>
      </c>
      <c r="AI226" s="91" t="n">
        <v>139</v>
      </c>
      <c r="AJ226" s="88" t="n">
        <v>0.07335092348284961</v>
      </c>
      <c r="AK226" s="91" t="n">
        <v>2</v>
      </c>
      <c r="AL226" s="88" t="n">
        <v>0.7553956834532374</v>
      </c>
      <c r="AM226" s="91" t="n">
        <v>131</v>
      </c>
      <c r="AN226" s="91" t="n">
        <v>105</v>
      </c>
      <c r="AO226" s="88" t="n">
        <v>0.0554089709762533</v>
      </c>
      <c r="AP226" s="88" t="n">
        <v>0.5865921787709497</v>
      </c>
      <c r="AQ226" s="89" t="n">
        <v>0.9852941176470589</v>
      </c>
      <c r="AR226" s="89" t="n">
        <v>0.6030534351145038</v>
      </c>
      <c r="AS226" s="89" t="n">
        <v>0.6335877862595419</v>
      </c>
      <c r="AT226" s="91" t="n">
        <v>0</v>
      </c>
      <c r="AU226" s="91" t="n">
        <v>0</v>
      </c>
      <c r="AV226" s="91" t="n">
        <v>39</v>
      </c>
      <c r="AW226" s="91" t="n">
        <v>38</v>
      </c>
      <c r="AX226" s="91" t="n">
        <v>37</v>
      </c>
      <c r="AY226" s="91" t="n">
        <v>37</v>
      </c>
      <c r="AZ226" s="88" t="n">
        <v>0.02005277044854881</v>
      </c>
      <c r="BA226" s="88" t="n">
        <v>0.01952506596306068</v>
      </c>
      <c r="BB226" s="88" t="n">
        <v>0.01952506596306068</v>
      </c>
      <c r="BC226" s="88" t="n">
        <v>0.3523809523809524</v>
      </c>
      <c r="BD226" s="91" t="n">
        <v>0</v>
      </c>
      <c r="BE226" s="91" t="n">
        <v>0</v>
      </c>
      <c r="BF226" s="89" t="n">
        <v>0.9655172413793104</v>
      </c>
      <c r="BG226" s="89" t="n">
        <v>1</v>
      </c>
      <c r="BH226" s="89" t="inlineStr">
        <is>
          <t>-</t>
        </is>
      </c>
    </row>
    <row r="227" ht="19.55" customHeight="1">
      <c r="A227" s="92" t="n">
        <v>224</v>
      </c>
      <c r="B227" s="87" t="inlineStr">
        <is>
          <t>全国</t>
        </is>
      </c>
      <c r="C227" s="93" t="n">
        <v>46270</v>
      </c>
      <c r="D227" s="87" t="inlineStr">
        <is>
          <t>N7</t>
        </is>
      </c>
      <c r="E227" s="87" t="n">
        <v>2136</v>
      </c>
      <c r="F227" s="87" t="n">
        <v>1876</v>
      </c>
      <c r="G227" s="88" t="n">
        <v>0.8782771535580525</v>
      </c>
      <c r="H227" s="87" t="n">
        <v>727</v>
      </c>
      <c r="I227" s="89" t="n">
        <v>0.3403558052434457</v>
      </c>
      <c r="J227" s="87" t="n">
        <v>1674</v>
      </c>
      <c r="K227" s="87" t="n">
        <v>1624</v>
      </c>
      <c r="L227" s="88" t="n">
        <v>0.97</v>
      </c>
      <c r="M227" s="87" t="n">
        <v>7095</v>
      </c>
      <c r="N227" s="87" t="n">
        <v>7219</v>
      </c>
      <c r="O227" s="87" t="n">
        <v>6955</v>
      </c>
      <c r="P227" s="88" t="n">
        <v>0.9802677942212826</v>
      </c>
      <c r="Q227" s="87" t="n">
        <v>55</v>
      </c>
      <c r="R227" s="87" t="n">
        <v>0</v>
      </c>
      <c r="S227" s="87" t="n">
        <v>0</v>
      </c>
      <c r="T227" s="88" t="n">
        <v>0</v>
      </c>
      <c r="U227" s="87" t="n">
        <v>0</v>
      </c>
      <c r="V227" s="88" t="n">
        <v>0</v>
      </c>
      <c r="W227" s="87" t="n">
        <v>226</v>
      </c>
      <c r="X227" s="88" t="n">
        <v>0.1058052434456929</v>
      </c>
      <c r="Y227" s="87" t="n">
        <v>695</v>
      </c>
      <c r="Z227" s="90" t="n">
        <v>0.325374531835206</v>
      </c>
      <c r="AA227" s="87" t="n">
        <v>3</v>
      </c>
      <c r="AB227" s="88" t="n">
        <v>0.001404494382022472</v>
      </c>
      <c r="AC227" s="87" t="n">
        <v>189</v>
      </c>
      <c r="AD227" s="88" t="n">
        <v>0.08848314606741572</v>
      </c>
      <c r="AE227" s="87" t="n">
        <v>22</v>
      </c>
      <c r="AF227" s="88" t="n">
        <v>0.1164021164021164</v>
      </c>
      <c r="AG227" s="87" t="n">
        <v>168</v>
      </c>
      <c r="AH227" s="88" t="n">
        <v>0.8888888888888888</v>
      </c>
      <c r="AI227" s="91" t="n">
        <v>183</v>
      </c>
      <c r="AJ227" s="88" t="n">
        <v>0.08567415730337079</v>
      </c>
      <c r="AK227" s="91" t="n">
        <v>6</v>
      </c>
      <c r="AL227" s="88" t="n">
        <v>0.8142076502732241</v>
      </c>
      <c r="AM227" s="91" t="n">
        <v>167</v>
      </c>
      <c r="AN227" s="91" t="n">
        <v>149</v>
      </c>
      <c r="AO227" s="88" t="n">
        <v>0.06975655430711611</v>
      </c>
      <c r="AP227" s="88" t="n">
        <v>0.7883597883597884</v>
      </c>
      <c r="AQ227" s="89" t="n">
        <v>1</v>
      </c>
      <c r="AR227" s="89" t="n">
        <v>0.6331360946745562</v>
      </c>
      <c r="AS227" s="89" t="n">
        <v>0.6213017751479289</v>
      </c>
      <c r="AT227" s="91" t="n">
        <v>0</v>
      </c>
      <c r="AU227" s="91" t="n">
        <v>0</v>
      </c>
      <c r="AV227" s="91" t="n">
        <v>34</v>
      </c>
      <c r="AW227" s="91" t="n">
        <v>33</v>
      </c>
      <c r="AX227" s="91" t="n">
        <v>32</v>
      </c>
      <c r="AY227" s="91" t="n">
        <v>18</v>
      </c>
      <c r="AZ227" s="88" t="n">
        <v>0.01544943820224719</v>
      </c>
      <c r="BA227" s="88" t="n">
        <v>0.0149812734082397</v>
      </c>
      <c r="BB227" s="88" t="n">
        <v>0.008426966292134831</v>
      </c>
      <c r="BC227" s="88" t="n">
        <v>0.2147651006711409</v>
      </c>
      <c r="BD227" s="91" t="n">
        <v>0</v>
      </c>
      <c r="BE227" s="91" t="n">
        <v>0</v>
      </c>
      <c r="BF227" s="89" t="n">
        <v>0.9761904761904762</v>
      </c>
      <c r="BG227" s="89" t="n">
        <v>1</v>
      </c>
      <c r="BH227" s="89" t="inlineStr">
        <is>
          <t>-</t>
        </is>
      </c>
    </row>
    <row r="228" ht="19.55" customHeight="1">
      <c r="A228" s="92" t="n">
        <v>225</v>
      </c>
      <c r="B228" s="87" t="inlineStr">
        <is>
          <t>全国</t>
        </is>
      </c>
      <c r="C228" s="93" t="n">
        <v>46270</v>
      </c>
      <c r="D228" s="87" t="inlineStr">
        <is>
          <t>NX8</t>
        </is>
      </c>
      <c r="E228" s="87" t="n">
        <v>5309</v>
      </c>
      <c r="F228" s="87" t="n">
        <v>4789</v>
      </c>
      <c r="G228" s="88" t="n">
        <v>0.9020531173478998</v>
      </c>
      <c r="H228" s="87" t="n">
        <v>1641</v>
      </c>
      <c r="I228" s="89" t="n">
        <v>0.3090977585232624</v>
      </c>
      <c r="J228" s="87" t="n">
        <v>5206</v>
      </c>
      <c r="K228" s="87" t="n">
        <v>5038</v>
      </c>
      <c r="L228" s="88" t="n">
        <v>0.968</v>
      </c>
      <c r="M228" s="87" t="n">
        <v>22853</v>
      </c>
      <c r="N228" s="87" t="n">
        <v>23441</v>
      </c>
      <c r="O228" s="87" t="n">
        <v>22448</v>
      </c>
      <c r="P228" s="88" t="n">
        <v>0.9822780378943684</v>
      </c>
      <c r="Q228" s="87" t="n">
        <v>142</v>
      </c>
      <c r="R228" s="87" t="n">
        <v>0</v>
      </c>
      <c r="S228" s="87" t="n">
        <v>0</v>
      </c>
      <c r="T228" s="88" t="n">
        <v>0</v>
      </c>
      <c r="U228" s="87" t="n">
        <v>0</v>
      </c>
      <c r="V228" s="88" t="n">
        <v>0</v>
      </c>
      <c r="W228" s="87" t="n">
        <v>678</v>
      </c>
      <c r="X228" s="88" t="n">
        <v>0.1277076662271614</v>
      </c>
      <c r="Y228" s="87" t="n">
        <v>2671</v>
      </c>
      <c r="Z228" s="90" t="n">
        <v>0.5031079299303071</v>
      </c>
      <c r="AA228" s="87" t="n">
        <v>5</v>
      </c>
      <c r="AB228" s="88" t="n">
        <v>0.0009417969485778867</v>
      </c>
      <c r="AC228" s="87" t="n">
        <v>668</v>
      </c>
      <c r="AD228" s="88" t="n">
        <v>0.1258240723300056</v>
      </c>
      <c r="AE228" s="87" t="n">
        <v>101</v>
      </c>
      <c r="AF228" s="88" t="n">
        <v>0.1511976047904192</v>
      </c>
      <c r="AG228" s="87" t="n">
        <v>560</v>
      </c>
      <c r="AH228" s="88" t="n">
        <v>0.8383233532934131</v>
      </c>
      <c r="AI228" s="91" t="n">
        <v>605</v>
      </c>
      <c r="AJ228" s="88" t="n">
        <v>0.1139574307779243</v>
      </c>
      <c r="AK228" s="91" t="n">
        <v>24</v>
      </c>
      <c r="AL228" s="88" t="n">
        <v>0.7950413223140496</v>
      </c>
      <c r="AM228" s="91" t="n">
        <v>545</v>
      </c>
      <c r="AN228" s="91" t="n">
        <v>481</v>
      </c>
      <c r="AO228" s="88" t="n">
        <v>0.09060086645319269</v>
      </c>
      <c r="AP228" s="88" t="n">
        <v>0.7200598802395209</v>
      </c>
      <c r="AQ228" s="89" t="n">
        <v>0.9778597785977859</v>
      </c>
      <c r="AR228" s="89" t="n">
        <v>0.5871080139372822</v>
      </c>
      <c r="AS228" s="89" t="n">
        <v>0.6027874564459931</v>
      </c>
      <c r="AT228" s="91" t="n">
        <v>0</v>
      </c>
      <c r="AU228" s="91" t="n">
        <v>0</v>
      </c>
      <c r="AV228" s="91" t="n">
        <v>89</v>
      </c>
      <c r="AW228" s="91" t="n">
        <v>89</v>
      </c>
      <c r="AX228" s="91" t="n">
        <v>89</v>
      </c>
      <c r="AY228" s="91" t="n">
        <v>78</v>
      </c>
      <c r="AZ228" s="88" t="n">
        <v>0.01676398568468638</v>
      </c>
      <c r="BA228" s="88" t="n">
        <v>0.01676398568468638</v>
      </c>
      <c r="BB228" s="88" t="n">
        <v>0.01469203239781503</v>
      </c>
      <c r="BC228" s="88" t="n">
        <v>0.185031185031185</v>
      </c>
      <c r="BD228" s="91" t="n">
        <v>0</v>
      </c>
      <c r="BE228" s="91" t="n">
        <v>0</v>
      </c>
      <c r="BF228" s="89" t="n">
        <v>0.9933333333333333</v>
      </c>
      <c r="BG228" s="89" t="n">
        <v>1</v>
      </c>
      <c r="BH228" s="89" t="inlineStr">
        <is>
          <t>-</t>
        </is>
      </c>
    </row>
    <row r="229" ht="19.55" customHeight="1">
      <c r="A229" s="92" t="n">
        <v>226</v>
      </c>
      <c r="B229" s="87" t="inlineStr">
        <is>
          <t>全国</t>
        </is>
      </c>
      <c r="C229" s="93" t="n">
        <v>46270</v>
      </c>
      <c r="D229" s="87" t="inlineStr">
        <is>
          <t>天籁·鸿蒙座舱</t>
        </is>
      </c>
      <c r="E229" s="87" t="n">
        <v>4059</v>
      </c>
      <c r="F229" s="87" t="n">
        <v>3728</v>
      </c>
      <c r="G229" s="88" t="n">
        <v>0.9184528208918453</v>
      </c>
      <c r="H229" s="87" t="n">
        <v>1882</v>
      </c>
      <c r="I229" s="89" t="n">
        <v>0.4636610002463661</v>
      </c>
      <c r="J229" s="87" t="n">
        <v>4998</v>
      </c>
      <c r="K229" s="87" t="n">
        <v>4883</v>
      </c>
      <c r="L229" s="88" t="n">
        <v>0.977</v>
      </c>
      <c r="M229" s="87" t="n">
        <v>21389</v>
      </c>
      <c r="N229" s="87" t="n">
        <v>21406</v>
      </c>
      <c r="O229" s="87" t="n">
        <v>21085</v>
      </c>
      <c r="P229" s="88" t="n">
        <v>0.9857870868203282</v>
      </c>
      <c r="Q229" s="87" t="n">
        <v>92</v>
      </c>
      <c r="R229" s="87" t="n">
        <v>0</v>
      </c>
      <c r="S229" s="87" t="n">
        <v>0</v>
      </c>
      <c r="T229" s="88" t="n">
        <v>0</v>
      </c>
      <c r="U229" s="87" t="n">
        <v>0</v>
      </c>
      <c r="V229" s="88" t="n">
        <v>0</v>
      </c>
      <c r="W229" s="87" t="n">
        <v>297</v>
      </c>
      <c r="X229" s="88" t="n">
        <v>0.07317073170731707</v>
      </c>
      <c r="Y229" s="87" t="n">
        <v>871</v>
      </c>
      <c r="Z229" s="90" t="n">
        <v>0.2145848731214585</v>
      </c>
      <c r="AA229" s="87" t="n">
        <v>11</v>
      </c>
      <c r="AB229" s="88" t="n">
        <v>0.002710027100271003</v>
      </c>
      <c r="AC229" s="87" t="n">
        <v>348</v>
      </c>
      <c r="AD229" s="88" t="n">
        <v>0.08573540280857354</v>
      </c>
      <c r="AE229" s="87" t="n">
        <v>35</v>
      </c>
      <c r="AF229" s="88" t="n">
        <v>0.1005747126436782</v>
      </c>
      <c r="AG229" s="87" t="n">
        <v>274</v>
      </c>
      <c r="AH229" s="88" t="n">
        <v>0.7873563218390804</v>
      </c>
      <c r="AI229" s="91" t="n">
        <v>272</v>
      </c>
      <c r="AJ229" s="88" t="n">
        <v>0.06701157920670116</v>
      </c>
      <c r="AK229" s="91" t="n">
        <v>8</v>
      </c>
      <c r="AL229" s="88" t="n">
        <v>0.8125</v>
      </c>
      <c r="AM229" s="91" t="n">
        <v>247</v>
      </c>
      <c r="AN229" s="91" t="n">
        <v>221</v>
      </c>
      <c r="AO229" s="88" t="n">
        <v>0.05444690810544469</v>
      </c>
      <c r="AP229" s="88" t="n">
        <v>0.6350574712643678</v>
      </c>
      <c r="AQ229" s="89" t="n">
        <v>0.984</v>
      </c>
      <c r="AR229" s="89" t="n">
        <v>0.515748031496063</v>
      </c>
      <c r="AS229" s="89" t="n">
        <v>0.547244094488189</v>
      </c>
      <c r="AT229" s="91" t="n">
        <v>0</v>
      </c>
      <c r="AU229" s="91" t="n">
        <v>0</v>
      </c>
      <c r="AV229" s="91" t="n">
        <v>91</v>
      </c>
      <c r="AW229" s="91" t="n">
        <v>89</v>
      </c>
      <c r="AX229" s="91" t="n">
        <v>86</v>
      </c>
      <c r="AY229" s="91" t="n">
        <v>50</v>
      </c>
      <c r="AZ229" s="88" t="n">
        <v>0.02192658290219266</v>
      </c>
      <c r="BA229" s="88" t="n">
        <v>0.02118748460211875</v>
      </c>
      <c r="BB229" s="88" t="n">
        <v>0.01231830500123183</v>
      </c>
      <c r="BC229" s="88" t="n">
        <v>0.3891402714932127</v>
      </c>
      <c r="BD229" s="91" t="n">
        <v>0</v>
      </c>
      <c r="BE229" s="91" t="n">
        <v>0</v>
      </c>
      <c r="BF229" s="89" t="n">
        <v>1</v>
      </c>
      <c r="BG229" s="89" t="n">
        <v>0.95</v>
      </c>
      <c r="BH229" s="89" t="inlineStr">
        <is>
          <t>-</t>
        </is>
      </c>
    </row>
    <row r="230" ht="19.55" customHeight="1">
      <c r="A230" s="92" t="n">
        <v>227</v>
      </c>
      <c r="B230" s="87" t="inlineStr">
        <is>
          <t>全国</t>
        </is>
      </c>
      <c r="C230" s="93" t="n">
        <v>46271</v>
      </c>
      <c r="D230" s="87" t="n"/>
      <c r="E230" s="87" t="n">
        <v>91</v>
      </c>
      <c r="F230" s="87" t="n">
        <v>91</v>
      </c>
      <c r="G230" s="88" t="n">
        <v>1</v>
      </c>
      <c r="H230" s="87" t="n">
        <v>91</v>
      </c>
      <c r="I230" s="89" t="n">
        <v>1</v>
      </c>
      <c r="J230" s="87" t="n">
        <v>0</v>
      </c>
      <c r="K230" s="87" t="n">
        <v>0</v>
      </c>
      <c r="L230" s="88" t="n">
        <v>0</v>
      </c>
      <c r="M230" s="87" t="n">
        <v>1</v>
      </c>
      <c r="N230" s="87" t="n">
        <v>0</v>
      </c>
      <c r="O230" s="87" t="n">
        <v>0</v>
      </c>
      <c r="P230" s="88" t="n">
        <v>0</v>
      </c>
      <c r="Q230" s="87" t="n">
        <v>1</v>
      </c>
      <c r="R230" s="87" t="n">
        <v>0</v>
      </c>
      <c r="S230" s="87" t="n">
        <v>0</v>
      </c>
      <c r="T230" s="88" t="n">
        <v>0</v>
      </c>
      <c r="U230" s="87" t="n">
        <v>0</v>
      </c>
      <c r="V230" s="88" t="n">
        <v>0</v>
      </c>
      <c r="W230" s="87" t="n">
        <v>21</v>
      </c>
      <c r="X230" s="88" t="n">
        <v>0.2307692307692308</v>
      </c>
      <c r="Y230" s="87" t="n">
        <v>22</v>
      </c>
      <c r="Z230" s="90" t="n">
        <v>0.2417582417582418</v>
      </c>
      <c r="AA230" s="87" t="n">
        <v>0</v>
      </c>
      <c r="AB230" s="88" t="n">
        <v>0</v>
      </c>
      <c r="AC230" s="87" t="n">
        <v>0</v>
      </c>
      <c r="AD230" s="88" t="n">
        <v>0</v>
      </c>
      <c r="AE230" s="87" t="n">
        <v>0</v>
      </c>
      <c r="AF230" s="88" t="n">
        <v>0</v>
      </c>
      <c r="AG230" s="87" t="n">
        <v>0</v>
      </c>
      <c r="AH230" s="88" t="n">
        <v>0</v>
      </c>
      <c r="AI230" s="91" t="n">
        <v>0</v>
      </c>
      <c r="AJ230" s="88" t="n">
        <v>0</v>
      </c>
      <c r="AK230" s="91" t="n">
        <v>0</v>
      </c>
      <c r="AL230" s="88" t="n">
        <v>0</v>
      </c>
      <c r="AM230" s="91" t="n">
        <v>0</v>
      </c>
      <c r="AN230" s="91" t="n">
        <v>0</v>
      </c>
      <c r="AO230" s="88" t="n">
        <v>0</v>
      </c>
      <c r="AP230" s="88" t="n">
        <v>0</v>
      </c>
      <c r="AQ230" s="89" t="n"/>
      <c r="AR230" s="89" t="n">
        <v>0</v>
      </c>
      <c r="AS230" s="89" t="n">
        <v>0</v>
      </c>
      <c r="AT230" s="91" t="n">
        <v>0</v>
      </c>
      <c r="AU230" s="91" t="n">
        <v>0</v>
      </c>
      <c r="AV230" s="91" t="n">
        <v>0</v>
      </c>
      <c r="AW230" s="91" t="n">
        <v>0</v>
      </c>
      <c r="AX230" s="91" t="n">
        <v>0</v>
      </c>
      <c r="AY230" s="91" t="n">
        <v>0</v>
      </c>
      <c r="AZ230" s="88" t="n">
        <v>0</v>
      </c>
      <c r="BA230" s="88" t="n">
        <v>0</v>
      </c>
      <c r="BB230" s="88" t="n">
        <v>0</v>
      </c>
      <c r="BC230" s="88" t="n">
        <v>0</v>
      </c>
      <c r="BD230" s="91" t="n">
        <v>0</v>
      </c>
      <c r="BE230" s="91" t="n">
        <v>0</v>
      </c>
      <c r="BF230" s="89" t="inlineStr">
        <is>
          <t>-</t>
        </is>
      </c>
      <c r="BG230" s="89" t="inlineStr">
        <is>
          <t>-</t>
        </is>
      </c>
      <c r="BH230" s="89" t="n">
        <v>0.9672131147540983</v>
      </c>
    </row>
    <row r="231" ht="19.55" customHeight="1">
      <c r="A231" s="92" t="n">
        <v>228</v>
      </c>
      <c r="B231" s="87" t="inlineStr">
        <is>
          <t>全国</t>
        </is>
      </c>
      <c r="C231" s="93" t="n">
        <v>46271</v>
      </c>
      <c r="D231" s="87" t="inlineStr">
        <is>
          <t>2026款探陆</t>
        </is>
      </c>
      <c r="E231" s="87" t="n">
        <v>101</v>
      </c>
      <c r="F231" s="87" t="n">
        <v>96</v>
      </c>
      <c r="G231" s="88" t="n">
        <v>0.9504950495049505</v>
      </c>
      <c r="H231" s="87" t="n">
        <v>76</v>
      </c>
      <c r="I231" s="89" t="n">
        <v>0.7524752475247525</v>
      </c>
      <c r="J231" s="87" t="n">
        <v>164</v>
      </c>
      <c r="K231" s="87" t="n">
        <v>105</v>
      </c>
      <c r="L231" s="88" t="n">
        <v>0.64</v>
      </c>
      <c r="M231" s="87" t="n">
        <v>804</v>
      </c>
      <c r="N231" s="87" t="n">
        <v>828</v>
      </c>
      <c r="O231" s="87" t="n">
        <v>659</v>
      </c>
      <c r="P231" s="88" t="n">
        <v>0.8196517412935324</v>
      </c>
      <c r="Q231" s="87" t="n">
        <v>72</v>
      </c>
      <c r="R231" s="87" t="n">
        <v>0</v>
      </c>
      <c r="S231" s="87" t="n">
        <v>0</v>
      </c>
      <c r="T231" s="88" t="n">
        <v>0</v>
      </c>
      <c r="U231" s="87" t="n">
        <v>0</v>
      </c>
      <c r="V231" s="88" t="n">
        <v>0</v>
      </c>
      <c r="W231" s="87" t="n">
        <v>10</v>
      </c>
      <c r="X231" s="88" t="n">
        <v>0.09900990099009901</v>
      </c>
      <c r="Y231" s="87" t="n">
        <v>44</v>
      </c>
      <c r="Z231" s="90" t="n">
        <v>0.4356435643564356</v>
      </c>
      <c r="AA231" s="87" t="n">
        <v>26</v>
      </c>
      <c r="AB231" s="88" t="n">
        <v>0.2574257425742574</v>
      </c>
      <c r="AC231" s="87" t="n">
        <v>3</v>
      </c>
      <c r="AD231" s="88" t="n">
        <v>0.0297029702970297</v>
      </c>
      <c r="AE231" s="87" t="n">
        <v>0</v>
      </c>
      <c r="AF231" s="88" t="n">
        <v>0</v>
      </c>
      <c r="AG231" s="87" t="n">
        <v>2</v>
      </c>
      <c r="AH231" s="88" t="n">
        <v>0.6666666666666666</v>
      </c>
      <c r="AI231" s="91" t="n">
        <v>0</v>
      </c>
      <c r="AJ231" s="88" t="n">
        <v>0</v>
      </c>
      <c r="AK231" s="91" t="n">
        <v>0</v>
      </c>
      <c r="AL231" s="88" t="n">
        <v>0</v>
      </c>
      <c r="AM231" s="91" t="n">
        <v>0</v>
      </c>
      <c r="AN231" s="91" t="n">
        <v>0</v>
      </c>
      <c r="AO231" s="88" t="n">
        <v>0</v>
      </c>
      <c r="AP231" s="88" t="n">
        <v>0</v>
      </c>
      <c r="AQ231" s="89" t="n">
        <v>1</v>
      </c>
      <c r="AR231" s="89" t="n">
        <v>0</v>
      </c>
      <c r="AS231" s="89" t="n">
        <v>0</v>
      </c>
      <c r="AT231" s="91" t="n">
        <v>0</v>
      </c>
      <c r="AU231" s="91" t="n">
        <v>0</v>
      </c>
      <c r="AV231" s="91" t="n">
        <v>5</v>
      </c>
      <c r="AW231" s="91" t="n">
        <v>5</v>
      </c>
      <c r="AX231" s="91" t="n">
        <v>5</v>
      </c>
      <c r="AY231" s="91" t="n">
        <v>1</v>
      </c>
      <c r="AZ231" s="88" t="n">
        <v>0.04950495049504951</v>
      </c>
      <c r="BA231" s="88" t="n">
        <v>0.04950495049504951</v>
      </c>
      <c r="BB231" s="88" t="n">
        <v>0.009900990099009901</v>
      </c>
      <c r="BC231" s="88" t="n">
        <v>0</v>
      </c>
      <c r="BD231" s="91" t="n">
        <v>0</v>
      </c>
      <c r="BE231" s="91" t="n">
        <v>0</v>
      </c>
      <c r="BF231" s="89" t="inlineStr">
        <is>
          <t>-</t>
        </is>
      </c>
      <c r="BG231" s="89" t="n">
        <v>1</v>
      </c>
      <c r="BH231" s="89" t="inlineStr">
        <is>
          <t>-</t>
        </is>
      </c>
    </row>
    <row r="232" ht="19.55" customHeight="1">
      <c r="A232" s="92" t="n">
        <v>229</v>
      </c>
      <c r="B232" s="87" t="inlineStr">
        <is>
          <t>全国</t>
        </is>
      </c>
      <c r="C232" s="93" t="n">
        <v>46271</v>
      </c>
      <c r="D232" s="87" t="inlineStr">
        <is>
          <t>N6</t>
        </is>
      </c>
      <c r="E232" s="87" t="n">
        <v>1955</v>
      </c>
      <c r="F232" s="87" t="n">
        <v>1692</v>
      </c>
      <c r="G232" s="88" t="n">
        <v>0.8654731457800512</v>
      </c>
      <c r="H232" s="87" t="n">
        <v>679</v>
      </c>
      <c r="I232" s="89" t="n">
        <v>0.3473145780051151</v>
      </c>
      <c r="J232" s="87" t="n">
        <v>1785</v>
      </c>
      <c r="K232" s="87" t="n">
        <v>1718</v>
      </c>
      <c r="L232" s="88" t="n">
        <v>0.962</v>
      </c>
      <c r="M232" s="87" t="n">
        <v>7512</v>
      </c>
      <c r="N232" s="87" t="n">
        <v>7459</v>
      </c>
      <c r="O232" s="87" t="n">
        <v>7363</v>
      </c>
      <c r="P232" s="88" t="n">
        <v>0.9801650692225772</v>
      </c>
      <c r="Q232" s="87" t="n">
        <v>58</v>
      </c>
      <c r="R232" s="87" t="n">
        <v>0</v>
      </c>
      <c r="S232" s="87" t="n">
        <v>0</v>
      </c>
      <c r="T232" s="88" t="n">
        <v>0</v>
      </c>
      <c r="U232" s="87" t="n">
        <v>0</v>
      </c>
      <c r="V232" s="88" t="n">
        <v>0</v>
      </c>
      <c r="W232" s="87" t="n">
        <v>201</v>
      </c>
      <c r="X232" s="88" t="n">
        <v>0.1028132992327366</v>
      </c>
      <c r="Y232" s="87" t="n">
        <v>566</v>
      </c>
      <c r="Z232" s="90" t="n">
        <v>0.2895140664961637</v>
      </c>
      <c r="AA232" s="87" t="n">
        <v>4</v>
      </c>
      <c r="AB232" s="88" t="n">
        <v>0.002046035805626598</v>
      </c>
      <c r="AC232" s="87" t="n">
        <v>179</v>
      </c>
      <c r="AD232" s="88" t="n">
        <v>0.09156010230179028</v>
      </c>
      <c r="AE232" s="87" t="n">
        <v>18</v>
      </c>
      <c r="AF232" s="88" t="n">
        <v>0.1005586592178771</v>
      </c>
      <c r="AG232" s="87" t="n">
        <v>141</v>
      </c>
      <c r="AH232" s="88" t="n">
        <v>0.7877094972067039</v>
      </c>
      <c r="AI232" s="91" t="n">
        <v>146</v>
      </c>
      <c r="AJ232" s="88" t="n">
        <v>0.07468030690537085</v>
      </c>
      <c r="AK232" s="91" t="n">
        <v>5</v>
      </c>
      <c r="AL232" s="88" t="n">
        <v>0.815068493150685</v>
      </c>
      <c r="AM232" s="91" t="n">
        <v>131</v>
      </c>
      <c r="AN232" s="91" t="n">
        <v>119</v>
      </c>
      <c r="AO232" s="88" t="n">
        <v>0.06086956521739131</v>
      </c>
      <c r="AP232" s="88" t="n">
        <v>0.664804469273743</v>
      </c>
      <c r="AQ232" s="89" t="n">
        <v>0.9918032786885246</v>
      </c>
      <c r="AR232" s="89" t="n">
        <v>0.6136363636363636</v>
      </c>
      <c r="AS232" s="89" t="n">
        <v>0.5984848484848485</v>
      </c>
      <c r="AT232" s="91" t="n">
        <v>0</v>
      </c>
      <c r="AU232" s="91" t="n">
        <v>0</v>
      </c>
      <c r="AV232" s="91" t="n">
        <v>48</v>
      </c>
      <c r="AW232" s="91" t="n">
        <v>47</v>
      </c>
      <c r="AX232" s="91" t="n">
        <v>42</v>
      </c>
      <c r="AY232" s="91" t="n">
        <v>24</v>
      </c>
      <c r="AZ232" s="88" t="n">
        <v>0.02404092071611253</v>
      </c>
      <c r="BA232" s="88" t="n">
        <v>0.02148337595907928</v>
      </c>
      <c r="BB232" s="88" t="n">
        <v>0.01227621483375959</v>
      </c>
      <c r="BC232" s="88" t="n">
        <v>0.3529411764705883</v>
      </c>
      <c r="BD232" s="91" t="n">
        <v>0</v>
      </c>
      <c r="BE232" s="91" t="n">
        <v>0</v>
      </c>
      <c r="BF232" s="89" t="n">
        <v>0.9782608695652174</v>
      </c>
      <c r="BG232" s="89" t="n">
        <v>1</v>
      </c>
      <c r="BH232" s="89" t="inlineStr">
        <is>
          <t>-</t>
        </is>
      </c>
    </row>
    <row r="233" ht="19.55" customHeight="1">
      <c r="A233" s="92" t="n">
        <v>230</v>
      </c>
      <c r="B233" s="87" t="inlineStr">
        <is>
          <t>全国</t>
        </is>
      </c>
      <c r="C233" s="93" t="n">
        <v>46271</v>
      </c>
      <c r="D233" s="87" t="inlineStr">
        <is>
          <t>N7</t>
        </is>
      </c>
      <c r="E233" s="87" t="n">
        <v>2331</v>
      </c>
      <c r="F233" s="87" t="n">
        <v>1986</v>
      </c>
      <c r="G233" s="88" t="n">
        <v>0.851994851994852</v>
      </c>
      <c r="H233" s="87" t="n">
        <v>835</v>
      </c>
      <c r="I233" s="89" t="n">
        <v>0.3582153582153582</v>
      </c>
      <c r="J233" s="87" t="n">
        <v>2053</v>
      </c>
      <c r="K233" s="87" t="n">
        <v>1998</v>
      </c>
      <c r="L233" s="88" t="n">
        <v>0.973</v>
      </c>
      <c r="M233" s="87" t="n">
        <v>7420</v>
      </c>
      <c r="N233" s="87" t="n">
        <v>7548</v>
      </c>
      <c r="O233" s="87" t="n">
        <v>7271</v>
      </c>
      <c r="P233" s="88" t="n">
        <v>0.9799191374663073</v>
      </c>
      <c r="Q233" s="87" t="n">
        <v>55</v>
      </c>
      <c r="R233" s="87" t="n">
        <v>0</v>
      </c>
      <c r="S233" s="87" t="n">
        <v>0</v>
      </c>
      <c r="T233" s="88" t="n">
        <v>0</v>
      </c>
      <c r="U233" s="87" t="n">
        <v>0</v>
      </c>
      <c r="V233" s="88" t="n">
        <v>0</v>
      </c>
      <c r="W233" s="87" t="n">
        <v>182</v>
      </c>
      <c r="X233" s="88" t="n">
        <v>0.07807807807807808</v>
      </c>
      <c r="Y233" s="87" t="n">
        <v>871</v>
      </c>
      <c r="Z233" s="90" t="n">
        <v>0.3736593736593737</v>
      </c>
      <c r="AA233" s="87" t="n">
        <v>4</v>
      </c>
      <c r="AB233" s="88" t="n">
        <v>0.001716001716001716</v>
      </c>
      <c r="AC233" s="87" t="n">
        <v>157</v>
      </c>
      <c r="AD233" s="88" t="n">
        <v>0.06735306735306736</v>
      </c>
      <c r="AE233" s="87" t="n">
        <v>15</v>
      </c>
      <c r="AF233" s="88" t="n">
        <v>0.09554140127388536</v>
      </c>
      <c r="AG233" s="87" t="n">
        <v>139</v>
      </c>
      <c r="AH233" s="88" t="n">
        <v>0.8853503184713376</v>
      </c>
      <c r="AI233" s="91" t="n">
        <v>154</v>
      </c>
      <c r="AJ233" s="88" t="n">
        <v>0.06606606606606606</v>
      </c>
      <c r="AK233" s="91" t="n">
        <v>4</v>
      </c>
      <c r="AL233" s="88" t="n">
        <v>0.7142857142857143</v>
      </c>
      <c r="AM233" s="91" t="n">
        <v>132</v>
      </c>
      <c r="AN233" s="91" t="n">
        <v>110</v>
      </c>
      <c r="AO233" s="88" t="n">
        <v>0.04719004719004719</v>
      </c>
      <c r="AP233" s="88" t="n">
        <v>0.7006369426751592</v>
      </c>
      <c r="AQ233" s="89" t="n">
        <v>0.9814814814814815</v>
      </c>
      <c r="AR233" s="89" t="n">
        <v>0.5891472868217055</v>
      </c>
      <c r="AS233" s="89" t="n">
        <v>0.6356589147286822</v>
      </c>
      <c r="AT233" s="91" t="n">
        <v>0</v>
      </c>
      <c r="AU233" s="91" t="n">
        <v>0</v>
      </c>
      <c r="AV233" s="91" t="n">
        <v>36</v>
      </c>
      <c r="AW233" s="91" t="n">
        <v>33</v>
      </c>
      <c r="AX233" s="91" t="n">
        <v>32</v>
      </c>
      <c r="AY233" s="91" t="n">
        <v>17</v>
      </c>
      <c r="AZ233" s="88" t="n">
        <v>0.01415701415701416</v>
      </c>
      <c r="BA233" s="88" t="n">
        <v>0.01372801372801373</v>
      </c>
      <c r="BB233" s="88" t="n">
        <v>0.007293007293007293</v>
      </c>
      <c r="BC233" s="88" t="n">
        <v>0.2909090909090909</v>
      </c>
      <c r="BD233" s="91" t="n">
        <v>0</v>
      </c>
      <c r="BE233" s="91" t="n">
        <v>0</v>
      </c>
      <c r="BF233" s="89" t="n">
        <v>0.9795918367346939</v>
      </c>
      <c r="BG233" s="89" t="n">
        <v>1</v>
      </c>
      <c r="BH233" s="89" t="inlineStr">
        <is>
          <t>-</t>
        </is>
      </c>
    </row>
    <row r="234" ht="19.55" customHeight="1">
      <c r="A234" s="92" t="n">
        <v>231</v>
      </c>
      <c r="B234" s="87" t="inlineStr">
        <is>
          <t>全国</t>
        </is>
      </c>
      <c r="C234" s="93" t="n">
        <v>46271</v>
      </c>
      <c r="D234" s="87" t="inlineStr">
        <is>
          <t>NX8</t>
        </is>
      </c>
      <c r="E234" s="87" t="n">
        <v>5587</v>
      </c>
      <c r="F234" s="87" t="n">
        <v>4905</v>
      </c>
      <c r="G234" s="88" t="n">
        <v>0.8779309110434939</v>
      </c>
      <c r="H234" s="87" t="n">
        <v>1413</v>
      </c>
      <c r="I234" s="89" t="n">
        <v>0.2529085376767496</v>
      </c>
      <c r="J234" s="87" t="n">
        <v>4792</v>
      </c>
      <c r="K234" s="87" t="n">
        <v>4614</v>
      </c>
      <c r="L234" s="88" t="n">
        <v>0.963</v>
      </c>
      <c r="M234" s="87" t="n">
        <v>22433</v>
      </c>
      <c r="N234" s="87" t="n">
        <v>22258</v>
      </c>
      <c r="O234" s="87" t="n">
        <v>21918</v>
      </c>
      <c r="P234" s="88" t="n">
        <v>0.9770427495207953</v>
      </c>
      <c r="Q234" s="87" t="n">
        <v>221</v>
      </c>
      <c r="R234" s="87" t="n">
        <v>0</v>
      </c>
      <c r="S234" s="87" t="n">
        <v>0</v>
      </c>
      <c r="T234" s="88" t="n">
        <v>0</v>
      </c>
      <c r="U234" s="87" t="n">
        <v>0</v>
      </c>
      <c r="V234" s="88" t="n">
        <v>0</v>
      </c>
      <c r="W234" s="87" t="n">
        <v>596</v>
      </c>
      <c r="X234" s="88" t="n">
        <v>0.1066762126364775</v>
      </c>
      <c r="Y234" s="87" t="n">
        <v>2012</v>
      </c>
      <c r="Z234" s="90" t="n">
        <v>0.3601217111150886</v>
      </c>
      <c r="AA234" s="87" t="n">
        <v>3</v>
      </c>
      <c r="AB234" s="88" t="n">
        <v>0.0005369608018614641</v>
      </c>
      <c r="AC234" s="87" t="n">
        <v>696</v>
      </c>
      <c r="AD234" s="88" t="n">
        <v>0.1245749060318597</v>
      </c>
      <c r="AE234" s="87" t="n">
        <v>88</v>
      </c>
      <c r="AF234" s="88" t="n">
        <v>0.1264367816091954</v>
      </c>
      <c r="AG234" s="87" t="n">
        <v>596</v>
      </c>
      <c r="AH234" s="88" t="n">
        <v>0.8563218390804598</v>
      </c>
      <c r="AI234" s="91" t="n">
        <v>648</v>
      </c>
      <c r="AJ234" s="88" t="n">
        <v>0.1159835332020762</v>
      </c>
      <c r="AK234" s="91" t="n">
        <v>24</v>
      </c>
      <c r="AL234" s="88" t="n">
        <v>0.808641975308642</v>
      </c>
      <c r="AM234" s="91" t="n">
        <v>577</v>
      </c>
      <c r="AN234" s="91" t="n">
        <v>524</v>
      </c>
      <c r="AO234" s="88" t="n">
        <v>0.0937891533918024</v>
      </c>
      <c r="AP234" s="88" t="n">
        <v>0.7528735632183908</v>
      </c>
      <c r="AQ234" s="89" t="n">
        <v>0.9761467889908257</v>
      </c>
      <c r="AR234" s="89" t="n">
        <v>0.5795644891122278</v>
      </c>
      <c r="AS234" s="89" t="n">
        <v>0.6046901172529313</v>
      </c>
      <c r="AT234" s="91" t="n">
        <v>0</v>
      </c>
      <c r="AU234" s="91" t="n">
        <v>0</v>
      </c>
      <c r="AV234" s="91" t="n">
        <v>104</v>
      </c>
      <c r="AW234" s="91" t="n">
        <v>100</v>
      </c>
      <c r="AX234" s="91" t="n">
        <v>95</v>
      </c>
      <c r="AY234" s="91" t="n">
        <v>53</v>
      </c>
      <c r="AZ234" s="88" t="n">
        <v>0.01789869339538214</v>
      </c>
      <c r="BA234" s="88" t="n">
        <v>0.01700375872561303</v>
      </c>
      <c r="BB234" s="88" t="n">
        <v>0.009486307499552532</v>
      </c>
      <c r="BC234" s="88" t="n">
        <v>0.1812977099236641</v>
      </c>
      <c r="BD234" s="91" t="n">
        <v>0</v>
      </c>
      <c r="BE234" s="91" t="n">
        <v>1</v>
      </c>
      <c r="BF234" s="89" t="n">
        <v>0.9800995024875622</v>
      </c>
      <c r="BG234" s="89" t="n">
        <v>1</v>
      </c>
      <c r="BH234" s="89" t="inlineStr">
        <is>
          <t>-</t>
        </is>
      </c>
    </row>
    <row r="235" ht="19.55" customHeight="1">
      <c r="A235" s="92" t="n">
        <v>232</v>
      </c>
      <c r="B235" s="87" t="inlineStr">
        <is>
          <t>全国</t>
        </is>
      </c>
      <c r="C235" s="93" t="n">
        <v>46271</v>
      </c>
      <c r="D235" s="87" t="inlineStr">
        <is>
          <t>天籁·鸿蒙座舱</t>
        </is>
      </c>
      <c r="E235" s="87" t="n">
        <v>4458</v>
      </c>
      <c r="F235" s="87" t="n">
        <v>3971</v>
      </c>
      <c r="G235" s="88" t="n">
        <v>0.8907581875280395</v>
      </c>
      <c r="H235" s="87" t="n">
        <v>2275</v>
      </c>
      <c r="I235" s="89" t="n">
        <v>0.5103185284881112</v>
      </c>
      <c r="J235" s="87" t="n">
        <v>5114</v>
      </c>
      <c r="K235" s="87" t="n">
        <v>5008</v>
      </c>
      <c r="L235" s="88" t="n">
        <v>0.979</v>
      </c>
      <c r="M235" s="87" t="n">
        <v>20296</v>
      </c>
      <c r="N235" s="87" t="n">
        <v>20808</v>
      </c>
      <c r="O235" s="87" t="n">
        <v>20004</v>
      </c>
      <c r="P235" s="88" t="n">
        <v>0.9856129286558928</v>
      </c>
      <c r="Q235" s="87" t="n">
        <v>98</v>
      </c>
      <c r="R235" s="87" t="n">
        <v>0</v>
      </c>
      <c r="S235" s="87" t="n">
        <v>0</v>
      </c>
      <c r="T235" s="88" t="n">
        <v>0</v>
      </c>
      <c r="U235" s="87" t="n">
        <v>0</v>
      </c>
      <c r="V235" s="88" t="n">
        <v>0</v>
      </c>
      <c r="W235" s="87" t="n">
        <v>389</v>
      </c>
      <c r="X235" s="88" t="n">
        <v>0.08725886047554958</v>
      </c>
      <c r="Y235" s="87" t="n">
        <v>1060</v>
      </c>
      <c r="Z235" s="90" t="n">
        <v>0.2377747868999551</v>
      </c>
      <c r="AA235" s="87" t="n">
        <v>5</v>
      </c>
      <c r="AB235" s="88" t="n">
        <v>0.001121579183490354</v>
      </c>
      <c r="AC235" s="87" t="n">
        <v>370</v>
      </c>
      <c r="AD235" s="88" t="n">
        <v>0.08299685957828623</v>
      </c>
      <c r="AE235" s="87" t="n">
        <v>46</v>
      </c>
      <c r="AF235" s="88" t="n">
        <v>0.1243243243243243</v>
      </c>
      <c r="AG235" s="87" t="n">
        <v>318</v>
      </c>
      <c r="AH235" s="88" t="n">
        <v>0.8594594594594595</v>
      </c>
      <c r="AI235" s="91" t="n">
        <v>323</v>
      </c>
      <c r="AJ235" s="88" t="n">
        <v>0.07245401525347689</v>
      </c>
      <c r="AK235" s="91" t="n">
        <v>5</v>
      </c>
      <c r="AL235" s="88" t="n">
        <v>0.7801857585139319</v>
      </c>
      <c r="AM235" s="91" t="n">
        <v>285</v>
      </c>
      <c r="AN235" s="91" t="n">
        <v>252</v>
      </c>
      <c r="AO235" s="88" t="n">
        <v>0.05652759084791386</v>
      </c>
      <c r="AP235" s="88" t="n">
        <v>0.6810810810810811</v>
      </c>
      <c r="AQ235" s="89" t="n">
        <v>0.978448275862069</v>
      </c>
      <c r="AR235" s="89" t="n">
        <v>0.5342465753424658</v>
      </c>
      <c r="AS235" s="89" t="n">
        <v>0.5</v>
      </c>
      <c r="AT235" s="91" t="n">
        <v>0</v>
      </c>
      <c r="AU235" s="91" t="n">
        <v>0</v>
      </c>
      <c r="AV235" s="91" t="n">
        <v>96</v>
      </c>
      <c r="AW235" s="91" t="n">
        <v>92</v>
      </c>
      <c r="AX235" s="91" t="n">
        <v>87</v>
      </c>
      <c r="AY235" s="91" t="n">
        <v>37</v>
      </c>
      <c r="AZ235" s="88" t="n">
        <v>0.02063705697622252</v>
      </c>
      <c r="BA235" s="88" t="n">
        <v>0.01951547779273217</v>
      </c>
      <c r="BB235" s="88" t="n">
        <v>0.008299685957828623</v>
      </c>
      <c r="BC235" s="88" t="n">
        <v>0.3452380952380952</v>
      </c>
      <c r="BD235" s="91" t="n">
        <v>0</v>
      </c>
      <c r="BE235" s="91" t="n">
        <v>0</v>
      </c>
      <c r="BF235" s="89" t="n">
        <v>0.9864864864864865</v>
      </c>
      <c r="BG235" s="89" t="n">
        <v>1</v>
      </c>
      <c r="BH235" s="89" t="inlineStr">
        <is>
          <t>-</t>
        </is>
      </c>
    </row>
    <row r="236" ht="19.55" customHeight="1">
      <c r="A236" s="92" t="n">
        <v>233</v>
      </c>
      <c r="B236" s="87" t="inlineStr">
        <is>
          <t>全国</t>
        </is>
      </c>
      <c r="C236" s="93" t="n">
        <v>46271</v>
      </c>
      <c r="D236" s="87" t="inlineStr">
        <is>
          <t>探陆</t>
        </is>
      </c>
      <c r="E236" s="87" t="n">
        <v>0</v>
      </c>
      <c r="F236" s="87" t="n">
        <v>0</v>
      </c>
      <c r="G236" s="88" t="n">
        <v>0</v>
      </c>
      <c r="H236" s="87" t="n">
        <v>0</v>
      </c>
      <c r="I236" s="89" t="n">
        <v>0</v>
      </c>
      <c r="J236" s="87" t="n">
        <v>0</v>
      </c>
      <c r="K236" s="87" t="n">
        <v>0</v>
      </c>
      <c r="L236" s="88" t="n">
        <v>0</v>
      </c>
      <c r="M236" s="87" t="n">
        <v>0</v>
      </c>
      <c r="N236" s="87" t="n">
        <v>0</v>
      </c>
      <c r="O236" s="87" t="n">
        <v>0</v>
      </c>
      <c r="P236" s="88" t="n">
        <v>0</v>
      </c>
      <c r="Q236" s="87" t="n">
        <v>0</v>
      </c>
      <c r="R236" s="87" t="n">
        <v>0</v>
      </c>
      <c r="S236" s="87" t="n">
        <v>0</v>
      </c>
      <c r="T236" s="88" t="n">
        <v>0</v>
      </c>
      <c r="U236" s="87" t="n">
        <v>0</v>
      </c>
      <c r="V236" s="88" t="n">
        <v>0</v>
      </c>
      <c r="W236" s="87" t="n">
        <v>0</v>
      </c>
      <c r="X236" s="88" t="n">
        <v>0</v>
      </c>
      <c r="Y236" s="87" t="n">
        <v>0</v>
      </c>
      <c r="Z236" s="90" t="n">
        <v>0</v>
      </c>
      <c r="AA236" s="87" t="n">
        <v>0</v>
      </c>
      <c r="AB236" s="88" t="n">
        <v>0</v>
      </c>
      <c r="AC236" s="87" t="n">
        <v>0</v>
      </c>
      <c r="AD236" s="88" t="n">
        <v>0</v>
      </c>
      <c r="AE236" s="87" t="n">
        <v>0</v>
      </c>
      <c r="AF236" s="88" t="n">
        <v>0</v>
      </c>
      <c r="AG236" s="87" t="n">
        <v>0</v>
      </c>
      <c r="AH236" s="88" t="n">
        <v>0</v>
      </c>
      <c r="AI236" s="91" t="n">
        <v>1</v>
      </c>
      <c r="AJ236" s="88" t="n">
        <v>0</v>
      </c>
      <c r="AK236" s="91" t="n">
        <v>0</v>
      </c>
      <c r="AL236" s="88" t="n">
        <v>1</v>
      </c>
      <c r="AM236" s="91" t="n">
        <v>1</v>
      </c>
      <c r="AN236" s="91" t="n">
        <v>1</v>
      </c>
      <c r="AO236" s="88" t="n">
        <v>0</v>
      </c>
      <c r="AP236" s="88" t="n">
        <v>0</v>
      </c>
      <c r="AQ236" s="89" t="n"/>
      <c r="AR236" s="89" t="inlineStr">
        <is>
          <t>0.0%</t>
        </is>
      </c>
      <c r="AS236" s="89" t="inlineStr">
        <is>
          <t>0.0%</t>
        </is>
      </c>
      <c r="AT236" s="91" t="n">
        <v>0</v>
      </c>
      <c r="AU236" s="91" t="n">
        <v>0</v>
      </c>
      <c r="AV236" s="91" t="n">
        <v>0</v>
      </c>
      <c r="AW236" s="91" t="n">
        <v>0</v>
      </c>
      <c r="AX236" s="91" t="n">
        <v>0</v>
      </c>
      <c r="AY236" s="91" t="n">
        <v>0</v>
      </c>
      <c r="AZ236" s="88" t="n">
        <v>0</v>
      </c>
      <c r="BA236" s="88" t="n">
        <v>0</v>
      </c>
      <c r="BB236" s="88" t="n">
        <v>0</v>
      </c>
      <c r="BC236" s="88" t="n">
        <v>0</v>
      </c>
      <c r="BD236" s="91" t="n">
        <v>0</v>
      </c>
      <c r="BE236" s="91" t="n">
        <v>0</v>
      </c>
      <c r="BF236" s="89" t="n">
        <v>1</v>
      </c>
      <c r="BG236" s="89" t="inlineStr">
        <is>
          <t>-</t>
        </is>
      </c>
      <c r="BH236" s="89" t="inlineStr">
        <is>
          <t>-</t>
        </is>
      </c>
    </row>
    <row r="237" ht="19.55" customHeight="1">
      <c r="A237" s="92" t="n">
        <v>234</v>
      </c>
      <c r="B237" s="87" t="inlineStr">
        <is>
          <t>全国</t>
        </is>
      </c>
      <c r="C237" s="93" t="n">
        <v>46272</v>
      </c>
      <c r="D237" s="87" t="n"/>
      <c r="E237" s="87" t="n">
        <v>43</v>
      </c>
      <c r="F237" s="87" t="n">
        <v>43</v>
      </c>
      <c r="G237" s="88" t="n">
        <v>1</v>
      </c>
      <c r="H237" s="87" t="n">
        <v>43</v>
      </c>
      <c r="I237" s="89" t="n">
        <v>1</v>
      </c>
      <c r="J237" s="87" t="n">
        <v>0</v>
      </c>
      <c r="K237" s="87" t="n">
        <v>0</v>
      </c>
      <c r="L237" s="88" t="n">
        <v>0</v>
      </c>
      <c r="M237" s="87" t="n">
        <v>2</v>
      </c>
      <c r="N237" s="87" t="n">
        <v>0</v>
      </c>
      <c r="O237" s="87" t="n">
        <v>0</v>
      </c>
      <c r="P237" s="88" t="n">
        <v>0</v>
      </c>
      <c r="Q237" s="87" t="n">
        <v>2</v>
      </c>
      <c r="R237" s="87" t="n">
        <v>0</v>
      </c>
      <c r="S237" s="87" t="n">
        <v>0</v>
      </c>
      <c r="T237" s="88" t="n">
        <v>0</v>
      </c>
      <c r="U237" s="87" t="n">
        <v>0</v>
      </c>
      <c r="V237" s="88" t="n">
        <v>0</v>
      </c>
      <c r="W237" s="87" t="n">
        <v>5</v>
      </c>
      <c r="X237" s="88" t="n">
        <v>0.1162790697674419</v>
      </c>
      <c r="Y237" s="87" t="n">
        <v>6</v>
      </c>
      <c r="Z237" s="90" t="n">
        <v>0.1395348837209302</v>
      </c>
      <c r="AA237" s="87" t="n">
        <v>0</v>
      </c>
      <c r="AB237" s="88" t="n">
        <v>0</v>
      </c>
      <c r="AC237" s="87" t="n">
        <v>0</v>
      </c>
      <c r="AD237" s="88" t="n">
        <v>0</v>
      </c>
      <c r="AE237" s="87" t="n">
        <v>0</v>
      </c>
      <c r="AF237" s="88" t="n">
        <v>0</v>
      </c>
      <c r="AG237" s="87" t="n">
        <v>0</v>
      </c>
      <c r="AH237" s="88" t="n">
        <v>0</v>
      </c>
      <c r="AI237" s="91" t="n">
        <v>0</v>
      </c>
      <c r="AJ237" s="88" t="n">
        <v>0</v>
      </c>
      <c r="AK237" s="91" t="n">
        <v>0</v>
      </c>
      <c r="AL237" s="88" t="n">
        <v>0</v>
      </c>
      <c r="AM237" s="91" t="n">
        <v>0</v>
      </c>
      <c r="AN237" s="91" t="n">
        <v>0</v>
      </c>
      <c r="AO237" s="88" t="n">
        <v>0</v>
      </c>
      <c r="AP237" s="88" t="n">
        <v>0</v>
      </c>
      <c r="AQ237" s="89" t="n">
        <v>0</v>
      </c>
      <c r="AR237" s="89" t="inlineStr">
        <is>
          <t>0.0%</t>
        </is>
      </c>
      <c r="AS237" s="89" t="inlineStr">
        <is>
          <t>0.0%</t>
        </is>
      </c>
      <c r="AT237" s="91" t="n">
        <v>0</v>
      </c>
      <c r="AU237" s="91" t="n">
        <v>0</v>
      </c>
      <c r="AV237" s="91" t="n">
        <v>0</v>
      </c>
      <c r="AW237" s="91" t="n">
        <v>0</v>
      </c>
      <c r="AX237" s="91" t="n">
        <v>0</v>
      </c>
      <c r="AY237" s="91" t="n">
        <v>0</v>
      </c>
      <c r="AZ237" s="88" t="n">
        <v>0</v>
      </c>
      <c r="BA237" s="88" t="n">
        <v>0</v>
      </c>
      <c r="BB237" s="88" t="n">
        <v>0</v>
      </c>
      <c r="BC237" s="88" t="n">
        <v>0</v>
      </c>
      <c r="BD237" s="91" t="n">
        <v>0</v>
      </c>
      <c r="BE237" s="91" t="n">
        <v>0</v>
      </c>
      <c r="BF237" s="89" t="inlineStr">
        <is>
          <t>-</t>
        </is>
      </c>
      <c r="BG237" s="89" t="inlineStr">
        <is>
          <t>-</t>
        </is>
      </c>
      <c r="BH237" s="89" t="n">
        <v>0.9900990099009901</v>
      </c>
    </row>
    <row r="238" ht="19.55" customHeight="1">
      <c r="A238" s="92" t="n">
        <v>235</v>
      </c>
      <c r="B238" s="87" t="inlineStr">
        <is>
          <t>全国</t>
        </is>
      </c>
      <c r="C238" s="93" t="n">
        <v>46272</v>
      </c>
      <c r="D238" s="87" t="inlineStr">
        <is>
          <t>2026款探陆</t>
        </is>
      </c>
      <c r="E238" s="87" t="n">
        <v>84</v>
      </c>
      <c r="F238" s="87" t="n">
        <v>76</v>
      </c>
      <c r="G238" s="88" t="n">
        <v>0.9047619047619048</v>
      </c>
      <c r="H238" s="87" t="n">
        <v>61</v>
      </c>
      <c r="I238" s="89" t="n">
        <v>0.7261904761904762</v>
      </c>
      <c r="J238" s="87" t="n">
        <v>184</v>
      </c>
      <c r="K238" s="87" t="n">
        <v>129</v>
      </c>
      <c r="L238" s="88" t="n">
        <v>0.701</v>
      </c>
      <c r="M238" s="87" t="n">
        <v>933</v>
      </c>
      <c r="N238" s="87" t="n">
        <v>829</v>
      </c>
      <c r="O238" s="87" t="n">
        <v>788</v>
      </c>
      <c r="P238" s="88" t="n">
        <v>0.8445873526259379</v>
      </c>
      <c r="Q238" s="87" t="n">
        <v>61</v>
      </c>
      <c r="R238" s="87" t="n">
        <v>0</v>
      </c>
      <c r="S238" s="87" t="n">
        <v>0</v>
      </c>
      <c r="T238" s="88" t="n">
        <v>0</v>
      </c>
      <c r="U238" s="87" t="n">
        <v>0</v>
      </c>
      <c r="V238" s="88" t="n">
        <v>0</v>
      </c>
      <c r="W238" s="87" t="n">
        <v>11</v>
      </c>
      <c r="X238" s="88" t="n">
        <v>0.130952380952381</v>
      </c>
      <c r="Y238" s="87" t="n">
        <v>15</v>
      </c>
      <c r="Z238" s="90" t="n">
        <v>0.1785714285714286</v>
      </c>
      <c r="AA238" s="87" t="n">
        <v>29</v>
      </c>
      <c r="AB238" s="88" t="n">
        <v>0.3452380952380952</v>
      </c>
      <c r="AC238" s="87" t="n">
        <v>0</v>
      </c>
      <c r="AD238" s="88" t="n">
        <v>0</v>
      </c>
      <c r="AE238" s="87" t="n">
        <v>0</v>
      </c>
      <c r="AF238" s="88" t="n">
        <v>0</v>
      </c>
      <c r="AG238" s="87" t="n">
        <v>0</v>
      </c>
      <c r="AH238" s="88" t="n">
        <v>0</v>
      </c>
      <c r="AI238" s="91" t="n">
        <v>0</v>
      </c>
      <c r="AJ238" s="88" t="n">
        <v>0</v>
      </c>
      <c r="AK238" s="91" t="n">
        <v>0</v>
      </c>
      <c r="AL238" s="88" t="n">
        <v>0</v>
      </c>
      <c r="AM238" s="91" t="n">
        <v>0</v>
      </c>
      <c r="AN238" s="91" t="n">
        <v>0</v>
      </c>
      <c r="AO238" s="88" t="n">
        <v>0</v>
      </c>
      <c r="AP238" s="88" t="n">
        <v>0</v>
      </c>
      <c r="AQ238" s="89" t="n">
        <v>0</v>
      </c>
      <c r="AR238" s="89" t="inlineStr">
        <is>
          <t>0.0%</t>
        </is>
      </c>
      <c r="AS238" s="89" t="inlineStr">
        <is>
          <t>0.0%</t>
        </is>
      </c>
      <c r="AT238" s="91" t="n">
        <v>0</v>
      </c>
      <c r="AU238" s="91" t="n">
        <v>0</v>
      </c>
      <c r="AV238" s="91" t="n">
        <v>3</v>
      </c>
      <c r="AW238" s="91" t="n">
        <v>3</v>
      </c>
      <c r="AX238" s="91" t="n">
        <v>3</v>
      </c>
      <c r="AY238" s="91" t="n">
        <v>1</v>
      </c>
      <c r="AZ238" s="88" t="n">
        <v>0.03571428571428571</v>
      </c>
      <c r="BA238" s="88" t="n">
        <v>0.03571428571428571</v>
      </c>
      <c r="BB238" s="88" t="n">
        <v>0.0119047619047619</v>
      </c>
      <c r="BC238" s="88" t="n">
        <v>0</v>
      </c>
      <c r="BD238" s="91" t="n">
        <v>0</v>
      </c>
      <c r="BE238" s="91" t="n">
        <v>0</v>
      </c>
      <c r="BF238" s="89" t="inlineStr">
        <is>
          <t>-</t>
        </is>
      </c>
      <c r="BG238" s="89" t="n">
        <v>1</v>
      </c>
      <c r="BH238" s="89" t="inlineStr">
        <is>
          <t>-</t>
        </is>
      </c>
    </row>
    <row r="239" ht="19.55" customHeight="1">
      <c r="A239" s="92" t="n">
        <v>236</v>
      </c>
      <c r="B239" s="87" t="inlineStr">
        <is>
          <t>全国</t>
        </is>
      </c>
      <c r="C239" s="93" t="n">
        <v>46272</v>
      </c>
      <c r="D239" s="87" t="inlineStr">
        <is>
          <t>N6</t>
        </is>
      </c>
      <c r="E239" s="87" t="n">
        <v>1700</v>
      </c>
      <c r="F239" s="87" t="n">
        <v>1488</v>
      </c>
      <c r="G239" s="88" t="n">
        <v>0.8752941176470588</v>
      </c>
      <c r="H239" s="87" t="n">
        <v>576</v>
      </c>
      <c r="I239" s="89" t="n">
        <v>0.3388235294117647</v>
      </c>
      <c r="J239" s="87" t="n">
        <v>2133</v>
      </c>
      <c r="K239" s="87" t="n">
        <v>2081</v>
      </c>
      <c r="L239" s="88" t="n">
        <v>0.976</v>
      </c>
      <c r="M239" s="87" t="n">
        <v>7960</v>
      </c>
      <c r="N239" s="87" t="n">
        <v>7533</v>
      </c>
      <c r="O239" s="87" t="n">
        <v>7813</v>
      </c>
      <c r="P239" s="88" t="n">
        <v>0.981532663316583</v>
      </c>
      <c r="Q239" s="87" t="n">
        <v>54</v>
      </c>
      <c r="R239" s="87" t="n">
        <v>0</v>
      </c>
      <c r="S239" s="87" t="n">
        <v>0</v>
      </c>
      <c r="T239" s="88" t="n">
        <v>0</v>
      </c>
      <c r="U239" s="87" t="n">
        <v>0</v>
      </c>
      <c r="V239" s="88" t="n">
        <v>0</v>
      </c>
      <c r="W239" s="87" t="n">
        <v>239</v>
      </c>
      <c r="X239" s="88" t="n">
        <v>0.1405882352941177</v>
      </c>
      <c r="Y239" s="87" t="n">
        <v>543</v>
      </c>
      <c r="Z239" s="90" t="n">
        <v>0.3194117647058823</v>
      </c>
      <c r="AA239" s="87" t="n">
        <v>3</v>
      </c>
      <c r="AB239" s="88" t="n">
        <v>0.001764705882352941</v>
      </c>
      <c r="AC239" s="87" t="n">
        <v>76</v>
      </c>
      <c r="AD239" s="88" t="n">
        <v>0.04470588235294118</v>
      </c>
      <c r="AE239" s="87" t="n">
        <v>15</v>
      </c>
      <c r="AF239" s="88" t="n">
        <v>0.1973684210526316</v>
      </c>
      <c r="AG239" s="87" t="n">
        <v>57</v>
      </c>
      <c r="AH239" s="88" t="n">
        <v>0.75</v>
      </c>
      <c r="AI239" s="91" t="n">
        <v>51</v>
      </c>
      <c r="AJ239" s="88" t="n">
        <v>0.03</v>
      </c>
      <c r="AK239" s="91" t="n">
        <v>3</v>
      </c>
      <c r="AL239" s="88" t="n">
        <v>0.8431372549019608</v>
      </c>
      <c r="AM239" s="91" t="n">
        <v>50</v>
      </c>
      <c r="AN239" s="91" t="n">
        <v>43</v>
      </c>
      <c r="AO239" s="88" t="n">
        <v>0.02529411764705882</v>
      </c>
      <c r="AP239" s="88" t="n">
        <v>0.5657894736842105</v>
      </c>
      <c r="AQ239" s="89" t="n">
        <v>0.9916666666666667</v>
      </c>
      <c r="AR239" s="89" t="n">
        <v>0.574468085106383</v>
      </c>
      <c r="AS239" s="89" t="n">
        <v>0.5106382978723404</v>
      </c>
      <c r="AT239" s="91" t="n">
        <v>0</v>
      </c>
      <c r="AU239" s="91" t="n">
        <v>0</v>
      </c>
      <c r="AV239" s="91" t="n">
        <v>29</v>
      </c>
      <c r="AW239" s="91" t="n">
        <v>24</v>
      </c>
      <c r="AX239" s="91" t="n">
        <v>27</v>
      </c>
      <c r="AY239" s="91" t="n">
        <v>39</v>
      </c>
      <c r="AZ239" s="88" t="n">
        <v>0.01411764705882353</v>
      </c>
      <c r="BA239" s="88" t="n">
        <v>0.01588235294117647</v>
      </c>
      <c r="BB239" s="88" t="n">
        <v>0.02294117647058824</v>
      </c>
      <c r="BC239" s="88" t="n">
        <v>0.6279069767441861</v>
      </c>
      <c r="BD239" s="91" t="n">
        <v>0</v>
      </c>
      <c r="BE239" s="91" t="n">
        <v>0</v>
      </c>
      <c r="BF239" s="89" t="n">
        <v>0.9583333333333334</v>
      </c>
      <c r="BG239" s="89" t="n">
        <v>1</v>
      </c>
      <c r="BH239" s="89" t="inlineStr">
        <is>
          <t>-</t>
        </is>
      </c>
    </row>
    <row r="240" ht="19.55" customHeight="1">
      <c r="A240" s="92" t="n">
        <v>237</v>
      </c>
      <c r="B240" s="87" t="inlineStr">
        <is>
          <t>全国</t>
        </is>
      </c>
      <c r="C240" s="93" t="n">
        <v>46272</v>
      </c>
      <c r="D240" s="87" t="inlineStr">
        <is>
          <t>N7</t>
        </is>
      </c>
      <c r="E240" s="87" t="n">
        <v>2298</v>
      </c>
      <c r="F240" s="87" t="n">
        <v>1998</v>
      </c>
      <c r="G240" s="88" t="n">
        <v>0.8694516971279374</v>
      </c>
      <c r="H240" s="87" t="n">
        <v>848</v>
      </c>
      <c r="I240" s="89" t="n">
        <v>0.3690165361183638</v>
      </c>
      <c r="J240" s="87" t="n">
        <v>2070</v>
      </c>
      <c r="K240" s="87" t="n">
        <v>2001</v>
      </c>
      <c r="L240" s="88" t="n">
        <v>0.967</v>
      </c>
      <c r="M240" s="87" t="n">
        <v>7716</v>
      </c>
      <c r="N240" s="87" t="n">
        <v>7504</v>
      </c>
      <c r="O240" s="87" t="n">
        <v>7552</v>
      </c>
      <c r="P240" s="88" t="n">
        <v>0.9787454639709694</v>
      </c>
      <c r="Q240" s="87" t="n">
        <v>31</v>
      </c>
      <c r="R240" s="87" t="n">
        <v>0</v>
      </c>
      <c r="S240" s="87" t="n">
        <v>0</v>
      </c>
      <c r="T240" s="88" t="n">
        <v>0</v>
      </c>
      <c r="U240" s="87" t="n">
        <v>0</v>
      </c>
      <c r="V240" s="88" t="n">
        <v>0</v>
      </c>
      <c r="W240" s="87" t="n">
        <v>215</v>
      </c>
      <c r="X240" s="88" t="n">
        <v>0.09355961705831158</v>
      </c>
      <c r="Y240" s="87" t="n">
        <v>511</v>
      </c>
      <c r="Z240" s="90" t="n">
        <v>0.2223672758920801</v>
      </c>
      <c r="AA240" s="87" t="n">
        <v>1</v>
      </c>
      <c r="AB240" s="88" t="n">
        <v>0.0004351610095735422</v>
      </c>
      <c r="AC240" s="87" t="n">
        <v>96</v>
      </c>
      <c r="AD240" s="88" t="n">
        <v>0.04177545691906005</v>
      </c>
      <c r="AE240" s="87" t="n">
        <v>9</v>
      </c>
      <c r="AF240" s="88" t="n">
        <v>0.09375</v>
      </c>
      <c r="AG240" s="87" t="n">
        <v>89</v>
      </c>
      <c r="AH240" s="88" t="n">
        <v>0.9270833333333334</v>
      </c>
      <c r="AI240" s="91" t="n">
        <v>89</v>
      </c>
      <c r="AJ240" s="88" t="n">
        <v>0.03872932985204525</v>
      </c>
      <c r="AK240" s="91" t="n">
        <v>3</v>
      </c>
      <c r="AL240" s="88" t="n">
        <v>0.8314606741573034</v>
      </c>
      <c r="AM240" s="91" t="n">
        <v>86</v>
      </c>
      <c r="AN240" s="91" t="n">
        <v>74</v>
      </c>
      <c r="AO240" s="88" t="n">
        <v>0.03220191470844212</v>
      </c>
      <c r="AP240" s="88" t="n">
        <v>0.7708333333333334</v>
      </c>
      <c r="AQ240" s="89" t="n">
        <v>1</v>
      </c>
      <c r="AR240" s="89" t="n">
        <v>0.6091954022988506</v>
      </c>
      <c r="AS240" s="89" t="n">
        <v>0.5517241379310345</v>
      </c>
      <c r="AT240" s="91" t="n">
        <v>0</v>
      </c>
      <c r="AU240" s="91" t="n">
        <v>0</v>
      </c>
      <c r="AV240" s="91" t="n">
        <v>28</v>
      </c>
      <c r="AW240" s="91" t="n">
        <v>24</v>
      </c>
      <c r="AX240" s="91" t="n">
        <v>24</v>
      </c>
      <c r="AY240" s="91" t="n">
        <v>23</v>
      </c>
      <c r="AZ240" s="88" t="n">
        <v>0.01044386422976501</v>
      </c>
      <c r="BA240" s="88" t="n">
        <v>0.01044386422976501</v>
      </c>
      <c r="BB240" s="88" t="n">
        <v>0.01000870322019147</v>
      </c>
      <c r="BC240" s="88" t="n">
        <v>0.3243243243243243</v>
      </c>
      <c r="BD240" s="91" t="n">
        <v>0</v>
      </c>
      <c r="BE240" s="91" t="n">
        <v>0</v>
      </c>
      <c r="BF240" s="89" t="n">
        <v>0.967741935483871</v>
      </c>
      <c r="BG240" s="89" t="n">
        <v>1</v>
      </c>
      <c r="BH240" s="89" t="inlineStr">
        <is>
          <t>-</t>
        </is>
      </c>
    </row>
    <row r="241" ht="19.55" customHeight="1">
      <c r="A241" s="92" t="n">
        <v>238</v>
      </c>
      <c r="B241" s="87" t="inlineStr">
        <is>
          <t>全国</t>
        </is>
      </c>
      <c r="C241" s="93" t="n">
        <v>46272</v>
      </c>
      <c r="D241" s="87" t="inlineStr">
        <is>
          <t>NX8</t>
        </is>
      </c>
      <c r="E241" s="87" t="n">
        <v>5064</v>
      </c>
      <c r="F241" s="87" t="n">
        <v>4581</v>
      </c>
      <c r="G241" s="88" t="n">
        <v>0.9046208530805687</v>
      </c>
      <c r="H241" s="87" t="n">
        <v>1421</v>
      </c>
      <c r="I241" s="89" t="n">
        <v>0.280608214849921</v>
      </c>
      <c r="J241" s="87" t="n">
        <v>5321</v>
      </c>
      <c r="K241" s="87" t="n">
        <v>5072</v>
      </c>
      <c r="L241" s="88" t="n">
        <v>0.953</v>
      </c>
      <c r="M241" s="87" t="n">
        <v>23019</v>
      </c>
      <c r="N241" s="87" t="n">
        <v>21670</v>
      </c>
      <c r="O241" s="87" t="n">
        <v>22444</v>
      </c>
      <c r="P241" s="88" t="n">
        <v>0.9750206351275034</v>
      </c>
      <c r="Q241" s="87" t="n">
        <v>215</v>
      </c>
      <c r="R241" s="87" t="n">
        <v>0</v>
      </c>
      <c r="S241" s="87" t="n">
        <v>0</v>
      </c>
      <c r="T241" s="88" t="n">
        <v>0</v>
      </c>
      <c r="U241" s="87" t="n">
        <v>0</v>
      </c>
      <c r="V241" s="88" t="n">
        <v>0</v>
      </c>
      <c r="W241" s="87" t="n">
        <v>729</v>
      </c>
      <c r="X241" s="88" t="n">
        <v>0.143957345971564</v>
      </c>
      <c r="Y241" s="87" t="n">
        <v>2021</v>
      </c>
      <c r="Z241" s="90" t="n">
        <v>0.3990916271721959</v>
      </c>
      <c r="AA241" s="87" t="n">
        <v>9</v>
      </c>
      <c r="AB241" s="88" t="n">
        <v>0.001777251184834123</v>
      </c>
      <c r="AC241" s="87" t="n">
        <v>360</v>
      </c>
      <c r="AD241" s="88" t="n">
        <v>0.07109004739336493</v>
      </c>
      <c r="AE241" s="87" t="n">
        <v>52</v>
      </c>
      <c r="AF241" s="88" t="n">
        <v>0.1444444444444444</v>
      </c>
      <c r="AG241" s="87" t="n">
        <v>292</v>
      </c>
      <c r="AH241" s="88" t="n">
        <v>0.8111111111111111</v>
      </c>
      <c r="AI241" s="91" t="n">
        <v>292</v>
      </c>
      <c r="AJ241" s="88" t="n">
        <v>0.05766192733017378</v>
      </c>
      <c r="AK241" s="91" t="n">
        <v>9</v>
      </c>
      <c r="AL241" s="88" t="n">
        <v>0.839041095890411</v>
      </c>
      <c r="AM241" s="91" t="n">
        <v>279</v>
      </c>
      <c r="AN241" s="91" t="n">
        <v>245</v>
      </c>
      <c r="AO241" s="88" t="n">
        <v>0.04838072669826225</v>
      </c>
      <c r="AP241" s="88" t="n">
        <v>0.6805555555555556</v>
      </c>
      <c r="AQ241" s="89" t="n">
        <v>0.9700176366843033</v>
      </c>
      <c r="AR241" s="89" t="n">
        <v>0.6137931034482759</v>
      </c>
      <c r="AS241" s="89" t="n">
        <v>0.6241379310344828</v>
      </c>
      <c r="AT241" s="91" t="n">
        <v>0</v>
      </c>
      <c r="AU241" s="91" t="n">
        <v>0</v>
      </c>
      <c r="AV241" s="91" t="n">
        <v>49</v>
      </c>
      <c r="AW241" s="91" t="n">
        <v>35</v>
      </c>
      <c r="AX241" s="91" t="n">
        <v>34</v>
      </c>
      <c r="AY241" s="91" t="n">
        <v>81</v>
      </c>
      <c r="AZ241" s="88" t="n">
        <v>0.006911532385466035</v>
      </c>
      <c r="BA241" s="88" t="n">
        <v>0.006714060031595577</v>
      </c>
      <c r="BB241" s="88" t="n">
        <v>0.01599526066350711</v>
      </c>
      <c r="BC241" s="88" t="n">
        <v>0.1387755102040816</v>
      </c>
      <c r="BD241" s="91" t="n">
        <v>0</v>
      </c>
      <c r="BE241" s="91" t="n">
        <v>0</v>
      </c>
      <c r="BF241" s="89" t="n">
        <v>0.9923076923076923</v>
      </c>
      <c r="BG241" s="89" t="n">
        <v>1</v>
      </c>
      <c r="BH241" s="89" t="inlineStr">
        <is>
          <t>-</t>
        </is>
      </c>
    </row>
    <row r="242" ht="19.55" customHeight="1">
      <c r="A242" s="92" t="n">
        <v>239</v>
      </c>
      <c r="B242" s="87" t="inlineStr">
        <is>
          <t>全国</t>
        </is>
      </c>
      <c r="C242" s="93" t="n">
        <v>46272</v>
      </c>
      <c r="D242" s="87" t="inlineStr">
        <is>
          <t>天籁·鸿蒙座舱</t>
        </is>
      </c>
      <c r="E242" s="87" t="n">
        <v>4050</v>
      </c>
      <c r="F242" s="87" t="n">
        <v>3706</v>
      </c>
      <c r="G242" s="88" t="n">
        <v>0.9150617283950617</v>
      </c>
      <c r="H242" s="87" t="n">
        <v>1986</v>
      </c>
      <c r="I242" s="89" t="n">
        <v>0.4903703703703703</v>
      </c>
      <c r="J242" s="87" t="n">
        <v>5139</v>
      </c>
      <c r="K242" s="87" t="n">
        <v>5010</v>
      </c>
      <c r="L242" s="88" t="n">
        <v>0.975</v>
      </c>
      <c r="M242" s="87" t="n">
        <v>20185</v>
      </c>
      <c r="N242" s="87" t="n">
        <v>19930</v>
      </c>
      <c r="O242" s="87" t="n">
        <v>19821</v>
      </c>
      <c r="P242" s="88" t="n">
        <v>0.9819668070349269</v>
      </c>
      <c r="Q242" s="87" t="n">
        <v>99</v>
      </c>
      <c r="R242" s="87" t="n">
        <v>0</v>
      </c>
      <c r="S242" s="87" t="n">
        <v>0</v>
      </c>
      <c r="T242" s="88" t="n">
        <v>0</v>
      </c>
      <c r="U242" s="87" t="n">
        <v>0</v>
      </c>
      <c r="V242" s="88" t="n">
        <v>0</v>
      </c>
      <c r="W242" s="87" t="n">
        <v>413</v>
      </c>
      <c r="X242" s="88" t="n">
        <v>0.1019753086419753</v>
      </c>
      <c r="Y242" s="87" t="n">
        <v>953</v>
      </c>
      <c r="Z242" s="90" t="n">
        <v>0.2353086419753087</v>
      </c>
      <c r="AA242" s="87" t="n">
        <v>9</v>
      </c>
      <c r="AB242" s="88" t="n">
        <v>0.002222222222222222</v>
      </c>
      <c r="AC242" s="87" t="n">
        <v>176</v>
      </c>
      <c r="AD242" s="88" t="n">
        <v>0.04345679012345679</v>
      </c>
      <c r="AE242" s="87" t="n">
        <v>35</v>
      </c>
      <c r="AF242" s="88" t="n">
        <v>0.1988636363636364</v>
      </c>
      <c r="AG242" s="87" t="n">
        <v>152</v>
      </c>
      <c r="AH242" s="88" t="n">
        <v>0.8636363636363636</v>
      </c>
      <c r="AI242" s="91" t="n">
        <v>139</v>
      </c>
      <c r="AJ242" s="88" t="n">
        <v>0.03432098765432099</v>
      </c>
      <c r="AK242" s="91" t="n">
        <v>6</v>
      </c>
      <c r="AL242" s="88" t="n">
        <v>0.5467625899280576</v>
      </c>
      <c r="AM242" s="91" t="n">
        <v>135</v>
      </c>
      <c r="AN242" s="91" t="n">
        <v>76</v>
      </c>
      <c r="AO242" s="88" t="n">
        <v>0.01876543209876543</v>
      </c>
      <c r="AP242" s="88" t="n">
        <v>0.4318181818181818</v>
      </c>
      <c r="AQ242" s="89" t="n">
        <v>0.960431654676259</v>
      </c>
      <c r="AR242" s="89" t="n">
        <v>0.5413533834586466</v>
      </c>
      <c r="AS242" s="89" t="n">
        <v>0.4586466165413534</v>
      </c>
      <c r="AT242" s="91" t="n">
        <v>0</v>
      </c>
      <c r="AU242" s="91" t="n">
        <v>0</v>
      </c>
      <c r="AV242" s="91" t="n">
        <v>60</v>
      </c>
      <c r="AW242" s="91" t="n">
        <v>51</v>
      </c>
      <c r="AX242" s="91" t="n">
        <v>52</v>
      </c>
      <c r="AY242" s="91" t="n">
        <v>50</v>
      </c>
      <c r="AZ242" s="88" t="n">
        <v>0.01259259259259259</v>
      </c>
      <c r="BA242" s="88" t="n">
        <v>0.01283950617283951</v>
      </c>
      <c r="BB242" s="88" t="n">
        <v>0.01234567901234568</v>
      </c>
      <c r="BC242" s="88" t="n">
        <v>0.6842105263157895</v>
      </c>
      <c r="BD242" s="91" t="n">
        <v>0</v>
      </c>
      <c r="BE242" s="91" t="n">
        <v>0</v>
      </c>
      <c r="BF242" s="89" t="n">
        <v>0.9761904761904762</v>
      </c>
      <c r="BG242" s="89" t="n">
        <v>1</v>
      </c>
      <c r="BH242" s="89" t="inlineStr">
        <is>
          <t>-</t>
        </is>
      </c>
    </row>
    <row r="243" ht="19.55" customHeight="1">
      <c r="A243" s="92" t="n">
        <v>240</v>
      </c>
      <c r="B243" s="87" t="inlineStr">
        <is>
          <t>全国</t>
        </is>
      </c>
      <c r="C243" s="93" t="n">
        <v>46273</v>
      </c>
      <c r="D243" s="87" t="n"/>
      <c r="E243" s="87" t="n">
        <v>44</v>
      </c>
      <c r="F243" s="87" t="n">
        <v>44</v>
      </c>
      <c r="G243" s="88" t="n">
        <v>1</v>
      </c>
      <c r="H243" s="87" t="n">
        <v>44</v>
      </c>
      <c r="I243" s="89" t="n">
        <v>1</v>
      </c>
      <c r="J243" s="87" t="n">
        <v>0</v>
      </c>
      <c r="K243" s="87" t="n">
        <v>0</v>
      </c>
      <c r="L243" s="88" t="n">
        <v>0</v>
      </c>
      <c r="M243" s="87" t="n">
        <v>0</v>
      </c>
      <c r="N243" s="87" t="n">
        <v>0</v>
      </c>
      <c r="O243" s="87" t="n">
        <v>0</v>
      </c>
      <c r="P243" s="88" t="n">
        <v>0</v>
      </c>
      <c r="Q243" s="87" t="n">
        <v>0</v>
      </c>
      <c r="R243" s="87" t="n">
        <v>0</v>
      </c>
      <c r="S243" s="87" t="n">
        <v>0</v>
      </c>
      <c r="T243" s="88" t="n">
        <v>0</v>
      </c>
      <c r="U243" s="87" t="n">
        <v>0</v>
      </c>
      <c r="V243" s="88" t="n">
        <v>0</v>
      </c>
      <c r="W243" s="87" t="n">
        <v>8</v>
      </c>
      <c r="X243" s="88" t="n">
        <v>0.1818181818181818</v>
      </c>
      <c r="Y243" s="87" t="n">
        <v>19</v>
      </c>
      <c r="Z243" s="90" t="n">
        <v>0.4318181818181818</v>
      </c>
      <c r="AA243" s="87" t="n">
        <v>0</v>
      </c>
      <c r="AB243" s="88" t="n">
        <v>0</v>
      </c>
      <c r="AC243" s="87" t="n">
        <v>0</v>
      </c>
      <c r="AD243" s="88" t="n">
        <v>0</v>
      </c>
      <c r="AE243" s="87" t="n">
        <v>0</v>
      </c>
      <c r="AF243" s="88" t="n">
        <v>0</v>
      </c>
      <c r="AG243" s="87" t="n">
        <v>0</v>
      </c>
      <c r="AH243" s="88" t="n">
        <v>0</v>
      </c>
      <c r="AI243" s="91" t="n">
        <v>0</v>
      </c>
      <c r="AJ243" s="88" t="n">
        <v>0</v>
      </c>
      <c r="AK243" s="91" t="n">
        <v>0</v>
      </c>
      <c r="AL243" s="88" t="n">
        <v>0</v>
      </c>
      <c r="AM243" s="91" t="n">
        <v>0</v>
      </c>
      <c r="AN243" s="91" t="n">
        <v>0</v>
      </c>
      <c r="AO243" s="88" t="n">
        <v>0</v>
      </c>
      <c r="AP243" s="88" t="n">
        <v>0</v>
      </c>
      <c r="AQ243" s="89" t="n"/>
      <c r="AR243" s="89" t="inlineStr">
        <is>
          <t>0.0%</t>
        </is>
      </c>
      <c r="AS243" s="89" t="inlineStr">
        <is>
          <t>0.0%</t>
        </is>
      </c>
      <c r="AT243" s="91" t="n">
        <v>0</v>
      </c>
      <c r="AU243" s="91" t="n">
        <v>0</v>
      </c>
      <c r="AV243" s="91" t="n">
        <v>0</v>
      </c>
      <c r="AW243" s="91" t="n">
        <v>0</v>
      </c>
      <c r="AX243" s="91" t="n">
        <v>0</v>
      </c>
      <c r="AY243" s="91" t="n">
        <v>0</v>
      </c>
      <c r="AZ243" s="88" t="n">
        <v>0</v>
      </c>
      <c r="BA243" s="88" t="n">
        <v>0</v>
      </c>
      <c r="BB243" s="88" t="n">
        <v>0</v>
      </c>
      <c r="BC243" s="88" t="n">
        <v>0</v>
      </c>
      <c r="BD243" s="91" t="n">
        <v>0</v>
      </c>
      <c r="BE243" s="91" t="n">
        <v>0</v>
      </c>
      <c r="BF243" s="89" t="inlineStr">
        <is>
          <t>-</t>
        </is>
      </c>
      <c r="BG243" s="89" t="inlineStr">
        <is>
          <t>-</t>
        </is>
      </c>
      <c r="BH243" s="89" t="n">
        <v>0.9859154929577465</v>
      </c>
    </row>
    <row r="244" ht="19.55" customHeight="1">
      <c r="A244" s="92" t="n">
        <v>241</v>
      </c>
      <c r="B244" s="87" t="inlineStr">
        <is>
          <t>全国</t>
        </is>
      </c>
      <c r="C244" s="93" t="n">
        <v>46273</v>
      </c>
      <c r="D244" s="87" t="inlineStr">
        <is>
          <t>2026款探陆</t>
        </is>
      </c>
      <c r="E244" s="87" t="n">
        <v>98</v>
      </c>
      <c r="F244" s="87" t="n">
        <v>93</v>
      </c>
      <c r="G244" s="88" t="n">
        <v>0.9489795918367347</v>
      </c>
      <c r="H244" s="87" t="n">
        <v>74</v>
      </c>
      <c r="I244" s="89" t="n">
        <v>0.7551020408163265</v>
      </c>
      <c r="J244" s="87" t="n">
        <v>162</v>
      </c>
      <c r="K244" s="87" t="n">
        <v>113</v>
      </c>
      <c r="L244" s="88" t="n">
        <v>0.698</v>
      </c>
      <c r="M244" s="87" t="n">
        <v>862</v>
      </c>
      <c r="N244" s="87" t="n">
        <v>884</v>
      </c>
      <c r="O244" s="87" t="n">
        <v>720</v>
      </c>
      <c r="P244" s="88" t="n">
        <v>0.8352668213457076</v>
      </c>
      <c r="Q244" s="87" t="n">
        <v>64</v>
      </c>
      <c r="R244" s="87" t="n">
        <v>0</v>
      </c>
      <c r="S244" s="87" t="n">
        <v>0</v>
      </c>
      <c r="T244" s="88" t="n">
        <v>0</v>
      </c>
      <c r="U244" s="87" t="n">
        <v>0</v>
      </c>
      <c r="V244" s="88" t="n">
        <v>0</v>
      </c>
      <c r="W244" s="87" t="n">
        <v>6</v>
      </c>
      <c r="X244" s="88" t="n">
        <v>0.06122448979591837</v>
      </c>
      <c r="Y244" s="87" t="n">
        <v>64</v>
      </c>
      <c r="Z244" s="90" t="n">
        <v>0.6530612244897959</v>
      </c>
      <c r="AA244" s="87" t="n">
        <v>51</v>
      </c>
      <c r="AB244" s="88" t="n">
        <v>0.5204081632653061</v>
      </c>
      <c r="AC244" s="87" t="n">
        <v>3</v>
      </c>
      <c r="AD244" s="88" t="n">
        <v>0.03061224489795918</v>
      </c>
      <c r="AE244" s="87" t="n">
        <v>0</v>
      </c>
      <c r="AF244" s="88" t="n">
        <v>0</v>
      </c>
      <c r="AG244" s="87" t="n">
        <v>0</v>
      </c>
      <c r="AH244" s="88" t="n">
        <v>0</v>
      </c>
      <c r="AI244" s="91" t="n">
        <v>0</v>
      </c>
      <c r="AJ244" s="88" t="n">
        <v>0</v>
      </c>
      <c r="AK244" s="91" t="n">
        <v>0</v>
      </c>
      <c r="AL244" s="88" t="n">
        <v>0</v>
      </c>
      <c r="AM244" s="91" t="n">
        <v>0</v>
      </c>
      <c r="AN244" s="91" t="n">
        <v>0</v>
      </c>
      <c r="AO244" s="88" t="n">
        <v>0</v>
      </c>
      <c r="AP244" s="88" t="n">
        <v>0</v>
      </c>
      <c r="AQ244" s="89" t="n"/>
      <c r="AR244" s="89" t="n">
        <v>0.75</v>
      </c>
      <c r="AS244" s="89" t="n">
        <v>0.75</v>
      </c>
      <c r="AT244" s="91" t="n">
        <v>0</v>
      </c>
      <c r="AU244" s="91" t="n">
        <v>0</v>
      </c>
      <c r="AV244" s="91" t="n">
        <v>5</v>
      </c>
      <c r="AW244" s="91" t="n">
        <v>5</v>
      </c>
      <c r="AX244" s="91" t="n">
        <v>5</v>
      </c>
      <c r="AY244" s="91" t="n">
        <v>1</v>
      </c>
      <c r="AZ244" s="88" t="n">
        <v>0.05102040816326531</v>
      </c>
      <c r="BA244" s="88" t="n">
        <v>0.05102040816326531</v>
      </c>
      <c r="BB244" s="88" t="n">
        <v>0.01020408163265306</v>
      </c>
      <c r="BC244" s="88" t="n">
        <v>0</v>
      </c>
      <c r="BD244" s="91" t="n">
        <v>0</v>
      </c>
      <c r="BE244" s="91" t="n">
        <v>0</v>
      </c>
      <c r="BF244" s="89" t="inlineStr">
        <is>
          <t>-</t>
        </is>
      </c>
      <c r="BG244" s="89" t="inlineStr">
        <is>
          <t>-</t>
        </is>
      </c>
      <c r="BH244" s="89" t="inlineStr">
        <is>
          <t>-</t>
        </is>
      </c>
    </row>
    <row r="245" ht="19.55" customHeight="1">
      <c r="A245" s="92" t="n">
        <v>242</v>
      </c>
      <c r="B245" s="87" t="inlineStr">
        <is>
          <t>全国</t>
        </is>
      </c>
      <c r="C245" s="93" t="n">
        <v>46273</v>
      </c>
      <c r="D245" s="87" t="inlineStr">
        <is>
          <t>N6</t>
        </is>
      </c>
      <c r="E245" s="87" t="n">
        <v>1638</v>
      </c>
      <c r="F245" s="87" t="n">
        <v>1440</v>
      </c>
      <c r="G245" s="88" t="n">
        <v>0.8791208791208791</v>
      </c>
      <c r="H245" s="87" t="n">
        <v>565</v>
      </c>
      <c r="I245" s="89" t="n">
        <v>0.3449328449328449</v>
      </c>
      <c r="J245" s="87" t="n">
        <v>1687</v>
      </c>
      <c r="K245" s="87" t="n">
        <v>1635</v>
      </c>
      <c r="L245" s="88" t="n">
        <v>0.969</v>
      </c>
      <c r="M245" s="87" t="n">
        <v>7638</v>
      </c>
      <c r="N245" s="87" t="n">
        <v>7585</v>
      </c>
      <c r="O245" s="87" t="n">
        <v>7511</v>
      </c>
      <c r="P245" s="88" t="n">
        <v>0.9833726106310553</v>
      </c>
      <c r="Q245" s="87" t="n">
        <v>46</v>
      </c>
      <c r="R245" s="87" t="n">
        <v>0</v>
      </c>
      <c r="S245" s="87" t="n">
        <v>0</v>
      </c>
      <c r="T245" s="88" t="n">
        <v>0</v>
      </c>
      <c r="U245" s="87" t="n">
        <v>0</v>
      </c>
      <c r="V245" s="88" t="n">
        <v>0</v>
      </c>
      <c r="W245" s="87" t="n">
        <v>242</v>
      </c>
      <c r="X245" s="88" t="n">
        <v>0.1477411477411477</v>
      </c>
      <c r="Y245" s="87" t="n">
        <v>533</v>
      </c>
      <c r="Z245" s="90" t="n">
        <v>0.3253968253968254</v>
      </c>
      <c r="AA245" s="87" t="n">
        <v>1</v>
      </c>
      <c r="AB245" s="88" t="n">
        <v>0.0006105006105006105</v>
      </c>
      <c r="AC245" s="87" t="n">
        <v>90</v>
      </c>
      <c r="AD245" s="88" t="n">
        <v>0.05494505494505494</v>
      </c>
      <c r="AE245" s="87" t="n">
        <v>17</v>
      </c>
      <c r="AF245" s="88" t="n">
        <v>0.1888888888888889</v>
      </c>
      <c r="AG245" s="87" t="n">
        <v>64</v>
      </c>
      <c r="AH245" s="88" t="n">
        <v>0.7111111111111111</v>
      </c>
      <c r="AI245" s="91" t="n">
        <v>71</v>
      </c>
      <c r="AJ245" s="88" t="n">
        <v>0.04334554334554334</v>
      </c>
      <c r="AK245" s="91" t="n">
        <v>5</v>
      </c>
      <c r="AL245" s="88" t="n">
        <v>0.8169014084507042</v>
      </c>
      <c r="AM245" s="91" t="n">
        <v>69</v>
      </c>
      <c r="AN245" s="91" t="n">
        <v>58</v>
      </c>
      <c r="AO245" s="88" t="n">
        <v>0.03540903540903541</v>
      </c>
      <c r="AP245" s="88" t="n">
        <v>0.6444444444444445</v>
      </c>
      <c r="AQ245" s="89" t="n">
        <v>0.9591836734693877</v>
      </c>
      <c r="AR245" s="89" t="n">
        <v>0.6290322580645161</v>
      </c>
      <c r="AS245" s="89" t="n">
        <v>0.5483870967741935</v>
      </c>
      <c r="AT245" s="91" t="n">
        <v>0</v>
      </c>
      <c r="AU245" s="91" t="n">
        <v>0</v>
      </c>
      <c r="AV245" s="91" t="n">
        <v>24</v>
      </c>
      <c r="AW245" s="91" t="n">
        <v>23</v>
      </c>
      <c r="AX245" s="91" t="n">
        <v>23</v>
      </c>
      <c r="AY245" s="91" t="n">
        <v>26</v>
      </c>
      <c r="AZ245" s="88" t="n">
        <v>0.01404151404151404</v>
      </c>
      <c r="BA245" s="88" t="n">
        <v>0.01404151404151404</v>
      </c>
      <c r="BB245" s="88" t="n">
        <v>0.01587301587301587</v>
      </c>
      <c r="BC245" s="88" t="n">
        <v>0.396551724137931</v>
      </c>
      <c r="BD245" s="91" t="n">
        <v>0</v>
      </c>
      <c r="BE245" s="91" t="n">
        <v>0</v>
      </c>
      <c r="BF245" s="89" t="n">
        <v>1</v>
      </c>
      <c r="BG245" s="89" t="n">
        <v>1</v>
      </c>
      <c r="BH245" s="89" t="inlineStr">
        <is>
          <t>-</t>
        </is>
      </c>
    </row>
    <row r="246" ht="19.55" customHeight="1">
      <c r="A246" s="92" t="n">
        <v>243</v>
      </c>
      <c r="B246" s="87" t="inlineStr">
        <is>
          <t>全国</t>
        </is>
      </c>
      <c r="C246" s="93" t="n">
        <v>46273</v>
      </c>
      <c r="D246" s="87" t="inlineStr">
        <is>
          <t>N7</t>
        </is>
      </c>
      <c r="E246" s="87" t="n">
        <v>2293</v>
      </c>
      <c r="F246" s="87" t="n">
        <v>2028</v>
      </c>
      <c r="G246" s="88" t="n">
        <v>0.8844308765808984</v>
      </c>
      <c r="H246" s="87" t="n">
        <v>888</v>
      </c>
      <c r="I246" s="89" t="n">
        <v>0.3872655909289141</v>
      </c>
      <c r="J246" s="87" t="n">
        <v>1884</v>
      </c>
      <c r="K246" s="87" t="n">
        <v>1848</v>
      </c>
      <c r="L246" s="88" t="n">
        <v>0.981</v>
      </c>
      <c r="M246" s="87" t="n">
        <v>7433</v>
      </c>
      <c r="N246" s="87" t="n">
        <v>7499</v>
      </c>
      <c r="O246" s="87" t="n">
        <v>7303</v>
      </c>
      <c r="P246" s="88" t="n">
        <v>0.9825104264765236</v>
      </c>
      <c r="Q246" s="87" t="n">
        <v>32</v>
      </c>
      <c r="R246" s="87" t="n">
        <v>0</v>
      </c>
      <c r="S246" s="87" t="n">
        <v>0</v>
      </c>
      <c r="T246" s="88" t="n">
        <v>0</v>
      </c>
      <c r="U246" s="87" t="n">
        <v>0</v>
      </c>
      <c r="V246" s="88" t="n">
        <v>0</v>
      </c>
      <c r="W246" s="87" t="n">
        <v>290</v>
      </c>
      <c r="X246" s="88" t="n">
        <v>0.1264718709114697</v>
      </c>
      <c r="Y246" s="87" t="n">
        <v>564</v>
      </c>
      <c r="Z246" s="90" t="n">
        <v>0.2459659834278238</v>
      </c>
      <c r="AA246" s="87" t="n">
        <v>2</v>
      </c>
      <c r="AB246" s="88" t="n">
        <v>0.0008722197993894462</v>
      </c>
      <c r="AC246" s="87" t="n">
        <v>79</v>
      </c>
      <c r="AD246" s="88" t="n">
        <v>0.03445268207588312</v>
      </c>
      <c r="AE246" s="87" t="n">
        <v>12</v>
      </c>
      <c r="AF246" s="88" t="n">
        <v>0.1518987341772152</v>
      </c>
      <c r="AG246" s="87" t="n">
        <v>65</v>
      </c>
      <c r="AH246" s="88" t="n">
        <v>0.8227848101265823</v>
      </c>
      <c r="AI246" s="91" t="n">
        <v>64</v>
      </c>
      <c r="AJ246" s="88" t="n">
        <v>0.02791103358046228</v>
      </c>
      <c r="AK246" s="91" t="n">
        <v>6</v>
      </c>
      <c r="AL246" s="88" t="n">
        <v>0.828125</v>
      </c>
      <c r="AM246" s="91" t="n">
        <v>61</v>
      </c>
      <c r="AN246" s="91" t="n">
        <v>53</v>
      </c>
      <c r="AO246" s="88" t="n">
        <v>0.02311382468382032</v>
      </c>
      <c r="AP246" s="88" t="n">
        <v>0.6708860759493671</v>
      </c>
      <c r="AQ246" s="89" t="n">
        <v>0.9375</v>
      </c>
      <c r="AR246" s="89" t="n">
        <v>0.6379310344827587</v>
      </c>
      <c r="AS246" s="89" t="n">
        <v>0.603448275862069</v>
      </c>
      <c r="AT246" s="91" t="n">
        <v>0</v>
      </c>
      <c r="AU246" s="91" t="n">
        <v>0</v>
      </c>
      <c r="AV246" s="91" t="n">
        <v>19</v>
      </c>
      <c r="AW246" s="91" t="n">
        <v>17</v>
      </c>
      <c r="AX246" s="91" t="n">
        <v>17</v>
      </c>
      <c r="AY246" s="91" t="n">
        <v>28</v>
      </c>
      <c r="AZ246" s="88" t="n">
        <v>0.007413868294810292</v>
      </c>
      <c r="BA246" s="88" t="n">
        <v>0.007413868294810292</v>
      </c>
      <c r="BB246" s="88" t="n">
        <v>0.01221107719145225</v>
      </c>
      <c r="BC246" s="88" t="n">
        <v>0.3207547169811321</v>
      </c>
      <c r="BD246" s="91" t="n">
        <v>0</v>
      </c>
      <c r="BE246" s="91" t="n">
        <v>0</v>
      </c>
      <c r="BF246" s="89" t="n">
        <v>1</v>
      </c>
      <c r="BG246" s="89" t="n">
        <v>1</v>
      </c>
      <c r="BH246" s="89" t="inlineStr">
        <is>
          <t>-</t>
        </is>
      </c>
    </row>
    <row r="247" ht="19.55" customHeight="1">
      <c r="A247" s="92" t="n">
        <v>244</v>
      </c>
      <c r="B247" s="87" t="inlineStr">
        <is>
          <t>全国</t>
        </is>
      </c>
      <c r="C247" s="93" t="n">
        <v>46273</v>
      </c>
      <c r="D247" s="87" t="inlineStr">
        <is>
          <t>NX8</t>
        </is>
      </c>
      <c r="E247" s="87" t="n">
        <v>4664</v>
      </c>
      <c r="F247" s="87" t="n">
        <v>4226</v>
      </c>
      <c r="G247" s="88" t="n">
        <v>0.9060891938250428</v>
      </c>
      <c r="H247" s="87" t="n">
        <v>1412</v>
      </c>
      <c r="I247" s="89" t="n">
        <v>0.3027444253859348</v>
      </c>
      <c r="J247" s="87" t="n">
        <v>4513</v>
      </c>
      <c r="K247" s="87" t="n">
        <v>4384</v>
      </c>
      <c r="L247" s="88" t="n">
        <v>0.971</v>
      </c>
      <c r="M247" s="87" t="n">
        <v>22163</v>
      </c>
      <c r="N247" s="87" t="n">
        <v>22645</v>
      </c>
      <c r="O247" s="87" t="n">
        <v>21794</v>
      </c>
      <c r="P247" s="88" t="n">
        <v>0.9833506294274241</v>
      </c>
      <c r="Q247" s="87" t="n">
        <v>161</v>
      </c>
      <c r="R247" s="87" t="n">
        <v>0</v>
      </c>
      <c r="S247" s="87" t="n">
        <v>0</v>
      </c>
      <c r="T247" s="88" t="n">
        <v>0</v>
      </c>
      <c r="U247" s="87" t="n">
        <v>0</v>
      </c>
      <c r="V247" s="88" t="n">
        <v>0</v>
      </c>
      <c r="W247" s="87" t="n">
        <v>732</v>
      </c>
      <c r="X247" s="88" t="n">
        <v>0.1569468267581475</v>
      </c>
      <c r="Y247" s="87" t="n">
        <v>2591</v>
      </c>
      <c r="Z247" s="90" t="n">
        <v>0.5555317324185248</v>
      </c>
      <c r="AA247" s="87" t="n">
        <v>9</v>
      </c>
      <c r="AB247" s="88" t="n">
        <v>0.00192967409948542</v>
      </c>
      <c r="AC247" s="87" t="n">
        <v>336</v>
      </c>
      <c r="AD247" s="88" t="n">
        <v>0.07204116638078903</v>
      </c>
      <c r="AE247" s="87" t="n">
        <v>57</v>
      </c>
      <c r="AF247" s="88" t="n">
        <v>0.1696428571428572</v>
      </c>
      <c r="AG247" s="87" t="n">
        <v>277</v>
      </c>
      <c r="AH247" s="88" t="n">
        <v>0.8244047619047619</v>
      </c>
      <c r="AI247" s="91" t="n">
        <v>284</v>
      </c>
      <c r="AJ247" s="88" t="n">
        <v>0.06089193825042882</v>
      </c>
      <c r="AK247" s="91" t="n">
        <v>11</v>
      </c>
      <c r="AL247" s="88" t="n">
        <v>0.8450704225352113</v>
      </c>
      <c r="AM247" s="91" t="n">
        <v>278</v>
      </c>
      <c r="AN247" s="91" t="n">
        <v>240</v>
      </c>
      <c r="AO247" s="88" t="n">
        <v>0.05145797598627787</v>
      </c>
      <c r="AP247" s="88" t="n">
        <v>0.7142857142857143</v>
      </c>
      <c r="AQ247" s="89" t="n">
        <v>0.9857651245551602</v>
      </c>
      <c r="AR247" s="89" t="n">
        <v>0.5880281690140845</v>
      </c>
      <c r="AS247" s="89" t="n">
        <v>0.5563380281690141</v>
      </c>
      <c r="AT247" s="91" t="n">
        <v>0</v>
      </c>
      <c r="AU247" s="91" t="n">
        <v>0</v>
      </c>
      <c r="AV247" s="91" t="n">
        <v>36</v>
      </c>
      <c r="AW247" s="91" t="n">
        <v>30</v>
      </c>
      <c r="AX247" s="91" t="n">
        <v>32</v>
      </c>
      <c r="AY247" s="91" t="n">
        <v>72</v>
      </c>
      <c r="AZ247" s="88" t="n">
        <v>0.006432246998284734</v>
      </c>
      <c r="BA247" s="88" t="n">
        <v>0.00686106346483705</v>
      </c>
      <c r="BB247" s="88" t="n">
        <v>0.01543739279588336</v>
      </c>
      <c r="BC247" s="88" t="n">
        <v>0.1333333333333333</v>
      </c>
      <c r="BD247" s="91" t="n">
        <v>0</v>
      </c>
      <c r="BE247" s="91" t="n">
        <v>0</v>
      </c>
      <c r="BF247" s="89" t="n">
        <v>1</v>
      </c>
      <c r="BG247" s="89" t="n">
        <v>1</v>
      </c>
      <c r="BH247" s="89" t="inlineStr">
        <is>
          <t>-</t>
        </is>
      </c>
    </row>
    <row r="248" ht="19.55" customHeight="1">
      <c r="A248" s="92" t="n">
        <v>245</v>
      </c>
      <c r="B248" s="87" t="inlineStr">
        <is>
          <t>全国</t>
        </is>
      </c>
      <c r="C248" s="93" t="n">
        <v>46273</v>
      </c>
      <c r="D248" s="87" t="inlineStr">
        <is>
          <t>天籁·鸿蒙座舱</t>
        </is>
      </c>
      <c r="E248" s="87" t="n">
        <v>3958</v>
      </c>
      <c r="F248" s="87" t="n">
        <v>3573</v>
      </c>
      <c r="G248" s="88" t="n">
        <v>0.9027286508337544</v>
      </c>
      <c r="H248" s="87" t="n">
        <v>1982</v>
      </c>
      <c r="I248" s="89" t="n">
        <v>0.5007579585649318</v>
      </c>
      <c r="J248" s="87" t="n">
        <v>4557</v>
      </c>
      <c r="K248" s="87" t="n">
        <v>4425</v>
      </c>
      <c r="L248" s="88" t="n">
        <v>0.971</v>
      </c>
      <c r="M248" s="87" t="n">
        <v>20310</v>
      </c>
      <c r="N248" s="87" t="n">
        <v>20436</v>
      </c>
      <c r="O248" s="87" t="n">
        <v>19949</v>
      </c>
      <c r="P248" s="88" t="n">
        <v>0.9822255046774988</v>
      </c>
      <c r="Q248" s="87" t="n">
        <v>123</v>
      </c>
      <c r="R248" s="87" t="n">
        <v>0</v>
      </c>
      <c r="S248" s="87" t="n">
        <v>0</v>
      </c>
      <c r="T248" s="88" t="n">
        <v>0</v>
      </c>
      <c r="U248" s="87" t="n">
        <v>0</v>
      </c>
      <c r="V248" s="88" t="n">
        <v>0</v>
      </c>
      <c r="W248" s="87" t="n">
        <v>506</v>
      </c>
      <c r="X248" s="88" t="n">
        <v>0.1278423446184942</v>
      </c>
      <c r="Y248" s="87" t="n">
        <v>1047</v>
      </c>
      <c r="Z248" s="90" t="n">
        <v>0.2645275391611925</v>
      </c>
      <c r="AA248" s="87" t="n">
        <v>12</v>
      </c>
      <c r="AB248" s="88" t="n">
        <v>0.003031834259727135</v>
      </c>
      <c r="AC248" s="87" t="n">
        <v>175</v>
      </c>
      <c r="AD248" s="88" t="n">
        <v>0.04421424962102072</v>
      </c>
      <c r="AE248" s="87" t="n">
        <v>27</v>
      </c>
      <c r="AF248" s="88" t="n">
        <v>0.1542857142857143</v>
      </c>
      <c r="AG248" s="87" t="n">
        <v>155</v>
      </c>
      <c r="AH248" s="88" t="n">
        <v>0.8857142857142857</v>
      </c>
      <c r="AI248" s="91" t="n">
        <v>164</v>
      </c>
      <c r="AJ248" s="88" t="n">
        <v>0.04143506821627085</v>
      </c>
      <c r="AK248" s="91" t="n">
        <v>8</v>
      </c>
      <c r="AL248" s="88" t="n">
        <v>0.4878048780487805</v>
      </c>
      <c r="AM248" s="91" t="n">
        <v>159</v>
      </c>
      <c r="AN248" s="91" t="n">
        <v>80</v>
      </c>
      <c r="AO248" s="88" t="n">
        <v>0.0202122283981809</v>
      </c>
      <c r="AP248" s="88" t="n">
        <v>0.4571428571428571</v>
      </c>
      <c r="AQ248" s="89" t="n">
        <v>0.9596774193548387</v>
      </c>
      <c r="AR248" s="89" t="n">
        <v>0.5212121212121212</v>
      </c>
      <c r="AS248" s="89" t="n">
        <v>0.4787878787878788</v>
      </c>
      <c r="AT248" s="91" t="n">
        <v>0</v>
      </c>
      <c r="AU248" s="91" t="n">
        <v>0</v>
      </c>
      <c r="AV248" s="91" t="n">
        <v>53</v>
      </c>
      <c r="AW248" s="91" t="n">
        <v>46</v>
      </c>
      <c r="AX248" s="91" t="n">
        <v>48</v>
      </c>
      <c r="AY248" s="91" t="n">
        <v>57</v>
      </c>
      <c r="AZ248" s="88" t="n">
        <v>0.01162203132895402</v>
      </c>
      <c r="BA248" s="88" t="n">
        <v>0.01212733703890854</v>
      </c>
      <c r="BB248" s="88" t="n">
        <v>0.01440121273370389</v>
      </c>
      <c r="BC248" s="88" t="n">
        <v>0.6</v>
      </c>
      <c r="BD248" s="91" t="n">
        <v>0</v>
      </c>
      <c r="BE248" s="91" t="n">
        <v>0</v>
      </c>
      <c r="BF248" s="89" t="n">
        <v>1</v>
      </c>
      <c r="BG248" s="89" t="n">
        <v>1</v>
      </c>
      <c r="BH248" s="89" t="inlineStr">
        <is>
          <t>-</t>
        </is>
      </c>
    </row>
    <row r="249" ht="19.55" customHeight="1">
      <c r="A249" s="92" t="n">
        <v>246</v>
      </c>
      <c r="B249" s="87" t="inlineStr">
        <is>
          <t>全国</t>
        </is>
      </c>
      <c r="C249" s="93" t="n">
        <v>46273</v>
      </c>
      <c r="D249" s="87" t="inlineStr">
        <is>
          <t>探陆</t>
        </is>
      </c>
      <c r="E249" s="87" t="n">
        <v>0</v>
      </c>
      <c r="F249" s="87" t="n">
        <v>0</v>
      </c>
      <c r="G249" s="88" t="n">
        <v>0</v>
      </c>
      <c r="H249" s="87" t="n">
        <v>0</v>
      </c>
      <c r="I249" s="89" t="n">
        <v>0</v>
      </c>
      <c r="J249" s="87" t="n">
        <v>0</v>
      </c>
      <c r="K249" s="87" t="n">
        <v>0</v>
      </c>
      <c r="L249" s="88" t="n">
        <v>0</v>
      </c>
      <c r="M249" s="87" t="n">
        <v>0</v>
      </c>
      <c r="N249" s="87" t="n">
        <v>0</v>
      </c>
      <c r="O249" s="87" t="n">
        <v>0</v>
      </c>
      <c r="P249" s="88" t="n">
        <v>0</v>
      </c>
      <c r="Q249" s="87" t="n">
        <v>0</v>
      </c>
      <c r="R249" s="87" t="n">
        <v>0</v>
      </c>
      <c r="S249" s="87" t="n">
        <v>0</v>
      </c>
      <c r="T249" s="88" t="n">
        <v>0</v>
      </c>
      <c r="U249" s="87" t="n">
        <v>0</v>
      </c>
      <c r="V249" s="88" t="n">
        <v>0</v>
      </c>
      <c r="W249" s="87" t="n">
        <v>0</v>
      </c>
      <c r="X249" s="88" t="n">
        <v>0</v>
      </c>
      <c r="Y249" s="87" t="n">
        <v>0</v>
      </c>
      <c r="Z249" s="90" t="n">
        <v>0</v>
      </c>
      <c r="AA249" s="87" t="n">
        <v>0</v>
      </c>
      <c r="AB249" s="88" t="n">
        <v>0</v>
      </c>
      <c r="AC249" s="87" t="n">
        <v>0</v>
      </c>
      <c r="AD249" s="88" t="n">
        <v>0</v>
      </c>
      <c r="AE249" s="87" t="n">
        <v>0</v>
      </c>
      <c r="AF249" s="88" t="n">
        <v>0</v>
      </c>
      <c r="AG249" s="87" t="n">
        <v>0</v>
      </c>
      <c r="AH249" s="88" t="n">
        <v>0</v>
      </c>
      <c r="AI249" s="91" t="n">
        <v>1</v>
      </c>
      <c r="AJ249" s="88" t="n">
        <v>0</v>
      </c>
      <c r="AK249" s="91" t="n">
        <v>0</v>
      </c>
      <c r="AL249" s="88" t="n">
        <v>1</v>
      </c>
      <c r="AM249" s="91" t="n">
        <v>1</v>
      </c>
      <c r="AN249" s="91" t="n">
        <v>1</v>
      </c>
      <c r="AO249" s="88" t="n">
        <v>0</v>
      </c>
      <c r="AP249" s="88" t="n">
        <v>0</v>
      </c>
      <c r="AQ249" s="89" t="n"/>
      <c r="AR249" s="89" t="inlineStr">
        <is>
          <t>0.0%</t>
        </is>
      </c>
      <c r="AS249" s="89" t="inlineStr">
        <is>
          <t>0.0%</t>
        </is>
      </c>
      <c r="AT249" s="91" t="n">
        <v>0</v>
      </c>
      <c r="AU249" s="91" t="n">
        <v>0</v>
      </c>
      <c r="AV249" s="91" t="n">
        <v>0</v>
      </c>
      <c r="AW249" s="91" t="n">
        <v>0</v>
      </c>
      <c r="AX249" s="91" t="n">
        <v>0</v>
      </c>
      <c r="AY249" s="91" t="n">
        <v>0</v>
      </c>
      <c r="AZ249" s="88" t="n">
        <v>0</v>
      </c>
      <c r="BA249" s="88" t="n">
        <v>0</v>
      </c>
      <c r="BB249" s="88" t="n">
        <v>0</v>
      </c>
      <c r="BC249" s="88" t="n">
        <v>0</v>
      </c>
      <c r="BD249" s="91" t="n">
        <v>0</v>
      </c>
      <c r="BE249" s="91" t="n">
        <v>0</v>
      </c>
      <c r="BF249" s="89" t="inlineStr">
        <is>
          <t>-</t>
        </is>
      </c>
      <c r="BG249" s="89" t="inlineStr">
        <is>
          <t>-</t>
        </is>
      </c>
      <c r="BH249" s="89" t="inlineStr">
        <is>
          <t>-</t>
        </is>
      </c>
    </row>
    <row r="250" ht="19.55" customHeight="1">
      <c r="A250" s="92" t="n">
        <v>247</v>
      </c>
      <c r="B250" s="87" t="inlineStr">
        <is>
          <t>全国</t>
        </is>
      </c>
      <c r="C250" s="93" t="n">
        <v>46274</v>
      </c>
      <c r="D250" s="87" t="n"/>
      <c r="E250" s="87" t="n">
        <v>46</v>
      </c>
      <c r="F250" s="87" t="n">
        <v>43</v>
      </c>
      <c r="G250" s="88" t="n">
        <v>0.9347826086956522</v>
      </c>
      <c r="H250" s="87" t="n">
        <v>46</v>
      </c>
      <c r="I250" s="89" t="n">
        <v>1</v>
      </c>
      <c r="J250" s="87" t="n">
        <v>0</v>
      </c>
      <c r="K250" s="87" t="n">
        <v>0</v>
      </c>
      <c r="L250" s="88" t="n">
        <v>0</v>
      </c>
      <c r="M250" s="87" t="n">
        <v>0</v>
      </c>
      <c r="N250" s="87" t="n">
        <v>0</v>
      </c>
      <c r="O250" s="87" t="n">
        <v>0</v>
      </c>
      <c r="P250" s="88" t="n">
        <v>0</v>
      </c>
      <c r="Q250" s="87" t="n">
        <v>0</v>
      </c>
      <c r="R250" s="87" t="n">
        <v>0</v>
      </c>
      <c r="S250" s="87" t="n">
        <v>0</v>
      </c>
      <c r="T250" s="88" t="n">
        <v>0</v>
      </c>
      <c r="U250" s="87" t="n">
        <v>0</v>
      </c>
      <c r="V250" s="88" t="n">
        <v>0</v>
      </c>
      <c r="W250" s="87" t="n">
        <v>36</v>
      </c>
      <c r="X250" s="88" t="n">
        <v>0.7826086956521739</v>
      </c>
      <c r="Y250" s="87" t="n">
        <v>7</v>
      </c>
      <c r="Z250" s="90" t="n">
        <v>0.1521739130434783</v>
      </c>
      <c r="AA250" s="87" t="n">
        <v>0</v>
      </c>
      <c r="AB250" s="88" t="n">
        <v>0</v>
      </c>
      <c r="AC250" s="87" t="n">
        <v>0</v>
      </c>
      <c r="AD250" s="88" t="n">
        <v>0</v>
      </c>
      <c r="AE250" s="87" t="n">
        <v>0</v>
      </c>
      <c r="AF250" s="88" t="n">
        <v>0</v>
      </c>
      <c r="AG250" s="87" t="n">
        <v>0</v>
      </c>
      <c r="AH250" s="88" t="n">
        <v>0</v>
      </c>
      <c r="AI250" s="91" t="n">
        <v>0</v>
      </c>
      <c r="AJ250" s="88" t="n">
        <v>0</v>
      </c>
      <c r="AK250" s="91" t="n">
        <v>0</v>
      </c>
      <c r="AL250" s="88" t="n">
        <v>0</v>
      </c>
      <c r="AM250" s="91" t="n">
        <v>0</v>
      </c>
      <c r="AN250" s="91" t="n">
        <v>0</v>
      </c>
      <c r="AO250" s="88" t="n">
        <v>0</v>
      </c>
      <c r="AP250" s="88" t="n">
        <v>0</v>
      </c>
      <c r="AQ250" s="89" t="n"/>
      <c r="AR250" s="89" t="n">
        <v>0</v>
      </c>
      <c r="AS250" s="89" t="n">
        <v>0</v>
      </c>
      <c r="AT250" s="91" t="n">
        <v>0</v>
      </c>
      <c r="AU250" s="91" t="n">
        <v>0</v>
      </c>
      <c r="AV250" s="91" t="n">
        <v>0</v>
      </c>
      <c r="AW250" s="91" t="n">
        <v>0</v>
      </c>
      <c r="AX250" s="91" t="n">
        <v>0</v>
      </c>
      <c r="AY250" s="91" t="n">
        <v>0</v>
      </c>
      <c r="AZ250" s="88" t="n">
        <v>0</v>
      </c>
      <c r="BA250" s="88" t="n">
        <v>0</v>
      </c>
      <c r="BB250" s="88" t="n">
        <v>0</v>
      </c>
      <c r="BC250" s="88" t="n">
        <v>0</v>
      </c>
      <c r="BD250" s="91" t="n">
        <v>0</v>
      </c>
      <c r="BE250" s="91" t="n">
        <v>0</v>
      </c>
      <c r="BF250" s="89" t="inlineStr">
        <is>
          <t>-</t>
        </is>
      </c>
      <c r="BG250" s="89" t="inlineStr">
        <is>
          <t>-</t>
        </is>
      </c>
      <c r="BH250" s="89" t="n">
        <v>0.9876543209876543</v>
      </c>
    </row>
    <row r="251" ht="19.55" customHeight="1">
      <c r="A251" s="92" t="n">
        <v>248</v>
      </c>
      <c r="B251" s="87" t="inlineStr">
        <is>
          <t>全国</t>
        </is>
      </c>
      <c r="C251" s="93" t="n">
        <v>46274</v>
      </c>
      <c r="D251" s="87" t="inlineStr">
        <is>
          <t>2026款探陆</t>
        </is>
      </c>
      <c r="E251" s="87" t="n">
        <v>76</v>
      </c>
      <c r="F251" s="87" t="n">
        <v>74</v>
      </c>
      <c r="G251" s="88" t="n">
        <v>0.9736842105263158</v>
      </c>
      <c r="H251" s="87" t="n">
        <v>62</v>
      </c>
      <c r="I251" s="89" t="n">
        <v>0.8157894736842105</v>
      </c>
      <c r="J251" s="87" t="n">
        <v>149</v>
      </c>
      <c r="K251" s="87" t="n">
        <v>96</v>
      </c>
      <c r="L251" s="88" t="n">
        <v>0.644</v>
      </c>
      <c r="M251" s="87" t="n">
        <v>754</v>
      </c>
      <c r="N251" s="87" t="n">
        <v>631</v>
      </c>
      <c r="O251" s="87" t="n">
        <v>611</v>
      </c>
      <c r="P251" s="88" t="n">
        <v>0.8103448275862069</v>
      </c>
      <c r="Q251" s="87" t="n">
        <v>63</v>
      </c>
      <c r="R251" s="87" t="n">
        <v>0</v>
      </c>
      <c r="S251" s="87" t="n">
        <v>0</v>
      </c>
      <c r="T251" s="88" t="n">
        <v>0</v>
      </c>
      <c r="U251" s="87" t="n">
        <v>0</v>
      </c>
      <c r="V251" s="88" t="n">
        <v>0</v>
      </c>
      <c r="W251" s="87" t="n">
        <v>23</v>
      </c>
      <c r="X251" s="88" t="n">
        <v>0.3026315789473684</v>
      </c>
      <c r="Y251" s="87" t="n">
        <v>19</v>
      </c>
      <c r="Z251" s="90" t="n">
        <v>0.25</v>
      </c>
      <c r="AA251" s="87" t="n">
        <v>35</v>
      </c>
      <c r="AB251" s="88" t="n">
        <v>0.4605263157894737</v>
      </c>
      <c r="AC251" s="87" t="n">
        <v>2</v>
      </c>
      <c r="AD251" s="88" t="n">
        <v>0.02631578947368421</v>
      </c>
      <c r="AE251" s="87" t="n">
        <v>0</v>
      </c>
      <c r="AF251" s="88" t="n">
        <v>0</v>
      </c>
      <c r="AG251" s="87" t="n">
        <v>1</v>
      </c>
      <c r="AH251" s="88" t="n">
        <v>0.5</v>
      </c>
      <c r="AI251" s="91" t="n">
        <v>0</v>
      </c>
      <c r="AJ251" s="88" t="n">
        <v>0</v>
      </c>
      <c r="AK251" s="91" t="n">
        <v>0</v>
      </c>
      <c r="AL251" s="88" t="n">
        <v>0</v>
      </c>
      <c r="AM251" s="91" t="n">
        <v>0</v>
      </c>
      <c r="AN251" s="91" t="n">
        <v>0</v>
      </c>
      <c r="AO251" s="88" t="n">
        <v>0</v>
      </c>
      <c r="AP251" s="88" t="n">
        <v>0</v>
      </c>
      <c r="AQ251" s="89" t="n">
        <v>0.75</v>
      </c>
      <c r="AR251" s="89" t="inlineStr">
        <is>
          <t>0.0%</t>
        </is>
      </c>
      <c r="AS251" s="89" t="inlineStr">
        <is>
          <t>0.0%</t>
        </is>
      </c>
      <c r="AT251" s="91" t="n">
        <v>0</v>
      </c>
      <c r="AU251" s="91" t="n">
        <v>0</v>
      </c>
      <c r="AV251" s="91" t="n">
        <v>4</v>
      </c>
      <c r="AW251" s="91" t="n">
        <v>4</v>
      </c>
      <c r="AX251" s="91" t="n">
        <v>3</v>
      </c>
      <c r="AY251" s="91" t="n">
        <v>1</v>
      </c>
      <c r="AZ251" s="88" t="n">
        <v>0.05263157894736842</v>
      </c>
      <c r="BA251" s="88" t="n">
        <v>0.03947368421052631</v>
      </c>
      <c r="BB251" s="88" t="n">
        <v>0.0131578947368421</v>
      </c>
      <c r="BC251" s="88" t="n">
        <v>0</v>
      </c>
      <c r="BD251" s="91" t="n">
        <v>0</v>
      </c>
      <c r="BE251" s="91" t="n">
        <v>0</v>
      </c>
      <c r="BF251" s="89" t="inlineStr">
        <is>
          <t>-</t>
        </is>
      </c>
      <c r="BG251" s="89" t="inlineStr">
        <is>
          <t>-</t>
        </is>
      </c>
      <c r="BH251" s="89" t="inlineStr">
        <is>
          <t>-</t>
        </is>
      </c>
    </row>
    <row r="252" ht="19.55" customHeight="1">
      <c r="A252" s="92" t="n">
        <v>249</v>
      </c>
      <c r="B252" s="87" t="inlineStr">
        <is>
          <t>全国</t>
        </is>
      </c>
      <c r="C252" s="93" t="n">
        <v>46274</v>
      </c>
      <c r="D252" s="87" t="inlineStr">
        <is>
          <t>N6</t>
        </is>
      </c>
      <c r="E252" s="87" t="n">
        <v>1599</v>
      </c>
      <c r="F252" s="87" t="n">
        <v>1416</v>
      </c>
      <c r="G252" s="88" t="n">
        <v>0.8855534709193246</v>
      </c>
      <c r="H252" s="87" t="n">
        <v>579</v>
      </c>
      <c r="I252" s="89" t="n">
        <v>0.3621013133208255</v>
      </c>
      <c r="J252" s="87" t="n">
        <v>1709</v>
      </c>
      <c r="K252" s="87" t="n">
        <v>1667</v>
      </c>
      <c r="L252" s="88" t="n">
        <v>0.975</v>
      </c>
      <c r="M252" s="87" t="n">
        <v>7265</v>
      </c>
      <c r="N252" s="87" t="n">
        <v>7122</v>
      </c>
      <c r="O252" s="87" t="n">
        <v>7133</v>
      </c>
      <c r="P252" s="88" t="n">
        <v>0.9818306951135581</v>
      </c>
      <c r="Q252" s="87" t="n">
        <v>37</v>
      </c>
      <c r="R252" s="87" t="n">
        <v>0</v>
      </c>
      <c r="S252" s="87" t="n">
        <v>0</v>
      </c>
      <c r="T252" s="88" t="n">
        <v>0</v>
      </c>
      <c r="U252" s="87" t="n">
        <v>0</v>
      </c>
      <c r="V252" s="88" t="n">
        <v>0</v>
      </c>
      <c r="W252" s="87" t="n">
        <v>625</v>
      </c>
      <c r="X252" s="88" t="n">
        <v>0.3908692933083177</v>
      </c>
      <c r="Y252" s="87" t="n">
        <v>871</v>
      </c>
      <c r="Z252" s="90" t="n">
        <v>0.5447154471544715</v>
      </c>
      <c r="AA252" s="87" t="n">
        <v>2</v>
      </c>
      <c r="AB252" s="88" t="n">
        <v>0.001250781738586617</v>
      </c>
      <c r="AC252" s="87" t="n">
        <v>96</v>
      </c>
      <c r="AD252" s="88" t="n">
        <v>0.0600375234521576</v>
      </c>
      <c r="AE252" s="87" t="n">
        <v>16</v>
      </c>
      <c r="AF252" s="88" t="n">
        <v>0.1666666666666667</v>
      </c>
      <c r="AG252" s="87" t="n">
        <v>68</v>
      </c>
      <c r="AH252" s="88" t="n">
        <v>0.7083333333333334</v>
      </c>
      <c r="AI252" s="91" t="n">
        <v>68</v>
      </c>
      <c r="AJ252" s="88" t="n">
        <v>0.04252657911194497</v>
      </c>
      <c r="AK252" s="91" t="n">
        <v>7</v>
      </c>
      <c r="AL252" s="88" t="n">
        <v>0.8970588235294118</v>
      </c>
      <c r="AM252" s="91" t="n">
        <v>67</v>
      </c>
      <c r="AN252" s="91" t="n">
        <v>61</v>
      </c>
      <c r="AO252" s="88" t="n">
        <v>0.03814884302689181</v>
      </c>
      <c r="AP252" s="88" t="n">
        <v>0.6354166666666666</v>
      </c>
      <c r="AQ252" s="89" t="n">
        <v>0.9672131147540983</v>
      </c>
      <c r="AR252" s="89" t="n">
        <v>0.6212121212121212</v>
      </c>
      <c r="AS252" s="89" t="n">
        <v>0.5909090909090909</v>
      </c>
      <c r="AT252" s="91" t="n">
        <v>0</v>
      </c>
      <c r="AU252" s="91" t="n">
        <v>0</v>
      </c>
      <c r="AV252" s="91" t="n">
        <v>19</v>
      </c>
      <c r="AW252" s="91" t="n">
        <v>16</v>
      </c>
      <c r="AX252" s="91" t="n">
        <v>16</v>
      </c>
      <c r="AY252" s="91" t="n">
        <v>20</v>
      </c>
      <c r="AZ252" s="88" t="n">
        <v>0.01000625390869293</v>
      </c>
      <c r="BA252" s="88" t="n">
        <v>0.01000625390869293</v>
      </c>
      <c r="BB252" s="88" t="n">
        <v>0.01250781738586617</v>
      </c>
      <c r="BC252" s="88" t="n">
        <v>0.2622950819672131</v>
      </c>
      <c r="BD252" s="91" t="n">
        <v>0</v>
      </c>
      <c r="BE252" s="91" t="n">
        <v>0</v>
      </c>
      <c r="BF252" s="89" t="n">
        <v>1</v>
      </c>
      <c r="BG252" s="89" t="n">
        <v>1</v>
      </c>
      <c r="BH252" s="89" t="inlineStr">
        <is>
          <t>-</t>
        </is>
      </c>
    </row>
    <row r="253" ht="19.55" customHeight="1">
      <c r="A253" s="92" t="n">
        <v>250</v>
      </c>
      <c r="B253" s="87" t="inlineStr">
        <is>
          <t>全国</t>
        </is>
      </c>
      <c r="C253" s="93" t="n">
        <v>46274</v>
      </c>
      <c r="D253" s="87" t="inlineStr">
        <is>
          <t>N7</t>
        </is>
      </c>
      <c r="E253" s="87" t="n">
        <v>2235</v>
      </c>
      <c r="F253" s="87" t="n">
        <v>1974</v>
      </c>
      <c r="G253" s="88" t="n">
        <v>0.8832214765100671</v>
      </c>
      <c r="H253" s="87" t="n">
        <v>885</v>
      </c>
      <c r="I253" s="89" t="n">
        <v>0.3959731543624161</v>
      </c>
      <c r="J253" s="87" t="n">
        <v>1962</v>
      </c>
      <c r="K253" s="87" t="n">
        <v>1910</v>
      </c>
      <c r="L253" s="88" t="n">
        <v>0.973</v>
      </c>
      <c r="M253" s="87" t="n">
        <v>7581</v>
      </c>
      <c r="N253" s="87" t="n">
        <v>7535</v>
      </c>
      <c r="O253" s="87" t="n">
        <v>7450</v>
      </c>
      <c r="P253" s="88" t="n">
        <v>0.9827199577892098</v>
      </c>
      <c r="Q253" s="87" t="n">
        <v>57</v>
      </c>
      <c r="R253" s="87" t="n">
        <v>0</v>
      </c>
      <c r="S253" s="87" t="n">
        <v>0</v>
      </c>
      <c r="T253" s="88" t="n">
        <v>0</v>
      </c>
      <c r="U253" s="87" t="n">
        <v>0</v>
      </c>
      <c r="V253" s="88" t="n">
        <v>0</v>
      </c>
      <c r="W253" s="87" t="n">
        <v>1072</v>
      </c>
      <c r="X253" s="88" t="n">
        <v>0.4796420581655481</v>
      </c>
      <c r="Y253" s="87" t="n">
        <v>1680</v>
      </c>
      <c r="Z253" s="90" t="n">
        <v>0.7516778523489933</v>
      </c>
      <c r="AA253" s="87" t="n">
        <v>1</v>
      </c>
      <c r="AB253" s="88" t="n">
        <v>0.000447427293064877</v>
      </c>
      <c r="AC253" s="87" t="n">
        <v>87</v>
      </c>
      <c r="AD253" s="88" t="n">
        <v>0.0389261744966443</v>
      </c>
      <c r="AE253" s="87" t="n">
        <v>15</v>
      </c>
      <c r="AF253" s="88" t="n">
        <v>0.1724137931034483</v>
      </c>
      <c r="AG253" s="87" t="n">
        <v>77</v>
      </c>
      <c r="AH253" s="88" t="n">
        <v>0.8850574712643678</v>
      </c>
      <c r="AI253" s="91" t="n">
        <v>82</v>
      </c>
      <c r="AJ253" s="88" t="n">
        <v>0.03668903803131991</v>
      </c>
      <c r="AK253" s="91" t="n">
        <v>6</v>
      </c>
      <c r="AL253" s="88" t="n">
        <v>0.7682926829268293</v>
      </c>
      <c r="AM253" s="91" t="n">
        <v>77</v>
      </c>
      <c r="AN253" s="91" t="n">
        <v>63</v>
      </c>
      <c r="AO253" s="88" t="n">
        <v>0.02818791946308725</v>
      </c>
      <c r="AP253" s="88" t="n">
        <v>0.7241379310344828</v>
      </c>
      <c r="AQ253" s="89" t="n">
        <v>1</v>
      </c>
      <c r="AR253" s="89" t="n">
        <v>0.6363636363636364</v>
      </c>
      <c r="AS253" s="89" t="n">
        <v>0.6363636363636364</v>
      </c>
      <c r="AT253" s="91" t="n">
        <v>0</v>
      </c>
      <c r="AU253" s="91" t="n">
        <v>0</v>
      </c>
      <c r="AV253" s="91" t="n">
        <v>18</v>
      </c>
      <c r="AW253" s="91" t="n">
        <v>17</v>
      </c>
      <c r="AX253" s="91" t="n">
        <v>16</v>
      </c>
      <c r="AY253" s="91" t="n">
        <v>30</v>
      </c>
      <c r="AZ253" s="88" t="n">
        <v>0.007606263982102908</v>
      </c>
      <c r="BA253" s="88" t="n">
        <v>0.007158836689038032</v>
      </c>
      <c r="BB253" s="88" t="n">
        <v>0.01342281879194631</v>
      </c>
      <c r="BC253" s="88" t="n">
        <v>0.253968253968254</v>
      </c>
      <c r="BD253" s="91" t="n">
        <v>0</v>
      </c>
      <c r="BE253" s="91" t="n">
        <v>0</v>
      </c>
      <c r="BF253" s="89" t="n">
        <v>1</v>
      </c>
      <c r="BG253" s="89" t="n">
        <v>1</v>
      </c>
      <c r="BH253" s="89" t="inlineStr">
        <is>
          <t>-</t>
        </is>
      </c>
    </row>
    <row r="254" ht="19.55" customHeight="1">
      <c r="A254" s="92" t="n">
        <v>251</v>
      </c>
      <c r="B254" s="87" t="inlineStr">
        <is>
          <t>全国</t>
        </is>
      </c>
      <c r="C254" s="93" t="n">
        <v>46274</v>
      </c>
      <c r="D254" s="87" t="inlineStr">
        <is>
          <t>NX8</t>
        </is>
      </c>
      <c r="E254" s="87" t="n">
        <v>4644</v>
      </c>
      <c r="F254" s="87" t="n">
        <v>4262</v>
      </c>
      <c r="G254" s="88" t="n">
        <v>0.9177433247200689</v>
      </c>
      <c r="H254" s="87" t="n">
        <v>1407</v>
      </c>
      <c r="I254" s="89" t="n">
        <v>0.3029715762273902</v>
      </c>
      <c r="J254" s="87" t="n">
        <v>5524</v>
      </c>
      <c r="K254" s="87" t="n">
        <v>5365</v>
      </c>
      <c r="L254" s="88" t="n">
        <v>0.971</v>
      </c>
      <c r="M254" s="87" t="n">
        <v>22538</v>
      </c>
      <c r="N254" s="87" t="n">
        <v>21845</v>
      </c>
      <c r="O254" s="87" t="n">
        <v>22054</v>
      </c>
      <c r="P254" s="88" t="n">
        <v>0.9785251575117579</v>
      </c>
      <c r="Q254" s="87" t="n">
        <v>252</v>
      </c>
      <c r="R254" s="87" t="n">
        <v>0</v>
      </c>
      <c r="S254" s="87" t="n">
        <v>0</v>
      </c>
      <c r="T254" s="88" t="n">
        <v>0</v>
      </c>
      <c r="U254" s="87" t="n">
        <v>0</v>
      </c>
      <c r="V254" s="88" t="n">
        <v>0</v>
      </c>
      <c r="W254" s="87" t="n">
        <v>1273</v>
      </c>
      <c r="X254" s="88" t="n">
        <v>0.2741171403962102</v>
      </c>
      <c r="Y254" s="87" t="n">
        <v>3505</v>
      </c>
      <c r="Z254" s="90" t="n">
        <v>0.7547372954349698</v>
      </c>
      <c r="AA254" s="87" t="n">
        <v>12</v>
      </c>
      <c r="AB254" s="88" t="n">
        <v>0.002583979328165375</v>
      </c>
      <c r="AC254" s="87" t="n">
        <v>337</v>
      </c>
      <c r="AD254" s="88" t="n">
        <v>0.07256675279931094</v>
      </c>
      <c r="AE254" s="87" t="n">
        <v>37</v>
      </c>
      <c r="AF254" s="88" t="n">
        <v>0.1097922848664688</v>
      </c>
      <c r="AG254" s="87" t="n">
        <v>271</v>
      </c>
      <c r="AH254" s="88" t="n">
        <v>0.8041543026706232</v>
      </c>
      <c r="AI254" s="91" t="n">
        <v>268</v>
      </c>
      <c r="AJ254" s="88" t="n">
        <v>0.05770887166236004</v>
      </c>
      <c r="AK254" s="91" t="n">
        <v>14</v>
      </c>
      <c r="AL254" s="88" t="n">
        <v>0.8246268656716418</v>
      </c>
      <c r="AM254" s="91" t="n">
        <v>258</v>
      </c>
      <c r="AN254" s="91" t="n">
        <v>221</v>
      </c>
      <c r="AO254" s="88" t="n">
        <v>0.04758828596037899</v>
      </c>
      <c r="AP254" s="88" t="n">
        <v>0.6557863501483679</v>
      </c>
      <c r="AQ254" s="89" t="n">
        <v>0.9618055555555556</v>
      </c>
      <c r="AR254" s="89" t="n">
        <v>0.667910447761194</v>
      </c>
      <c r="AS254" s="89" t="n">
        <v>0.6455223880597015</v>
      </c>
      <c r="AT254" s="91" t="n">
        <v>0</v>
      </c>
      <c r="AU254" s="91" t="n">
        <v>0</v>
      </c>
      <c r="AV254" s="91" t="n">
        <v>54</v>
      </c>
      <c r="AW254" s="91" t="n">
        <v>45</v>
      </c>
      <c r="AX254" s="91" t="n">
        <v>47</v>
      </c>
      <c r="AY254" s="91" t="n">
        <v>75</v>
      </c>
      <c r="AZ254" s="88" t="n">
        <v>0.009689922480620155</v>
      </c>
      <c r="BA254" s="88" t="n">
        <v>0.01012058570198105</v>
      </c>
      <c r="BB254" s="88" t="n">
        <v>0.01614987080103359</v>
      </c>
      <c r="BC254" s="88" t="n">
        <v>0.2126696832579185</v>
      </c>
      <c r="BD254" s="91" t="n">
        <v>0</v>
      </c>
      <c r="BE254" s="91" t="n">
        <v>0</v>
      </c>
      <c r="BF254" s="89" t="n">
        <v>1</v>
      </c>
      <c r="BG254" s="89" t="n">
        <v>1</v>
      </c>
      <c r="BH254" s="89" t="inlineStr">
        <is>
          <t>-</t>
        </is>
      </c>
    </row>
    <row r="255" ht="19.55" customHeight="1">
      <c r="A255" s="92" t="n">
        <v>252</v>
      </c>
      <c r="B255" s="87" t="inlineStr">
        <is>
          <t>全国</t>
        </is>
      </c>
      <c r="C255" s="93" t="n">
        <v>46274</v>
      </c>
      <c r="D255" s="87" t="inlineStr">
        <is>
          <t>天籁·鸿蒙座舱</t>
        </is>
      </c>
      <c r="E255" s="87" t="n">
        <v>4021</v>
      </c>
      <c r="F255" s="87" t="n">
        <v>3664</v>
      </c>
      <c r="G255" s="88" t="n">
        <v>0.9112161153941806</v>
      </c>
      <c r="H255" s="87" t="n">
        <v>2068</v>
      </c>
      <c r="I255" s="89" t="n">
        <v>0.5142999253916936</v>
      </c>
      <c r="J255" s="87" t="n">
        <v>4902</v>
      </c>
      <c r="K255" s="87" t="n">
        <v>4799</v>
      </c>
      <c r="L255" s="88" t="n">
        <v>0.979</v>
      </c>
      <c r="M255" s="87" t="n">
        <v>20686</v>
      </c>
      <c r="N255" s="87" t="n">
        <v>20245</v>
      </c>
      <c r="O255" s="87" t="n">
        <v>20342</v>
      </c>
      <c r="P255" s="88" t="n">
        <v>0.9833703954365272</v>
      </c>
      <c r="Q255" s="87" t="n">
        <v>101</v>
      </c>
      <c r="R255" s="87" t="n">
        <v>0</v>
      </c>
      <c r="S255" s="87" t="n">
        <v>0</v>
      </c>
      <c r="T255" s="88" t="n">
        <v>0</v>
      </c>
      <c r="U255" s="87" t="n">
        <v>0</v>
      </c>
      <c r="V255" s="88" t="n">
        <v>0</v>
      </c>
      <c r="W255" s="87" t="n">
        <v>735</v>
      </c>
      <c r="X255" s="88" t="n">
        <v>0.18279035065904</v>
      </c>
      <c r="Y255" s="87" t="n">
        <v>1520</v>
      </c>
      <c r="Z255" s="90" t="n">
        <v>0.3780154190499876</v>
      </c>
      <c r="AA255" s="87" t="n">
        <v>14</v>
      </c>
      <c r="AB255" s="88" t="n">
        <v>0.003481720964934096</v>
      </c>
      <c r="AC255" s="87" t="n">
        <v>173</v>
      </c>
      <c r="AD255" s="88" t="n">
        <v>0.0430241233523999</v>
      </c>
      <c r="AE255" s="87" t="n">
        <v>32</v>
      </c>
      <c r="AF255" s="88" t="n">
        <v>0.1849710982658959</v>
      </c>
      <c r="AG255" s="87" t="n">
        <v>143</v>
      </c>
      <c r="AH255" s="88" t="n">
        <v>0.8265895953757225</v>
      </c>
      <c r="AI255" s="91" t="n">
        <v>149</v>
      </c>
      <c r="AJ255" s="88" t="n">
        <v>0.03705545884108431</v>
      </c>
      <c r="AK255" s="91" t="n">
        <v>9</v>
      </c>
      <c r="AL255" s="88" t="n">
        <v>0.5637583892617449</v>
      </c>
      <c r="AM255" s="91" t="n">
        <v>147</v>
      </c>
      <c r="AN255" s="91" t="n">
        <v>84</v>
      </c>
      <c r="AO255" s="88" t="n">
        <v>0.02089032578960458</v>
      </c>
      <c r="AP255" s="88" t="n">
        <v>0.4855491329479769</v>
      </c>
      <c r="AQ255" s="89" t="n">
        <v>0.9477124183006536</v>
      </c>
      <c r="AR255" s="89" t="n">
        <v>0.5675675675675675</v>
      </c>
      <c r="AS255" s="89" t="n">
        <v>0.5405405405405406</v>
      </c>
      <c r="AT255" s="91" t="n">
        <v>0</v>
      </c>
      <c r="AU255" s="91" t="n">
        <v>0</v>
      </c>
      <c r="AV255" s="91" t="n">
        <v>60</v>
      </c>
      <c r="AW255" s="91" t="n">
        <v>48</v>
      </c>
      <c r="AX255" s="91" t="n">
        <v>51</v>
      </c>
      <c r="AY255" s="91" t="n">
        <v>67</v>
      </c>
      <c r="AZ255" s="88" t="n">
        <v>0.01193732902263119</v>
      </c>
      <c r="BA255" s="88" t="n">
        <v>0.01268341208654564</v>
      </c>
      <c r="BB255" s="88" t="n">
        <v>0.01666252176075603</v>
      </c>
      <c r="BC255" s="88" t="n">
        <v>0.6071428571428571</v>
      </c>
      <c r="BD255" s="91" t="n">
        <v>0</v>
      </c>
      <c r="BE255" s="91" t="n">
        <v>0</v>
      </c>
      <c r="BF255" s="89" t="n">
        <v>1</v>
      </c>
      <c r="BG255" s="89" t="n">
        <v>1</v>
      </c>
      <c r="BH255" s="89" t="inlineStr">
        <is>
          <t>-</t>
        </is>
      </c>
    </row>
    <row r="256" ht="19.55" customHeight="1">
      <c r="A256" s="92" t="n">
        <v>253</v>
      </c>
      <c r="B256" s="87" t="inlineStr">
        <is>
          <t>全国</t>
        </is>
      </c>
      <c r="C256" s="93" t="n">
        <v>46274</v>
      </c>
      <c r="D256" s="87" t="inlineStr">
        <is>
          <t>探陆</t>
        </is>
      </c>
      <c r="E256" s="87" t="n">
        <v>0</v>
      </c>
      <c r="F256" s="87" t="n">
        <v>0</v>
      </c>
      <c r="G256" s="88" t="n">
        <v>0</v>
      </c>
      <c r="H256" s="87" t="n">
        <v>0</v>
      </c>
      <c r="I256" s="89" t="n">
        <v>0</v>
      </c>
      <c r="J256" s="87" t="n">
        <v>0</v>
      </c>
      <c r="K256" s="87" t="n">
        <v>0</v>
      </c>
      <c r="L256" s="88" t="n">
        <v>0</v>
      </c>
      <c r="M256" s="87" t="n">
        <v>0</v>
      </c>
      <c r="N256" s="87" t="n">
        <v>0</v>
      </c>
      <c r="O256" s="87" t="n">
        <v>0</v>
      </c>
      <c r="P256" s="88" t="n">
        <v>0</v>
      </c>
      <c r="Q256" s="87" t="n">
        <v>0</v>
      </c>
      <c r="R256" s="87" t="n">
        <v>0</v>
      </c>
      <c r="S256" s="87" t="n">
        <v>0</v>
      </c>
      <c r="T256" s="88" t="n">
        <v>0</v>
      </c>
      <c r="U256" s="87" t="n">
        <v>0</v>
      </c>
      <c r="V256" s="88" t="n">
        <v>0</v>
      </c>
      <c r="W256" s="87" t="n">
        <v>0</v>
      </c>
      <c r="X256" s="88" t="n">
        <v>0</v>
      </c>
      <c r="Y256" s="87" t="n">
        <v>0</v>
      </c>
      <c r="Z256" s="90" t="n">
        <v>0</v>
      </c>
      <c r="AA256" s="87" t="n">
        <v>0</v>
      </c>
      <c r="AB256" s="88" t="n">
        <v>0</v>
      </c>
      <c r="AC256" s="87" t="n">
        <v>0</v>
      </c>
      <c r="AD256" s="88" t="n">
        <v>0</v>
      </c>
      <c r="AE256" s="87" t="n">
        <v>0</v>
      </c>
      <c r="AF256" s="88" t="n">
        <v>0</v>
      </c>
      <c r="AG256" s="87" t="n">
        <v>0</v>
      </c>
      <c r="AH256" s="88" t="n">
        <v>0</v>
      </c>
      <c r="AI256" s="91" t="n">
        <v>1</v>
      </c>
      <c r="AJ256" s="88" t="n">
        <v>0</v>
      </c>
      <c r="AK256" s="91" t="n">
        <v>0</v>
      </c>
      <c r="AL256" s="88" t="n">
        <v>0</v>
      </c>
      <c r="AM256" s="91" t="n">
        <v>0</v>
      </c>
      <c r="AN256" s="91" t="n">
        <v>0</v>
      </c>
      <c r="AO256" s="88" t="n">
        <v>0</v>
      </c>
      <c r="AP256" s="88" t="n">
        <v>0</v>
      </c>
      <c r="AQ256" s="89" t="n"/>
      <c r="AR256" s="89" t="inlineStr">
        <is>
          <t>0.0%</t>
        </is>
      </c>
      <c r="AS256" s="89" t="inlineStr">
        <is>
          <t>0.0%</t>
        </is>
      </c>
      <c r="AT256" s="91" t="n">
        <v>0</v>
      </c>
      <c r="AU256" s="91" t="n">
        <v>0</v>
      </c>
      <c r="AV256" s="91" t="n">
        <v>0</v>
      </c>
      <c r="AW256" s="91" t="n">
        <v>0</v>
      </c>
      <c r="AX256" s="91" t="n">
        <v>0</v>
      </c>
      <c r="AY256" s="91" t="n">
        <v>0</v>
      </c>
      <c r="AZ256" s="88" t="n">
        <v>0</v>
      </c>
      <c r="BA256" s="88" t="n">
        <v>0</v>
      </c>
      <c r="BB256" s="88" t="n">
        <v>0</v>
      </c>
      <c r="BC256" s="88" t="n">
        <v>0</v>
      </c>
      <c r="BD256" s="91" t="n">
        <v>0</v>
      </c>
      <c r="BE256" s="91" t="n">
        <v>0</v>
      </c>
      <c r="BF256" s="89" t="inlineStr">
        <is>
          <t>-</t>
        </is>
      </c>
      <c r="BG256" s="89" t="inlineStr">
        <is>
          <t>-</t>
        </is>
      </c>
      <c r="BH256" s="89" t="inlineStr">
        <is>
          <t>-</t>
        </is>
      </c>
    </row>
    <row r="257" ht="19.55" customHeight="1">
      <c r="A257" s="92" t="n">
        <v>254</v>
      </c>
      <c r="B257" s="87" t="inlineStr">
        <is>
          <t>全国</t>
        </is>
      </c>
      <c r="C257" s="93" t="n">
        <v>46275</v>
      </c>
      <c r="D257" s="87" t="n"/>
      <c r="E257" s="87" t="n">
        <v>55</v>
      </c>
      <c r="F257" s="87" t="n">
        <v>55</v>
      </c>
      <c r="G257" s="88" t="n">
        <v>1</v>
      </c>
      <c r="H257" s="87" t="n">
        <v>55</v>
      </c>
      <c r="I257" s="89" t="n">
        <v>1</v>
      </c>
      <c r="J257" s="87" t="n">
        <v>1</v>
      </c>
      <c r="K257" s="87" t="n">
        <v>0</v>
      </c>
      <c r="L257" s="88" t="n">
        <v>0</v>
      </c>
      <c r="M257" s="87" t="n">
        <v>3</v>
      </c>
      <c r="N257" s="87" t="n">
        <v>0</v>
      </c>
      <c r="O257" s="87" t="n">
        <v>0</v>
      </c>
      <c r="P257" s="88" t="n">
        <v>0</v>
      </c>
      <c r="Q257" s="87" t="n">
        <v>3</v>
      </c>
      <c r="R257" s="87" t="n">
        <v>0</v>
      </c>
      <c r="S257" s="87" t="n">
        <v>0</v>
      </c>
      <c r="T257" s="88" t="n">
        <v>0</v>
      </c>
      <c r="U257" s="87" t="n">
        <v>0</v>
      </c>
      <c r="V257" s="88" t="n">
        <v>0</v>
      </c>
      <c r="W257" s="87" t="n">
        <v>21</v>
      </c>
      <c r="X257" s="88" t="n">
        <v>0.3818181818181818</v>
      </c>
      <c r="Y257" s="87" t="n">
        <v>27</v>
      </c>
      <c r="Z257" s="90" t="n">
        <v>0.4909090909090909</v>
      </c>
      <c r="AA257" s="87" t="n">
        <v>0</v>
      </c>
      <c r="AB257" s="88" t="n">
        <v>0</v>
      </c>
      <c r="AC257" s="87" t="n">
        <v>0</v>
      </c>
      <c r="AD257" s="88" t="n">
        <v>0</v>
      </c>
      <c r="AE257" s="87" t="n">
        <v>0</v>
      </c>
      <c r="AF257" s="88" t="n">
        <v>0</v>
      </c>
      <c r="AG257" s="87" t="n">
        <v>0</v>
      </c>
      <c r="AH257" s="88" t="n">
        <v>0</v>
      </c>
      <c r="AI257" s="91" t="n">
        <v>0</v>
      </c>
      <c r="AJ257" s="88" t="n">
        <v>0</v>
      </c>
      <c r="AK257" s="91" t="n">
        <v>0</v>
      </c>
      <c r="AL257" s="88" t="n">
        <v>0</v>
      </c>
      <c r="AM257" s="91" t="n">
        <v>0</v>
      </c>
      <c r="AN257" s="91" t="n">
        <v>0</v>
      </c>
      <c r="AO257" s="88" t="n">
        <v>0</v>
      </c>
      <c r="AP257" s="88" t="n">
        <v>0</v>
      </c>
      <c r="AQ257" s="89" t="n">
        <v>0</v>
      </c>
      <c r="AR257" s="89" t="inlineStr">
        <is>
          <t>0.0%</t>
        </is>
      </c>
      <c r="AS257" s="89" t="inlineStr">
        <is>
          <t>0.0%</t>
        </is>
      </c>
      <c r="AT257" s="91" t="n">
        <v>0</v>
      </c>
      <c r="AU257" s="91" t="n">
        <v>0</v>
      </c>
      <c r="AV257" s="91" t="n">
        <v>0</v>
      </c>
      <c r="AW257" s="91" t="n">
        <v>0</v>
      </c>
      <c r="AX257" s="91" t="n">
        <v>0</v>
      </c>
      <c r="AY257" s="91" t="n">
        <v>0</v>
      </c>
      <c r="AZ257" s="88" t="n">
        <v>0</v>
      </c>
      <c r="BA257" s="88" t="n">
        <v>0</v>
      </c>
      <c r="BB257" s="88" t="n">
        <v>0</v>
      </c>
      <c r="BC257" s="88" t="n">
        <v>0</v>
      </c>
      <c r="BD257" s="91" t="n">
        <v>0</v>
      </c>
      <c r="BE257" s="91" t="n">
        <v>0</v>
      </c>
      <c r="BF257" s="89" t="inlineStr">
        <is>
          <t>-</t>
        </is>
      </c>
      <c r="BG257" s="89" t="inlineStr">
        <is>
          <t>-</t>
        </is>
      </c>
      <c r="BH257" s="89" t="n">
        <v>0.9875</v>
      </c>
    </row>
    <row r="258" ht="19.55" customHeight="1">
      <c r="A258" s="92" t="n">
        <v>255</v>
      </c>
      <c r="B258" s="87" t="inlineStr">
        <is>
          <t>全国</t>
        </is>
      </c>
      <c r="C258" s="93" t="n">
        <v>46275</v>
      </c>
      <c r="D258" s="87" t="inlineStr">
        <is>
          <t>2026款探陆</t>
        </is>
      </c>
      <c r="E258" s="87" t="n">
        <v>95</v>
      </c>
      <c r="F258" s="87" t="n">
        <v>90</v>
      </c>
      <c r="G258" s="88" t="n">
        <v>0.9473684210526315</v>
      </c>
      <c r="H258" s="87" t="n">
        <v>80</v>
      </c>
      <c r="I258" s="89" t="n">
        <v>0.8421052631578947</v>
      </c>
      <c r="J258" s="87" t="n">
        <v>193</v>
      </c>
      <c r="K258" s="87" t="n">
        <v>119</v>
      </c>
      <c r="L258" s="88" t="n">
        <v>0.617</v>
      </c>
      <c r="M258" s="87" t="n">
        <v>786</v>
      </c>
      <c r="N258" s="87" t="n">
        <v>715</v>
      </c>
      <c r="O258" s="87" t="n">
        <v>612</v>
      </c>
      <c r="P258" s="88" t="n">
        <v>0.7786259541984732</v>
      </c>
      <c r="Q258" s="87" t="n">
        <v>71</v>
      </c>
      <c r="R258" s="87" t="n">
        <v>0</v>
      </c>
      <c r="S258" s="87" t="n">
        <v>0</v>
      </c>
      <c r="T258" s="88" t="n">
        <v>0</v>
      </c>
      <c r="U258" s="87" t="n">
        <v>0</v>
      </c>
      <c r="V258" s="88" t="n">
        <v>0</v>
      </c>
      <c r="W258" s="87" t="n">
        <v>9</v>
      </c>
      <c r="X258" s="88" t="n">
        <v>0.09473684210526316</v>
      </c>
      <c r="Y258" s="87" t="n">
        <v>41</v>
      </c>
      <c r="Z258" s="90" t="n">
        <v>0.4315789473684211</v>
      </c>
      <c r="AA258" s="87" t="n">
        <v>67</v>
      </c>
      <c r="AB258" s="88" t="n">
        <v>0.7052631578947368</v>
      </c>
      <c r="AC258" s="87" t="n">
        <v>0</v>
      </c>
      <c r="AD258" s="88" t="n">
        <v>0</v>
      </c>
      <c r="AE258" s="87" t="n">
        <v>0</v>
      </c>
      <c r="AF258" s="88" t="n">
        <v>0</v>
      </c>
      <c r="AG258" s="87" t="n">
        <v>0</v>
      </c>
      <c r="AH258" s="88" t="n">
        <v>0</v>
      </c>
      <c r="AI258" s="91" t="n">
        <v>0</v>
      </c>
      <c r="AJ258" s="88" t="n">
        <v>0</v>
      </c>
      <c r="AK258" s="91" t="n">
        <v>0</v>
      </c>
      <c r="AL258" s="88" t="n">
        <v>0</v>
      </c>
      <c r="AM258" s="91" t="n">
        <v>0</v>
      </c>
      <c r="AN258" s="91" t="n">
        <v>0</v>
      </c>
      <c r="AO258" s="88" t="n">
        <v>0</v>
      </c>
      <c r="AP258" s="88" t="n">
        <v>0</v>
      </c>
      <c r="AQ258" s="89" t="n"/>
      <c r="AR258" s="89" t="inlineStr">
        <is>
          <t>0.0%</t>
        </is>
      </c>
      <c r="AS258" s="89" t="inlineStr">
        <is>
          <t>0.0%</t>
        </is>
      </c>
      <c r="AT258" s="91" t="n">
        <v>0</v>
      </c>
      <c r="AU258" s="91" t="n">
        <v>0</v>
      </c>
      <c r="AV258" s="91" t="n">
        <v>1</v>
      </c>
      <c r="AW258" s="91" t="n">
        <v>0</v>
      </c>
      <c r="AX258" s="91" t="n">
        <v>1</v>
      </c>
      <c r="AY258" s="91" t="n">
        <v>3</v>
      </c>
      <c r="AZ258" s="88" t="n">
        <v>0</v>
      </c>
      <c r="BA258" s="88" t="n">
        <v>0.01052631578947368</v>
      </c>
      <c r="BB258" s="88" t="n">
        <v>0.03157894736842105</v>
      </c>
      <c r="BC258" s="88" t="n">
        <v>0</v>
      </c>
      <c r="BD258" s="91" t="n">
        <v>0</v>
      </c>
      <c r="BE258" s="91" t="n">
        <v>0</v>
      </c>
      <c r="BF258" s="89" t="inlineStr">
        <is>
          <t>-</t>
        </is>
      </c>
      <c r="BG258" s="89" t="inlineStr">
        <is>
          <t>-</t>
        </is>
      </c>
      <c r="BH258" s="89" t="inlineStr">
        <is>
          <t>-</t>
        </is>
      </c>
    </row>
    <row r="259" ht="19.55" customHeight="1">
      <c r="A259" s="92" t="n">
        <v>256</v>
      </c>
      <c r="B259" s="87" t="inlineStr">
        <is>
          <t>全国</t>
        </is>
      </c>
      <c r="C259" s="93" t="n">
        <v>46275</v>
      </c>
      <c r="D259" s="87" t="inlineStr">
        <is>
          <t>N6</t>
        </is>
      </c>
      <c r="E259" s="87" t="n">
        <v>1497</v>
      </c>
      <c r="F259" s="87" t="n">
        <v>1324</v>
      </c>
      <c r="G259" s="88" t="n">
        <v>0.884435537742151</v>
      </c>
      <c r="H259" s="87" t="n">
        <v>486</v>
      </c>
      <c r="I259" s="89" t="n">
        <v>0.3246492985971944</v>
      </c>
      <c r="J259" s="87" t="n">
        <v>1633</v>
      </c>
      <c r="K259" s="87" t="n">
        <v>1587</v>
      </c>
      <c r="L259" s="88" t="n">
        <v>0.972</v>
      </c>
      <c r="M259" s="87" t="n">
        <v>7519</v>
      </c>
      <c r="N259" s="87" t="n">
        <v>7507</v>
      </c>
      <c r="O259" s="87" t="n">
        <v>7392</v>
      </c>
      <c r="P259" s="88" t="n">
        <v>0.9831094560446868</v>
      </c>
      <c r="Q259" s="87" t="n">
        <v>42</v>
      </c>
      <c r="R259" s="87" t="n">
        <v>0</v>
      </c>
      <c r="S259" s="87" t="n">
        <v>0</v>
      </c>
      <c r="T259" s="88" t="n">
        <v>0</v>
      </c>
      <c r="U259" s="87" t="n">
        <v>0</v>
      </c>
      <c r="V259" s="88" t="n">
        <v>0</v>
      </c>
      <c r="W259" s="87" t="n">
        <v>172</v>
      </c>
      <c r="X259" s="88" t="n">
        <v>0.1148964595858383</v>
      </c>
      <c r="Y259" s="87" t="n">
        <v>821</v>
      </c>
      <c r="Z259" s="90" t="n">
        <v>0.5484301937207748</v>
      </c>
      <c r="AA259" s="87" t="n">
        <v>4</v>
      </c>
      <c r="AB259" s="88" t="n">
        <v>0.002672010688042752</v>
      </c>
      <c r="AC259" s="87" t="n">
        <v>96</v>
      </c>
      <c r="AD259" s="88" t="n">
        <v>0.06412825651302605</v>
      </c>
      <c r="AE259" s="87" t="n">
        <v>10</v>
      </c>
      <c r="AF259" s="88" t="n">
        <v>0.1041666666666667</v>
      </c>
      <c r="AG259" s="87" t="n">
        <v>60</v>
      </c>
      <c r="AH259" s="88" t="n">
        <v>0.625</v>
      </c>
      <c r="AI259" s="91" t="n">
        <v>59</v>
      </c>
      <c r="AJ259" s="88" t="n">
        <v>0.0394121576486306</v>
      </c>
      <c r="AK259" s="91" t="n">
        <v>5</v>
      </c>
      <c r="AL259" s="88" t="n">
        <v>0.8305084745762712</v>
      </c>
      <c r="AM259" s="91" t="n">
        <v>58</v>
      </c>
      <c r="AN259" s="91" t="n">
        <v>49</v>
      </c>
      <c r="AO259" s="88" t="n">
        <v>0.03273213092852371</v>
      </c>
      <c r="AP259" s="88" t="n">
        <v>0.5104166666666666</v>
      </c>
      <c r="AQ259" s="89" t="n">
        <v>0.9852941176470589</v>
      </c>
      <c r="AR259" s="89" t="n">
        <v>0.6379310344827587</v>
      </c>
      <c r="AS259" s="89" t="n">
        <v>0.6379310344827587</v>
      </c>
      <c r="AT259" s="91" t="n">
        <v>0</v>
      </c>
      <c r="AU259" s="91" t="n">
        <v>0</v>
      </c>
      <c r="AV259" s="91" t="n">
        <v>13</v>
      </c>
      <c r="AW259" s="91" t="n">
        <v>7</v>
      </c>
      <c r="AX259" s="91" t="n">
        <v>7</v>
      </c>
      <c r="AY259" s="91" t="n">
        <v>18</v>
      </c>
      <c r="AZ259" s="88" t="n">
        <v>0.004676018704074816</v>
      </c>
      <c r="BA259" s="88" t="n">
        <v>0.004676018704074816</v>
      </c>
      <c r="BB259" s="88" t="n">
        <v>0.01202404809619238</v>
      </c>
      <c r="BC259" s="88" t="n">
        <v>0.1428571428571428</v>
      </c>
      <c r="BD259" s="91" t="n">
        <v>0</v>
      </c>
      <c r="BE259" s="91" t="n">
        <v>0</v>
      </c>
      <c r="BF259" s="89" t="n">
        <v>1</v>
      </c>
      <c r="BG259" s="89" t="n">
        <v>1</v>
      </c>
      <c r="BH259" s="89" t="inlineStr">
        <is>
          <t>-</t>
        </is>
      </c>
    </row>
    <row r="260" ht="19.55" customHeight="1">
      <c r="A260" s="92" t="n">
        <v>257</v>
      </c>
      <c r="B260" s="87" t="inlineStr">
        <is>
          <t>全国</t>
        </is>
      </c>
      <c r="C260" s="93" t="n">
        <v>46275</v>
      </c>
      <c r="D260" s="87" t="inlineStr">
        <is>
          <t>N7</t>
        </is>
      </c>
      <c r="E260" s="87" t="n">
        <v>2538</v>
      </c>
      <c r="F260" s="87" t="n">
        <v>2212</v>
      </c>
      <c r="G260" s="88" t="n">
        <v>0.8715524034672971</v>
      </c>
      <c r="H260" s="87" t="n">
        <v>1090</v>
      </c>
      <c r="I260" s="89" t="n">
        <v>0.4294720252167061</v>
      </c>
      <c r="J260" s="87" t="n">
        <v>2220</v>
      </c>
      <c r="K260" s="87" t="n">
        <v>2173</v>
      </c>
      <c r="L260" s="88" t="n">
        <v>0.979</v>
      </c>
      <c r="M260" s="87" t="n">
        <v>7988</v>
      </c>
      <c r="N260" s="87" t="n">
        <v>8198</v>
      </c>
      <c r="O260" s="87" t="n">
        <v>7838</v>
      </c>
      <c r="P260" s="88" t="n">
        <v>0.9812218327491237</v>
      </c>
      <c r="Q260" s="87" t="n">
        <v>38</v>
      </c>
      <c r="R260" s="87" t="n">
        <v>0</v>
      </c>
      <c r="S260" s="87" t="n">
        <v>0</v>
      </c>
      <c r="T260" s="88" t="n">
        <v>0</v>
      </c>
      <c r="U260" s="87" t="n">
        <v>0</v>
      </c>
      <c r="V260" s="88" t="n">
        <v>0</v>
      </c>
      <c r="W260" s="87" t="n">
        <v>211</v>
      </c>
      <c r="X260" s="88" t="n">
        <v>0.08313632781717888</v>
      </c>
      <c r="Y260" s="87" t="n">
        <v>874</v>
      </c>
      <c r="Z260" s="90" t="n">
        <v>0.3443656422379827</v>
      </c>
      <c r="AA260" s="87" t="n">
        <v>1</v>
      </c>
      <c r="AB260" s="88" t="n">
        <v>0.0003940110323089047</v>
      </c>
      <c r="AC260" s="87" t="n">
        <v>96</v>
      </c>
      <c r="AD260" s="88" t="n">
        <v>0.03782505910165485</v>
      </c>
      <c r="AE260" s="87" t="n">
        <v>11</v>
      </c>
      <c r="AF260" s="88" t="n">
        <v>0.1145833333333333</v>
      </c>
      <c r="AG260" s="87" t="n">
        <v>75</v>
      </c>
      <c r="AH260" s="88" t="n">
        <v>0.78125</v>
      </c>
      <c r="AI260" s="91" t="n">
        <v>75</v>
      </c>
      <c r="AJ260" s="88" t="n">
        <v>0.02955082742316785</v>
      </c>
      <c r="AK260" s="91" t="n">
        <v>5</v>
      </c>
      <c r="AL260" s="88" t="n">
        <v>0.72</v>
      </c>
      <c r="AM260" s="91" t="n">
        <v>70</v>
      </c>
      <c r="AN260" s="91" t="n">
        <v>54</v>
      </c>
      <c r="AO260" s="88" t="n">
        <v>0.02127659574468085</v>
      </c>
      <c r="AP260" s="88" t="n">
        <v>0.5625</v>
      </c>
      <c r="AQ260" s="89" t="n">
        <v>0.9861111111111112</v>
      </c>
      <c r="AR260" s="89" t="n">
        <v>0.676056338028169</v>
      </c>
      <c r="AS260" s="89" t="n">
        <v>0.6056338028169014</v>
      </c>
      <c r="AT260" s="91" t="n">
        <v>0</v>
      </c>
      <c r="AU260" s="91" t="n">
        <v>0</v>
      </c>
      <c r="AV260" s="91" t="n">
        <v>9</v>
      </c>
      <c r="AW260" s="91" t="n">
        <v>3</v>
      </c>
      <c r="AX260" s="91" t="n">
        <v>5</v>
      </c>
      <c r="AY260" s="91" t="n">
        <v>25</v>
      </c>
      <c r="AZ260" s="88" t="n">
        <v>0.001182033096926714</v>
      </c>
      <c r="BA260" s="88" t="n">
        <v>0.001970055161544523</v>
      </c>
      <c r="BB260" s="88" t="n">
        <v>0.009850275807722617</v>
      </c>
      <c r="BC260" s="88" t="n">
        <v>0.09259259259259259</v>
      </c>
      <c r="BD260" s="91" t="n">
        <v>0</v>
      </c>
      <c r="BE260" s="91" t="n">
        <v>0</v>
      </c>
      <c r="BF260" s="89" t="n">
        <v>1</v>
      </c>
      <c r="BG260" s="89" t="n">
        <v>1</v>
      </c>
      <c r="BH260" s="89" t="inlineStr">
        <is>
          <t>-</t>
        </is>
      </c>
    </row>
    <row r="261" ht="19.55" customHeight="1">
      <c r="A261" s="92" t="n">
        <v>258</v>
      </c>
      <c r="B261" s="87" t="inlineStr">
        <is>
          <t>全国</t>
        </is>
      </c>
      <c r="C261" s="93" t="n">
        <v>46275</v>
      </c>
      <c r="D261" s="87" t="inlineStr">
        <is>
          <t>NX8</t>
        </is>
      </c>
      <c r="E261" s="87" t="n">
        <v>4396</v>
      </c>
      <c r="F261" s="87" t="n">
        <v>3978</v>
      </c>
      <c r="G261" s="88" t="n">
        <v>0.9049135577797999</v>
      </c>
      <c r="H261" s="87" t="n">
        <v>1203</v>
      </c>
      <c r="I261" s="89" t="n">
        <v>0.2736578707916287</v>
      </c>
      <c r="J261" s="87" t="n">
        <v>4575</v>
      </c>
      <c r="K261" s="87" t="n">
        <v>4393</v>
      </c>
      <c r="L261" s="88" t="n">
        <v>0.96</v>
      </c>
      <c r="M261" s="87" t="n">
        <v>21849</v>
      </c>
      <c r="N261" s="87" t="n">
        <v>21825</v>
      </c>
      <c r="O261" s="87" t="n">
        <v>21391</v>
      </c>
      <c r="P261" s="88" t="n">
        <v>0.9790379422399195</v>
      </c>
      <c r="Q261" s="87" t="n">
        <v>131</v>
      </c>
      <c r="R261" s="87" t="n">
        <v>0</v>
      </c>
      <c r="S261" s="87" t="n">
        <v>0</v>
      </c>
      <c r="T261" s="88" t="n">
        <v>0</v>
      </c>
      <c r="U261" s="87" t="n">
        <v>0</v>
      </c>
      <c r="V261" s="88" t="n">
        <v>0</v>
      </c>
      <c r="W261" s="87" t="n">
        <v>725</v>
      </c>
      <c r="X261" s="88" t="n">
        <v>0.1649226569608735</v>
      </c>
      <c r="Y261" s="87" t="n">
        <v>3086</v>
      </c>
      <c r="Z261" s="90" t="n">
        <v>0.7020018198362148</v>
      </c>
      <c r="AA261" s="87" t="n">
        <v>2</v>
      </c>
      <c r="AB261" s="88" t="n">
        <v>0.0004549590536851683</v>
      </c>
      <c r="AC261" s="87" t="n">
        <v>320</v>
      </c>
      <c r="AD261" s="88" t="n">
        <v>0.07279344858962693</v>
      </c>
      <c r="AE261" s="87" t="n">
        <v>52</v>
      </c>
      <c r="AF261" s="88" t="n">
        <v>0.1625</v>
      </c>
      <c r="AG261" s="87" t="n">
        <v>270</v>
      </c>
      <c r="AH261" s="88" t="n">
        <v>0.84375</v>
      </c>
      <c r="AI261" s="91" t="n">
        <v>296</v>
      </c>
      <c r="AJ261" s="88" t="n">
        <v>0.06733393994540492</v>
      </c>
      <c r="AK261" s="91" t="n">
        <v>9</v>
      </c>
      <c r="AL261" s="88" t="n">
        <v>0.7533783783783784</v>
      </c>
      <c r="AM261" s="91" t="n">
        <v>281</v>
      </c>
      <c r="AN261" s="91" t="n">
        <v>223</v>
      </c>
      <c r="AO261" s="88" t="n">
        <v>0.05072793448589627</v>
      </c>
      <c r="AP261" s="88" t="n">
        <v>0.696875</v>
      </c>
      <c r="AQ261" s="89" t="n">
        <v>0.98046875</v>
      </c>
      <c r="AR261" s="89" t="n">
        <v>0.6312056737588653</v>
      </c>
      <c r="AS261" s="89" t="n">
        <v>0.6028368794326241</v>
      </c>
      <c r="AT261" s="91" t="n">
        <v>0</v>
      </c>
      <c r="AU261" s="91" t="n">
        <v>0</v>
      </c>
      <c r="AV261" s="91" t="n">
        <v>36</v>
      </c>
      <c r="AW261" s="91" t="n">
        <v>29</v>
      </c>
      <c r="AX261" s="91" t="n">
        <v>26</v>
      </c>
      <c r="AY261" s="91" t="n">
        <v>61</v>
      </c>
      <c r="AZ261" s="88" t="n">
        <v>0.006596906278434941</v>
      </c>
      <c r="BA261" s="88" t="n">
        <v>0.005914467697907188</v>
      </c>
      <c r="BB261" s="88" t="n">
        <v>0.01387625113739763</v>
      </c>
      <c r="BC261" s="88" t="n">
        <v>0.1165919282511211</v>
      </c>
      <c r="BD261" s="91" t="n">
        <v>0</v>
      </c>
      <c r="BE261" s="91" t="n">
        <v>0</v>
      </c>
      <c r="BF261" s="89" t="n">
        <v>1</v>
      </c>
      <c r="BG261" s="89" t="n">
        <v>1</v>
      </c>
      <c r="BH261" s="89" t="inlineStr">
        <is>
          <t>-</t>
        </is>
      </c>
    </row>
    <row r="262" ht="19.55" customHeight="1">
      <c r="A262" s="92" t="n">
        <v>259</v>
      </c>
      <c r="B262" s="87" t="inlineStr">
        <is>
          <t>全国</t>
        </is>
      </c>
      <c r="C262" s="93" t="n">
        <v>46275</v>
      </c>
      <c r="D262" s="87" t="inlineStr">
        <is>
          <t>天籁·鸿蒙座舱</t>
        </is>
      </c>
      <c r="E262" s="87" t="n">
        <v>3896</v>
      </c>
      <c r="F262" s="87" t="n">
        <v>3542</v>
      </c>
      <c r="G262" s="88" t="n">
        <v>0.9091375770020534</v>
      </c>
      <c r="H262" s="87" t="n">
        <v>1957</v>
      </c>
      <c r="I262" s="89" t="n">
        <v>0.5023100616016427</v>
      </c>
      <c r="J262" s="87" t="n">
        <v>5547</v>
      </c>
      <c r="K262" s="87" t="n">
        <v>5427</v>
      </c>
      <c r="L262" s="88" t="n">
        <v>0.978</v>
      </c>
      <c r="M262" s="87" t="n">
        <v>21476</v>
      </c>
      <c r="N262" s="87" t="n">
        <v>21312</v>
      </c>
      <c r="O262" s="87" t="n">
        <v>21100</v>
      </c>
      <c r="P262" s="88" t="n">
        <v>0.9824920841869994</v>
      </c>
      <c r="Q262" s="87" t="n">
        <v>69</v>
      </c>
      <c r="R262" s="87" t="n">
        <v>0</v>
      </c>
      <c r="S262" s="87" t="n">
        <v>0</v>
      </c>
      <c r="T262" s="88" t="n">
        <v>0</v>
      </c>
      <c r="U262" s="87" t="n">
        <v>0</v>
      </c>
      <c r="V262" s="88" t="n">
        <v>0</v>
      </c>
      <c r="W262" s="87" t="n">
        <v>412</v>
      </c>
      <c r="X262" s="88" t="n">
        <v>0.1057494866529774</v>
      </c>
      <c r="Y262" s="87" t="n">
        <v>1603</v>
      </c>
      <c r="Z262" s="90" t="n">
        <v>0.4114476386036961</v>
      </c>
      <c r="AA262" s="87" t="n">
        <v>7</v>
      </c>
      <c r="AB262" s="88" t="n">
        <v>0.001796714579055441</v>
      </c>
      <c r="AC262" s="87" t="n">
        <v>167</v>
      </c>
      <c r="AD262" s="88" t="n">
        <v>0.04286447638603696</v>
      </c>
      <c r="AE262" s="87" t="n">
        <v>24</v>
      </c>
      <c r="AF262" s="88" t="n">
        <v>0.1437125748502994</v>
      </c>
      <c r="AG262" s="87" t="n">
        <v>127</v>
      </c>
      <c r="AH262" s="88" t="n">
        <v>0.7604790419161677</v>
      </c>
      <c r="AI262" s="91" t="n">
        <v>134</v>
      </c>
      <c r="AJ262" s="88" t="n">
        <v>0.03439425051334703</v>
      </c>
      <c r="AK262" s="91" t="n">
        <v>4</v>
      </c>
      <c r="AL262" s="88" t="n">
        <v>0.5074626865671642</v>
      </c>
      <c r="AM262" s="91" t="n">
        <v>125</v>
      </c>
      <c r="AN262" s="91" t="n">
        <v>68</v>
      </c>
      <c r="AO262" s="88" t="n">
        <v>0.01745379876796714</v>
      </c>
      <c r="AP262" s="88" t="n">
        <v>0.407185628742515</v>
      </c>
      <c r="AQ262" s="89" t="n">
        <v>0.9849624060150376</v>
      </c>
      <c r="AR262" s="89" t="n">
        <v>0.59375</v>
      </c>
      <c r="AS262" s="89" t="n">
        <v>0.609375</v>
      </c>
      <c r="AT262" s="91" t="n">
        <v>0</v>
      </c>
      <c r="AU262" s="91" t="n">
        <v>0</v>
      </c>
      <c r="AV262" s="91" t="n">
        <v>58</v>
      </c>
      <c r="AW262" s="91" t="n">
        <v>55</v>
      </c>
      <c r="AX262" s="91" t="n">
        <v>55</v>
      </c>
      <c r="AY262" s="91" t="n">
        <v>52</v>
      </c>
      <c r="AZ262" s="88" t="n">
        <v>0.0141170431211499</v>
      </c>
      <c r="BA262" s="88" t="n">
        <v>0.0141170431211499</v>
      </c>
      <c r="BB262" s="88" t="n">
        <v>0.01334702258726899</v>
      </c>
      <c r="BC262" s="88" t="n">
        <v>0.8088235294117647</v>
      </c>
      <c r="BD262" s="91" t="n">
        <v>0</v>
      </c>
      <c r="BE262" s="91" t="n">
        <v>0</v>
      </c>
      <c r="BF262" s="89" t="n">
        <v>0.9714285714285714</v>
      </c>
      <c r="BG262" s="89" t="n">
        <v>1</v>
      </c>
      <c r="BH262" s="89" t="inlineStr">
        <is>
          <t>-</t>
        </is>
      </c>
    </row>
    <row r="263" ht="19.55" customHeight="1">
      <c r="A263" s="92" t="n">
        <v>260</v>
      </c>
      <c r="B263" s="87" t="inlineStr">
        <is>
          <t>全国</t>
        </is>
      </c>
      <c r="C263" s="93" t="n">
        <v>46276</v>
      </c>
      <c r="D263" s="87" t="n"/>
      <c r="E263" s="87" t="n">
        <v>50</v>
      </c>
      <c r="F263" s="87" t="n">
        <v>50</v>
      </c>
      <c r="G263" s="88" t="n">
        <v>1</v>
      </c>
      <c r="H263" s="87" t="n">
        <v>50</v>
      </c>
      <c r="I263" s="89" t="n">
        <v>1</v>
      </c>
      <c r="J263" s="87" t="n">
        <v>1</v>
      </c>
      <c r="K263" s="87" t="n">
        <v>0</v>
      </c>
      <c r="L263" s="88" t="n">
        <v>0</v>
      </c>
      <c r="M263" s="87" t="n">
        <v>2</v>
      </c>
      <c r="N263" s="87" t="n">
        <v>0</v>
      </c>
      <c r="O263" s="87" t="n">
        <v>1</v>
      </c>
      <c r="P263" s="88" t="n">
        <v>0.5</v>
      </c>
      <c r="Q263" s="87" t="n">
        <v>1</v>
      </c>
      <c r="R263" s="87" t="n">
        <v>0</v>
      </c>
      <c r="S263" s="87" t="n">
        <v>0</v>
      </c>
      <c r="T263" s="88" t="n">
        <v>0</v>
      </c>
      <c r="U263" s="87" t="n">
        <v>0</v>
      </c>
      <c r="V263" s="88" t="n">
        <v>0</v>
      </c>
      <c r="W263" s="87" t="n">
        <v>14</v>
      </c>
      <c r="X263" s="88" t="n">
        <v>0.28</v>
      </c>
      <c r="Y263" s="87" t="n">
        <v>14</v>
      </c>
      <c r="Z263" s="90" t="n">
        <v>0.28</v>
      </c>
      <c r="AA263" s="87" t="n">
        <v>0</v>
      </c>
      <c r="AB263" s="88" t="n">
        <v>0</v>
      </c>
      <c r="AC263" s="87" t="n">
        <v>0</v>
      </c>
      <c r="AD263" s="88" t="n">
        <v>0</v>
      </c>
      <c r="AE263" s="87" t="n">
        <v>0</v>
      </c>
      <c r="AF263" s="88" t="n">
        <v>0</v>
      </c>
      <c r="AG263" s="87" t="n">
        <v>0</v>
      </c>
      <c r="AH263" s="88" t="n">
        <v>0</v>
      </c>
      <c r="AI263" s="91" t="n">
        <v>0</v>
      </c>
      <c r="AJ263" s="88" t="n">
        <v>0</v>
      </c>
      <c r="AK263" s="91" t="n">
        <v>0</v>
      </c>
      <c r="AL263" s="88" t="n">
        <v>0</v>
      </c>
      <c r="AM263" s="91" t="n">
        <v>0</v>
      </c>
      <c r="AN263" s="91" t="n">
        <v>0</v>
      </c>
      <c r="AO263" s="88" t="n">
        <v>0</v>
      </c>
      <c r="AP263" s="88" t="n">
        <v>0</v>
      </c>
      <c r="AQ263" s="89" t="n"/>
      <c r="AR263" s="89" t="n">
        <v>0</v>
      </c>
      <c r="AS263" s="89" t="n">
        <v>0</v>
      </c>
      <c r="AT263" s="91" t="n">
        <v>0</v>
      </c>
      <c r="AU263" s="91" t="n">
        <v>0</v>
      </c>
      <c r="AV263" s="91" t="n">
        <v>0</v>
      </c>
      <c r="AW263" s="91" t="n">
        <v>0</v>
      </c>
      <c r="AX263" s="91" t="n">
        <v>0</v>
      </c>
      <c r="AY263" s="91" t="n">
        <v>0</v>
      </c>
      <c r="AZ263" s="88" t="n">
        <v>0</v>
      </c>
      <c r="BA263" s="88" t="n">
        <v>0</v>
      </c>
      <c r="BB263" s="88" t="n">
        <v>0</v>
      </c>
      <c r="BC263" s="88" t="n">
        <v>0</v>
      </c>
      <c r="BD263" s="91" t="n">
        <v>0</v>
      </c>
      <c r="BE263" s="91" t="n">
        <v>0</v>
      </c>
      <c r="BF263" s="89" t="inlineStr">
        <is>
          <t>-</t>
        </is>
      </c>
      <c r="BG263" s="89" t="inlineStr">
        <is>
          <t>-</t>
        </is>
      </c>
      <c r="BH263" s="89" t="n">
        <v>1</v>
      </c>
    </row>
    <row r="264" ht="19.55" customHeight="1">
      <c r="A264" s="92" t="n">
        <v>261</v>
      </c>
      <c r="B264" s="87" t="inlineStr">
        <is>
          <t>全国</t>
        </is>
      </c>
      <c r="C264" s="93" t="n">
        <v>46276</v>
      </c>
      <c r="D264" s="87" t="inlineStr">
        <is>
          <t>2026款探陆</t>
        </is>
      </c>
      <c r="E264" s="87" t="n">
        <v>67</v>
      </c>
      <c r="F264" s="87" t="n">
        <v>60</v>
      </c>
      <c r="G264" s="88" t="n">
        <v>0.8955223880597015</v>
      </c>
      <c r="H264" s="87" t="n">
        <v>53</v>
      </c>
      <c r="I264" s="89" t="n">
        <v>0.7910447761194029</v>
      </c>
      <c r="J264" s="87" t="n">
        <v>159</v>
      </c>
      <c r="K264" s="87" t="n">
        <v>68</v>
      </c>
      <c r="L264" s="88" t="n">
        <v>0.428</v>
      </c>
      <c r="M264" s="87" t="n">
        <v>816</v>
      </c>
      <c r="N264" s="87" t="n">
        <v>728</v>
      </c>
      <c r="O264" s="87" t="n">
        <v>639</v>
      </c>
      <c r="P264" s="88" t="n">
        <v>0.7830882352941176</v>
      </c>
      <c r="Q264" s="87" t="n">
        <v>78</v>
      </c>
      <c r="R264" s="87" t="n">
        <v>0</v>
      </c>
      <c r="S264" s="87" t="n">
        <v>0</v>
      </c>
      <c r="T264" s="88" t="n">
        <v>0</v>
      </c>
      <c r="U264" s="87" t="n">
        <v>0</v>
      </c>
      <c r="V264" s="88" t="n">
        <v>0</v>
      </c>
      <c r="W264" s="87" t="n">
        <v>30</v>
      </c>
      <c r="X264" s="88" t="n">
        <v>0.4477611940298508</v>
      </c>
      <c r="Y264" s="87" t="n">
        <v>45</v>
      </c>
      <c r="Z264" s="90" t="n">
        <v>0.6716417910447762</v>
      </c>
      <c r="AA264" s="87" t="n">
        <v>67</v>
      </c>
      <c r="AB264" s="88" t="n">
        <v>1</v>
      </c>
      <c r="AC264" s="87" t="n">
        <v>0</v>
      </c>
      <c r="AD264" s="88" t="n">
        <v>0</v>
      </c>
      <c r="AE264" s="87" t="n">
        <v>0</v>
      </c>
      <c r="AF264" s="88" t="n">
        <v>0</v>
      </c>
      <c r="AG264" s="87" t="n">
        <v>0</v>
      </c>
      <c r="AH264" s="88" t="n">
        <v>0</v>
      </c>
      <c r="AI264" s="91" t="n">
        <v>0</v>
      </c>
      <c r="AJ264" s="88" t="n">
        <v>0</v>
      </c>
      <c r="AK264" s="91" t="n">
        <v>0</v>
      </c>
      <c r="AL264" s="88" t="n">
        <v>0</v>
      </c>
      <c r="AM264" s="91" t="n">
        <v>0</v>
      </c>
      <c r="AN264" s="91" t="n">
        <v>0</v>
      </c>
      <c r="AO264" s="88" t="n">
        <v>0</v>
      </c>
      <c r="AP264" s="88" t="n">
        <v>0</v>
      </c>
      <c r="AQ264" s="89" t="n"/>
      <c r="AR264" s="89" t="n">
        <v>1</v>
      </c>
      <c r="AS264" s="89" t="n">
        <v>1</v>
      </c>
      <c r="AT264" s="91" t="n">
        <v>0</v>
      </c>
      <c r="AU264" s="91" t="n">
        <v>0</v>
      </c>
      <c r="AV264" s="91" t="n">
        <v>2</v>
      </c>
      <c r="AW264" s="91" t="n">
        <v>1</v>
      </c>
      <c r="AX264" s="91" t="n">
        <v>1</v>
      </c>
      <c r="AY264" s="91" t="n">
        <v>0</v>
      </c>
      <c r="AZ264" s="88" t="n">
        <v>0.01492537313432836</v>
      </c>
      <c r="BA264" s="88" t="n">
        <v>0.01492537313432836</v>
      </c>
      <c r="BB264" s="88" t="n">
        <v>0</v>
      </c>
      <c r="BC264" s="88" t="n">
        <v>0</v>
      </c>
      <c r="BD264" s="91" t="n">
        <v>0</v>
      </c>
      <c r="BE264" s="91" t="n">
        <v>0</v>
      </c>
      <c r="BF264" s="89" t="inlineStr">
        <is>
          <t>-</t>
        </is>
      </c>
      <c r="BG264" s="89" t="n">
        <v>1</v>
      </c>
      <c r="BH264" s="89" t="inlineStr">
        <is>
          <t>-</t>
        </is>
      </c>
    </row>
    <row r="265" ht="19.55" customHeight="1">
      <c r="A265" s="92" t="n">
        <v>262</v>
      </c>
      <c r="B265" s="87" t="inlineStr">
        <is>
          <t>全国</t>
        </is>
      </c>
      <c r="C265" s="93" t="n">
        <v>46276</v>
      </c>
      <c r="D265" s="87" t="inlineStr">
        <is>
          <t>N6</t>
        </is>
      </c>
      <c r="E265" s="87" t="n">
        <v>1732</v>
      </c>
      <c r="F265" s="87" t="n">
        <v>1522</v>
      </c>
      <c r="G265" s="88" t="n">
        <v>0.8787528868360277</v>
      </c>
      <c r="H265" s="87" t="n">
        <v>493</v>
      </c>
      <c r="I265" s="89" t="n">
        <v>0.2846420323325635</v>
      </c>
      <c r="J265" s="87" t="n">
        <v>1666</v>
      </c>
      <c r="K265" s="87" t="n">
        <v>1608</v>
      </c>
      <c r="L265" s="88" t="n">
        <v>0.965</v>
      </c>
      <c r="M265" s="87" t="n">
        <v>7655</v>
      </c>
      <c r="N265" s="87" t="n">
        <v>7863</v>
      </c>
      <c r="O265" s="87" t="n">
        <v>7498</v>
      </c>
      <c r="P265" s="88" t="n">
        <v>0.97949052906597</v>
      </c>
      <c r="Q265" s="87" t="n">
        <v>55</v>
      </c>
      <c r="R265" s="87" t="n">
        <v>0</v>
      </c>
      <c r="S265" s="87" t="n">
        <v>0</v>
      </c>
      <c r="T265" s="88" t="n">
        <v>0</v>
      </c>
      <c r="U265" s="87" t="n">
        <v>0</v>
      </c>
      <c r="V265" s="88" t="n">
        <v>0</v>
      </c>
      <c r="W265" s="87" t="n">
        <v>199</v>
      </c>
      <c r="X265" s="88" t="n">
        <v>0.1148960739030023</v>
      </c>
      <c r="Y265" s="87" t="n">
        <v>433</v>
      </c>
      <c r="Z265" s="90" t="n">
        <v>0.25</v>
      </c>
      <c r="AA265" s="87" t="n">
        <v>4</v>
      </c>
      <c r="AB265" s="88" t="n">
        <v>0.002309468822170901</v>
      </c>
      <c r="AC265" s="87" t="n">
        <v>139</v>
      </c>
      <c r="AD265" s="88" t="n">
        <v>0.08025404157043881</v>
      </c>
      <c r="AE265" s="87" t="n">
        <v>22</v>
      </c>
      <c r="AF265" s="88" t="n">
        <v>0.158273381294964</v>
      </c>
      <c r="AG265" s="87" t="n">
        <v>98</v>
      </c>
      <c r="AH265" s="88" t="n">
        <v>0.7050359712230215</v>
      </c>
      <c r="AI265" s="91" t="n">
        <v>99</v>
      </c>
      <c r="AJ265" s="88" t="n">
        <v>0.05715935334872979</v>
      </c>
      <c r="AK265" s="91" t="n">
        <v>7</v>
      </c>
      <c r="AL265" s="88" t="n">
        <v>0.8282828282828283</v>
      </c>
      <c r="AM265" s="91" t="n">
        <v>97</v>
      </c>
      <c r="AN265" s="91" t="n">
        <v>82</v>
      </c>
      <c r="AO265" s="88" t="n">
        <v>0.04734411085450346</v>
      </c>
      <c r="AP265" s="88" t="n">
        <v>0.5899280575539568</v>
      </c>
      <c r="AQ265" s="89" t="n">
        <v>0.9298245614035088</v>
      </c>
      <c r="AR265" s="89" t="n">
        <v>0.62</v>
      </c>
      <c r="AS265" s="89" t="n">
        <v>0.63</v>
      </c>
      <c r="AT265" s="91" t="n">
        <v>0</v>
      </c>
      <c r="AU265" s="91" t="n">
        <v>0</v>
      </c>
      <c r="AV265" s="91" t="n">
        <v>55</v>
      </c>
      <c r="AW265" s="91" t="n">
        <v>44</v>
      </c>
      <c r="AX265" s="91" t="n">
        <v>45</v>
      </c>
      <c r="AY265" s="91" t="n">
        <v>26</v>
      </c>
      <c r="AZ265" s="88" t="n">
        <v>0.02540415704387991</v>
      </c>
      <c r="BA265" s="88" t="n">
        <v>0.02598152424942263</v>
      </c>
      <c r="BB265" s="88" t="n">
        <v>0.01501154734411085</v>
      </c>
      <c r="BC265" s="88" t="n">
        <v>0.5487804878048781</v>
      </c>
      <c r="BD265" s="91" t="n">
        <v>0</v>
      </c>
      <c r="BE265" s="91" t="n">
        <v>0</v>
      </c>
      <c r="BF265" s="89" t="n">
        <v>1</v>
      </c>
      <c r="BG265" s="89" t="n">
        <v>1</v>
      </c>
      <c r="BH265" s="89" t="inlineStr">
        <is>
          <t>-</t>
        </is>
      </c>
    </row>
    <row r="266" ht="19.55" customHeight="1">
      <c r="A266" s="92" t="n">
        <v>263</v>
      </c>
      <c r="B266" s="87" t="inlineStr">
        <is>
          <t>全国</t>
        </is>
      </c>
      <c r="C266" s="93" t="n">
        <v>46276</v>
      </c>
      <c r="D266" s="87" t="inlineStr">
        <is>
          <t>N7</t>
        </is>
      </c>
      <c r="E266" s="87" t="n">
        <v>2841</v>
      </c>
      <c r="F266" s="87" t="n">
        <v>2480</v>
      </c>
      <c r="G266" s="88" t="n">
        <v>0.8729320661738824</v>
      </c>
      <c r="H266" s="87" t="n">
        <v>1307</v>
      </c>
      <c r="I266" s="89" t="n">
        <v>0.4600492784230905</v>
      </c>
      <c r="J266" s="87" t="n">
        <v>2654</v>
      </c>
      <c r="K266" s="87" t="n">
        <v>2590</v>
      </c>
      <c r="L266" s="88" t="n">
        <v>0.976</v>
      </c>
      <c r="M266" s="87" t="n">
        <v>9102</v>
      </c>
      <c r="N266" s="87" t="n">
        <v>9662</v>
      </c>
      <c r="O266" s="87" t="n">
        <v>8951</v>
      </c>
      <c r="P266" s="88" t="n">
        <v>0.9834102395078005</v>
      </c>
      <c r="Q266" s="87" t="n">
        <v>44</v>
      </c>
      <c r="R266" s="87" t="n">
        <v>0</v>
      </c>
      <c r="S266" s="87" t="n">
        <v>0</v>
      </c>
      <c r="T266" s="88" t="n">
        <v>0</v>
      </c>
      <c r="U266" s="87" t="n">
        <v>0</v>
      </c>
      <c r="V266" s="88" t="n">
        <v>0</v>
      </c>
      <c r="W266" s="87" t="n">
        <v>264</v>
      </c>
      <c r="X266" s="88" t="n">
        <v>0.09292502639915523</v>
      </c>
      <c r="Y266" s="87" t="n">
        <v>681</v>
      </c>
      <c r="Z266" s="90" t="n">
        <v>0.2397043294614572</v>
      </c>
      <c r="AA266" s="87" t="n">
        <v>0</v>
      </c>
      <c r="AB266" s="88" t="n">
        <v>0</v>
      </c>
      <c r="AC266" s="87" t="n">
        <v>137</v>
      </c>
      <c r="AD266" s="88" t="n">
        <v>0.04822245688137979</v>
      </c>
      <c r="AE266" s="87" t="n">
        <v>17</v>
      </c>
      <c r="AF266" s="88" t="n">
        <v>0.1240875912408759</v>
      </c>
      <c r="AG266" s="87" t="n">
        <v>111</v>
      </c>
      <c r="AH266" s="88" t="n">
        <v>0.8102189781021898</v>
      </c>
      <c r="AI266" s="91" t="n">
        <v>110</v>
      </c>
      <c r="AJ266" s="88" t="n">
        <v>0.03871876099964801</v>
      </c>
      <c r="AK266" s="91" t="n">
        <v>6</v>
      </c>
      <c r="AL266" s="88" t="n">
        <v>0.8454545454545455</v>
      </c>
      <c r="AM266" s="91" t="n">
        <v>107</v>
      </c>
      <c r="AN266" s="91" t="n">
        <v>93</v>
      </c>
      <c r="AO266" s="88" t="n">
        <v>0.03273495248152059</v>
      </c>
      <c r="AP266" s="88" t="n">
        <v>0.6788321167883211</v>
      </c>
      <c r="AQ266" s="89" t="n">
        <v>0.9552238805970149</v>
      </c>
      <c r="AR266" s="89" t="n">
        <v>0.6237623762376238</v>
      </c>
      <c r="AS266" s="89" t="n">
        <v>0.6039603960396039</v>
      </c>
      <c r="AT266" s="91" t="n">
        <v>0</v>
      </c>
      <c r="AU266" s="91" t="n">
        <v>0</v>
      </c>
      <c r="AV266" s="91" t="n">
        <v>71</v>
      </c>
      <c r="AW266" s="91" t="n">
        <v>66</v>
      </c>
      <c r="AX266" s="91" t="n">
        <v>64</v>
      </c>
      <c r="AY266" s="91" t="n">
        <v>26</v>
      </c>
      <c r="AZ266" s="88" t="n">
        <v>0.02323125659978881</v>
      </c>
      <c r="BA266" s="88" t="n">
        <v>0.02252727912706793</v>
      </c>
      <c r="BB266" s="88" t="n">
        <v>0.009151707145371349</v>
      </c>
      <c r="BC266" s="88" t="n">
        <v>0.6881720430107527</v>
      </c>
      <c r="BD266" s="91" t="n">
        <v>0</v>
      </c>
      <c r="BE266" s="91" t="n">
        <v>0</v>
      </c>
      <c r="BF266" s="89" t="n">
        <v>1</v>
      </c>
      <c r="BG266" s="89" t="n">
        <v>1</v>
      </c>
      <c r="BH266" s="89" t="inlineStr">
        <is>
          <t>-</t>
        </is>
      </c>
    </row>
    <row r="267" ht="19.55" customHeight="1">
      <c r="A267" s="92" t="n">
        <v>264</v>
      </c>
      <c r="B267" s="87" t="inlineStr">
        <is>
          <t>全国</t>
        </is>
      </c>
      <c r="C267" s="93" t="n">
        <v>46276</v>
      </c>
      <c r="D267" s="87" t="inlineStr">
        <is>
          <t>NX8</t>
        </is>
      </c>
      <c r="E267" s="87" t="n">
        <v>4794</v>
      </c>
      <c r="F267" s="87" t="n">
        <v>4174</v>
      </c>
      <c r="G267" s="88" t="n">
        <v>0.870671672924489</v>
      </c>
      <c r="H267" s="87" t="n">
        <v>1354</v>
      </c>
      <c r="I267" s="89" t="n">
        <v>0.2824363788068419</v>
      </c>
      <c r="J267" s="87" t="n">
        <v>4455</v>
      </c>
      <c r="K267" s="87" t="n">
        <v>4341</v>
      </c>
      <c r="L267" s="88" t="n">
        <v>0.974</v>
      </c>
      <c r="M267" s="87" t="n">
        <v>22665</v>
      </c>
      <c r="N267" s="87" t="n">
        <v>23282</v>
      </c>
      <c r="O267" s="87" t="n">
        <v>22292</v>
      </c>
      <c r="P267" s="88" t="n">
        <v>0.9835429075667328</v>
      </c>
      <c r="Q267" s="87" t="n">
        <v>143</v>
      </c>
      <c r="R267" s="87" t="n">
        <v>0</v>
      </c>
      <c r="S267" s="87" t="n">
        <v>0</v>
      </c>
      <c r="T267" s="88" t="n">
        <v>0</v>
      </c>
      <c r="U267" s="87" t="n">
        <v>0</v>
      </c>
      <c r="V267" s="88" t="n">
        <v>0</v>
      </c>
      <c r="W267" s="87" t="n">
        <v>648</v>
      </c>
      <c r="X267" s="88" t="n">
        <v>0.1351689612015019</v>
      </c>
      <c r="Y267" s="87" t="n">
        <v>2614</v>
      </c>
      <c r="Z267" s="90" t="n">
        <v>0.5452649144764289</v>
      </c>
      <c r="AA267" s="87" t="n">
        <v>8</v>
      </c>
      <c r="AB267" s="88" t="n">
        <v>0.001668752607425949</v>
      </c>
      <c r="AC267" s="87" t="n">
        <v>442</v>
      </c>
      <c r="AD267" s="88" t="n">
        <v>0.09219858156028368</v>
      </c>
      <c r="AE267" s="87" t="n">
        <v>75</v>
      </c>
      <c r="AF267" s="88" t="n">
        <v>0.169683257918552</v>
      </c>
      <c r="AG267" s="87" t="n">
        <v>353</v>
      </c>
      <c r="AH267" s="88" t="n">
        <v>0.7986425339366516</v>
      </c>
      <c r="AI267" s="91" t="n">
        <v>385</v>
      </c>
      <c r="AJ267" s="88" t="n">
        <v>0.0803087192323738</v>
      </c>
      <c r="AK267" s="91" t="n">
        <v>17</v>
      </c>
      <c r="AL267" s="88" t="n">
        <v>0.8623376623376623</v>
      </c>
      <c r="AM267" s="91" t="n">
        <v>372</v>
      </c>
      <c r="AN267" s="91" t="n">
        <v>332</v>
      </c>
      <c r="AO267" s="88" t="n">
        <v>0.06925323320817689</v>
      </c>
      <c r="AP267" s="88" t="n">
        <v>0.751131221719457</v>
      </c>
      <c r="AQ267" s="89" t="n">
        <v>0.9775280898876404</v>
      </c>
      <c r="AR267" s="89" t="n">
        <v>0.6539440203562341</v>
      </c>
      <c r="AS267" s="89" t="n">
        <v>0.6412213740458015</v>
      </c>
      <c r="AT267" s="91" t="n">
        <v>0</v>
      </c>
      <c r="AU267" s="91" t="n">
        <v>0</v>
      </c>
      <c r="AV267" s="91" t="n">
        <v>94</v>
      </c>
      <c r="AW267" s="91" t="n">
        <v>84</v>
      </c>
      <c r="AX267" s="91" t="n">
        <v>86</v>
      </c>
      <c r="AY267" s="91" t="n">
        <v>67</v>
      </c>
      <c r="AZ267" s="88" t="n">
        <v>0.01752190237797246</v>
      </c>
      <c r="BA267" s="88" t="n">
        <v>0.01793909052982895</v>
      </c>
      <c r="BB267" s="88" t="n">
        <v>0.01397580308719232</v>
      </c>
      <c r="BC267" s="88" t="n">
        <v>0.2590361445783133</v>
      </c>
      <c r="BD267" s="91" t="n">
        <v>0</v>
      </c>
      <c r="BE267" s="91" t="n">
        <v>0</v>
      </c>
      <c r="BF267" s="89" t="n">
        <v>0.9937106918238994</v>
      </c>
      <c r="BG267" s="89" t="n">
        <v>1</v>
      </c>
      <c r="BH267" s="89" t="inlineStr">
        <is>
          <t>-</t>
        </is>
      </c>
    </row>
    <row r="268" ht="19.55" customHeight="1">
      <c r="A268" s="92" t="n">
        <v>265</v>
      </c>
      <c r="B268" s="87" t="inlineStr">
        <is>
          <t>全国</t>
        </is>
      </c>
      <c r="C268" s="93" t="n">
        <v>46276</v>
      </c>
      <c r="D268" s="87" t="inlineStr">
        <is>
          <t>天籁·鸿蒙座舱</t>
        </is>
      </c>
      <c r="E268" s="87" t="n">
        <v>4084</v>
      </c>
      <c r="F268" s="87" t="n">
        <v>3661</v>
      </c>
      <c r="G268" s="88" t="n">
        <v>0.8964250734573947</v>
      </c>
      <c r="H268" s="87" t="n">
        <v>1987</v>
      </c>
      <c r="I268" s="89" t="n">
        <v>0.4865328109696376</v>
      </c>
      <c r="J268" s="87" t="n">
        <v>4817</v>
      </c>
      <c r="K268" s="87" t="n">
        <v>4718</v>
      </c>
      <c r="L268" s="88" t="n">
        <v>0.979</v>
      </c>
      <c r="M268" s="87" t="n">
        <v>22045</v>
      </c>
      <c r="N268" s="87" t="n">
        <v>22950</v>
      </c>
      <c r="O268" s="87" t="n">
        <v>21736</v>
      </c>
      <c r="P268" s="88" t="n">
        <v>0.9859832161487866</v>
      </c>
      <c r="Q268" s="87" t="n">
        <v>96</v>
      </c>
      <c r="R268" s="87" t="n">
        <v>0</v>
      </c>
      <c r="S268" s="87" t="n">
        <v>0</v>
      </c>
      <c r="T268" s="88" t="n">
        <v>0</v>
      </c>
      <c r="U268" s="87" t="n">
        <v>0</v>
      </c>
      <c r="V268" s="88" t="n">
        <v>0</v>
      </c>
      <c r="W268" s="87" t="n">
        <v>457</v>
      </c>
      <c r="X268" s="88" t="n">
        <v>0.1119000979431929</v>
      </c>
      <c r="Y268" s="87" t="n">
        <v>1195</v>
      </c>
      <c r="Z268" s="90" t="n">
        <v>0.2926052889324192</v>
      </c>
      <c r="AA268" s="87" t="n">
        <v>5</v>
      </c>
      <c r="AB268" s="88" t="n">
        <v>0.001224289911851126</v>
      </c>
      <c r="AC268" s="87" t="n">
        <v>203</v>
      </c>
      <c r="AD268" s="88" t="n">
        <v>0.04970617042115573</v>
      </c>
      <c r="AE268" s="87" t="n">
        <v>36</v>
      </c>
      <c r="AF268" s="88" t="n">
        <v>0.1773399014778325</v>
      </c>
      <c r="AG268" s="87" t="n">
        <v>159</v>
      </c>
      <c r="AH268" s="88" t="n">
        <v>0.7832512315270936</v>
      </c>
      <c r="AI268" s="91" t="n">
        <v>142</v>
      </c>
      <c r="AJ268" s="88" t="n">
        <v>0.03476983349657198</v>
      </c>
      <c r="AK268" s="91" t="n">
        <v>10</v>
      </c>
      <c r="AL268" s="88" t="n">
        <v>0.4647887323943662</v>
      </c>
      <c r="AM268" s="91" t="n">
        <v>131</v>
      </c>
      <c r="AN268" s="91" t="n">
        <v>66</v>
      </c>
      <c r="AO268" s="88" t="n">
        <v>0.01616062683643487</v>
      </c>
      <c r="AP268" s="88" t="n">
        <v>0.3251231527093596</v>
      </c>
      <c r="AQ268" s="89" t="n">
        <v>0.984</v>
      </c>
      <c r="AR268" s="89" t="n">
        <v>0.5367647058823529</v>
      </c>
      <c r="AS268" s="89" t="n">
        <v>0.5367647058823529</v>
      </c>
      <c r="AT268" s="91" t="n">
        <v>0</v>
      </c>
      <c r="AU268" s="91" t="n">
        <v>0</v>
      </c>
      <c r="AV268" s="91" t="n">
        <v>56</v>
      </c>
      <c r="AW268" s="91" t="n">
        <v>51</v>
      </c>
      <c r="AX268" s="91" t="n">
        <v>50</v>
      </c>
      <c r="AY268" s="91" t="n">
        <v>53</v>
      </c>
      <c r="AZ268" s="88" t="n">
        <v>0.01248775710088149</v>
      </c>
      <c r="BA268" s="88" t="n">
        <v>0.01224289911851126</v>
      </c>
      <c r="BB268" s="88" t="n">
        <v>0.01297747306562194</v>
      </c>
      <c r="BC268" s="88" t="n">
        <v>0.7575757575757576</v>
      </c>
      <c r="BD268" s="91" t="n">
        <v>0</v>
      </c>
      <c r="BE268" s="91" t="n">
        <v>0</v>
      </c>
      <c r="BF268" s="89" t="n">
        <v>1</v>
      </c>
      <c r="BG268" s="89" t="n">
        <v>1</v>
      </c>
      <c r="BH268" s="89" t="inlineStr">
        <is>
          <t>-</t>
        </is>
      </c>
    </row>
    <row r="269" ht="19.55" customHeight="1">
      <c r="A269" s="92" t="n">
        <v>266</v>
      </c>
      <c r="B269" s="87" t="inlineStr">
        <is>
          <t>全国</t>
        </is>
      </c>
      <c r="C269" s="93" t="n">
        <v>46277</v>
      </c>
      <c r="D269" s="87" t="n"/>
      <c r="E269" s="87" t="n">
        <v>76</v>
      </c>
      <c r="F269" s="87" t="n">
        <v>76</v>
      </c>
      <c r="G269" s="88" t="n">
        <v>1</v>
      </c>
      <c r="H269" s="87" t="n">
        <v>76</v>
      </c>
      <c r="I269" s="89" t="n">
        <v>1</v>
      </c>
      <c r="J269" s="87" t="n">
        <v>2</v>
      </c>
      <c r="K269" s="87" t="n">
        <v>0</v>
      </c>
      <c r="L269" s="88" t="n">
        <v>0</v>
      </c>
      <c r="M269" s="87" t="n">
        <v>5</v>
      </c>
      <c r="N269" s="87" t="n">
        <v>2</v>
      </c>
      <c r="O269" s="87" t="n">
        <v>2</v>
      </c>
      <c r="P269" s="88" t="n">
        <v>0.4</v>
      </c>
      <c r="Q269" s="87" t="n">
        <v>3</v>
      </c>
      <c r="R269" s="87" t="n">
        <v>0</v>
      </c>
      <c r="S269" s="87" t="n">
        <v>0</v>
      </c>
      <c r="T269" s="88" t="n">
        <v>0</v>
      </c>
      <c r="U269" s="87" t="n">
        <v>0</v>
      </c>
      <c r="V269" s="88" t="n">
        <v>0</v>
      </c>
      <c r="W269" s="87" t="n">
        <v>12</v>
      </c>
      <c r="X269" s="88" t="n">
        <v>0.1578947368421053</v>
      </c>
      <c r="Y269" s="87" t="n">
        <v>14</v>
      </c>
      <c r="Z269" s="90" t="n">
        <v>0.1842105263157895</v>
      </c>
      <c r="AA269" s="87" t="n">
        <v>0</v>
      </c>
      <c r="AB269" s="88" t="n">
        <v>0</v>
      </c>
      <c r="AC269" s="87" t="n">
        <v>0</v>
      </c>
      <c r="AD269" s="88" t="n">
        <v>0</v>
      </c>
      <c r="AE269" s="87" t="n">
        <v>0</v>
      </c>
      <c r="AF269" s="88" t="n">
        <v>0</v>
      </c>
      <c r="AG269" s="87" t="n">
        <v>0</v>
      </c>
      <c r="AH269" s="88" t="n">
        <v>0</v>
      </c>
      <c r="AI269" s="91" t="n">
        <v>0</v>
      </c>
      <c r="AJ269" s="88" t="n">
        <v>0</v>
      </c>
      <c r="AK269" s="91" t="n">
        <v>0</v>
      </c>
      <c r="AL269" s="88" t="n">
        <v>0</v>
      </c>
      <c r="AM269" s="91" t="n">
        <v>0</v>
      </c>
      <c r="AN269" s="91" t="n">
        <v>0</v>
      </c>
      <c r="AO269" s="88" t="n">
        <v>0</v>
      </c>
      <c r="AP269" s="88" t="n">
        <v>0</v>
      </c>
      <c r="AQ269" s="89" t="n">
        <v>0</v>
      </c>
      <c r="AR269" s="89" t="n">
        <v>0</v>
      </c>
      <c r="AS269" s="89" t="n">
        <v>0</v>
      </c>
      <c r="AT269" s="91" t="n">
        <v>0</v>
      </c>
      <c r="AU269" s="91" t="n">
        <v>0</v>
      </c>
      <c r="AV269" s="91" t="n">
        <v>0</v>
      </c>
      <c r="AW269" s="91" t="n">
        <v>0</v>
      </c>
      <c r="AX269" s="91" t="n">
        <v>0</v>
      </c>
      <c r="AY269" s="91" t="n">
        <v>0</v>
      </c>
      <c r="AZ269" s="88" t="n">
        <v>0</v>
      </c>
      <c r="BA269" s="88" t="n">
        <v>0</v>
      </c>
      <c r="BB269" s="88" t="n">
        <v>0</v>
      </c>
      <c r="BC269" s="88" t="n">
        <v>0</v>
      </c>
      <c r="BD269" s="91" t="n">
        <v>0</v>
      </c>
      <c r="BE269" s="91" t="n">
        <v>4</v>
      </c>
      <c r="BF269" s="89" t="inlineStr">
        <is>
          <t>-</t>
        </is>
      </c>
      <c r="BG269" s="89" t="inlineStr">
        <is>
          <t>-</t>
        </is>
      </c>
      <c r="BH269" s="89" t="n">
        <v>0.8947368421052632</v>
      </c>
    </row>
    <row r="270" ht="19.55" customHeight="1">
      <c r="A270" s="92" t="n">
        <v>267</v>
      </c>
      <c r="B270" s="87" t="inlineStr">
        <is>
          <t>全国</t>
        </is>
      </c>
      <c r="C270" s="93" t="n">
        <v>46277</v>
      </c>
      <c r="D270" s="87" t="inlineStr">
        <is>
          <t>2026款探陆</t>
        </is>
      </c>
      <c r="E270" s="87" t="n">
        <v>86</v>
      </c>
      <c r="F270" s="87" t="n">
        <v>82</v>
      </c>
      <c r="G270" s="88" t="n">
        <v>0.9534883720930233</v>
      </c>
      <c r="H270" s="87" t="n">
        <v>61</v>
      </c>
      <c r="I270" s="89" t="n">
        <v>0.7093023255813954</v>
      </c>
      <c r="J270" s="87" t="n">
        <v>143</v>
      </c>
      <c r="K270" s="87" t="n">
        <v>65</v>
      </c>
      <c r="L270" s="88" t="n">
        <v>0.455</v>
      </c>
      <c r="M270" s="87" t="n">
        <v>708</v>
      </c>
      <c r="N270" s="87" t="n">
        <v>677</v>
      </c>
      <c r="O270" s="87" t="n">
        <v>543</v>
      </c>
      <c r="P270" s="88" t="n">
        <v>0.7669491525423728</v>
      </c>
      <c r="Q270" s="87" t="n">
        <v>75</v>
      </c>
      <c r="R270" s="87" t="n">
        <v>0</v>
      </c>
      <c r="S270" s="87" t="n">
        <v>0</v>
      </c>
      <c r="T270" s="88" t="n">
        <v>0</v>
      </c>
      <c r="U270" s="87" t="n">
        <v>0</v>
      </c>
      <c r="V270" s="88" t="n">
        <v>0</v>
      </c>
      <c r="W270" s="87" t="n">
        <v>8</v>
      </c>
      <c r="X270" s="88" t="n">
        <v>0.09302325581395349</v>
      </c>
      <c r="Y270" s="87" t="n">
        <v>57</v>
      </c>
      <c r="Z270" s="90" t="n">
        <v>0.6627906976744186</v>
      </c>
      <c r="AA270" s="87" t="n">
        <v>35</v>
      </c>
      <c r="AB270" s="88" t="n">
        <v>0.4069767441860465</v>
      </c>
      <c r="AC270" s="87" t="n">
        <v>2</v>
      </c>
      <c r="AD270" s="88" t="n">
        <v>0.02325581395348837</v>
      </c>
      <c r="AE270" s="87" t="n">
        <v>0</v>
      </c>
      <c r="AF270" s="88" t="n">
        <v>0</v>
      </c>
      <c r="AG270" s="87" t="n">
        <v>1</v>
      </c>
      <c r="AH270" s="88" t="n">
        <v>0.5</v>
      </c>
      <c r="AI270" s="91" t="n">
        <v>0</v>
      </c>
      <c r="AJ270" s="88" t="n">
        <v>0</v>
      </c>
      <c r="AK270" s="91" t="n">
        <v>0</v>
      </c>
      <c r="AL270" s="88" t="n">
        <v>0</v>
      </c>
      <c r="AM270" s="91" t="n">
        <v>0</v>
      </c>
      <c r="AN270" s="91" t="n">
        <v>0</v>
      </c>
      <c r="AO270" s="88" t="n">
        <v>0</v>
      </c>
      <c r="AP270" s="88" t="n">
        <v>0</v>
      </c>
      <c r="AQ270" s="89" t="n">
        <v>1</v>
      </c>
      <c r="AR270" s="89" t="n">
        <v>0</v>
      </c>
      <c r="AS270" s="89" t="n">
        <v>0</v>
      </c>
      <c r="AT270" s="91" t="n">
        <v>0</v>
      </c>
      <c r="AU270" s="91" t="n">
        <v>0</v>
      </c>
      <c r="AV270" s="91" t="n">
        <v>5</v>
      </c>
      <c r="AW270" s="91" t="n">
        <v>5</v>
      </c>
      <c r="AX270" s="91" t="n">
        <v>5</v>
      </c>
      <c r="AY270" s="91" t="n">
        <v>3</v>
      </c>
      <c r="AZ270" s="88" t="n">
        <v>0.05813953488372093</v>
      </c>
      <c r="BA270" s="88" t="n">
        <v>0.05813953488372093</v>
      </c>
      <c r="BB270" s="88" t="n">
        <v>0.03488372093023256</v>
      </c>
      <c r="BC270" s="88" t="n">
        <v>0</v>
      </c>
      <c r="BD270" s="91" t="n">
        <v>0</v>
      </c>
      <c r="BE270" s="91" t="n">
        <v>0</v>
      </c>
      <c r="BF270" s="89" t="inlineStr">
        <is>
          <t>-</t>
        </is>
      </c>
      <c r="BG270" s="89" t="n">
        <v>1</v>
      </c>
      <c r="BH270" s="89" t="inlineStr">
        <is>
          <t>-</t>
        </is>
      </c>
    </row>
    <row r="271" ht="19.55" customHeight="1">
      <c r="A271" s="92" t="n">
        <v>268</v>
      </c>
      <c r="B271" s="87" t="inlineStr">
        <is>
          <t>全国</t>
        </is>
      </c>
      <c r="C271" s="93" t="n">
        <v>46277</v>
      </c>
      <c r="D271" s="87" t="inlineStr">
        <is>
          <t>N6</t>
        </is>
      </c>
      <c r="E271" s="87" t="n">
        <v>1780</v>
      </c>
      <c r="F271" s="87" t="n">
        <v>1528</v>
      </c>
      <c r="G271" s="88" t="n">
        <v>0.8584269662921349</v>
      </c>
      <c r="H271" s="87" t="n">
        <v>495</v>
      </c>
      <c r="I271" s="89" t="n">
        <v>0.2780898876404495</v>
      </c>
      <c r="J271" s="87" t="n">
        <v>1395</v>
      </c>
      <c r="K271" s="87" t="n">
        <v>1360</v>
      </c>
      <c r="L271" s="88" t="n">
        <v>0.975</v>
      </c>
      <c r="M271" s="87" t="n">
        <v>7416</v>
      </c>
      <c r="N271" s="87" t="n">
        <v>7589</v>
      </c>
      <c r="O271" s="87" t="n">
        <v>7321</v>
      </c>
      <c r="P271" s="88" t="n">
        <v>0.9871898597626753</v>
      </c>
      <c r="Q271" s="87" t="n">
        <v>32</v>
      </c>
      <c r="R271" s="87" t="n">
        <v>0</v>
      </c>
      <c r="S271" s="87" t="n">
        <v>0</v>
      </c>
      <c r="T271" s="88" t="n">
        <v>0</v>
      </c>
      <c r="U271" s="87" t="n">
        <v>0</v>
      </c>
      <c r="V271" s="88" t="n">
        <v>0</v>
      </c>
      <c r="W271" s="87" t="n">
        <v>199</v>
      </c>
      <c r="X271" s="88" t="n">
        <v>0.1117977528089888</v>
      </c>
      <c r="Y271" s="87" t="n">
        <v>376</v>
      </c>
      <c r="Z271" s="90" t="n">
        <v>0.2112359550561798</v>
      </c>
      <c r="AA271" s="87" t="n">
        <v>0</v>
      </c>
      <c r="AB271" s="88" t="n">
        <v>0</v>
      </c>
      <c r="AC271" s="87" t="n">
        <v>191</v>
      </c>
      <c r="AD271" s="88" t="n">
        <v>0.1073033707865169</v>
      </c>
      <c r="AE271" s="87" t="n">
        <v>22</v>
      </c>
      <c r="AF271" s="88" t="n">
        <v>0.1151832460732984</v>
      </c>
      <c r="AG271" s="87" t="n">
        <v>152</v>
      </c>
      <c r="AH271" s="88" t="n">
        <v>0.7958115183246073</v>
      </c>
      <c r="AI271" s="91" t="n">
        <v>157</v>
      </c>
      <c r="AJ271" s="88" t="n">
        <v>0.08820224719101123</v>
      </c>
      <c r="AK271" s="91" t="n">
        <v>6</v>
      </c>
      <c r="AL271" s="88" t="n">
        <v>0.7898089171974523</v>
      </c>
      <c r="AM271" s="91" t="n">
        <v>144</v>
      </c>
      <c r="AN271" s="91" t="n">
        <v>124</v>
      </c>
      <c r="AO271" s="88" t="n">
        <v>0.0696629213483146</v>
      </c>
      <c r="AP271" s="88" t="n">
        <v>0.6492146596858639</v>
      </c>
      <c r="AQ271" s="89" t="n">
        <v>0.9782608695652174</v>
      </c>
      <c r="AR271" s="89" t="n">
        <v>0.6503496503496503</v>
      </c>
      <c r="AS271" s="89" t="n">
        <v>0.6503496503496503</v>
      </c>
      <c r="AT271" s="91" t="n">
        <v>0</v>
      </c>
      <c r="AU271" s="91" t="n">
        <v>0</v>
      </c>
      <c r="AV271" s="91" t="n">
        <v>140</v>
      </c>
      <c r="AW271" s="91" t="n">
        <v>139</v>
      </c>
      <c r="AX271" s="91" t="n">
        <v>134</v>
      </c>
      <c r="AY271" s="91" t="n">
        <v>30</v>
      </c>
      <c r="AZ271" s="88" t="n">
        <v>0.07808988764044944</v>
      </c>
      <c r="BA271" s="88" t="n">
        <v>0.07528089887640449</v>
      </c>
      <c r="BB271" s="88" t="n">
        <v>0.01685393258426966</v>
      </c>
      <c r="BC271" s="88" t="n">
        <v>1.080645161290323</v>
      </c>
      <c r="BD271" s="91" t="n">
        <v>0</v>
      </c>
      <c r="BE271" s="91" t="n">
        <v>0</v>
      </c>
      <c r="BF271" s="89" t="n">
        <v>1</v>
      </c>
      <c r="BG271" s="89" t="n">
        <v>1</v>
      </c>
      <c r="BH271" s="89" t="inlineStr">
        <is>
          <t>-</t>
        </is>
      </c>
    </row>
    <row r="272" ht="19.55" customHeight="1">
      <c r="A272" s="92" t="n">
        <v>269</v>
      </c>
      <c r="B272" s="87" t="inlineStr">
        <is>
          <t>全国</t>
        </is>
      </c>
      <c r="C272" s="93" t="n">
        <v>46277</v>
      </c>
      <c r="D272" s="87" t="inlineStr">
        <is>
          <t>N7</t>
        </is>
      </c>
      <c r="E272" s="87" t="n">
        <v>2951</v>
      </c>
      <c r="F272" s="87" t="n">
        <v>2431</v>
      </c>
      <c r="G272" s="88" t="n">
        <v>0.8237885462555066</v>
      </c>
      <c r="H272" s="87" t="n">
        <v>1251</v>
      </c>
      <c r="I272" s="89" t="n">
        <v>0.4239240935276177</v>
      </c>
      <c r="J272" s="87" t="n">
        <v>2652</v>
      </c>
      <c r="K272" s="87" t="n">
        <v>2593</v>
      </c>
      <c r="L272" s="88" t="n">
        <v>0.978</v>
      </c>
      <c r="M272" s="87" t="n">
        <v>9050</v>
      </c>
      <c r="N272" s="87" t="n">
        <v>9477</v>
      </c>
      <c r="O272" s="87" t="n">
        <v>8909</v>
      </c>
      <c r="P272" s="88" t="n">
        <v>0.9844198895027624</v>
      </c>
      <c r="Q272" s="87" t="n">
        <v>47</v>
      </c>
      <c r="R272" s="87" t="n">
        <v>0</v>
      </c>
      <c r="S272" s="87" t="n">
        <v>0</v>
      </c>
      <c r="T272" s="88" t="n">
        <v>0</v>
      </c>
      <c r="U272" s="87" t="n">
        <v>0</v>
      </c>
      <c r="V272" s="88" t="n">
        <v>0</v>
      </c>
      <c r="W272" s="87" t="n">
        <v>236</v>
      </c>
      <c r="X272" s="88" t="n">
        <v>0.07997289054557777</v>
      </c>
      <c r="Y272" s="87" t="n">
        <v>558</v>
      </c>
      <c r="Z272" s="90" t="n">
        <v>0.1890884445950525</v>
      </c>
      <c r="AA272" s="87" t="n">
        <v>4</v>
      </c>
      <c r="AB272" s="88" t="n">
        <v>0.001355472721111488</v>
      </c>
      <c r="AC272" s="87" t="n">
        <v>209</v>
      </c>
      <c r="AD272" s="88" t="n">
        <v>0.07082344967807523</v>
      </c>
      <c r="AE272" s="87" t="n">
        <v>27</v>
      </c>
      <c r="AF272" s="88" t="n">
        <v>0.1291866028708134</v>
      </c>
      <c r="AG272" s="87" t="n">
        <v>180</v>
      </c>
      <c r="AH272" s="88" t="n">
        <v>0.861244019138756</v>
      </c>
      <c r="AI272" s="91" t="n">
        <v>220</v>
      </c>
      <c r="AJ272" s="88" t="n">
        <v>0.07455099966113182</v>
      </c>
      <c r="AK272" s="91" t="n">
        <v>8</v>
      </c>
      <c r="AL272" s="88" t="n">
        <v>0.6727272727272727</v>
      </c>
      <c r="AM272" s="91" t="n">
        <v>182</v>
      </c>
      <c r="AN272" s="91" t="n">
        <v>148</v>
      </c>
      <c r="AO272" s="88" t="n">
        <v>0.05015249068112504</v>
      </c>
      <c r="AP272" s="88" t="n">
        <v>0.7081339712918661</v>
      </c>
      <c r="AQ272" s="89" t="n">
        <v>0.9895833333333334</v>
      </c>
      <c r="AR272" s="89" t="n">
        <v>0.6182795698924731</v>
      </c>
      <c r="AS272" s="89" t="n">
        <v>0.6290322580645161</v>
      </c>
      <c r="AT272" s="91" t="n">
        <v>0</v>
      </c>
      <c r="AU272" s="91" t="n">
        <v>0</v>
      </c>
      <c r="AV272" s="91" t="n">
        <v>92</v>
      </c>
      <c r="AW272" s="91" t="n">
        <v>88</v>
      </c>
      <c r="AX272" s="91" t="n">
        <v>84</v>
      </c>
      <c r="AY272" s="91" t="n">
        <v>32</v>
      </c>
      <c r="AZ272" s="88" t="n">
        <v>0.02982039986445273</v>
      </c>
      <c r="BA272" s="88" t="n">
        <v>0.02846492714334124</v>
      </c>
      <c r="BB272" s="88" t="n">
        <v>0.0108437817688919</v>
      </c>
      <c r="BC272" s="88" t="n">
        <v>0.5675675675675675</v>
      </c>
      <c r="BD272" s="91" t="n">
        <v>0</v>
      </c>
      <c r="BE272" s="91" t="n">
        <v>0</v>
      </c>
      <c r="BF272" s="89" t="n">
        <v>1</v>
      </c>
      <c r="BG272" s="89" t="n">
        <v>1</v>
      </c>
      <c r="BH272" s="89" t="inlineStr">
        <is>
          <t>-</t>
        </is>
      </c>
    </row>
    <row r="273" ht="19.55" customHeight="1">
      <c r="A273" s="92" t="n">
        <v>270</v>
      </c>
      <c r="B273" s="87" t="inlineStr">
        <is>
          <t>全国</t>
        </is>
      </c>
      <c r="C273" s="93" t="n">
        <v>46277</v>
      </c>
      <c r="D273" s="87" t="inlineStr">
        <is>
          <t>NX8</t>
        </is>
      </c>
      <c r="E273" s="87" t="n">
        <v>5895</v>
      </c>
      <c r="F273" s="87" t="n">
        <v>4859</v>
      </c>
      <c r="G273" s="88" t="n">
        <v>0.8242578456318914</v>
      </c>
      <c r="H273" s="87" t="n">
        <v>1730</v>
      </c>
      <c r="I273" s="89" t="n">
        <v>0.2934690415606446</v>
      </c>
      <c r="J273" s="87" t="n">
        <v>4153</v>
      </c>
      <c r="K273" s="87" t="n">
        <v>3980</v>
      </c>
      <c r="L273" s="88" t="n">
        <v>0.958</v>
      </c>
      <c r="M273" s="87" t="n">
        <v>22156</v>
      </c>
      <c r="N273" s="87" t="n">
        <v>23019</v>
      </c>
      <c r="O273" s="87" t="n">
        <v>21779</v>
      </c>
      <c r="P273" s="88" t="n">
        <v>0.9829842931937173</v>
      </c>
      <c r="Q273" s="87" t="n">
        <v>136</v>
      </c>
      <c r="R273" s="87" t="n">
        <v>0</v>
      </c>
      <c r="S273" s="87" t="n">
        <v>0</v>
      </c>
      <c r="T273" s="88" t="n">
        <v>0</v>
      </c>
      <c r="U273" s="87" t="n">
        <v>0</v>
      </c>
      <c r="V273" s="88" t="n">
        <v>0</v>
      </c>
      <c r="W273" s="87" t="n">
        <v>694</v>
      </c>
      <c r="X273" s="88" t="n">
        <v>0.117726887192536</v>
      </c>
      <c r="Y273" s="87" t="n">
        <v>2204</v>
      </c>
      <c r="Z273" s="90" t="n">
        <v>0.3738761662425785</v>
      </c>
      <c r="AA273" s="87" t="n">
        <v>4</v>
      </c>
      <c r="AB273" s="88" t="n">
        <v>0.0006785411365564037</v>
      </c>
      <c r="AC273" s="87" t="n">
        <v>753</v>
      </c>
      <c r="AD273" s="88" t="n">
        <v>0.127735368956743</v>
      </c>
      <c r="AE273" s="87" t="n">
        <v>136</v>
      </c>
      <c r="AF273" s="88" t="n">
        <v>0.1806108897742364</v>
      </c>
      <c r="AG273" s="87" t="n">
        <v>597</v>
      </c>
      <c r="AH273" s="88" t="n">
        <v>0.7928286852589641</v>
      </c>
      <c r="AI273" s="91" t="n">
        <v>694</v>
      </c>
      <c r="AJ273" s="88" t="n">
        <v>0.117726887192536</v>
      </c>
      <c r="AK273" s="91" t="n">
        <v>25</v>
      </c>
      <c r="AL273" s="88" t="n">
        <v>0.8141210374639769</v>
      </c>
      <c r="AM273" s="91" t="n">
        <v>637</v>
      </c>
      <c r="AN273" s="91" t="n">
        <v>565</v>
      </c>
      <c r="AO273" s="88" t="n">
        <v>0.09584393553859202</v>
      </c>
      <c r="AP273" s="88" t="n">
        <v>0.750332005312085</v>
      </c>
      <c r="AQ273" s="89" t="n">
        <v>0.9920634920634921</v>
      </c>
      <c r="AR273" s="89" t="n">
        <v>0.6346749226006192</v>
      </c>
      <c r="AS273" s="89" t="n">
        <v>0.6408668730650154</v>
      </c>
      <c r="AT273" s="91" t="n">
        <v>0</v>
      </c>
      <c r="AU273" s="91" t="n">
        <v>0</v>
      </c>
      <c r="AV273" s="91" t="n">
        <v>159</v>
      </c>
      <c r="AW273" s="91" t="n">
        <v>156</v>
      </c>
      <c r="AX273" s="91" t="n">
        <v>155</v>
      </c>
      <c r="AY273" s="91" t="n">
        <v>77</v>
      </c>
      <c r="AZ273" s="88" t="n">
        <v>0.02646310432569975</v>
      </c>
      <c r="BA273" s="88" t="n">
        <v>0.02629346904156064</v>
      </c>
      <c r="BB273" s="88" t="n">
        <v>0.01306191687871077</v>
      </c>
      <c r="BC273" s="88" t="n">
        <v>0.2743362831858407</v>
      </c>
      <c r="BD273" s="91" t="n">
        <v>0</v>
      </c>
      <c r="BE273" s="91" t="n">
        <v>0</v>
      </c>
      <c r="BF273" s="89" t="n">
        <v>1</v>
      </c>
      <c r="BG273" s="89" t="n">
        <v>1</v>
      </c>
      <c r="BH273" s="89" t="inlineStr">
        <is>
          <t>-</t>
        </is>
      </c>
    </row>
    <row r="274" ht="19.55" customHeight="1">
      <c r="A274" s="92" t="n">
        <v>271</v>
      </c>
      <c r="B274" s="87" t="inlineStr">
        <is>
          <t>全国</t>
        </is>
      </c>
      <c r="C274" s="93" t="n">
        <v>46277</v>
      </c>
      <c r="D274" s="87" t="inlineStr">
        <is>
          <t>天籁·鸿蒙座舱</t>
        </is>
      </c>
      <c r="E274" s="87" t="n">
        <v>4243</v>
      </c>
      <c r="F274" s="87" t="n">
        <v>3747</v>
      </c>
      <c r="G274" s="88" t="n">
        <v>0.8831015790714117</v>
      </c>
      <c r="H274" s="87" t="n">
        <v>2161</v>
      </c>
      <c r="I274" s="89" t="n">
        <v>0.5093094508602404</v>
      </c>
      <c r="J274" s="87" t="n">
        <v>4565</v>
      </c>
      <c r="K274" s="87" t="n">
        <v>4481</v>
      </c>
      <c r="L274" s="88" t="n">
        <v>0.982</v>
      </c>
      <c r="M274" s="87" t="n">
        <v>21599</v>
      </c>
      <c r="N274" s="87" t="n">
        <v>22158</v>
      </c>
      <c r="O274" s="87" t="n">
        <v>21356</v>
      </c>
      <c r="P274" s="88" t="n">
        <v>0.9887494791425528</v>
      </c>
      <c r="Q274" s="87" t="n">
        <v>82</v>
      </c>
      <c r="R274" s="87" t="n">
        <v>0</v>
      </c>
      <c r="S274" s="87" t="n">
        <v>0</v>
      </c>
      <c r="T274" s="88" t="n">
        <v>0</v>
      </c>
      <c r="U274" s="87" t="n">
        <v>0</v>
      </c>
      <c r="V274" s="88" t="n">
        <v>0</v>
      </c>
      <c r="W274" s="87" t="n">
        <v>430</v>
      </c>
      <c r="X274" s="88" t="n">
        <v>0.1013433891114777</v>
      </c>
      <c r="Y274" s="87" t="n">
        <v>986</v>
      </c>
      <c r="Z274" s="90" t="n">
        <v>0.232382748055621</v>
      </c>
      <c r="AA274" s="87" t="n">
        <v>12</v>
      </c>
      <c r="AB274" s="88" t="n">
        <v>0.002828187603111006</v>
      </c>
      <c r="AC274" s="87" t="n">
        <v>301</v>
      </c>
      <c r="AD274" s="88" t="n">
        <v>0.07094037237803441</v>
      </c>
      <c r="AE274" s="87" t="n">
        <v>47</v>
      </c>
      <c r="AF274" s="88" t="n">
        <v>0.1561461794019934</v>
      </c>
      <c r="AG274" s="87" t="n">
        <v>251</v>
      </c>
      <c r="AH274" s="88" t="n">
        <v>0.8338870431893688</v>
      </c>
      <c r="AI274" s="91" t="n">
        <v>279</v>
      </c>
      <c r="AJ274" s="88" t="n">
        <v>0.06575536177233089</v>
      </c>
      <c r="AK274" s="91" t="n">
        <v>14</v>
      </c>
      <c r="AL274" s="88" t="n">
        <v>0.7562724014336918</v>
      </c>
      <c r="AM274" s="91" t="n">
        <v>239</v>
      </c>
      <c r="AN274" s="91" t="n">
        <v>211</v>
      </c>
      <c r="AO274" s="88" t="n">
        <v>0.04972896535470187</v>
      </c>
      <c r="AP274" s="88" t="n">
        <v>0.7009966777408638</v>
      </c>
      <c r="AQ274" s="89" t="n">
        <v>0.9763779527559056</v>
      </c>
      <c r="AR274" s="89" t="n">
        <v>0.53125</v>
      </c>
      <c r="AS274" s="89" t="n">
        <v>0.5234375</v>
      </c>
      <c r="AT274" s="91" t="n">
        <v>0</v>
      </c>
      <c r="AU274" s="91" t="n">
        <v>0</v>
      </c>
      <c r="AV274" s="91" t="n">
        <v>106</v>
      </c>
      <c r="AW274" s="91" t="n">
        <v>104</v>
      </c>
      <c r="AX274" s="91" t="n">
        <v>98</v>
      </c>
      <c r="AY274" s="91" t="n">
        <v>51</v>
      </c>
      <c r="AZ274" s="88" t="n">
        <v>0.02451095922696206</v>
      </c>
      <c r="BA274" s="88" t="n">
        <v>0.02309686542540655</v>
      </c>
      <c r="BB274" s="88" t="n">
        <v>0.01201979731322178</v>
      </c>
      <c r="BC274" s="88" t="n">
        <v>0.4644549763033176</v>
      </c>
      <c r="BD274" s="91" t="n">
        <v>0</v>
      </c>
      <c r="BE274" s="91" t="n">
        <v>0</v>
      </c>
      <c r="BF274" s="89" t="n">
        <v>1</v>
      </c>
      <c r="BG274" s="89" t="n">
        <v>1</v>
      </c>
      <c r="BH274" s="89" t="inlineStr">
        <is>
          <t>-</t>
        </is>
      </c>
    </row>
    <row r="275" ht="19.55" customHeight="1">
      <c r="A275" s="92" t="n">
        <v>272</v>
      </c>
      <c r="B275" s="87" t="inlineStr">
        <is>
          <t>全国</t>
        </is>
      </c>
      <c r="C275" s="93" t="n">
        <v>46278</v>
      </c>
      <c r="D275" s="87" t="n"/>
      <c r="E275" s="87" t="n">
        <v>93</v>
      </c>
      <c r="F275" s="87" t="n">
        <v>93</v>
      </c>
      <c r="G275" s="88" t="n">
        <v>1</v>
      </c>
      <c r="H275" s="87" t="n">
        <v>93</v>
      </c>
      <c r="I275" s="89" t="n">
        <v>1</v>
      </c>
      <c r="J275" s="87" t="n">
        <v>1</v>
      </c>
      <c r="K275" s="87" t="n">
        <v>0</v>
      </c>
      <c r="L275" s="88" t="n">
        <v>0</v>
      </c>
      <c r="M275" s="87" t="n">
        <v>5</v>
      </c>
      <c r="N275" s="87" t="n">
        <v>0</v>
      </c>
      <c r="O275" s="87" t="n">
        <v>0</v>
      </c>
      <c r="P275" s="88" t="n">
        <v>0</v>
      </c>
      <c r="Q275" s="87" t="n">
        <v>5</v>
      </c>
      <c r="R275" s="87" t="n">
        <v>0</v>
      </c>
      <c r="S275" s="87" t="n">
        <v>0</v>
      </c>
      <c r="T275" s="88" t="n">
        <v>0</v>
      </c>
      <c r="U275" s="87" t="n">
        <v>0</v>
      </c>
      <c r="V275" s="88" t="n">
        <v>0</v>
      </c>
      <c r="W275" s="87" t="n">
        <v>19</v>
      </c>
      <c r="X275" s="88" t="n">
        <v>0.2043010752688172</v>
      </c>
      <c r="Y275" s="87" t="n">
        <v>8</v>
      </c>
      <c r="Z275" s="90" t="n">
        <v>0.08602150537634409</v>
      </c>
      <c r="AA275" s="87" t="n">
        <v>0</v>
      </c>
      <c r="AB275" s="88" t="n">
        <v>0</v>
      </c>
      <c r="AC275" s="87" t="n">
        <v>0</v>
      </c>
      <c r="AD275" s="88" t="n">
        <v>0</v>
      </c>
      <c r="AE275" s="87" t="n">
        <v>0</v>
      </c>
      <c r="AF275" s="88" t="n">
        <v>0</v>
      </c>
      <c r="AG275" s="87" t="n">
        <v>0</v>
      </c>
      <c r="AH275" s="88" t="n">
        <v>0</v>
      </c>
      <c r="AI275" s="91" t="n">
        <v>0</v>
      </c>
      <c r="AJ275" s="88" t="n">
        <v>0</v>
      </c>
      <c r="AK275" s="91" t="n">
        <v>0</v>
      </c>
      <c r="AL275" s="88" t="n">
        <v>0</v>
      </c>
      <c r="AM275" s="91" t="n">
        <v>0</v>
      </c>
      <c r="AN275" s="91" t="n">
        <v>0</v>
      </c>
      <c r="AO275" s="88" t="n">
        <v>0</v>
      </c>
      <c r="AP275" s="88" t="n">
        <v>0</v>
      </c>
      <c r="AQ275" s="89" t="n">
        <v>0</v>
      </c>
      <c r="AR275" s="89" t="n">
        <v>0</v>
      </c>
      <c r="AS275" s="89" t="n">
        <v>0</v>
      </c>
      <c r="AT275" s="91" t="n">
        <v>0</v>
      </c>
      <c r="AU275" s="91" t="n">
        <v>0</v>
      </c>
      <c r="AV275" s="91" t="n">
        <v>0</v>
      </c>
      <c r="AW275" s="91" t="n">
        <v>0</v>
      </c>
      <c r="AX275" s="91" t="n">
        <v>0</v>
      </c>
      <c r="AY275" s="91" t="n">
        <v>0</v>
      </c>
      <c r="AZ275" s="88" t="n">
        <v>0</v>
      </c>
      <c r="BA275" s="88" t="n">
        <v>0</v>
      </c>
      <c r="BB275" s="88" t="n">
        <v>0</v>
      </c>
      <c r="BC275" s="88" t="n">
        <v>0</v>
      </c>
      <c r="BD275" s="91" t="n">
        <v>0</v>
      </c>
      <c r="BE275" s="91" t="n">
        <v>1</v>
      </c>
      <c r="BF275" s="89" t="inlineStr">
        <is>
          <t>-</t>
        </is>
      </c>
      <c r="BG275" s="89" t="inlineStr">
        <is>
          <t>-</t>
        </is>
      </c>
      <c r="BH275" s="89" t="n">
        <v>0.96</v>
      </c>
    </row>
    <row r="276" ht="19.55" customHeight="1">
      <c r="A276" s="92" t="n">
        <v>273</v>
      </c>
      <c r="B276" s="87" t="inlineStr">
        <is>
          <t>全国</t>
        </is>
      </c>
      <c r="C276" s="93" t="n">
        <v>46278</v>
      </c>
      <c r="D276" s="87" t="inlineStr">
        <is>
          <t>2026款探陆</t>
        </is>
      </c>
      <c r="E276" s="87" t="n">
        <v>79</v>
      </c>
      <c r="F276" s="87" t="n">
        <v>75</v>
      </c>
      <c r="G276" s="88" t="n">
        <v>0.9493670886075949</v>
      </c>
      <c r="H276" s="87" t="n">
        <v>61</v>
      </c>
      <c r="I276" s="89" t="n">
        <v>0.7721518987341772</v>
      </c>
      <c r="J276" s="87" t="n">
        <v>161</v>
      </c>
      <c r="K276" s="87" t="n">
        <v>78</v>
      </c>
      <c r="L276" s="88" t="n">
        <v>0.484</v>
      </c>
      <c r="M276" s="87" t="n">
        <v>714</v>
      </c>
      <c r="N276" s="87" t="n">
        <v>661</v>
      </c>
      <c r="O276" s="87" t="n">
        <v>530</v>
      </c>
      <c r="P276" s="88" t="n">
        <v>0.742296918767507</v>
      </c>
      <c r="Q276" s="87" t="n">
        <v>96</v>
      </c>
      <c r="R276" s="87" t="n">
        <v>0</v>
      </c>
      <c r="S276" s="87" t="n">
        <v>0</v>
      </c>
      <c r="T276" s="88" t="n">
        <v>0</v>
      </c>
      <c r="U276" s="87" t="n">
        <v>0</v>
      </c>
      <c r="V276" s="88" t="n">
        <v>0</v>
      </c>
      <c r="W276" s="87" t="n">
        <v>10</v>
      </c>
      <c r="X276" s="88" t="n">
        <v>0.1265822784810127</v>
      </c>
      <c r="Y276" s="87" t="n">
        <v>27</v>
      </c>
      <c r="Z276" s="90" t="n">
        <v>0.3417721518987342</v>
      </c>
      <c r="AA276" s="87" t="n">
        <v>55</v>
      </c>
      <c r="AB276" s="88" t="n">
        <v>0.6962025316455697</v>
      </c>
      <c r="AC276" s="87" t="n">
        <v>4</v>
      </c>
      <c r="AD276" s="88" t="n">
        <v>0.05063291139240506</v>
      </c>
      <c r="AE276" s="87" t="n">
        <v>0</v>
      </c>
      <c r="AF276" s="88" t="n">
        <v>0</v>
      </c>
      <c r="AG276" s="87" t="n">
        <v>3</v>
      </c>
      <c r="AH276" s="88" t="n">
        <v>0.75</v>
      </c>
      <c r="AI276" s="91" t="n">
        <v>0</v>
      </c>
      <c r="AJ276" s="88" t="n">
        <v>0</v>
      </c>
      <c r="AK276" s="91" t="n">
        <v>0</v>
      </c>
      <c r="AL276" s="88" t="n">
        <v>0</v>
      </c>
      <c r="AM276" s="91" t="n">
        <v>0</v>
      </c>
      <c r="AN276" s="91" t="n">
        <v>0</v>
      </c>
      <c r="AO276" s="88" t="n">
        <v>0</v>
      </c>
      <c r="AP276" s="88" t="n">
        <v>0</v>
      </c>
      <c r="AQ276" s="89" t="n">
        <v>1</v>
      </c>
      <c r="AR276" s="89" t="n">
        <v>0.5</v>
      </c>
      <c r="AS276" s="89" t="n">
        <v>0.5</v>
      </c>
      <c r="AT276" s="91" t="n">
        <v>0</v>
      </c>
      <c r="AU276" s="91" t="n">
        <v>0</v>
      </c>
      <c r="AV276" s="91" t="n">
        <v>4</v>
      </c>
      <c r="AW276" s="91" t="n">
        <v>4</v>
      </c>
      <c r="AX276" s="91" t="n">
        <v>4</v>
      </c>
      <c r="AY276" s="91" t="n">
        <v>0</v>
      </c>
      <c r="AZ276" s="88" t="n">
        <v>0.05063291139240506</v>
      </c>
      <c r="BA276" s="88" t="n">
        <v>0.05063291139240506</v>
      </c>
      <c r="BB276" s="88" t="n">
        <v>0</v>
      </c>
      <c r="BC276" s="88" t="n">
        <v>0</v>
      </c>
      <c r="BD276" s="91" t="n">
        <v>0</v>
      </c>
      <c r="BE276" s="91" t="n">
        <v>0</v>
      </c>
      <c r="BF276" s="89" t="inlineStr">
        <is>
          <t>-</t>
        </is>
      </c>
      <c r="BG276" s="89" t="n">
        <v>1</v>
      </c>
      <c r="BH276" s="89" t="inlineStr">
        <is>
          <t>-</t>
        </is>
      </c>
    </row>
    <row r="277" ht="19.55" customHeight="1">
      <c r="A277" s="92" t="n">
        <v>274</v>
      </c>
      <c r="B277" s="87" t="inlineStr">
        <is>
          <t>全国</t>
        </is>
      </c>
      <c r="C277" s="93" t="n">
        <v>46278</v>
      </c>
      <c r="D277" s="87" t="inlineStr">
        <is>
          <t>N6</t>
        </is>
      </c>
      <c r="E277" s="87" t="n">
        <v>1982</v>
      </c>
      <c r="F277" s="87" t="n">
        <v>1724</v>
      </c>
      <c r="G277" s="88" t="n">
        <v>0.8698284561049445</v>
      </c>
      <c r="H277" s="87" t="n">
        <v>632</v>
      </c>
      <c r="I277" s="89" t="n">
        <v>0.318869828456105</v>
      </c>
      <c r="J277" s="87" t="n">
        <v>1945</v>
      </c>
      <c r="K277" s="87" t="n">
        <v>1902</v>
      </c>
      <c r="L277" s="88" t="n">
        <v>0.978</v>
      </c>
      <c r="M277" s="87" t="n">
        <v>7969</v>
      </c>
      <c r="N277" s="87" t="n">
        <v>8021</v>
      </c>
      <c r="O277" s="87" t="n">
        <v>7815</v>
      </c>
      <c r="P277" s="88" t="n">
        <v>0.9806751160747899</v>
      </c>
      <c r="Q277" s="87" t="n">
        <v>38</v>
      </c>
      <c r="R277" s="87" t="n">
        <v>0</v>
      </c>
      <c r="S277" s="87" t="n">
        <v>0</v>
      </c>
      <c r="T277" s="88" t="n">
        <v>0</v>
      </c>
      <c r="U277" s="87" t="n">
        <v>0</v>
      </c>
      <c r="V277" s="88" t="n">
        <v>0</v>
      </c>
      <c r="W277" s="87" t="n">
        <v>172</v>
      </c>
      <c r="X277" s="88" t="n">
        <v>0.08678102926337034</v>
      </c>
      <c r="Y277" s="87" t="n">
        <v>305</v>
      </c>
      <c r="Z277" s="90" t="n">
        <v>0.1538849646821392</v>
      </c>
      <c r="AA277" s="87" t="n">
        <v>6</v>
      </c>
      <c r="AB277" s="88" t="n">
        <v>0.003027245206861756</v>
      </c>
      <c r="AC277" s="87" t="n">
        <v>183</v>
      </c>
      <c r="AD277" s="88" t="n">
        <v>0.09233097880928355</v>
      </c>
      <c r="AE277" s="87" t="n">
        <v>36</v>
      </c>
      <c r="AF277" s="88" t="n">
        <v>0.1967213114754098</v>
      </c>
      <c r="AG277" s="87" t="n">
        <v>155</v>
      </c>
      <c r="AH277" s="88" t="n">
        <v>0.8469945355191257</v>
      </c>
      <c r="AI277" s="91" t="n">
        <v>203</v>
      </c>
      <c r="AJ277" s="88" t="n">
        <v>0.1024217961654894</v>
      </c>
      <c r="AK277" s="91" t="n">
        <v>6</v>
      </c>
      <c r="AL277" s="88" t="n">
        <v>0.7142857142857143</v>
      </c>
      <c r="AM277" s="91" t="n">
        <v>178</v>
      </c>
      <c r="AN277" s="91" t="n">
        <v>145</v>
      </c>
      <c r="AO277" s="88" t="n">
        <v>0.07315842583249244</v>
      </c>
      <c r="AP277" s="88" t="n">
        <v>0.7923497267759563</v>
      </c>
      <c r="AQ277" s="89" t="n">
        <v>0.9461538461538461</v>
      </c>
      <c r="AR277" s="89" t="n">
        <v>0.5767195767195767</v>
      </c>
      <c r="AS277" s="89" t="n">
        <v>0.5873015873015873</v>
      </c>
      <c r="AT277" s="91" t="n">
        <v>0</v>
      </c>
      <c r="AU277" s="91" t="n">
        <v>0</v>
      </c>
      <c r="AV277" s="91" t="n">
        <v>337</v>
      </c>
      <c r="AW277" s="91" t="n">
        <v>331</v>
      </c>
      <c r="AX277" s="91" t="n">
        <v>317</v>
      </c>
      <c r="AY277" s="91" t="n">
        <v>27</v>
      </c>
      <c r="AZ277" s="88" t="n">
        <v>0.1670030272452069</v>
      </c>
      <c r="BA277" s="88" t="n">
        <v>0.1599394550958628</v>
      </c>
      <c r="BB277" s="88" t="n">
        <v>0.0136226034308779</v>
      </c>
      <c r="BC277" s="88" t="n">
        <v>2.186206896551724</v>
      </c>
      <c r="BD277" s="91" t="n">
        <v>0</v>
      </c>
      <c r="BE277" s="91" t="n">
        <v>0</v>
      </c>
      <c r="BF277" s="89" t="n">
        <v>1</v>
      </c>
      <c r="BG277" s="89" t="n">
        <v>1</v>
      </c>
      <c r="BH277" s="89" t="inlineStr">
        <is>
          <t>-</t>
        </is>
      </c>
    </row>
    <row r="278" ht="19.55" customHeight="1">
      <c r="A278" s="92" t="n">
        <v>275</v>
      </c>
      <c r="B278" s="87" t="inlineStr">
        <is>
          <t>全国</t>
        </is>
      </c>
      <c r="C278" s="93" t="n">
        <v>46278</v>
      </c>
      <c r="D278" s="87" t="inlineStr">
        <is>
          <t>N7</t>
        </is>
      </c>
      <c r="E278" s="87" t="n">
        <v>3159</v>
      </c>
      <c r="F278" s="87" t="n">
        <v>2694</v>
      </c>
      <c r="G278" s="88" t="n">
        <v>0.8528015194681862</v>
      </c>
      <c r="H278" s="87" t="n">
        <v>1393</v>
      </c>
      <c r="I278" s="89" t="n">
        <v>0.4409623298512187</v>
      </c>
      <c r="J278" s="87" t="n">
        <v>3027</v>
      </c>
      <c r="K278" s="87" t="n">
        <v>2966</v>
      </c>
      <c r="L278" s="88" t="n">
        <v>0.98</v>
      </c>
      <c r="M278" s="87" t="n">
        <v>9825</v>
      </c>
      <c r="N278" s="87" t="n">
        <v>9579</v>
      </c>
      <c r="O278" s="87" t="n">
        <v>9622</v>
      </c>
      <c r="P278" s="88" t="n">
        <v>0.9793384223918575</v>
      </c>
      <c r="Q278" s="87" t="n">
        <v>30</v>
      </c>
      <c r="R278" s="87" t="n">
        <v>0</v>
      </c>
      <c r="S278" s="87" t="n">
        <v>0</v>
      </c>
      <c r="T278" s="88" t="n">
        <v>0</v>
      </c>
      <c r="U278" s="87" t="n">
        <v>0</v>
      </c>
      <c r="V278" s="88" t="n">
        <v>0</v>
      </c>
      <c r="W278" s="87" t="n">
        <v>198</v>
      </c>
      <c r="X278" s="88" t="n">
        <v>0.06267806267806268</v>
      </c>
      <c r="Y278" s="87" t="n">
        <v>455</v>
      </c>
      <c r="Z278" s="90" t="n">
        <v>0.1440329218106996</v>
      </c>
      <c r="AA278" s="87" t="n">
        <v>0</v>
      </c>
      <c r="AB278" s="88" t="n">
        <v>0</v>
      </c>
      <c r="AC278" s="87" t="n">
        <v>172</v>
      </c>
      <c r="AD278" s="88" t="n">
        <v>0.05444761000316556</v>
      </c>
      <c r="AE278" s="87" t="n">
        <v>32</v>
      </c>
      <c r="AF278" s="88" t="n">
        <v>0.186046511627907</v>
      </c>
      <c r="AG278" s="87" t="n">
        <v>136</v>
      </c>
      <c r="AH278" s="88" t="n">
        <v>0.7906976744186046</v>
      </c>
      <c r="AI278" s="91" t="n">
        <v>176</v>
      </c>
      <c r="AJ278" s="88" t="n">
        <v>0.05571383349161127</v>
      </c>
      <c r="AK278" s="91" t="n">
        <v>9</v>
      </c>
      <c r="AL278" s="88" t="n">
        <v>0.6988636363636364</v>
      </c>
      <c r="AM278" s="91" t="n">
        <v>143</v>
      </c>
      <c r="AN278" s="91" t="n">
        <v>123</v>
      </c>
      <c r="AO278" s="88" t="n">
        <v>0.0389363722697056</v>
      </c>
      <c r="AP278" s="88" t="n">
        <v>0.7151162790697675</v>
      </c>
      <c r="AQ278" s="89" t="n">
        <v>0.9550561797752809</v>
      </c>
      <c r="AR278" s="89" t="n">
        <v>0.5987654320987654</v>
      </c>
      <c r="AS278" s="89" t="n">
        <v>0.6728395061728395</v>
      </c>
      <c r="AT278" s="91" t="n">
        <v>0</v>
      </c>
      <c r="AU278" s="91" t="n">
        <v>0</v>
      </c>
      <c r="AV278" s="91" t="n">
        <v>113</v>
      </c>
      <c r="AW278" s="91" t="n">
        <v>107</v>
      </c>
      <c r="AX278" s="91" t="n">
        <v>67</v>
      </c>
      <c r="AY278" s="91" t="n">
        <v>16</v>
      </c>
      <c r="AZ278" s="88" t="n">
        <v>0.03387147831592276</v>
      </c>
      <c r="BA278" s="88" t="n">
        <v>0.02120924343146565</v>
      </c>
      <c r="BB278" s="88" t="n">
        <v>0.005064893953782843</v>
      </c>
      <c r="BC278" s="88" t="n">
        <v>0.5447154471544715</v>
      </c>
      <c r="BD278" s="91" t="n">
        <v>0</v>
      </c>
      <c r="BE278" s="91" t="n">
        <v>0</v>
      </c>
      <c r="BF278" s="89" t="n">
        <v>0.9848484848484849</v>
      </c>
      <c r="BG278" s="89" t="n">
        <v>1</v>
      </c>
      <c r="BH278" s="89" t="inlineStr">
        <is>
          <t>-</t>
        </is>
      </c>
    </row>
    <row r="279" ht="19.55" customHeight="1">
      <c r="A279" s="92" t="n">
        <v>276</v>
      </c>
      <c r="B279" s="87" t="inlineStr">
        <is>
          <t>全国</t>
        </is>
      </c>
      <c r="C279" s="93" t="n">
        <v>46278</v>
      </c>
      <c r="D279" s="87" t="inlineStr">
        <is>
          <t>NX8</t>
        </is>
      </c>
      <c r="E279" s="87" t="n">
        <v>5784</v>
      </c>
      <c r="F279" s="87" t="n">
        <v>4963</v>
      </c>
      <c r="G279" s="88" t="n">
        <v>0.8580567081604425</v>
      </c>
      <c r="H279" s="87" t="n">
        <v>1614</v>
      </c>
      <c r="I279" s="89" t="n">
        <v>0.279045643153527</v>
      </c>
      <c r="J279" s="87" t="n">
        <v>5656</v>
      </c>
      <c r="K279" s="87" t="n">
        <v>5504</v>
      </c>
      <c r="L279" s="88" t="n">
        <v>0.973</v>
      </c>
      <c r="M279" s="87" t="n">
        <v>23395</v>
      </c>
      <c r="N279" s="87" t="n">
        <v>23103</v>
      </c>
      <c r="O279" s="87" t="n">
        <v>22853</v>
      </c>
      <c r="P279" s="88" t="n">
        <v>0.976832656550545</v>
      </c>
      <c r="Q279" s="87" t="n">
        <v>160</v>
      </c>
      <c r="R279" s="87" t="n">
        <v>0</v>
      </c>
      <c r="S279" s="87" t="n">
        <v>0</v>
      </c>
      <c r="T279" s="88" t="n">
        <v>0</v>
      </c>
      <c r="U279" s="87" t="n">
        <v>0</v>
      </c>
      <c r="V279" s="88" t="n">
        <v>0</v>
      </c>
      <c r="W279" s="87" t="n">
        <v>481</v>
      </c>
      <c r="X279" s="88" t="n">
        <v>0.08316044260027662</v>
      </c>
      <c r="Y279" s="87" t="n">
        <v>2115</v>
      </c>
      <c r="Z279" s="90" t="n">
        <v>0.3656639004149377</v>
      </c>
      <c r="AA279" s="87" t="n">
        <v>7</v>
      </c>
      <c r="AB279" s="88" t="n">
        <v>0.001210235131396957</v>
      </c>
      <c r="AC279" s="87" t="n">
        <v>653</v>
      </c>
      <c r="AD279" s="88" t="n">
        <v>0.1128976486860304</v>
      </c>
      <c r="AE279" s="87" t="n">
        <v>141</v>
      </c>
      <c r="AF279" s="88" t="n">
        <v>0.2159264931087289</v>
      </c>
      <c r="AG279" s="87" t="n">
        <v>533</v>
      </c>
      <c r="AH279" s="88" t="n">
        <v>0.8162327718223583</v>
      </c>
      <c r="AI279" s="91" t="n">
        <v>669</v>
      </c>
      <c r="AJ279" s="88" t="n">
        <v>0.1156639004149378</v>
      </c>
      <c r="AK279" s="91" t="n">
        <v>33</v>
      </c>
      <c r="AL279" s="88" t="n">
        <v>0.7653213751868461</v>
      </c>
      <c r="AM279" s="91" t="n">
        <v>589</v>
      </c>
      <c r="AN279" s="91" t="n">
        <v>512</v>
      </c>
      <c r="AO279" s="88" t="n">
        <v>0.08852005532503458</v>
      </c>
      <c r="AP279" s="88" t="n">
        <v>0.7840735068912711</v>
      </c>
      <c r="AQ279" s="89" t="n">
        <v>0.9662379421221865</v>
      </c>
      <c r="AR279" s="89" t="n">
        <v>0.6783333333333333</v>
      </c>
      <c r="AS279" s="89" t="n">
        <v>0.67</v>
      </c>
      <c r="AT279" s="91" t="n">
        <v>0</v>
      </c>
      <c r="AU279" s="91" t="n">
        <v>0</v>
      </c>
      <c r="AV279" s="91" t="n">
        <v>253</v>
      </c>
      <c r="AW279" s="91" t="n">
        <v>249</v>
      </c>
      <c r="AX279" s="91" t="n">
        <v>210</v>
      </c>
      <c r="AY279" s="91" t="n">
        <v>46</v>
      </c>
      <c r="AZ279" s="88" t="n">
        <v>0.04304979253112033</v>
      </c>
      <c r="BA279" s="88" t="n">
        <v>0.03630705394190872</v>
      </c>
      <c r="BB279" s="88" t="n">
        <v>0.007952973720608575</v>
      </c>
      <c r="BC279" s="88" t="n">
        <v>0.41015625</v>
      </c>
      <c r="BD279" s="91" t="n">
        <v>0</v>
      </c>
      <c r="BE279" s="91" t="n">
        <v>0</v>
      </c>
      <c r="BF279" s="89" t="n">
        <v>0.9889705882352942</v>
      </c>
      <c r="BG279" s="89" t="n">
        <v>1</v>
      </c>
      <c r="BH279" s="89" t="inlineStr">
        <is>
          <t>-</t>
        </is>
      </c>
    </row>
    <row r="280" ht="19.55" customHeight="1">
      <c r="A280" s="92" t="n">
        <v>277</v>
      </c>
      <c r="B280" s="87" t="inlineStr">
        <is>
          <t>全国</t>
        </is>
      </c>
      <c r="C280" s="93" t="n">
        <v>46278</v>
      </c>
      <c r="D280" s="87" t="inlineStr">
        <is>
          <t>天籁·鸿蒙座舱</t>
        </is>
      </c>
      <c r="E280" s="87" t="n">
        <v>4466</v>
      </c>
      <c r="F280" s="87" t="n">
        <v>4003</v>
      </c>
      <c r="G280" s="88" t="n">
        <v>0.8963278101209136</v>
      </c>
      <c r="H280" s="87" t="n">
        <v>2421</v>
      </c>
      <c r="I280" s="89" t="n">
        <v>0.5420958351992835</v>
      </c>
      <c r="J280" s="87" t="n">
        <v>5996</v>
      </c>
      <c r="K280" s="87" t="n">
        <v>5880</v>
      </c>
      <c r="L280" s="88" t="n">
        <v>0.981</v>
      </c>
      <c r="M280" s="87" t="n">
        <v>23258</v>
      </c>
      <c r="N280" s="87" t="n">
        <v>22970</v>
      </c>
      <c r="O280" s="87" t="n">
        <v>22864</v>
      </c>
      <c r="P280" s="88" t="n">
        <v>0.9830595923983145</v>
      </c>
      <c r="Q280" s="87" t="n">
        <v>75</v>
      </c>
      <c r="R280" s="87" t="n">
        <v>0</v>
      </c>
      <c r="S280" s="87" t="n">
        <v>0</v>
      </c>
      <c r="T280" s="88" t="n">
        <v>0</v>
      </c>
      <c r="U280" s="87" t="n">
        <v>0</v>
      </c>
      <c r="V280" s="88" t="n">
        <v>0</v>
      </c>
      <c r="W280" s="87" t="n">
        <v>299</v>
      </c>
      <c r="X280" s="88" t="n">
        <v>0.06695029108822212</v>
      </c>
      <c r="Y280" s="87" t="n">
        <v>767</v>
      </c>
      <c r="Z280" s="90" t="n">
        <v>0.1717420510523959</v>
      </c>
      <c r="AA280" s="87" t="n">
        <v>12</v>
      </c>
      <c r="AB280" s="88" t="n">
        <v>0.002686968204209583</v>
      </c>
      <c r="AC280" s="87" t="n">
        <v>384</v>
      </c>
      <c r="AD280" s="88" t="n">
        <v>0.08598298253470667</v>
      </c>
      <c r="AE280" s="87" t="n">
        <v>36</v>
      </c>
      <c r="AF280" s="88" t="n">
        <v>0.09375</v>
      </c>
      <c r="AG280" s="87" t="n">
        <v>317</v>
      </c>
      <c r="AH280" s="88" t="n">
        <v>0.8255208333333334</v>
      </c>
      <c r="AI280" s="91" t="n">
        <v>339</v>
      </c>
      <c r="AJ280" s="88" t="n">
        <v>0.07590685176892073</v>
      </c>
      <c r="AK280" s="91" t="n">
        <v>13</v>
      </c>
      <c r="AL280" s="88" t="n">
        <v>0.7522123893805309</v>
      </c>
      <c r="AM280" s="91" t="n">
        <v>285</v>
      </c>
      <c r="AN280" s="91" t="n">
        <v>255</v>
      </c>
      <c r="AO280" s="88" t="n">
        <v>0.05709807433945365</v>
      </c>
      <c r="AP280" s="88" t="n">
        <v>0.6640625</v>
      </c>
      <c r="AQ280" s="89" t="n">
        <v>0.9692982456140351</v>
      </c>
      <c r="AR280" s="89" t="n">
        <v>0.5373665480427047</v>
      </c>
      <c r="AS280" s="89" t="n">
        <v>0.5231316725978647</v>
      </c>
      <c r="AT280" s="91" t="n">
        <v>0</v>
      </c>
      <c r="AU280" s="91" t="n">
        <v>0</v>
      </c>
      <c r="AV280" s="91" t="n">
        <v>118</v>
      </c>
      <c r="AW280" s="91" t="n">
        <v>113</v>
      </c>
      <c r="AX280" s="91" t="n">
        <v>113</v>
      </c>
      <c r="AY280" s="91" t="n">
        <v>32</v>
      </c>
      <c r="AZ280" s="88" t="n">
        <v>0.02530228392297358</v>
      </c>
      <c r="BA280" s="88" t="n">
        <v>0.02530228392297358</v>
      </c>
      <c r="BB280" s="88" t="n">
        <v>0.007165248544558889</v>
      </c>
      <c r="BC280" s="88" t="n">
        <v>0.4431372549019608</v>
      </c>
      <c r="BD280" s="91" t="n">
        <v>0</v>
      </c>
      <c r="BE280" s="91" t="n">
        <v>0</v>
      </c>
      <c r="BF280" s="89" t="n">
        <v>0.9883720930232558</v>
      </c>
      <c r="BG280" s="89" t="n">
        <v>1</v>
      </c>
      <c r="BH280" s="89" t="inlineStr">
        <is>
          <t>-</t>
        </is>
      </c>
    </row>
    <row r="281" ht="19.55" customHeight="1">
      <c r="A281" s="92" t="n">
        <v>278</v>
      </c>
      <c r="B281" s="87" t="inlineStr">
        <is>
          <t>全国</t>
        </is>
      </c>
      <c r="C281" s="93" t="n">
        <v>46278</v>
      </c>
      <c r="D281" s="87" t="inlineStr">
        <is>
          <t>探陆</t>
        </is>
      </c>
      <c r="E281" s="87" t="n">
        <v>0</v>
      </c>
      <c r="F281" s="87" t="n">
        <v>0</v>
      </c>
      <c r="G281" s="88" t="n">
        <v>0</v>
      </c>
      <c r="H281" s="87" t="n">
        <v>0</v>
      </c>
      <c r="I281" s="89" t="n">
        <v>0</v>
      </c>
      <c r="J281" s="87" t="n">
        <v>0</v>
      </c>
      <c r="K281" s="87" t="n">
        <v>0</v>
      </c>
      <c r="L281" s="88" t="n">
        <v>0</v>
      </c>
      <c r="M281" s="87" t="n">
        <v>0</v>
      </c>
      <c r="N281" s="87" t="n">
        <v>0</v>
      </c>
      <c r="O281" s="87" t="n">
        <v>0</v>
      </c>
      <c r="P281" s="88" t="n">
        <v>0</v>
      </c>
      <c r="Q281" s="87" t="n">
        <v>0</v>
      </c>
      <c r="R281" s="87" t="n">
        <v>0</v>
      </c>
      <c r="S281" s="87" t="n">
        <v>0</v>
      </c>
      <c r="T281" s="88" t="n">
        <v>0</v>
      </c>
      <c r="U281" s="87" t="n">
        <v>0</v>
      </c>
      <c r="V281" s="88" t="n">
        <v>0</v>
      </c>
      <c r="W281" s="87" t="n">
        <v>0</v>
      </c>
      <c r="X281" s="88" t="n">
        <v>0</v>
      </c>
      <c r="Y281" s="87" t="n">
        <v>0</v>
      </c>
      <c r="Z281" s="90" t="n">
        <v>0</v>
      </c>
      <c r="AA281" s="87" t="n">
        <v>0</v>
      </c>
      <c r="AB281" s="88" t="n">
        <v>0</v>
      </c>
      <c r="AC281" s="87" t="n">
        <v>0</v>
      </c>
      <c r="AD281" s="88" t="n">
        <v>0</v>
      </c>
      <c r="AE281" s="87" t="n">
        <v>0</v>
      </c>
      <c r="AF281" s="88" t="n">
        <v>0</v>
      </c>
      <c r="AG281" s="87" t="n">
        <v>0</v>
      </c>
      <c r="AH281" s="88" t="n">
        <v>0</v>
      </c>
      <c r="AI281" s="91" t="n">
        <v>3</v>
      </c>
      <c r="AJ281" s="88" t="n">
        <v>0</v>
      </c>
      <c r="AK281" s="91" t="n">
        <v>0</v>
      </c>
      <c r="AL281" s="88" t="n">
        <v>0.6666666666666666</v>
      </c>
      <c r="AM281" s="91" t="n">
        <v>3</v>
      </c>
      <c r="AN281" s="91" t="n">
        <v>2</v>
      </c>
      <c r="AO281" s="88" t="n">
        <v>0</v>
      </c>
      <c r="AP281" s="88" t="n">
        <v>0</v>
      </c>
      <c r="AQ281" s="89" t="n"/>
      <c r="AR281" s="89" t="inlineStr">
        <is>
          <t>0.0%</t>
        </is>
      </c>
      <c r="AS281" s="89" t="inlineStr">
        <is>
          <t>0.0%</t>
        </is>
      </c>
      <c r="AT281" s="91" t="n">
        <v>0</v>
      </c>
      <c r="AU281" s="91" t="n">
        <v>0</v>
      </c>
      <c r="AV281" s="91" t="n">
        <v>0</v>
      </c>
      <c r="AW281" s="91" t="n">
        <v>0</v>
      </c>
      <c r="AX281" s="91" t="n">
        <v>0</v>
      </c>
      <c r="AY281" s="91" t="n">
        <v>0</v>
      </c>
      <c r="AZ281" s="88" t="n">
        <v>0</v>
      </c>
      <c r="BA281" s="88" t="n">
        <v>0</v>
      </c>
      <c r="BB281" s="88" t="n">
        <v>0</v>
      </c>
      <c r="BC281" s="88" t="n">
        <v>0</v>
      </c>
      <c r="BD281" s="91" t="n">
        <v>0</v>
      </c>
      <c r="BE281" s="91" t="n">
        <v>0</v>
      </c>
      <c r="BF281" s="89" t="inlineStr">
        <is>
          <t>-</t>
        </is>
      </c>
      <c r="BG281" s="89" t="inlineStr">
        <is>
          <t>-</t>
        </is>
      </c>
      <c r="BH281" s="89" t="inlineStr">
        <is>
          <t>-</t>
        </is>
      </c>
    </row>
    <row r="282" ht="19.55" customHeight="1">
      <c r="A282" s="92" t="n">
        <v>279</v>
      </c>
      <c r="B282" s="87" t="inlineStr">
        <is>
          <t>全国</t>
        </is>
      </c>
      <c r="C282" s="93" t="n">
        <v>46279</v>
      </c>
      <c r="D282" s="87" t="n"/>
      <c r="E282" s="87" t="n">
        <v>31</v>
      </c>
      <c r="F282" s="87" t="n">
        <v>31</v>
      </c>
      <c r="G282" s="88" t="n">
        <v>1</v>
      </c>
      <c r="H282" s="87" t="n">
        <v>31</v>
      </c>
      <c r="I282" s="89" t="n">
        <v>1</v>
      </c>
      <c r="J282" s="87" t="n">
        <v>1</v>
      </c>
      <c r="K282" s="87" t="n">
        <v>0</v>
      </c>
      <c r="L282" s="88" t="n">
        <v>0</v>
      </c>
      <c r="M282" s="87" t="n">
        <v>7</v>
      </c>
      <c r="N282" s="87" t="n">
        <v>4</v>
      </c>
      <c r="O282" s="87" t="n">
        <v>3</v>
      </c>
      <c r="P282" s="88" t="n">
        <v>0.4285714285714285</v>
      </c>
      <c r="Q282" s="87" t="n">
        <v>4</v>
      </c>
      <c r="R282" s="87" t="n">
        <v>0</v>
      </c>
      <c r="S282" s="87" t="n">
        <v>0</v>
      </c>
      <c r="T282" s="88" t="n">
        <v>0</v>
      </c>
      <c r="U282" s="87" t="n">
        <v>0</v>
      </c>
      <c r="V282" s="88" t="n">
        <v>0</v>
      </c>
      <c r="W282" s="87" t="n">
        <v>16</v>
      </c>
      <c r="X282" s="88" t="n">
        <v>0.5161290322580645</v>
      </c>
      <c r="Y282" s="87" t="n">
        <v>4</v>
      </c>
      <c r="Z282" s="90" t="n">
        <v>0.1290322580645161</v>
      </c>
      <c r="AA282" s="87" t="n">
        <v>0</v>
      </c>
      <c r="AB282" s="88" t="n">
        <v>0</v>
      </c>
      <c r="AC282" s="87" t="n">
        <v>0</v>
      </c>
      <c r="AD282" s="88" t="n">
        <v>0</v>
      </c>
      <c r="AE282" s="87" t="n">
        <v>0</v>
      </c>
      <c r="AF282" s="88" t="n">
        <v>0</v>
      </c>
      <c r="AG282" s="87" t="n">
        <v>0</v>
      </c>
      <c r="AH282" s="88" t="n">
        <v>0</v>
      </c>
      <c r="AI282" s="91" t="n">
        <v>0</v>
      </c>
      <c r="AJ282" s="88" t="n">
        <v>0</v>
      </c>
      <c r="AK282" s="91" t="n">
        <v>0</v>
      </c>
      <c r="AL282" s="88" t="n">
        <v>0</v>
      </c>
      <c r="AM282" s="91" t="n">
        <v>0</v>
      </c>
      <c r="AN282" s="91" t="n">
        <v>0</v>
      </c>
      <c r="AO282" s="88" t="n">
        <v>0</v>
      </c>
      <c r="AP282" s="88" t="n">
        <v>0</v>
      </c>
      <c r="AQ282" s="89" t="n">
        <v>0</v>
      </c>
      <c r="AR282" s="89" t="n">
        <v>0</v>
      </c>
      <c r="AS282" s="89" t="n">
        <v>0.4</v>
      </c>
      <c r="AT282" s="91" t="n">
        <v>0</v>
      </c>
      <c r="AU282" s="91" t="n">
        <v>0</v>
      </c>
      <c r="AV282" s="91" t="n">
        <v>0</v>
      </c>
      <c r="AW282" s="91" t="n">
        <v>0</v>
      </c>
      <c r="AX282" s="91" t="n">
        <v>0</v>
      </c>
      <c r="AY282" s="91" t="n">
        <v>0</v>
      </c>
      <c r="AZ282" s="88" t="n">
        <v>0</v>
      </c>
      <c r="BA282" s="88" t="n">
        <v>0</v>
      </c>
      <c r="BB282" s="88" t="n">
        <v>0</v>
      </c>
      <c r="BC282" s="88" t="n">
        <v>0</v>
      </c>
      <c r="BD282" s="91" t="n">
        <v>0</v>
      </c>
      <c r="BE282" s="91" t="n">
        <v>0</v>
      </c>
      <c r="BF282" s="89" t="inlineStr">
        <is>
          <t>-</t>
        </is>
      </c>
      <c r="BG282" s="89" t="inlineStr">
        <is>
          <t>-</t>
        </is>
      </c>
      <c r="BH282" s="89" t="n">
        <v>1</v>
      </c>
    </row>
    <row r="283" ht="19.55" customHeight="1">
      <c r="A283" s="92" t="n">
        <v>280</v>
      </c>
      <c r="B283" s="87" t="inlineStr">
        <is>
          <t>全国</t>
        </is>
      </c>
      <c r="C283" s="93" t="n">
        <v>46279</v>
      </c>
      <c r="D283" s="87" t="inlineStr">
        <is>
          <t>2026款探陆</t>
        </is>
      </c>
      <c r="E283" s="87" t="n">
        <v>82</v>
      </c>
      <c r="F283" s="87" t="n">
        <v>78</v>
      </c>
      <c r="G283" s="88" t="n">
        <v>0.9512195121951219</v>
      </c>
      <c r="H283" s="87" t="n">
        <v>68</v>
      </c>
      <c r="I283" s="89" t="n">
        <v>0.8292682926829268</v>
      </c>
      <c r="J283" s="87" t="n">
        <v>203</v>
      </c>
      <c r="K283" s="87" t="n">
        <v>107</v>
      </c>
      <c r="L283" s="88" t="n">
        <v>0.527</v>
      </c>
      <c r="M283" s="87" t="n">
        <v>759</v>
      </c>
      <c r="N283" s="87" t="n">
        <v>705</v>
      </c>
      <c r="O283" s="87" t="n">
        <v>598</v>
      </c>
      <c r="P283" s="88" t="n">
        <v>0.7878787878787878</v>
      </c>
      <c r="Q283" s="87" t="n">
        <v>76</v>
      </c>
      <c r="R283" s="87" t="n">
        <v>0</v>
      </c>
      <c r="S283" s="87" t="n">
        <v>0</v>
      </c>
      <c r="T283" s="88" t="n">
        <v>0</v>
      </c>
      <c r="U283" s="87" t="n">
        <v>0</v>
      </c>
      <c r="V283" s="88" t="n">
        <v>0</v>
      </c>
      <c r="W283" s="87" t="n">
        <v>20</v>
      </c>
      <c r="X283" s="88" t="n">
        <v>0.2439024390243902</v>
      </c>
      <c r="Y283" s="87" t="n">
        <v>17</v>
      </c>
      <c r="Z283" s="90" t="n">
        <v>0.2073170731707317</v>
      </c>
      <c r="AA283" s="87" t="n">
        <v>38</v>
      </c>
      <c r="AB283" s="88" t="n">
        <v>0.4634146341463415</v>
      </c>
      <c r="AC283" s="87" t="n">
        <v>1</v>
      </c>
      <c r="AD283" s="88" t="n">
        <v>0.01219512195121951</v>
      </c>
      <c r="AE283" s="87" t="n">
        <v>0</v>
      </c>
      <c r="AF283" s="88" t="n">
        <v>0</v>
      </c>
      <c r="AG283" s="87" t="n">
        <v>0</v>
      </c>
      <c r="AH283" s="88" t="n">
        <v>0</v>
      </c>
      <c r="AI283" s="91" t="n">
        <v>0</v>
      </c>
      <c r="AJ283" s="88" t="n">
        <v>0</v>
      </c>
      <c r="AK283" s="91" t="n">
        <v>0</v>
      </c>
      <c r="AL283" s="88" t="n">
        <v>0</v>
      </c>
      <c r="AM283" s="91" t="n">
        <v>0</v>
      </c>
      <c r="AN283" s="91" t="n">
        <v>0</v>
      </c>
      <c r="AO283" s="88" t="n">
        <v>0</v>
      </c>
      <c r="AP283" s="88" t="n">
        <v>0</v>
      </c>
      <c r="AQ283" s="89" t="n">
        <v>0.3333333333333333</v>
      </c>
      <c r="AR283" s="89" t="inlineStr">
        <is>
          <t>0.0%</t>
        </is>
      </c>
      <c r="AS283" s="89" t="inlineStr">
        <is>
          <t>0.0%</t>
        </is>
      </c>
      <c r="AT283" s="91" t="n">
        <v>0</v>
      </c>
      <c r="AU283" s="91" t="n">
        <v>0</v>
      </c>
      <c r="AV283" s="91" t="n">
        <v>4</v>
      </c>
      <c r="AW283" s="91" t="n">
        <v>4</v>
      </c>
      <c r="AX283" s="91" t="n">
        <v>4</v>
      </c>
      <c r="AY283" s="91" t="n">
        <v>2</v>
      </c>
      <c r="AZ283" s="88" t="n">
        <v>0.04878048780487805</v>
      </c>
      <c r="BA283" s="88" t="n">
        <v>0.04878048780487805</v>
      </c>
      <c r="BB283" s="88" t="n">
        <v>0.02439024390243903</v>
      </c>
      <c r="BC283" s="88" t="n">
        <v>0</v>
      </c>
      <c r="BD283" s="91" t="n">
        <v>0</v>
      </c>
      <c r="BE283" s="91" t="n">
        <v>0</v>
      </c>
      <c r="BF283" s="89" t="inlineStr">
        <is>
          <t>-</t>
        </is>
      </c>
      <c r="BG283" s="89" t="n">
        <v>1</v>
      </c>
      <c r="BH283" s="89" t="inlineStr">
        <is>
          <t>-</t>
        </is>
      </c>
    </row>
    <row r="284" ht="19.55" customHeight="1">
      <c r="A284" s="92" t="n">
        <v>281</v>
      </c>
      <c r="B284" s="87" t="inlineStr">
        <is>
          <t>全国</t>
        </is>
      </c>
      <c r="C284" s="93" t="n">
        <v>46279</v>
      </c>
      <c r="D284" s="87" t="inlineStr">
        <is>
          <t>N6</t>
        </is>
      </c>
      <c r="E284" s="87" t="n">
        <v>1590</v>
      </c>
      <c r="F284" s="87" t="n">
        <v>1439</v>
      </c>
      <c r="G284" s="88" t="n">
        <v>0.9050314465408805</v>
      </c>
      <c r="H284" s="87" t="n">
        <v>554</v>
      </c>
      <c r="I284" s="89" t="n">
        <v>0.3484276729559748</v>
      </c>
      <c r="J284" s="87" t="n">
        <v>1792</v>
      </c>
      <c r="K284" s="87" t="n">
        <v>1757</v>
      </c>
      <c r="L284" s="88" t="n">
        <v>0.98</v>
      </c>
      <c r="M284" s="87" t="n">
        <v>7784</v>
      </c>
      <c r="N284" s="87" t="n">
        <v>7485</v>
      </c>
      <c r="O284" s="87" t="n">
        <v>7651</v>
      </c>
      <c r="P284" s="88" t="n">
        <v>0.9829136690647482</v>
      </c>
      <c r="Q284" s="87" t="n">
        <v>42</v>
      </c>
      <c r="R284" s="87" t="n">
        <v>0</v>
      </c>
      <c r="S284" s="87" t="n">
        <v>0</v>
      </c>
      <c r="T284" s="88" t="n">
        <v>0</v>
      </c>
      <c r="U284" s="87" t="n">
        <v>0</v>
      </c>
      <c r="V284" s="88" t="n">
        <v>0</v>
      </c>
      <c r="W284" s="87" t="n">
        <v>178</v>
      </c>
      <c r="X284" s="88" t="n">
        <v>0.1119496855345912</v>
      </c>
      <c r="Y284" s="87" t="n">
        <v>443</v>
      </c>
      <c r="Z284" s="90" t="n">
        <v>0.2786163522012579</v>
      </c>
      <c r="AA284" s="87" t="n">
        <v>1</v>
      </c>
      <c r="AB284" s="88" t="n">
        <v>0.0006289308176100629</v>
      </c>
      <c r="AC284" s="87" t="n">
        <v>117</v>
      </c>
      <c r="AD284" s="88" t="n">
        <v>0.07358490566037736</v>
      </c>
      <c r="AE284" s="87" t="n">
        <v>18</v>
      </c>
      <c r="AF284" s="88" t="n">
        <v>0.1538461538461539</v>
      </c>
      <c r="AG284" s="87" t="n">
        <v>94</v>
      </c>
      <c r="AH284" s="88" t="n">
        <v>0.8034188034188035</v>
      </c>
      <c r="AI284" s="91" t="n">
        <v>112</v>
      </c>
      <c r="AJ284" s="88" t="n">
        <v>0.07044025157232704</v>
      </c>
      <c r="AK284" s="91" t="n">
        <v>7</v>
      </c>
      <c r="AL284" s="88" t="n">
        <v>0.8482142857142857</v>
      </c>
      <c r="AM284" s="91" t="n">
        <v>107</v>
      </c>
      <c r="AN284" s="91" t="n">
        <v>95</v>
      </c>
      <c r="AO284" s="88" t="n">
        <v>0.05974842767295598</v>
      </c>
      <c r="AP284" s="88" t="n">
        <v>0.811965811965812</v>
      </c>
      <c r="AQ284" s="89" t="n">
        <v>0.9661016949152542</v>
      </c>
      <c r="AR284" s="89" t="n">
        <v>0.6538461538461539</v>
      </c>
      <c r="AS284" s="89" t="n">
        <v>0.6634615384615384</v>
      </c>
      <c r="AT284" s="91" t="n">
        <v>0</v>
      </c>
      <c r="AU284" s="91" t="n">
        <v>0</v>
      </c>
      <c r="AV284" s="91" t="n">
        <v>16</v>
      </c>
      <c r="AW284" s="91" t="n">
        <v>11</v>
      </c>
      <c r="AX284" s="91" t="n">
        <v>19</v>
      </c>
      <c r="AY284" s="91" t="n">
        <v>38</v>
      </c>
      <c r="AZ284" s="88" t="n">
        <v>0.006918238993710692</v>
      </c>
      <c r="BA284" s="88" t="n">
        <v>0.0119496855345912</v>
      </c>
      <c r="BB284" s="88" t="n">
        <v>0.02389937106918239</v>
      </c>
      <c r="BC284" s="88" t="n">
        <v>0.2</v>
      </c>
      <c r="BD284" s="91" t="n">
        <v>0</v>
      </c>
      <c r="BE284" s="91" t="n">
        <v>0</v>
      </c>
      <c r="BF284" s="89" t="n">
        <v>1</v>
      </c>
      <c r="BG284" s="89" t="n">
        <v>1</v>
      </c>
      <c r="BH284" s="89" t="inlineStr">
        <is>
          <t>-</t>
        </is>
      </c>
    </row>
    <row r="285" ht="19.55" customHeight="1">
      <c r="A285" s="92" t="n">
        <v>282</v>
      </c>
      <c r="B285" s="87" t="inlineStr">
        <is>
          <t>全国</t>
        </is>
      </c>
      <c r="C285" s="93" t="n">
        <v>46279</v>
      </c>
      <c r="D285" s="87" t="inlineStr">
        <is>
          <t>N7</t>
        </is>
      </c>
      <c r="E285" s="87" t="n">
        <v>2897</v>
      </c>
      <c r="F285" s="87" t="n">
        <v>2564</v>
      </c>
      <c r="G285" s="88" t="n">
        <v>0.885053503624439</v>
      </c>
      <c r="H285" s="87" t="n">
        <v>1431</v>
      </c>
      <c r="I285" s="89" t="n">
        <v>0.4939592682084916</v>
      </c>
      <c r="J285" s="87" t="n">
        <v>3018</v>
      </c>
      <c r="K285" s="87" t="n">
        <v>2932</v>
      </c>
      <c r="L285" s="88" t="n">
        <v>0.972</v>
      </c>
      <c r="M285" s="87" t="n">
        <v>9863</v>
      </c>
      <c r="N285" s="87" t="n">
        <v>9745</v>
      </c>
      <c r="O285" s="87" t="n">
        <v>9675</v>
      </c>
      <c r="P285" s="88" t="n">
        <v>0.9809388624150867</v>
      </c>
      <c r="Q285" s="87" t="n">
        <v>59</v>
      </c>
      <c r="R285" s="87" t="n">
        <v>0</v>
      </c>
      <c r="S285" s="87" t="n">
        <v>0</v>
      </c>
      <c r="T285" s="88" t="n">
        <v>0</v>
      </c>
      <c r="U285" s="87" t="n">
        <v>0</v>
      </c>
      <c r="V285" s="88" t="n">
        <v>0</v>
      </c>
      <c r="W285" s="87" t="n">
        <v>249</v>
      </c>
      <c r="X285" s="88" t="n">
        <v>0.08595098377632034</v>
      </c>
      <c r="Y285" s="87" t="n">
        <v>650</v>
      </c>
      <c r="Z285" s="90" t="n">
        <v>0.2243700379703141</v>
      </c>
      <c r="AA285" s="87" t="n">
        <v>2</v>
      </c>
      <c r="AB285" s="88" t="n">
        <v>0.0006903693476009665</v>
      </c>
      <c r="AC285" s="87" t="n">
        <v>102</v>
      </c>
      <c r="AD285" s="88" t="n">
        <v>0.0352088367276493</v>
      </c>
      <c r="AE285" s="87" t="n">
        <v>11</v>
      </c>
      <c r="AF285" s="88" t="n">
        <v>0.107843137254902</v>
      </c>
      <c r="AG285" s="87" t="n">
        <v>83</v>
      </c>
      <c r="AH285" s="88" t="n">
        <v>0.8137254901960784</v>
      </c>
      <c r="AI285" s="91" t="n">
        <v>83</v>
      </c>
      <c r="AJ285" s="88" t="n">
        <v>0.02865032792544011</v>
      </c>
      <c r="AK285" s="91" t="n">
        <v>4</v>
      </c>
      <c r="AL285" s="88" t="n">
        <v>0.8072289156626506</v>
      </c>
      <c r="AM285" s="91" t="n">
        <v>81</v>
      </c>
      <c r="AN285" s="91" t="n">
        <v>67</v>
      </c>
      <c r="AO285" s="88" t="n">
        <v>0.02312737314463238</v>
      </c>
      <c r="AP285" s="88" t="n">
        <v>0.6568627450980392</v>
      </c>
      <c r="AQ285" s="89" t="n">
        <v>0.9391891891891891</v>
      </c>
      <c r="AR285" s="89" t="n">
        <v>0.7241379310344828</v>
      </c>
      <c r="AS285" s="89" t="n">
        <v>0.632183908045977</v>
      </c>
      <c r="AT285" s="91" t="n">
        <v>0</v>
      </c>
      <c r="AU285" s="91" t="n">
        <v>0</v>
      </c>
      <c r="AV285" s="91" t="n">
        <v>21</v>
      </c>
      <c r="AW285" s="91" t="n">
        <v>13</v>
      </c>
      <c r="AX285" s="91" t="n">
        <v>19</v>
      </c>
      <c r="AY285" s="91" t="n">
        <v>29</v>
      </c>
      <c r="AZ285" s="88" t="n">
        <v>0.004487400759406283</v>
      </c>
      <c r="BA285" s="88" t="n">
        <v>0.006558508802209182</v>
      </c>
      <c r="BB285" s="88" t="n">
        <v>0.01001035554021401</v>
      </c>
      <c r="BC285" s="88" t="n">
        <v>0.2835820895522388</v>
      </c>
      <c r="BD285" s="91" t="n">
        <v>0</v>
      </c>
      <c r="BE285" s="91" t="n">
        <v>0</v>
      </c>
      <c r="BF285" s="89" t="n">
        <v>0.9512195121951219</v>
      </c>
      <c r="BG285" s="89" t="n">
        <v>1</v>
      </c>
      <c r="BH285" s="89" t="inlineStr">
        <is>
          <t>-</t>
        </is>
      </c>
    </row>
    <row r="286" ht="19.55" customHeight="1">
      <c r="A286" s="92" t="n">
        <v>283</v>
      </c>
      <c r="B286" s="87" t="inlineStr">
        <is>
          <t>全国</t>
        </is>
      </c>
      <c r="C286" s="93" t="n">
        <v>46279</v>
      </c>
      <c r="D286" s="87" t="inlineStr">
        <is>
          <t>NX8</t>
        </is>
      </c>
      <c r="E286" s="87" t="n">
        <v>5016</v>
      </c>
      <c r="F286" s="87" t="n">
        <v>4565</v>
      </c>
      <c r="G286" s="88" t="n">
        <v>0.9100877192982456</v>
      </c>
      <c r="H286" s="87" t="n">
        <v>1675</v>
      </c>
      <c r="I286" s="89" t="n">
        <v>0.3339314194577352</v>
      </c>
      <c r="J286" s="87" t="n">
        <v>5606</v>
      </c>
      <c r="K286" s="87" t="n">
        <v>5403</v>
      </c>
      <c r="L286" s="88" t="n">
        <v>0.964</v>
      </c>
      <c r="M286" s="87" t="n">
        <v>23183</v>
      </c>
      <c r="N286" s="87" t="n">
        <v>22345</v>
      </c>
      <c r="O286" s="87" t="n">
        <v>22656</v>
      </c>
      <c r="P286" s="88" t="n">
        <v>0.9772678255618341</v>
      </c>
      <c r="Q286" s="87" t="n">
        <v>204</v>
      </c>
      <c r="R286" s="87" t="n">
        <v>0</v>
      </c>
      <c r="S286" s="87" t="n">
        <v>0</v>
      </c>
      <c r="T286" s="88" t="n">
        <v>0</v>
      </c>
      <c r="U286" s="87" t="n">
        <v>0</v>
      </c>
      <c r="V286" s="88" t="n">
        <v>0</v>
      </c>
      <c r="W286" s="87" t="n">
        <v>580</v>
      </c>
      <c r="X286" s="88" t="n">
        <v>0.1156299840510367</v>
      </c>
      <c r="Y286" s="87" t="n">
        <v>2332</v>
      </c>
      <c r="Z286" s="90" t="n">
        <v>0.4649122807017544</v>
      </c>
      <c r="AA286" s="87" t="n">
        <v>5</v>
      </c>
      <c r="AB286" s="88" t="n">
        <v>0.0009968102073365231</v>
      </c>
      <c r="AC286" s="87" t="n">
        <v>393</v>
      </c>
      <c r="AD286" s="88" t="n">
        <v>0.07834928229665072</v>
      </c>
      <c r="AE286" s="87" t="n">
        <v>77</v>
      </c>
      <c r="AF286" s="88" t="n">
        <v>0.1959287531806616</v>
      </c>
      <c r="AG286" s="87" t="n">
        <v>322</v>
      </c>
      <c r="AH286" s="88" t="n">
        <v>0.8193384223918575</v>
      </c>
      <c r="AI286" s="91" t="n">
        <v>350</v>
      </c>
      <c r="AJ286" s="88" t="n">
        <v>0.06977671451355662</v>
      </c>
      <c r="AK286" s="91" t="n">
        <v>14</v>
      </c>
      <c r="AL286" s="88" t="n">
        <v>0.8514285714285714</v>
      </c>
      <c r="AM286" s="91" t="n">
        <v>340</v>
      </c>
      <c r="AN286" s="91" t="n">
        <v>298</v>
      </c>
      <c r="AO286" s="88" t="n">
        <v>0.05940988835725678</v>
      </c>
      <c r="AP286" s="88" t="n">
        <v>0.7582697201017812</v>
      </c>
      <c r="AQ286" s="89" t="n">
        <v>0.982078853046595</v>
      </c>
      <c r="AR286" s="89" t="n">
        <v>0.6828571428571428</v>
      </c>
      <c r="AS286" s="89" t="n">
        <v>0.6171428571428571</v>
      </c>
      <c r="AT286" s="91" t="n">
        <v>0</v>
      </c>
      <c r="AU286" s="91" t="n">
        <v>0</v>
      </c>
      <c r="AV286" s="91" t="n">
        <v>29</v>
      </c>
      <c r="AW286" s="91" t="n">
        <v>6</v>
      </c>
      <c r="AX286" s="91" t="n">
        <v>22</v>
      </c>
      <c r="AY286" s="91" t="n">
        <v>83</v>
      </c>
      <c r="AZ286" s="88" t="n">
        <v>0.001196172248803828</v>
      </c>
      <c r="BA286" s="88" t="n">
        <v>0.004385964912280702</v>
      </c>
      <c r="BB286" s="88" t="n">
        <v>0.01654704944178628</v>
      </c>
      <c r="BC286" s="88" t="n">
        <v>0.0738255033557047</v>
      </c>
      <c r="BD286" s="91" t="n">
        <v>0</v>
      </c>
      <c r="BE286" s="91" t="n">
        <v>0</v>
      </c>
      <c r="BF286" s="89" t="n">
        <v>0.9863636363636363</v>
      </c>
      <c r="BG286" s="89" t="n">
        <v>1</v>
      </c>
      <c r="BH286" s="89" t="inlineStr">
        <is>
          <t>-</t>
        </is>
      </c>
    </row>
    <row r="287" ht="19.55" customHeight="1">
      <c r="A287" s="92" t="n">
        <v>284</v>
      </c>
      <c r="B287" s="87" t="inlineStr">
        <is>
          <t>全国</t>
        </is>
      </c>
      <c r="C287" s="93" t="n">
        <v>46279</v>
      </c>
      <c r="D287" s="87" t="inlineStr">
        <is>
          <t>天籁·鸿蒙座舱</t>
        </is>
      </c>
      <c r="E287" s="87" t="n">
        <v>4329</v>
      </c>
      <c r="F287" s="87" t="n">
        <v>3928</v>
      </c>
      <c r="G287" s="88" t="n">
        <v>0.9073689073689074</v>
      </c>
      <c r="H287" s="87" t="n">
        <v>2192</v>
      </c>
      <c r="I287" s="89" t="n">
        <v>0.5063525063525064</v>
      </c>
      <c r="J287" s="87" t="n">
        <v>5296</v>
      </c>
      <c r="K287" s="87" t="n">
        <v>5149</v>
      </c>
      <c r="L287" s="88" t="n">
        <v>0.972</v>
      </c>
      <c r="M287" s="87" t="n">
        <v>22246</v>
      </c>
      <c r="N287" s="87" t="n">
        <v>22113</v>
      </c>
      <c r="O287" s="87" t="n">
        <v>21848</v>
      </c>
      <c r="P287" s="88" t="n">
        <v>0.982109143216758</v>
      </c>
      <c r="Q287" s="87" t="n">
        <v>152</v>
      </c>
      <c r="R287" s="87" t="n">
        <v>0</v>
      </c>
      <c r="S287" s="87" t="n">
        <v>0</v>
      </c>
      <c r="T287" s="88" t="n">
        <v>0</v>
      </c>
      <c r="U287" s="87" t="n">
        <v>0</v>
      </c>
      <c r="V287" s="88" t="n">
        <v>0</v>
      </c>
      <c r="W287" s="87" t="n">
        <v>304</v>
      </c>
      <c r="X287" s="88" t="n">
        <v>0.07022407022407022</v>
      </c>
      <c r="Y287" s="87" t="n">
        <v>1086</v>
      </c>
      <c r="Z287" s="90" t="n">
        <v>0.2508662508662509</v>
      </c>
      <c r="AA287" s="87" t="n">
        <v>5</v>
      </c>
      <c r="AB287" s="88" t="n">
        <v>0.001155001155001155</v>
      </c>
      <c r="AC287" s="87" t="n">
        <v>191</v>
      </c>
      <c r="AD287" s="88" t="n">
        <v>0.04412104412104412</v>
      </c>
      <c r="AE287" s="87" t="n">
        <v>30</v>
      </c>
      <c r="AF287" s="88" t="n">
        <v>0.1570680628272251</v>
      </c>
      <c r="AG287" s="87" t="n">
        <v>159</v>
      </c>
      <c r="AH287" s="88" t="n">
        <v>0.8324607329842932</v>
      </c>
      <c r="AI287" s="91" t="n">
        <v>144</v>
      </c>
      <c r="AJ287" s="88" t="n">
        <v>0.03326403326403327</v>
      </c>
      <c r="AK287" s="91" t="n">
        <v>5</v>
      </c>
      <c r="AL287" s="88" t="n">
        <v>0.8472222222222222</v>
      </c>
      <c r="AM287" s="91" t="n">
        <v>138</v>
      </c>
      <c r="AN287" s="91" t="n">
        <v>122</v>
      </c>
      <c r="AO287" s="88" t="n">
        <v>0.02818202818202818</v>
      </c>
      <c r="AP287" s="88" t="n">
        <v>0.6387434554973822</v>
      </c>
      <c r="AQ287" s="89" t="n">
        <v>0.9578544061302682</v>
      </c>
      <c r="AR287" s="89" t="n">
        <v>0.5970149253731343</v>
      </c>
      <c r="AS287" s="89" t="n">
        <v>0.5522388059701493</v>
      </c>
      <c r="AT287" s="91" t="n">
        <v>0</v>
      </c>
      <c r="AU287" s="91" t="n">
        <v>0</v>
      </c>
      <c r="AV287" s="91" t="n">
        <v>53</v>
      </c>
      <c r="AW287" s="91" t="n">
        <v>43</v>
      </c>
      <c r="AX287" s="91" t="n">
        <v>47</v>
      </c>
      <c r="AY287" s="91" t="n">
        <v>57</v>
      </c>
      <c r="AZ287" s="88" t="n">
        <v>0.009933009933009933</v>
      </c>
      <c r="BA287" s="88" t="n">
        <v>0.01085701085701086</v>
      </c>
      <c r="BB287" s="88" t="n">
        <v>0.01316701316701317</v>
      </c>
      <c r="BC287" s="88" t="n">
        <v>0.3852459016393442</v>
      </c>
      <c r="BD287" s="91" t="n">
        <v>0</v>
      </c>
      <c r="BE287" s="91" t="n">
        <v>0</v>
      </c>
      <c r="BF287" s="89" t="n">
        <v>0.9491525423728814</v>
      </c>
      <c r="BG287" s="89" t="n">
        <v>1</v>
      </c>
      <c r="BH287" s="89" t="inlineStr">
        <is>
          <t>-</t>
        </is>
      </c>
    </row>
    <row r="288" ht="19.55" customHeight="1">
      <c r="A288" s="92" t="n">
        <v>285</v>
      </c>
      <c r="B288" s="87" t="inlineStr">
        <is>
          <t>全国</t>
        </is>
      </c>
      <c r="C288" s="93" t="n">
        <v>46280</v>
      </c>
      <c r="D288" s="87" t="n"/>
      <c r="E288" s="87" t="n">
        <v>36</v>
      </c>
      <c r="F288" s="87" t="n">
        <v>35</v>
      </c>
      <c r="G288" s="88" t="n">
        <v>0.9722222222222222</v>
      </c>
      <c r="H288" s="87" t="n">
        <v>36</v>
      </c>
      <c r="I288" s="89" t="n">
        <v>1</v>
      </c>
      <c r="J288" s="87" t="n">
        <v>3</v>
      </c>
      <c r="K288" s="87" t="n">
        <v>0</v>
      </c>
      <c r="L288" s="88" t="n">
        <v>0</v>
      </c>
      <c r="M288" s="87" t="n">
        <v>7</v>
      </c>
      <c r="N288" s="87" t="n">
        <v>0</v>
      </c>
      <c r="O288" s="87" t="n">
        <v>1</v>
      </c>
      <c r="P288" s="88" t="n">
        <v>0.1428571428571428</v>
      </c>
      <c r="Q288" s="87" t="n">
        <v>6</v>
      </c>
      <c r="R288" s="87" t="n">
        <v>0</v>
      </c>
      <c r="S288" s="87" t="n">
        <v>0</v>
      </c>
      <c r="T288" s="88" t="n">
        <v>0</v>
      </c>
      <c r="U288" s="87" t="n">
        <v>0</v>
      </c>
      <c r="V288" s="88" t="n">
        <v>0</v>
      </c>
      <c r="W288" s="87" t="n">
        <v>18</v>
      </c>
      <c r="X288" s="88" t="n">
        <v>0.5</v>
      </c>
      <c r="Y288" s="87" t="n">
        <v>10</v>
      </c>
      <c r="Z288" s="90" t="n">
        <v>0.2777777777777778</v>
      </c>
      <c r="AA288" s="87" t="n">
        <v>0</v>
      </c>
      <c r="AB288" s="88" t="n">
        <v>0</v>
      </c>
      <c r="AC288" s="87" t="n">
        <v>0</v>
      </c>
      <c r="AD288" s="88" t="n">
        <v>0</v>
      </c>
      <c r="AE288" s="87" t="n">
        <v>0</v>
      </c>
      <c r="AF288" s="88" t="n">
        <v>0</v>
      </c>
      <c r="AG288" s="87" t="n">
        <v>0</v>
      </c>
      <c r="AH288" s="88" t="n">
        <v>0</v>
      </c>
      <c r="AI288" s="91" t="n">
        <v>0</v>
      </c>
      <c r="AJ288" s="88" t="n">
        <v>0</v>
      </c>
      <c r="AK288" s="91" t="n">
        <v>0</v>
      </c>
      <c r="AL288" s="88" t="n">
        <v>0</v>
      </c>
      <c r="AM288" s="91" t="n">
        <v>0</v>
      </c>
      <c r="AN288" s="91" t="n">
        <v>0</v>
      </c>
      <c r="AO288" s="88" t="n">
        <v>0</v>
      </c>
      <c r="AP288" s="88" t="n">
        <v>0</v>
      </c>
      <c r="AQ288" s="89" t="n">
        <v>0</v>
      </c>
      <c r="AR288" s="89" t="inlineStr">
        <is>
          <t>0.0%</t>
        </is>
      </c>
      <c r="AS288" s="89" t="inlineStr">
        <is>
          <t>0.0%</t>
        </is>
      </c>
      <c r="AT288" s="91" t="n">
        <v>0</v>
      </c>
      <c r="AU288" s="91" t="n">
        <v>0</v>
      </c>
      <c r="AV288" s="91" t="n">
        <v>0</v>
      </c>
      <c r="AW288" s="91" t="n">
        <v>0</v>
      </c>
      <c r="AX288" s="91" t="n">
        <v>0</v>
      </c>
      <c r="AY288" s="91" t="n">
        <v>0</v>
      </c>
      <c r="AZ288" s="88" t="n">
        <v>0</v>
      </c>
      <c r="BA288" s="88" t="n">
        <v>0</v>
      </c>
      <c r="BB288" s="88" t="n">
        <v>0</v>
      </c>
      <c r="BC288" s="88" t="n">
        <v>0</v>
      </c>
      <c r="BD288" s="91" t="n">
        <v>0</v>
      </c>
      <c r="BE288" s="91" t="n">
        <v>0</v>
      </c>
      <c r="BF288" s="89" t="inlineStr">
        <is>
          <t>-</t>
        </is>
      </c>
      <c r="BG288" s="89" t="inlineStr">
        <is>
          <t>-</t>
        </is>
      </c>
      <c r="BH288" s="89" t="n">
        <v>1</v>
      </c>
    </row>
    <row r="289" ht="19.55" customHeight="1">
      <c r="A289" s="92" t="n">
        <v>286</v>
      </c>
      <c r="B289" s="87" t="inlineStr">
        <is>
          <t>全国</t>
        </is>
      </c>
      <c r="C289" s="93" t="n">
        <v>46280</v>
      </c>
      <c r="D289" s="87" t="inlineStr">
        <is>
          <t>2026款探陆</t>
        </is>
      </c>
      <c r="E289" s="87" t="n">
        <v>72</v>
      </c>
      <c r="F289" s="87" t="n">
        <v>69</v>
      </c>
      <c r="G289" s="88" t="n">
        <v>0.9583333333333334</v>
      </c>
      <c r="H289" s="87" t="n">
        <v>61</v>
      </c>
      <c r="I289" s="89" t="n">
        <v>0.8472222222222222</v>
      </c>
      <c r="J289" s="87" t="n">
        <v>152</v>
      </c>
      <c r="K289" s="87" t="n">
        <v>75</v>
      </c>
      <c r="L289" s="88" t="n">
        <v>0.493</v>
      </c>
      <c r="M289" s="87" t="n">
        <v>663</v>
      </c>
      <c r="N289" s="87" t="n">
        <v>554</v>
      </c>
      <c r="O289" s="87" t="n">
        <v>512</v>
      </c>
      <c r="P289" s="88" t="n">
        <v>0.7722473604826546</v>
      </c>
      <c r="Q289" s="87" t="n">
        <v>62</v>
      </c>
      <c r="R289" s="87" t="n">
        <v>0</v>
      </c>
      <c r="S289" s="87" t="n">
        <v>0</v>
      </c>
      <c r="T289" s="88" t="n">
        <v>0</v>
      </c>
      <c r="U289" s="87" t="n">
        <v>0</v>
      </c>
      <c r="V289" s="88" t="n">
        <v>0</v>
      </c>
      <c r="W289" s="87" t="n">
        <v>5</v>
      </c>
      <c r="X289" s="88" t="n">
        <v>0.06944444444444445</v>
      </c>
      <c r="Y289" s="87" t="n">
        <v>14</v>
      </c>
      <c r="Z289" s="90" t="n">
        <v>0.1944444444444444</v>
      </c>
      <c r="AA289" s="87" t="n">
        <v>48</v>
      </c>
      <c r="AB289" s="88" t="n">
        <v>0.6666666666666666</v>
      </c>
      <c r="AC289" s="87" t="n">
        <v>2</v>
      </c>
      <c r="AD289" s="88" t="n">
        <v>0.02777777777777778</v>
      </c>
      <c r="AE289" s="87" t="n">
        <v>1</v>
      </c>
      <c r="AF289" s="88" t="n">
        <v>0.5</v>
      </c>
      <c r="AG289" s="87" t="n">
        <v>1</v>
      </c>
      <c r="AH289" s="88" t="n">
        <v>0.5</v>
      </c>
      <c r="AI289" s="91" t="n">
        <v>0</v>
      </c>
      <c r="AJ289" s="88" t="n">
        <v>0</v>
      </c>
      <c r="AK289" s="91" t="n">
        <v>0</v>
      </c>
      <c r="AL289" s="88" t="n">
        <v>0</v>
      </c>
      <c r="AM289" s="91" t="n">
        <v>0</v>
      </c>
      <c r="AN289" s="91" t="n">
        <v>0</v>
      </c>
      <c r="AO289" s="88" t="n">
        <v>0</v>
      </c>
      <c r="AP289" s="88" t="n">
        <v>0</v>
      </c>
      <c r="AQ289" s="89" t="n"/>
      <c r="AR289" s="89" t="inlineStr">
        <is>
          <t>0.0%</t>
        </is>
      </c>
      <c r="AS289" s="89" t="inlineStr">
        <is>
          <t>0.0%</t>
        </is>
      </c>
      <c r="AT289" s="91" t="n">
        <v>0</v>
      </c>
      <c r="AU289" s="91" t="n">
        <v>0</v>
      </c>
      <c r="AV289" s="91" t="n">
        <v>1</v>
      </c>
      <c r="AW289" s="91" t="n">
        <v>-1</v>
      </c>
      <c r="AX289" s="91" t="n">
        <v>-1</v>
      </c>
      <c r="AY289" s="91" t="n">
        <v>1</v>
      </c>
      <c r="AZ289" s="88" t="n">
        <v>-0.01388888888888889</v>
      </c>
      <c r="BA289" s="88" t="n">
        <v>-0.01388888888888889</v>
      </c>
      <c r="BB289" s="88" t="n">
        <v>0.01388888888888889</v>
      </c>
      <c r="BC289" s="88" t="n">
        <v>0</v>
      </c>
      <c r="BD289" s="91" t="n">
        <v>0</v>
      </c>
      <c r="BE289" s="91" t="n">
        <v>0</v>
      </c>
      <c r="BF289" s="89" t="inlineStr">
        <is>
          <t>-</t>
        </is>
      </c>
      <c r="BG289" s="89" t="inlineStr">
        <is>
          <t>-</t>
        </is>
      </c>
      <c r="BH289" s="89" t="inlineStr">
        <is>
          <t>-</t>
        </is>
      </c>
    </row>
    <row r="290" ht="19.55" customHeight="1">
      <c r="A290" s="92" t="n">
        <v>287</v>
      </c>
      <c r="B290" s="87" t="inlineStr">
        <is>
          <t>全国</t>
        </is>
      </c>
      <c r="C290" s="93" t="n">
        <v>46280</v>
      </c>
      <c r="D290" s="87" t="inlineStr">
        <is>
          <t>N6</t>
        </is>
      </c>
      <c r="E290" s="87" t="n">
        <v>1478</v>
      </c>
      <c r="F290" s="87" t="n">
        <v>1341</v>
      </c>
      <c r="G290" s="88" t="n">
        <v>0.9073071718538566</v>
      </c>
      <c r="H290" s="87" t="n">
        <v>514</v>
      </c>
      <c r="I290" s="89" t="n">
        <v>0.3477672530446549</v>
      </c>
      <c r="J290" s="87" t="n">
        <v>1481</v>
      </c>
      <c r="K290" s="87" t="n">
        <v>1441</v>
      </c>
      <c r="L290" s="88" t="n">
        <v>0.973</v>
      </c>
      <c r="M290" s="87" t="n">
        <v>7007</v>
      </c>
      <c r="N290" s="87" t="n">
        <v>7023</v>
      </c>
      <c r="O290" s="87" t="n">
        <v>6887</v>
      </c>
      <c r="P290" s="88" t="n">
        <v>0.9828742685885543</v>
      </c>
      <c r="Q290" s="87" t="n">
        <v>54</v>
      </c>
      <c r="R290" s="87" t="n">
        <v>0</v>
      </c>
      <c r="S290" s="87" t="n">
        <v>0</v>
      </c>
      <c r="T290" s="88" t="n">
        <v>0</v>
      </c>
      <c r="U290" s="87" t="n">
        <v>0</v>
      </c>
      <c r="V290" s="88" t="n">
        <v>0</v>
      </c>
      <c r="W290" s="87" t="n">
        <v>216</v>
      </c>
      <c r="X290" s="88" t="n">
        <v>0.1461434370771313</v>
      </c>
      <c r="Y290" s="87" t="n">
        <v>333</v>
      </c>
      <c r="Z290" s="90" t="n">
        <v>0.2253044654939107</v>
      </c>
      <c r="AA290" s="87" t="n">
        <v>2</v>
      </c>
      <c r="AB290" s="88" t="n">
        <v>0.001353179972936401</v>
      </c>
      <c r="AC290" s="87" t="n">
        <v>106</v>
      </c>
      <c r="AD290" s="88" t="n">
        <v>0.07171853856562922</v>
      </c>
      <c r="AE290" s="87" t="n">
        <v>25</v>
      </c>
      <c r="AF290" s="88" t="n">
        <v>0.2358490566037736</v>
      </c>
      <c r="AG290" s="87" t="n">
        <v>78</v>
      </c>
      <c r="AH290" s="88" t="n">
        <v>0.7358490566037735</v>
      </c>
      <c r="AI290" s="91" t="n">
        <v>94</v>
      </c>
      <c r="AJ290" s="88" t="n">
        <v>0.06359945872801083</v>
      </c>
      <c r="AK290" s="91" t="n">
        <v>6</v>
      </c>
      <c r="AL290" s="88" t="n">
        <v>0.8617021276595744</v>
      </c>
      <c r="AM290" s="91" t="n">
        <v>88</v>
      </c>
      <c r="AN290" s="91" t="n">
        <v>81</v>
      </c>
      <c r="AO290" s="88" t="n">
        <v>0.05480378890392422</v>
      </c>
      <c r="AP290" s="88" t="n">
        <v>0.7641509433962265</v>
      </c>
      <c r="AQ290" s="89" t="n">
        <v>0.9705882352941176</v>
      </c>
      <c r="AR290" s="89" t="n">
        <v>0.5432098765432098</v>
      </c>
      <c r="AS290" s="89" t="n">
        <v>0.5802469135802469</v>
      </c>
      <c r="AT290" s="91" t="n">
        <v>0</v>
      </c>
      <c r="AU290" s="91" t="n">
        <v>0</v>
      </c>
      <c r="AV290" s="91" t="n">
        <v>14</v>
      </c>
      <c r="AW290" s="91" t="n">
        <v>4</v>
      </c>
      <c r="AX290" s="91" t="n">
        <v>14</v>
      </c>
      <c r="AY290" s="91" t="n">
        <v>28</v>
      </c>
      <c r="AZ290" s="88" t="n">
        <v>0.002706359945872801</v>
      </c>
      <c r="BA290" s="88" t="n">
        <v>0.009472259810554804</v>
      </c>
      <c r="BB290" s="88" t="n">
        <v>0.01894451962110961</v>
      </c>
      <c r="BC290" s="88" t="n">
        <v>0.1728395061728395</v>
      </c>
      <c r="BD290" s="91" t="n">
        <v>0</v>
      </c>
      <c r="BE290" s="91" t="n">
        <v>0</v>
      </c>
      <c r="BF290" s="89" t="n">
        <v>1</v>
      </c>
      <c r="BG290" s="89" t="n">
        <v>1</v>
      </c>
      <c r="BH290" s="89" t="inlineStr">
        <is>
          <t>-</t>
        </is>
      </c>
    </row>
    <row r="291" ht="19.55" customHeight="1">
      <c r="A291" s="92" t="n">
        <v>288</v>
      </c>
      <c r="B291" s="87" t="inlineStr">
        <is>
          <t>全国</t>
        </is>
      </c>
      <c r="C291" s="93" t="n">
        <v>46280</v>
      </c>
      <c r="D291" s="87" t="inlineStr">
        <is>
          <t>N7</t>
        </is>
      </c>
      <c r="E291" s="87" t="n">
        <v>2884</v>
      </c>
      <c r="F291" s="87" t="n">
        <v>2493</v>
      </c>
      <c r="G291" s="88" t="n">
        <v>0.8644244105409153</v>
      </c>
      <c r="H291" s="87" t="n">
        <v>1456</v>
      </c>
      <c r="I291" s="89" t="n">
        <v>0.5048543689320388</v>
      </c>
      <c r="J291" s="87" t="n">
        <v>2736</v>
      </c>
      <c r="K291" s="87" t="n">
        <v>2688</v>
      </c>
      <c r="L291" s="88" t="n">
        <v>0.982</v>
      </c>
      <c r="M291" s="87" t="n">
        <v>9769</v>
      </c>
      <c r="N291" s="87" t="n">
        <v>10039</v>
      </c>
      <c r="O291" s="87" t="n">
        <v>9618</v>
      </c>
      <c r="P291" s="88" t="n">
        <v>0.9845429419592588</v>
      </c>
      <c r="Q291" s="87" t="n">
        <v>47</v>
      </c>
      <c r="R291" s="87" t="n">
        <v>0</v>
      </c>
      <c r="S291" s="87" t="n">
        <v>0</v>
      </c>
      <c r="T291" s="88" t="n">
        <v>0</v>
      </c>
      <c r="U291" s="87" t="n">
        <v>0</v>
      </c>
      <c r="V291" s="88" t="n">
        <v>0</v>
      </c>
      <c r="W291" s="87" t="n">
        <v>257</v>
      </c>
      <c r="X291" s="88" t="n">
        <v>0.0891123439667129</v>
      </c>
      <c r="Y291" s="87" t="n">
        <v>576</v>
      </c>
      <c r="Z291" s="90" t="n">
        <v>0.1997226074895978</v>
      </c>
      <c r="AA291" s="87" t="n">
        <v>4</v>
      </c>
      <c r="AB291" s="88" t="n">
        <v>0.001386962552011096</v>
      </c>
      <c r="AC291" s="87" t="n">
        <v>97</v>
      </c>
      <c r="AD291" s="88" t="n">
        <v>0.03363384188626907</v>
      </c>
      <c r="AE291" s="87" t="n">
        <v>11</v>
      </c>
      <c r="AF291" s="88" t="n">
        <v>0.1134020618556701</v>
      </c>
      <c r="AG291" s="87" t="n">
        <v>82</v>
      </c>
      <c r="AH291" s="88" t="n">
        <v>0.845360824742268</v>
      </c>
      <c r="AI291" s="91" t="n">
        <v>81</v>
      </c>
      <c r="AJ291" s="88" t="n">
        <v>0.02808599167822469</v>
      </c>
      <c r="AK291" s="91" t="n">
        <v>4</v>
      </c>
      <c r="AL291" s="88" t="n">
        <v>0.8395061728395061</v>
      </c>
      <c r="AM291" s="91" t="n">
        <v>77</v>
      </c>
      <c r="AN291" s="91" t="n">
        <v>68</v>
      </c>
      <c r="AO291" s="88" t="n">
        <v>0.02357836338418863</v>
      </c>
      <c r="AP291" s="88" t="n">
        <v>0.7010309278350515</v>
      </c>
      <c r="AQ291" s="89" t="n">
        <v>0.9882352941176471</v>
      </c>
      <c r="AR291" s="89" t="n">
        <v>0.6455696202531646</v>
      </c>
      <c r="AS291" s="89" t="n">
        <v>0.6455696202531646</v>
      </c>
      <c r="AT291" s="91" t="n">
        <v>0</v>
      </c>
      <c r="AU291" s="91" t="n">
        <v>0</v>
      </c>
      <c r="AV291" s="91" t="n">
        <v>16</v>
      </c>
      <c r="AW291" s="91" t="n">
        <v>12</v>
      </c>
      <c r="AX291" s="91" t="n">
        <v>36</v>
      </c>
      <c r="AY291" s="91" t="n">
        <v>32</v>
      </c>
      <c r="AZ291" s="88" t="n">
        <v>0.004160887656033287</v>
      </c>
      <c r="BA291" s="88" t="n">
        <v>0.01248266296809986</v>
      </c>
      <c r="BB291" s="88" t="n">
        <v>0.01109570041608877</v>
      </c>
      <c r="BC291" s="88" t="n">
        <v>0.5294117647058824</v>
      </c>
      <c r="BD291" s="91" t="n">
        <v>0</v>
      </c>
      <c r="BE291" s="91" t="n">
        <v>0</v>
      </c>
      <c r="BF291" s="89" t="n">
        <v>1</v>
      </c>
      <c r="BG291" s="89" t="n">
        <v>1</v>
      </c>
      <c r="BH291" s="89" t="inlineStr">
        <is>
          <t>-</t>
        </is>
      </c>
    </row>
    <row r="292" ht="19.55" customHeight="1">
      <c r="A292" s="92" t="n">
        <v>289</v>
      </c>
      <c r="B292" s="87" t="inlineStr">
        <is>
          <t>全国</t>
        </is>
      </c>
      <c r="C292" s="93" t="n">
        <v>46280</v>
      </c>
      <c r="D292" s="87" t="inlineStr">
        <is>
          <t>NX8</t>
        </is>
      </c>
      <c r="E292" s="87" t="n">
        <v>4784</v>
      </c>
      <c r="F292" s="87" t="n">
        <v>4357</v>
      </c>
      <c r="G292" s="88" t="n">
        <v>0.9107441471571907</v>
      </c>
      <c r="H292" s="87" t="n">
        <v>1341</v>
      </c>
      <c r="I292" s="89" t="n">
        <v>0.280309364548495</v>
      </c>
      <c r="J292" s="87" t="n">
        <v>4103</v>
      </c>
      <c r="K292" s="87" t="n">
        <v>3967</v>
      </c>
      <c r="L292" s="88" t="n">
        <v>0.967</v>
      </c>
      <c r="M292" s="87" t="n">
        <v>21016</v>
      </c>
      <c r="N292" s="87" t="n">
        <v>21204</v>
      </c>
      <c r="O292" s="87" t="n">
        <v>20524</v>
      </c>
      <c r="P292" s="88" t="n">
        <v>0.9765892653216597</v>
      </c>
      <c r="Q292" s="87" t="n">
        <v>200</v>
      </c>
      <c r="R292" s="87" t="n">
        <v>0</v>
      </c>
      <c r="S292" s="87" t="n">
        <v>0</v>
      </c>
      <c r="T292" s="88" t="n">
        <v>0</v>
      </c>
      <c r="U292" s="87" t="n">
        <v>0</v>
      </c>
      <c r="V292" s="88" t="n">
        <v>0</v>
      </c>
      <c r="W292" s="87" t="n">
        <v>593</v>
      </c>
      <c r="X292" s="88" t="n">
        <v>0.1239548494983278</v>
      </c>
      <c r="Y292" s="87" t="n">
        <v>2041</v>
      </c>
      <c r="Z292" s="90" t="n">
        <v>0.4266304347826087</v>
      </c>
      <c r="AA292" s="87" t="n">
        <v>5</v>
      </c>
      <c r="AB292" s="88" t="n">
        <v>0.001045150501672241</v>
      </c>
      <c r="AC292" s="87" t="n">
        <v>377</v>
      </c>
      <c r="AD292" s="88" t="n">
        <v>0.07880434782608696</v>
      </c>
      <c r="AE292" s="87" t="n">
        <v>71</v>
      </c>
      <c r="AF292" s="88" t="n">
        <v>0.1883289124668435</v>
      </c>
      <c r="AG292" s="87" t="n">
        <v>318</v>
      </c>
      <c r="AH292" s="88" t="n">
        <v>0.843501326259947</v>
      </c>
      <c r="AI292" s="91" t="n">
        <v>358</v>
      </c>
      <c r="AJ292" s="88" t="n">
        <v>0.07483277591973245</v>
      </c>
      <c r="AK292" s="91" t="n">
        <v>13</v>
      </c>
      <c r="AL292" s="88" t="n">
        <v>0.888268156424581</v>
      </c>
      <c r="AM292" s="91" t="n">
        <v>345</v>
      </c>
      <c r="AN292" s="91" t="n">
        <v>318</v>
      </c>
      <c r="AO292" s="88" t="n">
        <v>0.06647157190635451</v>
      </c>
      <c r="AP292" s="88" t="n">
        <v>0.843501326259947</v>
      </c>
      <c r="AQ292" s="89" t="n">
        <v>0.9852941176470589</v>
      </c>
      <c r="AR292" s="89" t="n">
        <v>0.6731843575418994</v>
      </c>
      <c r="AS292" s="89" t="n">
        <v>0.6843575418994413</v>
      </c>
      <c r="AT292" s="91" t="n">
        <v>0</v>
      </c>
      <c r="AU292" s="91" t="n">
        <v>0</v>
      </c>
      <c r="AV292" s="91" t="n">
        <v>28</v>
      </c>
      <c r="AW292" s="91" t="n">
        <v>18</v>
      </c>
      <c r="AX292" s="91" t="n">
        <v>34</v>
      </c>
      <c r="AY292" s="91" t="n">
        <v>84</v>
      </c>
      <c r="AZ292" s="88" t="n">
        <v>0.003762541806020067</v>
      </c>
      <c r="BA292" s="88" t="n">
        <v>0.007107023411371237</v>
      </c>
      <c r="BB292" s="88" t="n">
        <v>0.01755852842809364</v>
      </c>
      <c r="BC292" s="88" t="n">
        <v>0.1069182389937107</v>
      </c>
      <c r="BD292" s="91" t="n">
        <v>0</v>
      </c>
      <c r="BE292" s="91" t="n">
        <v>0</v>
      </c>
      <c r="BF292" s="89" t="n">
        <v>1</v>
      </c>
      <c r="BG292" s="89" t="n">
        <v>1</v>
      </c>
      <c r="BH292" s="89" t="inlineStr">
        <is>
          <t>-</t>
        </is>
      </c>
    </row>
    <row r="293" ht="19.55" customHeight="1">
      <c r="A293" s="92" t="n">
        <v>290</v>
      </c>
      <c r="B293" s="87" t="inlineStr">
        <is>
          <t>全国</t>
        </is>
      </c>
      <c r="C293" s="93" t="n">
        <v>46280</v>
      </c>
      <c r="D293" s="87" t="inlineStr">
        <is>
          <t>天籁·鸿蒙座舱</t>
        </is>
      </c>
      <c r="E293" s="87" t="n">
        <v>4303</v>
      </c>
      <c r="F293" s="87" t="n">
        <v>3914</v>
      </c>
      <c r="G293" s="88" t="n">
        <v>0.9095979549151755</v>
      </c>
      <c r="H293" s="87" t="n">
        <v>2145</v>
      </c>
      <c r="I293" s="89" t="n">
        <v>0.4984894259818731</v>
      </c>
      <c r="J293" s="87" t="n">
        <v>4623</v>
      </c>
      <c r="K293" s="87" t="n">
        <v>4537</v>
      </c>
      <c r="L293" s="88" t="n">
        <v>0.981</v>
      </c>
      <c r="M293" s="87" t="n">
        <v>20786</v>
      </c>
      <c r="N293" s="87" t="n">
        <v>20867</v>
      </c>
      <c r="O293" s="87" t="n">
        <v>20486</v>
      </c>
      <c r="P293" s="88" t="n">
        <v>0.9855672086981623</v>
      </c>
      <c r="Q293" s="87" t="n">
        <v>132</v>
      </c>
      <c r="R293" s="87" t="n">
        <v>0</v>
      </c>
      <c r="S293" s="87" t="n">
        <v>0</v>
      </c>
      <c r="T293" s="88" t="n">
        <v>0</v>
      </c>
      <c r="U293" s="87" t="n">
        <v>0</v>
      </c>
      <c r="V293" s="88" t="n">
        <v>0</v>
      </c>
      <c r="W293" s="87" t="n">
        <v>331</v>
      </c>
      <c r="X293" s="88" t="n">
        <v>0.07692307692307693</v>
      </c>
      <c r="Y293" s="87" t="n">
        <v>1065</v>
      </c>
      <c r="Z293" s="90" t="n">
        <v>0.2475017429700209</v>
      </c>
      <c r="AA293" s="87" t="n">
        <v>7</v>
      </c>
      <c r="AB293" s="88" t="n">
        <v>0.001626772019521264</v>
      </c>
      <c r="AC293" s="87" t="n">
        <v>195</v>
      </c>
      <c r="AD293" s="88" t="n">
        <v>0.04531722054380664</v>
      </c>
      <c r="AE293" s="87" t="n">
        <v>38</v>
      </c>
      <c r="AF293" s="88" t="n">
        <v>0.1948717948717949</v>
      </c>
      <c r="AG293" s="87" t="n">
        <v>158</v>
      </c>
      <c r="AH293" s="88" t="n">
        <v>0.8102564102564103</v>
      </c>
      <c r="AI293" s="91" t="n">
        <v>147</v>
      </c>
      <c r="AJ293" s="88" t="n">
        <v>0.03416221240994655</v>
      </c>
      <c r="AK293" s="91" t="n">
        <v>6</v>
      </c>
      <c r="AL293" s="88" t="n">
        <v>0.8163265306122449</v>
      </c>
      <c r="AM293" s="91" t="n">
        <v>137</v>
      </c>
      <c r="AN293" s="91" t="n">
        <v>120</v>
      </c>
      <c r="AO293" s="88" t="n">
        <v>0.02788752033465024</v>
      </c>
      <c r="AP293" s="88" t="n">
        <v>0.6153846153846154</v>
      </c>
      <c r="AQ293" s="89" t="n">
        <v>0.9917355371900827</v>
      </c>
      <c r="AR293" s="89" t="n">
        <v>0.5310344827586206</v>
      </c>
      <c r="AS293" s="89" t="n">
        <v>0.5862068965517241</v>
      </c>
      <c r="AT293" s="91" t="n">
        <v>0</v>
      </c>
      <c r="AU293" s="91" t="n">
        <v>0</v>
      </c>
      <c r="AV293" s="91" t="n">
        <v>51</v>
      </c>
      <c r="AW293" s="91" t="n">
        <v>45</v>
      </c>
      <c r="AX293" s="91" t="n">
        <v>48</v>
      </c>
      <c r="AY293" s="91" t="n">
        <v>54</v>
      </c>
      <c r="AZ293" s="88" t="n">
        <v>0.01045782012549384</v>
      </c>
      <c r="BA293" s="88" t="n">
        <v>0.0111550081338601</v>
      </c>
      <c r="BB293" s="88" t="n">
        <v>0.01254938415059261</v>
      </c>
      <c r="BC293" s="88" t="n">
        <v>0.4</v>
      </c>
      <c r="BD293" s="91" t="n">
        <v>0</v>
      </c>
      <c r="BE293" s="91" t="n">
        <v>1</v>
      </c>
      <c r="BF293" s="89" t="n">
        <v>1</v>
      </c>
      <c r="BG293" s="89" t="n">
        <v>0.9090909090909091</v>
      </c>
      <c r="BH293" s="89" t="inlineStr">
        <is>
          <t>-</t>
        </is>
      </c>
    </row>
    <row r="294" ht="19.55" customHeight="1">
      <c r="A294" s="92" t="n">
        <v>291</v>
      </c>
      <c r="B294" s="87" t="inlineStr">
        <is>
          <t>全国</t>
        </is>
      </c>
      <c r="C294" s="93" t="n">
        <v>46281</v>
      </c>
      <c r="D294" s="87" t="n"/>
      <c r="E294" s="87" t="n">
        <v>20</v>
      </c>
      <c r="F294" s="87" t="n">
        <v>20</v>
      </c>
      <c r="G294" s="88" t="n">
        <v>1</v>
      </c>
      <c r="H294" s="87" t="n">
        <v>20</v>
      </c>
      <c r="I294" s="89" t="n">
        <v>1</v>
      </c>
      <c r="J294" s="87" t="n">
        <v>0</v>
      </c>
      <c r="K294" s="87" t="n">
        <v>0</v>
      </c>
      <c r="L294" s="88" t="n">
        <v>0</v>
      </c>
      <c r="M294" s="87" t="n">
        <v>0</v>
      </c>
      <c r="N294" s="87" t="n">
        <v>1</v>
      </c>
      <c r="O294" s="87" t="n">
        <v>0</v>
      </c>
      <c r="P294" s="88" t="n">
        <v>0</v>
      </c>
      <c r="Q294" s="87" t="n">
        <v>0</v>
      </c>
      <c r="R294" s="87" t="n">
        <v>0</v>
      </c>
      <c r="S294" s="87" t="n">
        <v>0</v>
      </c>
      <c r="T294" s="88" t="n">
        <v>0</v>
      </c>
      <c r="U294" s="87" t="n">
        <v>0</v>
      </c>
      <c r="V294" s="88" t="n">
        <v>0</v>
      </c>
      <c r="W294" s="87" t="n">
        <v>13</v>
      </c>
      <c r="X294" s="88" t="n">
        <v>0.65</v>
      </c>
      <c r="Y294" s="87" t="n">
        <v>6</v>
      </c>
      <c r="Z294" s="90" t="n">
        <v>0.3</v>
      </c>
      <c r="AA294" s="87" t="n">
        <v>0</v>
      </c>
      <c r="AB294" s="88" t="n">
        <v>0</v>
      </c>
      <c r="AC294" s="87" t="n">
        <v>0</v>
      </c>
      <c r="AD294" s="88" t="n">
        <v>0</v>
      </c>
      <c r="AE294" s="87" t="n">
        <v>0</v>
      </c>
      <c r="AF294" s="88" t="n">
        <v>0</v>
      </c>
      <c r="AG294" s="87" t="n">
        <v>0</v>
      </c>
      <c r="AH294" s="88" t="n">
        <v>0</v>
      </c>
      <c r="AI294" s="91" t="n">
        <v>0</v>
      </c>
      <c r="AJ294" s="88" t="n">
        <v>0</v>
      </c>
      <c r="AK294" s="91" t="n">
        <v>0</v>
      </c>
      <c r="AL294" s="88" t="n">
        <v>0</v>
      </c>
      <c r="AM294" s="91" t="n">
        <v>0</v>
      </c>
      <c r="AN294" s="91" t="n">
        <v>0</v>
      </c>
      <c r="AO294" s="88" t="n">
        <v>0</v>
      </c>
      <c r="AP294" s="88" t="n">
        <v>0</v>
      </c>
      <c r="AQ294" s="89" t="n"/>
      <c r="AR294" s="89" t="n">
        <v>0</v>
      </c>
      <c r="AS294" s="89" t="n">
        <v>0.3333333333333333</v>
      </c>
      <c r="AT294" s="91" t="n">
        <v>0</v>
      </c>
      <c r="AU294" s="91" t="n">
        <v>0</v>
      </c>
      <c r="AV294" s="91" t="n">
        <v>0</v>
      </c>
      <c r="AW294" s="91" t="n">
        <v>0</v>
      </c>
      <c r="AX294" s="91" t="n">
        <v>0</v>
      </c>
      <c r="AY294" s="91" t="n">
        <v>0</v>
      </c>
      <c r="AZ294" s="88" t="n">
        <v>0</v>
      </c>
      <c r="BA294" s="88" t="n">
        <v>0</v>
      </c>
      <c r="BB294" s="88" t="n">
        <v>0</v>
      </c>
      <c r="BC294" s="88" t="n">
        <v>0</v>
      </c>
      <c r="BD294" s="91" t="n">
        <v>0</v>
      </c>
      <c r="BE294" s="91" t="n">
        <v>0</v>
      </c>
      <c r="BF294" s="89" t="inlineStr">
        <is>
          <t>-</t>
        </is>
      </c>
      <c r="BG294" s="89" t="inlineStr">
        <is>
          <t>-</t>
        </is>
      </c>
      <c r="BH294" s="89" t="n">
        <v>1</v>
      </c>
    </row>
    <row r="295" ht="19.55" customHeight="1">
      <c r="A295" s="92" t="n">
        <v>292</v>
      </c>
      <c r="B295" s="87" t="inlineStr">
        <is>
          <t>全国</t>
        </is>
      </c>
      <c r="C295" s="93" t="n">
        <v>46281</v>
      </c>
      <c r="D295" s="87" t="inlineStr">
        <is>
          <t>2026款探陆</t>
        </is>
      </c>
      <c r="E295" s="87" t="n">
        <v>72</v>
      </c>
      <c r="F295" s="87" t="n">
        <v>69</v>
      </c>
      <c r="G295" s="88" t="n">
        <v>0.9583333333333334</v>
      </c>
      <c r="H295" s="87" t="n">
        <v>46</v>
      </c>
      <c r="I295" s="89" t="n">
        <v>0.6388888888888888</v>
      </c>
      <c r="J295" s="87" t="n">
        <v>113</v>
      </c>
      <c r="K295" s="87" t="n">
        <v>53</v>
      </c>
      <c r="L295" s="88" t="n">
        <v>0.469</v>
      </c>
      <c r="M295" s="87" t="n">
        <v>593</v>
      </c>
      <c r="N295" s="87" t="n">
        <v>532</v>
      </c>
      <c r="O295" s="87" t="n">
        <v>466</v>
      </c>
      <c r="P295" s="88" t="n">
        <v>0.7858347386172007</v>
      </c>
      <c r="Q295" s="87" t="n">
        <v>68</v>
      </c>
      <c r="R295" s="87" t="n">
        <v>0</v>
      </c>
      <c r="S295" s="87" t="n">
        <v>0</v>
      </c>
      <c r="T295" s="88" t="n">
        <v>0</v>
      </c>
      <c r="U295" s="87" t="n">
        <v>0</v>
      </c>
      <c r="V295" s="88" t="n">
        <v>0</v>
      </c>
      <c r="W295" s="87" t="n">
        <v>5</v>
      </c>
      <c r="X295" s="88" t="n">
        <v>0.06944444444444445</v>
      </c>
      <c r="Y295" s="87" t="n">
        <v>13</v>
      </c>
      <c r="Z295" s="90" t="n">
        <v>0.1805555555555556</v>
      </c>
      <c r="AA295" s="87" t="n">
        <v>31</v>
      </c>
      <c r="AB295" s="88" t="n">
        <v>0.4305555555555556</v>
      </c>
      <c r="AC295" s="87" t="n">
        <v>2</v>
      </c>
      <c r="AD295" s="88" t="n">
        <v>0.02777777777777778</v>
      </c>
      <c r="AE295" s="87" t="n">
        <v>0</v>
      </c>
      <c r="AF295" s="88" t="n">
        <v>0</v>
      </c>
      <c r="AG295" s="87" t="n">
        <v>0</v>
      </c>
      <c r="AH295" s="88" t="n">
        <v>0</v>
      </c>
      <c r="AI295" s="91" t="n">
        <v>0</v>
      </c>
      <c r="AJ295" s="88" t="n">
        <v>0</v>
      </c>
      <c r="AK295" s="91" t="n">
        <v>0</v>
      </c>
      <c r="AL295" s="88" t="n">
        <v>0</v>
      </c>
      <c r="AM295" s="91" t="n">
        <v>0</v>
      </c>
      <c r="AN295" s="91" t="n">
        <v>0</v>
      </c>
      <c r="AO295" s="88" t="n">
        <v>0</v>
      </c>
      <c r="AP295" s="88" t="n">
        <v>0</v>
      </c>
      <c r="AQ295" s="89" t="n"/>
      <c r="AR295" s="89" t="n">
        <v>0</v>
      </c>
      <c r="AS295" s="89" t="n">
        <v>0</v>
      </c>
      <c r="AT295" s="91" t="n">
        <v>0</v>
      </c>
      <c r="AU295" s="91" t="n">
        <v>0</v>
      </c>
      <c r="AV295" s="91" t="n">
        <v>3</v>
      </c>
      <c r="AW295" s="91" t="n">
        <v>3</v>
      </c>
      <c r="AX295" s="91" t="n">
        <v>3</v>
      </c>
      <c r="AY295" s="91" t="n">
        <v>6</v>
      </c>
      <c r="AZ295" s="88" t="n">
        <v>0.04166666666666666</v>
      </c>
      <c r="BA295" s="88" t="n">
        <v>0.04166666666666666</v>
      </c>
      <c r="BB295" s="88" t="n">
        <v>0.08333333333333333</v>
      </c>
      <c r="BC295" s="88" t="n">
        <v>0</v>
      </c>
      <c r="BD295" s="91" t="n">
        <v>0</v>
      </c>
      <c r="BE295" s="91" t="n">
        <v>0</v>
      </c>
      <c r="BF295" s="89" t="inlineStr">
        <is>
          <t>-</t>
        </is>
      </c>
      <c r="BG295" s="89" t="n">
        <v>1</v>
      </c>
      <c r="BH295" s="89" t="inlineStr">
        <is>
          <t>-</t>
        </is>
      </c>
    </row>
    <row r="296" ht="19.55" customHeight="1">
      <c r="A296" s="92" t="n">
        <v>293</v>
      </c>
      <c r="B296" s="87" t="inlineStr">
        <is>
          <t>全国</t>
        </is>
      </c>
      <c r="C296" s="93" t="n">
        <v>46281</v>
      </c>
      <c r="D296" s="87" t="inlineStr">
        <is>
          <t>N6</t>
        </is>
      </c>
      <c r="E296" s="87" t="n">
        <v>1613</v>
      </c>
      <c r="F296" s="87" t="n">
        <v>1451</v>
      </c>
      <c r="G296" s="88" t="n">
        <v>0.8995660260384377</v>
      </c>
      <c r="H296" s="87" t="n">
        <v>513</v>
      </c>
      <c r="I296" s="89" t="n">
        <v>0.3180409175449473</v>
      </c>
      <c r="J296" s="87" t="n">
        <v>1326</v>
      </c>
      <c r="K296" s="87" t="n">
        <v>1301</v>
      </c>
      <c r="L296" s="88" t="n">
        <v>0.981</v>
      </c>
      <c r="M296" s="87" t="n">
        <v>6753</v>
      </c>
      <c r="N296" s="87" t="n">
        <v>6734</v>
      </c>
      <c r="O296" s="87" t="n">
        <v>6655</v>
      </c>
      <c r="P296" s="88" t="n">
        <v>0.9854879312897972</v>
      </c>
      <c r="Q296" s="87" t="n">
        <v>34</v>
      </c>
      <c r="R296" s="87" t="n">
        <v>0</v>
      </c>
      <c r="S296" s="87" t="n">
        <v>0</v>
      </c>
      <c r="T296" s="88" t="n">
        <v>0</v>
      </c>
      <c r="U296" s="87" t="n">
        <v>0</v>
      </c>
      <c r="V296" s="88" t="n">
        <v>0</v>
      </c>
      <c r="W296" s="87" t="n">
        <v>161</v>
      </c>
      <c r="X296" s="88" t="n">
        <v>0.09981401115933045</v>
      </c>
      <c r="Y296" s="87" t="n">
        <v>366</v>
      </c>
      <c r="Z296" s="90" t="n">
        <v>0.226906385616863</v>
      </c>
      <c r="AA296" s="87" t="n">
        <v>4</v>
      </c>
      <c r="AB296" s="88" t="n">
        <v>0.002479851208927464</v>
      </c>
      <c r="AC296" s="87" t="n">
        <v>122</v>
      </c>
      <c r="AD296" s="88" t="n">
        <v>0.07563546187228766</v>
      </c>
      <c r="AE296" s="87" t="n">
        <v>24</v>
      </c>
      <c r="AF296" s="88" t="n">
        <v>0.1967213114754098</v>
      </c>
      <c r="AG296" s="87" t="n">
        <v>94</v>
      </c>
      <c r="AH296" s="88" t="n">
        <v>0.7704918032786885</v>
      </c>
      <c r="AI296" s="91" t="n">
        <v>106</v>
      </c>
      <c r="AJ296" s="88" t="n">
        <v>0.0657160570365778</v>
      </c>
      <c r="AK296" s="91" t="n">
        <v>2</v>
      </c>
      <c r="AL296" s="88" t="n">
        <v>0.7924528301886793</v>
      </c>
      <c r="AM296" s="91" t="n">
        <v>102</v>
      </c>
      <c r="AN296" s="91" t="n">
        <v>84</v>
      </c>
      <c r="AO296" s="88" t="n">
        <v>0.05207687538747675</v>
      </c>
      <c r="AP296" s="88" t="n">
        <v>0.6885245901639344</v>
      </c>
      <c r="AQ296" s="89" t="n">
        <v>1</v>
      </c>
      <c r="AR296" s="89" t="n">
        <v>0.6534653465346535</v>
      </c>
      <c r="AS296" s="89" t="n">
        <v>0.6237623762376238</v>
      </c>
      <c r="AT296" s="91" t="n">
        <v>0</v>
      </c>
      <c r="AU296" s="91" t="n">
        <v>0</v>
      </c>
      <c r="AV296" s="91" t="n">
        <v>20</v>
      </c>
      <c r="AW296" s="91" t="n">
        <v>12</v>
      </c>
      <c r="AX296" s="91" t="n">
        <v>13</v>
      </c>
      <c r="AY296" s="91" t="n">
        <v>41</v>
      </c>
      <c r="AZ296" s="88" t="n">
        <v>0.007439553626782393</v>
      </c>
      <c r="BA296" s="88" t="n">
        <v>0.008059516429014259</v>
      </c>
      <c r="BB296" s="88" t="n">
        <v>0.02541847489150651</v>
      </c>
      <c r="BC296" s="88" t="n">
        <v>0.1547619047619048</v>
      </c>
      <c r="BD296" s="91" t="n">
        <v>0</v>
      </c>
      <c r="BE296" s="91" t="n">
        <v>0</v>
      </c>
      <c r="BF296" s="89" t="n">
        <v>1</v>
      </c>
      <c r="BG296" s="89" t="n">
        <v>1</v>
      </c>
      <c r="BH296" s="89" t="inlineStr">
        <is>
          <t>-</t>
        </is>
      </c>
    </row>
    <row r="297" ht="19.55" customHeight="1">
      <c r="A297" s="92" t="n">
        <v>294</v>
      </c>
      <c r="B297" s="87" t="inlineStr">
        <is>
          <t>全国</t>
        </is>
      </c>
      <c r="C297" s="93" t="n">
        <v>46281</v>
      </c>
      <c r="D297" s="87" t="inlineStr">
        <is>
          <t>N7</t>
        </is>
      </c>
      <c r="E297" s="87" t="n">
        <v>2829</v>
      </c>
      <c r="F297" s="87" t="n">
        <v>2463</v>
      </c>
      <c r="G297" s="88" t="n">
        <v>0.8706256627783669</v>
      </c>
      <c r="H297" s="87" t="n">
        <v>1366</v>
      </c>
      <c r="I297" s="89" t="n">
        <v>0.4828561329091552</v>
      </c>
      <c r="J297" s="87" t="n">
        <v>2574</v>
      </c>
      <c r="K297" s="87" t="n">
        <v>2517</v>
      </c>
      <c r="L297" s="88" t="n">
        <v>0.978</v>
      </c>
      <c r="M297" s="87" t="n">
        <v>9409</v>
      </c>
      <c r="N297" s="87" t="n">
        <v>9209</v>
      </c>
      <c r="O297" s="87" t="n">
        <v>9245</v>
      </c>
      <c r="P297" s="88" t="n">
        <v>0.9825698799022213</v>
      </c>
      <c r="Q297" s="87" t="n">
        <v>47</v>
      </c>
      <c r="R297" s="87" t="n">
        <v>0</v>
      </c>
      <c r="S297" s="87" t="n">
        <v>0</v>
      </c>
      <c r="T297" s="88" t="n">
        <v>0</v>
      </c>
      <c r="U297" s="87" t="n">
        <v>0</v>
      </c>
      <c r="V297" s="88" t="n">
        <v>0</v>
      </c>
      <c r="W297" s="87" t="n">
        <v>173</v>
      </c>
      <c r="X297" s="88" t="n">
        <v>0.06115235065394132</v>
      </c>
      <c r="Y297" s="87" t="n">
        <v>610</v>
      </c>
      <c r="Z297" s="90" t="n">
        <v>0.2156238953693885</v>
      </c>
      <c r="AA297" s="87" t="n">
        <v>0</v>
      </c>
      <c r="AB297" s="88" t="n">
        <v>0</v>
      </c>
      <c r="AC297" s="87" t="n">
        <v>85</v>
      </c>
      <c r="AD297" s="88" t="n">
        <v>0.03004595263343938</v>
      </c>
      <c r="AE297" s="87" t="n">
        <v>7</v>
      </c>
      <c r="AF297" s="88" t="n">
        <v>0.08235294117647059</v>
      </c>
      <c r="AG297" s="87" t="n">
        <v>76</v>
      </c>
      <c r="AH297" s="88" t="n">
        <v>0.8941176470588236</v>
      </c>
      <c r="AI297" s="91" t="n">
        <v>90</v>
      </c>
      <c r="AJ297" s="88" t="n">
        <v>0.03181336161187698</v>
      </c>
      <c r="AK297" s="91" t="n">
        <v>2</v>
      </c>
      <c r="AL297" s="88" t="n">
        <v>0.8333333333333334</v>
      </c>
      <c r="AM297" s="91" t="n">
        <v>85</v>
      </c>
      <c r="AN297" s="91" t="n">
        <v>75</v>
      </c>
      <c r="AO297" s="88" t="n">
        <v>0.02651113467656416</v>
      </c>
      <c r="AP297" s="88" t="n">
        <v>0.8823529411764706</v>
      </c>
      <c r="AQ297" s="89" t="n">
        <v>0.9594594594594594</v>
      </c>
      <c r="AR297" s="89" t="n">
        <v>0.7058823529411765</v>
      </c>
      <c r="AS297" s="89" t="n">
        <v>0.7254901960784313</v>
      </c>
      <c r="AT297" s="91" t="n">
        <v>0</v>
      </c>
      <c r="AU297" s="91" t="n">
        <v>0</v>
      </c>
      <c r="AV297" s="91" t="n">
        <v>15</v>
      </c>
      <c r="AW297" s="91" t="n">
        <v>4</v>
      </c>
      <c r="AX297" s="91" t="n">
        <v>16</v>
      </c>
      <c r="AY297" s="91" t="n">
        <v>34</v>
      </c>
      <c r="AZ297" s="88" t="n">
        <v>0.001413927182750088</v>
      </c>
      <c r="BA297" s="88" t="n">
        <v>0.005655708731000354</v>
      </c>
      <c r="BB297" s="88" t="n">
        <v>0.01201838105337575</v>
      </c>
      <c r="BC297" s="88" t="n">
        <v>0.2133333333333333</v>
      </c>
      <c r="BD297" s="91" t="n">
        <v>0</v>
      </c>
      <c r="BE297" s="91" t="n">
        <v>0</v>
      </c>
      <c r="BF297" s="89" t="n">
        <v>1</v>
      </c>
      <c r="BG297" s="89" t="n">
        <v>1</v>
      </c>
      <c r="BH297" s="89" t="inlineStr">
        <is>
          <t>-</t>
        </is>
      </c>
    </row>
    <row r="298" ht="19.55" customHeight="1">
      <c r="A298" s="92" t="n">
        <v>295</v>
      </c>
      <c r="B298" s="87" t="inlineStr">
        <is>
          <t>全国</t>
        </is>
      </c>
      <c r="C298" s="93" t="n">
        <v>46281</v>
      </c>
      <c r="D298" s="87" t="inlineStr">
        <is>
          <t>NX8</t>
        </is>
      </c>
      <c r="E298" s="87" t="n">
        <v>4854</v>
      </c>
      <c r="F298" s="87" t="n">
        <v>4451</v>
      </c>
      <c r="G298" s="88" t="n">
        <v>0.9169756901524516</v>
      </c>
      <c r="H298" s="87" t="n">
        <v>1351</v>
      </c>
      <c r="I298" s="89" t="n">
        <v>0.2783271528636176</v>
      </c>
      <c r="J298" s="87" t="n">
        <v>4011</v>
      </c>
      <c r="K298" s="87" t="n">
        <v>3875</v>
      </c>
      <c r="L298" s="88" t="n">
        <v>0.966</v>
      </c>
      <c r="M298" s="87" t="n">
        <v>20384</v>
      </c>
      <c r="N298" s="87" t="n">
        <v>20096</v>
      </c>
      <c r="O298" s="87" t="n">
        <v>19972</v>
      </c>
      <c r="P298" s="88" t="n">
        <v>0.9797880690737834</v>
      </c>
      <c r="Q298" s="87" t="n">
        <v>156</v>
      </c>
      <c r="R298" s="87" t="n">
        <v>0</v>
      </c>
      <c r="S298" s="87" t="n">
        <v>0</v>
      </c>
      <c r="T298" s="88" t="n">
        <v>0</v>
      </c>
      <c r="U298" s="87" t="n">
        <v>0</v>
      </c>
      <c r="V298" s="88" t="n">
        <v>0</v>
      </c>
      <c r="W298" s="87" t="n">
        <v>501</v>
      </c>
      <c r="X298" s="88" t="n">
        <v>0.1032138442521632</v>
      </c>
      <c r="Y298" s="87" t="n">
        <v>3443</v>
      </c>
      <c r="Z298" s="90" t="n">
        <v>0.7093119077049855</v>
      </c>
      <c r="AA298" s="87" t="n">
        <v>6</v>
      </c>
      <c r="AB298" s="88" t="n">
        <v>0.001236093943139679</v>
      </c>
      <c r="AC298" s="87" t="n">
        <v>414</v>
      </c>
      <c r="AD298" s="88" t="n">
        <v>0.08529048207663782</v>
      </c>
      <c r="AE298" s="87" t="n">
        <v>64</v>
      </c>
      <c r="AF298" s="88" t="n">
        <v>0.1545893719806763</v>
      </c>
      <c r="AG298" s="87" t="n">
        <v>325</v>
      </c>
      <c r="AH298" s="88" t="n">
        <v>0.785024154589372</v>
      </c>
      <c r="AI298" s="91" t="n">
        <v>351</v>
      </c>
      <c r="AJ298" s="88" t="n">
        <v>0.07231149567367121</v>
      </c>
      <c r="AK298" s="91" t="n">
        <v>16</v>
      </c>
      <c r="AL298" s="88" t="n">
        <v>0.8347578347578347</v>
      </c>
      <c r="AM298" s="91" t="n">
        <v>342</v>
      </c>
      <c r="AN298" s="91" t="n">
        <v>293</v>
      </c>
      <c r="AO298" s="88" t="n">
        <v>0.06036258755665431</v>
      </c>
      <c r="AP298" s="88" t="n">
        <v>0.7077294685990339</v>
      </c>
      <c r="AQ298" s="89" t="n">
        <v>0.98</v>
      </c>
      <c r="AR298" s="89" t="n">
        <v>0.6738461538461539</v>
      </c>
      <c r="AS298" s="89" t="n">
        <v>0.6738461538461539</v>
      </c>
      <c r="AT298" s="91" t="n">
        <v>0</v>
      </c>
      <c r="AU298" s="91" t="n">
        <v>0</v>
      </c>
      <c r="AV298" s="91" t="n">
        <v>35</v>
      </c>
      <c r="AW298" s="91" t="n">
        <v>23</v>
      </c>
      <c r="AX298" s="91" t="n">
        <v>33</v>
      </c>
      <c r="AY298" s="91" t="n">
        <v>105</v>
      </c>
      <c r="AZ298" s="88" t="n">
        <v>0.004738360115368768</v>
      </c>
      <c r="BA298" s="88" t="n">
        <v>0.006798516687268232</v>
      </c>
      <c r="BB298" s="88" t="n">
        <v>0.02163164400494438</v>
      </c>
      <c r="BC298" s="88" t="n">
        <v>0.1126279863481229</v>
      </c>
      <c r="BD298" s="91" t="n">
        <v>0</v>
      </c>
      <c r="BE298" s="91" t="n">
        <v>0</v>
      </c>
      <c r="BF298" s="89" t="n">
        <v>0.9882352941176471</v>
      </c>
      <c r="BG298" s="89" t="n">
        <v>1</v>
      </c>
      <c r="BH298" s="89" t="inlineStr">
        <is>
          <t>-</t>
        </is>
      </c>
    </row>
    <row r="299" ht="19.55" customHeight="1">
      <c r="A299" s="92" t="n">
        <v>296</v>
      </c>
      <c r="B299" s="87" t="inlineStr">
        <is>
          <t>全国</t>
        </is>
      </c>
      <c r="C299" s="93" t="n">
        <v>46281</v>
      </c>
      <c r="D299" s="87" t="inlineStr">
        <is>
          <t>天籁·鸿蒙座舱</t>
        </is>
      </c>
      <c r="E299" s="87" t="n">
        <v>4191</v>
      </c>
      <c r="F299" s="87" t="n">
        <v>3799</v>
      </c>
      <c r="G299" s="88" t="n">
        <v>0.9064662371748986</v>
      </c>
      <c r="H299" s="87" t="n">
        <v>2155</v>
      </c>
      <c r="I299" s="89" t="n">
        <v>0.5141970890002386</v>
      </c>
      <c r="J299" s="87" t="n">
        <v>5111</v>
      </c>
      <c r="K299" s="87" t="n">
        <v>4998</v>
      </c>
      <c r="L299" s="88" t="n">
        <v>0.978</v>
      </c>
      <c r="M299" s="87" t="n">
        <v>22028</v>
      </c>
      <c r="N299" s="87" t="n">
        <v>21138</v>
      </c>
      <c r="O299" s="87" t="n">
        <v>21719</v>
      </c>
      <c r="P299" s="88" t="n">
        <v>0.9859723987652079</v>
      </c>
      <c r="Q299" s="87" t="n">
        <v>102</v>
      </c>
      <c r="R299" s="87" t="n">
        <v>0</v>
      </c>
      <c r="S299" s="87" t="n">
        <v>0</v>
      </c>
      <c r="T299" s="88" t="n">
        <v>0</v>
      </c>
      <c r="U299" s="87" t="n">
        <v>0</v>
      </c>
      <c r="V299" s="88" t="n">
        <v>0</v>
      </c>
      <c r="W299" s="87" t="n">
        <v>255</v>
      </c>
      <c r="X299" s="88" t="n">
        <v>0.06084466714387974</v>
      </c>
      <c r="Y299" s="87" t="n">
        <v>971</v>
      </c>
      <c r="Z299" s="90" t="n">
        <v>0.2316869482223813</v>
      </c>
      <c r="AA299" s="87" t="n">
        <v>16</v>
      </c>
      <c r="AB299" s="88" t="n">
        <v>0.00381770460510618</v>
      </c>
      <c r="AC299" s="87" t="n">
        <v>185</v>
      </c>
      <c r="AD299" s="88" t="n">
        <v>0.04414220949654021</v>
      </c>
      <c r="AE299" s="87" t="n">
        <v>34</v>
      </c>
      <c r="AF299" s="88" t="n">
        <v>0.1837837837837838</v>
      </c>
      <c r="AG299" s="87" t="n">
        <v>131</v>
      </c>
      <c r="AH299" s="88" t="n">
        <v>0.7081081081081081</v>
      </c>
      <c r="AI299" s="91" t="n">
        <v>125</v>
      </c>
      <c r="AJ299" s="88" t="n">
        <v>0.02982581722739203</v>
      </c>
      <c r="AK299" s="91" t="n">
        <v>3</v>
      </c>
      <c r="AL299" s="88" t="n">
        <v>0.832</v>
      </c>
      <c r="AM299" s="91" t="n">
        <v>115</v>
      </c>
      <c r="AN299" s="91" t="n">
        <v>104</v>
      </c>
      <c r="AO299" s="88" t="n">
        <v>0.02481507993319017</v>
      </c>
      <c r="AP299" s="88" t="n">
        <v>0.5621621621621622</v>
      </c>
      <c r="AQ299" s="89" t="n">
        <v>0.9705882352941176</v>
      </c>
      <c r="AR299" s="89" t="n">
        <v>0.6</v>
      </c>
      <c r="AS299" s="89" t="n">
        <v>0.5833333333333334</v>
      </c>
      <c r="AT299" s="91" t="n">
        <v>0</v>
      </c>
      <c r="AU299" s="91" t="n">
        <v>0</v>
      </c>
      <c r="AV299" s="91" t="n">
        <v>45</v>
      </c>
      <c r="AW299" s="91" t="n">
        <v>39</v>
      </c>
      <c r="AX299" s="91" t="n">
        <v>41</v>
      </c>
      <c r="AY299" s="91" t="n">
        <v>84</v>
      </c>
      <c r="AZ299" s="88" t="n">
        <v>0.009305654974946313</v>
      </c>
      <c r="BA299" s="88" t="n">
        <v>0.009782868050584585</v>
      </c>
      <c r="BB299" s="88" t="n">
        <v>0.02004294917680744</v>
      </c>
      <c r="BC299" s="88" t="n">
        <v>0.3942307692307692</v>
      </c>
      <c r="BD299" s="91" t="n">
        <v>0</v>
      </c>
      <c r="BE299" s="91" t="n">
        <v>0</v>
      </c>
      <c r="BF299" s="89" t="n">
        <v>1</v>
      </c>
      <c r="BG299" s="89" t="n">
        <v>1</v>
      </c>
      <c r="BH299" s="89" t="inlineStr">
        <is>
          <t>-</t>
        </is>
      </c>
    </row>
    <row r="300" ht="19.55" customHeight="1">
      <c r="A300" s="92" t="n">
        <v>297</v>
      </c>
      <c r="B300" s="87" t="inlineStr">
        <is>
          <t>全国</t>
        </is>
      </c>
      <c r="C300" s="93" t="n">
        <v>46281</v>
      </c>
      <c r="D300" s="87" t="inlineStr">
        <is>
          <t>探陆</t>
        </is>
      </c>
      <c r="E300" s="87" t="n">
        <v>0</v>
      </c>
      <c r="F300" s="87" t="n">
        <v>0</v>
      </c>
      <c r="G300" s="88" t="n">
        <v>0</v>
      </c>
      <c r="H300" s="87" t="n">
        <v>0</v>
      </c>
      <c r="I300" s="89" t="n">
        <v>0</v>
      </c>
      <c r="J300" s="87" t="n">
        <v>0</v>
      </c>
      <c r="K300" s="87" t="n">
        <v>0</v>
      </c>
      <c r="L300" s="88" t="n">
        <v>0</v>
      </c>
      <c r="M300" s="87" t="n">
        <v>0</v>
      </c>
      <c r="N300" s="87" t="n">
        <v>0</v>
      </c>
      <c r="O300" s="87" t="n">
        <v>0</v>
      </c>
      <c r="P300" s="88" t="n">
        <v>0</v>
      </c>
      <c r="Q300" s="87" t="n">
        <v>0</v>
      </c>
      <c r="R300" s="87" t="n">
        <v>0</v>
      </c>
      <c r="S300" s="87" t="n">
        <v>0</v>
      </c>
      <c r="T300" s="88" t="n">
        <v>0</v>
      </c>
      <c r="U300" s="87" t="n">
        <v>0</v>
      </c>
      <c r="V300" s="88" t="n">
        <v>0</v>
      </c>
      <c r="W300" s="87" t="n">
        <v>0</v>
      </c>
      <c r="X300" s="88" t="n">
        <v>0</v>
      </c>
      <c r="Y300" s="87" t="n">
        <v>0</v>
      </c>
      <c r="Z300" s="90" t="n">
        <v>0</v>
      </c>
      <c r="AA300" s="87" t="n">
        <v>0</v>
      </c>
      <c r="AB300" s="88" t="n">
        <v>0</v>
      </c>
      <c r="AC300" s="87" t="n">
        <v>0</v>
      </c>
      <c r="AD300" s="88" t="n">
        <v>0</v>
      </c>
      <c r="AE300" s="87" t="n">
        <v>0</v>
      </c>
      <c r="AF300" s="88" t="n">
        <v>0</v>
      </c>
      <c r="AG300" s="87" t="n">
        <v>0</v>
      </c>
      <c r="AH300" s="88" t="n">
        <v>0</v>
      </c>
      <c r="AI300" s="91" t="n">
        <v>1</v>
      </c>
      <c r="AJ300" s="88" t="n">
        <v>0</v>
      </c>
      <c r="AK300" s="91" t="n">
        <v>0</v>
      </c>
      <c r="AL300" s="88" t="n">
        <v>1</v>
      </c>
      <c r="AM300" s="91" t="n">
        <v>1</v>
      </c>
      <c r="AN300" s="91" t="n">
        <v>1</v>
      </c>
      <c r="AO300" s="88" t="n">
        <v>0</v>
      </c>
      <c r="AP300" s="88" t="n">
        <v>0</v>
      </c>
      <c r="AQ300" s="89" t="n"/>
      <c r="AR300" s="89" t="inlineStr">
        <is>
          <t>0.0%</t>
        </is>
      </c>
      <c r="AS300" s="89" t="inlineStr">
        <is>
          <t>0.0%</t>
        </is>
      </c>
      <c r="AT300" s="91" t="n">
        <v>0</v>
      </c>
      <c r="AU300" s="91" t="n">
        <v>0</v>
      </c>
      <c r="AV300" s="91" t="n">
        <v>0</v>
      </c>
      <c r="AW300" s="91" t="n">
        <v>0</v>
      </c>
      <c r="AX300" s="91" t="n">
        <v>0</v>
      </c>
      <c r="AY300" s="91" t="n">
        <v>0</v>
      </c>
      <c r="AZ300" s="88" t="n">
        <v>0</v>
      </c>
      <c r="BA300" s="88" t="n">
        <v>0</v>
      </c>
      <c r="BB300" s="88" t="n">
        <v>0</v>
      </c>
      <c r="BC300" s="88" t="n">
        <v>0</v>
      </c>
      <c r="BD300" s="91" t="n">
        <v>0</v>
      </c>
      <c r="BE300" s="91" t="n">
        <v>0</v>
      </c>
      <c r="BF300" s="89" t="inlineStr">
        <is>
          <t>-</t>
        </is>
      </c>
      <c r="BG300" s="89" t="inlineStr">
        <is>
          <t>-</t>
        </is>
      </c>
      <c r="BH300" s="89" t="inlineStr">
        <is>
          <t>-</t>
        </is>
      </c>
    </row>
    <row r="301" ht="19.55" customHeight="1">
      <c r="A301" s="92" t="n">
        <v>298</v>
      </c>
      <c r="B301" s="87" t="inlineStr">
        <is>
          <t>全国</t>
        </is>
      </c>
      <c r="C301" s="93" t="n">
        <v>46282</v>
      </c>
      <c r="D301" s="87" t="n"/>
      <c r="E301" s="87" t="n">
        <v>38</v>
      </c>
      <c r="F301" s="87" t="n">
        <v>38</v>
      </c>
      <c r="G301" s="88" t="n">
        <v>1</v>
      </c>
      <c r="H301" s="87" t="n">
        <v>38</v>
      </c>
      <c r="I301" s="89" t="n">
        <v>1</v>
      </c>
      <c r="J301" s="87" t="n">
        <v>0</v>
      </c>
      <c r="K301" s="87" t="n">
        <v>0</v>
      </c>
      <c r="L301" s="88" t="n">
        <v>0</v>
      </c>
      <c r="M301" s="87" t="n">
        <v>4</v>
      </c>
      <c r="N301" s="87" t="n">
        <v>0</v>
      </c>
      <c r="O301" s="87" t="n">
        <v>1</v>
      </c>
      <c r="P301" s="88" t="n">
        <v>0.25</v>
      </c>
      <c r="Q301" s="87" t="n">
        <v>3</v>
      </c>
      <c r="R301" s="87" t="n">
        <v>0</v>
      </c>
      <c r="S301" s="87" t="n">
        <v>0</v>
      </c>
      <c r="T301" s="88" t="n">
        <v>0</v>
      </c>
      <c r="U301" s="87" t="n">
        <v>0</v>
      </c>
      <c r="V301" s="88" t="n">
        <v>0</v>
      </c>
      <c r="W301" s="87" t="n">
        <v>14</v>
      </c>
      <c r="X301" s="88" t="n">
        <v>0.3684210526315789</v>
      </c>
      <c r="Y301" s="87" t="n">
        <v>32</v>
      </c>
      <c r="Z301" s="90" t="n">
        <v>0.8421052631578947</v>
      </c>
      <c r="AA301" s="87" t="n">
        <v>0</v>
      </c>
      <c r="AB301" s="88" t="n">
        <v>0</v>
      </c>
      <c r="AC301" s="87" t="n">
        <v>0</v>
      </c>
      <c r="AD301" s="88" t="n">
        <v>0</v>
      </c>
      <c r="AE301" s="87" t="n">
        <v>0</v>
      </c>
      <c r="AF301" s="88" t="n">
        <v>0</v>
      </c>
      <c r="AG301" s="87" t="n">
        <v>0</v>
      </c>
      <c r="AH301" s="88" t="n">
        <v>0</v>
      </c>
      <c r="AI301" s="91" t="n">
        <v>0</v>
      </c>
      <c r="AJ301" s="88" t="n">
        <v>0</v>
      </c>
      <c r="AK301" s="91" t="n">
        <v>0</v>
      </c>
      <c r="AL301" s="88" t="n">
        <v>0</v>
      </c>
      <c r="AM301" s="91" t="n">
        <v>0</v>
      </c>
      <c r="AN301" s="91" t="n">
        <v>0</v>
      </c>
      <c r="AO301" s="88" t="n">
        <v>0</v>
      </c>
      <c r="AP301" s="88" t="n">
        <v>0</v>
      </c>
      <c r="AQ301" s="89" t="n">
        <v>0</v>
      </c>
      <c r="AR301" s="89" t="n">
        <v>0</v>
      </c>
      <c r="AS301" s="89" t="n">
        <v>0</v>
      </c>
      <c r="AT301" s="91" t="n">
        <v>0</v>
      </c>
      <c r="AU301" s="91" t="n">
        <v>0</v>
      </c>
      <c r="AV301" s="91" t="n">
        <v>0</v>
      </c>
      <c r="AW301" s="91" t="n">
        <v>0</v>
      </c>
      <c r="AX301" s="91" t="n">
        <v>0</v>
      </c>
      <c r="AY301" s="91" t="n">
        <v>0</v>
      </c>
      <c r="AZ301" s="88" t="n">
        <v>0</v>
      </c>
      <c r="BA301" s="88" t="n">
        <v>0</v>
      </c>
      <c r="BB301" s="88" t="n">
        <v>0</v>
      </c>
      <c r="BC301" s="88" t="n">
        <v>0</v>
      </c>
      <c r="BD301" s="91" t="n">
        <v>0</v>
      </c>
      <c r="BE301" s="91" t="n">
        <v>0</v>
      </c>
      <c r="BF301" s="89" t="inlineStr">
        <is>
          <t>-</t>
        </is>
      </c>
      <c r="BG301" s="89" t="inlineStr">
        <is>
          <t>-</t>
        </is>
      </c>
      <c r="BH301" s="89" t="n">
        <v>0.9898989898989899</v>
      </c>
    </row>
    <row r="302" ht="19.55" customHeight="1">
      <c r="A302" s="92" t="n">
        <v>299</v>
      </c>
      <c r="B302" s="87" t="inlineStr">
        <is>
          <t>全国</t>
        </is>
      </c>
      <c r="C302" s="93" t="n">
        <v>46282</v>
      </c>
      <c r="D302" s="87" t="inlineStr">
        <is>
          <t>2026款探陆</t>
        </is>
      </c>
      <c r="E302" s="87" t="n">
        <v>78</v>
      </c>
      <c r="F302" s="87" t="n">
        <v>71</v>
      </c>
      <c r="G302" s="88" t="n">
        <v>0.9102564102564102</v>
      </c>
      <c r="H302" s="87" t="n">
        <v>60</v>
      </c>
      <c r="I302" s="89" t="n">
        <v>0.7692307692307693</v>
      </c>
      <c r="J302" s="87" t="n">
        <v>144</v>
      </c>
      <c r="K302" s="87" t="n">
        <v>71</v>
      </c>
      <c r="L302" s="88" t="n">
        <v>0.493</v>
      </c>
      <c r="M302" s="87" t="n">
        <v>597</v>
      </c>
      <c r="N302" s="87" t="n">
        <v>514</v>
      </c>
      <c r="O302" s="87" t="n">
        <v>463</v>
      </c>
      <c r="P302" s="88" t="n">
        <v>0.7755443886097152</v>
      </c>
      <c r="Q302" s="87" t="n">
        <v>61</v>
      </c>
      <c r="R302" s="87" t="n">
        <v>0</v>
      </c>
      <c r="S302" s="87" t="n">
        <v>0</v>
      </c>
      <c r="T302" s="88" t="n">
        <v>0</v>
      </c>
      <c r="U302" s="87" t="n">
        <v>0</v>
      </c>
      <c r="V302" s="88" t="n">
        <v>0</v>
      </c>
      <c r="W302" s="87" t="n">
        <v>13</v>
      </c>
      <c r="X302" s="88" t="n">
        <v>0.1666666666666667</v>
      </c>
      <c r="Y302" s="87" t="n">
        <v>24</v>
      </c>
      <c r="Z302" s="90" t="n">
        <v>0.3076923076923077</v>
      </c>
      <c r="AA302" s="87" t="n">
        <v>28</v>
      </c>
      <c r="AB302" s="88" t="n">
        <v>0.358974358974359</v>
      </c>
      <c r="AC302" s="87" t="n">
        <v>1</v>
      </c>
      <c r="AD302" s="88" t="n">
        <v>0.01282051282051282</v>
      </c>
      <c r="AE302" s="87" t="n">
        <v>0</v>
      </c>
      <c r="AF302" s="88" t="n">
        <v>0</v>
      </c>
      <c r="AG302" s="87" t="n">
        <v>0</v>
      </c>
      <c r="AH302" s="88" t="n">
        <v>0</v>
      </c>
      <c r="AI302" s="91" t="n">
        <v>0</v>
      </c>
      <c r="AJ302" s="88" t="n">
        <v>0</v>
      </c>
      <c r="AK302" s="91" t="n">
        <v>0</v>
      </c>
      <c r="AL302" s="88" t="n">
        <v>0</v>
      </c>
      <c r="AM302" s="91" t="n">
        <v>0</v>
      </c>
      <c r="AN302" s="91" t="n">
        <v>0</v>
      </c>
      <c r="AO302" s="88" t="n">
        <v>0</v>
      </c>
      <c r="AP302" s="88" t="n">
        <v>0</v>
      </c>
      <c r="AQ302" s="89" t="n">
        <v>1</v>
      </c>
      <c r="AR302" s="89" t="inlineStr">
        <is>
          <t>0.0%</t>
        </is>
      </c>
      <c r="AS302" s="89" t="inlineStr">
        <is>
          <t>0.0%</t>
        </is>
      </c>
      <c r="AT302" s="91" t="n">
        <v>0</v>
      </c>
      <c r="AU302" s="91" t="n">
        <v>0</v>
      </c>
      <c r="AV302" s="91" t="n">
        <v>4</v>
      </c>
      <c r="AW302" s="91" t="n">
        <v>4</v>
      </c>
      <c r="AX302" s="91" t="n">
        <v>4</v>
      </c>
      <c r="AY302" s="91" t="n">
        <v>3</v>
      </c>
      <c r="AZ302" s="88" t="n">
        <v>0.05128205128205128</v>
      </c>
      <c r="BA302" s="88" t="n">
        <v>0.05128205128205128</v>
      </c>
      <c r="BB302" s="88" t="n">
        <v>0.03846153846153846</v>
      </c>
      <c r="BC302" s="88" t="n">
        <v>0</v>
      </c>
      <c r="BD302" s="91" t="n">
        <v>0</v>
      </c>
      <c r="BE302" s="91" t="n">
        <v>0</v>
      </c>
      <c r="BF302" s="89" t="inlineStr">
        <is>
          <t>-</t>
        </is>
      </c>
      <c r="BG302" s="89" t="inlineStr">
        <is>
          <t>-</t>
        </is>
      </c>
      <c r="BH302" s="89" t="inlineStr">
        <is>
          <t>-</t>
        </is>
      </c>
    </row>
    <row r="303" ht="19.55" customHeight="1">
      <c r="A303" s="92" t="n">
        <v>300</v>
      </c>
      <c r="B303" s="87" t="inlineStr">
        <is>
          <t>全国</t>
        </is>
      </c>
      <c r="C303" s="93" t="n">
        <v>46282</v>
      </c>
      <c r="D303" s="87" t="inlineStr">
        <is>
          <t>N6</t>
        </is>
      </c>
      <c r="E303" s="87" t="n">
        <v>1633</v>
      </c>
      <c r="F303" s="87" t="n">
        <v>1456</v>
      </c>
      <c r="G303" s="88" t="n">
        <v>0.8916105327617881</v>
      </c>
      <c r="H303" s="87" t="n">
        <v>499</v>
      </c>
      <c r="I303" s="89" t="n">
        <v>0.3055725658297612</v>
      </c>
      <c r="J303" s="87" t="n">
        <v>1408</v>
      </c>
      <c r="K303" s="87" t="n">
        <v>1371</v>
      </c>
      <c r="L303" s="88" t="n">
        <v>0.974</v>
      </c>
      <c r="M303" s="87" t="n">
        <v>6999</v>
      </c>
      <c r="N303" s="87" t="n">
        <v>7041</v>
      </c>
      <c r="O303" s="87" t="n">
        <v>6875</v>
      </c>
      <c r="P303" s="88" t="n">
        <v>0.9822831833119017</v>
      </c>
      <c r="Q303" s="87" t="n">
        <v>32</v>
      </c>
      <c r="R303" s="87" t="n">
        <v>0</v>
      </c>
      <c r="S303" s="87" t="n">
        <v>0</v>
      </c>
      <c r="T303" s="88" t="n">
        <v>0</v>
      </c>
      <c r="U303" s="87" t="n">
        <v>0</v>
      </c>
      <c r="V303" s="88" t="n">
        <v>0</v>
      </c>
      <c r="W303" s="87" t="n">
        <v>302</v>
      </c>
      <c r="X303" s="88" t="n">
        <v>0.1849357011635027</v>
      </c>
      <c r="Y303" s="87" t="n">
        <v>613</v>
      </c>
      <c r="Z303" s="90" t="n">
        <v>0.3753827311696264</v>
      </c>
      <c r="AA303" s="87" t="n">
        <v>5</v>
      </c>
      <c r="AB303" s="88" t="n">
        <v>0.003061849357011635</v>
      </c>
      <c r="AC303" s="87" t="n">
        <v>74</v>
      </c>
      <c r="AD303" s="88" t="n">
        <v>0.0453153704837722</v>
      </c>
      <c r="AE303" s="87" t="n">
        <v>11</v>
      </c>
      <c r="AF303" s="88" t="n">
        <v>0.1486486486486487</v>
      </c>
      <c r="AG303" s="87" t="n">
        <v>61</v>
      </c>
      <c r="AH303" s="88" t="n">
        <v>0.8243243243243243</v>
      </c>
      <c r="AI303" s="91" t="n">
        <v>63</v>
      </c>
      <c r="AJ303" s="88" t="n">
        <v>0.0385793018983466</v>
      </c>
      <c r="AK303" s="91" t="n">
        <v>5</v>
      </c>
      <c r="AL303" s="88" t="n">
        <v>0.8253968253968254</v>
      </c>
      <c r="AM303" s="91" t="n">
        <v>60</v>
      </c>
      <c r="AN303" s="91" t="n">
        <v>52</v>
      </c>
      <c r="AO303" s="88" t="n">
        <v>0.03184323331292101</v>
      </c>
      <c r="AP303" s="88" t="n">
        <v>0.7027027027027027</v>
      </c>
      <c r="AQ303" s="89" t="n">
        <v>0.9803921568627451</v>
      </c>
      <c r="AR303" s="89" t="n">
        <v>0.5084745762711864</v>
      </c>
      <c r="AS303" s="89" t="n">
        <v>0.5254237288135594</v>
      </c>
      <c r="AT303" s="91" t="n">
        <v>0</v>
      </c>
      <c r="AU303" s="91" t="n">
        <v>0</v>
      </c>
      <c r="AV303" s="91" t="n">
        <v>18</v>
      </c>
      <c r="AW303" s="91" t="n">
        <v>16</v>
      </c>
      <c r="AX303" s="91" t="n">
        <v>16</v>
      </c>
      <c r="AY303" s="91" t="n">
        <v>35</v>
      </c>
      <c r="AZ303" s="88" t="n">
        <v>0.009797917942437232</v>
      </c>
      <c r="BA303" s="88" t="n">
        <v>0.009797917942437232</v>
      </c>
      <c r="BB303" s="88" t="n">
        <v>0.02143294549908144</v>
      </c>
      <c r="BC303" s="88" t="n">
        <v>0.3076923076923077</v>
      </c>
      <c r="BD303" s="91" t="n">
        <v>0</v>
      </c>
      <c r="BE303" s="91" t="n">
        <v>0</v>
      </c>
      <c r="BF303" s="89" t="n">
        <v>1</v>
      </c>
      <c r="BG303" s="89" t="n">
        <v>1</v>
      </c>
      <c r="BH303" s="89" t="inlineStr">
        <is>
          <t>-</t>
        </is>
      </c>
    </row>
    <row r="304" ht="19.55" customHeight="1">
      <c r="A304" s="92" t="n">
        <v>301</v>
      </c>
      <c r="B304" s="87" t="inlineStr">
        <is>
          <t>全国</t>
        </is>
      </c>
      <c r="C304" s="93" t="n">
        <v>46282</v>
      </c>
      <c r="D304" s="87" t="inlineStr">
        <is>
          <t>N7</t>
        </is>
      </c>
      <c r="E304" s="87" t="n">
        <v>2897</v>
      </c>
      <c r="F304" s="87" t="n">
        <v>2553</v>
      </c>
      <c r="G304" s="88" t="n">
        <v>0.8812564722126338</v>
      </c>
      <c r="H304" s="87" t="n">
        <v>1473</v>
      </c>
      <c r="I304" s="89" t="n">
        <v>0.5084570245081118</v>
      </c>
      <c r="J304" s="87" t="n">
        <v>2864</v>
      </c>
      <c r="K304" s="87" t="n">
        <v>2803</v>
      </c>
      <c r="L304" s="88" t="n">
        <v>0.979</v>
      </c>
      <c r="M304" s="87" t="n">
        <v>10213</v>
      </c>
      <c r="N304" s="87" t="n">
        <v>10274</v>
      </c>
      <c r="O304" s="87" t="n">
        <v>10026</v>
      </c>
      <c r="P304" s="88" t="n">
        <v>0.9816900029374327</v>
      </c>
      <c r="Q304" s="87" t="n">
        <v>62</v>
      </c>
      <c r="R304" s="87" t="n">
        <v>0</v>
      </c>
      <c r="S304" s="87" t="n">
        <v>0</v>
      </c>
      <c r="T304" s="88" t="n">
        <v>0</v>
      </c>
      <c r="U304" s="87" t="n">
        <v>0</v>
      </c>
      <c r="V304" s="88" t="n">
        <v>0</v>
      </c>
      <c r="W304" s="87" t="n">
        <v>519</v>
      </c>
      <c r="X304" s="88" t="n">
        <v>0.1791508457024508</v>
      </c>
      <c r="Y304" s="87" t="n">
        <v>1557</v>
      </c>
      <c r="Z304" s="90" t="n">
        <v>0.5374525371073524</v>
      </c>
      <c r="AA304" s="87" t="n">
        <v>0</v>
      </c>
      <c r="AB304" s="88" t="n">
        <v>0</v>
      </c>
      <c r="AC304" s="87" t="n">
        <v>83</v>
      </c>
      <c r="AD304" s="88" t="n">
        <v>0.02865032792544011</v>
      </c>
      <c r="AE304" s="87" t="n">
        <v>12</v>
      </c>
      <c r="AF304" s="88" t="n">
        <v>0.144578313253012</v>
      </c>
      <c r="AG304" s="87" t="n">
        <v>55</v>
      </c>
      <c r="AH304" s="88" t="n">
        <v>0.6626506024096386</v>
      </c>
      <c r="AI304" s="91" t="n">
        <v>60</v>
      </c>
      <c r="AJ304" s="88" t="n">
        <v>0.02071108042802899</v>
      </c>
      <c r="AK304" s="91" t="n">
        <v>2</v>
      </c>
      <c r="AL304" s="88" t="n">
        <v>0.7666666666666667</v>
      </c>
      <c r="AM304" s="91" t="n">
        <v>53</v>
      </c>
      <c r="AN304" s="91" t="n">
        <v>46</v>
      </c>
      <c r="AO304" s="88" t="n">
        <v>0.01587849499482223</v>
      </c>
      <c r="AP304" s="88" t="n">
        <v>0.5542168674698795</v>
      </c>
      <c r="AQ304" s="89" t="n">
        <v>0.9803921568627451</v>
      </c>
      <c r="AR304" s="89" t="n">
        <v>0.5666666666666667</v>
      </c>
      <c r="AS304" s="89" t="n">
        <v>0.5666666666666667</v>
      </c>
      <c r="AT304" s="91" t="n">
        <v>0</v>
      </c>
      <c r="AU304" s="91" t="n">
        <v>0</v>
      </c>
      <c r="AV304" s="91" t="n">
        <v>28</v>
      </c>
      <c r="AW304" s="91" t="n">
        <v>22</v>
      </c>
      <c r="AX304" s="91" t="n">
        <v>26</v>
      </c>
      <c r="AY304" s="91" t="n">
        <v>22</v>
      </c>
      <c r="AZ304" s="88" t="n">
        <v>0.007594062823610631</v>
      </c>
      <c r="BA304" s="88" t="n">
        <v>0.008974801518812565</v>
      </c>
      <c r="BB304" s="88" t="n">
        <v>0.007594062823610631</v>
      </c>
      <c r="BC304" s="88" t="n">
        <v>0.5652173913043478</v>
      </c>
      <c r="BD304" s="91" t="n">
        <v>0</v>
      </c>
      <c r="BE304" s="91" t="n">
        <v>0</v>
      </c>
      <c r="BF304" s="89" t="n">
        <v>1</v>
      </c>
      <c r="BG304" s="89" t="n">
        <v>1</v>
      </c>
      <c r="BH304" s="89" t="inlineStr">
        <is>
          <t>-</t>
        </is>
      </c>
    </row>
    <row r="305" ht="19.55" customHeight="1">
      <c r="A305" s="92" t="n">
        <v>302</v>
      </c>
      <c r="B305" s="87" t="inlineStr">
        <is>
          <t>全国</t>
        </is>
      </c>
      <c r="C305" s="93" t="n">
        <v>46282</v>
      </c>
      <c r="D305" s="87" t="inlineStr">
        <is>
          <t>NX8</t>
        </is>
      </c>
      <c r="E305" s="87" t="n">
        <v>4572</v>
      </c>
      <c r="F305" s="87" t="n">
        <v>4160</v>
      </c>
      <c r="G305" s="88" t="n">
        <v>0.9098862642169728</v>
      </c>
      <c r="H305" s="87" t="n">
        <v>1328</v>
      </c>
      <c r="I305" s="89" t="n">
        <v>0.2904636920384952</v>
      </c>
      <c r="J305" s="87" t="n">
        <v>4326</v>
      </c>
      <c r="K305" s="87" t="n">
        <v>4219</v>
      </c>
      <c r="L305" s="88" t="n">
        <v>0.975</v>
      </c>
      <c r="M305" s="87" t="n">
        <v>21171</v>
      </c>
      <c r="N305" s="87" t="n">
        <v>21009</v>
      </c>
      <c r="O305" s="87" t="n">
        <v>20700</v>
      </c>
      <c r="P305" s="88" t="n">
        <v>0.9777525860847386</v>
      </c>
      <c r="Q305" s="87" t="n">
        <v>134</v>
      </c>
      <c r="R305" s="87" t="n">
        <v>0</v>
      </c>
      <c r="S305" s="87" t="n">
        <v>0</v>
      </c>
      <c r="T305" s="88" t="n">
        <v>0</v>
      </c>
      <c r="U305" s="87" t="n">
        <v>0</v>
      </c>
      <c r="V305" s="88" t="n">
        <v>0</v>
      </c>
      <c r="W305" s="87" t="n">
        <v>884</v>
      </c>
      <c r="X305" s="88" t="n">
        <v>0.1933508311461067</v>
      </c>
      <c r="Y305" s="87" t="n">
        <v>2204</v>
      </c>
      <c r="Z305" s="90" t="n">
        <v>0.4820647419072616</v>
      </c>
      <c r="AA305" s="87" t="n">
        <v>6</v>
      </c>
      <c r="AB305" s="88" t="n">
        <v>0.001312335958005249</v>
      </c>
      <c r="AC305" s="87" t="n">
        <v>323</v>
      </c>
      <c r="AD305" s="88" t="n">
        <v>0.07064741907261592</v>
      </c>
      <c r="AE305" s="87" t="n">
        <v>43</v>
      </c>
      <c r="AF305" s="88" t="n">
        <v>0.1331269349845201</v>
      </c>
      <c r="AG305" s="87" t="n">
        <v>258</v>
      </c>
      <c r="AH305" s="88" t="n">
        <v>0.7987616099071208</v>
      </c>
      <c r="AI305" s="91" t="n">
        <v>274</v>
      </c>
      <c r="AJ305" s="88" t="n">
        <v>0.05993000874890639</v>
      </c>
      <c r="AK305" s="91" t="n">
        <v>10</v>
      </c>
      <c r="AL305" s="88" t="n">
        <v>0.8211678832116789</v>
      </c>
      <c r="AM305" s="91" t="n">
        <v>260</v>
      </c>
      <c r="AN305" s="91" t="n">
        <v>225</v>
      </c>
      <c r="AO305" s="88" t="n">
        <v>0.04921259842519685</v>
      </c>
      <c r="AP305" s="88" t="n">
        <v>0.6965944272445821</v>
      </c>
      <c r="AQ305" s="89" t="n">
        <v>0.9875389408099688</v>
      </c>
      <c r="AR305" s="89" t="n">
        <v>0.6395348837209303</v>
      </c>
      <c r="AS305" s="89" t="n">
        <v>0.5775193798449613</v>
      </c>
      <c r="AT305" s="91" t="n">
        <v>0</v>
      </c>
      <c r="AU305" s="91" t="n">
        <v>0</v>
      </c>
      <c r="AV305" s="91" t="n">
        <v>25</v>
      </c>
      <c r="AW305" s="91" t="n">
        <v>22</v>
      </c>
      <c r="AX305" s="91" t="n">
        <v>20</v>
      </c>
      <c r="AY305" s="91" t="n">
        <v>80</v>
      </c>
      <c r="AZ305" s="88" t="n">
        <v>0.004811898512685914</v>
      </c>
      <c r="BA305" s="88" t="n">
        <v>0.004374453193350831</v>
      </c>
      <c r="BB305" s="88" t="n">
        <v>0.01749781277340333</v>
      </c>
      <c r="BC305" s="88" t="n">
        <v>0.08888888888888889</v>
      </c>
      <c r="BD305" s="91" t="n">
        <v>0</v>
      </c>
      <c r="BE305" s="91" t="n">
        <v>0</v>
      </c>
      <c r="BF305" s="89" t="n">
        <v>0.9918699186991869</v>
      </c>
      <c r="BG305" s="89" t="n">
        <v>1</v>
      </c>
      <c r="BH305" s="89" t="inlineStr">
        <is>
          <t>-</t>
        </is>
      </c>
    </row>
    <row r="306" ht="19.55" customHeight="1">
      <c r="A306" s="92" t="n">
        <v>303</v>
      </c>
      <c r="B306" s="87" t="inlineStr">
        <is>
          <t>全国</t>
        </is>
      </c>
      <c r="C306" s="93" t="n">
        <v>46282</v>
      </c>
      <c r="D306" s="87" t="inlineStr">
        <is>
          <t>天籁·鸿蒙座舱</t>
        </is>
      </c>
      <c r="E306" s="87" t="n">
        <v>3995</v>
      </c>
      <c r="F306" s="87" t="n">
        <v>3630</v>
      </c>
      <c r="G306" s="88" t="n">
        <v>0.9086357947434293</v>
      </c>
      <c r="H306" s="87" t="n">
        <v>1974</v>
      </c>
      <c r="I306" s="89" t="n">
        <v>0.4941176470588236</v>
      </c>
      <c r="J306" s="87" t="n">
        <v>4617</v>
      </c>
      <c r="K306" s="87" t="n">
        <v>4529</v>
      </c>
      <c r="L306" s="88" t="n">
        <v>0.981</v>
      </c>
      <c r="M306" s="87" t="n">
        <v>21321</v>
      </c>
      <c r="N306" s="87" t="n">
        <v>21436</v>
      </c>
      <c r="O306" s="87" t="n">
        <v>20969</v>
      </c>
      <c r="P306" s="88" t="n">
        <v>0.9834904554195394</v>
      </c>
      <c r="Q306" s="87" t="n">
        <v>93</v>
      </c>
      <c r="R306" s="87" t="n">
        <v>0</v>
      </c>
      <c r="S306" s="87" t="n">
        <v>0</v>
      </c>
      <c r="T306" s="88" t="n">
        <v>0</v>
      </c>
      <c r="U306" s="87" t="n">
        <v>0</v>
      </c>
      <c r="V306" s="88" t="n">
        <v>0</v>
      </c>
      <c r="W306" s="87" t="n">
        <v>661</v>
      </c>
      <c r="X306" s="88" t="n">
        <v>0.1654568210262828</v>
      </c>
      <c r="Y306" s="87" t="n">
        <v>1190</v>
      </c>
      <c r="Z306" s="90" t="n">
        <v>0.2978723404255319</v>
      </c>
      <c r="AA306" s="87" t="n">
        <v>16</v>
      </c>
      <c r="AB306" s="88" t="n">
        <v>0.004005006257822278</v>
      </c>
      <c r="AC306" s="87" t="n">
        <v>169</v>
      </c>
      <c r="AD306" s="88" t="n">
        <v>0.04230287859824781</v>
      </c>
      <c r="AE306" s="87" t="n">
        <v>30</v>
      </c>
      <c r="AF306" s="88" t="n">
        <v>0.1775147928994083</v>
      </c>
      <c r="AG306" s="87" t="n">
        <v>135</v>
      </c>
      <c r="AH306" s="88" t="n">
        <v>0.7988165680473372</v>
      </c>
      <c r="AI306" s="91" t="n">
        <v>126</v>
      </c>
      <c r="AJ306" s="88" t="n">
        <v>0.03153942428035044</v>
      </c>
      <c r="AK306" s="91" t="n">
        <v>2</v>
      </c>
      <c r="AL306" s="88" t="n">
        <v>0.8015873015873016</v>
      </c>
      <c r="AM306" s="91" t="n">
        <v>122</v>
      </c>
      <c r="AN306" s="91" t="n">
        <v>101</v>
      </c>
      <c r="AO306" s="88" t="n">
        <v>0.02528160200250313</v>
      </c>
      <c r="AP306" s="88" t="n">
        <v>0.5976331360946746</v>
      </c>
      <c r="AQ306" s="89" t="n">
        <v>0.9279279279279279</v>
      </c>
      <c r="AR306" s="89" t="n">
        <v>0.6</v>
      </c>
      <c r="AS306" s="89" t="n">
        <v>0.6153846153846154</v>
      </c>
      <c r="AT306" s="91" t="n">
        <v>0</v>
      </c>
      <c r="AU306" s="91" t="n">
        <v>0</v>
      </c>
      <c r="AV306" s="91" t="n">
        <v>50</v>
      </c>
      <c r="AW306" s="91" t="n">
        <v>40</v>
      </c>
      <c r="AX306" s="91" t="n">
        <v>38</v>
      </c>
      <c r="AY306" s="91" t="n">
        <v>53</v>
      </c>
      <c r="AZ306" s="88" t="n">
        <v>0.01001251564455569</v>
      </c>
      <c r="BA306" s="88" t="n">
        <v>0.00951188986232791</v>
      </c>
      <c r="BB306" s="88" t="n">
        <v>0.0132665832290363</v>
      </c>
      <c r="BC306" s="88" t="n">
        <v>0.3762376237623762</v>
      </c>
      <c r="BD306" s="91" t="n">
        <v>0</v>
      </c>
      <c r="BE306" s="91" t="n">
        <v>0</v>
      </c>
      <c r="BF306" s="89" t="n">
        <v>1</v>
      </c>
      <c r="BG306" s="89" t="n">
        <v>1</v>
      </c>
      <c r="BH306" s="89" t="inlineStr">
        <is>
          <t>-</t>
        </is>
      </c>
    </row>
    <row r="307" ht="19.55" customHeight="1">
      <c r="A307" s="92" t="n">
        <v>304</v>
      </c>
      <c r="B307" s="87" t="inlineStr">
        <is>
          <t>全国</t>
        </is>
      </c>
      <c r="C307" s="93" t="n">
        <v>46283</v>
      </c>
      <c r="D307" s="87" t="n"/>
      <c r="E307" s="87" t="n">
        <v>34</v>
      </c>
      <c r="F307" s="87" t="n">
        <v>33</v>
      </c>
      <c r="G307" s="88" t="n">
        <v>0.9705882352941176</v>
      </c>
      <c r="H307" s="87" t="n">
        <v>34</v>
      </c>
      <c r="I307" s="89" t="n">
        <v>1</v>
      </c>
      <c r="J307" s="87" t="n">
        <v>1</v>
      </c>
      <c r="K307" s="87" t="n">
        <v>0</v>
      </c>
      <c r="L307" s="88" t="n">
        <v>0</v>
      </c>
      <c r="M307" s="87" t="n">
        <v>5</v>
      </c>
      <c r="N307" s="87" t="n">
        <v>3</v>
      </c>
      <c r="O307" s="87" t="n">
        <v>2</v>
      </c>
      <c r="P307" s="88" t="n">
        <v>0.4</v>
      </c>
      <c r="Q307" s="87" t="n">
        <v>3</v>
      </c>
      <c r="R307" s="87" t="n">
        <v>0</v>
      </c>
      <c r="S307" s="87" t="n">
        <v>0</v>
      </c>
      <c r="T307" s="88" t="n">
        <v>0</v>
      </c>
      <c r="U307" s="87" t="n">
        <v>0</v>
      </c>
      <c r="V307" s="88" t="n">
        <v>0</v>
      </c>
      <c r="W307" s="87" t="n">
        <v>14</v>
      </c>
      <c r="X307" s="88" t="n">
        <v>0.4117647058823529</v>
      </c>
      <c r="Y307" s="87" t="n">
        <v>19</v>
      </c>
      <c r="Z307" s="90" t="n">
        <v>0.5588235294117647</v>
      </c>
      <c r="AA307" s="87" t="n">
        <v>0</v>
      </c>
      <c r="AB307" s="88" t="n">
        <v>0</v>
      </c>
      <c r="AC307" s="87" t="n">
        <v>0</v>
      </c>
      <c r="AD307" s="88" t="n">
        <v>0</v>
      </c>
      <c r="AE307" s="87" t="n">
        <v>0</v>
      </c>
      <c r="AF307" s="88" t="n">
        <v>0</v>
      </c>
      <c r="AG307" s="87" t="n">
        <v>0</v>
      </c>
      <c r="AH307" s="88" t="n">
        <v>0</v>
      </c>
      <c r="AI307" s="91" t="n">
        <v>0</v>
      </c>
      <c r="AJ307" s="88" t="n">
        <v>0</v>
      </c>
      <c r="AK307" s="91" t="n">
        <v>0</v>
      </c>
      <c r="AL307" s="88" t="n">
        <v>0</v>
      </c>
      <c r="AM307" s="91" t="n">
        <v>0</v>
      </c>
      <c r="AN307" s="91" t="n">
        <v>0</v>
      </c>
      <c r="AO307" s="88" t="n">
        <v>0</v>
      </c>
      <c r="AP307" s="88" t="n">
        <v>0</v>
      </c>
      <c r="AQ307" s="89" t="n">
        <v>0</v>
      </c>
      <c r="AR307" s="89" t="n">
        <v>0</v>
      </c>
      <c r="AS307" s="89" t="n">
        <v>0</v>
      </c>
      <c r="AT307" s="91" t="n">
        <v>0</v>
      </c>
      <c r="AU307" s="91" t="n">
        <v>0</v>
      </c>
      <c r="AV307" s="91" t="n">
        <v>0</v>
      </c>
      <c r="AW307" s="91" t="n">
        <v>0</v>
      </c>
      <c r="AX307" s="91" t="n">
        <v>0</v>
      </c>
      <c r="AY307" s="91" t="n">
        <v>0</v>
      </c>
      <c r="AZ307" s="88" t="n">
        <v>0</v>
      </c>
      <c r="BA307" s="88" t="n">
        <v>0</v>
      </c>
      <c r="BB307" s="88" t="n">
        <v>0</v>
      </c>
      <c r="BC307" s="88" t="n">
        <v>0</v>
      </c>
      <c r="BD307" s="91" t="n">
        <v>0</v>
      </c>
      <c r="BE307" s="91" t="n">
        <v>0</v>
      </c>
      <c r="BF307" s="89" t="inlineStr">
        <is>
          <t>-</t>
        </is>
      </c>
      <c r="BG307" s="89" t="inlineStr">
        <is>
          <t>-</t>
        </is>
      </c>
      <c r="BH307" s="89" t="n">
        <v>0.9908256880733946</v>
      </c>
    </row>
    <row r="308" ht="19.55" customHeight="1">
      <c r="A308" s="92" t="n">
        <v>305</v>
      </c>
      <c r="B308" s="87" t="inlineStr">
        <is>
          <t>全国</t>
        </is>
      </c>
      <c r="C308" s="93" t="n">
        <v>46283</v>
      </c>
      <c r="D308" s="87" t="inlineStr">
        <is>
          <t>2026款探陆</t>
        </is>
      </c>
      <c r="E308" s="87" t="n">
        <v>73</v>
      </c>
      <c r="F308" s="87" t="n">
        <v>68</v>
      </c>
      <c r="G308" s="88" t="n">
        <v>0.9315068493150684</v>
      </c>
      <c r="H308" s="87" t="n">
        <v>52</v>
      </c>
      <c r="I308" s="89" t="n">
        <v>0.7123287671232876</v>
      </c>
      <c r="J308" s="87" t="n">
        <v>148</v>
      </c>
      <c r="K308" s="87" t="n">
        <v>79</v>
      </c>
      <c r="L308" s="88" t="n">
        <v>0.534</v>
      </c>
      <c r="M308" s="87" t="n">
        <v>595</v>
      </c>
      <c r="N308" s="87" t="n">
        <v>567</v>
      </c>
      <c r="O308" s="87" t="n">
        <v>473</v>
      </c>
      <c r="P308" s="88" t="n">
        <v>0.7949579831932773</v>
      </c>
      <c r="Q308" s="87" t="n">
        <v>68</v>
      </c>
      <c r="R308" s="87" t="n">
        <v>0</v>
      </c>
      <c r="S308" s="87" t="n">
        <v>0</v>
      </c>
      <c r="T308" s="88" t="n">
        <v>0</v>
      </c>
      <c r="U308" s="87" t="n">
        <v>0</v>
      </c>
      <c r="V308" s="88" t="n">
        <v>0</v>
      </c>
      <c r="W308" s="87" t="n">
        <v>2</v>
      </c>
      <c r="X308" s="88" t="n">
        <v>0.0273972602739726</v>
      </c>
      <c r="Y308" s="87" t="n">
        <v>11</v>
      </c>
      <c r="Z308" s="90" t="n">
        <v>0.1506849315068493</v>
      </c>
      <c r="AA308" s="87" t="n">
        <v>31</v>
      </c>
      <c r="AB308" s="88" t="n">
        <v>0.4246575342465753</v>
      </c>
      <c r="AC308" s="87" t="n">
        <v>0</v>
      </c>
      <c r="AD308" s="88" t="n">
        <v>0</v>
      </c>
      <c r="AE308" s="87" t="n">
        <v>0</v>
      </c>
      <c r="AF308" s="88" t="n">
        <v>0</v>
      </c>
      <c r="AG308" s="87" t="n">
        <v>0</v>
      </c>
      <c r="AH308" s="88" t="n">
        <v>0</v>
      </c>
      <c r="AI308" s="91" t="n">
        <v>0</v>
      </c>
      <c r="AJ308" s="88" t="n">
        <v>0</v>
      </c>
      <c r="AK308" s="91" t="n">
        <v>0</v>
      </c>
      <c r="AL308" s="88" t="n">
        <v>0</v>
      </c>
      <c r="AM308" s="91" t="n">
        <v>0</v>
      </c>
      <c r="AN308" s="91" t="n">
        <v>0</v>
      </c>
      <c r="AO308" s="88" t="n">
        <v>0</v>
      </c>
      <c r="AP308" s="88" t="n">
        <v>0</v>
      </c>
      <c r="AQ308" s="89" t="n"/>
      <c r="AR308" s="89" t="inlineStr">
        <is>
          <t>0.0%</t>
        </is>
      </c>
      <c r="AS308" s="89" t="inlineStr">
        <is>
          <t>0.0%</t>
        </is>
      </c>
      <c r="AT308" s="91" t="n">
        <v>0</v>
      </c>
      <c r="AU308" s="91" t="n">
        <v>0</v>
      </c>
      <c r="AV308" s="91" t="n">
        <v>2</v>
      </c>
      <c r="AW308" s="91" t="n">
        <v>1</v>
      </c>
      <c r="AX308" s="91" t="n">
        <v>1</v>
      </c>
      <c r="AY308" s="91" t="n">
        <v>2</v>
      </c>
      <c r="AZ308" s="88" t="n">
        <v>0.0136986301369863</v>
      </c>
      <c r="BA308" s="88" t="n">
        <v>0.0136986301369863</v>
      </c>
      <c r="BB308" s="88" t="n">
        <v>0.0273972602739726</v>
      </c>
      <c r="BC308" s="88" t="n">
        <v>0</v>
      </c>
      <c r="BD308" s="91" t="n">
        <v>0</v>
      </c>
      <c r="BE308" s="91" t="n">
        <v>0</v>
      </c>
      <c r="BF308" s="89" t="inlineStr">
        <is>
          <t>-</t>
        </is>
      </c>
      <c r="BG308" s="89" t="inlineStr">
        <is>
          <t>-</t>
        </is>
      </c>
      <c r="BH308" s="89" t="inlineStr">
        <is>
          <t>-</t>
        </is>
      </c>
    </row>
    <row r="309" ht="19.55" customHeight="1">
      <c r="A309" s="92" t="n">
        <v>306</v>
      </c>
      <c r="B309" s="87" t="inlineStr">
        <is>
          <t>全国</t>
        </is>
      </c>
      <c r="C309" s="93" t="n">
        <v>46283</v>
      </c>
      <c r="D309" s="87" t="inlineStr">
        <is>
          <t>N6</t>
        </is>
      </c>
      <c r="E309" s="87" t="n">
        <v>1435</v>
      </c>
      <c r="F309" s="87" t="n">
        <v>1280</v>
      </c>
      <c r="G309" s="88" t="n">
        <v>0.89198606271777</v>
      </c>
      <c r="H309" s="87" t="n">
        <v>365</v>
      </c>
      <c r="I309" s="89" t="n">
        <v>0.2543554006968641</v>
      </c>
      <c r="J309" s="87" t="n">
        <v>1438</v>
      </c>
      <c r="K309" s="87" t="n">
        <v>1400</v>
      </c>
      <c r="L309" s="88" t="n">
        <v>0.974</v>
      </c>
      <c r="M309" s="87" t="n">
        <v>7097</v>
      </c>
      <c r="N309" s="87" t="n">
        <v>7211</v>
      </c>
      <c r="O309" s="87" t="n">
        <v>6937</v>
      </c>
      <c r="P309" s="88" t="n">
        <v>0.9774552627870932</v>
      </c>
      <c r="Q309" s="87" t="n">
        <v>47</v>
      </c>
      <c r="R309" s="87" t="n">
        <v>0</v>
      </c>
      <c r="S309" s="87" t="n">
        <v>0</v>
      </c>
      <c r="T309" s="88" t="n">
        <v>0</v>
      </c>
      <c r="U309" s="87" t="n">
        <v>0</v>
      </c>
      <c r="V309" s="88" t="n">
        <v>0</v>
      </c>
      <c r="W309" s="87" t="n">
        <v>192</v>
      </c>
      <c r="X309" s="88" t="n">
        <v>0.1337979094076655</v>
      </c>
      <c r="Y309" s="87" t="n">
        <v>443</v>
      </c>
      <c r="Z309" s="90" t="n">
        <v>0.3087108013937282</v>
      </c>
      <c r="AA309" s="87" t="n">
        <v>4</v>
      </c>
      <c r="AB309" s="88" t="n">
        <v>0.002787456445993031</v>
      </c>
      <c r="AC309" s="87" t="n">
        <v>86</v>
      </c>
      <c r="AD309" s="88" t="n">
        <v>0.05993031358885018</v>
      </c>
      <c r="AE309" s="87" t="n">
        <v>13</v>
      </c>
      <c r="AF309" s="88" t="n">
        <v>0.1511627906976744</v>
      </c>
      <c r="AG309" s="87" t="n">
        <v>50</v>
      </c>
      <c r="AH309" s="88" t="n">
        <v>0.5813953488372093</v>
      </c>
      <c r="AI309" s="91" t="n">
        <v>54</v>
      </c>
      <c r="AJ309" s="88" t="n">
        <v>0.03763066202090593</v>
      </c>
      <c r="AK309" s="91" t="n">
        <v>2</v>
      </c>
      <c r="AL309" s="88" t="n">
        <v>0.7592592592592593</v>
      </c>
      <c r="AM309" s="91" t="n">
        <v>53</v>
      </c>
      <c r="AN309" s="91" t="n">
        <v>41</v>
      </c>
      <c r="AO309" s="88" t="n">
        <v>0.02857142857142857</v>
      </c>
      <c r="AP309" s="88" t="n">
        <v>0.4767441860465116</v>
      </c>
      <c r="AQ309" s="89" t="n">
        <v>0.9038461538461539</v>
      </c>
      <c r="AR309" s="89" t="n">
        <v>0.6557377049180327</v>
      </c>
      <c r="AS309" s="89" t="n">
        <v>0.6557377049180327</v>
      </c>
      <c r="AT309" s="91" t="n">
        <v>0</v>
      </c>
      <c r="AU309" s="91" t="n">
        <v>0</v>
      </c>
      <c r="AV309" s="91" t="n">
        <v>9</v>
      </c>
      <c r="AW309" s="91" t="n">
        <v>5</v>
      </c>
      <c r="AX309" s="91" t="n">
        <v>7</v>
      </c>
      <c r="AY309" s="91" t="n">
        <v>110</v>
      </c>
      <c r="AZ309" s="88" t="n">
        <v>0.003484320557491289</v>
      </c>
      <c r="BA309" s="88" t="n">
        <v>0.004878048780487805</v>
      </c>
      <c r="BB309" s="88" t="n">
        <v>0.07665505226480836</v>
      </c>
      <c r="BC309" s="88" t="n">
        <v>0.1707317073170732</v>
      </c>
      <c r="BD309" s="91" t="n">
        <v>0</v>
      </c>
      <c r="BE309" s="91" t="n">
        <v>0</v>
      </c>
      <c r="BF309" s="89" t="n">
        <v>1</v>
      </c>
      <c r="BG309" s="89" t="n">
        <v>1</v>
      </c>
      <c r="BH309" s="89" t="inlineStr">
        <is>
          <t>-</t>
        </is>
      </c>
    </row>
    <row r="310" ht="19.55" customHeight="1">
      <c r="A310" s="92" t="n">
        <v>307</v>
      </c>
      <c r="B310" s="87" t="inlineStr">
        <is>
          <t>全国</t>
        </is>
      </c>
      <c r="C310" s="93" t="n">
        <v>46283</v>
      </c>
      <c r="D310" s="87" t="inlineStr">
        <is>
          <t>N7</t>
        </is>
      </c>
      <c r="E310" s="87" t="n">
        <v>2872</v>
      </c>
      <c r="F310" s="87" t="n">
        <v>2464</v>
      </c>
      <c r="G310" s="88" t="n">
        <v>0.8579387186629527</v>
      </c>
      <c r="H310" s="87" t="n">
        <v>1601</v>
      </c>
      <c r="I310" s="89" t="n">
        <v>0.5574512534818942</v>
      </c>
      <c r="J310" s="87" t="n">
        <v>2895</v>
      </c>
      <c r="K310" s="87" t="n">
        <v>2848</v>
      </c>
      <c r="L310" s="88" t="n">
        <v>0.984</v>
      </c>
      <c r="M310" s="87" t="n">
        <v>11051</v>
      </c>
      <c r="N310" s="87" t="n">
        <v>11276</v>
      </c>
      <c r="O310" s="87" t="n">
        <v>10825</v>
      </c>
      <c r="P310" s="88" t="n">
        <v>0.9795493620486834</v>
      </c>
      <c r="Q310" s="87" t="n">
        <v>70</v>
      </c>
      <c r="R310" s="87" t="n">
        <v>0</v>
      </c>
      <c r="S310" s="87" t="n">
        <v>0</v>
      </c>
      <c r="T310" s="88" t="n">
        <v>0</v>
      </c>
      <c r="U310" s="87" t="n">
        <v>0</v>
      </c>
      <c r="V310" s="88" t="n">
        <v>0</v>
      </c>
      <c r="W310" s="87" t="n">
        <v>246</v>
      </c>
      <c r="X310" s="88" t="n">
        <v>0.08565459610027855</v>
      </c>
      <c r="Y310" s="87" t="n">
        <v>775</v>
      </c>
      <c r="Z310" s="90" t="n">
        <v>0.2698467966573816</v>
      </c>
      <c r="AA310" s="87" t="n">
        <v>0</v>
      </c>
      <c r="AB310" s="88" t="n">
        <v>0</v>
      </c>
      <c r="AC310" s="87" t="n">
        <v>91</v>
      </c>
      <c r="AD310" s="88" t="n">
        <v>0.03168523676880223</v>
      </c>
      <c r="AE310" s="87" t="n">
        <v>7</v>
      </c>
      <c r="AF310" s="88" t="n">
        <v>0.07692307692307693</v>
      </c>
      <c r="AG310" s="87" t="n">
        <v>62</v>
      </c>
      <c r="AH310" s="88" t="n">
        <v>0.6813186813186813</v>
      </c>
      <c r="AI310" s="91" t="n">
        <v>63</v>
      </c>
      <c r="AJ310" s="88" t="n">
        <v>0.02193593314763231</v>
      </c>
      <c r="AK310" s="91" t="n">
        <v>0</v>
      </c>
      <c r="AL310" s="88" t="n">
        <v>0.7142857142857143</v>
      </c>
      <c r="AM310" s="91" t="n">
        <v>55</v>
      </c>
      <c r="AN310" s="91" t="n">
        <v>45</v>
      </c>
      <c r="AO310" s="88" t="n">
        <v>0.01566852367688022</v>
      </c>
      <c r="AP310" s="88" t="n">
        <v>0.4945054945054945</v>
      </c>
      <c r="AQ310" s="89" t="n">
        <v>1</v>
      </c>
      <c r="AR310" s="89" t="n">
        <v>0.4363636363636363</v>
      </c>
      <c r="AS310" s="89" t="n">
        <v>0.5272727272727272</v>
      </c>
      <c r="AT310" s="91" t="n">
        <v>0</v>
      </c>
      <c r="AU310" s="91" t="n">
        <v>0</v>
      </c>
      <c r="AV310" s="91" t="n">
        <v>21</v>
      </c>
      <c r="AW310" s="91" t="n">
        <v>17</v>
      </c>
      <c r="AX310" s="91" t="n">
        <v>17</v>
      </c>
      <c r="AY310" s="91" t="n">
        <v>25</v>
      </c>
      <c r="AZ310" s="88" t="n">
        <v>0.005919220055710306</v>
      </c>
      <c r="BA310" s="88" t="n">
        <v>0.005919220055710306</v>
      </c>
      <c r="BB310" s="88" t="n">
        <v>0.008704735376044569</v>
      </c>
      <c r="BC310" s="88" t="n">
        <v>0.3777777777777778</v>
      </c>
      <c r="BD310" s="91" t="n">
        <v>0</v>
      </c>
      <c r="BE310" s="91" t="n">
        <v>0</v>
      </c>
      <c r="BF310" s="89" t="n">
        <v>1</v>
      </c>
      <c r="BG310" s="89" t="n">
        <v>1</v>
      </c>
      <c r="BH310" s="89" t="inlineStr">
        <is>
          <t>-</t>
        </is>
      </c>
    </row>
    <row r="311" ht="19.55" customHeight="1">
      <c r="A311" s="92" t="n">
        <v>308</v>
      </c>
      <c r="B311" s="87" t="inlineStr">
        <is>
          <t>全国</t>
        </is>
      </c>
      <c r="C311" s="93" t="n">
        <v>46283</v>
      </c>
      <c r="D311" s="87" t="inlineStr">
        <is>
          <t>NX8</t>
        </is>
      </c>
      <c r="E311" s="87" t="n">
        <v>4733</v>
      </c>
      <c r="F311" s="87" t="n">
        <v>4312</v>
      </c>
      <c r="G311" s="88" t="n">
        <v>0.9110500739488696</v>
      </c>
      <c r="H311" s="87" t="n">
        <v>1272</v>
      </c>
      <c r="I311" s="89" t="n">
        <v>0.2687513205155292</v>
      </c>
      <c r="J311" s="87" t="n">
        <v>3473</v>
      </c>
      <c r="K311" s="87" t="n">
        <v>3290</v>
      </c>
      <c r="L311" s="88" t="n">
        <v>0.947</v>
      </c>
      <c r="M311" s="87" t="n">
        <v>20561</v>
      </c>
      <c r="N311" s="87" t="n">
        <v>20867</v>
      </c>
      <c r="O311" s="87" t="n">
        <v>19842</v>
      </c>
      <c r="P311" s="88" t="n">
        <v>0.9650308837118817</v>
      </c>
      <c r="Q311" s="87" t="n">
        <v>322</v>
      </c>
      <c r="R311" s="87" t="n">
        <v>0</v>
      </c>
      <c r="S311" s="87" t="n">
        <v>0</v>
      </c>
      <c r="T311" s="88" t="n">
        <v>0</v>
      </c>
      <c r="U311" s="87" t="n">
        <v>0</v>
      </c>
      <c r="V311" s="88" t="n">
        <v>0</v>
      </c>
      <c r="W311" s="87" t="n">
        <v>514</v>
      </c>
      <c r="X311" s="88" t="n">
        <v>0.1085991971265582</v>
      </c>
      <c r="Y311" s="87" t="n">
        <v>2275</v>
      </c>
      <c r="Z311" s="90" t="n">
        <v>0.4806676526515952</v>
      </c>
      <c r="AA311" s="87" t="n">
        <v>4</v>
      </c>
      <c r="AB311" s="88" t="n">
        <v>0.0008451299387280794</v>
      </c>
      <c r="AC311" s="87" t="n">
        <v>346</v>
      </c>
      <c r="AD311" s="88" t="n">
        <v>0.07310373969997887</v>
      </c>
      <c r="AE311" s="87" t="n">
        <v>52</v>
      </c>
      <c r="AF311" s="88" t="n">
        <v>0.1502890173410405</v>
      </c>
      <c r="AG311" s="87" t="n">
        <v>243</v>
      </c>
      <c r="AH311" s="88" t="n">
        <v>0.7023121387283237</v>
      </c>
      <c r="AI311" s="91" t="n">
        <v>256</v>
      </c>
      <c r="AJ311" s="88" t="n">
        <v>0.05408831607859708</v>
      </c>
      <c r="AK311" s="91" t="n">
        <v>6</v>
      </c>
      <c r="AL311" s="88" t="n">
        <v>0.8046875</v>
      </c>
      <c r="AM311" s="91" t="n">
        <v>247</v>
      </c>
      <c r="AN311" s="91" t="n">
        <v>206</v>
      </c>
      <c r="AO311" s="88" t="n">
        <v>0.04352419184449609</v>
      </c>
      <c r="AP311" s="88" t="n">
        <v>0.5953757225433526</v>
      </c>
      <c r="AQ311" s="89" t="n">
        <v>0.9556451612903226</v>
      </c>
      <c r="AR311" s="89" t="n">
        <v>0.594488188976378</v>
      </c>
      <c r="AS311" s="89" t="n">
        <v>0.594488188976378</v>
      </c>
      <c r="AT311" s="91" t="n">
        <v>0</v>
      </c>
      <c r="AU311" s="91" t="n">
        <v>0</v>
      </c>
      <c r="AV311" s="91" t="n">
        <v>43</v>
      </c>
      <c r="AW311" s="91" t="n">
        <v>39</v>
      </c>
      <c r="AX311" s="91" t="n">
        <v>37</v>
      </c>
      <c r="AY311" s="91" t="n">
        <v>90</v>
      </c>
      <c r="AZ311" s="88" t="n">
        <v>0.008240016902598775</v>
      </c>
      <c r="BA311" s="88" t="n">
        <v>0.007817451933234736</v>
      </c>
      <c r="BB311" s="88" t="n">
        <v>0.01901542362138179</v>
      </c>
      <c r="BC311" s="88" t="n">
        <v>0.1796116504854369</v>
      </c>
      <c r="BD311" s="91" t="n">
        <v>0</v>
      </c>
      <c r="BE311" s="91" t="n">
        <v>0</v>
      </c>
      <c r="BF311" s="89" t="n">
        <v>0.9903846153846154</v>
      </c>
      <c r="BG311" s="89" t="n">
        <v>1</v>
      </c>
      <c r="BH311" s="89" t="inlineStr">
        <is>
          <t>-</t>
        </is>
      </c>
    </row>
    <row r="312" ht="19.55" customHeight="1">
      <c r="A312" s="92" t="n">
        <v>309</v>
      </c>
      <c r="B312" s="87" t="inlineStr">
        <is>
          <t>全国</t>
        </is>
      </c>
      <c r="C312" s="93" t="n">
        <v>46283</v>
      </c>
      <c r="D312" s="87" t="inlineStr">
        <is>
          <t>天籁·鸿蒙座舱</t>
        </is>
      </c>
      <c r="E312" s="87" t="n">
        <v>3977</v>
      </c>
      <c r="F312" s="87" t="n">
        <v>3636</v>
      </c>
      <c r="G312" s="88" t="n">
        <v>0.9142569776213226</v>
      </c>
      <c r="H312" s="87" t="n">
        <v>2038</v>
      </c>
      <c r="I312" s="89" t="n">
        <v>0.5124465677646467</v>
      </c>
      <c r="J312" s="87" t="n">
        <v>4487</v>
      </c>
      <c r="K312" s="87" t="n">
        <v>4405</v>
      </c>
      <c r="L312" s="88" t="n">
        <v>0.982</v>
      </c>
      <c r="M312" s="87" t="n">
        <v>22081</v>
      </c>
      <c r="N312" s="87" t="n">
        <v>22441</v>
      </c>
      <c r="O312" s="87" t="n">
        <v>21713</v>
      </c>
      <c r="P312" s="88" t="n">
        <v>0.9833340881300666</v>
      </c>
      <c r="Q312" s="87" t="n">
        <v>139</v>
      </c>
      <c r="R312" s="87" t="n">
        <v>0</v>
      </c>
      <c r="S312" s="87" t="n">
        <v>0</v>
      </c>
      <c r="T312" s="88" t="n">
        <v>0</v>
      </c>
      <c r="U312" s="87" t="n">
        <v>0</v>
      </c>
      <c r="V312" s="88" t="n">
        <v>0</v>
      </c>
      <c r="W312" s="87" t="n">
        <v>377</v>
      </c>
      <c r="X312" s="88" t="n">
        <v>0.09479507166205682</v>
      </c>
      <c r="Y312" s="87" t="n">
        <v>1153</v>
      </c>
      <c r="Z312" s="90" t="n">
        <v>0.289917022881569</v>
      </c>
      <c r="AA312" s="87" t="n">
        <v>14</v>
      </c>
      <c r="AB312" s="88" t="n">
        <v>0.00352024138798089</v>
      </c>
      <c r="AC312" s="87" t="n">
        <v>162</v>
      </c>
      <c r="AD312" s="88" t="n">
        <v>0.04073422177520744</v>
      </c>
      <c r="AE312" s="87" t="n">
        <v>31</v>
      </c>
      <c r="AF312" s="88" t="n">
        <v>0.191358024691358</v>
      </c>
      <c r="AG312" s="87" t="n">
        <v>125</v>
      </c>
      <c r="AH312" s="88" t="n">
        <v>0.7716049382716049</v>
      </c>
      <c r="AI312" s="91" t="n">
        <v>131</v>
      </c>
      <c r="AJ312" s="88" t="n">
        <v>0.03293940155896404</v>
      </c>
      <c r="AK312" s="91" t="n">
        <v>6</v>
      </c>
      <c r="AL312" s="88" t="n">
        <v>0.8091603053435115</v>
      </c>
      <c r="AM312" s="91" t="n">
        <v>122</v>
      </c>
      <c r="AN312" s="91" t="n">
        <v>106</v>
      </c>
      <c r="AO312" s="88" t="n">
        <v>0.02665325622328388</v>
      </c>
      <c r="AP312" s="88" t="n">
        <v>0.654320987654321</v>
      </c>
      <c r="AQ312" s="89" t="n">
        <v>0.9672131147540983</v>
      </c>
      <c r="AR312" s="89" t="n">
        <v>0.6328125</v>
      </c>
      <c r="AS312" s="89" t="n">
        <v>0.6171875</v>
      </c>
      <c r="AT312" s="91" t="n">
        <v>0</v>
      </c>
      <c r="AU312" s="91" t="n">
        <v>0</v>
      </c>
      <c r="AV312" s="91" t="n">
        <v>29</v>
      </c>
      <c r="AW312" s="91" t="n">
        <v>16</v>
      </c>
      <c r="AX312" s="91" t="n">
        <v>17</v>
      </c>
      <c r="AY312" s="91" t="n">
        <v>64</v>
      </c>
      <c r="AZ312" s="88" t="n">
        <v>0.004023133014835303</v>
      </c>
      <c r="BA312" s="88" t="n">
        <v>0.004274578828262509</v>
      </c>
      <c r="BB312" s="88" t="n">
        <v>0.01609253205934121</v>
      </c>
      <c r="BC312" s="88" t="n">
        <v>0.160377358490566</v>
      </c>
      <c r="BD312" s="91" t="n">
        <v>0</v>
      </c>
      <c r="BE312" s="91" t="n">
        <v>0</v>
      </c>
      <c r="BF312" s="89" t="n">
        <v>1</v>
      </c>
      <c r="BG312" s="89" t="n">
        <v>1</v>
      </c>
      <c r="BH312" s="89" t="inlineStr">
        <is>
          <t>-</t>
        </is>
      </c>
    </row>
    <row r="313" ht="19.55" customHeight="1">
      <c r="A313" s="92" t="n">
        <v>310</v>
      </c>
      <c r="B313" s="87" t="inlineStr">
        <is>
          <t>全国</t>
        </is>
      </c>
      <c r="C313" s="93" t="n">
        <v>46284</v>
      </c>
      <c r="D313" s="87" t="n"/>
      <c r="E313" s="87" t="n">
        <v>72</v>
      </c>
      <c r="F313" s="87" t="n">
        <v>72</v>
      </c>
      <c r="G313" s="88" t="n">
        <v>1</v>
      </c>
      <c r="H313" s="87" t="n">
        <v>72</v>
      </c>
      <c r="I313" s="89" t="n">
        <v>1</v>
      </c>
      <c r="J313" s="87" t="n">
        <v>0</v>
      </c>
      <c r="K313" s="87" t="n">
        <v>0</v>
      </c>
      <c r="L313" s="88" t="n">
        <v>0</v>
      </c>
      <c r="M313" s="87" t="n">
        <v>4</v>
      </c>
      <c r="N313" s="87" t="n">
        <v>2</v>
      </c>
      <c r="O313" s="87" t="n">
        <v>3</v>
      </c>
      <c r="P313" s="88" t="n">
        <v>0.75</v>
      </c>
      <c r="Q313" s="87" t="n">
        <v>1</v>
      </c>
      <c r="R313" s="87" t="n">
        <v>0</v>
      </c>
      <c r="S313" s="87" t="n">
        <v>0</v>
      </c>
      <c r="T313" s="88" t="n">
        <v>0</v>
      </c>
      <c r="U313" s="87" t="n">
        <v>0</v>
      </c>
      <c r="V313" s="88" t="n">
        <v>0</v>
      </c>
      <c r="W313" s="87" t="n">
        <v>9</v>
      </c>
      <c r="X313" s="88" t="n">
        <v>0.125</v>
      </c>
      <c r="Y313" s="87" t="n">
        <v>5</v>
      </c>
      <c r="Z313" s="90" t="n">
        <v>0.06944444444444445</v>
      </c>
      <c r="AA313" s="87" t="n">
        <v>0</v>
      </c>
      <c r="AB313" s="88" t="n">
        <v>0</v>
      </c>
      <c r="AC313" s="87" t="n">
        <v>0</v>
      </c>
      <c r="AD313" s="88" t="n">
        <v>0</v>
      </c>
      <c r="AE313" s="87" t="n">
        <v>0</v>
      </c>
      <c r="AF313" s="88" t="n">
        <v>0</v>
      </c>
      <c r="AG313" s="87" t="n">
        <v>0</v>
      </c>
      <c r="AH313" s="88" t="n">
        <v>0</v>
      </c>
      <c r="AI313" s="91" t="n">
        <v>0</v>
      </c>
      <c r="AJ313" s="88" t="n">
        <v>0</v>
      </c>
      <c r="AK313" s="91" t="n">
        <v>0</v>
      </c>
      <c r="AL313" s="88" t="n">
        <v>0</v>
      </c>
      <c r="AM313" s="91" t="n">
        <v>0</v>
      </c>
      <c r="AN313" s="91" t="n">
        <v>0</v>
      </c>
      <c r="AO313" s="88" t="n">
        <v>0</v>
      </c>
      <c r="AP313" s="88" t="n">
        <v>0</v>
      </c>
      <c r="AQ313" s="89" t="n"/>
      <c r="AR313" s="89" t="n">
        <v>0</v>
      </c>
      <c r="AS313" s="89" t="n">
        <v>0</v>
      </c>
      <c r="AT313" s="91" t="n">
        <v>0</v>
      </c>
      <c r="AU313" s="91" t="n">
        <v>0</v>
      </c>
      <c r="AV313" s="91" t="n">
        <v>0</v>
      </c>
      <c r="AW313" s="91" t="n">
        <v>0</v>
      </c>
      <c r="AX313" s="91" t="n">
        <v>0</v>
      </c>
      <c r="AY313" s="91" t="n">
        <v>0</v>
      </c>
      <c r="AZ313" s="88" t="n">
        <v>0</v>
      </c>
      <c r="BA313" s="88" t="n">
        <v>0</v>
      </c>
      <c r="BB313" s="88" t="n">
        <v>0</v>
      </c>
      <c r="BC313" s="88" t="n">
        <v>0</v>
      </c>
      <c r="BD313" s="91" t="n">
        <v>0</v>
      </c>
      <c r="BE313" s="91" t="n">
        <v>0</v>
      </c>
      <c r="BF313" s="89" t="inlineStr">
        <is>
          <t>-</t>
        </is>
      </c>
      <c r="BG313" s="89" t="inlineStr">
        <is>
          <t>-</t>
        </is>
      </c>
      <c r="BH313" s="89" t="n">
        <v>1</v>
      </c>
    </row>
    <row r="314" ht="19.55" customHeight="1">
      <c r="A314" s="92" t="n">
        <v>311</v>
      </c>
      <c r="B314" s="87" t="inlineStr">
        <is>
          <t>全国</t>
        </is>
      </c>
      <c r="C314" s="93" t="n">
        <v>46284</v>
      </c>
      <c r="D314" s="87" t="inlineStr">
        <is>
          <t>2026款探陆</t>
        </is>
      </c>
      <c r="E314" s="87" t="n">
        <v>86</v>
      </c>
      <c r="F314" s="87" t="n">
        <v>81</v>
      </c>
      <c r="G314" s="88" t="n">
        <v>0.9418604651162791</v>
      </c>
      <c r="H314" s="87" t="n">
        <v>66</v>
      </c>
      <c r="I314" s="89" t="n">
        <v>0.7674418604651163</v>
      </c>
      <c r="J314" s="87" t="n">
        <v>170</v>
      </c>
      <c r="K314" s="87" t="n">
        <v>82</v>
      </c>
      <c r="L314" s="88" t="n">
        <v>0.482</v>
      </c>
      <c r="M314" s="87" t="n">
        <v>628</v>
      </c>
      <c r="N314" s="87" t="n">
        <v>530</v>
      </c>
      <c r="O314" s="87" t="n">
        <v>477</v>
      </c>
      <c r="P314" s="88" t="n">
        <v>0.7595541401273885</v>
      </c>
      <c r="Q314" s="87" t="n">
        <v>76</v>
      </c>
      <c r="R314" s="87" t="n">
        <v>0</v>
      </c>
      <c r="S314" s="87" t="n">
        <v>0</v>
      </c>
      <c r="T314" s="88" t="n">
        <v>0</v>
      </c>
      <c r="U314" s="87" t="n">
        <v>0</v>
      </c>
      <c r="V314" s="88" t="n">
        <v>0</v>
      </c>
      <c r="W314" s="87" t="n">
        <v>3</v>
      </c>
      <c r="X314" s="88" t="n">
        <v>0.03488372093023256</v>
      </c>
      <c r="Y314" s="87" t="n">
        <v>19</v>
      </c>
      <c r="Z314" s="90" t="n">
        <v>0.2209302325581395</v>
      </c>
      <c r="AA314" s="87" t="n">
        <v>51</v>
      </c>
      <c r="AB314" s="88" t="n">
        <v>0.5930232558139535</v>
      </c>
      <c r="AC314" s="87" t="n">
        <v>2</v>
      </c>
      <c r="AD314" s="88" t="n">
        <v>0.02325581395348837</v>
      </c>
      <c r="AE314" s="87" t="n">
        <v>0</v>
      </c>
      <c r="AF314" s="88" t="n">
        <v>0</v>
      </c>
      <c r="AG314" s="87" t="n">
        <v>0</v>
      </c>
      <c r="AH314" s="88" t="n">
        <v>0</v>
      </c>
      <c r="AI314" s="91" t="n">
        <v>0</v>
      </c>
      <c r="AJ314" s="88" t="n">
        <v>0</v>
      </c>
      <c r="AK314" s="91" t="n">
        <v>0</v>
      </c>
      <c r="AL314" s="88" t="n">
        <v>0</v>
      </c>
      <c r="AM314" s="91" t="n">
        <v>0</v>
      </c>
      <c r="AN314" s="91" t="n">
        <v>0</v>
      </c>
      <c r="AO314" s="88" t="n">
        <v>0</v>
      </c>
      <c r="AP314" s="88" t="n">
        <v>0</v>
      </c>
      <c r="AQ314" s="89" t="n"/>
      <c r="AR314" s="89" t="n">
        <v>0</v>
      </c>
      <c r="AS314" s="89" t="n">
        <v>0</v>
      </c>
      <c r="AT314" s="91" t="n">
        <v>0</v>
      </c>
      <c r="AU314" s="91" t="n">
        <v>0</v>
      </c>
      <c r="AV314" s="91" t="n">
        <v>3</v>
      </c>
      <c r="AW314" s="91" t="n">
        <v>3</v>
      </c>
      <c r="AX314" s="91" t="n">
        <v>3</v>
      </c>
      <c r="AY314" s="91" t="n">
        <v>2</v>
      </c>
      <c r="AZ314" s="88" t="n">
        <v>0.03488372093023256</v>
      </c>
      <c r="BA314" s="88" t="n">
        <v>0.03488372093023256</v>
      </c>
      <c r="BB314" s="88" t="n">
        <v>0.02325581395348837</v>
      </c>
      <c r="BC314" s="88" t="n">
        <v>0</v>
      </c>
      <c r="BD314" s="91" t="n">
        <v>0</v>
      </c>
      <c r="BE314" s="91" t="n">
        <v>0</v>
      </c>
      <c r="BF314" s="89" t="inlineStr">
        <is>
          <t>-</t>
        </is>
      </c>
      <c r="BG314" s="89" t="n">
        <v>1</v>
      </c>
      <c r="BH314" s="89" t="inlineStr">
        <is>
          <t>-</t>
        </is>
      </c>
    </row>
    <row r="315" ht="19.55" customHeight="1">
      <c r="A315" s="92" t="n">
        <v>312</v>
      </c>
      <c r="B315" s="87" t="inlineStr">
        <is>
          <t>全国</t>
        </is>
      </c>
      <c r="C315" s="93" t="n">
        <v>46284</v>
      </c>
      <c r="D315" s="87" t="inlineStr">
        <is>
          <t>N6</t>
        </is>
      </c>
      <c r="E315" s="87" t="n">
        <v>1826</v>
      </c>
      <c r="F315" s="87" t="n">
        <v>1610</v>
      </c>
      <c r="G315" s="88" t="n">
        <v>0.8817086527929902</v>
      </c>
      <c r="H315" s="87" t="n">
        <v>581</v>
      </c>
      <c r="I315" s="89" t="n">
        <v>0.3181818181818182</v>
      </c>
      <c r="J315" s="87" t="n">
        <v>1265</v>
      </c>
      <c r="K315" s="87" t="n">
        <v>1219</v>
      </c>
      <c r="L315" s="88" t="n">
        <v>0.964</v>
      </c>
      <c r="M315" s="87" t="n">
        <v>6818</v>
      </c>
      <c r="N315" s="87" t="n">
        <v>6807</v>
      </c>
      <c r="O315" s="87" t="n">
        <v>6704</v>
      </c>
      <c r="P315" s="88" t="n">
        <v>0.9832795541214432</v>
      </c>
      <c r="Q315" s="87" t="n">
        <v>59</v>
      </c>
      <c r="R315" s="87" t="n">
        <v>0</v>
      </c>
      <c r="S315" s="87" t="n">
        <v>0</v>
      </c>
      <c r="T315" s="88" t="n">
        <v>0</v>
      </c>
      <c r="U315" s="87" t="n">
        <v>0</v>
      </c>
      <c r="V315" s="88" t="n">
        <v>0</v>
      </c>
      <c r="W315" s="87" t="n">
        <v>147</v>
      </c>
      <c r="X315" s="88" t="n">
        <v>0.08050383351588171</v>
      </c>
      <c r="Y315" s="87" t="n">
        <v>356</v>
      </c>
      <c r="Z315" s="90" t="n">
        <v>0.1949616648411829</v>
      </c>
      <c r="AA315" s="87" t="n">
        <v>2</v>
      </c>
      <c r="AB315" s="88" t="n">
        <v>0.001095290251916758</v>
      </c>
      <c r="AC315" s="87" t="n">
        <v>128</v>
      </c>
      <c r="AD315" s="88" t="n">
        <v>0.07009857612267251</v>
      </c>
      <c r="AE315" s="87" t="n">
        <v>11</v>
      </c>
      <c r="AF315" s="88" t="n">
        <v>0.0859375</v>
      </c>
      <c r="AG315" s="87" t="n">
        <v>101</v>
      </c>
      <c r="AH315" s="88" t="n">
        <v>0.7890625</v>
      </c>
      <c r="AI315" s="91" t="n">
        <v>130</v>
      </c>
      <c r="AJ315" s="88" t="n">
        <v>0.07119386637458927</v>
      </c>
      <c r="AK315" s="91" t="n">
        <v>2</v>
      </c>
      <c r="AL315" s="88" t="n">
        <v>0.7</v>
      </c>
      <c r="AM315" s="91" t="n">
        <v>108</v>
      </c>
      <c r="AN315" s="91" t="n">
        <v>91</v>
      </c>
      <c r="AO315" s="88" t="n">
        <v>0.04983570646221248</v>
      </c>
      <c r="AP315" s="88" t="n">
        <v>0.7109375</v>
      </c>
      <c r="AQ315" s="89" t="n">
        <v>0.9636363636363636</v>
      </c>
      <c r="AR315" s="89" t="n">
        <v>0.6176470588235294</v>
      </c>
      <c r="AS315" s="89" t="n">
        <v>0.6176470588235294</v>
      </c>
      <c r="AT315" s="91" t="n">
        <v>0</v>
      </c>
      <c r="AU315" s="91" t="n">
        <v>0</v>
      </c>
      <c r="AV315" s="91" t="n">
        <v>31</v>
      </c>
      <c r="AW315" s="91" t="n">
        <v>29</v>
      </c>
      <c r="AX315" s="91" t="n">
        <v>26</v>
      </c>
      <c r="AY315" s="91" t="n">
        <v>25</v>
      </c>
      <c r="AZ315" s="88" t="n">
        <v>0.01588170865279299</v>
      </c>
      <c r="BA315" s="88" t="n">
        <v>0.01423877327491785</v>
      </c>
      <c r="BB315" s="88" t="n">
        <v>0.01369112814895947</v>
      </c>
      <c r="BC315" s="88" t="n">
        <v>0.2857142857142857</v>
      </c>
      <c r="BD315" s="91" t="n">
        <v>0</v>
      </c>
      <c r="BE315" s="91" t="n">
        <v>0</v>
      </c>
      <c r="BF315" s="89" t="n">
        <v>1</v>
      </c>
      <c r="BG315" s="89" t="n">
        <v>1</v>
      </c>
      <c r="BH315" s="89" t="inlineStr">
        <is>
          <t>-</t>
        </is>
      </c>
    </row>
    <row r="316" ht="19.55" customHeight="1">
      <c r="A316" s="92" t="n">
        <v>313</v>
      </c>
      <c r="B316" s="87" t="inlineStr">
        <is>
          <t>全国</t>
        </is>
      </c>
      <c r="C316" s="93" t="n">
        <v>46284</v>
      </c>
      <c r="D316" s="87" t="inlineStr">
        <is>
          <t>N7</t>
        </is>
      </c>
      <c r="E316" s="87" t="n">
        <v>2818</v>
      </c>
      <c r="F316" s="87" t="n">
        <v>2515</v>
      </c>
      <c r="G316" s="88" t="n">
        <v>0.8924769339957417</v>
      </c>
      <c r="H316" s="87" t="n">
        <v>1294</v>
      </c>
      <c r="I316" s="89" t="n">
        <v>0.4591909155429382</v>
      </c>
      <c r="J316" s="87" t="n">
        <v>1812</v>
      </c>
      <c r="K316" s="87" t="n">
        <v>1770</v>
      </c>
      <c r="L316" s="88" t="n">
        <v>0.977</v>
      </c>
      <c r="M316" s="87" t="n">
        <v>9058</v>
      </c>
      <c r="N316" s="87" t="n">
        <v>9375</v>
      </c>
      <c r="O316" s="87" t="n">
        <v>8909</v>
      </c>
      <c r="P316" s="88" t="n">
        <v>0.9835504526385516</v>
      </c>
      <c r="Q316" s="87" t="n">
        <v>78</v>
      </c>
      <c r="R316" s="87" t="n">
        <v>0</v>
      </c>
      <c r="S316" s="87" t="n">
        <v>0</v>
      </c>
      <c r="T316" s="88" t="n">
        <v>0</v>
      </c>
      <c r="U316" s="87" t="n">
        <v>0</v>
      </c>
      <c r="V316" s="88" t="n">
        <v>0</v>
      </c>
      <c r="W316" s="87" t="n">
        <v>202</v>
      </c>
      <c r="X316" s="88" t="n">
        <v>0.0716820440028389</v>
      </c>
      <c r="Y316" s="87" t="n">
        <v>571</v>
      </c>
      <c r="Z316" s="90" t="n">
        <v>0.2026259758694109</v>
      </c>
      <c r="AA316" s="87" t="n">
        <v>2</v>
      </c>
      <c r="AB316" s="88" t="n">
        <v>0.0007097232079489</v>
      </c>
      <c r="AC316" s="87" t="n">
        <v>168</v>
      </c>
      <c r="AD316" s="88" t="n">
        <v>0.05961674946770759</v>
      </c>
      <c r="AE316" s="87" t="n">
        <v>11</v>
      </c>
      <c r="AF316" s="88" t="n">
        <v>0.06547619047619048</v>
      </c>
      <c r="AG316" s="87" t="n">
        <v>123</v>
      </c>
      <c r="AH316" s="88" t="n">
        <v>0.7321428571428571</v>
      </c>
      <c r="AI316" s="91" t="n">
        <v>161</v>
      </c>
      <c r="AJ316" s="88" t="n">
        <v>0.05713271823988644</v>
      </c>
      <c r="AK316" s="91" t="n">
        <v>1</v>
      </c>
      <c r="AL316" s="88" t="n">
        <v>0.6149068322981367</v>
      </c>
      <c r="AM316" s="91" t="n">
        <v>117</v>
      </c>
      <c r="AN316" s="91" t="n">
        <v>99</v>
      </c>
      <c r="AO316" s="88" t="n">
        <v>0.03513129879347054</v>
      </c>
      <c r="AP316" s="88" t="n">
        <v>0.5892857142857143</v>
      </c>
      <c r="AQ316" s="89" t="n">
        <v>0.9285714285714286</v>
      </c>
      <c r="AR316" s="89" t="n">
        <v>0.6859504132231405</v>
      </c>
      <c r="AS316" s="89" t="n">
        <v>0.6611570247933884</v>
      </c>
      <c r="AT316" s="91" t="n">
        <v>0</v>
      </c>
      <c r="AU316" s="91" t="n">
        <v>0</v>
      </c>
      <c r="AV316" s="91" t="n">
        <v>52</v>
      </c>
      <c r="AW316" s="91" t="n">
        <v>50</v>
      </c>
      <c r="AX316" s="91" t="n">
        <v>46</v>
      </c>
      <c r="AY316" s="91" t="n">
        <v>32</v>
      </c>
      <c r="AZ316" s="88" t="n">
        <v>0.0177430801987225</v>
      </c>
      <c r="BA316" s="88" t="n">
        <v>0.0163236337828247</v>
      </c>
      <c r="BB316" s="88" t="n">
        <v>0.0113555713271824</v>
      </c>
      <c r="BC316" s="88" t="n">
        <v>0.4646464646464646</v>
      </c>
      <c r="BD316" s="91" t="n">
        <v>0</v>
      </c>
      <c r="BE316" s="91" t="n">
        <v>0</v>
      </c>
      <c r="BF316" s="89" t="n">
        <v>1</v>
      </c>
      <c r="BG316" s="89" t="n">
        <v>1</v>
      </c>
      <c r="BH316" s="89" t="inlineStr">
        <is>
          <t>-</t>
        </is>
      </c>
    </row>
    <row r="317" ht="19.55" customHeight="1">
      <c r="A317" s="92" t="n">
        <v>314</v>
      </c>
      <c r="B317" s="87" t="inlineStr">
        <is>
          <t>全国</t>
        </is>
      </c>
      <c r="C317" s="93" t="n">
        <v>46284</v>
      </c>
      <c r="D317" s="87" t="inlineStr">
        <is>
          <t>NX8</t>
        </is>
      </c>
      <c r="E317" s="87" t="n">
        <v>5607</v>
      </c>
      <c r="F317" s="87" t="n">
        <v>5179</v>
      </c>
      <c r="G317" s="88" t="n">
        <v>0.9236668450151596</v>
      </c>
      <c r="H317" s="87" t="n">
        <v>1893</v>
      </c>
      <c r="I317" s="89" t="n">
        <v>0.337613697164259</v>
      </c>
      <c r="J317" s="87" t="n">
        <v>4353</v>
      </c>
      <c r="K317" s="87" t="n">
        <v>4237</v>
      </c>
      <c r="L317" s="88" t="n">
        <v>0.973</v>
      </c>
      <c r="M317" s="87" t="n">
        <v>20487</v>
      </c>
      <c r="N317" s="87" t="n">
        <v>21154</v>
      </c>
      <c r="O317" s="87" t="n">
        <v>20151</v>
      </c>
      <c r="P317" s="88" t="n">
        <v>0.9835993556889735</v>
      </c>
      <c r="Q317" s="87" t="n">
        <v>157</v>
      </c>
      <c r="R317" s="87" t="n">
        <v>0</v>
      </c>
      <c r="S317" s="87" t="n">
        <v>0</v>
      </c>
      <c r="T317" s="88" t="n">
        <v>0</v>
      </c>
      <c r="U317" s="87" t="n">
        <v>0</v>
      </c>
      <c r="V317" s="88" t="n">
        <v>0</v>
      </c>
      <c r="W317" s="87" t="n">
        <v>487</v>
      </c>
      <c r="X317" s="88" t="n">
        <v>0.08685571606919922</v>
      </c>
      <c r="Y317" s="87" t="n">
        <v>2100</v>
      </c>
      <c r="Z317" s="90" t="n">
        <v>0.3745318352059925</v>
      </c>
      <c r="AA317" s="87" t="n">
        <v>7</v>
      </c>
      <c r="AB317" s="88" t="n">
        <v>0.001248439450686642</v>
      </c>
      <c r="AC317" s="87" t="n">
        <v>557</v>
      </c>
      <c r="AD317" s="88" t="n">
        <v>0.09934011057606563</v>
      </c>
      <c r="AE317" s="87" t="n">
        <v>84</v>
      </c>
      <c r="AF317" s="88" t="n">
        <v>0.1508078994614004</v>
      </c>
      <c r="AG317" s="87" t="n">
        <v>429</v>
      </c>
      <c r="AH317" s="88" t="n">
        <v>0.770197486535009</v>
      </c>
      <c r="AI317" s="91" t="n">
        <v>510</v>
      </c>
      <c r="AJ317" s="88" t="n">
        <v>0.0909577314071696</v>
      </c>
      <c r="AK317" s="91" t="n">
        <v>18</v>
      </c>
      <c r="AL317" s="88" t="n">
        <v>0.7588235294117647</v>
      </c>
      <c r="AM317" s="91" t="n">
        <v>439</v>
      </c>
      <c r="AN317" s="91" t="n">
        <v>387</v>
      </c>
      <c r="AO317" s="88" t="n">
        <v>0.06902086677367576</v>
      </c>
      <c r="AP317" s="88" t="n">
        <v>0.6947935368043088</v>
      </c>
      <c r="AQ317" s="89" t="n">
        <v>0.9601593625498008</v>
      </c>
      <c r="AR317" s="89" t="n">
        <v>0.6299559471365639</v>
      </c>
      <c r="AS317" s="89" t="n">
        <v>0.6277533039647577</v>
      </c>
      <c r="AT317" s="91" t="n">
        <v>0</v>
      </c>
      <c r="AU317" s="91" t="n">
        <v>0</v>
      </c>
      <c r="AV317" s="91" t="n">
        <v>88</v>
      </c>
      <c r="AW317" s="91" t="n">
        <v>83</v>
      </c>
      <c r="AX317" s="91" t="n">
        <v>85</v>
      </c>
      <c r="AY317" s="91" t="n">
        <v>79</v>
      </c>
      <c r="AZ317" s="88" t="n">
        <v>0.01480292491528447</v>
      </c>
      <c r="BA317" s="88" t="n">
        <v>0.01515962190119493</v>
      </c>
      <c r="BB317" s="88" t="n">
        <v>0.01408953094346353</v>
      </c>
      <c r="BC317" s="88" t="n">
        <v>0.2196382428940568</v>
      </c>
      <c r="BD317" s="91" t="n">
        <v>0</v>
      </c>
      <c r="BE317" s="91" t="n">
        <v>0</v>
      </c>
      <c r="BF317" s="89" t="n">
        <v>0.9951690821256038</v>
      </c>
      <c r="BG317" s="89" t="n">
        <v>1</v>
      </c>
      <c r="BH317" s="89" t="inlineStr">
        <is>
          <t>-</t>
        </is>
      </c>
    </row>
    <row r="318" ht="19.55" customHeight="1">
      <c r="A318" s="92" t="n">
        <v>315</v>
      </c>
      <c r="B318" s="87" t="inlineStr">
        <is>
          <t>全国</t>
        </is>
      </c>
      <c r="C318" s="93" t="n">
        <v>46284</v>
      </c>
      <c r="D318" s="87" t="inlineStr">
        <is>
          <t>天籁·鸿蒙座舱</t>
        </is>
      </c>
      <c r="E318" s="87" t="n">
        <v>4347</v>
      </c>
      <c r="F318" s="87" t="n">
        <v>3947</v>
      </c>
      <c r="G318" s="88" t="n">
        <v>0.9079825166781689</v>
      </c>
      <c r="H318" s="87" t="n">
        <v>2161</v>
      </c>
      <c r="I318" s="89" t="n">
        <v>0.4971244536461928</v>
      </c>
      <c r="J318" s="87" t="n">
        <v>5061</v>
      </c>
      <c r="K318" s="87" t="n">
        <v>4978</v>
      </c>
      <c r="L318" s="88" t="n">
        <v>0.984</v>
      </c>
      <c r="M318" s="87" t="n">
        <v>22665</v>
      </c>
      <c r="N318" s="87" t="n">
        <v>22823</v>
      </c>
      <c r="O318" s="87" t="n">
        <v>22378</v>
      </c>
      <c r="P318" s="88" t="n">
        <v>0.9873373042135452</v>
      </c>
      <c r="Q318" s="87" t="n">
        <v>105</v>
      </c>
      <c r="R318" s="87" t="n">
        <v>0</v>
      </c>
      <c r="S318" s="87" t="n">
        <v>0</v>
      </c>
      <c r="T318" s="88" t="n">
        <v>0</v>
      </c>
      <c r="U318" s="87" t="n">
        <v>0</v>
      </c>
      <c r="V318" s="88" t="n">
        <v>0</v>
      </c>
      <c r="W318" s="87" t="n">
        <v>336</v>
      </c>
      <c r="X318" s="88" t="n">
        <v>0.07729468599033816</v>
      </c>
      <c r="Y318" s="87" t="n">
        <v>884</v>
      </c>
      <c r="Z318" s="90" t="n">
        <v>0.2033586381412468</v>
      </c>
      <c r="AA318" s="87" t="n">
        <v>8</v>
      </c>
      <c r="AB318" s="88" t="n">
        <v>0.001840349666436623</v>
      </c>
      <c r="AC318" s="87" t="n">
        <v>294</v>
      </c>
      <c r="AD318" s="88" t="n">
        <v>0.06763285024154589</v>
      </c>
      <c r="AE318" s="87" t="n">
        <v>31</v>
      </c>
      <c r="AF318" s="88" t="n">
        <v>0.1054421768707483</v>
      </c>
      <c r="AG318" s="87" t="n">
        <v>233</v>
      </c>
      <c r="AH318" s="88" t="n">
        <v>0.7925170068027211</v>
      </c>
      <c r="AI318" s="91" t="n">
        <v>290</v>
      </c>
      <c r="AJ318" s="88" t="n">
        <v>0.06671267540832758</v>
      </c>
      <c r="AK318" s="91" t="n">
        <v>7</v>
      </c>
      <c r="AL318" s="88" t="n">
        <v>0.7379310344827587</v>
      </c>
      <c r="AM318" s="91" t="n">
        <v>243</v>
      </c>
      <c r="AN318" s="91" t="n">
        <v>214</v>
      </c>
      <c r="AO318" s="88" t="n">
        <v>0.04922935357717966</v>
      </c>
      <c r="AP318" s="88" t="n">
        <v>0.7278911564625851</v>
      </c>
      <c r="AQ318" s="89" t="n">
        <v>0.9917355371900827</v>
      </c>
      <c r="AR318" s="89" t="n">
        <v>0.6208333333333333</v>
      </c>
      <c r="AS318" s="89" t="n">
        <v>0.6625</v>
      </c>
      <c r="AT318" s="91" t="n">
        <v>0</v>
      </c>
      <c r="AU318" s="91" t="n">
        <v>0</v>
      </c>
      <c r="AV318" s="91" t="n">
        <v>151</v>
      </c>
      <c r="AW318" s="91" t="n">
        <v>144</v>
      </c>
      <c r="AX318" s="91" t="n">
        <v>142</v>
      </c>
      <c r="AY318" s="91" t="n">
        <v>60</v>
      </c>
      <c r="AZ318" s="88" t="n">
        <v>0.03312629399585922</v>
      </c>
      <c r="BA318" s="88" t="n">
        <v>0.03266620657925006</v>
      </c>
      <c r="BB318" s="88" t="n">
        <v>0.01380262249827467</v>
      </c>
      <c r="BC318" s="88" t="n">
        <v>0.6635514018691588</v>
      </c>
      <c r="BD318" s="91" t="n">
        <v>0</v>
      </c>
      <c r="BE318" s="91" t="n">
        <v>0</v>
      </c>
      <c r="BF318" s="89" t="n">
        <v>1</v>
      </c>
      <c r="BG318" s="89" t="n">
        <v>1</v>
      </c>
      <c r="BH318" s="89" t="inlineStr">
        <is>
          <t>-</t>
        </is>
      </c>
    </row>
    <row r="319" ht="19.55" customHeight="1">
      <c r="A319" s="92" t="n">
        <v>316</v>
      </c>
      <c r="B319" s="87" t="inlineStr">
        <is>
          <t>全国</t>
        </is>
      </c>
      <c r="C319" s="93" t="n">
        <v>46284</v>
      </c>
      <c r="D319" s="87" t="inlineStr">
        <is>
          <t>探陆</t>
        </is>
      </c>
      <c r="E319" s="87" t="n">
        <v>0</v>
      </c>
      <c r="F319" s="87" t="n">
        <v>0</v>
      </c>
      <c r="G319" s="88" t="n">
        <v>0</v>
      </c>
      <c r="H319" s="87" t="n">
        <v>0</v>
      </c>
      <c r="I319" s="89" t="n">
        <v>0</v>
      </c>
      <c r="J319" s="87" t="n">
        <v>0</v>
      </c>
      <c r="K319" s="87" t="n">
        <v>0</v>
      </c>
      <c r="L319" s="88" t="n">
        <v>0</v>
      </c>
      <c r="M319" s="87" t="n">
        <v>0</v>
      </c>
      <c r="N319" s="87" t="n">
        <v>0</v>
      </c>
      <c r="O319" s="87" t="n">
        <v>0</v>
      </c>
      <c r="P319" s="88" t="n">
        <v>0</v>
      </c>
      <c r="Q319" s="87" t="n">
        <v>0</v>
      </c>
      <c r="R319" s="87" t="n">
        <v>0</v>
      </c>
      <c r="S319" s="87" t="n">
        <v>0</v>
      </c>
      <c r="T319" s="88" t="n">
        <v>0</v>
      </c>
      <c r="U319" s="87" t="n">
        <v>0</v>
      </c>
      <c r="V319" s="88" t="n">
        <v>0</v>
      </c>
      <c r="W319" s="87" t="n">
        <v>0</v>
      </c>
      <c r="X319" s="88" t="n">
        <v>0</v>
      </c>
      <c r="Y319" s="87" t="n">
        <v>0</v>
      </c>
      <c r="Z319" s="90" t="n">
        <v>0</v>
      </c>
      <c r="AA319" s="87" t="n">
        <v>0</v>
      </c>
      <c r="AB319" s="88" t="n">
        <v>0</v>
      </c>
      <c r="AC319" s="87" t="n">
        <v>0</v>
      </c>
      <c r="AD319" s="88" t="n">
        <v>0</v>
      </c>
      <c r="AE319" s="87" t="n">
        <v>0</v>
      </c>
      <c r="AF319" s="88" t="n">
        <v>0</v>
      </c>
      <c r="AG319" s="87" t="n">
        <v>0</v>
      </c>
      <c r="AH319" s="88" t="n">
        <v>0</v>
      </c>
      <c r="AI319" s="91" t="n">
        <v>1</v>
      </c>
      <c r="AJ319" s="88" t="n">
        <v>0</v>
      </c>
      <c r="AK319" s="91" t="n">
        <v>0</v>
      </c>
      <c r="AL319" s="88" t="n">
        <v>1</v>
      </c>
      <c r="AM319" s="91" t="n">
        <v>1</v>
      </c>
      <c r="AN319" s="91" t="n">
        <v>1</v>
      </c>
      <c r="AO319" s="88" t="n">
        <v>0</v>
      </c>
      <c r="AP319" s="88" t="n">
        <v>0</v>
      </c>
      <c r="AQ319" s="89" t="n"/>
      <c r="AR319" s="89" t="inlineStr">
        <is>
          <t>0.0%</t>
        </is>
      </c>
      <c r="AS319" s="89" t="inlineStr">
        <is>
          <t>0.0%</t>
        </is>
      </c>
      <c r="AT319" s="91" t="n">
        <v>0</v>
      </c>
      <c r="AU319" s="91" t="n">
        <v>0</v>
      </c>
      <c r="AV319" s="91" t="n">
        <v>0</v>
      </c>
      <c r="AW319" s="91" t="n">
        <v>0</v>
      </c>
      <c r="AX319" s="91" t="n">
        <v>0</v>
      </c>
      <c r="AY319" s="91" t="n">
        <v>0</v>
      </c>
      <c r="AZ319" s="88" t="n">
        <v>0</v>
      </c>
      <c r="BA319" s="88" t="n">
        <v>0</v>
      </c>
      <c r="BB319" s="88" t="n">
        <v>0</v>
      </c>
      <c r="BC319" s="88" t="n">
        <v>0</v>
      </c>
      <c r="BD319" s="91" t="n">
        <v>0</v>
      </c>
      <c r="BE319" s="91" t="n">
        <v>0</v>
      </c>
      <c r="BF319" s="89" t="inlineStr">
        <is>
          <t>-</t>
        </is>
      </c>
      <c r="BG319" s="89" t="inlineStr">
        <is>
          <t>-</t>
        </is>
      </c>
      <c r="BH319" s="89" t="inlineStr">
        <is>
          <t>-</t>
        </is>
      </c>
    </row>
    <row r="320" ht="19.55" customHeight="1">
      <c r="A320" s="92" t="n">
        <v>317</v>
      </c>
      <c r="B320" s="87" t="inlineStr">
        <is>
          <t>全国</t>
        </is>
      </c>
      <c r="C320" s="93" t="n">
        <v>46285</v>
      </c>
      <c r="D320" s="87" t="n"/>
      <c r="E320" s="87" t="n">
        <v>52</v>
      </c>
      <c r="F320" s="87" t="n">
        <v>52</v>
      </c>
      <c r="G320" s="88" t="n">
        <v>1</v>
      </c>
      <c r="H320" s="87" t="n">
        <v>52</v>
      </c>
      <c r="I320" s="89" t="n">
        <v>1</v>
      </c>
      <c r="J320" s="87" t="n">
        <v>0</v>
      </c>
      <c r="K320" s="87" t="n">
        <v>0</v>
      </c>
      <c r="L320" s="88" t="n">
        <v>0</v>
      </c>
      <c r="M320" s="87" t="n">
        <v>3</v>
      </c>
      <c r="N320" s="87" t="n">
        <v>0</v>
      </c>
      <c r="O320" s="87" t="n">
        <v>0</v>
      </c>
      <c r="P320" s="88" t="n">
        <v>0</v>
      </c>
      <c r="Q320" s="87" t="n">
        <v>3</v>
      </c>
      <c r="R320" s="87" t="n">
        <v>0</v>
      </c>
      <c r="S320" s="87" t="n">
        <v>0</v>
      </c>
      <c r="T320" s="88" t="n">
        <v>0</v>
      </c>
      <c r="U320" s="87" t="n">
        <v>0</v>
      </c>
      <c r="V320" s="88" t="n">
        <v>0</v>
      </c>
      <c r="W320" s="87" t="n">
        <v>15</v>
      </c>
      <c r="X320" s="88" t="n">
        <v>0.2884615384615384</v>
      </c>
      <c r="Y320" s="87" t="n">
        <v>9</v>
      </c>
      <c r="Z320" s="90" t="n">
        <v>0.1730769230769231</v>
      </c>
      <c r="AA320" s="87" t="n">
        <v>0</v>
      </c>
      <c r="AB320" s="88" t="n">
        <v>0</v>
      </c>
      <c r="AC320" s="87" t="n">
        <v>0</v>
      </c>
      <c r="AD320" s="88" t="n">
        <v>0</v>
      </c>
      <c r="AE320" s="87" t="n">
        <v>0</v>
      </c>
      <c r="AF320" s="88" t="n">
        <v>0</v>
      </c>
      <c r="AG320" s="87" t="n">
        <v>0</v>
      </c>
      <c r="AH320" s="88" t="n">
        <v>0</v>
      </c>
      <c r="AI320" s="91" t="n">
        <v>0</v>
      </c>
      <c r="AJ320" s="88" t="n">
        <v>0</v>
      </c>
      <c r="AK320" s="91" t="n">
        <v>0</v>
      </c>
      <c r="AL320" s="88" t="n">
        <v>0</v>
      </c>
      <c r="AM320" s="91" t="n">
        <v>0</v>
      </c>
      <c r="AN320" s="91" t="n">
        <v>0</v>
      </c>
      <c r="AO320" s="88" t="n">
        <v>0</v>
      </c>
      <c r="AP320" s="88" t="n">
        <v>0</v>
      </c>
      <c r="AQ320" s="89" t="n">
        <v>0</v>
      </c>
      <c r="AR320" s="89" t="n">
        <v>0</v>
      </c>
      <c r="AS320" s="89" t="n">
        <v>0</v>
      </c>
      <c r="AT320" s="91" t="n">
        <v>0</v>
      </c>
      <c r="AU320" s="91" t="n">
        <v>0</v>
      </c>
      <c r="AV320" s="91" t="n">
        <v>0</v>
      </c>
      <c r="AW320" s="91" t="n">
        <v>0</v>
      </c>
      <c r="AX320" s="91" t="n">
        <v>0</v>
      </c>
      <c r="AY320" s="91" t="n">
        <v>0</v>
      </c>
      <c r="AZ320" s="88" t="n">
        <v>0</v>
      </c>
      <c r="BA320" s="88" t="n">
        <v>0</v>
      </c>
      <c r="BB320" s="88" t="n">
        <v>0</v>
      </c>
      <c r="BC320" s="88" t="n">
        <v>0</v>
      </c>
      <c r="BD320" s="91" t="n">
        <v>0</v>
      </c>
      <c r="BE320" s="91" t="n">
        <v>0</v>
      </c>
      <c r="BF320" s="89" t="inlineStr">
        <is>
          <t>-</t>
        </is>
      </c>
      <c r="BG320" s="89" t="inlineStr">
        <is>
          <t>-</t>
        </is>
      </c>
      <c r="BH320" s="89" t="n">
        <v>1</v>
      </c>
    </row>
    <row r="321" ht="19.55" customHeight="1">
      <c r="A321" s="92" t="n">
        <v>318</v>
      </c>
      <c r="B321" s="87" t="inlineStr">
        <is>
          <t>全国</t>
        </is>
      </c>
      <c r="C321" s="93" t="n">
        <v>46285</v>
      </c>
      <c r="D321" s="87" t="inlineStr">
        <is>
          <t>2026款探陆</t>
        </is>
      </c>
      <c r="E321" s="87" t="n">
        <v>69</v>
      </c>
      <c r="F321" s="87" t="n">
        <v>67</v>
      </c>
      <c r="G321" s="88" t="n">
        <v>0.9710144927536232</v>
      </c>
      <c r="H321" s="87" t="n">
        <v>44</v>
      </c>
      <c r="I321" s="89" t="n">
        <v>0.6376811594202898</v>
      </c>
      <c r="J321" s="87" t="n">
        <v>145</v>
      </c>
      <c r="K321" s="87" t="n">
        <v>74</v>
      </c>
      <c r="L321" s="88" t="n">
        <v>0.51</v>
      </c>
      <c r="M321" s="87" t="n">
        <v>644</v>
      </c>
      <c r="N321" s="87" t="n">
        <v>617</v>
      </c>
      <c r="O321" s="87" t="n">
        <v>521</v>
      </c>
      <c r="P321" s="88" t="n">
        <v>0.8090062111801242</v>
      </c>
      <c r="Q321" s="87" t="n">
        <v>66</v>
      </c>
      <c r="R321" s="87" t="n">
        <v>0</v>
      </c>
      <c r="S321" s="87" t="n">
        <v>0</v>
      </c>
      <c r="T321" s="88" t="n">
        <v>0</v>
      </c>
      <c r="U321" s="87" t="n">
        <v>0</v>
      </c>
      <c r="V321" s="88" t="n">
        <v>0</v>
      </c>
      <c r="W321" s="87" t="n">
        <v>10</v>
      </c>
      <c r="X321" s="88" t="n">
        <v>0.1449275362318841</v>
      </c>
      <c r="Y321" s="87" t="n">
        <v>12</v>
      </c>
      <c r="Z321" s="90" t="n">
        <v>0.1739130434782609</v>
      </c>
      <c r="AA321" s="87" t="n">
        <v>62</v>
      </c>
      <c r="AB321" s="88" t="n">
        <v>0.8985507246376812</v>
      </c>
      <c r="AC321" s="87" t="n">
        <v>2</v>
      </c>
      <c r="AD321" s="88" t="n">
        <v>0.02898550724637681</v>
      </c>
      <c r="AE321" s="87" t="n">
        <v>0</v>
      </c>
      <c r="AF321" s="88" t="n">
        <v>0</v>
      </c>
      <c r="AG321" s="87" t="n">
        <v>0</v>
      </c>
      <c r="AH321" s="88" t="n">
        <v>0</v>
      </c>
      <c r="AI321" s="91" t="n">
        <v>0</v>
      </c>
      <c r="AJ321" s="88" t="n">
        <v>0</v>
      </c>
      <c r="AK321" s="91" t="n">
        <v>0</v>
      </c>
      <c r="AL321" s="88" t="n">
        <v>0</v>
      </c>
      <c r="AM321" s="91" t="n">
        <v>0</v>
      </c>
      <c r="AN321" s="91" t="n">
        <v>0</v>
      </c>
      <c r="AO321" s="88" t="n">
        <v>0</v>
      </c>
      <c r="AP321" s="88" t="n">
        <v>0</v>
      </c>
      <c r="AQ321" s="89" t="n">
        <v>1</v>
      </c>
      <c r="AR321" s="89" t="inlineStr">
        <is>
          <t>0.0%</t>
        </is>
      </c>
      <c r="AS321" s="89" t="inlineStr">
        <is>
          <t>0.0%</t>
        </is>
      </c>
      <c r="AT321" s="91" t="n">
        <v>0</v>
      </c>
      <c r="AU321" s="91" t="n">
        <v>0</v>
      </c>
      <c r="AV321" s="91" t="n">
        <v>2</v>
      </c>
      <c r="AW321" s="91" t="n">
        <v>2</v>
      </c>
      <c r="AX321" s="91" t="n">
        <v>2</v>
      </c>
      <c r="AY321" s="91" t="n">
        <v>1</v>
      </c>
      <c r="AZ321" s="88" t="n">
        <v>0.02898550724637681</v>
      </c>
      <c r="BA321" s="88" t="n">
        <v>0.02898550724637681</v>
      </c>
      <c r="BB321" s="88" t="n">
        <v>0.01449275362318841</v>
      </c>
      <c r="BC321" s="88" t="n">
        <v>0</v>
      </c>
      <c r="BD321" s="91" t="n">
        <v>0</v>
      </c>
      <c r="BE321" s="91" t="n">
        <v>0</v>
      </c>
      <c r="BF321" s="89" t="inlineStr">
        <is>
          <t>-</t>
        </is>
      </c>
      <c r="BG321" s="89" t="n">
        <v>1</v>
      </c>
      <c r="BH321" s="89" t="inlineStr">
        <is>
          <t>-</t>
        </is>
      </c>
    </row>
    <row r="322" ht="19.55" customHeight="1">
      <c r="A322" s="92" t="n">
        <v>319</v>
      </c>
      <c r="B322" s="87" t="inlineStr">
        <is>
          <t>全国</t>
        </is>
      </c>
      <c r="C322" s="93" t="n">
        <v>46285</v>
      </c>
      <c r="D322" s="87" t="inlineStr">
        <is>
          <t>N6</t>
        </is>
      </c>
      <c r="E322" s="87" t="n">
        <v>1891</v>
      </c>
      <c r="F322" s="87" t="n">
        <v>1681</v>
      </c>
      <c r="G322" s="88" t="n">
        <v>0.8889476467477525</v>
      </c>
      <c r="H322" s="87" t="n">
        <v>514</v>
      </c>
      <c r="I322" s="89" t="n">
        <v>0.2718138551031201</v>
      </c>
      <c r="J322" s="87" t="n">
        <v>1467</v>
      </c>
      <c r="K322" s="87" t="n">
        <v>1432</v>
      </c>
      <c r="L322" s="88" t="n">
        <v>0.976</v>
      </c>
      <c r="M322" s="87" t="n">
        <v>7060</v>
      </c>
      <c r="N322" s="87" t="n">
        <v>7032</v>
      </c>
      <c r="O322" s="87" t="n">
        <v>6945</v>
      </c>
      <c r="P322" s="88" t="n">
        <v>0.9837110481586402</v>
      </c>
      <c r="Q322" s="87" t="n">
        <v>64</v>
      </c>
      <c r="R322" s="87" t="n">
        <v>0</v>
      </c>
      <c r="S322" s="87" t="n">
        <v>0</v>
      </c>
      <c r="T322" s="88" t="n">
        <v>0</v>
      </c>
      <c r="U322" s="87" t="n">
        <v>0</v>
      </c>
      <c r="V322" s="88" t="n">
        <v>0</v>
      </c>
      <c r="W322" s="87" t="n">
        <v>257</v>
      </c>
      <c r="X322" s="88" t="n">
        <v>0.13590692755156</v>
      </c>
      <c r="Y322" s="87" t="n">
        <v>1741</v>
      </c>
      <c r="Z322" s="90" t="n">
        <v>0.9206768905341089</v>
      </c>
      <c r="AA322" s="87" t="n">
        <v>0</v>
      </c>
      <c r="AB322" s="88" t="n">
        <v>0</v>
      </c>
      <c r="AC322" s="87" t="n">
        <v>100</v>
      </c>
      <c r="AD322" s="88" t="n">
        <v>0.05288207297726071</v>
      </c>
      <c r="AE322" s="87" t="n">
        <v>14</v>
      </c>
      <c r="AF322" s="88" t="n">
        <v>0.14</v>
      </c>
      <c r="AG322" s="87" t="n">
        <v>77</v>
      </c>
      <c r="AH322" s="88" t="n">
        <v>0.77</v>
      </c>
      <c r="AI322" s="91" t="n">
        <v>105</v>
      </c>
      <c r="AJ322" s="88" t="n">
        <v>0.05552617662612375</v>
      </c>
      <c r="AK322" s="91" t="n">
        <v>1</v>
      </c>
      <c r="AL322" s="88" t="n">
        <v>0.6857142857142857</v>
      </c>
      <c r="AM322" s="91" t="n">
        <v>81</v>
      </c>
      <c r="AN322" s="91" t="n">
        <v>72</v>
      </c>
      <c r="AO322" s="88" t="n">
        <v>0.03807509254362771</v>
      </c>
      <c r="AP322" s="88" t="n">
        <v>0.72</v>
      </c>
      <c r="AQ322" s="89" t="n">
        <v>0.9789473684210527</v>
      </c>
      <c r="AR322" s="89" t="n">
        <v>0.6081081081081081</v>
      </c>
      <c r="AS322" s="89" t="n">
        <v>0.6486486486486487</v>
      </c>
      <c r="AT322" s="91" t="n">
        <v>0</v>
      </c>
      <c r="AU322" s="91" t="n">
        <v>0</v>
      </c>
      <c r="AV322" s="91" t="n">
        <v>35</v>
      </c>
      <c r="AW322" s="91" t="n">
        <v>32</v>
      </c>
      <c r="AX322" s="91" t="n">
        <v>34</v>
      </c>
      <c r="AY322" s="91" t="n">
        <v>30</v>
      </c>
      <c r="AZ322" s="88" t="n">
        <v>0.01692226335272343</v>
      </c>
      <c r="BA322" s="88" t="n">
        <v>0.01797990481226864</v>
      </c>
      <c r="BB322" s="88" t="n">
        <v>0.01586462189317821</v>
      </c>
      <c r="BC322" s="88" t="n">
        <v>0.4722222222222222</v>
      </c>
      <c r="BD322" s="91" t="n">
        <v>0</v>
      </c>
      <c r="BE322" s="91" t="n">
        <v>0</v>
      </c>
      <c r="BF322" s="89" t="n">
        <v>1</v>
      </c>
      <c r="BG322" s="89" t="n">
        <v>1</v>
      </c>
      <c r="BH322" s="89" t="inlineStr">
        <is>
          <t>-</t>
        </is>
      </c>
    </row>
    <row r="323" ht="19.55" customHeight="1">
      <c r="A323" s="92" t="n">
        <v>320</v>
      </c>
      <c r="B323" s="87" t="inlineStr">
        <is>
          <t>全国</t>
        </is>
      </c>
      <c r="C323" s="93" t="n">
        <v>46285</v>
      </c>
      <c r="D323" s="87" t="inlineStr">
        <is>
          <t>N7</t>
        </is>
      </c>
      <c r="E323" s="87" t="n">
        <v>3047</v>
      </c>
      <c r="F323" s="87" t="n">
        <v>2729</v>
      </c>
      <c r="G323" s="88" t="n">
        <v>0.895635050869708</v>
      </c>
      <c r="H323" s="87" t="n">
        <v>1526</v>
      </c>
      <c r="I323" s="89" t="n">
        <v>0.5008204791598293</v>
      </c>
      <c r="J323" s="87" t="n">
        <v>3220</v>
      </c>
      <c r="K323" s="87" t="n">
        <v>3173</v>
      </c>
      <c r="L323" s="88" t="n">
        <v>0.985</v>
      </c>
      <c r="M323" s="87" t="n">
        <v>10929</v>
      </c>
      <c r="N323" s="87" t="n">
        <v>10984</v>
      </c>
      <c r="O323" s="87" t="n">
        <v>10792</v>
      </c>
      <c r="P323" s="88" t="n">
        <v>0.9874645438740964</v>
      </c>
      <c r="Q323" s="87" t="n">
        <v>53</v>
      </c>
      <c r="R323" s="87" t="n">
        <v>0</v>
      </c>
      <c r="S323" s="87" t="n">
        <v>0</v>
      </c>
      <c r="T323" s="88" t="n">
        <v>0</v>
      </c>
      <c r="U323" s="87" t="n">
        <v>0</v>
      </c>
      <c r="V323" s="88" t="n">
        <v>0</v>
      </c>
      <c r="W323" s="87" t="n">
        <v>293</v>
      </c>
      <c r="X323" s="88" t="n">
        <v>0.09616015753199869</v>
      </c>
      <c r="Y323" s="87" t="n">
        <v>2603</v>
      </c>
      <c r="Z323" s="90" t="n">
        <v>0.8542829012143092</v>
      </c>
      <c r="AA323" s="87" t="n">
        <v>1</v>
      </c>
      <c r="AB323" s="88" t="n">
        <v>0.0003281916639317361</v>
      </c>
      <c r="AC323" s="87" t="n">
        <v>91</v>
      </c>
      <c r="AD323" s="88" t="n">
        <v>0.02986544141778799</v>
      </c>
      <c r="AE323" s="87" t="n">
        <v>18</v>
      </c>
      <c r="AF323" s="88" t="n">
        <v>0.1978021978021978</v>
      </c>
      <c r="AG323" s="87" t="n">
        <v>69</v>
      </c>
      <c r="AH323" s="88" t="n">
        <v>0.7582417582417582</v>
      </c>
      <c r="AI323" s="91" t="n">
        <v>108</v>
      </c>
      <c r="AJ323" s="88" t="n">
        <v>0.03544469970462751</v>
      </c>
      <c r="AK323" s="91" t="n">
        <v>4</v>
      </c>
      <c r="AL323" s="88" t="n">
        <v>0.462962962962963</v>
      </c>
      <c r="AM323" s="91" t="n">
        <v>69</v>
      </c>
      <c r="AN323" s="91" t="n">
        <v>50</v>
      </c>
      <c r="AO323" s="88" t="n">
        <v>0.01640958319658681</v>
      </c>
      <c r="AP323" s="88" t="n">
        <v>0.5494505494505495</v>
      </c>
      <c r="AQ323" s="89" t="n">
        <v>0.9826086956521739</v>
      </c>
      <c r="AR323" s="89" t="n">
        <v>0.6666666666666666</v>
      </c>
      <c r="AS323" s="89" t="n">
        <v>0.7083333333333334</v>
      </c>
      <c r="AT323" s="91" t="n">
        <v>0</v>
      </c>
      <c r="AU323" s="91" t="n">
        <v>0</v>
      </c>
      <c r="AV323" s="91" t="n">
        <v>91</v>
      </c>
      <c r="AW323" s="91" t="n">
        <v>74</v>
      </c>
      <c r="AX323" s="91" t="n">
        <v>73</v>
      </c>
      <c r="AY323" s="91" t="n">
        <v>93</v>
      </c>
      <c r="AZ323" s="88" t="n">
        <v>0.02428618313094847</v>
      </c>
      <c r="BA323" s="88" t="n">
        <v>0.02395799146701674</v>
      </c>
      <c r="BB323" s="88" t="n">
        <v>0.03052182474565146</v>
      </c>
      <c r="BC323" s="88" t="n">
        <v>1.46</v>
      </c>
      <c r="BD323" s="91" t="n">
        <v>0</v>
      </c>
      <c r="BE323" s="91" t="n">
        <v>0</v>
      </c>
      <c r="BF323" s="89" t="n">
        <v>1</v>
      </c>
      <c r="BG323" s="89" t="n">
        <v>1</v>
      </c>
      <c r="BH323" s="89" t="inlineStr">
        <is>
          <t>-</t>
        </is>
      </c>
    </row>
    <row r="324" ht="19.55" customHeight="1">
      <c r="A324" s="92" t="n">
        <v>321</v>
      </c>
      <c r="B324" s="87" t="inlineStr">
        <is>
          <t>全国</t>
        </is>
      </c>
      <c r="C324" s="93" t="n">
        <v>46285</v>
      </c>
      <c r="D324" s="87" t="inlineStr">
        <is>
          <t>NX8</t>
        </is>
      </c>
      <c r="E324" s="87" t="n">
        <v>5676</v>
      </c>
      <c r="F324" s="87" t="n">
        <v>5247</v>
      </c>
      <c r="G324" s="88" t="n">
        <v>0.9244186046511628</v>
      </c>
      <c r="H324" s="87" t="n">
        <v>1614</v>
      </c>
      <c r="I324" s="89" t="n">
        <v>0.2843551797040169</v>
      </c>
      <c r="J324" s="87" t="n">
        <v>4911</v>
      </c>
      <c r="K324" s="87" t="n">
        <v>4701</v>
      </c>
      <c r="L324" s="88" t="n">
        <v>0.957</v>
      </c>
      <c r="M324" s="87" t="n">
        <v>21958</v>
      </c>
      <c r="N324" s="87" t="n">
        <v>21648</v>
      </c>
      <c r="O324" s="87" t="n">
        <v>21462</v>
      </c>
      <c r="P324" s="88" t="n">
        <v>0.9774114218052646</v>
      </c>
      <c r="Q324" s="87" t="n">
        <v>302</v>
      </c>
      <c r="R324" s="87" t="n">
        <v>0</v>
      </c>
      <c r="S324" s="87" t="n">
        <v>0</v>
      </c>
      <c r="T324" s="88" t="n">
        <v>0</v>
      </c>
      <c r="U324" s="87" t="n">
        <v>0</v>
      </c>
      <c r="V324" s="88" t="n">
        <v>0</v>
      </c>
      <c r="W324" s="87" t="n">
        <v>572</v>
      </c>
      <c r="X324" s="88" t="n">
        <v>0.1007751937984496</v>
      </c>
      <c r="Y324" s="87" t="n">
        <v>2084</v>
      </c>
      <c r="Z324" s="90" t="n">
        <v>0.3671599718111346</v>
      </c>
      <c r="AA324" s="87" t="n">
        <v>12</v>
      </c>
      <c r="AB324" s="88" t="n">
        <v>0.002114164904862579</v>
      </c>
      <c r="AC324" s="87" t="n">
        <v>447</v>
      </c>
      <c r="AD324" s="88" t="n">
        <v>0.07875264270613108</v>
      </c>
      <c r="AE324" s="87" t="n">
        <v>97</v>
      </c>
      <c r="AF324" s="88" t="n">
        <v>0.2170022371364653</v>
      </c>
      <c r="AG324" s="87" t="n">
        <v>315</v>
      </c>
      <c r="AH324" s="88" t="n">
        <v>0.7046979865771812</v>
      </c>
      <c r="AI324" s="91" t="n">
        <v>445</v>
      </c>
      <c r="AJ324" s="88" t="n">
        <v>0.07840028188865399</v>
      </c>
      <c r="AK324" s="91" t="n">
        <v>9</v>
      </c>
      <c r="AL324" s="88" t="n">
        <v>0.6719101123595506</v>
      </c>
      <c r="AM324" s="91" t="n">
        <v>347</v>
      </c>
      <c r="AN324" s="91" t="n">
        <v>299</v>
      </c>
      <c r="AO324" s="88" t="n">
        <v>0.05267794221282594</v>
      </c>
      <c r="AP324" s="88" t="n">
        <v>0.668903803131991</v>
      </c>
      <c r="AQ324" s="89" t="n">
        <v>0.9767441860465116</v>
      </c>
      <c r="AR324" s="89" t="n">
        <v>0.6414565826330533</v>
      </c>
      <c r="AS324" s="89" t="n">
        <v>0.6358543417366946</v>
      </c>
      <c r="AT324" s="91" t="n">
        <v>0</v>
      </c>
      <c r="AU324" s="91" t="n">
        <v>0</v>
      </c>
      <c r="AV324" s="91" t="n">
        <v>80</v>
      </c>
      <c r="AW324" s="91" t="n">
        <v>67</v>
      </c>
      <c r="AX324" s="91" t="n">
        <v>58</v>
      </c>
      <c r="AY324" s="91" t="n">
        <v>67</v>
      </c>
      <c r="AZ324" s="88" t="n">
        <v>0.01180408738548273</v>
      </c>
      <c r="BA324" s="88" t="n">
        <v>0.0102184637068358</v>
      </c>
      <c r="BB324" s="88" t="n">
        <v>0.01180408738548273</v>
      </c>
      <c r="BC324" s="88" t="n">
        <v>0.1939799331103679</v>
      </c>
      <c r="BD324" s="91" t="n">
        <v>0</v>
      </c>
      <c r="BE324" s="91" t="n">
        <v>0</v>
      </c>
      <c r="BF324" s="89" t="n">
        <v>1</v>
      </c>
      <c r="BG324" s="89" t="n">
        <v>1</v>
      </c>
      <c r="BH324" s="89" t="inlineStr">
        <is>
          <t>-</t>
        </is>
      </c>
    </row>
    <row r="325" ht="19.55" customHeight="1">
      <c r="A325" s="92" t="n">
        <v>322</v>
      </c>
      <c r="B325" s="87" t="inlineStr">
        <is>
          <t>全国</t>
        </is>
      </c>
      <c r="C325" s="93" t="n">
        <v>46285</v>
      </c>
      <c r="D325" s="87" t="inlineStr">
        <is>
          <t>天籁·鸿蒙座舱</t>
        </is>
      </c>
      <c r="E325" s="87" t="n">
        <v>4165</v>
      </c>
      <c r="F325" s="87" t="n">
        <v>3821</v>
      </c>
      <c r="G325" s="88" t="n">
        <v>0.917406962785114</v>
      </c>
      <c r="H325" s="87" t="n">
        <v>2099</v>
      </c>
      <c r="I325" s="89" t="n">
        <v>0.5039615846338535</v>
      </c>
      <c r="J325" s="87" t="n">
        <v>5004</v>
      </c>
      <c r="K325" s="87" t="n">
        <v>4918</v>
      </c>
      <c r="L325" s="88" t="n">
        <v>0.983</v>
      </c>
      <c r="M325" s="87" t="n">
        <v>22311</v>
      </c>
      <c r="N325" s="87" t="n">
        <v>22680</v>
      </c>
      <c r="O325" s="87" t="n">
        <v>22032</v>
      </c>
      <c r="P325" s="88" t="n">
        <v>0.9874949576442114</v>
      </c>
      <c r="Q325" s="87" t="n">
        <v>119</v>
      </c>
      <c r="R325" s="87" t="n">
        <v>0</v>
      </c>
      <c r="S325" s="87" t="n">
        <v>0</v>
      </c>
      <c r="T325" s="88" t="n">
        <v>0</v>
      </c>
      <c r="U325" s="87" t="n">
        <v>0</v>
      </c>
      <c r="V325" s="88" t="n">
        <v>0</v>
      </c>
      <c r="W325" s="87" t="n">
        <v>444</v>
      </c>
      <c r="X325" s="88" t="n">
        <v>0.1066026410564226</v>
      </c>
      <c r="Y325" s="87" t="n">
        <v>3068</v>
      </c>
      <c r="Z325" s="90" t="n">
        <v>0.7366146458583434</v>
      </c>
      <c r="AA325" s="87" t="n">
        <v>13</v>
      </c>
      <c r="AB325" s="88" t="n">
        <v>0.00312124849939976</v>
      </c>
      <c r="AC325" s="87" t="n">
        <v>239</v>
      </c>
      <c r="AD325" s="88" t="n">
        <v>0.05738295318127251</v>
      </c>
      <c r="AE325" s="87" t="n">
        <v>31</v>
      </c>
      <c r="AF325" s="88" t="n">
        <v>0.1297071129707113</v>
      </c>
      <c r="AG325" s="87" t="n">
        <v>177</v>
      </c>
      <c r="AH325" s="88" t="n">
        <v>0.7405857740585774</v>
      </c>
      <c r="AI325" s="91" t="n">
        <v>251</v>
      </c>
      <c r="AJ325" s="88" t="n">
        <v>0.06026410564225691</v>
      </c>
      <c r="AK325" s="91" t="n">
        <v>6</v>
      </c>
      <c r="AL325" s="88" t="n">
        <v>0.6892430278884463</v>
      </c>
      <c r="AM325" s="91" t="n">
        <v>195</v>
      </c>
      <c r="AN325" s="91" t="n">
        <v>173</v>
      </c>
      <c r="AO325" s="88" t="n">
        <v>0.04153661464585835</v>
      </c>
      <c r="AP325" s="88" t="n">
        <v>0.7238493723849372</v>
      </c>
      <c r="AQ325" s="89" t="n">
        <v>0.9688888888888889</v>
      </c>
      <c r="AR325" s="89" t="n">
        <v>0.6470588235294118</v>
      </c>
      <c r="AS325" s="89" t="n">
        <v>0.6470588235294118</v>
      </c>
      <c r="AT325" s="91" t="n">
        <v>0</v>
      </c>
      <c r="AU325" s="91" t="n">
        <v>0</v>
      </c>
      <c r="AV325" s="91" t="n">
        <v>142</v>
      </c>
      <c r="AW325" s="91" t="n">
        <v>131</v>
      </c>
      <c r="AX325" s="91" t="n">
        <v>123</v>
      </c>
      <c r="AY325" s="91" t="n">
        <v>53</v>
      </c>
      <c r="AZ325" s="88" t="n">
        <v>0.03145258103241297</v>
      </c>
      <c r="BA325" s="88" t="n">
        <v>0.02953181272509004</v>
      </c>
      <c r="BB325" s="88" t="n">
        <v>0.01272509003601441</v>
      </c>
      <c r="BC325" s="88" t="n">
        <v>0.7109826589595376</v>
      </c>
      <c r="BD325" s="91" t="n">
        <v>0</v>
      </c>
      <c r="BE325" s="91" t="n">
        <v>0</v>
      </c>
      <c r="BF325" s="89" t="n">
        <v>0.9905660377358491</v>
      </c>
      <c r="BG325" s="89" t="n">
        <v>1</v>
      </c>
      <c r="BH325" s="89" t="inlineStr">
        <is>
          <t>-</t>
        </is>
      </c>
    </row>
    <row r="326" ht="19.55" customHeight="1">
      <c r="A326" s="92" t="n">
        <v>323</v>
      </c>
      <c r="B326" s="87" t="inlineStr">
        <is>
          <t>全国</t>
        </is>
      </c>
      <c r="C326" s="93" t="n">
        <v>46286</v>
      </c>
      <c r="D326" s="87" t="n"/>
      <c r="E326" s="87" t="n">
        <v>22</v>
      </c>
      <c r="F326" s="87" t="n">
        <v>22</v>
      </c>
      <c r="G326" s="88" t="n">
        <v>1</v>
      </c>
      <c r="H326" s="87" t="n">
        <v>22</v>
      </c>
      <c r="I326" s="89" t="n">
        <v>1</v>
      </c>
      <c r="J326" s="87" t="n">
        <v>2</v>
      </c>
      <c r="K326" s="87" t="n">
        <v>0</v>
      </c>
      <c r="L326" s="88" t="n">
        <v>0</v>
      </c>
      <c r="M326" s="87" t="n">
        <v>7</v>
      </c>
      <c r="N326" s="87" t="n">
        <v>3</v>
      </c>
      <c r="O326" s="87" t="n">
        <v>3</v>
      </c>
      <c r="P326" s="88" t="n">
        <v>0.4285714285714285</v>
      </c>
      <c r="Q326" s="87" t="n">
        <v>4</v>
      </c>
      <c r="R326" s="87" t="n">
        <v>0</v>
      </c>
      <c r="S326" s="87" t="n">
        <v>0</v>
      </c>
      <c r="T326" s="88" t="n">
        <v>0</v>
      </c>
      <c r="U326" s="87" t="n">
        <v>0</v>
      </c>
      <c r="V326" s="88" t="n">
        <v>0</v>
      </c>
      <c r="W326" s="87" t="n">
        <v>25</v>
      </c>
      <c r="X326" s="88" t="n">
        <v>1.136363636363636</v>
      </c>
      <c r="Y326" s="87" t="n">
        <v>13</v>
      </c>
      <c r="Z326" s="90" t="n">
        <v>0.5909090909090909</v>
      </c>
      <c r="AA326" s="87" t="n">
        <v>0</v>
      </c>
      <c r="AB326" s="88" t="n">
        <v>0</v>
      </c>
      <c r="AC326" s="87" t="n">
        <v>0</v>
      </c>
      <c r="AD326" s="88" t="n">
        <v>0</v>
      </c>
      <c r="AE326" s="87" t="n">
        <v>0</v>
      </c>
      <c r="AF326" s="88" t="n">
        <v>0</v>
      </c>
      <c r="AG326" s="87" t="n">
        <v>0</v>
      </c>
      <c r="AH326" s="88" t="n">
        <v>0</v>
      </c>
      <c r="AI326" s="91" t="n">
        <v>0</v>
      </c>
      <c r="AJ326" s="88" t="n">
        <v>0</v>
      </c>
      <c r="AK326" s="91" t="n">
        <v>0</v>
      </c>
      <c r="AL326" s="88" t="n">
        <v>0</v>
      </c>
      <c r="AM326" s="91" t="n">
        <v>0</v>
      </c>
      <c r="AN326" s="91" t="n">
        <v>0</v>
      </c>
      <c r="AO326" s="88" t="n">
        <v>0</v>
      </c>
      <c r="AP326" s="88" t="n">
        <v>0</v>
      </c>
      <c r="AQ326" s="89" t="n">
        <v>0</v>
      </c>
      <c r="AR326" s="89" t="n">
        <v>0</v>
      </c>
      <c r="AS326" s="89" t="n">
        <v>0</v>
      </c>
      <c r="AT326" s="91" t="n">
        <v>0</v>
      </c>
      <c r="AU326" s="91" t="n">
        <v>0</v>
      </c>
      <c r="AV326" s="91" t="n">
        <v>0</v>
      </c>
      <c r="AW326" s="91" t="n">
        <v>0</v>
      </c>
      <c r="AX326" s="91" t="n">
        <v>0</v>
      </c>
      <c r="AY326" s="91" t="n">
        <v>0</v>
      </c>
      <c r="AZ326" s="88" t="n">
        <v>0</v>
      </c>
      <c r="BA326" s="88" t="n">
        <v>0</v>
      </c>
      <c r="BB326" s="88" t="n">
        <v>0</v>
      </c>
      <c r="BC326" s="88" t="n">
        <v>0</v>
      </c>
      <c r="BD326" s="91" t="n">
        <v>0</v>
      </c>
      <c r="BE326" s="91" t="n">
        <v>0</v>
      </c>
      <c r="BF326" s="89" t="inlineStr">
        <is>
          <t>-</t>
        </is>
      </c>
      <c r="BG326" s="89" t="inlineStr">
        <is>
          <t>-</t>
        </is>
      </c>
      <c r="BH326" s="89" t="n">
        <v>1</v>
      </c>
    </row>
    <row r="327" ht="19.55" customHeight="1">
      <c r="A327" s="92" t="n">
        <v>324</v>
      </c>
      <c r="B327" s="87" t="inlineStr">
        <is>
          <t>全国</t>
        </is>
      </c>
      <c r="C327" s="93" t="n">
        <v>46286</v>
      </c>
      <c r="D327" s="87" t="inlineStr">
        <is>
          <t>2026款探陆</t>
        </is>
      </c>
      <c r="E327" s="87" t="n">
        <v>75</v>
      </c>
      <c r="F327" s="87" t="n">
        <v>73</v>
      </c>
      <c r="G327" s="88" t="n">
        <v>0.9733333333333334</v>
      </c>
      <c r="H327" s="87" t="n">
        <v>65</v>
      </c>
      <c r="I327" s="89" t="n">
        <v>0.8666666666666667</v>
      </c>
      <c r="J327" s="87" t="n">
        <v>194</v>
      </c>
      <c r="K327" s="87" t="n">
        <v>99</v>
      </c>
      <c r="L327" s="88" t="n">
        <v>0.51</v>
      </c>
      <c r="M327" s="87" t="n">
        <v>642</v>
      </c>
      <c r="N327" s="87" t="n">
        <v>556</v>
      </c>
      <c r="O327" s="87" t="n">
        <v>471</v>
      </c>
      <c r="P327" s="88" t="n">
        <v>0.7336448598130841</v>
      </c>
      <c r="Q327" s="87" t="n">
        <v>88</v>
      </c>
      <c r="R327" s="87" t="n">
        <v>0</v>
      </c>
      <c r="S327" s="87" t="n">
        <v>0</v>
      </c>
      <c r="T327" s="88" t="n">
        <v>0</v>
      </c>
      <c r="U327" s="87" t="n">
        <v>0</v>
      </c>
      <c r="V327" s="88" t="n">
        <v>0</v>
      </c>
      <c r="W327" s="87" t="n">
        <v>1</v>
      </c>
      <c r="X327" s="88" t="n">
        <v>0.01333333333333333</v>
      </c>
      <c r="Y327" s="87" t="n">
        <v>6</v>
      </c>
      <c r="Z327" s="90" t="n">
        <v>0.08</v>
      </c>
      <c r="AA327" s="87" t="n">
        <v>43</v>
      </c>
      <c r="AB327" s="88" t="n">
        <v>0.5733333333333334</v>
      </c>
      <c r="AC327" s="87" t="n">
        <v>3</v>
      </c>
      <c r="AD327" s="88" t="n">
        <v>0.04</v>
      </c>
      <c r="AE327" s="87" t="n">
        <v>0</v>
      </c>
      <c r="AF327" s="88" t="n">
        <v>0</v>
      </c>
      <c r="AG327" s="87" t="n">
        <v>2</v>
      </c>
      <c r="AH327" s="88" t="n">
        <v>0.6666666666666666</v>
      </c>
      <c r="AI327" s="91" t="n">
        <v>0</v>
      </c>
      <c r="AJ327" s="88" t="n">
        <v>0</v>
      </c>
      <c r="AK327" s="91" t="n">
        <v>0</v>
      </c>
      <c r="AL327" s="88" t="n">
        <v>0</v>
      </c>
      <c r="AM327" s="91" t="n">
        <v>0</v>
      </c>
      <c r="AN327" s="91" t="n">
        <v>0</v>
      </c>
      <c r="AO327" s="88" t="n">
        <v>0</v>
      </c>
      <c r="AP327" s="88" t="n">
        <v>0</v>
      </c>
      <c r="AQ327" s="89" t="n"/>
      <c r="AR327" s="89" t="inlineStr">
        <is>
          <t>0.0%</t>
        </is>
      </c>
      <c r="AS327" s="89" t="inlineStr">
        <is>
          <t>0.0%</t>
        </is>
      </c>
      <c r="AT327" s="91" t="n">
        <v>0</v>
      </c>
      <c r="AU327" s="91" t="n">
        <v>0</v>
      </c>
      <c r="AV327" s="91" t="n">
        <v>5</v>
      </c>
      <c r="AW327" s="91" t="n">
        <v>5</v>
      </c>
      <c r="AX327" s="91" t="n">
        <v>5</v>
      </c>
      <c r="AY327" s="91" t="n">
        <v>3</v>
      </c>
      <c r="AZ327" s="88" t="n">
        <v>0.06666666666666667</v>
      </c>
      <c r="BA327" s="88" t="n">
        <v>0.06666666666666667</v>
      </c>
      <c r="BB327" s="88" t="n">
        <v>0.04</v>
      </c>
      <c r="BC327" s="88" t="n">
        <v>0</v>
      </c>
      <c r="BD327" s="91" t="n">
        <v>0</v>
      </c>
      <c r="BE327" s="91" t="n">
        <v>0</v>
      </c>
      <c r="BF327" s="89" t="inlineStr">
        <is>
          <t>-</t>
        </is>
      </c>
      <c r="BG327" s="89" t="inlineStr">
        <is>
          <t>-</t>
        </is>
      </c>
      <c r="BH327" s="89" t="inlineStr">
        <is>
          <t>-</t>
        </is>
      </c>
    </row>
    <row r="328" ht="25.6" customHeight="1">
      <c r="A328" s="92" t="n">
        <v>325</v>
      </c>
      <c r="B328" s="87" t="inlineStr">
        <is>
          <t>全国</t>
        </is>
      </c>
      <c r="C328" s="93" t="n">
        <v>46286</v>
      </c>
      <c r="D328" s="87" t="inlineStr">
        <is>
          <t>N6</t>
        </is>
      </c>
      <c r="E328" s="87" t="n">
        <v>1432</v>
      </c>
      <c r="F328" s="87" t="n">
        <v>1291</v>
      </c>
      <c r="G328" s="88" t="n">
        <v>0.901536312849162</v>
      </c>
      <c r="H328" s="87" t="n">
        <v>515</v>
      </c>
      <c r="I328" s="89" t="n">
        <v>0.3596368715083799</v>
      </c>
      <c r="J328" s="87" t="n">
        <v>1581</v>
      </c>
      <c r="K328" s="87" t="n">
        <v>1551</v>
      </c>
      <c r="L328" s="88" t="n">
        <v>0.981</v>
      </c>
      <c r="M328" s="87" t="n">
        <v>6821</v>
      </c>
      <c r="N328" s="87" t="n">
        <v>6817</v>
      </c>
      <c r="O328" s="87" t="n">
        <v>6703</v>
      </c>
      <c r="P328" s="88" t="n">
        <v>0.9827004838000293</v>
      </c>
      <c r="Q328" s="87" t="n">
        <v>48</v>
      </c>
      <c r="R328" s="87" t="n">
        <v>0</v>
      </c>
      <c r="S328" s="87" t="n">
        <v>0</v>
      </c>
      <c r="T328" s="88" t="n">
        <v>0</v>
      </c>
      <c r="U328" s="87" t="n">
        <v>0</v>
      </c>
      <c r="V328" s="88" t="n">
        <v>0</v>
      </c>
      <c r="W328" s="87" t="n">
        <v>224</v>
      </c>
      <c r="X328" s="88" t="n">
        <v>0.1564245810055866</v>
      </c>
      <c r="Y328" s="87" t="n">
        <v>1991</v>
      </c>
      <c r="Z328" s="90" t="n">
        <v>1.39036312849162</v>
      </c>
      <c r="AA328" s="87" t="n">
        <v>2</v>
      </c>
      <c r="AB328" s="88" t="n">
        <v>0.001396648044692737</v>
      </c>
      <c r="AC328" s="87" t="n">
        <v>72</v>
      </c>
      <c r="AD328" s="88" t="n">
        <v>0.05027932960893855</v>
      </c>
      <c r="AE328" s="87" t="n">
        <v>16</v>
      </c>
      <c r="AF328" s="88" t="n">
        <v>0.2222222222222222</v>
      </c>
      <c r="AG328" s="87" t="n">
        <v>51</v>
      </c>
      <c r="AH328" s="88" t="n">
        <v>0.7083333333333334</v>
      </c>
      <c r="AI328" s="91" t="n">
        <v>56</v>
      </c>
      <c r="AJ328" s="88" t="n">
        <v>0.03910614525139665</v>
      </c>
      <c r="AK328" s="91" t="n">
        <v>2</v>
      </c>
      <c r="AL328" s="88" t="n">
        <v>0.7678571428571429</v>
      </c>
      <c r="AM328" s="91" t="n">
        <v>54</v>
      </c>
      <c r="AN328" s="91" t="n">
        <v>43</v>
      </c>
      <c r="AO328" s="88" t="n">
        <v>0.03002793296089385</v>
      </c>
      <c r="AP328" s="88" t="n">
        <v>0.5972222222222222</v>
      </c>
      <c r="AQ328" s="89" t="n">
        <v>0.9838709677419355</v>
      </c>
      <c r="AR328" s="89" t="n">
        <v>0.6792452830188679</v>
      </c>
      <c r="AS328" s="89" t="n">
        <v>0.660377358490566</v>
      </c>
      <c r="AT328" s="91" t="n">
        <v>0</v>
      </c>
      <c r="AU328" s="91" t="n">
        <v>0</v>
      </c>
      <c r="AV328" s="91" t="n">
        <v>17</v>
      </c>
      <c r="AW328" s="91" t="n">
        <v>13</v>
      </c>
      <c r="AX328" s="91" t="n">
        <v>12</v>
      </c>
      <c r="AY328" s="91" t="n">
        <v>33</v>
      </c>
      <c r="AZ328" s="88" t="n">
        <v>0.009078212290502794</v>
      </c>
      <c r="BA328" s="88" t="n">
        <v>0.008379888268156424</v>
      </c>
      <c r="BB328" s="88" t="n">
        <v>0.02304469273743017</v>
      </c>
      <c r="BC328" s="88" t="n">
        <v>0.2790697674418605</v>
      </c>
      <c r="BD328" s="91" t="n">
        <v>0</v>
      </c>
      <c r="BE328" s="91" t="n">
        <v>1</v>
      </c>
      <c r="BF328" s="89" t="n">
        <v>0.9285714285714286</v>
      </c>
      <c r="BG328" s="89" t="n">
        <v>1</v>
      </c>
      <c r="BH328" s="89" t="inlineStr">
        <is>
          <t>-</t>
        </is>
      </c>
    </row>
    <row r="329" ht="19.55" customHeight="1">
      <c r="A329" s="92" t="n">
        <v>326</v>
      </c>
      <c r="B329" s="87" t="inlineStr">
        <is>
          <t>全国</t>
        </is>
      </c>
      <c r="C329" s="93" t="n">
        <v>46286</v>
      </c>
      <c r="D329" s="87" t="inlineStr">
        <is>
          <t>N7</t>
        </is>
      </c>
      <c r="E329" s="87" t="n">
        <v>3853</v>
      </c>
      <c r="F329" s="87" t="n">
        <v>3504</v>
      </c>
      <c r="G329" s="88" t="n">
        <v>0.9094212302102258</v>
      </c>
      <c r="H329" s="87" t="n">
        <v>1443</v>
      </c>
      <c r="I329" s="89" t="n">
        <v>0.3745133662081495</v>
      </c>
      <c r="J329" s="87" t="n">
        <v>3012</v>
      </c>
      <c r="K329" s="87" t="n">
        <v>2928</v>
      </c>
      <c r="L329" s="88" t="n">
        <v>0.972</v>
      </c>
      <c r="M329" s="87" t="n">
        <v>10897</v>
      </c>
      <c r="N329" s="87" t="n">
        <v>10909</v>
      </c>
      <c r="O329" s="87" t="n">
        <v>10699</v>
      </c>
      <c r="P329" s="88" t="n">
        <v>0.9818298614297513</v>
      </c>
      <c r="Q329" s="87" t="n">
        <v>65</v>
      </c>
      <c r="R329" s="87" t="n">
        <v>0</v>
      </c>
      <c r="S329" s="87" t="n">
        <v>0</v>
      </c>
      <c r="T329" s="88" t="n">
        <v>0</v>
      </c>
      <c r="U329" s="87" t="n">
        <v>0</v>
      </c>
      <c r="V329" s="88" t="n">
        <v>0</v>
      </c>
      <c r="W329" s="87" t="n">
        <v>264</v>
      </c>
      <c r="X329" s="88" t="n">
        <v>0.06851803789255126</v>
      </c>
      <c r="Y329" s="87" t="n">
        <v>2394</v>
      </c>
      <c r="Z329" s="90" t="n">
        <v>0.6213340254347262</v>
      </c>
      <c r="AA329" s="87" t="n">
        <v>2</v>
      </c>
      <c r="AB329" s="88" t="n">
        <v>0.0005190760446405398</v>
      </c>
      <c r="AC329" s="87" t="n">
        <v>70</v>
      </c>
      <c r="AD329" s="88" t="n">
        <v>0.01816766156241889</v>
      </c>
      <c r="AE329" s="87" t="n">
        <v>27</v>
      </c>
      <c r="AF329" s="88" t="n">
        <v>0.3857142857142857</v>
      </c>
      <c r="AG329" s="87" t="n">
        <v>54</v>
      </c>
      <c r="AH329" s="88" t="n">
        <v>0.7714285714285715</v>
      </c>
      <c r="AI329" s="91" t="n">
        <v>66</v>
      </c>
      <c r="AJ329" s="88" t="n">
        <v>0.01712950947313781</v>
      </c>
      <c r="AK329" s="91" t="n">
        <v>2</v>
      </c>
      <c r="AL329" s="88" t="n">
        <v>0.6363636363636364</v>
      </c>
      <c r="AM329" s="91" t="n">
        <v>60</v>
      </c>
      <c r="AN329" s="91" t="n">
        <v>42</v>
      </c>
      <c r="AO329" s="88" t="n">
        <v>0.01090059693745134</v>
      </c>
      <c r="AP329" s="88" t="n">
        <v>0.6</v>
      </c>
      <c r="AQ329" s="89" t="n">
        <v>1</v>
      </c>
      <c r="AR329" s="89" t="n">
        <v>0.6825396825396826</v>
      </c>
      <c r="AS329" s="89" t="n">
        <v>0.7619047619047619</v>
      </c>
      <c r="AT329" s="91" t="n">
        <v>0</v>
      </c>
      <c r="AU329" s="91" t="n">
        <v>0</v>
      </c>
      <c r="AV329" s="91" t="n">
        <v>17</v>
      </c>
      <c r="AW329" s="91" t="n">
        <v>16</v>
      </c>
      <c r="AX329" s="91" t="n">
        <v>18</v>
      </c>
      <c r="AY329" s="91" t="n">
        <v>43</v>
      </c>
      <c r="AZ329" s="88" t="n">
        <v>0.004152608357124318</v>
      </c>
      <c r="BA329" s="88" t="n">
        <v>0.004671684401764859</v>
      </c>
      <c r="BB329" s="88" t="n">
        <v>0.01116013495977161</v>
      </c>
      <c r="BC329" s="88" t="n">
        <v>0.4285714285714285</v>
      </c>
      <c r="BD329" s="91" t="n">
        <v>0</v>
      </c>
      <c r="BE329" s="91" t="n">
        <v>0</v>
      </c>
      <c r="BF329" s="89" t="n">
        <v>1</v>
      </c>
      <c r="BG329" s="89" t="n">
        <v>1</v>
      </c>
      <c r="BH329" s="89" t="inlineStr">
        <is>
          <t>-</t>
        </is>
      </c>
    </row>
    <row r="330" ht="19.55" customHeight="1">
      <c r="A330" s="92" t="n">
        <v>327</v>
      </c>
      <c r="B330" s="87" t="inlineStr">
        <is>
          <t>全国</t>
        </is>
      </c>
      <c r="C330" s="93" t="n">
        <v>46286</v>
      </c>
      <c r="D330" s="87" t="inlineStr">
        <is>
          <t>NX8</t>
        </is>
      </c>
      <c r="E330" s="87" t="n">
        <v>4303</v>
      </c>
      <c r="F330" s="87" t="n">
        <v>3982</v>
      </c>
      <c r="G330" s="88" t="n">
        <v>0.9254008831048106</v>
      </c>
      <c r="H330" s="87" t="n">
        <v>1389</v>
      </c>
      <c r="I330" s="89" t="n">
        <v>0.3227980478735766</v>
      </c>
      <c r="J330" s="87" t="n">
        <v>4841</v>
      </c>
      <c r="K330" s="87" t="n">
        <v>4650</v>
      </c>
      <c r="L330" s="88" t="n">
        <v>0.961</v>
      </c>
      <c r="M330" s="87" t="n">
        <v>21039</v>
      </c>
      <c r="N330" s="87" t="n">
        <v>20711</v>
      </c>
      <c r="O330" s="87" t="n">
        <v>20581</v>
      </c>
      <c r="P330" s="88" t="n">
        <v>0.9782309045106706</v>
      </c>
      <c r="Q330" s="87" t="n">
        <v>227</v>
      </c>
      <c r="R330" s="87" t="n">
        <v>0</v>
      </c>
      <c r="S330" s="87" t="n">
        <v>0</v>
      </c>
      <c r="T330" s="88" t="n">
        <v>0</v>
      </c>
      <c r="U330" s="87" t="n">
        <v>0</v>
      </c>
      <c r="V330" s="88" t="n">
        <v>0</v>
      </c>
      <c r="W330" s="87" t="n">
        <v>655</v>
      </c>
      <c r="X330" s="88" t="n">
        <v>0.1522193818266326</v>
      </c>
      <c r="Y330" s="87" t="n">
        <v>3405</v>
      </c>
      <c r="Z330" s="90" t="n">
        <v>0.7913083894957007</v>
      </c>
      <c r="AA330" s="87" t="n">
        <v>4</v>
      </c>
      <c r="AB330" s="88" t="n">
        <v>0.0009295840111550081</v>
      </c>
      <c r="AC330" s="87" t="n">
        <v>343</v>
      </c>
      <c r="AD330" s="88" t="n">
        <v>0.07971182895654194</v>
      </c>
      <c r="AE330" s="87" t="n">
        <v>91</v>
      </c>
      <c r="AF330" s="88" t="n">
        <v>0.2653061224489796</v>
      </c>
      <c r="AG330" s="87" t="n">
        <v>249</v>
      </c>
      <c r="AH330" s="88" t="n">
        <v>0.7259475218658892</v>
      </c>
      <c r="AI330" s="91" t="n">
        <v>304</v>
      </c>
      <c r="AJ330" s="88" t="n">
        <v>0.07064838484778062</v>
      </c>
      <c r="AK330" s="91" t="n">
        <v>5</v>
      </c>
      <c r="AL330" s="88" t="n">
        <v>0.7730263157894737</v>
      </c>
      <c r="AM330" s="91" t="n">
        <v>297</v>
      </c>
      <c r="AN330" s="91" t="n">
        <v>235</v>
      </c>
      <c r="AO330" s="88" t="n">
        <v>0.05461306065535673</v>
      </c>
      <c r="AP330" s="88" t="n">
        <v>0.685131195335277</v>
      </c>
      <c r="AQ330" s="89" t="n">
        <v>0.9648093841642229</v>
      </c>
      <c r="AR330" s="89" t="n">
        <v>0.6751592356687898</v>
      </c>
      <c r="AS330" s="89" t="n">
        <v>0.6687898089171974</v>
      </c>
      <c r="AT330" s="91" t="n">
        <v>0</v>
      </c>
      <c r="AU330" s="91" t="n">
        <v>0</v>
      </c>
      <c r="AV330" s="91" t="n">
        <v>42</v>
      </c>
      <c r="AW330" s="91" t="n">
        <v>33</v>
      </c>
      <c r="AX330" s="91" t="n">
        <v>36</v>
      </c>
      <c r="AY330" s="91" t="n">
        <v>69</v>
      </c>
      <c r="AZ330" s="88" t="n">
        <v>0.007669068092028817</v>
      </c>
      <c r="BA330" s="88" t="n">
        <v>0.008366256100395073</v>
      </c>
      <c r="BB330" s="88" t="n">
        <v>0.01603532419242389</v>
      </c>
      <c r="BC330" s="88" t="n">
        <v>0.1531914893617021</v>
      </c>
      <c r="BD330" s="91" t="n">
        <v>0</v>
      </c>
      <c r="BE330" s="91" t="n">
        <v>0</v>
      </c>
      <c r="BF330" s="89" t="n">
        <v>1</v>
      </c>
      <c r="BG330" s="89" t="n">
        <v>1</v>
      </c>
      <c r="BH330" s="89" t="inlineStr">
        <is>
          <t>-</t>
        </is>
      </c>
    </row>
    <row r="331" ht="19.55" customHeight="1">
      <c r="A331" s="92" t="n">
        <v>328</v>
      </c>
      <c r="B331" s="87" t="inlineStr">
        <is>
          <t>全国</t>
        </is>
      </c>
      <c r="C331" s="93" t="n">
        <v>46286</v>
      </c>
      <c r="D331" s="87" t="inlineStr">
        <is>
          <t>天籁·鸿蒙座舱</t>
        </is>
      </c>
      <c r="E331" s="87" t="n">
        <v>4125</v>
      </c>
      <c r="F331" s="87" t="n">
        <v>3792</v>
      </c>
      <c r="G331" s="88" t="n">
        <v>0.9192727272727272</v>
      </c>
      <c r="H331" s="87" t="n">
        <v>2150</v>
      </c>
      <c r="I331" s="89" t="n">
        <v>0.5212121212121212</v>
      </c>
      <c r="J331" s="87" t="n">
        <v>4842</v>
      </c>
      <c r="K331" s="87" t="n">
        <v>4743</v>
      </c>
      <c r="L331" s="88" t="n">
        <v>0.98</v>
      </c>
      <c r="M331" s="87" t="n">
        <v>21411</v>
      </c>
      <c r="N331" s="87" t="n">
        <v>21187</v>
      </c>
      <c r="O331" s="87" t="n">
        <v>21091</v>
      </c>
      <c r="P331" s="88" t="n">
        <v>0.9850544112839195</v>
      </c>
      <c r="Q331" s="87" t="n">
        <v>119</v>
      </c>
      <c r="R331" s="87" t="n">
        <v>0</v>
      </c>
      <c r="S331" s="87" t="n">
        <v>0</v>
      </c>
      <c r="T331" s="88" t="n">
        <v>0</v>
      </c>
      <c r="U331" s="87" t="n">
        <v>0</v>
      </c>
      <c r="V331" s="88" t="n">
        <v>0</v>
      </c>
      <c r="W331" s="87" t="n">
        <v>450</v>
      </c>
      <c r="X331" s="88" t="n">
        <v>0.1090909090909091</v>
      </c>
      <c r="Y331" s="87" t="n">
        <v>4086</v>
      </c>
      <c r="Z331" s="90" t="n">
        <v>0.9905454545454545</v>
      </c>
      <c r="AA331" s="87" t="n">
        <v>10</v>
      </c>
      <c r="AB331" s="88" t="n">
        <v>0.002424242424242424</v>
      </c>
      <c r="AC331" s="87" t="n">
        <v>174</v>
      </c>
      <c r="AD331" s="88" t="n">
        <v>0.04218181818181818</v>
      </c>
      <c r="AE331" s="87" t="n">
        <v>37</v>
      </c>
      <c r="AF331" s="88" t="n">
        <v>0.2126436781609195</v>
      </c>
      <c r="AG331" s="87" t="n">
        <v>144</v>
      </c>
      <c r="AH331" s="88" t="n">
        <v>0.8275862068965517</v>
      </c>
      <c r="AI331" s="91" t="n">
        <v>160</v>
      </c>
      <c r="AJ331" s="88" t="n">
        <v>0.03878787878787879</v>
      </c>
      <c r="AK331" s="91" t="n">
        <v>5</v>
      </c>
      <c r="AL331" s="88" t="n">
        <v>0.80625</v>
      </c>
      <c r="AM331" s="91" t="n">
        <v>151</v>
      </c>
      <c r="AN331" s="91" t="n">
        <v>129</v>
      </c>
      <c r="AO331" s="88" t="n">
        <v>0.03127272727272727</v>
      </c>
      <c r="AP331" s="88" t="n">
        <v>0.7413793103448276</v>
      </c>
      <c r="AQ331" s="89" t="n">
        <v>0.9772727272727273</v>
      </c>
      <c r="AR331" s="89" t="n">
        <v>0.5870967741935483</v>
      </c>
      <c r="AS331" s="89" t="n">
        <v>0.5935483870967742</v>
      </c>
      <c r="AT331" s="91" t="n">
        <v>0</v>
      </c>
      <c r="AU331" s="91" t="n">
        <v>0</v>
      </c>
      <c r="AV331" s="91" t="n">
        <v>40</v>
      </c>
      <c r="AW331" s="91" t="n">
        <v>28</v>
      </c>
      <c r="AX331" s="91" t="n">
        <v>35</v>
      </c>
      <c r="AY331" s="91" t="n">
        <v>74</v>
      </c>
      <c r="AZ331" s="88" t="n">
        <v>0.006787878787878788</v>
      </c>
      <c r="BA331" s="88" t="n">
        <v>0.008484848484848486</v>
      </c>
      <c r="BB331" s="88" t="n">
        <v>0.01793939393939394</v>
      </c>
      <c r="BC331" s="88" t="n">
        <v>0.2713178294573643</v>
      </c>
      <c r="BD331" s="91" t="n">
        <v>0</v>
      </c>
      <c r="BE331" s="91" t="n">
        <v>0</v>
      </c>
      <c r="BF331" s="89" t="n">
        <v>1</v>
      </c>
      <c r="BG331" s="89" t="n">
        <v>1</v>
      </c>
      <c r="BH331" s="89" t="inlineStr">
        <is>
          <t>-</t>
        </is>
      </c>
    </row>
    <row r="332" ht="19.55" customHeight="1">
      <c r="A332" s="92" t="n">
        <v>329</v>
      </c>
      <c r="B332" s="87" t="inlineStr">
        <is>
          <t>全国</t>
        </is>
      </c>
      <c r="C332" s="93" t="n">
        <v>46287</v>
      </c>
      <c r="D332" s="87" t="n"/>
      <c r="E332" s="87" t="n">
        <v>34</v>
      </c>
      <c r="F332" s="87" t="n">
        <v>34</v>
      </c>
      <c r="G332" s="88" t="n">
        <v>1</v>
      </c>
      <c r="H332" s="87" t="n">
        <v>34</v>
      </c>
      <c r="I332" s="89" t="n">
        <v>1</v>
      </c>
      <c r="J332" s="87" t="n">
        <v>0</v>
      </c>
      <c r="K332" s="87" t="n">
        <v>0</v>
      </c>
      <c r="L332" s="88" t="n">
        <v>0</v>
      </c>
      <c r="M332" s="87" t="n">
        <v>5</v>
      </c>
      <c r="N332" s="87" t="n">
        <v>1</v>
      </c>
      <c r="O332" s="87" t="n">
        <v>1</v>
      </c>
      <c r="P332" s="88" t="n">
        <v>0.2</v>
      </c>
      <c r="Q332" s="87" t="n">
        <v>4</v>
      </c>
      <c r="R332" s="87" t="n">
        <v>0</v>
      </c>
      <c r="S332" s="87" t="n">
        <v>0</v>
      </c>
      <c r="T332" s="88" t="n">
        <v>0</v>
      </c>
      <c r="U332" s="87" t="n">
        <v>0</v>
      </c>
      <c r="V332" s="88" t="n">
        <v>0</v>
      </c>
      <c r="W332" s="87" t="n">
        <v>22</v>
      </c>
      <c r="X332" s="88" t="n">
        <v>0.6470588235294118</v>
      </c>
      <c r="Y332" s="87" t="n">
        <v>9</v>
      </c>
      <c r="Z332" s="90" t="n">
        <v>0.2647058823529412</v>
      </c>
      <c r="AA332" s="87" t="n">
        <v>0</v>
      </c>
      <c r="AB332" s="88" t="n">
        <v>0</v>
      </c>
      <c r="AC332" s="87" t="n">
        <v>0</v>
      </c>
      <c r="AD332" s="88" t="n">
        <v>0</v>
      </c>
      <c r="AE332" s="87" t="n">
        <v>0</v>
      </c>
      <c r="AF332" s="88" t="n">
        <v>0</v>
      </c>
      <c r="AG332" s="87" t="n">
        <v>0</v>
      </c>
      <c r="AH332" s="88" t="n">
        <v>0</v>
      </c>
      <c r="AI332" s="91" t="n">
        <v>0</v>
      </c>
      <c r="AJ332" s="88" t="n">
        <v>0</v>
      </c>
      <c r="AK332" s="91" t="n">
        <v>0</v>
      </c>
      <c r="AL332" s="88" t="n">
        <v>0</v>
      </c>
      <c r="AM332" s="91" t="n">
        <v>0</v>
      </c>
      <c r="AN332" s="91" t="n">
        <v>0</v>
      </c>
      <c r="AO332" s="88" t="n">
        <v>0</v>
      </c>
      <c r="AP332" s="88" t="n">
        <v>0</v>
      </c>
      <c r="AQ332" s="89" t="n">
        <v>0</v>
      </c>
      <c r="AR332" s="89" t="n">
        <v>0</v>
      </c>
      <c r="AS332" s="89" t="n">
        <v>0</v>
      </c>
      <c r="AT332" s="91" t="n">
        <v>0</v>
      </c>
      <c r="AU332" s="91" t="n">
        <v>0</v>
      </c>
      <c r="AV332" s="91" t="n">
        <v>0</v>
      </c>
      <c r="AW332" s="91" t="n">
        <v>0</v>
      </c>
      <c r="AX332" s="91" t="n">
        <v>0</v>
      </c>
      <c r="AY332" s="91" t="n">
        <v>0</v>
      </c>
      <c r="AZ332" s="88" t="n">
        <v>0</v>
      </c>
      <c r="BA332" s="88" t="n">
        <v>0</v>
      </c>
      <c r="BB332" s="88" t="n">
        <v>0</v>
      </c>
      <c r="BC332" s="88" t="n">
        <v>0</v>
      </c>
      <c r="BD332" s="91" t="n">
        <v>0</v>
      </c>
      <c r="BE332" s="91" t="n">
        <v>0</v>
      </c>
      <c r="BF332" s="89" t="inlineStr">
        <is>
          <t>-</t>
        </is>
      </c>
      <c r="BG332" s="89" t="inlineStr">
        <is>
          <t>-</t>
        </is>
      </c>
      <c r="BH332" s="89" t="n">
        <v>0.9726027397260274</v>
      </c>
    </row>
    <row r="333" ht="19.55" customHeight="1">
      <c r="A333" s="92" t="n">
        <v>330</v>
      </c>
      <c r="B333" s="87" t="inlineStr">
        <is>
          <t>全国</t>
        </is>
      </c>
      <c r="C333" s="93" t="n">
        <v>46287</v>
      </c>
      <c r="D333" s="87" t="inlineStr">
        <is>
          <t>2026款探陆</t>
        </is>
      </c>
      <c r="E333" s="87" t="n">
        <v>42</v>
      </c>
      <c r="F333" s="87" t="n">
        <v>39</v>
      </c>
      <c r="G333" s="88" t="n">
        <v>0.9285714285714286</v>
      </c>
      <c r="H333" s="87" t="n">
        <v>36</v>
      </c>
      <c r="I333" s="89" t="n">
        <v>0.8571428571428571</v>
      </c>
      <c r="J333" s="87" t="n">
        <v>138</v>
      </c>
      <c r="K333" s="87" t="n">
        <v>59</v>
      </c>
      <c r="L333" s="88" t="n">
        <v>0.428</v>
      </c>
      <c r="M333" s="87" t="n">
        <v>542</v>
      </c>
      <c r="N333" s="87" t="n">
        <v>499</v>
      </c>
      <c r="O333" s="87" t="n">
        <v>408</v>
      </c>
      <c r="P333" s="88" t="n">
        <v>0.7527675276752768</v>
      </c>
      <c r="Q333" s="87" t="n">
        <v>78</v>
      </c>
      <c r="R333" s="87" t="n">
        <v>0</v>
      </c>
      <c r="S333" s="87" t="n">
        <v>0</v>
      </c>
      <c r="T333" s="88" t="n">
        <v>0</v>
      </c>
      <c r="U333" s="87" t="n">
        <v>0</v>
      </c>
      <c r="V333" s="88" t="n">
        <v>0</v>
      </c>
      <c r="W333" s="87" t="n">
        <v>3</v>
      </c>
      <c r="X333" s="88" t="n">
        <v>0.07142857142857142</v>
      </c>
      <c r="Y333" s="87" t="n">
        <v>10</v>
      </c>
      <c r="Z333" s="90" t="n">
        <v>0.2380952380952381</v>
      </c>
      <c r="AA333" s="87" t="n">
        <v>22</v>
      </c>
      <c r="AB333" s="88" t="n">
        <v>0.5238095238095238</v>
      </c>
      <c r="AC333" s="87" t="n">
        <v>0</v>
      </c>
      <c r="AD333" s="88" t="n">
        <v>0</v>
      </c>
      <c r="AE333" s="87" t="n">
        <v>0</v>
      </c>
      <c r="AF333" s="88" t="n">
        <v>0</v>
      </c>
      <c r="AG333" s="87" t="n">
        <v>0</v>
      </c>
      <c r="AH333" s="88" t="n">
        <v>0</v>
      </c>
      <c r="AI333" s="91" t="n">
        <v>0</v>
      </c>
      <c r="AJ333" s="88" t="n">
        <v>0</v>
      </c>
      <c r="AK333" s="91" t="n">
        <v>0</v>
      </c>
      <c r="AL333" s="88" t="n">
        <v>0</v>
      </c>
      <c r="AM333" s="91" t="n">
        <v>0</v>
      </c>
      <c r="AN333" s="91" t="n">
        <v>0</v>
      </c>
      <c r="AO333" s="88" t="n">
        <v>0</v>
      </c>
      <c r="AP333" s="88" t="n">
        <v>0</v>
      </c>
      <c r="AQ333" s="89" t="n"/>
      <c r="AR333" s="89" t="n">
        <v>0</v>
      </c>
      <c r="AS333" s="89" t="n">
        <v>0</v>
      </c>
      <c r="AT333" s="91" t="n">
        <v>0</v>
      </c>
      <c r="AU333" s="91" t="n">
        <v>0</v>
      </c>
      <c r="AV333" s="91" t="n">
        <v>3</v>
      </c>
      <c r="AW333" s="91" t="n">
        <v>3</v>
      </c>
      <c r="AX333" s="91" t="n">
        <v>3</v>
      </c>
      <c r="AY333" s="91" t="n">
        <v>5</v>
      </c>
      <c r="AZ333" s="88" t="n">
        <v>0.07142857142857142</v>
      </c>
      <c r="BA333" s="88" t="n">
        <v>0.07142857142857142</v>
      </c>
      <c r="BB333" s="88" t="n">
        <v>0.119047619047619</v>
      </c>
      <c r="BC333" s="88" t="n">
        <v>0</v>
      </c>
      <c r="BD333" s="91" t="n">
        <v>0</v>
      </c>
      <c r="BE333" s="91" t="n">
        <v>0</v>
      </c>
      <c r="BF333" s="89" t="inlineStr">
        <is>
          <t>-</t>
        </is>
      </c>
      <c r="BG333" s="89" t="n">
        <v>1</v>
      </c>
      <c r="BH333" s="89" t="inlineStr">
        <is>
          <t>-</t>
        </is>
      </c>
    </row>
    <row r="334" ht="25.6" customHeight="1">
      <c r="A334" s="92" t="n">
        <v>331</v>
      </c>
      <c r="B334" s="87" t="inlineStr">
        <is>
          <t>全国</t>
        </is>
      </c>
      <c r="C334" s="93" t="n">
        <v>46287</v>
      </c>
      <c r="D334" s="87" t="inlineStr">
        <is>
          <t>N6</t>
        </is>
      </c>
      <c r="E334" s="87" t="n">
        <v>1431</v>
      </c>
      <c r="F334" s="87" t="n">
        <v>1285</v>
      </c>
      <c r="G334" s="88" t="n">
        <v>0.8979734451432565</v>
      </c>
      <c r="H334" s="87" t="n">
        <v>440</v>
      </c>
      <c r="I334" s="89" t="n">
        <v>0.3074772886093641</v>
      </c>
      <c r="J334" s="87" t="n">
        <v>1345</v>
      </c>
      <c r="K334" s="87" t="n">
        <v>1309</v>
      </c>
      <c r="L334" s="88" t="n">
        <v>0.973</v>
      </c>
      <c r="M334" s="87" t="n">
        <v>6360</v>
      </c>
      <c r="N334" s="87" t="n">
        <v>6252</v>
      </c>
      <c r="O334" s="87" t="n">
        <v>6237</v>
      </c>
      <c r="P334" s="88" t="n">
        <v>0.9806603773584905</v>
      </c>
      <c r="Q334" s="87" t="n">
        <v>56</v>
      </c>
      <c r="R334" s="87" t="n">
        <v>0</v>
      </c>
      <c r="S334" s="87" t="n">
        <v>0</v>
      </c>
      <c r="T334" s="88" t="n">
        <v>0</v>
      </c>
      <c r="U334" s="87" t="n">
        <v>0</v>
      </c>
      <c r="V334" s="88" t="n">
        <v>0</v>
      </c>
      <c r="W334" s="87" t="n">
        <v>222</v>
      </c>
      <c r="X334" s="88" t="n">
        <v>0.1551362683438155</v>
      </c>
      <c r="Y334" s="87" t="n">
        <v>4163</v>
      </c>
      <c r="Z334" s="90" t="n">
        <v>2.909154437456324</v>
      </c>
      <c r="AA334" s="87" t="n">
        <v>6</v>
      </c>
      <c r="AB334" s="88" t="n">
        <v>0.00419287211740042</v>
      </c>
      <c r="AC334" s="87" t="n">
        <v>87</v>
      </c>
      <c r="AD334" s="88" t="n">
        <v>0.06079664570230608</v>
      </c>
      <c r="AE334" s="87" t="n">
        <v>21</v>
      </c>
      <c r="AF334" s="88" t="n">
        <v>0.2413793103448276</v>
      </c>
      <c r="AG334" s="87" t="n">
        <v>44</v>
      </c>
      <c r="AH334" s="88" t="n">
        <v>0.5057471264367817</v>
      </c>
      <c r="AI334" s="91" t="n">
        <v>63</v>
      </c>
      <c r="AJ334" s="88" t="n">
        <v>0.0440251572327044</v>
      </c>
      <c r="AK334" s="91" t="n">
        <v>4</v>
      </c>
      <c r="AL334" s="88" t="n">
        <v>0.873015873015873</v>
      </c>
      <c r="AM334" s="91" t="n">
        <v>63</v>
      </c>
      <c r="AN334" s="91" t="n">
        <v>55</v>
      </c>
      <c r="AO334" s="88" t="n">
        <v>0.03843466107617051</v>
      </c>
      <c r="AP334" s="88" t="n">
        <v>0.632183908045977</v>
      </c>
      <c r="AQ334" s="89" t="n">
        <v>1</v>
      </c>
      <c r="AR334" s="89" t="n">
        <v>0.6065573770491803</v>
      </c>
      <c r="AS334" s="89" t="n">
        <v>0.639344262295082</v>
      </c>
      <c r="AT334" s="91" t="n">
        <v>0</v>
      </c>
      <c r="AU334" s="91" t="n">
        <v>0</v>
      </c>
      <c r="AV334" s="91" t="n">
        <v>17</v>
      </c>
      <c r="AW334" s="91" t="n">
        <v>14</v>
      </c>
      <c r="AX334" s="91" t="n">
        <v>12</v>
      </c>
      <c r="AY334" s="91" t="n">
        <v>40</v>
      </c>
      <c r="AZ334" s="88" t="n">
        <v>0.009783368273934312</v>
      </c>
      <c r="BA334" s="88" t="n">
        <v>0.008385744234800839</v>
      </c>
      <c r="BB334" s="88" t="n">
        <v>0.02795248078266946</v>
      </c>
      <c r="BC334" s="88" t="n">
        <v>0.2181818181818182</v>
      </c>
      <c r="BD334" s="91" t="n">
        <v>0</v>
      </c>
      <c r="BE334" s="91" t="n">
        <v>0</v>
      </c>
      <c r="BF334" s="89" t="n">
        <v>1</v>
      </c>
      <c r="BG334" s="89" t="n">
        <v>1</v>
      </c>
      <c r="BH334" s="89" t="inlineStr">
        <is>
          <t>-</t>
        </is>
      </c>
    </row>
    <row r="335" ht="19.55" customHeight="1">
      <c r="A335" s="92" t="n">
        <v>332</v>
      </c>
      <c r="B335" s="87" t="inlineStr">
        <is>
          <t>全国</t>
        </is>
      </c>
      <c r="C335" s="93" t="n">
        <v>46287</v>
      </c>
      <c r="D335" s="87" t="inlineStr">
        <is>
          <t>N7</t>
        </is>
      </c>
      <c r="E335" s="87" t="n">
        <v>5700</v>
      </c>
      <c r="F335" s="87" t="n">
        <v>5263</v>
      </c>
      <c r="G335" s="88" t="n">
        <v>0.9233333333333333</v>
      </c>
      <c r="H335" s="87" t="n">
        <v>1684</v>
      </c>
      <c r="I335" s="89" t="n">
        <v>0.2954385964912281</v>
      </c>
      <c r="J335" s="87" t="n">
        <v>2615</v>
      </c>
      <c r="K335" s="87" t="n">
        <v>2560</v>
      </c>
      <c r="L335" s="88" t="n">
        <v>0.979</v>
      </c>
      <c r="M335" s="87" t="n">
        <v>9587</v>
      </c>
      <c r="N335" s="87" t="n">
        <v>10214</v>
      </c>
      <c r="O335" s="87" t="n">
        <v>9431</v>
      </c>
      <c r="P335" s="88" t="n">
        <v>0.9837279649525399</v>
      </c>
      <c r="Q335" s="87" t="n">
        <v>62</v>
      </c>
      <c r="R335" s="87" t="n">
        <v>0</v>
      </c>
      <c r="S335" s="87" t="n">
        <v>0</v>
      </c>
      <c r="T335" s="88" t="n">
        <v>0</v>
      </c>
      <c r="U335" s="87" t="n">
        <v>0</v>
      </c>
      <c r="V335" s="88" t="n">
        <v>0</v>
      </c>
      <c r="W335" s="87" t="n">
        <v>375</v>
      </c>
      <c r="X335" s="88" t="n">
        <v>0.06578947368421052</v>
      </c>
      <c r="Y335" s="87" t="n">
        <v>4022</v>
      </c>
      <c r="Z335" s="90" t="n">
        <v>0.7056140350877192</v>
      </c>
      <c r="AA335" s="87" t="n">
        <v>2</v>
      </c>
      <c r="AB335" s="88" t="n">
        <v>0.0003508771929824561</v>
      </c>
      <c r="AC335" s="87" t="n">
        <v>87</v>
      </c>
      <c r="AD335" s="88" t="n">
        <v>0.01526315789473684</v>
      </c>
      <c r="AE335" s="87" t="n">
        <v>19</v>
      </c>
      <c r="AF335" s="88" t="n">
        <v>0.2183908045977012</v>
      </c>
      <c r="AG335" s="87" t="n">
        <v>50</v>
      </c>
      <c r="AH335" s="88" t="n">
        <v>0.5747126436781609</v>
      </c>
      <c r="AI335" s="91" t="n">
        <v>53</v>
      </c>
      <c r="AJ335" s="88" t="n">
        <v>0.009298245614035089</v>
      </c>
      <c r="AK335" s="91" t="n">
        <v>1</v>
      </c>
      <c r="AL335" s="88" t="n">
        <v>0.7358490566037735</v>
      </c>
      <c r="AM335" s="91" t="n">
        <v>50</v>
      </c>
      <c r="AN335" s="91" t="n">
        <v>39</v>
      </c>
      <c r="AO335" s="88" t="n">
        <v>0.006842105263157895</v>
      </c>
      <c r="AP335" s="88" t="n">
        <v>0.4482758620689655</v>
      </c>
      <c r="AQ335" s="89" t="n">
        <v>0.9629629629629629</v>
      </c>
      <c r="AR335" s="89" t="n">
        <v>0.7419354838709677</v>
      </c>
      <c r="AS335" s="89" t="n">
        <v>0.6612903225806451</v>
      </c>
      <c r="AT335" s="91" t="n">
        <v>0</v>
      </c>
      <c r="AU335" s="91" t="n">
        <v>0</v>
      </c>
      <c r="AV335" s="91" t="n">
        <v>85</v>
      </c>
      <c r="AW335" s="91" t="n">
        <v>62</v>
      </c>
      <c r="AX335" s="91" t="n">
        <v>27</v>
      </c>
      <c r="AY335" s="91" t="n">
        <v>34</v>
      </c>
      <c r="AZ335" s="88" t="n">
        <v>0.01087719298245614</v>
      </c>
      <c r="BA335" s="88" t="n">
        <v>0.004736842105263158</v>
      </c>
      <c r="BB335" s="88" t="n">
        <v>0.005964912280701755</v>
      </c>
      <c r="BC335" s="88" t="n">
        <v>0.6923076923076923</v>
      </c>
      <c r="BD335" s="91" t="n">
        <v>0</v>
      </c>
      <c r="BE335" s="91" t="n">
        <v>1</v>
      </c>
      <c r="BF335" s="89" t="n">
        <v>0.9428571428571428</v>
      </c>
      <c r="BG335" s="89" t="n">
        <v>1</v>
      </c>
      <c r="BH335" s="89" t="inlineStr">
        <is>
          <t>-</t>
        </is>
      </c>
    </row>
    <row r="336" ht="19.55" customHeight="1">
      <c r="A336" s="92" t="n">
        <v>333</v>
      </c>
      <c r="B336" s="87" t="inlineStr">
        <is>
          <t>全国</t>
        </is>
      </c>
      <c r="C336" s="93" t="n">
        <v>46287</v>
      </c>
      <c r="D336" s="87" t="inlineStr">
        <is>
          <t>NX8</t>
        </is>
      </c>
      <c r="E336" s="87" t="n">
        <v>4287</v>
      </c>
      <c r="F336" s="87" t="n">
        <v>3965</v>
      </c>
      <c r="G336" s="88" t="n">
        <v>0.9248891999066946</v>
      </c>
      <c r="H336" s="87" t="n">
        <v>1650</v>
      </c>
      <c r="I336" s="89" t="n">
        <v>0.3848845346396081</v>
      </c>
      <c r="J336" s="87" t="n">
        <v>3878</v>
      </c>
      <c r="K336" s="87" t="n">
        <v>3752</v>
      </c>
      <c r="L336" s="88" t="n">
        <v>0.968</v>
      </c>
      <c r="M336" s="87" t="n">
        <v>19081</v>
      </c>
      <c r="N336" s="87" t="n">
        <v>18801</v>
      </c>
      <c r="O336" s="87" t="n">
        <v>18587</v>
      </c>
      <c r="P336" s="88" t="n">
        <v>0.9741103715738169</v>
      </c>
      <c r="Q336" s="87" t="n">
        <v>255</v>
      </c>
      <c r="R336" s="87" t="n">
        <v>0</v>
      </c>
      <c r="S336" s="87" t="n">
        <v>0</v>
      </c>
      <c r="T336" s="88" t="n">
        <v>0</v>
      </c>
      <c r="U336" s="87" t="n">
        <v>0</v>
      </c>
      <c r="V336" s="88" t="n">
        <v>0</v>
      </c>
      <c r="W336" s="87" t="n">
        <v>649</v>
      </c>
      <c r="X336" s="88" t="n">
        <v>0.1513879169582459</v>
      </c>
      <c r="Y336" s="87" t="n">
        <v>2101</v>
      </c>
      <c r="Z336" s="90" t="n">
        <v>0.490086307441101</v>
      </c>
      <c r="AA336" s="87" t="n">
        <v>8</v>
      </c>
      <c r="AB336" s="88" t="n">
        <v>0.001866106834616282</v>
      </c>
      <c r="AC336" s="87" t="n">
        <v>366</v>
      </c>
      <c r="AD336" s="88" t="n">
        <v>0.08537438768369489</v>
      </c>
      <c r="AE336" s="87" t="n">
        <v>82</v>
      </c>
      <c r="AF336" s="88" t="n">
        <v>0.2240437158469945</v>
      </c>
      <c r="AG336" s="87" t="n">
        <v>239</v>
      </c>
      <c r="AH336" s="88" t="n">
        <v>0.6530054644808743</v>
      </c>
      <c r="AI336" s="91" t="n">
        <v>289</v>
      </c>
      <c r="AJ336" s="88" t="n">
        <v>0.06741310940051318</v>
      </c>
      <c r="AK336" s="91" t="n">
        <v>6</v>
      </c>
      <c r="AL336" s="88" t="n">
        <v>0.7543252595155709</v>
      </c>
      <c r="AM336" s="91" t="n">
        <v>273</v>
      </c>
      <c r="AN336" s="91" t="n">
        <v>218</v>
      </c>
      <c r="AO336" s="88" t="n">
        <v>0.05085141124329368</v>
      </c>
      <c r="AP336" s="88" t="n">
        <v>0.5956284153005464</v>
      </c>
      <c r="AQ336" s="89" t="n">
        <v>0.9706840390879479</v>
      </c>
      <c r="AR336" s="89" t="n">
        <v>0.6105263157894737</v>
      </c>
      <c r="AS336" s="89" t="n">
        <v>0.6385964912280702</v>
      </c>
      <c r="AT336" s="91" t="n">
        <v>0</v>
      </c>
      <c r="AU336" s="91" t="n">
        <v>0</v>
      </c>
      <c r="AV336" s="91" t="n">
        <v>42</v>
      </c>
      <c r="AW336" s="91" t="n">
        <v>36</v>
      </c>
      <c r="AX336" s="91" t="n">
        <v>38</v>
      </c>
      <c r="AY336" s="91" t="n">
        <v>79</v>
      </c>
      <c r="AZ336" s="88" t="n">
        <v>0.008397480755773267</v>
      </c>
      <c r="BA336" s="88" t="n">
        <v>0.008864007464427339</v>
      </c>
      <c r="BB336" s="88" t="n">
        <v>0.01842780499183578</v>
      </c>
      <c r="BC336" s="88" t="n">
        <v>0.1743119266055046</v>
      </c>
      <c r="BD336" s="91" t="n">
        <v>0</v>
      </c>
      <c r="BE336" s="91" t="n">
        <v>0</v>
      </c>
      <c r="BF336" s="89" t="n">
        <v>1</v>
      </c>
      <c r="BG336" s="89" t="n">
        <v>1</v>
      </c>
      <c r="BH336" s="89" t="inlineStr">
        <is>
          <t>-</t>
        </is>
      </c>
    </row>
    <row r="337" ht="25.6" customHeight="1">
      <c r="A337" s="92" t="n">
        <v>334</v>
      </c>
      <c r="B337" s="87" t="inlineStr">
        <is>
          <t>全国</t>
        </is>
      </c>
      <c r="C337" s="93" t="n">
        <v>46287</v>
      </c>
      <c r="D337" s="87" t="inlineStr">
        <is>
          <t>天籁·鸿蒙座舱</t>
        </is>
      </c>
      <c r="E337" s="87" t="n">
        <v>3777</v>
      </c>
      <c r="F337" s="87" t="n">
        <v>3501</v>
      </c>
      <c r="G337" s="88" t="n">
        <v>0.9269261318506752</v>
      </c>
      <c r="H337" s="87" t="n">
        <v>2032</v>
      </c>
      <c r="I337" s="89" t="n">
        <v>0.5379931162298121</v>
      </c>
      <c r="J337" s="87" t="n">
        <v>4535</v>
      </c>
      <c r="K337" s="87" t="n">
        <v>4464</v>
      </c>
      <c r="L337" s="88" t="n">
        <v>0.984</v>
      </c>
      <c r="M337" s="87" t="n">
        <v>20792</v>
      </c>
      <c r="N337" s="87" t="n">
        <v>20627</v>
      </c>
      <c r="O337" s="87" t="n">
        <v>20499</v>
      </c>
      <c r="P337" s="88" t="n">
        <v>0.985908041554444</v>
      </c>
      <c r="Q337" s="87" t="n">
        <v>131</v>
      </c>
      <c r="R337" s="87" t="n">
        <v>0</v>
      </c>
      <c r="S337" s="87" t="n">
        <v>0</v>
      </c>
      <c r="T337" s="88" t="n">
        <v>0</v>
      </c>
      <c r="U337" s="87" t="n">
        <v>0</v>
      </c>
      <c r="V337" s="88" t="n">
        <v>0</v>
      </c>
      <c r="W337" s="87" t="n">
        <v>425</v>
      </c>
      <c r="X337" s="88" t="n">
        <v>0.1125231665342865</v>
      </c>
      <c r="Y337" s="87" t="n">
        <v>5154</v>
      </c>
      <c r="Z337" s="90" t="n">
        <v>1.364575059571088</v>
      </c>
      <c r="AA337" s="87" t="n">
        <v>9</v>
      </c>
      <c r="AB337" s="88" t="n">
        <v>0.00238284352660842</v>
      </c>
      <c r="AC337" s="87" t="n">
        <v>158</v>
      </c>
      <c r="AD337" s="88" t="n">
        <v>0.04183214191157003</v>
      </c>
      <c r="AE337" s="87" t="n">
        <v>39</v>
      </c>
      <c r="AF337" s="88" t="n">
        <v>0.2468354430379747</v>
      </c>
      <c r="AG337" s="87" t="n">
        <v>113</v>
      </c>
      <c r="AH337" s="88" t="n">
        <v>0.7151898734177216</v>
      </c>
      <c r="AI337" s="91" t="n">
        <v>129</v>
      </c>
      <c r="AJ337" s="88" t="n">
        <v>0.03415409054805401</v>
      </c>
      <c r="AK337" s="91" t="n">
        <v>0</v>
      </c>
      <c r="AL337" s="88" t="n">
        <v>0.8604651162790697</v>
      </c>
      <c r="AM337" s="91" t="n">
        <v>122</v>
      </c>
      <c r="AN337" s="91" t="n">
        <v>111</v>
      </c>
      <c r="AO337" s="88" t="n">
        <v>0.02938840349483717</v>
      </c>
      <c r="AP337" s="88" t="n">
        <v>0.7025316455696202</v>
      </c>
      <c r="AQ337" s="89" t="n">
        <v>0.9864864864864865</v>
      </c>
      <c r="AR337" s="89" t="n">
        <v>0.5581395348837209</v>
      </c>
      <c r="AS337" s="89" t="n">
        <v>0.5193798449612403</v>
      </c>
      <c r="AT337" s="91" t="n">
        <v>0</v>
      </c>
      <c r="AU337" s="91" t="n">
        <v>0</v>
      </c>
      <c r="AV337" s="91" t="n">
        <v>34</v>
      </c>
      <c r="AW337" s="91" t="n">
        <v>28</v>
      </c>
      <c r="AX337" s="91" t="n">
        <v>28</v>
      </c>
      <c r="AY337" s="91" t="n">
        <v>77</v>
      </c>
      <c r="AZ337" s="88" t="n">
        <v>0.007413290971670638</v>
      </c>
      <c r="BA337" s="88" t="n">
        <v>0.007413290971670638</v>
      </c>
      <c r="BB337" s="88" t="n">
        <v>0.02038655017209426</v>
      </c>
      <c r="BC337" s="88" t="n">
        <v>0.2522522522522522</v>
      </c>
      <c r="BD337" s="91" t="n">
        <v>0</v>
      </c>
      <c r="BE337" s="91" t="n">
        <v>0</v>
      </c>
      <c r="BF337" s="89" t="n">
        <v>1</v>
      </c>
      <c r="BG337" s="89" t="n">
        <v>1</v>
      </c>
      <c r="BH337" s="89" t="inlineStr">
        <is>
          <t>-</t>
        </is>
      </c>
    </row>
    <row r="338" ht="19.55" customHeight="1">
      <c r="A338" s="92" t="n">
        <v>335</v>
      </c>
      <c r="B338" s="87" t="inlineStr">
        <is>
          <t>全国</t>
        </is>
      </c>
      <c r="C338" s="93" t="n">
        <v>46288</v>
      </c>
      <c r="D338" s="87" t="n"/>
      <c r="E338" s="87" t="n">
        <v>40</v>
      </c>
      <c r="F338" s="87" t="n">
        <v>40</v>
      </c>
      <c r="G338" s="88" t="n">
        <v>1</v>
      </c>
      <c r="H338" s="87" t="n">
        <v>40</v>
      </c>
      <c r="I338" s="89" t="n">
        <v>1</v>
      </c>
      <c r="J338" s="87" t="n">
        <v>0</v>
      </c>
      <c r="K338" s="87" t="n">
        <v>0</v>
      </c>
      <c r="L338" s="88" t="n">
        <v>0</v>
      </c>
      <c r="M338" s="87" t="n">
        <v>2</v>
      </c>
      <c r="N338" s="87" t="n">
        <v>0</v>
      </c>
      <c r="O338" s="87" t="n">
        <v>0</v>
      </c>
      <c r="P338" s="88" t="n">
        <v>0</v>
      </c>
      <c r="Q338" s="87" t="n">
        <v>2</v>
      </c>
      <c r="R338" s="87" t="n">
        <v>0</v>
      </c>
      <c r="S338" s="87" t="n">
        <v>0</v>
      </c>
      <c r="T338" s="88" t="n">
        <v>0</v>
      </c>
      <c r="U338" s="87" t="n">
        <v>0</v>
      </c>
      <c r="V338" s="88" t="n">
        <v>0</v>
      </c>
      <c r="W338" s="87" t="n">
        <v>4</v>
      </c>
      <c r="X338" s="88" t="n">
        <v>0.1</v>
      </c>
      <c r="Y338" s="87" t="n">
        <v>11</v>
      </c>
      <c r="Z338" s="90" t="n">
        <v>0.275</v>
      </c>
      <c r="AA338" s="87" t="n">
        <v>0</v>
      </c>
      <c r="AB338" s="88" t="n">
        <v>0</v>
      </c>
      <c r="AC338" s="87" t="n">
        <v>0</v>
      </c>
      <c r="AD338" s="88" t="n">
        <v>0</v>
      </c>
      <c r="AE338" s="87" t="n">
        <v>0</v>
      </c>
      <c r="AF338" s="88" t="n">
        <v>0</v>
      </c>
      <c r="AG338" s="87" t="n">
        <v>0</v>
      </c>
      <c r="AH338" s="88" t="n">
        <v>0</v>
      </c>
      <c r="AI338" s="91" t="n">
        <v>0</v>
      </c>
      <c r="AJ338" s="88" t="n">
        <v>0</v>
      </c>
      <c r="AK338" s="91" t="n">
        <v>0</v>
      </c>
      <c r="AL338" s="88" t="n">
        <v>0</v>
      </c>
      <c r="AM338" s="91" t="n">
        <v>0</v>
      </c>
      <c r="AN338" s="91" t="n">
        <v>0</v>
      </c>
      <c r="AO338" s="88" t="n">
        <v>0</v>
      </c>
      <c r="AP338" s="88" t="n">
        <v>0</v>
      </c>
      <c r="AQ338" s="89" t="n">
        <v>0</v>
      </c>
      <c r="AR338" s="89" t="n">
        <v>0</v>
      </c>
      <c r="AS338" s="89" t="n">
        <v>0.25</v>
      </c>
      <c r="AT338" s="91" t="n">
        <v>0</v>
      </c>
      <c r="AU338" s="91" t="n">
        <v>0</v>
      </c>
      <c r="AV338" s="91" t="n">
        <v>0</v>
      </c>
      <c r="AW338" s="91" t="n">
        <v>0</v>
      </c>
      <c r="AX338" s="91" t="n">
        <v>0</v>
      </c>
      <c r="AY338" s="91" t="n">
        <v>0</v>
      </c>
      <c r="AZ338" s="88" t="n">
        <v>0</v>
      </c>
      <c r="BA338" s="88" t="n">
        <v>0</v>
      </c>
      <c r="BB338" s="88" t="n">
        <v>0</v>
      </c>
      <c r="BC338" s="88" t="n">
        <v>0</v>
      </c>
      <c r="BD338" s="91" t="n">
        <v>0</v>
      </c>
      <c r="BE338" s="91" t="n">
        <v>0</v>
      </c>
      <c r="BF338" s="89" t="inlineStr">
        <is>
          <t>-</t>
        </is>
      </c>
      <c r="BG338" s="89" t="inlineStr">
        <is>
          <t>-</t>
        </is>
      </c>
      <c r="BH338" s="89" t="n">
        <v>1</v>
      </c>
    </row>
    <row r="339" ht="19.55" customHeight="1">
      <c r="A339" s="92" t="n">
        <v>336</v>
      </c>
      <c r="B339" s="87" t="inlineStr">
        <is>
          <t>全国</t>
        </is>
      </c>
      <c r="C339" s="93" t="n">
        <v>46288</v>
      </c>
      <c r="D339" s="87" t="inlineStr">
        <is>
          <t>2026款探陆</t>
        </is>
      </c>
      <c r="E339" s="87" t="n">
        <v>61</v>
      </c>
      <c r="F339" s="87" t="n">
        <v>59</v>
      </c>
      <c r="G339" s="88" t="n">
        <v>0.9672131147540983</v>
      </c>
      <c r="H339" s="87" t="n">
        <v>48</v>
      </c>
      <c r="I339" s="89" t="n">
        <v>0.7868852459016393</v>
      </c>
      <c r="J339" s="87" t="n">
        <v>112</v>
      </c>
      <c r="K339" s="87" t="n">
        <v>49</v>
      </c>
      <c r="L339" s="88" t="n">
        <v>0.438</v>
      </c>
      <c r="M339" s="87" t="n">
        <v>532</v>
      </c>
      <c r="N339" s="87" t="n">
        <v>454</v>
      </c>
      <c r="O339" s="87" t="n">
        <v>413</v>
      </c>
      <c r="P339" s="88" t="n">
        <v>0.7763157894736842</v>
      </c>
      <c r="Q339" s="87" t="n">
        <v>82</v>
      </c>
      <c r="R339" s="87" t="n">
        <v>0</v>
      </c>
      <c r="S339" s="87" t="n">
        <v>0</v>
      </c>
      <c r="T339" s="88" t="n">
        <v>0</v>
      </c>
      <c r="U339" s="87" t="n">
        <v>0</v>
      </c>
      <c r="V339" s="88" t="n">
        <v>0</v>
      </c>
      <c r="W339" s="87" t="n">
        <v>3</v>
      </c>
      <c r="X339" s="88" t="n">
        <v>0.04918032786885246</v>
      </c>
      <c r="Y339" s="87" t="n">
        <v>30</v>
      </c>
      <c r="Z339" s="90" t="n">
        <v>0.4918032786885246</v>
      </c>
      <c r="AA339" s="87" t="n">
        <v>9</v>
      </c>
      <c r="AB339" s="88" t="n">
        <v>0.1475409836065574</v>
      </c>
      <c r="AC339" s="87" t="n">
        <v>1</v>
      </c>
      <c r="AD339" s="88" t="n">
        <v>0.01639344262295082</v>
      </c>
      <c r="AE339" s="87" t="n">
        <v>0</v>
      </c>
      <c r="AF339" s="88" t="n">
        <v>0</v>
      </c>
      <c r="AG339" s="87" t="n">
        <v>1</v>
      </c>
      <c r="AH339" s="88" t="n">
        <v>1</v>
      </c>
      <c r="AI339" s="91" t="n">
        <v>0</v>
      </c>
      <c r="AJ339" s="88" t="n">
        <v>0</v>
      </c>
      <c r="AK339" s="91" t="n">
        <v>0</v>
      </c>
      <c r="AL339" s="88" t="n">
        <v>0</v>
      </c>
      <c r="AM339" s="91" t="n">
        <v>0</v>
      </c>
      <c r="AN339" s="91" t="n">
        <v>0</v>
      </c>
      <c r="AO339" s="88" t="n">
        <v>0</v>
      </c>
      <c r="AP339" s="88" t="n">
        <v>0</v>
      </c>
      <c r="AQ339" s="89" t="n">
        <v>0.5</v>
      </c>
      <c r="AR339" s="89" t="n">
        <v>1</v>
      </c>
      <c r="AS339" s="89" t="n">
        <v>0</v>
      </c>
      <c r="AT339" s="91" t="n">
        <v>0</v>
      </c>
      <c r="AU339" s="91" t="n">
        <v>0</v>
      </c>
      <c r="AV339" s="91" t="n">
        <v>0</v>
      </c>
      <c r="AW339" s="91" t="n">
        <v>0</v>
      </c>
      <c r="AX339" s="91" t="n">
        <v>0</v>
      </c>
      <c r="AY339" s="91" t="n">
        <v>6</v>
      </c>
      <c r="AZ339" s="88" t="n">
        <v>0</v>
      </c>
      <c r="BA339" s="88" t="n">
        <v>0</v>
      </c>
      <c r="BB339" s="88" t="n">
        <v>0.09836065573770492</v>
      </c>
      <c r="BC339" s="88" t="n">
        <v>0</v>
      </c>
      <c r="BD339" s="91" t="n">
        <v>0</v>
      </c>
      <c r="BE339" s="91" t="n">
        <v>0</v>
      </c>
      <c r="BF339" s="89" t="inlineStr">
        <is>
          <t>-</t>
        </is>
      </c>
      <c r="BG339" s="89" t="inlineStr">
        <is>
          <t>-</t>
        </is>
      </c>
      <c r="BH339" s="89" t="inlineStr">
        <is>
          <t>-</t>
        </is>
      </c>
    </row>
    <row r="340" ht="19.55" customHeight="1">
      <c r="A340" s="92" t="n">
        <v>337</v>
      </c>
      <c r="B340" s="87" t="inlineStr">
        <is>
          <t>全国</t>
        </is>
      </c>
      <c r="C340" s="93" t="n">
        <v>46288</v>
      </c>
      <c r="D340" s="87" t="inlineStr">
        <is>
          <t>N6</t>
        </is>
      </c>
      <c r="E340" s="87" t="n">
        <v>1523</v>
      </c>
      <c r="F340" s="87" t="n">
        <v>1403</v>
      </c>
      <c r="G340" s="88" t="n">
        <v>0.9212081418253447</v>
      </c>
      <c r="H340" s="87" t="n">
        <v>517</v>
      </c>
      <c r="I340" s="89" t="n">
        <v>0.3394615889691399</v>
      </c>
      <c r="J340" s="87" t="n">
        <v>1642</v>
      </c>
      <c r="K340" s="87" t="n">
        <v>1601</v>
      </c>
      <c r="L340" s="88" t="n">
        <v>0.975</v>
      </c>
      <c r="M340" s="87" t="n">
        <v>6883</v>
      </c>
      <c r="N340" s="87" t="n">
        <v>6861</v>
      </c>
      <c r="O340" s="87" t="n">
        <v>6734</v>
      </c>
      <c r="P340" s="88" t="n">
        <v>0.9783524625889873</v>
      </c>
      <c r="Q340" s="87" t="n">
        <v>64</v>
      </c>
      <c r="R340" s="87" t="n">
        <v>0</v>
      </c>
      <c r="S340" s="87" t="n">
        <v>0</v>
      </c>
      <c r="T340" s="88" t="n">
        <v>0</v>
      </c>
      <c r="U340" s="87" t="n">
        <v>0</v>
      </c>
      <c r="V340" s="88" t="n">
        <v>0</v>
      </c>
      <c r="W340" s="87" t="n">
        <v>127</v>
      </c>
      <c r="X340" s="88" t="n">
        <v>0.08338804990151018</v>
      </c>
      <c r="Y340" s="87" t="n">
        <v>834</v>
      </c>
      <c r="Z340" s="90" t="n">
        <v>0.5476034143138543</v>
      </c>
      <c r="AA340" s="87" t="n">
        <v>109</v>
      </c>
      <c r="AB340" s="88" t="n">
        <v>0.07156927117531188</v>
      </c>
      <c r="AC340" s="87" t="n">
        <v>119</v>
      </c>
      <c r="AD340" s="88" t="n">
        <v>0.07813525935653316</v>
      </c>
      <c r="AE340" s="87" t="n">
        <v>16</v>
      </c>
      <c r="AF340" s="88" t="n">
        <v>0.134453781512605</v>
      </c>
      <c r="AG340" s="87" t="n">
        <v>74</v>
      </c>
      <c r="AH340" s="88" t="n">
        <v>0.6218487394957983</v>
      </c>
      <c r="AI340" s="91" t="n">
        <v>71</v>
      </c>
      <c r="AJ340" s="88" t="n">
        <v>0.04661851608667104</v>
      </c>
      <c r="AK340" s="91" t="n">
        <v>3</v>
      </c>
      <c r="AL340" s="88" t="n">
        <v>0.8873239436619719</v>
      </c>
      <c r="AM340" s="91" t="n">
        <v>69</v>
      </c>
      <c r="AN340" s="91" t="n">
        <v>63</v>
      </c>
      <c r="AO340" s="88" t="n">
        <v>0.04136572554169402</v>
      </c>
      <c r="AP340" s="88" t="n">
        <v>0.5294117647058824</v>
      </c>
      <c r="AQ340" s="89" t="n">
        <v>0.9821428571428571</v>
      </c>
      <c r="AR340" s="89" t="n">
        <v>0.671875</v>
      </c>
      <c r="AS340" s="89" t="n">
        <v>0.71875</v>
      </c>
      <c r="AT340" s="91" t="n">
        <v>0</v>
      </c>
      <c r="AU340" s="91" t="n">
        <v>0</v>
      </c>
      <c r="AV340" s="91" t="n">
        <v>66</v>
      </c>
      <c r="AW340" s="91" t="n">
        <v>61</v>
      </c>
      <c r="AX340" s="91" t="n">
        <v>64</v>
      </c>
      <c r="AY340" s="91" t="n">
        <v>21</v>
      </c>
      <c r="AZ340" s="88" t="n">
        <v>0.04005252790544977</v>
      </c>
      <c r="BA340" s="88" t="n">
        <v>0.04202232435981615</v>
      </c>
      <c r="BB340" s="88" t="n">
        <v>0.01378857518056468</v>
      </c>
      <c r="BC340" s="88" t="n">
        <v>1.015873015873016</v>
      </c>
      <c r="BD340" s="91" t="n">
        <v>0</v>
      </c>
      <c r="BE340" s="91" t="n">
        <v>0</v>
      </c>
      <c r="BF340" s="89" t="n">
        <v>0.9696969696969697</v>
      </c>
      <c r="BG340" s="89" t="n">
        <v>1</v>
      </c>
      <c r="BH340" s="89" t="inlineStr">
        <is>
          <t>-</t>
        </is>
      </c>
    </row>
    <row r="341" ht="19.55" customHeight="1">
      <c r="A341" s="92" t="n">
        <v>338</v>
      </c>
      <c r="B341" s="87" t="inlineStr">
        <is>
          <t>全国</t>
        </is>
      </c>
      <c r="C341" s="93" t="n">
        <v>46288</v>
      </c>
      <c r="D341" s="87" t="inlineStr">
        <is>
          <t>N7</t>
        </is>
      </c>
      <c r="E341" s="87" t="n">
        <v>3445</v>
      </c>
      <c r="F341" s="87" t="n">
        <v>3123</v>
      </c>
      <c r="G341" s="88" t="n">
        <v>0.9065312046444122</v>
      </c>
      <c r="H341" s="87" t="n">
        <v>1896</v>
      </c>
      <c r="I341" s="89" t="n">
        <v>0.5503628447024673</v>
      </c>
      <c r="J341" s="87" t="n">
        <v>4677</v>
      </c>
      <c r="K341" s="87" t="n">
        <v>4577</v>
      </c>
      <c r="L341" s="88" t="n">
        <v>0.979</v>
      </c>
      <c r="M341" s="87" t="n">
        <v>13457</v>
      </c>
      <c r="N341" s="87" t="n">
        <v>13624</v>
      </c>
      <c r="O341" s="87" t="n">
        <v>13193</v>
      </c>
      <c r="P341" s="88" t="n">
        <v>0.9803819573456194</v>
      </c>
      <c r="Q341" s="87" t="n">
        <v>128</v>
      </c>
      <c r="R341" s="87" t="n">
        <v>0</v>
      </c>
      <c r="S341" s="87" t="n">
        <v>0</v>
      </c>
      <c r="T341" s="88" t="n">
        <v>0</v>
      </c>
      <c r="U341" s="87" t="n">
        <v>0</v>
      </c>
      <c r="V341" s="88" t="n">
        <v>0</v>
      </c>
      <c r="W341" s="87" t="n">
        <v>248</v>
      </c>
      <c r="X341" s="88" t="n">
        <v>0.07198838896952105</v>
      </c>
      <c r="Y341" s="87" t="n">
        <v>2542</v>
      </c>
      <c r="Z341" s="90" t="n">
        <v>0.7378809869375907</v>
      </c>
      <c r="AA341" s="87" t="n">
        <v>76</v>
      </c>
      <c r="AB341" s="88" t="n">
        <v>0.02206095791001451</v>
      </c>
      <c r="AC341" s="87" t="n">
        <v>115</v>
      </c>
      <c r="AD341" s="88" t="n">
        <v>0.03338171262699564</v>
      </c>
      <c r="AE341" s="87" t="n">
        <v>46</v>
      </c>
      <c r="AF341" s="88" t="n">
        <v>0.4</v>
      </c>
      <c r="AG341" s="87" t="n">
        <v>80</v>
      </c>
      <c r="AH341" s="88" t="n">
        <v>0.6956521739130435</v>
      </c>
      <c r="AI341" s="91" t="n">
        <v>97</v>
      </c>
      <c r="AJ341" s="88" t="n">
        <v>0.02815674891146589</v>
      </c>
      <c r="AK341" s="91" t="n">
        <v>4</v>
      </c>
      <c r="AL341" s="88" t="n">
        <v>0.6494845360824743</v>
      </c>
      <c r="AM341" s="91" t="n">
        <v>84</v>
      </c>
      <c r="AN341" s="91" t="n">
        <v>63</v>
      </c>
      <c r="AO341" s="88" t="n">
        <v>0.01828737300435414</v>
      </c>
      <c r="AP341" s="88" t="n">
        <v>0.5478260869565217</v>
      </c>
      <c r="AQ341" s="89" t="n">
        <v>1</v>
      </c>
      <c r="AR341" s="89" t="n">
        <v>0.651685393258427</v>
      </c>
      <c r="AS341" s="89" t="n">
        <v>0.6741573033707865</v>
      </c>
      <c r="AT341" s="91" t="n">
        <v>0</v>
      </c>
      <c r="AU341" s="91" t="n">
        <v>0</v>
      </c>
      <c r="AV341" s="91" t="n">
        <v>74</v>
      </c>
      <c r="AW341" s="91" t="n">
        <v>63</v>
      </c>
      <c r="AX341" s="91" t="n">
        <v>60</v>
      </c>
      <c r="AY341" s="91" t="n">
        <v>32</v>
      </c>
      <c r="AZ341" s="88" t="n">
        <v>0.01828737300435414</v>
      </c>
      <c r="BA341" s="88" t="n">
        <v>0.01741654571843251</v>
      </c>
      <c r="BB341" s="88" t="n">
        <v>0.009288824383164005</v>
      </c>
      <c r="BC341" s="88" t="n">
        <v>0.9523809523809523</v>
      </c>
      <c r="BD341" s="91" t="n">
        <v>0</v>
      </c>
      <c r="BE341" s="91" t="n">
        <v>0</v>
      </c>
      <c r="BF341" s="89" t="n">
        <v>0.9565217391304348</v>
      </c>
      <c r="BG341" s="89" t="n">
        <v>1</v>
      </c>
      <c r="BH341" s="89" t="inlineStr">
        <is>
          <t>-</t>
        </is>
      </c>
    </row>
    <row r="342" ht="19.55" customHeight="1">
      <c r="A342" s="92" t="n">
        <v>339</v>
      </c>
      <c r="B342" s="87" t="inlineStr">
        <is>
          <t>全国</t>
        </is>
      </c>
      <c r="C342" s="93" t="n">
        <v>46288</v>
      </c>
      <c r="D342" s="87" t="inlineStr">
        <is>
          <t>NX8</t>
        </is>
      </c>
      <c r="E342" s="87" t="n">
        <v>5123</v>
      </c>
      <c r="F342" s="87" t="n">
        <v>4860</v>
      </c>
      <c r="G342" s="88" t="n">
        <v>0.9486628928362287</v>
      </c>
      <c r="H342" s="87" t="n">
        <v>1603</v>
      </c>
      <c r="I342" s="89" t="n">
        <v>0.3129025961350771</v>
      </c>
      <c r="J342" s="87" t="n">
        <v>4756</v>
      </c>
      <c r="K342" s="87" t="n">
        <v>4585</v>
      </c>
      <c r="L342" s="88" t="n">
        <v>0.964</v>
      </c>
      <c r="M342" s="87" t="n">
        <v>21321</v>
      </c>
      <c r="N342" s="87" t="n">
        <v>20470</v>
      </c>
      <c r="O342" s="87" t="n">
        <v>20763</v>
      </c>
      <c r="P342" s="88" t="n">
        <v>0.9738286196707472</v>
      </c>
      <c r="Q342" s="87" t="n">
        <v>351</v>
      </c>
      <c r="R342" s="87" t="n">
        <v>0</v>
      </c>
      <c r="S342" s="87" t="n">
        <v>0</v>
      </c>
      <c r="T342" s="88" t="n">
        <v>0</v>
      </c>
      <c r="U342" s="87" t="n">
        <v>0</v>
      </c>
      <c r="V342" s="88" t="n">
        <v>0</v>
      </c>
      <c r="W342" s="87" t="n">
        <v>380</v>
      </c>
      <c r="X342" s="88" t="n">
        <v>0.07417528791723599</v>
      </c>
      <c r="Y342" s="87" t="n">
        <v>2379</v>
      </c>
      <c r="Z342" s="90" t="n">
        <v>0.4643763419871169</v>
      </c>
      <c r="AA342" s="87" t="n">
        <v>159</v>
      </c>
      <c r="AB342" s="88" t="n">
        <v>0.03103650204958032</v>
      </c>
      <c r="AC342" s="87" t="n">
        <v>293</v>
      </c>
      <c r="AD342" s="88" t="n">
        <v>0.05719305094671091</v>
      </c>
      <c r="AE342" s="87" t="n">
        <v>69</v>
      </c>
      <c r="AF342" s="88" t="n">
        <v>0.2354948805460751</v>
      </c>
      <c r="AG342" s="87" t="n">
        <v>199</v>
      </c>
      <c r="AH342" s="88" t="n">
        <v>0.6791808873720137</v>
      </c>
      <c r="AI342" s="91" t="n">
        <v>243</v>
      </c>
      <c r="AJ342" s="88" t="n">
        <v>0.04743314464181144</v>
      </c>
      <c r="AK342" s="91" t="n">
        <v>9</v>
      </c>
      <c r="AL342" s="88" t="n">
        <v>0.823045267489712</v>
      </c>
      <c r="AM342" s="91" t="n">
        <v>231</v>
      </c>
      <c r="AN342" s="91" t="n">
        <v>200</v>
      </c>
      <c r="AO342" s="88" t="n">
        <v>0.03903962521959789</v>
      </c>
      <c r="AP342" s="88" t="n">
        <v>0.6825938566552902</v>
      </c>
      <c r="AQ342" s="89" t="n">
        <v>0.9924242424242424</v>
      </c>
      <c r="AR342" s="89" t="n">
        <v>0.6719367588932806</v>
      </c>
      <c r="AS342" s="89" t="n">
        <v>0.616600790513834</v>
      </c>
      <c r="AT342" s="91" t="n">
        <v>0</v>
      </c>
      <c r="AU342" s="91" t="n">
        <v>0</v>
      </c>
      <c r="AV342" s="91" t="n">
        <v>79</v>
      </c>
      <c r="AW342" s="91" t="n">
        <v>72</v>
      </c>
      <c r="AX342" s="91" t="n">
        <v>75</v>
      </c>
      <c r="AY342" s="91" t="n">
        <v>81</v>
      </c>
      <c r="AZ342" s="88" t="n">
        <v>0.01405426507905524</v>
      </c>
      <c r="BA342" s="88" t="n">
        <v>0.01463985945734921</v>
      </c>
      <c r="BB342" s="88" t="n">
        <v>0.01581104821393715</v>
      </c>
      <c r="BC342" s="88" t="n">
        <v>0.375</v>
      </c>
      <c r="BD342" s="91" t="n">
        <v>0</v>
      </c>
      <c r="BE342" s="91" t="n">
        <v>0</v>
      </c>
      <c r="BF342" s="89" t="n">
        <v>0.9821428571428571</v>
      </c>
      <c r="BG342" s="89" t="n">
        <v>1</v>
      </c>
      <c r="BH342" s="89" t="inlineStr">
        <is>
          <t>-</t>
        </is>
      </c>
    </row>
    <row r="343" ht="19.55" customHeight="1">
      <c r="A343" s="92" t="n">
        <v>340</v>
      </c>
      <c r="B343" s="87" t="inlineStr">
        <is>
          <t>全国</t>
        </is>
      </c>
      <c r="C343" s="93" t="n">
        <v>46288</v>
      </c>
      <c r="D343" s="87" t="inlineStr">
        <is>
          <t>天籁·鸿蒙座舱</t>
        </is>
      </c>
      <c r="E343" s="87" t="n">
        <v>3381</v>
      </c>
      <c r="F343" s="87" t="n">
        <v>3215</v>
      </c>
      <c r="G343" s="88" t="n">
        <v>0.950902099970423</v>
      </c>
      <c r="H343" s="87" t="n">
        <v>1554</v>
      </c>
      <c r="I343" s="89" t="n">
        <v>0.4596273291925466</v>
      </c>
      <c r="J343" s="87" t="n">
        <v>4070</v>
      </c>
      <c r="K343" s="87" t="n">
        <v>3991</v>
      </c>
      <c r="L343" s="88" t="n">
        <v>0.981</v>
      </c>
      <c r="M343" s="87" t="n">
        <v>20799</v>
      </c>
      <c r="N343" s="87" t="n">
        <v>19922</v>
      </c>
      <c r="O343" s="87" t="n">
        <v>20440</v>
      </c>
      <c r="P343" s="88" t="n">
        <v>0.9827395547862878</v>
      </c>
      <c r="Q343" s="87" t="n">
        <v>225</v>
      </c>
      <c r="R343" s="87" t="n">
        <v>0</v>
      </c>
      <c r="S343" s="87" t="n">
        <v>0</v>
      </c>
      <c r="T343" s="88" t="n">
        <v>0</v>
      </c>
      <c r="U343" s="87" t="n">
        <v>0</v>
      </c>
      <c r="V343" s="88" t="n">
        <v>0</v>
      </c>
      <c r="W343" s="87" t="n">
        <v>292</v>
      </c>
      <c r="X343" s="88" t="n">
        <v>0.08636498077491866</v>
      </c>
      <c r="Y343" s="87" t="n">
        <v>2018</v>
      </c>
      <c r="Z343" s="90" t="n">
        <v>0.5968648328896776</v>
      </c>
      <c r="AA343" s="87" t="n">
        <v>156</v>
      </c>
      <c r="AB343" s="88" t="n">
        <v>0.04614019520851819</v>
      </c>
      <c r="AC343" s="87" t="n">
        <v>168</v>
      </c>
      <c r="AD343" s="88" t="n">
        <v>0.04968944099378882</v>
      </c>
      <c r="AE343" s="87" t="n">
        <v>18</v>
      </c>
      <c r="AF343" s="88" t="n">
        <v>0.1071428571428571</v>
      </c>
      <c r="AG343" s="87" t="n">
        <v>114</v>
      </c>
      <c r="AH343" s="88" t="n">
        <v>0.6785714285714286</v>
      </c>
      <c r="AI343" s="91" t="n">
        <v>122</v>
      </c>
      <c r="AJ343" s="88" t="n">
        <v>0.03608399881691807</v>
      </c>
      <c r="AK343" s="91" t="n">
        <v>2</v>
      </c>
      <c r="AL343" s="88" t="n">
        <v>0.8934426229508197</v>
      </c>
      <c r="AM343" s="91" t="n">
        <v>120</v>
      </c>
      <c r="AN343" s="91" t="n">
        <v>109</v>
      </c>
      <c r="AO343" s="88" t="n">
        <v>0.03223898254954156</v>
      </c>
      <c r="AP343" s="88" t="n">
        <v>0.6488095238095238</v>
      </c>
      <c r="AQ343" s="89" t="n">
        <v>0.9669421487603306</v>
      </c>
      <c r="AR343" s="89" t="n">
        <v>0.5982142857142857</v>
      </c>
      <c r="AS343" s="89" t="n">
        <v>0.5357142857142857</v>
      </c>
      <c r="AT343" s="91" t="n">
        <v>0</v>
      </c>
      <c r="AU343" s="91" t="n">
        <v>0</v>
      </c>
      <c r="AV343" s="91" t="n">
        <v>42</v>
      </c>
      <c r="AW343" s="91" t="n">
        <v>36</v>
      </c>
      <c r="AX343" s="91" t="n">
        <v>38</v>
      </c>
      <c r="AY343" s="91" t="n">
        <v>52</v>
      </c>
      <c r="AZ343" s="88" t="n">
        <v>0.01064773735581189</v>
      </c>
      <c r="BA343" s="88" t="n">
        <v>0.01123927832002366</v>
      </c>
      <c r="BB343" s="88" t="n">
        <v>0.01538006506950606</v>
      </c>
      <c r="BC343" s="88" t="n">
        <v>0.3486238532110092</v>
      </c>
      <c r="BD343" s="91" t="n">
        <v>0</v>
      </c>
      <c r="BE343" s="91" t="n">
        <v>0</v>
      </c>
      <c r="BF343" s="89" t="n">
        <v>1</v>
      </c>
      <c r="BG343" s="89" t="n">
        <v>1</v>
      </c>
      <c r="BH343" s="89" t="inlineStr">
        <is>
          <t>-</t>
        </is>
      </c>
    </row>
    <row r="344" ht="19.55" customHeight="1">
      <c r="A344" s="92" t="n">
        <v>341</v>
      </c>
      <c r="B344" s="87" t="inlineStr">
        <is>
          <t>全国</t>
        </is>
      </c>
      <c r="C344" s="93" t="n">
        <v>46288</v>
      </c>
      <c r="D344" s="87" t="inlineStr">
        <is>
          <t>探陆</t>
        </is>
      </c>
      <c r="E344" s="87" t="n">
        <v>0</v>
      </c>
      <c r="F344" s="87" t="n">
        <v>0</v>
      </c>
      <c r="G344" s="88" t="n">
        <v>0</v>
      </c>
      <c r="H344" s="87" t="n">
        <v>0</v>
      </c>
      <c r="I344" s="89" t="n">
        <v>0</v>
      </c>
      <c r="J344" s="87" t="n">
        <v>0</v>
      </c>
      <c r="K344" s="87" t="n">
        <v>0</v>
      </c>
      <c r="L344" s="88" t="n">
        <v>0</v>
      </c>
      <c r="M344" s="87" t="n">
        <v>0</v>
      </c>
      <c r="N344" s="87" t="n">
        <v>0</v>
      </c>
      <c r="O344" s="87" t="n">
        <v>0</v>
      </c>
      <c r="P344" s="88" t="n">
        <v>0</v>
      </c>
      <c r="Q344" s="87" t="n">
        <v>0</v>
      </c>
      <c r="R344" s="87" t="n">
        <v>0</v>
      </c>
      <c r="S344" s="87" t="n">
        <v>0</v>
      </c>
      <c r="T344" s="88" t="n">
        <v>0</v>
      </c>
      <c r="U344" s="87" t="n">
        <v>0</v>
      </c>
      <c r="V344" s="88" t="n">
        <v>0</v>
      </c>
      <c r="W344" s="87" t="n">
        <v>0</v>
      </c>
      <c r="X344" s="88" t="n">
        <v>0</v>
      </c>
      <c r="Y344" s="87" t="n">
        <v>0</v>
      </c>
      <c r="Z344" s="90" t="n">
        <v>0</v>
      </c>
      <c r="AA344" s="87" t="n">
        <v>0</v>
      </c>
      <c r="AB344" s="88" t="n">
        <v>0</v>
      </c>
      <c r="AC344" s="87" t="n">
        <v>0</v>
      </c>
      <c r="AD344" s="88" t="n">
        <v>0</v>
      </c>
      <c r="AE344" s="87" t="n">
        <v>0</v>
      </c>
      <c r="AF344" s="88" t="n">
        <v>0</v>
      </c>
      <c r="AG344" s="87" t="n">
        <v>0</v>
      </c>
      <c r="AH344" s="88" t="n">
        <v>0</v>
      </c>
      <c r="AI344" s="91" t="n">
        <v>1</v>
      </c>
      <c r="AJ344" s="88" t="n">
        <v>0</v>
      </c>
      <c r="AK344" s="91" t="n">
        <v>0</v>
      </c>
      <c r="AL344" s="88" t="n">
        <v>1</v>
      </c>
      <c r="AM344" s="91" t="n">
        <v>1</v>
      </c>
      <c r="AN344" s="91" t="n">
        <v>1</v>
      </c>
      <c r="AO344" s="88" t="n">
        <v>0</v>
      </c>
      <c r="AP344" s="88" t="n">
        <v>0</v>
      </c>
      <c r="AQ344" s="89" t="n"/>
      <c r="AR344" s="89" t="inlineStr">
        <is>
          <t>0.0%</t>
        </is>
      </c>
      <c r="AS344" s="89" t="inlineStr">
        <is>
          <t>0.0%</t>
        </is>
      </c>
      <c r="AT344" s="91" t="n">
        <v>0</v>
      </c>
      <c r="AU344" s="91" t="n">
        <v>0</v>
      </c>
      <c r="AV344" s="91" t="n">
        <v>0</v>
      </c>
      <c r="AW344" s="91" t="n">
        <v>0</v>
      </c>
      <c r="AX344" s="91" t="n">
        <v>0</v>
      </c>
      <c r="AY344" s="91" t="n">
        <v>0</v>
      </c>
      <c r="AZ344" s="88" t="n">
        <v>0</v>
      </c>
      <c r="BA344" s="88" t="n">
        <v>0</v>
      </c>
      <c r="BB344" s="88" t="n">
        <v>0</v>
      </c>
      <c r="BC344" s="88" t="n">
        <v>0</v>
      </c>
      <c r="BD344" s="91" t="n">
        <v>0</v>
      </c>
      <c r="BE344" s="91" t="n">
        <v>0</v>
      </c>
      <c r="BF344" s="89" t="inlineStr">
        <is>
          <t>-</t>
        </is>
      </c>
      <c r="BG344" s="89" t="inlineStr">
        <is>
          <t>-</t>
        </is>
      </c>
      <c r="BH344" s="89" t="inlineStr">
        <is>
          <t>-</t>
        </is>
      </c>
    </row>
    <row r="345" ht="19.55" customHeight="1">
      <c r="A345" s="92" t="n">
        <v>342</v>
      </c>
      <c r="B345" s="87" t="inlineStr">
        <is>
          <t>全国</t>
        </is>
      </c>
      <c r="C345" s="93" t="n">
        <v>46289</v>
      </c>
      <c r="D345" s="87" t="n"/>
      <c r="E345" s="87" t="n">
        <v>43</v>
      </c>
      <c r="F345" s="87" t="n">
        <v>43</v>
      </c>
      <c r="G345" s="88" t="n">
        <v>1</v>
      </c>
      <c r="H345" s="87" t="n">
        <v>43</v>
      </c>
      <c r="I345" s="89" t="n">
        <v>1</v>
      </c>
      <c r="J345" s="87" t="n">
        <v>2</v>
      </c>
      <c r="K345" s="87" t="n">
        <v>0</v>
      </c>
      <c r="L345" s="88" t="n">
        <v>0</v>
      </c>
      <c r="M345" s="87" t="n">
        <v>7</v>
      </c>
      <c r="N345" s="87" t="n">
        <v>1</v>
      </c>
      <c r="O345" s="87" t="n">
        <v>1</v>
      </c>
      <c r="P345" s="88" t="n">
        <v>0.1428571428571428</v>
      </c>
      <c r="Q345" s="87" t="n">
        <v>6</v>
      </c>
      <c r="R345" s="87" t="n">
        <v>5352</v>
      </c>
      <c r="S345" s="87" t="n">
        <v>1031</v>
      </c>
      <c r="T345" s="88" t="n">
        <v>0.1926382660687593</v>
      </c>
      <c r="U345" s="87" t="n">
        <v>5295</v>
      </c>
      <c r="V345" s="88" t="n">
        <v>0.9893497757847534</v>
      </c>
      <c r="W345" s="87" t="n">
        <v>4</v>
      </c>
      <c r="X345" s="88" t="n">
        <v>0.09302325581395349</v>
      </c>
      <c r="Y345" s="87" t="n">
        <v>14</v>
      </c>
      <c r="Z345" s="90" t="n">
        <v>0.3255813953488372</v>
      </c>
      <c r="AA345" s="87" t="n">
        <v>0</v>
      </c>
      <c r="AB345" s="88" t="n">
        <v>0</v>
      </c>
      <c r="AC345" s="87" t="n">
        <v>0</v>
      </c>
      <c r="AD345" s="88" t="n">
        <v>0</v>
      </c>
      <c r="AE345" s="87" t="n">
        <v>0</v>
      </c>
      <c r="AF345" s="88" t="n">
        <v>0</v>
      </c>
      <c r="AG345" s="87" t="n">
        <v>0</v>
      </c>
      <c r="AH345" s="88" t="n">
        <v>0</v>
      </c>
      <c r="AI345" s="91" t="n">
        <v>0</v>
      </c>
      <c r="AJ345" s="88" t="n">
        <v>0</v>
      </c>
      <c r="AK345" s="91" t="n">
        <v>0</v>
      </c>
      <c r="AL345" s="88" t="n">
        <v>0</v>
      </c>
      <c r="AM345" s="91" t="n">
        <v>0</v>
      </c>
      <c r="AN345" s="91" t="n">
        <v>0</v>
      </c>
      <c r="AO345" s="88" t="n">
        <v>0</v>
      </c>
      <c r="AP345" s="88" t="n">
        <v>0</v>
      </c>
      <c r="AQ345" s="89" t="n">
        <v>0</v>
      </c>
      <c r="AR345" s="89" t="n">
        <v>0</v>
      </c>
      <c r="AS345" s="89" t="n">
        <v>0.04347826086956522</v>
      </c>
      <c r="AT345" s="91" t="n">
        <v>0</v>
      </c>
      <c r="AU345" s="91" t="n">
        <v>0</v>
      </c>
      <c r="AV345" s="91" t="n">
        <v>0</v>
      </c>
      <c r="AW345" s="91" t="n">
        <v>0</v>
      </c>
      <c r="AX345" s="91" t="n">
        <v>0</v>
      </c>
      <c r="AY345" s="91" t="n">
        <v>0</v>
      </c>
      <c r="AZ345" s="88" t="n">
        <v>0</v>
      </c>
      <c r="BA345" s="88" t="n">
        <v>0</v>
      </c>
      <c r="BB345" s="88" t="n">
        <v>0</v>
      </c>
      <c r="BC345" s="88" t="n">
        <v>0</v>
      </c>
      <c r="BD345" s="91" t="n">
        <v>0</v>
      </c>
      <c r="BE345" s="91" t="n">
        <v>0</v>
      </c>
      <c r="BF345" s="89" t="inlineStr">
        <is>
          <t>-</t>
        </is>
      </c>
      <c r="BG345" s="89" t="inlineStr">
        <is>
          <t>-</t>
        </is>
      </c>
      <c r="BH345" s="89" t="n">
        <v>0.9876543209876543</v>
      </c>
    </row>
    <row r="346" ht="19.55" customHeight="1">
      <c r="A346" s="92" t="n">
        <v>343</v>
      </c>
      <c r="B346" s="87" t="inlineStr">
        <is>
          <t>全国</t>
        </is>
      </c>
      <c r="C346" s="93" t="n">
        <v>46289</v>
      </c>
      <c r="D346" s="87" t="inlineStr">
        <is>
          <t>2026款探陆</t>
        </is>
      </c>
      <c r="E346" s="87" t="n">
        <v>53</v>
      </c>
      <c r="F346" s="87" t="n">
        <v>52</v>
      </c>
      <c r="G346" s="88" t="n">
        <v>0.9811320754716981</v>
      </c>
      <c r="H346" s="87" t="n">
        <v>41</v>
      </c>
      <c r="I346" s="89" t="n">
        <v>0.7735849056603774</v>
      </c>
      <c r="J346" s="87" t="n">
        <v>115</v>
      </c>
      <c r="K346" s="87" t="n">
        <v>63</v>
      </c>
      <c r="L346" s="88" t="n">
        <v>0.548</v>
      </c>
      <c r="M346" s="87" t="n">
        <v>538</v>
      </c>
      <c r="N346" s="87" t="n">
        <v>476</v>
      </c>
      <c r="O346" s="87" t="n">
        <v>426</v>
      </c>
      <c r="P346" s="88" t="n">
        <v>0.79182156133829</v>
      </c>
      <c r="Q346" s="87" t="n">
        <v>95</v>
      </c>
      <c r="R346" s="87" t="n">
        <v>6938</v>
      </c>
      <c r="S346" s="87" t="n">
        <v>2700</v>
      </c>
      <c r="T346" s="88" t="n">
        <v>0.3891611415393485</v>
      </c>
      <c r="U346" s="87" t="n">
        <v>124</v>
      </c>
      <c r="V346" s="88" t="n">
        <v>0.01787258575958489</v>
      </c>
      <c r="W346" s="87" t="n">
        <v>0</v>
      </c>
      <c r="X346" s="88" t="n">
        <v>0</v>
      </c>
      <c r="Y346" s="87" t="n">
        <v>48</v>
      </c>
      <c r="Z346" s="90" t="n">
        <v>0.9056603773584906</v>
      </c>
      <c r="AA346" s="87" t="n">
        <v>123</v>
      </c>
      <c r="AB346" s="88" t="n">
        <v>2.320754716981132</v>
      </c>
      <c r="AC346" s="87" t="n">
        <v>1</v>
      </c>
      <c r="AD346" s="88" t="n">
        <v>0.01886792452830189</v>
      </c>
      <c r="AE346" s="87" t="n">
        <v>0</v>
      </c>
      <c r="AF346" s="88" t="n">
        <v>0</v>
      </c>
      <c r="AG346" s="87" t="n">
        <v>1</v>
      </c>
      <c r="AH346" s="88" t="n">
        <v>1</v>
      </c>
      <c r="AI346" s="91" t="n">
        <v>0</v>
      </c>
      <c r="AJ346" s="88" t="n">
        <v>0</v>
      </c>
      <c r="AK346" s="91" t="n">
        <v>0</v>
      </c>
      <c r="AL346" s="88" t="n">
        <v>0</v>
      </c>
      <c r="AM346" s="91" t="n">
        <v>0</v>
      </c>
      <c r="AN346" s="91" t="n">
        <v>0</v>
      </c>
      <c r="AO346" s="88" t="n">
        <v>0</v>
      </c>
      <c r="AP346" s="88" t="n">
        <v>0</v>
      </c>
      <c r="AQ346" s="89" t="n">
        <v>1</v>
      </c>
      <c r="AR346" s="89" t="inlineStr">
        <is>
          <t>0.0%</t>
        </is>
      </c>
      <c r="AS346" s="89" t="inlineStr">
        <is>
          <t>0.0%</t>
        </is>
      </c>
      <c r="AT346" s="91" t="n">
        <v>0</v>
      </c>
      <c r="AU346" s="91" t="n">
        <v>0</v>
      </c>
      <c r="AV346" s="91" t="n">
        <v>2</v>
      </c>
      <c r="AW346" s="91" t="n">
        <v>2</v>
      </c>
      <c r="AX346" s="91" t="n">
        <v>2</v>
      </c>
      <c r="AY346" s="91" t="n">
        <v>6</v>
      </c>
      <c r="AZ346" s="88" t="n">
        <v>0.03773584905660377</v>
      </c>
      <c r="BA346" s="88" t="n">
        <v>0.03773584905660377</v>
      </c>
      <c r="BB346" s="88" t="n">
        <v>0.1132075471698113</v>
      </c>
      <c r="BC346" s="88" t="n">
        <v>0</v>
      </c>
      <c r="BD346" s="91" t="n">
        <v>0</v>
      </c>
      <c r="BE346" s="91" t="n">
        <v>0</v>
      </c>
      <c r="BF346" s="89" t="inlineStr">
        <is>
          <t>-</t>
        </is>
      </c>
      <c r="BG346" s="89" t="inlineStr">
        <is>
          <t>-</t>
        </is>
      </c>
      <c r="BH346" s="89" t="inlineStr">
        <is>
          <t>-</t>
        </is>
      </c>
    </row>
    <row r="347" ht="19.55" customHeight="1">
      <c r="A347" s="92" t="n">
        <v>344</v>
      </c>
      <c r="B347" s="87" t="inlineStr">
        <is>
          <t>全国</t>
        </is>
      </c>
      <c r="C347" s="93" t="n">
        <v>46289</v>
      </c>
      <c r="D347" s="87" t="inlineStr">
        <is>
          <t>N6</t>
        </is>
      </c>
      <c r="E347" s="87" t="n">
        <v>1522</v>
      </c>
      <c r="F347" s="87" t="n">
        <v>1461</v>
      </c>
      <c r="G347" s="88" t="n">
        <v>0.9599211563731932</v>
      </c>
      <c r="H347" s="87" t="n">
        <v>452</v>
      </c>
      <c r="I347" s="89" t="n">
        <v>0.2969776609724047</v>
      </c>
      <c r="J347" s="87" t="n">
        <v>1284</v>
      </c>
      <c r="K347" s="87" t="n">
        <v>1234</v>
      </c>
      <c r="L347" s="88" t="n">
        <v>0.961</v>
      </c>
      <c r="M347" s="87" t="n">
        <v>6889</v>
      </c>
      <c r="N347" s="87" t="n">
        <v>6789</v>
      </c>
      <c r="O347" s="87" t="n">
        <v>6750</v>
      </c>
      <c r="P347" s="88" t="n">
        <v>0.9798229060821599</v>
      </c>
      <c r="Q347" s="87" t="n">
        <v>96</v>
      </c>
      <c r="R347" s="87" t="n">
        <v>120505</v>
      </c>
      <c r="S347" s="87" t="n">
        <v>77389</v>
      </c>
      <c r="T347" s="88" t="n">
        <v>0.6422057176050786</v>
      </c>
      <c r="U347" s="87" t="n">
        <v>14696</v>
      </c>
      <c r="V347" s="88" t="n">
        <v>0.1219534459151073</v>
      </c>
      <c r="W347" s="87" t="n">
        <v>152</v>
      </c>
      <c r="X347" s="88" t="n">
        <v>0.09986859395532194</v>
      </c>
      <c r="Y347" s="87" t="n">
        <v>873</v>
      </c>
      <c r="Z347" s="90" t="n">
        <v>0.573587385019711</v>
      </c>
      <c r="AA347" s="87" t="n">
        <v>416</v>
      </c>
      <c r="AB347" s="88" t="n">
        <v>0.2733245729303548</v>
      </c>
      <c r="AC347" s="87" t="n">
        <v>86</v>
      </c>
      <c r="AD347" s="88" t="n">
        <v>0.05650459921156373</v>
      </c>
      <c r="AE347" s="87" t="n">
        <v>21</v>
      </c>
      <c r="AF347" s="88" t="n">
        <v>0.2441860465116279</v>
      </c>
      <c r="AG347" s="87" t="n">
        <v>36</v>
      </c>
      <c r="AH347" s="88" t="n">
        <v>0.4186046511627907</v>
      </c>
      <c r="AI347" s="91" t="n">
        <v>57</v>
      </c>
      <c r="AJ347" s="88" t="n">
        <v>0.03745072273324573</v>
      </c>
      <c r="AK347" s="91" t="n">
        <v>2</v>
      </c>
      <c r="AL347" s="88" t="n">
        <v>0.7192982456140351</v>
      </c>
      <c r="AM347" s="91" t="n">
        <v>53</v>
      </c>
      <c r="AN347" s="91" t="n">
        <v>41</v>
      </c>
      <c r="AO347" s="88" t="n">
        <v>0.02693823915900131</v>
      </c>
      <c r="AP347" s="88" t="n">
        <v>0.4767441860465116</v>
      </c>
      <c r="AQ347" s="89" t="n">
        <v>0.9838709677419355</v>
      </c>
      <c r="AR347" s="89" t="n">
        <v>0.09090909090909091</v>
      </c>
      <c r="AS347" s="89" t="n">
        <v>0.1090909090909091</v>
      </c>
      <c r="AT347" s="91" t="n">
        <v>0</v>
      </c>
      <c r="AU347" s="91" t="n">
        <v>0</v>
      </c>
      <c r="AV347" s="91" t="n">
        <v>37</v>
      </c>
      <c r="AW347" s="91" t="n">
        <v>33</v>
      </c>
      <c r="AX347" s="91" t="n">
        <v>32</v>
      </c>
      <c r="AY347" s="91" t="n">
        <v>31</v>
      </c>
      <c r="AZ347" s="88" t="n">
        <v>0.02168199737187911</v>
      </c>
      <c r="BA347" s="88" t="n">
        <v>0.02102496714848883</v>
      </c>
      <c r="BB347" s="88" t="n">
        <v>0.02036793692509855</v>
      </c>
      <c r="BC347" s="88" t="n">
        <v>0.7804878048780488</v>
      </c>
      <c r="BD347" s="91" t="n">
        <v>0</v>
      </c>
      <c r="BE347" s="91" t="n">
        <v>0</v>
      </c>
      <c r="BF347" s="89" t="n">
        <v>1</v>
      </c>
      <c r="BG347" s="89" t="n">
        <v>1</v>
      </c>
      <c r="BH347" s="89" t="inlineStr">
        <is>
          <t>-</t>
        </is>
      </c>
    </row>
    <row r="348" ht="19.55" customHeight="1">
      <c r="A348" s="92" t="n">
        <v>345</v>
      </c>
      <c r="B348" s="87" t="inlineStr">
        <is>
          <t>全国</t>
        </is>
      </c>
      <c r="C348" s="93" t="n">
        <v>46289</v>
      </c>
      <c r="D348" s="87" t="inlineStr">
        <is>
          <t>N7</t>
        </is>
      </c>
      <c r="E348" s="87" t="n">
        <v>3349</v>
      </c>
      <c r="F348" s="87" t="n">
        <v>3154</v>
      </c>
      <c r="G348" s="88" t="n">
        <v>0.9417736637802329</v>
      </c>
      <c r="H348" s="87" t="n">
        <v>1834</v>
      </c>
      <c r="I348" s="89" t="n">
        <v>0.5476261570618095</v>
      </c>
      <c r="J348" s="87" t="n">
        <v>3462</v>
      </c>
      <c r="K348" s="87" t="n">
        <v>3389</v>
      </c>
      <c r="L348" s="88" t="n">
        <v>0.979</v>
      </c>
      <c r="M348" s="87" t="n">
        <v>12413</v>
      </c>
      <c r="N348" s="87" t="n">
        <v>12842</v>
      </c>
      <c r="O348" s="87" t="n">
        <v>12163</v>
      </c>
      <c r="P348" s="88" t="n">
        <v>0.9798598243776686</v>
      </c>
      <c r="Q348" s="87" t="n">
        <v>146</v>
      </c>
      <c r="R348" s="87" t="n">
        <v>274550</v>
      </c>
      <c r="S348" s="87" t="n">
        <v>157441</v>
      </c>
      <c r="T348" s="88" t="n">
        <v>0.5734511018029503</v>
      </c>
      <c r="U348" s="87" t="n">
        <v>24977</v>
      </c>
      <c r="V348" s="88" t="n">
        <v>0.09097432161719177</v>
      </c>
      <c r="W348" s="87" t="n">
        <v>242</v>
      </c>
      <c r="X348" s="88" t="n">
        <v>0.07226037623171096</v>
      </c>
      <c r="Y348" s="87" t="n">
        <v>2011</v>
      </c>
      <c r="Z348" s="90" t="n">
        <v>0.6004777545535981</v>
      </c>
      <c r="AA348" s="87" t="n">
        <v>780</v>
      </c>
      <c r="AB348" s="88" t="n">
        <v>0.2329053448790684</v>
      </c>
      <c r="AC348" s="87" t="n">
        <v>166</v>
      </c>
      <c r="AD348" s="88" t="n">
        <v>0.04956703493580173</v>
      </c>
      <c r="AE348" s="87" t="n">
        <v>45</v>
      </c>
      <c r="AF348" s="88" t="n">
        <v>0.2710843373493976</v>
      </c>
      <c r="AG348" s="87" t="n">
        <v>92</v>
      </c>
      <c r="AH348" s="88" t="n">
        <v>0.5542168674698795</v>
      </c>
      <c r="AI348" s="91" t="n">
        <v>133</v>
      </c>
      <c r="AJ348" s="88" t="n">
        <v>0.03971334726784115</v>
      </c>
      <c r="AK348" s="91" t="n">
        <v>10</v>
      </c>
      <c r="AL348" s="88" t="n">
        <v>0.7368421052631579</v>
      </c>
      <c r="AM348" s="91" t="n">
        <v>127</v>
      </c>
      <c r="AN348" s="91" t="n">
        <v>98</v>
      </c>
      <c r="AO348" s="88" t="n">
        <v>0.02926246640788295</v>
      </c>
      <c r="AP348" s="88" t="n">
        <v>0.5903614457831325</v>
      </c>
      <c r="AQ348" s="89" t="n">
        <v>1</v>
      </c>
      <c r="AR348" s="89" t="n">
        <v>0.1417910447761194</v>
      </c>
      <c r="AS348" s="89" t="n">
        <v>0.1343283582089552</v>
      </c>
      <c r="AT348" s="91" t="n">
        <v>0</v>
      </c>
      <c r="AU348" s="91" t="n">
        <v>0</v>
      </c>
      <c r="AV348" s="91" t="n">
        <v>49</v>
      </c>
      <c r="AW348" s="91" t="n">
        <v>40</v>
      </c>
      <c r="AX348" s="91" t="n">
        <v>41</v>
      </c>
      <c r="AY348" s="91" t="n">
        <v>28</v>
      </c>
      <c r="AZ348" s="88" t="n">
        <v>0.01194386383995222</v>
      </c>
      <c r="BA348" s="88" t="n">
        <v>0.01224246043595103</v>
      </c>
      <c r="BB348" s="88" t="n">
        <v>0.008360704687966557</v>
      </c>
      <c r="BC348" s="88" t="n">
        <v>0.4183673469387755</v>
      </c>
      <c r="BD348" s="91" t="n">
        <v>0</v>
      </c>
      <c r="BE348" s="91" t="n">
        <v>0</v>
      </c>
      <c r="BF348" s="89" t="n">
        <v>1</v>
      </c>
      <c r="BG348" s="89" t="n">
        <v>1</v>
      </c>
      <c r="BH348" s="89" t="inlineStr">
        <is>
          <t>-</t>
        </is>
      </c>
    </row>
    <row r="349" ht="19.55" customHeight="1">
      <c r="A349" s="92" t="n">
        <v>346</v>
      </c>
      <c r="B349" s="87" t="inlineStr">
        <is>
          <t>全国</t>
        </is>
      </c>
      <c r="C349" s="93" t="n">
        <v>46289</v>
      </c>
      <c r="D349" s="87" t="inlineStr">
        <is>
          <t>NX8</t>
        </is>
      </c>
      <c r="E349" s="87" t="n">
        <v>4658</v>
      </c>
      <c r="F349" s="87" t="n">
        <v>4514</v>
      </c>
      <c r="G349" s="88" t="n">
        <v>0.9690854443967368</v>
      </c>
      <c r="H349" s="87" t="n">
        <v>1250</v>
      </c>
      <c r="I349" s="89" t="n">
        <v>0.2683555173894375</v>
      </c>
      <c r="J349" s="87" t="n">
        <v>3246</v>
      </c>
      <c r="K349" s="87" t="n">
        <v>3115</v>
      </c>
      <c r="L349" s="88" t="n">
        <v>0.96</v>
      </c>
      <c r="M349" s="87" t="n">
        <v>19996</v>
      </c>
      <c r="N349" s="87" t="n">
        <v>19659</v>
      </c>
      <c r="O349" s="87" t="n">
        <v>19420</v>
      </c>
      <c r="P349" s="88" t="n">
        <v>0.9711942388477696</v>
      </c>
      <c r="Q349" s="87" t="n">
        <v>420</v>
      </c>
      <c r="R349" s="87" t="n">
        <v>190677</v>
      </c>
      <c r="S349" s="87" t="n">
        <v>83294</v>
      </c>
      <c r="T349" s="88" t="n">
        <v>0.4368329688425977</v>
      </c>
      <c r="U349" s="87" t="n">
        <v>45795</v>
      </c>
      <c r="V349" s="88" t="n">
        <v>0.2401705501974543</v>
      </c>
      <c r="W349" s="87" t="n">
        <v>425</v>
      </c>
      <c r="X349" s="88" t="n">
        <v>0.09124087591240876</v>
      </c>
      <c r="Y349" s="87" t="n">
        <v>2782</v>
      </c>
      <c r="Z349" s="90" t="n">
        <v>0.5972520395019322</v>
      </c>
      <c r="AA349" s="87" t="n">
        <v>1481</v>
      </c>
      <c r="AB349" s="88" t="n">
        <v>0.3179476170030056</v>
      </c>
      <c r="AC349" s="87" t="n">
        <v>309</v>
      </c>
      <c r="AD349" s="88" t="n">
        <v>0.06633748389866896</v>
      </c>
      <c r="AE349" s="87" t="n">
        <v>48</v>
      </c>
      <c r="AF349" s="88" t="n">
        <v>0.1553398058252427</v>
      </c>
      <c r="AG349" s="87" t="n">
        <v>169</v>
      </c>
      <c r="AH349" s="88" t="n">
        <v>0.5469255663430421</v>
      </c>
      <c r="AI349" s="91" t="n">
        <v>221</v>
      </c>
      <c r="AJ349" s="88" t="n">
        <v>0.04744525547445255</v>
      </c>
      <c r="AK349" s="91" t="n">
        <v>11</v>
      </c>
      <c r="AL349" s="88" t="n">
        <v>0.7239819004524887</v>
      </c>
      <c r="AM349" s="91" t="n">
        <v>208</v>
      </c>
      <c r="AN349" s="91" t="n">
        <v>160</v>
      </c>
      <c r="AO349" s="88" t="n">
        <v>0.034349506225848</v>
      </c>
      <c r="AP349" s="88" t="n">
        <v>0.517799352750809</v>
      </c>
      <c r="AQ349" s="89" t="n">
        <v>0.9788135593220338</v>
      </c>
      <c r="AR349" s="89" t="n">
        <v>0.1273584905660377</v>
      </c>
      <c r="AS349" s="89" t="n">
        <v>0.1556603773584906</v>
      </c>
      <c r="AT349" s="91" t="n">
        <v>0</v>
      </c>
      <c r="AU349" s="91" t="n">
        <v>0</v>
      </c>
      <c r="AV349" s="91" t="n">
        <v>56</v>
      </c>
      <c r="AW349" s="91" t="n">
        <v>44</v>
      </c>
      <c r="AX349" s="91" t="n">
        <v>47</v>
      </c>
      <c r="AY349" s="91" t="n">
        <v>90</v>
      </c>
      <c r="AZ349" s="88" t="n">
        <v>0.009446114212108201</v>
      </c>
      <c r="BA349" s="88" t="n">
        <v>0.01009016745384285</v>
      </c>
      <c r="BB349" s="88" t="n">
        <v>0.0193215972520395</v>
      </c>
      <c r="BC349" s="88" t="n">
        <v>0.29375</v>
      </c>
      <c r="BD349" s="91" t="n">
        <v>0</v>
      </c>
      <c r="BE349" s="91" t="n">
        <v>0</v>
      </c>
      <c r="BF349" s="89" t="n">
        <v>1</v>
      </c>
      <c r="BG349" s="89" t="n">
        <v>1</v>
      </c>
      <c r="BH349" s="89" t="inlineStr">
        <is>
          <t>-</t>
        </is>
      </c>
    </row>
    <row r="350" ht="19.55" customHeight="1">
      <c r="A350" s="92" t="n">
        <v>347</v>
      </c>
      <c r="B350" s="87" t="inlineStr">
        <is>
          <t>全国</t>
        </is>
      </c>
      <c r="C350" s="93" t="n">
        <v>46289</v>
      </c>
      <c r="D350" s="87" t="inlineStr">
        <is>
          <t>天籁·鸿蒙座舱</t>
        </is>
      </c>
      <c r="E350" s="87" t="n">
        <v>3772</v>
      </c>
      <c r="F350" s="87" t="n">
        <v>3606</v>
      </c>
      <c r="G350" s="88" t="n">
        <v>0.9559915164369035</v>
      </c>
      <c r="H350" s="87" t="n">
        <v>1917</v>
      </c>
      <c r="I350" s="89" t="n">
        <v>0.5082184517497349</v>
      </c>
      <c r="J350" s="87" t="n">
        <v>4324</v>
      </c>
      <c r="K350" s="87" t="n">
        <v>4231</v>
      </c>
      <c r="L350" s="88" t="n">
        <v>0.978</v>
      </c>
      <c r="M350" s="87" t="n">
        <v>21514</v>
      </c>
      <c r="N350" s="87" t="n">
        <v>21458</v>
      </c>
      <c r="O350" s="87" t="n">
        <v>21149</v>
      </c>
      <c r="P350" s="88" t="n">
        <v>0.983034303244399</v>
      </c>
      <c r="Q350" s="87" t="n">
        <v>224</v>
      </c>
      <c r="R350" s="87" t="n">
        <v>189354</v>
      </c>
      <c r="S350" s="87" t="n">
        <v>102033</v>
      </c>
      <c r="T350" s="88" t="n">
        <v>0.5388478722392979</v>
      </c>
      <c r="U350" s="87" t="n">
        <v>26509</v>
      </c>
      <c r="V350" s="88" t="n">
        <v>0.1399970425763385</v>
      </c>
      <c r="W350" s="87" t="n">
        <v>327</v>
      </c>
      <c r="X350" s="88" t="n">
        <v>0.08669141039236479</v>
      </c>
      <c r="Y350" s="87" t="n">
        <v>1955</v>
      </c>
      <c r="Z350" s="90" t="n">
        <v>0.5182926829268293</v>
      </c>
      <c r="AA350" s="87" t="n">
        <v>1251</v>
      </c>
      <c r="AB350" s="88" t="n">
        <v>0.3316542948038176</v>
      </c>
      <c r="AC350" s="87" t="n">
        <v>134</v>
      </c>
      <c r="AD350" s="88" t="n">
        <v>0.03552492046659597</v>
      </c>
      <c r="AE350" s="87" t="n">
        <v>27</v>
      </c>
      <c r="AF350" s="88" t="n">
        <v>0.2014925373134328</v>
      </c>
      <c r="AG350" s="87" t="n">
        <v>77</v>
      </c>
      <c r="AH350" s="88" t="n">
        <v>0.5746268656716418</v>
      </c>
      <c r="AI350" s="91" t="n">
        <v>115</v>
      </c>
      <c r="AJ350" s="88" t="n">
        <v>0.03048780487804878</v>
      </c>
      <c r="AK350" s="91" t="n">
        <v>4</v>
      </c>
      <c r="AL350" s="88" t="n">
        <v>0.7826086956521739</v>
      </c>
      <c r="AM350" s="91" t="n">
        <v>105</v>
      </c>
      <c r="AN350" s="91" t="n">
        <v>90</v>
      </c>
      <c r="AO350" s="88" t="n">
        <v>0.02386002120890774</v>
      </c>
      <c r="AP350" s="88" t="n">
        <v>0.6716417910447762</v>
      </c>
      <c r="AQ350" s="89" t="n">
        <v>0.9814814814814815</v>
      </c>
      <c r="AR350" s="89" t="n">
        <v>0.1792452830188679</v>
      </c>
      <c r="AS350" s="89" t="n">
        <v>0.1886792452830189</v>
      </c>
      <c r="AT350" s="91" t="n">
        <v>0</v>
      </c>
      <c r="AU350" s="91" t="n">
        <v>0</v>
      </c>
      <c r="AV350" s="91" t="n">
        <v>58</v>
      </c>
      <c r="AW350" s="91" t="n">
        <v>48</v>
      </c>
      <c r="AX350" s="91" t="n">
        <v>50</v>
      </c>
      <c r="AY350" s="91" t="n">
        <v>83</v>
      </c>
      <c r="AZ350" s="88" t="n">
        <v>0.0127253446447508</v>
      </c>
      <c r="BA350" s="88" t="n">
        <v>0.01325556733828208</v>
      </c>
      <c r="BB350" s="88" t="n">
        <v>0.02200424178154825</v>
      </c>
      <c r="BC350" s="88" t="n">
        <v>0.5555555555555556</v>
      </c>
      <c r="BD350" s="91" t="n">
        <v>0</v>
      </c>
      <c r="BE350" s="91" t="n">
        <v>0</v>
      </c>
      <c r="BF350" s="89" t="n">
        <v>0.9767441860465116</v>
      </c>
      <c r="BG350" s="89" t="n">
        <v>1</v>
      </c>
      <c r="BH350" s="89" t="inlineStr">
        <is>
          <t>-</t>
        </is>
      </c>
    </row>
    <row r="351">
      <c r="A351" s="94" t="n"/>
      <c r="B351" s="29" t="n"/>
      <c r="C351" s="35" t="n"/>
      <c r="D351" s="29" t="n"/>
      <c r="E351" s="29" t="n"/>
      <c r="F351" s="29" t="n"/>
      <c r="G351" s="95" t="n"/>
      <c r="H351" s="29" t="n"/>
      <c r="I351" s="96" t="n"/>
      <c r="J351" s="29" t="n"/>
      <c r="K351" s="29" t="n"/>
      <c r="L351" s="95" t="n"/>
      <c r="M351" s="29" t="n"/>
      <c r="N351" s="29" t="n"/>
      <c r="O351" s="29" t="n"/>
      <c r="P351" s="95" t="n"/>
      <c r="Q351" s="29" t="n"/>
      <c r="R351" s="29" t="n"/>
      <c r="S351" s="29" t="n"/>
      <c r="T351" s="95" t="n"/>
      <c r="U351" s="29" t="n"/>
      <c r="V351" s="95" t="n"/>
      <c r="W351" s="29" t="n"/>
      <c r="X351" s="95" t="n"/>
      <c r="Y351" s="29" t="n"/>
      <c r="Z351" s="97" t="n"/>
      <c r="AA351" s="29" t="n"/>
      <c r="AB351" s="95" t="n"/>
      <c r="AC351" s="29" t="n"/>
      <c r="AD351" s="95" t="n"/>
      <c r="AE351" s="29" t="n"/>
      <c r="AF351" s="95" t="n"/>
      <c r="AG351" s="29" t="n"/>
      <c r="AH351" s="95" t="n"/>
      <c r="AI351" s="33" t="n"/>
      <c r="AJ351" s="95" t="n"/>
      <c r="AK351" s="33" t="n"/>
      <c r="AL351" s="95" t="n"/>
      <c r="AM351" s="33" t="n"/>
      <c r="AN351" s="33" t="n"/>
      <c r="AO351" s="95" t="n"/>
      <c r="AP351" s="95" t="n"/>
      <c r="AQ351" s="96" t="n"/>
      <c r="AR351" s="96" t="n"/>
      <c r="AS351" s="96" t="n"/>
      <c r="AT351" s="33" t="n"/>
      <c r="AU351" s="33" t="n"/>
      <c r="AV351" s="33" t="n"/>
      <c r="AW351" s="33" t="n"/>
      <c r="AX351" s="33" t="n"/>
      <c r="AY351" s="33" t="n"/>
      <c r="AZ351" s="95" t="n"/>
      <c r="BA351" s="95" t="n"/>
      <c r="BB351" s="95" t="n"/>
      <c r="BC351" s="95" t="n"/>
      <c r="BD351" s="33" t="n"/>
      <c r="BE351" s="33" t="n"/>
      <c r="BF351" s="96" t="n"/>
      <c r="BG351" s="96" t="n"/>
      <c r="BH351" s="96" t="n"/>
    </row>
    <row r="352">
      <c r="A352" s="94" t="n"/>
      <c r="B352" s="29" t="n"/>
      <c r="C352" s="35" t="n"/>
      <c r="D352" s="29" t="n"/>
      <c r="E352" s="29" t="n"/>
      <c r="F352" s="29" t="n"/>
      <c r="G352" s="95" t="n"/>
      <c r="H352" s="29" t="n"/>
      <c r="I352" s="96" t="n"/>
      <c r="J352" s="29" t="n"/>
      <c r="K352" s="29" t="n"/>
      <c r="L352" s="95" t="n"/>
      <c r="M352" s="29" t="n"/>
      <c r="N352" s="29" t="n"/>
      <c r="O352" s="29" t="n"/>
      <c r="P352" s="95" t="n"/>
      <c r="Q352" s="29" t="n"/>
      <c r="R352" s="29" t="n"/>
      <c r="S352" s="29" t="n"/>
      <c r="T352" s="95" t="n"/>
      <c r="U352" s="29" t="n"/>
      <c r="V352" s="95" t="n"/>
      <c r="W352" s="29" t="n"/>
      <c r="X352" s="95" t="n"/>
      <c r="Y352" s="29" t="n"/>
      <c r="Z352" s="97" t="n"/>
      <c r="AA352" s="29" t="n"/>
      <c r="AB352" s="95" t="n"/>
      <c r="AC352" s="29" t="n"/>
      <c r="AD352" s="95" t="n"/>
      <c r="AE352" s="29" t="n"/>
      <c r="AF352" s="95" t="n"/>
      <c r="AG352" s="29" t="n"/>
      <c r="AH352" s="95" t="n"/>
      <c r="AI352" s="33" t="n"/>
      <c r="AJ352" s="95" t="n"/>
      <c r="AK352" s="33" t="n"/>
      <c r="AL352" s="95" t="n"/>
      <c r="AM352" s="33" t="n"/>
      <c r="AN352" s="33" t="n"/>
      <c r="AO352" s="95" t="n"/>
      <c r="AP352" s="95" t="n"/>
      <c r="AQ352" s="96" t="n"/>
      <c r="AR352" s="96" t="n"/>
      <c r="AS352" s="96" t="n"/>
      <c r="AT352" s="33" t="n"/>
      <c r="AU352" s="33" t="n"/>
      <c r="AV352" s="33" t="n"/>
      <c r="AW352" s="33" t="n"/>
      <c r="AX352" s="33" t="n"/>
      <c r="AY352" s="33" t="n"/>
      <c r="AZ352" s="95" t="n"/>
      <c r="BA352" s="95" t="n"/>
      <c r="BB352" s="95" t="n"/>
      <c r="BC352" s="95" t="n"/>
      <c r="BD352" s="33" t="n"/>
      <c r="BE352" s="33" t="n"/>
      <c r="BF352" s="96" t="n"/>
      <c r="BG352" s="96" t="n"/>
      <c r="BH352" s="96" t="n"/>
    </row>
    <row r="353">
      <c r="A353" s="94" t="n"/>
      <c r="B353" s="29" t="n"/>
      <c r="C353" s="35" t="n"/>
      <c r="D353" s="29" t="n"/>
      <c r="E353" s="29" t="n"/>
      <c r="F353" s="29" t="n"/>
      <c r="G353" s="95" t="n"/>
      <c r="H353" s="29" t="n"/>
      <c r="I353" s="96" t="n"/>
      <c r="J353" s="29" t="n"/>
      <c r="K353" s="29" t="n"/>
      <c r="L353" s="95" t="n"/>
      <c r="M353" s="29" t="n"/>
      <c r="N353" s="29" t="n"/>
      <c r="O353" s="29" t="n"/>
      <c r="P353" s="95" t="n"/>
      <c r="Q353" s="29" t="n"/>
      <c r="R353" s="29" t="n"/>
      <c r="S353" s="29" t="n"/>
      <c r="T353" s="95" t="n"/>
      <c r="U353" s="29" t="n"/>
      <c r="V353" s="95" t="n"/>
      <c r="W353" s="29" t="n"/>
      <c r="X353" s="95" t="n"/>
      <c r="Y353" s="29" t="n"/>
      <c r="Z353" s="97" t="n"/>
      <c r="AA353" s="29" t="n"/>
      <c r="AB353" s="95" t="n"/>
      <c r="AC353" s="29" t="n"/>
      <c r="AD353" s="95" t="n"/>
      <c r="AE353" s="29" t="n"/>
      <c r="AF353" s="95" t="n"/>
      <c r="AG353" s="29" t="n"/>
      <c r="AH353" s="95" t="n"/>
      <c r="AI353" s="33" t="n"/>
      <c r="AJ353" s="95" t="n"/>
      <c r="AK353" s="33" t="n"/>
      <c r="AL353" s="95" t="n"/>
      <c r="AM353" s="33" t="n"/>
      <c r="AN353" s="33" t="n"/>
      <c r="AO353" s="95" t="n"/>
      <c r="AP353" s="95" t="n"/>
      <c r="AQ353" s="96" t="n"/>
      <c r="AR353" s="96" t="n"/>
      <c r="AS353" s="96" t="n"/>
      <c r="AT353" s="33" t="n"/>
      <c r="AU353" s="33" t="n"/>
      <c r="AV353" s="33" t="n"/>
      <c r="AW353" s="33" t="n"/>
      <c r="AX353" s="33" t="n"/>
      <c r="AY353" s="33" t="n"/>
      <c r="AZ353" s="95" t="n"/>
      <c r="BA353" s="95" t="n"/>
      <c r="BB353" s="95" t="n"/>
      <c r="BC353" s="95" t="n"/>
      <c r="BD353" s="33" t="n"/>
      <c r="BE353" s="33" t="n"/>
      <c r="BF353" s="96" t="n"/>
      <c r="BG353" s="96" t="n"/>
      <c r="BH353" s="96" t="n"/>
    </row>
    <row r="354">
      <c r="A354" s="94" t="n"/>
      <c r="B354" s="29" t="n"/>
      <c r="C354" s="35" t="n"/>
      <c r="D354" s="29" t="n"/>
      <c r="E354" s="29" t="n"/>
      <c r="F354" s="29" t="n"/>
      <c r="G354" s="95" t="n"/>
      <c r="H354" s="29" t="n"/>
      <c r="I354" s="96" t="n"/>
      <c r="J354" s="29" t="n"/>
      <c r="K354" s="29" t="n"/>
      <c r="L354" s="95" t="n"/>
      <c r="M354" s="29" t="n"/>
      <c r="N354" s="29" t="n"/>
      <c r="O354" s="29" t="n"/>
      <c r="P354" s="95" t="n"/>
      <c r="Q354" s="29" t="n"/>
      <c r="R354" s="29" t="n"/>
      <c r="S354" s="29" t="n"/>
      <c r="T354" s="95" t="n"/>
      <c r="U354" s="29" t="n"/>
      <c r="V354" s="95" t="n"/>
      <c r="W354" s="29" t="n"/>
      <c r="X354" s="95" t="n"/>
      <c r="Y354" s="29" t="n"/>
      <c r="Z354" s="97" t="n"/>
      <c r="AA354" s="29" t="n"/>
      <c r="AB354" s="95" t="n"/>
      <c r="AC354" s="29" t="n"/>
      <c r="AD354" s="95" t="n"/>
      <c r="AE354" s="29" t="n"/>
      <c r="AF354" s="95" t="n"/>
      <c r="AG354" s="29" t="n"/>
      <c r="AH354" s="95" t="n"/>
      <c r="AI354" s="33" t="n"/>
      <c r="AJ354" s="95" t="n"/>
      <c r="AK354" s="33" t="n"/>
      <c r="AL354" s="95" t="n"/>
      <c r="AM354" s="33" t="n"/>
      <c r="AN354" s="33" t="n"/>
      <c r="AO354" s="95" t="n"/>
      <c r="AP354" s="95" t="n"/>
      <c r="AQ354" s="96" t="n"/>
      <c r="AR354" s="96" t="n"/>
      <c r="AS354" s="96" t="n"/>
      <c r="AT354" s="33" t="n"/>
      <c r="AU354" s="33" t="n"/>
      <c r="AV354" s="33" t="n"/>
      <c r="AW354" s="33" t="n"/>
      <c r="AX354" s="33" t="n"/>
      <c r="AY354" s="33" t="n"/>
      <c r="AZ354" s="95" t="n"/>
      <c r="BA354" s="95" t="n"/>
      <c r="BB354" s="95" t="n"/>
      <c r="BC354" s="95" t="n"/>
      <c r="BD354" s="33" t="n"/>
      <c r="BE354" s="33" t="n"/>
      <c r="BF354" s="96" t="n"/>
      <c r="BG354" s="96" t="n"/>
      <c r="BH354" s="96" t="n"/>
    </row>
    <row r="355">
      <c r="A355" s="94" t="n"/>
      <c r="B355" s="29" t="n"/>
      <c r="C355" s="35" t="n"/>
      <c r="D355" s="29" t="n"/>
      <c r="E355" s="29" t="n"/>
      <c r="F355" s="29" t="n"/>
      <c r="G355" s="95" t="n"/>
      <c r="H355" s="29" t="n"/>
      <c r="I355" s="96" t="n"/>
      <c r="J355" s="29" t="n"/>
      <c r="K355" s="29" t="n"/>
      <c r="L355" s="95" t="n"/>
      <c r="M355" s="29" t="n"/>
      <c r="N355" s="29" t="n"/>
      <c r="O355" s="29" t="n"/>
      <c r="P355" s="95" t="n"/>
      <c r="Q355" s="29" t="n"/>
      <c r="R355" s="29" t="n"/>
      <c r="S355" s="29" t="n"/>
      <c r="T355" s="95" t="n"/>
      <c r="U355" s="29" t="n"/>
      <c r="V355" s="95" t="n"/>
      <c r="W355" s="29" t="n"/>
      <c r="X355" s="95" t="n"/>
      <c r="Y355" s="29" t="n"/>
      <c r="Z355" s="97" t="n"/>
      <c r="AA355" s="29" t="n"/>
      <c r="AB355" s="95" t="n"/>
      <c r="AC355" s="29" t="n"/>
      <c r="AD355" s="95" t="n"/>
      <c r="AE355" s="29" t="n"/>
      <c r="AF355" s="95" t="n"/>
      <c r="AG355" s="29" t="n"/>
      <c r="AH355" s="95" t="n"/>
      <c r="AI355" s="33" t="n"/>
      <c r="AJ355" s="95" t="n"/>
      <c r="AK355" s="33" t="n"/>
      <c r="AL355" s="95" t="n"/>
      <c r="AM355" s="33" t="n"/>
      <c r="AN355" s="33" t="n"/>
      <c r="AO355" s="95" t="n"/>
      <c r="AP355" s="95" t="n"/>
      <c r="AQ355" s="96" t="n"/>
      <c r="AR355" s="96" t="n"/>
      <c r="AS355" s="96" t="n"/>
      <c r="AT355" s="33" t="n"/>
      <c r="AU355" s="33" t="n"/>
      <c r="AV355" s="33" t="n"/>
      <c r="AW355" s="33" t="n"/>
      <c r="AX355" s="33" t="n"/>
      <c r="AY355" s="33" t="n"/>
      <c r="AZ355" s="95" t="n"/>
      <c r="BA355" s="95" t="n"/>
      <c r="BB355" s="95" t="n"/>
      <c r="BC355" s="95" t="n"/>
      <c r="BD355" s="33" t="n"/>
      <c r="BE355" s="33" t="n"/>
      <c r="BF355" s="96" t="n"/>
      <c r="BG355" s="96" t="n"/>
      <c r="BH355" s="96" t="n"/>
    </row>
    <row r="356">
      <c r="A356" s="94" t="n"/>
      <c r="B356" s="29" t="n"/>
      <c r="C356" s="35" t="n"/>
      <c r="D356" s="29" t="n"/>
      <c r="E356" s="29" t="n"/>
      <c r="F356" s="29" t="n"/>
      <c r="G356" s="95" t="n"/>
      <c r="H356" s="29" t="n"/>
      <c r="I356" s="96" t="n"/>
      <c r="J356" s="29" t="n"/>
      <c r="K356" s="29" t="n"/>
      <c r="L356" s="95" t="n"/>
      <c r="M356" s="29" t="n"/>
      <c r="N356" s="29" t="n"/>
      <c r="O356" s="29" t="n"/>
      <c r="P356" s="95" t="n"/>
      <c r="Q356" s="29" t="n"/>
      <c r="R356" s="29" t="n"/>
      <c r="S356" s="29" t="n"/>
      <c r="T356" s="95" t="n"/>
      <c r="U356" s="29" t="n"/>
      <c r="V356" s="95" t="n"/>
      <c r="W356" s="29" t="n"/>
      <c r="X356" s="95" t="n"/>
      <c r="Y356" s="29" t="n"/>
      <c r="Z356" s="97" t="n"/>
      <c r="AA356" s="29" t="n"/>
      <c r="AB356" s="95" t="n"/>
      <c r="AC356" s="29" t="n"/>
      <c r="AD356" s="95" t="n"/>
      <c r="AE356" s="29" t="n"/>
      <c r="AF356" s="95" t="n"/>
      <c r="AG356" s="29" t="n"/>
      <c r="AH356" s="95" t="n"/>
      <c r="AI356" s="33" t="n"/>
      <c r="AJ356" s="95" t="n"/>
      <c r="AK356" s="33" t="n"/>
      <c r="AL356" s="95" t="n"/>
      <c r="AM356" s="33" t="n"/>
      <c r="AN356" s="33" t="n"/>
      <c r="AO356" s="95" t="n"/>
      <c r="AP356" s="95" t="n"/>
      <c r="AQ356" s="96" t="n"/>
      <c r="AR356" s="96" t="n"/>
      <c r="AS356" s="96" t="n"/>
      <c r="AT356" s="33" t="n"/>
      <c r="AU356" s="33" t="n"/>
      <c r="AV356" s="33" t="n"/>
      <c r="AW356" s="33" t="n"/>
      <c r="AX356" s="33" t="n"/>
      <c r="AY356" s="33" t="n"/>
      <c r="AZ356" s="95" t="n"/>
      <c r="BA356" s="95" t="n"/>
      <c r="BB356" s="95" t="n"/>
      <c r="BC356" s="95" t="n"/>
      <c r="BD356" s="33" t="n"/>
      <c r="BE356" s="33" t="n"/>
      <c r="BF356" s="96" t="n"/>
      <c r="BG356" s="96" t="n"/>
      <c r="BH356" s="96" t="n"/>
    </row>
    <row r="357">
      <c r="A357" s="94" t="n"/>
      <c r="B357" s="29" t="n"/>
      <c r="C357" s="35" t="n"/>
      <c r="D357" s="29" t="n"/>
      <c r="E357" s="29" t="n"/>
      <c r="F357" s="29" t="n"/>
      <c r="G357" s="95" t="n"/>
      <c r="H357" s="29" t="n"/>
      <c r="I357" s="96" t="n"/>
      <c r="J357" s="29" t="n"/>
      <c r="K357" s="29" t="n"/>
      <c r="L357" s="95" t="n"/>
      <c r="M357" s="29" t="n"/>
      <c r="N357" s="29" t="n"/>
      <c r="O357" s="29" t="n"/>
      <c r="P357" s="95" t="n"/>
      <c r="Q357" s="29" t="n"/>
      <c r="R357" s="29" t="n"/>
      <c r="S357" s="29" t="n"/>
      <c r="T357" s="95" t="n"/>
      <c r="U357" s="29" t="n"/>
      <c r="V357" s="95" t="n"/>
      <c r="W357" s="29" t="n"/>
      <c r="X357" s="95" t="n"/>
      <c r="Y357" s="29" t="n"/>
      <c r="Z357" s="97" t="n"/>
      <c r="AA357" s="29" t="n"/>
      <c r="AB357" s="95" t="n"/>
      <c r="AC357" s="29" t="n"/>
      <c r="AD357" s="95" t="n"/>
      <c r="AE357" s="29" t="n"/>
      <c r="AF357" s="95" t="n"/>
      <c r="AG357" s="29" t="n"/>
      <c r="AH357" s="95" t="n"/>
      <c r="AI357" s="33" t="n"/>
      <c r="AJ357" s="95" t="n"/>
      <c r="AK357" s="33" t="n"/>
      <c r="AL357" s="95" t="n"/>
      <c r="AM357" s="33" t="n"/>
      <c r="AN357" s="33" t="n"/>
      <c r="AO357" s="95" t="n"/>
      <c r="AP357" s="95" t="n"/>
      <c r="AQ357" s="96" t="n"/>
      <c r="AR357" s="96" t="n"/>
      <c r="AS357" s="96" t="n"/>
      <c r="AT357" s="33" t="n"/>
      <c r="AU357" s="33" t="n"/>
      <c r="AV357" s="33" t="n"/>
      <c r="AW357" s="33" t="n"/>
      <c r="AX357" s="33" t="n"/>
      <c r="AY357" s="33" t="n"/>
      <c r="AZ357" s="95" t="n"/>
      <c r="BA357" s="95" t="n"/>
      <c r="BB357" s="95" t="n"/>
      <c r="BC357" s="95" t="n"/>
      <c r="BD357" s="33" t="n"/>
      <c r="BE357" s="33" t="n"/>
      <c r="BF357" s="96" t="n"/>
      <c r="BG357" s="96" t="n"/>
      <c r="BH357" s="96" t="n"/>
    </row>
    <row r="358">
      <c r="A358" s="94" t="n"/>
      <c r="B358" s="29" t="n"/>
      <c r="C358" s="35" t="n"/>
      <c r="D358" s="29" t="n"/>
      <c r="E358" s="29" t="n"/>
      <c r="F358" s="29" t="n"/>
      <c r="G358" s="95" t="n"/>
      <c r="H358" s="29" t="n"/>
      <c r="I358" s="96" t="n"/>
      <c r="J358" s="29" t="n"/>
      <c r="K358" s="29" t="n"/>
      <c r="L358" s="95" t="n"/>
      <c r="M358" s="29" t="n"/>
      <c r="N358" s="29" t="n"/>
      <c r="O358" s="29" t="n"/>
      <c r="P358" s="95" t="n"/>
      <c r="Q358" s="29" t="n"/>
      <c r="R358" s="29" t="n"/>
      <c r="S358" s="29" t="n"/>
      <c r="T358" s="95" t="n"/>
      <c r="U358" s="29" t="n"/>
      <c r="V358" s="95" t="n"/>
      <c r="W358" s="29" t="n"/>
      <c r="X358" s="95" t="n"/>
      <c r="Y358" s="29" t="n"/>
      <c r="Z358" s="97" t="n"/>
      <c r="AA358" s="29" t="n"/>
      <c r="AB358" s="95" t="n"/>
      <c r="AC358" s="29" t="n"/>
      <c r="AD358" s="95" t="n"/>
      <c r="AE358" s="29" t="n"/>
      <c r="AF358" s="95" t="n"/>
      <c r="AG358" s="29" t="n"/>
      <c r="AH358" s="95" t="n"/>
      <c r="AI358" s="33" t="n"/>
      <c r="AJ358" s="95" t="n"/>
      <c r="AK358" s="33" t="n"/>
      <c r="AL358" s="95" t="n"/>
      <c r="AM358" s="33" t="n"/>
      <c r="AN358" s="33" t="n"/>
      <c r="AO358" s="95" t="n"/>
      <c r="AP358" s="95" t="n"/>
      <c r="AQ358" s="96" t="n"/>
      <c r="AR358" s="96" t="n"/>
      <c r="AS358" s="96" t="n"/>
      <c r="AT358" s="33" t="n"/>
      <c r="AU358" s="33" t="n"/>
      <c r="AV358" s="33" t="n"/>
      <c r="AW358" s="33" t="n"/>
      <c r="AX358" s="33" t="n"/>
      <c r="AY358" s="33" t="n"/>
      <c r="AZ358" s="95" t="n"/>
      <c r="BA358" s="95" t="n"/>
      <c r="BB358" s="95" t="n"/>
      <c r="BC358" s="95" t="n"/>
      <c r="BD358" s="33" t="n"/>
      <c r="BE358" s="33" t="n"/>
      <c r="BF358" s="96" t="n"/>
      <c r="BG358" s="96" t="n"/>
      <c r="BH358" s="96" t="n"/>
    </row>
    <row r="359">
      <c r="A359" s="94" t="n"/>
      <c r="B359" s="29" t="n"/>
      <c r="C359" s="35" t="n"/>
      <c r="D359" s="29" t="n"/>
      <c r="E359" s="29" t="n"/>
      <c r="F359" s="29" t="n"/>
      <c r="G359" s="95" t="n"/>
      <c r="H359" s="29" t="n"/>
      <c r="I359" s="96" t="n"/>
      <c r="J359" s="29" t="n"/>
      <c r="K359" s="29" t="n"/>
      <c r="L359" s="95" t="n"/>
      <c r="M359" s="29" t="n"/>
      <c r="N359" s="29" t="n"/>
      <c r="O359" s="29" t="n"/>
      <c r="P359" s="95" t="n"/>
      <c r="Q359" s="29" t="n"/>
      <c r="R359" s="29" t="n"/>
      <c r="S359" s="29" t="n"/>
      <c r="T359" s="95" t="n"/>
      <c r="U359" s="29" t="n"/>
      <c r="V359" s="95" t="n"/>
      <c r="W359" s="29" t="n"/>
      <c r="X359" s="95" t="n"/>
      <c r="Y359" s="29" t="n"/>
      <c r="Z359" s="97" t="n"/>
      <c r="AA359" s="29" t="n"/>
      <c r="AB359" s="95" t="n"/>
      <c r="AC359" s="29" t="n"/>
      <c r="AD359" s="95" t="n"/>
      <c r="AE359" s="29" t="n"/>
      <c r="AF359" s="95" t="n"/>
      <c r="AG359" s="29" t="n"/>
      <c r="AH359" s="95" t="n"/>
      <c r="AI359" s="33" t="n"/>
      <c r="AJ359" s="95" t="n"/>
      <c r="AK359" s="33" t="n"/>
      <c r="AL359" s="95" t="n"/>
      <c r="AM359" s="33" t="n"/>
      <c r="AN359" s="33" t="n"/>
      <c r="AO359" s="95" t="n"/>
      <c r="AP359" s="95" t="n"/>
      <c r="AQ359" s="96" t="n"/>
      <c r="AR359" s="96" t="n"/>
      <c r="AS359" s="96" t="n"/>
      <c r="AT359" s="33" t="n"/>
      <c r="AU359" s="33" t="n"/>
      <c r="AV359" s="33" t="n"/>
      <c r="AW359" s="33" t="n"/>
      <c r="AX359" s="33" t="n"/>
      <c r="AY359" s="33" t="n"/>
      <c r="AZ359" s="95" t="n"/>
      <c r="BA359" s="95" t="n"/>
      <c r="BB359" s="95" t="n"/>
      <c r="BC359" s="95" t="n"/>
      <c r="BD359" s="33" t="n"/>
      <c r="BE359" s="33" t="n"/>
      <c r="BF359" s="96" t="n"/>
      <c r="BG359" s="96" t="n"/>
      <c r="BH359" s="96" t="n"/>
    </row>
    <row r="360">
      <c r="A360" s="94" t="n"/>
      <c r="B360" s="29" t="n"/>
      <c r="C360" s="35" t="n"/>
      <c r="D360" s="29" t="n"/>
      <c r="E360" s="29" t="n"/>
      <c r="F360" s="29" t="n"/>
      <c r="G360" s="95" t="n"/>
      <c r="H360" s="29" t="n"/>
      <c r="I360" s="96" t="n"/>
      <c r="J360" s="29" t="n"/>
      <c r="K360" s="29" t="n"/>
      <c r="L360" s="95" t="n"/>
      <c r="M360" s="29" t="n"/>
      <c r="N360" s="29" t="n"/>
      <c r="O360" s="29" t="n"/>
      <c r="P360" s="95" t="n"/>
      <c r="Q360" s="29" t="n"/>
      <c r="R360" s="29" t="n"/>
      <c r="S360" s="29" t="n"/>
      <c r="T360" s="95" t="n"/>
      <c r="U360" s="29" t="n"/>
      <c r="V360" s="95" t="n"/>
      <c r="W360" s="29" t="n"/>
      <c r="X360" s="95" t="n"/>
      <c r="Y360" s="29" t="n"/>
      <c r="Z360" s="97" t="n"/>
      <c r="AA360" s="29" t="n"/>
      <c r="AB360" s="95" t="n"/>
      <c r="AC360" s="29" t="n"/>
      <c r="AD360" s="95" t="n"/>
      <c r="AE360" s="29" t="n"/>
      <c r="AF360" s="95" t="n"/>
      <c r="AG360" s="29" t="n"/>
      <c r="AH360" s="95" t="n"/>
      <c r="AI360" s="33" t="n"/>
      <c r="AJ360" s="95" t="n"/>
      <c r="AK360" s="33" t="n"/>
      <c r="AL360" s="95" t="n"/>
      <c r="AM360" s="33" t="n"/>
      <c r="AN360" s="33" t="n"/>
      <c r="AO360" s="95" t="n"/>
      <c r="AP360" s="95" t="n"/>
      <c r="AQ360" s="96" t="n"/>
      <c r="AR360" s="96" t="n"/>
      <c r="AS360" s="96" t="n"/>
      <c r="AT360" s="33" t="n"/>
      <c r="AU360" s="33" t="n"/>
      <c r="AV360" s="33" t="n"/>
      <c r="AW360" s="33" t="n"/>
      <c r="AX360" s="33" t="n"/>
      <c r="AY360" s="33" t="n"/>
      <c r="AZ360" s="95" t="n"/>
      <c r="BA360" s="95" t="n"/>
      <c r="BB360" s="95" t="n"/>
      <c r="BC360" s="95" t="n"/>
      <c r="BD360" s="33" t="n"/>
      <c r="BE360" s="33" t="n"/>
      <c r="BF360" s="96" t="n"/>
      <c r="BG360" s="96" t="n"/>
      <c r="BH360" s="96" t="n"/>
    </row>
    <row r="361">
      <c r="A361" s="94" t="n"/>
      <c r="B361" s="29" t="n"/>
      <c r="C361" s="35" t="n"/>
      <c r="D361" s="29" t="n"/>
      <c r="E361" s="29" t="n"/>
      <c r="F361" s="29" t="n"/>
      <c r="G361" s="95" t="n"/>
      <c r="H361" s="29" t="n"/>
      <c r="I361" s="96" t="n"/>
      <c r="J361" s="29" t="n"/>
      <c r="K361" s="29" t="n"/>
      <c r="L361" s="95" t="n"/>
      <c r="M361" s="29" t="n"/>
      <c r="N361" s="29" t="n"/>
      <c r="O361" s="29" t="n"/>
      <c r="P361" s="95" t="n"/>
      <c r="Q361" s="29" t="n"/>
      <c r="R361" s="29" t="n"/>
      <c r="S361" s="29" t="n"/>
      <c r="T361" s="95" t="n"/>
      <c r="U361" s="29" t="n"/>
      <c r="V361" s="95" t="n"/>
      <c r="W361" s="29" t="n"/>
      <c r="X361" s="95" t="n"/>
      <c r="Y361" s="29" t="n"/>
      <c r="Z361" s="97" t="n"/>
      <c r="AA361" s="29" t="n"/>
      <c r="AB361" s="95" t="n"/>
      <c r="AC361" s="29" t="n"/>
      <c r="AD361" s="95" t="n"/>
      <c r="AE361" s="29" t="n"/>
      <c r="AF361" s="95" t="n"/>
      <c r="AG361" s="29" t="n"/>
      <c r="AH361" s="95" t="n"/>
      <c r="AI361" s="33" t="n"/>
      <c r="AJ361" s="95" t="n"/>
      <c r="AK361" s="33" t="n"/>
      <c r="AL361" s="95" t="n"/>
      <c r="AM361" s="33" t="n"/>
      <c r="AN361" s="33" t="n"/>
      <c r="AO361" s="95" t="n"/>
      <c r="AP361" s="95" t="n"/>
      <c r="AQ361" s="96" t="n"/>
      <c r="AR361" s="96" t="n"/>
      <c r="AS361" s="96" t="n"/>
      <c r="AT361" s="33" t="n"/>
      <c r="AU361" s="33" t="n"/>
      <c r="AV361" s="33" t="n"/>
      <c r="AW361" s="33" t="n"/>
      <c r="AX361" s="33" t="n"/>
      <c r="AY361" s="33" t="n"/>
      <c r="AZ361" s="95" t="n"/>
      <c r="BA361" s="95" t="n"/>
      <c r="BB361" s="95" t="n"/>
      <c r="BC361" s="95" t="n"/>
      <c r="BD361" s="33" t="n"/>
      <c r="BE361" s="33" t="n"/>
      <c r="BF361" s="96" t="n"/>
      <c r="BG361" s="96" t="n"/>
      <c r="BH361" s="96" t="n"/>
    </row>
    <row r="362">
      <c r="A362" s="94" t="n"/>
      <c r="B362" s="29" t="n"/>
      <c r="C362" s="35" t="n"/>
      <c r="D362" s="29" t="n"/>
      <c r="E362" s="29" t="n"/>
      <c r="F362" s="29" t="n"/>
      <c r="G362" s="95" t="n"/>
      <c r="H362" s="29" t="n"/>
      <c r="I362" s="96" t="n"/>
      <c r="J362" s="29" t="n"/>
      <c r="K362" s="29" t="n"/>
      <c r="L362" s="95" t="n"/>
      <c r="M362" s="29" t="n"/>
      <c r="N362" s="29" t="n"/>
      <c r="O362" s="29" t="n"/>
      <c r="P362" s="95" t="n"/>
      <c r="Q362" s="29" t="n"/>
      <c r="R362" s="29" t="n"/>
      <c r="S362" s="29" t="n"/>
      <c r="T362" s="95" t="n"/>
      <c r="U362" s="29" t="n"/>
      <c r="V362" s="95" t="n"/>
      <c r="W362" s="29" t="n"/>
      <c r="X362" s="95" t="n"/>
      <c r="Y362" s="29" t="n"/>
      <c r="Z362" s="97" t="n"/>
      <c r="AA362" s="29" t="n"/>
      <c r="AB362" s="95" t="n"/>
      <c r="AC362" s="29" t="n"/>
      <c r="AD362" s="95" t="n"/>
      <c r="AE362" s="29" t="n"/>
      <c r="AF362" s="95" t="n"/>
      <c r="AG362" s="29" t="n"/>
      <c r="AH362" s="95" t="n"/>
      <c r="AI362" s="33" t="n"/>
      <c r="AJ362" s="95" t="n"/>
      <c r="AK362" s="33" t="n"/>
      <c r="AL362" s="95" t="n"/>
      <c r="AM362" s="33" t="n"/>
      <c r="AN362" s="33" t="n"/>
      <c r="AO362" s="95" t="n"/>
      <c r="AP362" s="95" t="n"/>
      <c r="AQ362" s="96" t="n"/>
      <c r="AR362" s="96" t="n"/>
      <c r="AS362" s="96" t="n"/>
      <c r="AT362" s="33" t="n"/>
      <c r="AU362" s="33" t="n"/>
      <c r="AV362" s="33" t="n"/>
      <c r="AW362" s="33" t="n"/>
      <c r="AX362" s="33" t="n"/>
      <c r="AY362" s="33" t="n"/>
      <c r="AZ362" s="95" t="n"/>
      <c r="BA362" s="95" t="n"/>
      <c r="BB362" s="95" t="n"/>
      <c r="BC362" s="95" t="n"/>
      <c r="BD362" s="33" t="n"/>
      <c r="BE362" s="33" t="n"/>
      <c r="BF362" s="96" t="n"/>
      <c r="BG362" s="96" t="n"/>
      <c r="BH362" s="96" t="n"/>
    </row>
    <row r="363">
      <c r="A363" s="94" t="n"/>
      <c r="B363" s="29" t="n"/>
      <c r="C363" s="35" t="n"/>
      <c r="D363" s="29" t="n"/>
      <c r="E363" s="29" t="n"/>
      <c r="F363" s="29" t="n"/>
      <c r="G363" s="95" t="n"/>
      <c r="H363" s="29" t="n"/>
      <c r="I363" s="96" t="n"/>
      <c r="J363" s="29" t="n"/>
      <c r="K363" s="29" t="n"/>
      <c r="L363" s="95" t="n"/>
      <c r="M363" s="29" t="n"/>
      <c r="N363" s="29" t="n"/>
      <c r="O363" s="29" t="n"/>
      <c r="P363" s="95" t="n"/>
      <c r="Q363" s="29" t="n"/>
      <c r="R363" s="29" t="n"/>
      <c r="S363" s="29" t="n"/>
      <c r="T363" s="95" t="n"/>
      <c r="U363" s="29" t="n"/>
      <c r="V363" s="95" t="n"/>
      <c r="W363" s="29" t="n"/>
      <c r="X363" s="95" t="n"/>
      <c r="Y363" s="29" t="n"/>
      <c r="Z363" s="97" t="n"/>
      <c r="AA363" s="29" t="n"/>
      <c r="AB363" s="95" t="n"/>
      <c r="AC363" s="29" t="n"/>
      <c r="AD363" s="95" t="n"/>
      <c r="AE363" s="29" t="n"/>
      <c r="AF363" s="95" t="n"/>
      <c r="AG363" s="29" t="n"/>
      <c r="AH363" s="95" t="n"/>
      <c r="AI363" s="33" t="n"/>
      <c r="AJ363" s="95" t="n"/>
      <c r="AK363" s="33" t="n"/>
      <c r="AL363" s="95" t="n"/>
      <c r="AM363" s="33" t="n"/>
      <c r="AN363" s="33" t="n"/>
      <c r="AO363" s="95" t="n"/>
      <c r="AP363" s="95" t="n"/>
      <c r="AQ363" s="96" t="n"/>
      <c r="AR363" s="96" t="n"/>
      <c r="AS363" s="96" t="n"/>
      <c r="AT363" s="33" t="n"/>
      <c r="AU363" s="33" t="n"/>
      <c r="AV363" s="33" t="n"/>
      <c r="AW363" s="33" t="n"/>
      <c r="AX363" s="33" t="n"/>
      <c r="AY363" s="33" t="n"/>
      <c r="AZ363" s="95" t="n"/>
      <c r="BA363" s="95" t="n"/>
      <c r="BB363" s="95" t="n"/>
      <c r="BC363" s="95" t="n"/>
      <c r="BD363" s="33" t="n"/>
      <c r="BE363" s="33" t="n"/>
      <c r="BF363" s="96" t="n"/>
      <c r="BG363" s="96" t="n"/>
      <c r="BH363" s="96" t="n"/>
    </row>
    <row r="364">
      <c r="A364" s="94" t="n"/>
      <c r="B364" s="29" t="n"/>
      <c r="C364" s="35" t="n"/>
      <c r="D364" s="29" t="n"/>
      <c r="E364" s="29" t="n"/>
      <c r="F364" s="29" t="n"/>
      <c r="G364" s="95" t="n"/>
      <c r="H364" s="29" t="n"/>
      <c r="I364" s="96" t="n"/>
      <c r="J364" s="29" t="n"/>
      <c r="K364" s="29" t="n"/>
      <c r="L364" s="95" t="n"/>
      <c r="M364" s="29" t="n"/>
      <c r="N364" s="29" t="n"/>
      <c r="O364" s="29" t="n"/>
      <c r="P364" s="95" t="n"/>
      <c r="Q364" s="29" t="n"/>
      <c r="R364" s="29" t="n"/>
      <c r="S364" s="29" t="n"/>
      <c r="T364" s="95" t="n"/>
      <c r="U364" s="29" t="n"/>
      <c r="V364" s="95" t="n"/>
      <c r="W364" s="29" t="n"/>
      <c r="X364" s="95" t="n"/>
      <c r="Y364" s="29" t="n"/>
      <c r="Z364" s="97" t="n"/>
      <c r="AA364" s="29" t="n"/>
      <c r="AB364" s="95" t="n"/>
      <c r="AC364" s="29" t="n"/>
      <c r="AD364" s="95" t="n"/>
      <c r="AE364" s="29" t="n"/>
      <c r="AF364" s="95" t="n"/>
      <c r="AG364" s="29" t="n"/>
      <c r="AH364" s="95" t="n"/>
      <c r="AI364" s="33" t="n"/>
      <c r="AJ364" s="95" t="n"/>
      <c r="AK364" s="33" t="n"/>
      <c r="AL364" s="95" t="n"/>
      <c r="AM364" s="33" t="n"/>
      <c r="AN364" s="33" t="n"/>
      <c r="AO364" s="95" t="n"/>
      <c r="AP364" s="95" t="n"/>
      <c r="AQ364" s="96" t="n"/>
      <c r="AR364" s="96" t="n"/>
      <c r="AS364" s="96" t="n"/>
      <c r="AT364" s="33" t="n"/>
      <c r="AU364" s="33" t="n"/>
      <c r="AV364" s="33" t="n"/>
      <c r="AW364" s="33" t="n"/>
      <c r="AX364" s="33" t="n"/>
      <c r="AY364" s="33" t="n"/>
      <c r="AZ364" s="95" t="n"/>
      <c r="BA364" s="95" t="n"/>
      <c r="BB364" s="95" t="n"/>
      <c r="BC364" s="95" t="n"/>
      <c r="BD364" s="33" t="n"/>
      <c r="BE364" s="33" t="n"/>
      <c r="BF364" s="96" t="n"/>
      <c r="BG364" s="96" t="n"/>
      <c r="BH364" s="96" t="n"/>
    </row>
    <row r="365">
      <c r="A365" s="94" t="n"/>
      <c r="B365" s="29" t="n"/>
      <c r="C365" s="35" t="n"/>
      <c r="D365" s="29" t="n"/>
      <c r="E365" s="29" t="n"/>
      <c r="F365" s="29" t="n"/>
      <c r="G365" s="95" t="n"/>
      <c r="H365" s="29" t="n"/>
      <c r="I365" s="96" t="n"/>
      <c r="J365" s="29" t="n"/>
      <c r="K365" s="29" t="n"/>
      <c r="L365" s="95" t="n"/>
      <c r="M365" s="29" t="n"/>
      <c r="N365" s="29" t="n"/>
      <c r="O365" s="29" t="n"/>
      <c r="P365" s="95" t="n"/>
      <c r="Q365" s="29" t="n"/>
      <c r="R365" s="29" t="n"/>
      <c r="S365" s="29" t="n"/>
      <c r="T365" s="95" t="n"/>
      <c r="U365" s="29" t="n"/>
      <c r="V365" s="95" t="n"/>
      <c r="W365" s="29" t="n"/>
      <c r="X365" s="95" t="n"/>
      <c r="Y365" s="29" t="n"/>
      <c r="Z365" s="97" t="n"/>
      <c r="AA365" s="29" t="n"/>
      <c r="AB365" s="95" t="n"/>
      <c r="AC365" s="29" t="n"/>
      <c r="AD365" s="95" t="n"/>
      <c r="AE365" s="29" t="n"/>
      <c r="AF365" s="95" t="n"/>
      <c r="AG365" s="29" t="n"/>
      <c r="AH365" s="95" t="n"/>
      <c r="AI365" s="33" t="n"/>
      <c r="AJ365" s="95" t="n"/>
      <c r="AK365" s="33" t="n"/>
      <c r="AL365" s="95" t="n"/>
      <c r="AM365" s="33" t="n"/>
      <c r="AN365" s="33" t="n"/>
      <c r="AO365" s="95" t="n"/>
      <c r="AP365" s="95" t="n"/>
      <c r="AQ365" s="96" t="n"/>
      <c r="AR365" s="96" t="n"/>
      <c r="AS365" s="96" t="n"/>
      <c r="AT365" s="33" t="n"/>
      <c r="AU365" s="33" t="n"/>
      <c r="AV365" s="33" t="n"/>
      <c r="AW365" s="33" t="n"/>
      <c r="AX365" s="33" t="n"/>
      <c r="AY365" s="33" t="n"/>
      <c r="AZ365" s="95" t="n"/>
      <c r="BA365" s="95" t="n"/>
      <c r="BB365" s="95" t="n"/>
      <c r="BC365" s="95" t="n"/>
      <c r="BD365" s="33" t="n"/>
      <c r="BE365" s="33" t="n"/>
      <c r="BF365" s="96" t="n"/>
      <c r="BG365" s="96" t="n"/>
      <c r="BH365" s="96" t="n"/>
    </row>
    <row r="366">
      <c r="A366" s="94" t="n"/>
      <c r="B366" s="29" t="n"/>
      <c r="C366" s="35" t="n"/>
      <c r="D366" s="29" t="n"/>
      <c r="E366" s="29" t="n"/>
      <c r="F366" s="29" t="n"/>
      <c r="G366" s="95" t="n"/>
      <c r="H366" s="29" t="n"/>
      <c r="I366" s="96" t="n"/>
      <c r="J366" s="29" t="n"/>
      <c r="K366" s="29" t="n"/>
      <c r="L366" s="95" t="n"/>
      <c r="M366" s="29" t="n"/>
      <c r="N366" s="29" t="n"/>
      <c r="O366" s="29" t="n"/>
      <c r="P366" s="95" t="n"/>
      <c r="Q366" s="29" t="n"/>
      <c r="R366" s="29" t="n"/>
      <c r="S366" s="29" t="n"/>
      <c r="T366" s="95" t="n"/>
      <c r="U366" s="29" t="n"/>
      <c r="V366" s="95" t="n"/>
      <c r="W366" s="29" t="n"/>
      <c r="X366" s="95" t="n"/>
      <c r="Y366" s="29" t="n"/>
      <c r="Z366" s="97" t="n"/>
      <c r="AA366" s="29" t="n"/>
      <c r="AB366" s="95" t="n"/>
      <c r="AC366" s="29" t="n"/>
      <c r="AD366" s="95" t="n"/>
      <c r="AE366" s="29" t="n"/>
      <c r="AF366" s="95" t="n"/>
      <c r="AG366" s="29" t="n"/>
      <c r="AH366" s="95" t="n"/>
      <c r="AI366" s="33" t="n"/>
      <c r="AJ366" s="95" t="n"/>
      <c r="AK366" s="33" t="n"/>
      <c r="AL366" s="95" t="n"/>
      <c r="AM366" s="33" t="n"/>
      <c r="AN366" s="33" t="n"/>
      <c r="AO366" s="95" t="n"/>
      <c r="AP366" s="95" t="n"/>
      <c r="AQ366" s="96" t="n"/>
      <c r="AR366" s="96" t="n"/>
      <c r="AS366" s="96" t="n"/>
      <c r="AT366" s="33" t="n"/>
      <c r="AU366" s="33" t="n"/>
      <c r="AV366" s="33" t="n"/>
      <c r="AW366" s="33" t="n"/>
      <c r="AX366" s="33" t="n"/>
      <c r="AY366" s="33" t="n"/>
      <c r="AZ366" s="95" t="n"/>
      <c r="BA366" s="95" t="n"/>
      <c r="BB366" s="95" t="n"/>
      <c r="BC366" s="95" t="n"/>
      <c r="BD366" s="33" t="n"/>
      <c r="BE366" s="33" t="n"/>
      <c r="BF366" s="96" t="n"/>
      <c r="BG366" s="96" t="n"/>
      <c r="BH366" s="96" t="n"/>
    </row>
    <row r="367">
      <c r="A367" s="94" t="n"/>
      <c r="B367" s="29" t="n"/>
      <c r="C367" s="35" t="n"/>
      <c r="D367" s="29" t="n"/>
      <c r="E367" s="29" t="n"/>
      <c r="F367" s="29" t="n"/>
      <c r="G367" s="95" t="n"/>
      <c r="H367" s="29" t="n"/>
      <c r="I367" s="96" t="n"/>
      <c r="J367" s="29" t="n"/>
      <c r="K367" s="29" t="n"/>
      <c r="L367" s="95" t="n"/>
      <c r="M367" s="29" t="n"/>
      <c r="N367" s="29" t="n"/>
      <c r="O367" s="29" t="n"/>
      <c r="P367" s="95" t="n"/>
      <c r="Q367" s="29" t="n"/>
      <c r="R367" s="29" t="n"/>
      <c r="S367" s="29" t="n"/>
      <c r="T367" s="95" t="n"/>
      <c r="U367" s="29" t="n"/>
      <c r="V367" s="95" t="n"/>
      <c r="W367" s="29" t="n"/>
      <c r="X367" s="95" t="n"/>
      <c r="Y367" s="29" t="n"/>
      <c r="Z367" s="97" t="n"/>
      <c r="AA367" s="29" t="n"/>
      <c r="AB367" s="95" t="n"/>
      <c r="AC367" s="29" t="n"/>
      <c r="AD367" s="95" t="n"/>
      <c r="AE367" s="29" t="n"/>
      <c r="AF367" s="95" t="n"/>
      <c r="AG367" s="29" t="n"/>
      <c r="AH367" s="95" t="n"/>
      <c r="AI367" s="33" t="n"/>
      <c r="AJ367" s="95" t="n"/>
      <c r="AK367" s="33" t="n"/>
      <c r="AL367" s="95" t="n"/>
      <c r="AM367" s="33" t="n"/>
      <c r="AN367" s="33" t="n"/>
      <c r="AO367" s="95" t="n"/>
      <c r="AP367" s="95" t="n"/>
      <c r="AQ367" s="96" t="n"/>
      <c r="AR367" s="96" t="n"/>
      <c r="AS367" s="96" t="n"/>
      <c r="AT367" s="33" t="n"/>
      <c r="AU367" s="33" t="n"/>
      <c r="AV367" s="33" t="n"/>
      <c r="AW367" s="33" t="n"/>
      <c r="AX367" s="33" t="n"/>
      <c r="AY367" s="33" t="n"/>
      <c r="AZ367" s="95" t="n"/>
      <c r="BA367" s="95" t="n"/>
      <c r="BB367" s="95" t="n"/>
      <c r="BC367" s="95" t="n"/>
      <c r="BD367" s="33" t="n"/>
      <c r="BE367" s="33" t="n"/>
      <c r="BF367" s="96" t="n"/>
      <c r="BG367" s="96" t="n"/>
      <c r="BH367" s="96" t="n"/>
    </row>
    <row r="368">
      <c r="A368" s="94" t="n"/>
      <c r="B368" s="29" t="n"/>
      <c r="C368" s="35" t="n"/>
      <c r="D368" s="29" t="n"/>
      <c r="E368" s="29" t="n"/>
      <c r="F368" s="29" t="n"/>
      <c r="G368" s="95" t="n"/>
      <c r="H368" s="29" t="n"/>
      <c r="I368" s="96" t="n"/>
      <c r="J368" s="29" t="n"/>
      <c r="K368" s="29" t="n"/>
      <c r="L368" s="95" t="n"/>
      <c r="M368" s="29" t="n"/>
      <c r="N368" s="29" t="n"/>
      <c r="O368" s="29" t="n"/>
      <c r="P368" s="95" t="n"/>
      <c r="Q368" s="29" t="n"/>
      <c r="R368" s="29" t="n"/>
      <c r="S368" s="29" t="n"/>
      <c r="T368" s="95" t="n"/>
      <c r="U368" s="29" t="n"/>
      <c r="V368" s="95" t="n"/>
      <c r="W368" s="29" t="n"/>
      <c r="X368" s="95" t="n"/>
      <c r="Y368" s="29" t="n"/>
      <c r="Z368" s="97" t="n"/>
      <c r="AA368" s="29" t="n"/>
      <c r="AB368" s="95" t="n"/>
      <c r="AC368" s="29" t="n"/>
      <c r="AD368" s="95" t="n"/>
      <c r="AE368" s="29" t="n"/>
      <c r="AF368" s="95" t="n"/>
      <c r="AG368" s="29" t="n"/>
      <c r="AH368" s="95" t="n"/>
      <c r="AI368" s="33" t="n"/>
      <c r="AJ368" s="95" t="n"/>
      <c r="AK368" s="33" t="n"/>
      <c r="AL368" s="95" t="n"/>
      <c r="AM368" s="33" t="n"/>
      <c r="AN368" s="33" t="n"/>
      <c r="AO368" s="95" t="n"/>
      <c r="AP368" s="95" t="n"/>
      <c r="AQ368" s="96" t="n"/>
      <c r="AR368" s="96" t="n"/>
      <c r="AS368" s="96" t="n"/>
      <c r="AT368" s="33" t="n"/>
      <c r="AU368" s="33" t="n"/>
      <c r="AV368" s="33" t="n"/>
      <c r="AW368" s="33" t="n"/>
      <c r="AX368" s="33" t="n"/>
      <c r="AY368" s="33" t="n"/>
      <c r="AZ368" s="95" t="n"/>
      <c r="BA368" s="95" t="n"/>
      <c r="BB368" s="95" t="n"/>
      <c r="BC368" s="95" t="n"/>
      <c r="BD368" s="33" t="n"/>
      <c r="BE368" s="33" t="n"/>
      <c r="BF368" s="96" t="n"/>
      <c r="BG368" s="96" t="n"/>
      <c r="BH368" s="96" t="n"/>
    </row>
    <row r="369">
      <c r="A369" s="94" t="n"/>
      <c r="B369" s="29" t="n"/>
      <c r="C369" s="35" t="n"/>
      <c r="D369" s="29" t="n"/>
      <c r="E369" s="29" t="n"/>
      <c r="F369" s="29" t="n"/>
      <c r="G369" s="95" t="n"/>
      <c r="H369" s="29" t="n"/>
      <c r="I369" s="96" t="n"/>
      <c r="J369" s="29" t="n"/>
      <c r="K369" s="29" t="n"/>
      <c r="L369" s="95" t="n"/>
      <c r="M369" s="29" t="n"/>
      <c r="N369" s="29" t="n"/>
      <c r="O369" s="29" t="n"/>
      <c r="P369" s="95" t="n"/>
      <c r="Q369" s="29" t="n"/>
      <c r="R369" s="29" t="n"/>
      <c r="S369" s="29" t="n"/>
      <c r="T369" s="95" t="n"/>
      <c r="U369" s="29" t="n"/>
      <c r="V369" s="95" t="n"/>
      <c r="W369" s="29" t="n"/>
      <c r="X369" s="95" t="n"/>
      <c r="Y369" s="29" t="n"/>
      <c r="Z369" s="97" t="n"/>
      <c r="AA369" s="29" t="n"/>
      <c r="AB369" s="95" t="n"/>
      <c r="AC369" s="29" t="n"/>
      <c r="AD369" s="95" t="n"/>
      <c r="AE369" s="29" t="n"/>
      <c r="AF369" s="95" t="n"/>
      <c r="AG369" s="29" t="n"/>
      <c r="AH369" s="95" t="n"/>
      <c r="AI369" s="33" t="n"/>
      <c r="AJ369" s="95" t="n"/>
      <c r="AK369" s="33" t="n"/>
      <c r="AL369" s="95" t="n"/>
      <c r="AM369" s="33" t="n"/>
      <c r="AN369" s="33" t="n"/>
      <c r="AO369" s="95" t="n"/>
      <c r="AP369" s="95" t="n"/>
      <c r="AQ369" s="96" t="n"/>
      <c r="AR369" s="96" t="n"/>
      <c r="AS369" s="96" t="n"/>
      <c r="AT369" s="33" t="n"/>
      <c r="AU369" s="33" t="n"/>
      <c r="AV369" s="33" t="n"/>
      <c r="AW369" s="33" t="n"/>
      <c r="AX369" s="33" t="n"/>
      <c r="AY369" s="33" t="n"/>
      <c r="AZ369" s="95" t="n"/>
      <c r="BA369" s="95" t="n"/>
      <c r="BB369" s="95" t="n"/>
      <c r="BC369" s="95" t="n"/>
      <c r="BD369" s="33" t="n"/>
      <c r="BE369" s="33" t="n"/>
      <c r="BF369" s="96" t="n"/>
      <c r="BG369" s="96" t="n"/>
      <c r="BH369" s="96" t="n"/>
    </row>
    <row r="370">
      <c r="A370" s="94" t="n"/>
      <c r="B370" s="29" t="n"/>
      <c r="C370" s="35" t="n"/>
      <c r="D370" s="29" t="n"/>
      <c r="E370" s="29" t="n"/>
      <c r="F370" s="29" t="n"/>
      <c r="G370" s="95" t="n"/>
      <c r="H370" s="29" t="n"/>
      <c r="I370" s="96" t="n"/>
      <c r="J370" s="29" t="n"/>
      <c r="K370" s="29" t="n"/>
      <c r="L370" s="95" t="n"/>
      <c r="M370" s="29" t="n"/>
      <c r="N370" s="29" t="n"/>
      <c r="O370" s="29" t="n"/>
      <c r="P370" s="95" t="n"/>
      <c r="Q370" s="29" t="n"/>
      <c r="R370" s="29" t="n"/>
      <c r="S370" s="29" t="n"/>
      <c r="T370" s="95" t="n"/>
      <c r="U370" s="29" t="n"/>
      <c r="V370" s="95" t="n"/>
      <c r="W370" s="29" t="n"/>
      <c r="X370" s="95" t="n"/>
      <c r="Y370" s="29" t="n"/>
      <c r="Z370" s="97" t="n"/>
      <c r="AA370" s="29" t="n"/>
      <c r="AB370" s="95" t="n"/>
      <c r="AC370" s="29" t="n"/>
      <c r="AD370" s="95" t="n"/>
      <c r="AE370" s="29" t="n"/>
      <c r="AF370" s="95" t="n"/>
      <c r="AG370" s="29" t="n"/>
      <c r="AH370" s="95" t="n"/>
      <c r="AI370" s="33" t="n"/>
      <c r="AJ370" s="95" t="n"/>
      <c r="AK370" s="33" t="n"/>
      <c r="AL370" s="95" t="n"/>
      <c r="AM370" s="33" t="n"/>
      <c r="AN370" s="33" t="n"/>
      <c r="AO370" s="95" t="n"/>
      <c r="AP370" s="95" t="n"/>
      <c r="AQ370" s="96" t="n"/>
      <c r="AR370" s="96" t="n"/>
      <c r="AS370" s="96" t="n"/>
      <c r="AT370" s="33" t="n"/>
      <c r="AU370" s="33" t="n"/>
      <c r="AV370" s="33" t="n"/>
      <c r="AW370" s="33" t="n"/>
      <c r="AX370" s="33" t="n"/>
      <c r="AY370" s="33" t="n"/>
      <c r="AZ370" s="95" t="n"/>
      <c r="BA370" s="95" t="n"/>
      <c r="BB370" s="95" t="n"/>
      <c r="BC370" s="95" t="n"/>
      <c r="BD370" s="33" t="n"/>
      <c r="BE370" s="33" t="n"/>
      <c r="BF370" s="96" t="n"/>
      <c r="BG370" s="96" t="n"/>
      <c r="BH370" s="96" t="n"/>
    </row>
    <row r="371">
      <c r="A371" s="94" t="n"/>
      <c r="B371" s="29" t="n"/>
      <c r="C371" s="35" t="n"/>
      <c r="D371" s="29" t="n"/>
      <c r="E371" s="29" t="n"/>
      <c r="F371" s="29" t="n"/>
      <c r="G371" s="95" t="n"/>
      <c r="H371" s="29" t="n"/>
      <c r="I371" s="96" t="n"/>
      <c r="J371" s="29" t="n"/>
      <c r="K371" s="29" t="n"/>
      <c r="L371" s="95" t="n"/>
      <c r="M371" s="29" t="n"/>
      <c r="N371" s="29" t="n"/>
      <c r="O371" s="29" t="n"/>
      <c r="P371" s="95" t="n"/>
      <c r="Q371" s="29" t="n"/>
      <c r="R371" s="29" t="n"/>
      <c r="S371" s="29" t="n"/>
      <c r="T371" s="95" t="n"/>
      <c r="U371" s="29" t="n"/>
      <c r="V371" s="95" t="n"/>
      <c r="W371" s="29" t="n"/>
      <c r="X371" s="95" t="n"/>
      <c r="Y371" s="29" t="n"/>
      <c r="Z371" s="97" t="n"/>
      <c r="AA371" s="29" t="n"/>
      <c r="AB371" s="95" t="n"/>
      <c r="AC371" s="29" t="n"/>
      <c r="AD371" s="95" t="n"/>
      <c r="AE371" s="29" t="n"/>
      <c r="AF371" s="95" t="n"/>
      <c r="AG371" s="29" t="n"/>
      <c r="AH371" s="95" t="n"/>
      <c r="AI371" s="33" t="n"/>
      <c r="AJ371" s="95" t="n"/>
      <c r="AK371" s="33" t="n"/>
      <c r="AL371" s="95" t="n"/>
      <c r="AM371" s="33" t="n"/>
      <c r="AN371" s="33" t="n"/>
      <c r="AO371" s="95" t="n"/>
      <c r="AP371" s="95" t="n"/>
      <c r="AQ371" s="96" t="n"/>
      <c r="AR371" s="96" t="n"/>
      <c r="AS371" s="96" t="n"/>
      <c r="AT371" s="33" t="n"/>
      <c r="AU371" s="33" t="n"/>
      <c r="AV371" s="33" t="n"/>
      <c r="AW371" s="33" t="n"/>
      <c r="AX371" s="33" t="n"/>
      <c r="AY371" s="33" t="n"/>
      <c r="AZ371" s="95" t="n"/>
      <c r="BA371" s="95" t="n"/>
      <c r="BB371" s="95" t="n"/>
      <c r="BC371" s="95" t="n"/>
      <c r="BD371" s="33" t="n"/>
      <c r="BE371" s="33" t="n"/>
      <c r="BF371" s="96" t="n"/>
      <c r="BG371" s="96" t="n"/>
      <c r="BH371" s="96" t="n"/>
    </row>
    <row r="372">
      <c r="A372" s="94" t="n"/>
      <c r="B372" s="29" t="n"/>
      <c r="C372" s="35" t="n"/>
      <c r="D372" s="29" t="n"/>
      <c r="E372" s="29" t="n"/>
      <c r="F372" s="29" t="n"/>
      <c r="G372" s="95" t="n"/>
      <c r="H372" s="29" t="n"/>
      <c r="I372" s="96" t="n"/>
      <c r="J372" s="29" t="n"/>
      <c r="K372" s="29" t="n"/>
      <c r="L372" s="95" t="n"/>
      <c r="M372" s="29" t="n"/>
      <c r="N372" s="29" t="n"/>
      <c r="O372" s="29" t="n"/>
      <c r="P372" s="95" t="n"/>
      <c r="Q372" s="29" t="n"/>
      <c r="R372" s="29" t="n"/>
      <c r="S372" s="29" t="n"/>
      <c r="T372" s="95" t="n"/>
      <c r="U372" s="29" t="n"/>
      <c r="V372" s="95" t="n"/>
      <c r="W372" s="29" t="n"/>
      <c r="X372" s="95" t="n"/>
      <c r="Y372" s="29" t="n"/>
      <c r="Z372" s="97" t="n"/>
      <c r="AA372" s="29" t="n"/>
      <c r="AB372" s="95" t="n"/>
      <c r="AC372" s="29" t="n"/>
      <c r="AD372" s="95" t="n"/>
      <c r="AE372" s="29" t="n"/>
      <c r="AF372" s="95" t="n"/>
      <c r="AG372" s="29" t="n"/>
      <c r="AH372" s="95" t="n"/>
      <c r="AI372" s="33" t="n"/>
      <c r="AJ372" s="95" t="n"/>
      <c r="AK372" s="33" t="n"/>
      <c r="AL372" s="95" t="n"/>
      <c r="AM372" s="33" t="n"/>
      <c r="AN372" s="33" t="n"/>
      <c r="AO372" s="95" t="n"/>
      <c r="AP372" s="95" t="n"/>
      <c r="AQ372" s="96" t="n"/>
      <c r="AR372" s="96" t="n"/>
      <c r="AS372" s="96" t="n"/>
      <c r="AT372" s="33" t="n"/>
      <c r="AU372" s="33" t="n"/>
      <c r="AV372" s="33" t="n"/>
      <c r="AW372" s="33" t="n"/>
      <c r="AX372" s="33" t="n"/>
      <c r="AY372" s="33" t="n"/>
      <c r="AZ372" s="95" t="n"/>
      <c r="BA372" s="95" t="n"/>
      <c r="BB372" s="95" t="n"/>
      <c r="BC372" s="95" t="n"/>
      <c r="BD372" s="33" t="n"/>
      <c r="BE372" s="33" t="n"/>
      <c r="BF372" s="96" t="n"/>
      <c r="BG372" s="96" t="n"/>
      <c r="BH372" s="96" t="n"/>
    </row>
    <row r="373">
      <c r="A373" s="94" t="n"/>
      <c r="B373" s="29" t="n"/>
      <c r="C373" s="35" t="n"/>
      <c r="D373" s="29" t="n"/>
      <c r="E373" s="29" t="n"/>
      <c r="F373" s="29" t="n"/>
      <c r="G373" s="95" t="n"/>
      <c r="H373" s="29" t="n"/>
      <c r="I373" s="96" t="n"/>
      <c r="J373" s="29" t="n"/>
      <c r="K373" s="29" t="n"/>
      <c r="L373" s="95" t="n"/>
      <c r="M373" s="29" t="n"/>
      <c r="N373" s="29" t="n"/>
      <c r="O373" s="29" t="n"/>
      <c r="P373" s="95" t="n"/>
      <c r="Q373" s="29" t="n"/>
      <c r="R373" s="29" t="n"/>
      <c r="S373" s="29" t="n"/>
      <c r="T373" s="95" t="n"/>
      <c r="U373" s="29" t="n"/>
      <c r="V373" s="95" t="n"/>
      <c r="W373" s="29" t="n"/>
      <c r="X373" s="95" t="n"/>
      <c r="Y373" s="29" t="n"/>
      <c r="Z373" s="97" t="n"/>
      <c r="AA373" s="29" t="n"/>
      <c r="AB373" s="95" t="n"/>
      <c r="AC373" s="29" t="n"/>
      <c r="AD373" s="95" t="n"/>
      <c r="AE373" s="29" t="n"/>
      <c r="AF373" s="95" t="n"/>
      <c r="AG373" s="29" t="n"/>
      <c r="AH373" s="95" t="n"/>
      <c r="AI373" s="33" t="n"/>
      <c r="AJ373" s="95" t="n"/>
      <c r="AK373" s="33" t="n"/>
      <c r="AL373" s="95" t="n"/>
      <c r="AM373" s="33" t="n"/>
      <c r="AN373" s="33" t="n"/>
      <c r="AO373" s="95" t="n"/>
      <c r="AP373" s="95" t="n"/>
      <c r="AQ373" s="96" t="n"/>
      <c r="AR373" s="96" t="n"/>
      <c r="AS373" s="96" t="n"/>
      <c r="AT373" s="33" t="n"/>
      <c r="AU373" s="33" t="n"/>
      <c r="AV373" s="33" t="n"/>
      <c r="AW373" s="33" t="n"/>
      <c r="AX373" s="33" t="n"/>
      <c r="AY373" s="33" t="n"/>
      <c r="AZ373" s="95" t="n"/>
      <c r="BA373" s="95" t="n"/>
      <c r="BB373" s="95" t="n"/>
      <c r="BC373" s="95" t="n"/>
      <c r="BD373" s="33" t="n"/>
      <c r="BE373" s="33" t="n"/>
      <c r="BF373" s="96" t="n"/>
      <c r="BG373" s="96" t="n"/>
      <c r="BH373" s="96" t="n"/>
    </row>
    <row r="374">
      <c r="A374" s="94" t="n"/>
      <c r="B374" s="29" t="n"/>
      <c r="C374" s="35" t="n"/>
      <c r="D374" s="29" t="n"/>
      <c r="E374" s="29" t="n"/>
      <c r="F374" s="29" t="n"/>
      <c r="G374" s="95" t="n"/>
      <c r="H374" s="29" t="n"/>
      <c r="I374" s="96" t="n"/>
      <c r="J374" s="29" t="n"/>
      <c r="K374" s="29" t="n"/>
      <c r="L374" s="95" t="n"/>
      <c r="M374" s="29" t="n"/>
      <c r="N374" s="29" t="n"/>
      <c r="O374" s="29" t="n"/>
      <c r="P374" s="95" t="n"/>
      <c r="Q374" s="29" t="n"/>
      <c r="R374" s="29" t="n"/>
      <c r="S374" s="29" t="n"/>
      <c r="T374" s="95" t="n"/>
      <c r="U374" s="29" t="n"/>
      <c r="V374" s="95" t="n"/>
      <c r="W374" s="29" t="n"/>
      <c r="X374" s="95" t="n"/>
      <c r="Y374" s="29" t="n"/>
      <c r="Z374" s="97" t="n"/>
      <c r="AA374" s="29" t="n"/>
      <c r="AB374" s="95" t="n"/>
      <c r="AC374" s="29" t="n"/>
      <c r="AD374" s="95" t="n"/>
      <c r="AE374" s="29" t="n"/>
      <c r="AF374" s="95" t="n"/>
      <c r="AG374" s="29" t="n"/>
      <c r="AH374" s="95" t="n"/>
      <c r="AI374" s="33" t="n"/>
      <c r="AJ374" s="95" t="n"/>
      <c r="AK374" s="33" t="n"/>
      <c r="AL374" s="95" t="n"/>
      <c r="AM374" s="33" t="n"/>
      <c r="AN374" s="33" t="n"/>
      <c r="AO374" s="95" t="n"/>
      <c r="AP374" s="95" t="n"/>
      <c r="AQ374" s="96" t="n"/>
      <c r="AR374" s="96" t="n"/>
      <c r="AS374" s="96" t="n"/>
      <c r="AT374" s="33" t="n"/>
      <c r="AU374" s="33" t="n"/>
      <c r="AV374" s="33" t="n"/>
      <c r="AW374" s="33" t="n"/>
      <c r="AX374" s="33" t="n"/>
      <c r="AY374" s="33" t="n"/>
      <c r="AZ374" s="95" t="n"/>
      <c r="BA374" s="95" t="n"/>
      <c r="BB374" s="95" t="n"/>
      <c r="BC374" s="95" t="n"/>
      <c r="BD374" s="33" t="n"/>
      <c r="BE374" s="33" t="n"/>
      <c r="BF374" s="96" t="n"/>
      <c r="BG374" s="96" t="n"/>
      <c r="BH374" s="96" t="n"/>
    </row>
    <row r="375">
      <c r="A375" s="94" t="n"/>
      <c r="B375" s="29" t="n"/>
      <c r="C375" s="35" t="n"/>
      <c r="D375" s="29" t="n"/>
      <c r="E375" s="29" t="n"/>
      <c r="F375" s="29" t="n"/>
      <c r="G375" s="95" t="n"/>
      <c r="H375" s="29" t="n"/>
      <c r="I375" s="96" t="n"/>
      <c r="J375" s="29" t="n"/>
      <c r="K375" s="29" t="n"/>
      <c r="L375" s="95" t="n"/>
      <c r="M375" s="29" t="n"/>
      <c r="N375" s="29" t="n"/>
      <c r="O375" s="29" t="n"/>
      <c r="P375" s="95" t="n"/>
      <c r="Q375" s="29" t="n"/>
      <c r="R375" s="29" t="n"/>
      <c r="S375" s="29" t="n"/>
      <c r="T375" s="95" t="n"/>
      <c r="U375" s="29" t="n"/>
      <c r="V375" s="95" t="n"/>
      <c r="W375" s="29" t="n"/>
      <c r="X375" s="95" t="n"/>
      <c r="Y375" s="29" t="n"/>
      <c r="Z375" s="97" t="n"/>
      <c r="AA375" s="29" t="n"/>
      <c r="AB375" s="95" t="n"/>
      <c r="AC375" s="29" t="n"/>
      <c r="AD375" s="95" t="n"/>
      <c r="AE375" s="29" t="n"/>
      <c r="AF375" s="95" t="n"/>
      <c r="AG375" s="29" t="n"/>
      <c r="AH375" s="95" t="n"/>
      <c r="AI375" s="33" t="n"/>
      <c r="AJ375" s="95" t="n"/>
      <c r="AK375" s="33" t="n"/>
      <c r="AL375" s="95" t="n"/>
      <c r="AM375" s="33" t="n"/>
      <c r="AN375" s="33" t="n"/>
      <c r="AO375" s="95" t="n"/>
      <c r="AP375" s="95" t="n"/>
      <c r="AQ375" s="96" t="n"/>
      <c r="AR375" s="96" t="n"/>
      <c r="AS375" s="96" t="n"/>
      <c r="AT375" s="33" t="n"/>
      <c r="AU375" s="33" t="n"/>
      <c r="AV375" s="33" t="n"/>
      <c r="AW375" s="33" t="n"/>
      <c r="AX375" s="33" t="n"/>
      <c r="AY375" s="33" t="n"/>
      <c r="AZ375" s="95" t="n"/>
      <c r="BA375" s="95" t="n"/>
      <c r="BB375" s="95" t="n"/>
      <c r="BC375" s="95" t="n"/>
      <c r="BD375" s="33" t="n"/>
      <c r="BE375" s="33" t="n"/>
      <c r="BF375" s="96" t="n"/>
      <c r="BG375" s="96" t="n"/>
      <c r="BH375" s="96" t="n"/>
    </row>
    <row r="376">
      <c r="A376" s="94" t="n"/>
      <c r="B376" s="29" t="n"/>
      <c r="C376" s="35" t="n"/>
      <c r="D376" s="29" t="n"/>
      <c r="E376" s="29" t="n"/>
      <c r="F376" s="29" t="n"/>
      <c r="G376" s="95" t="n"/>
      <c r="H376" s="29" t="n"/>
      <c r="I376" s="96" t="n"/>
      <c r="J376" s="29" t="n"/>
      <c r="K376" s="29" t="n"/>
      <c r="L376" s="95" t="n"/>
      <c r="M376" s="29" t="n"/>
      <c r="N376" s="29" t="n"/>
      <c r="O376" s="29" t="n"/>
      <c r="P376" s="95" t="n"/>
      <c r="Q376" s="29" t="n"/>
      <c r="R376" s="29" t="n"/>
      <c r="S376" s="29" t="n"/>
      <c r="T376" s="95" t="n"/>
      <c r="U376" s="29" t="n"/>
      <c r="V376" s="95" t="n"/>
      <c r="W376" s="29" t="n"/>
      <c r="X376" s="95" t="n"/>
      <c r="Y376" s="29" t="n"/>
      <c r="Z376" s="97" t="n"/>
      <c r="AA376" s="29" t="n"/>
      <c r="AB376" s="95" t="n"/>
      <c r="AC376" s="29" t="n"/>
      <c r="AD376" s="95" t="n"/>
      <c r="AE376" s="29" t="n"/>
      <c r="AF376" s="95" t="n"/>
      <c r="AG376" s="29" t="n"/>
      <c r="AH376" s="95" t="n"/>
      <c r="AI376" s="33" t="n"/>
      <c r="AJ376" s="95" t="n"/>
      <c r="AK376" s="33" t="n"/>
      <c r="AL376" s="95" t="n"/>
      <c r="AM376" s="33" t="n"/>
      <c r="AN376" s="33" t="n"/>
      <c r="AO376" s="95" t="n"/>
      <c r="AP376" s="95" t="n"/>
      <c r="AQ376" s="96" t="n"/>
      <c r="AR376" s="96" t="n"/>
      <c r="AS376" s="96" t="n"/>
      <c r="AT376" s="33" t="n"/>
      <c r="AU376" s="33" t="n"/>
      <c r="AV376" s="33" t="n"/>
      <c r="AW376" s="33" t="n"/>
      <c r="AX376" s="33" t="n"/>
      <c r="AY376" s="33" t="n"/>
      <c r="AZ376" s="95" t="n"/>
      <c r="BA376" s="95" t="n"/>
      <c r="BB376" s="95" t="n"/>
      <c r="BC376" s="95" t="n"/>
      <c r="BD376" s="33" t="n"/>
      <c r="BE376" s="33" t="n"/>
      <c r="BF376" s="96" t="n"/>
      <c r="BG376" s="96" t="n"/>
      <c r="BH376" s="96" t="n"/>
    </row>
    <row r="377">
      <c r="A377" s="94" t="n"/>
      <c r="B377" s="29" t="n"/>
      <c r="C377" s="35" t="n"/>
      <c r="D377" s="29" t="n"/>
      <c r="E377" s="29" t="n"/>
      <c r="F377" s="29" t="n"/>
      <c r="G377" s="95" t="n"/>
      <c r="H377" s="29" t="n"/>
      <c r="I377" s="96" t="n"/>
      <c r="J377" s="29" t="n"/>
      <c r="K377" s="29" t="n"/>
      <c r="L377" s="95" t="n"/>
      <c r="M377" s="29" t="n"/>
      <c r="N377" s="29" t="n"/>
      <c r="O377" s="29" t="n"/>
      <c r="P377" s="95" t="n"/>
      <c r="Q377" s="29" t="n"/>
      <c r="R377" s="29" t="n"/>
      <c r="S377" s="29" t="n"/>
      <c r="T377" s="95" t="n"/>
      <c r="U377" s="29" t="n"/>
      <c r="V377" s="95" t="n"/>
      <c r="W377" s="29" t="n"/>
      <c r="X377" s="95" t="n"/>
      <c r="Y377" s="29" t="n"/>
      <c r="Z377" s="97" t="n"/>
      <c r="AA377" s="29" t="n"/>
      <c r="AB377" s="95" t="n"/>
      <c r="AC377" s="29" t="n"/>
      <c r="AD377" s="95" t="n"/>
      <c r="AE377" s="29" t="n"/>
      <c r="AF377" s="95" t="n"/>
      <c r="AG377" s="29" t="n"/>
      <c r="AH377" s="95" t="n"/>
      <c r="AI377" s="33" t="n"/>
      <c r="AJ377" s="95" t="n"/>
      <c r="AK377" s="33" t="n"/>
      <c r="AL377" s="95" t="n"/>
      <c r="AM377" s="33" t="n"/>
      <c r="AN377" s="33" t="n"/>
      <c r="AO377" s="95" t="n"/>
      <c r="AP377" s="95" t="n"/>
      <c r="AQ377" s="96" t="n"/>
      <c r="AR377" s="96" t="n"/>
      <c r="AS377" s="96" t="n"/>
      <c r="AT377" s="33" t="n"/>
      <c r="AU377" s="33" t="n"/>
      <c r="AV377" s="33" t="n"/>
      <c r="AW377" s="33" t="n"/>
      <c r="AX377" s="33" t="n"/>
      <c r="AY377" s="33" t="n"/>
      <c r="AZ377" s="95" t="n"/>
      <c r="BA377" s="95" t="n"/>
      <c r="BB377" s="95" t="n"/>
      <c r="BC377" s="95" t="n"/>
      <c r="BD377" s="33" t="n"/>
      <c r="BE377" s="33" t="n"/>
      <c r="BF377" s="96" t="n"/>
      <c r="BG377" s="96" t="n"/>
      <c r="BH377" s="96" t="n"/>
    </row>
    <row r="378">
      <c r="A378" s="94" t="n"/>
      <c r="B378" s="29" t="n"/>
      <c r="C378" s="35" t="n"/>
      <c r="D378" s="29" t="n"/>
      <c r="E378" s="29" t="n"/>
      <c r="F378" s="29" t="n"/>
      <c r="G378" s="95" t="n"/>
      <c r="H378" s="29" t="n"/>
      <c r="I378" s="96" t="n"/>
      <c r="J378" s="29" t="n"/>
      <c r="K378" s="29" t="n"/>
      <c r="L378" s="95" t="n"/>
      <c r="M378" s="29" t="n"/>
      <c r="N378" s="29" t="n"/>
      <c r="O378" s="29" t="n"/>
      <c r="P378" s="95" t="n"/>
      <c r="Q378" s="29" t="n"/>
      <c r="R378" s="29" t="n"/>
      <c r="S378" s="29" t="n"/>
      <c r="T378" s="95" t="n"/>
      <c r="U378" s="29" t="n"/>
      <c r="V378" s="95" t="n"/>
      <c r="W378" s="29" t="n"/>
      <c r="X378" s="95" t="n"/>
      <c r="Y378" s="29" t="n"/>
      <c r="Z378" s="97" t="n"/>
      <c r="AA378" s="29" t="n"/>
      <c r="AB378" s="95" t="n"/>
      <c r="AC378" s="29" t="n"/>
      <c r="AD378" s="95" t="n"/>
      <c r="AE378" s="29" t="n"/>
      <c r="AF378" s="95" t="n"/>
      <c r="AG378" s="29" t="n"/>
      <c r="AH378" s="95" t="n"/>
      <c r="AI378" s="33" t="n"/>
      <c r="AJ378" s="95" t="n"/>
      <c r="AK378" s="33" t="n"/>
      <c r="AL378" s="95" t="n"/>
      <c r="AM378" s="33" t="n"/>
      <c r="AN378" s="33" t="n"/>
      <c r="AO378" s="95" t="n"/>
      <c r="AP378" s="95" t="n"/>
      <c r="AQ378" s="96" t="n"/>
      <c r="AR378" s="96" t="n"/>
      <c r="AS378" s="96" t="n"/>
      <c r="AT378" s="33" t="n"/>
      <c r="AU378" s="33" t="n"/>
      <c r="AV378" s="33" t="n"/>
      <c r="AW378" s="33" t="n"/>
      <c r="AX378" s="33" t="n"/>
      <c r="AY378" s="33" t="n"/>
      <c r="AZ378" s="95" t="n"/>
      <c r="BA378" s="95" t="n"/>
      <c r="BB378" s="95" t="n"/>
      <c r="BC378" s="95" t="n"/>
      <c r="BD378" s="33" t="n"/>
      <c r="BE378" s="33" t="n"/>
      <c r="BF378" s="96" t="n"/>
      <c r="BG378" s="96" t="n"/>
      <c r="BH378" s="96" t="n"/>
    </row>
    <row r="379">
      <c r="A379" s="94" t="n"/>
      <c r="B379" s="29" t="n"/>
      <c r="C379" s="35" t="n"/>
      <c r="D379" s="29" t="n"/>
      <c r="E379" s="29" t="n"/>
      <c r="F379" s="29" t="n"/>
      <c r="G379" s="95" t="n"/>
      <c r="H379" s="29" t="n"/>
      <c r="I379" s="96" t="n"/>
      <c r="J379" s="29" t="n"/>
      <c r="K379" s="29" t="n"/>
      <c r="L379" s="95" t="n"/>
      <c r="M379" s="29" t="n"/>
      <c r="N379" s="29" t="n"/>
      <c r="O379" s="29" t="n"/>
      <c r="P379" s="95" t="n"/>
      <c r="Q379" s="29" t="n"/>
      <c r="R379" s="29" t="n"/>
      <c r="S379" s="29" t="n"/>
      <c r="T379" s="95" t="n"/>
      <c r="U379" s="29" t="n"/>
      <c r="V379" s="95" t="n"/>
      <c r="W379" s="29" t="n"/>
      <c r="X379" s="95" t="n"/>
      <c r="Y379" s="29" t="n"/>
      <c r="Z379" s="97" t="n"/>
      <c r="AA379" s="29" t="n"/>
      <c r="AB379" s="95" t="n"/>
      <c r="AC379" s="29" t="n"/>
      <c r="AD379" s="95" t="n"/>
      <c r="AE379" s="29" t="n"/>
      <c r="AF379" s="95" t="n"/>
      <c r="AG379" s="29" t="n"/>
      <c r="AH379" s="95" t="n"/>
      <c r="AI379" s="33" t="n"/>
      <c r="AJ379" s="95" t="n"/>
      <c r="AK379" s="33" t="n"/>
      <c r="AL379" s="95" t="n"/>
      <c r="AM379" s="33" t="n"/>
      <c r="AN379" s="33" t="n"/>
      <c r="AO379" s="95" t="n"/>
      <c r="AP379" s="95" t="n"/>
      <c r="AQ379" s="96" t="n"/>
      <c r="AR379" s="96" t="n"/>
      <c r="AS379" s="96" t="n"/>
      <c r="AT379" s="33" t="n"/>
      <c r="AU379" s="33" t="n"/>
      <c r="AV379" s="33" t="n"/>
      <c r="AW379" s="33" t="n"/>
      <c r="AX379" s="33" t="n"/>
      <c r="AY379" s="33" t="n"/>
      <c r="AZ379" s="95" t="n"/>
      <c r="BA379" s="95" t="n"/>
      <c r="BB379" s="95" t="n"/>
      <c r="BC379" s="95" t="n"/>
      <c r="BD379" s="33" t="n"/>
      <c r="BE379" s="33" t="n"/>
      <c r="BF379" s="96" t="n"/>
      <c r="BG379" s="96" t="n"/>
      <c r="BH379" s="96" t="n"/>
    </row>
    <row r="380">
      <c r="A380" s="94" t="n"/>
      <c r="B380" s="29" t="n"/>
      <c r="C380" s="35" t="n"/>
      <c r="D380" s="29" t="n"/>
      <c r="E380" s="29" t="n"/>
      <c r="F380" s="29" t="n"/>
      <c r="G380" s="95" t="n"/>
      <c r="H380" s="29" t="n"/>
      <c r="I380" s="96" t="n"/>
      <c r="J380" s="29" t="n"/>
      <c r="K380" s="29" t="n"/>
      <c r="L380" s="95" t="n"/>
      <c r="M380" s="29" t="n"/>
      <c r="N380" s="29" t="n"/>
      <c r="O380" s="29" t="n"/>
      <c r="P380" s="95" t="n"/>
      <c r="Q380" s="29" t="n"/>
      <c r="R380" s="29" t="n"/>
      <c r="S380" s="29" t="n"/>
      <c r="T380" s="95" t="n"/>
      <c r="U380" s="29" t="n"/>
      <c r="V380" s="95" t="n"/>
      <c r="W380" s="29" t="n"/>
      <c r="X380" s="95" t="n"/>
      <c r="Y380" s="29" t="n"/>
      <c r="Z380" s="97" t="n"/>
      <c r="AA380" s="29" t="n"/>
      <c r="AB380" s="95" t="n"/>
      <c r="AC380" s="29" t="n"/>
      <c r="AD380" s="95" t="n"/>
      <c r="AE380" s="29" t="n"/>
      <c r="AF380" s="95" t="n"/>
      <c r="AG380" s="29" t="n"/>
      <c r="AH380" s="95" t="n"/>
      <c r="AI380" s="33" t="n"/>
      <c r="AJ380" s="95" t="n"/>
      <c r="AK380" s="33" t="n"/>
      <c r="AL380" s="95" t="n"/>
      <c r="AM380" s="33" t="n"/>
      <c r="AN380" s="33" t="n"/>
      <c r="AO380" s="95" t="n"/>
      <c r="AP380" s="95" t="n"/>
      <c r="AQ380" s="96" t="n"/>
      <c r="AR380" s="96" t="n"/>
      <c r="AS380" s="96" t="n"/>
      <c r="AT380" s="33" t="n"/>
      <c r="AU380" s="33" t="n"/>
      <c r="AV380" s="33" t="n"/>
      <c r="AW380" s="33" t="n"/>
      <c r="AX380" s="33" t="n"/>
      <c r="AY380" s="33" t="n"/>
      <c r="AZ380" s="95" t="n"/>
      <c r="BA380" s="95" t="n"/>
      <c r="BB380" s="95" t="n"/>
      <c r="BC380" s="95" t="n"/>
      <c r="BD380" s="33" t="n"/>
      <c r="BE380" s="33" t="n"/>
      <c r="BF380" s="96" t="n"/>
      <c r="BG380" s="96" t="n"/>
      <c r="BH380" s="96" t="n"/>
    </row>
    <row r="381">
      <c r="A381" s="94" t="n"/>
      <c r="B381" s="29" t="n"/>
      <c r="C381" s="35" t="n"/>
      <c r="D381" s="29" t="n"/>
      <c r="E381" s="29" t="n"/>
      <c r="F381" s="29" t="n"/>
      <c r="G381" s="95" t="n"/>
      <c r="H381" s="29" t="n"/>
      <c r="I381" s="96" t="n"/>
      <c r="J381" s="29" t="n"/>
      <c r="K381" s="29" t="n"/>
      <c r="L381" s="95" t="n"/>
      <c r="M381" s="29" t="n"/>
      <c r="N381" s="29" t="n"/>
      <c r="O381" s="29" t="n"/>
      <c r="P381" s="95" t="n"/>
      <c r="Q381" s="29" t="n"/>
      <c r="R381" s="29" t="n"/>
      <c r="S381" s="29" t="n"/>
      <c r="T381" s="95" t="n"/>
      <c r="U381" s="29" t="n"/>
      <c r="V381" s="95" t="n"/>
      <c r="W381" s="29" t="n"/>
      <c r="X381" s="95" t="n"/>
      <c r="Y381" s="29" t="n"/>
      <c r="Z381" s="97" t="n"/>
      <c r="AA381" s="29" t="n"/>
      <c r="AB381" s="95" t="n"/>
      <c r="AC381" s="29" t="n"/>
      <c r="AD381" s="95" t="n"/>
      <c r="AE381" s="29" t="n"/>
      <c r="AF381" s="95" t="n"/>
      <c r="AG381" s="29" t="n"/>
      <c r="AH381" s="95" t="n"/>
      <c r="AI381" s="33" t="n"/>
      <c r="AJ381" s="95" t="n"/>
      <c r="AK381" s="33" t="n"/>
      <c r="AL381" s="95" t="n"/>
      <c r="AM381" s="33" t="n"/>
      <c r="AN381" s="33" t="n"/>
      <c r="AO381" s="95" t="n"/>
      <c r="AP381" s="95" t="n"/>
      <c r="AQ381" s="96" t="n"/>
      <c r="AR381" s="96" t="n"/>
      <c r="AS381" s="96" t="n"/>
      <c r="AT381" s="33" t="n"/>
      <c r="AU381" s="33" t="n"/>
      <c r="AV381" s="33" t="n"/>
      <c r="AW381" s="33" t="n"/>
      <c r="AX381" s="33" t="n"/>
      <c r="AY381" s="33" t="n"/>
      <c r="AZ381" s="95" t="n"/>
      <c r="BA381" s="95" t="n"/>
      <c r="BB381" s="95" t="n"/>
      <c r="BC381" s="95" t="n"/>
      <c r="BD381" s="33" t="n"/>
      <c r="BE381" s="33" t="n"/>
      <c r="BF381" s="96" t="n"/>
      <c r="BG381" s="96" t="n"/>
      <c r="BH381" s="96" t="n"/>
    </row>
    <row r="382">
      <c r="A382" s="94" t="n"/>
      <c r="B382" s="29" t="n"/>
      <c r="C382" s="35" t="n"/>
      <c r="D382" s="29" t="n"/>
      <c r="E382" s="29" t="n"/>
      <c r="F382" s="29" t="n"/>
      <c r="G382" s="95" t="n"/>
      <c r="H382" s="29" t="n"/>
      <c r="I382" s="96" t="n"/>
      <c r="J382" s="29" t="n"/>
      <c r="K382" s="29" t="n"/>
      <c r="L382" s="95" t="n"/>
      <c r="M382" s="29" t="n"/>
      <c r="N382" s="29" t="n"/>
      <c r="O382" s="29" t="n"/>
      <c r="P382" s="95" t="n"/>
      <c r="Q382" s="29" t="n"/>
      <c r="R382" s="29" t="n"/>
      <c r="S382" s="29" t="n"/>
      <c r="T382" s="95" t="n"/>
      <c r="U382" s="29" t="n"/>
      <c r="V382" s="95" t="n"/>
      <c r="W382" s="29" t="n"/>
      <c r="X382" s="95" t="n"/>
      <c r="Y382" s="29" t="n"/>
      <c r="Z382" s="97" t="n"/>
      <c r="AA382" s="29" t="n"/>
      <c r="AB382" s="95" t="n"/>
      <c r="AC382" s="29" t="n"/>
      <c r="AD382" s="95" t="n"/>
      <c r="AE382" s="29" t="n"/>
      <c r="AF382" s="95" t="n"/>
      <c r="AG382" s="29" t="n"/>
      <c r="AH382" s="95" t="n"/>
      <c r="AI382" s="33" t="n"/>
      <c r="AJ382" s="95" t="n"/>
      <c r="AK382" s="33" t="n"/>
      <c r="AL382" s="95" t="n"/>
      <c r="AM382" s="33" t="n"/>
      <c r="AN382" s="33" t="n"/>
      <c r="AO382" s="95" t="n"/>
      <c r="AP382" s="95" t="n"/>
      <c r="AQ382" s="96" t="n"/>
      <c r="AR382" s="96" t="n"/>
      <c r="AS382" s="96" t="n"/>
      <c r="AT382" s="33" t="n"/>
      <c r="AU382" s="33" t="n"/>
      <c r="AV382" s="33" t="n"/>
      <c r="AW382" s="33" t="n"/>
      <c r="AX382" s="33" t="n"/>
      <c r="AY382" s="33" t="n"/>
      <c r="AZ382" s="95" t="n"/>
      <c r="BA382" s="95" t="n"/>
      <c r="BB382" s="95" t="n"/>
      <c r="BC382" s="95" t="n"/>
      <c r="BD382" s="33" t="n"/>
      <c r="BE382" s="33" t="n"/>
      <c r="BF382" s="96" t="n"/>
      <c r="BG382" s="96" t="n"/>
      <c r="BH382" s="96" t="n"/>
    </row>
    <row r="383">
      <c r="A383" s="94" t="n"/>
      <c r="B383" s="29" t="n"/>
      <c r="C383" s="35" t="n"/>
      <c r="D383" s="29" t="n"/>
      <c r="E383" s="29" t="n"/>
      <c r="F383" s="29" t="n"/>
      <c r="G383" s="95" t="n"/>
      <c r="H383" s="29" t="n"/>
      <c r="I383" s="96" t="n"/>
      <c r="J383" s="29" t="n"/>
      <c r="K383" s="29" t="n"/>
      <c r="L383" s="95" t="n"/>
      <c r="M383" s="29" t="n"/>
      <c r="N383" s="29" t="n"/>
      <c r="O383" s="29" t="n"/>
      <c r="P383" s="95" t="n"/>
      <c r="Q383" s="29" t="n"/>
      <c r="R383" s="29" t="n"/>
      <c r="S383" s="29" t="n"/>
      <c r="T383" s="95" t="n"/>
      <c r="U383" s="29" t="n"/>
      <c r="V383" s="95" t="n"/>
      <c r="W383" s="29" t="n"/>
      <c r="X383" s="95" t="n"/>
      <c r="Y383" s="29" t="n"/>
      <c r="Z383" s="97" t="n"/>
      <c r="AA383" s="29" t="n"/>
      <c r="AB383" s="95" t="n"/>
      <c r="AC383" s="29" t="n"/>
      <c r="AD383" s="95" t="n"/>
      <c r="AE383" s="29" t="n"/>
      <c r="AF383" s="95" t="n"/>
      <c r="AG383" s="29" t="n"/>
      <c r="AH383" s="95" t="n"/>
      <c r="AI383" s="33" t="n"/>
      <c r="AJ383" s="95" t="n"/>
      <c r="AK383" s="33" t="n"/>
      <c r="AL383" s="95" t="n"/>
      <c r="AM383" s="33" t="n"/>
      <c r="AN383" s="33" t="n"/>
      <c r="AO383" s="95" t="n"/>
      <c r="AP383" s="95" t="n"/>
      <c r="AQ383" s="96" t="n"/>
      <c r="AR383" s="96" t="n"/>
      <c r="AS383" s="96" t="n"/>
      <c r="AT383" s="33" t="n"/>
      <c r="AU383" s="33" t="n"/>
      <c r="AV383" s="33" t="n"/>
      <c r="AW383" s="33" t="n"/>
      <c r="AX383" s="33" t="n"/>
      <c r="AY383" s="33" t="n"/>
      <c r="AZ383" s="95" t="n"/>
      <c r="BA383" s="95" t="n"/>
      <c r="BB383" s="95" t="n"/>
      <c r="BC383" s="95" t="n"/>
      <c r="BD383" s="33" t="n"/>
      <c r="BE383" s="33" t="n"/>
      <c r="BF383" s="96" t="n"/>
      <c r="BG383" s="96" t="n"/>
      <c r="BH383" s="96" t="n"/>
    </row>
    <row r="384">
      <c r="A384" s="94" t="n"/>
      <c r="B384" s="29" t="n"/>
      <c r="C384" s="35" t="n"/>
      <c r="D384" s="29" t="n"/>
      <c r="E384" s="29" t="n"/>
      <c r="F384" s="29" t="n"/>
      <c r="G384" s="95" t="n"/>
      <c r="H384" s="29" t="n"/>
      <c r="I384" s="96" t="n"/>
      <c r="J384" s="29" t="n"/>
      <c r="K384" s="29" t="n"/>
      <c r="L384" s="95" t="n"/>
      <c r="M384" s="29" t="n"/>
      <c r="N384" s="29" t="n"/>
      <c r="O384" s="29" t="n"/>
      <c r="P384" s="95" t="n"/>
      <c r="Q384" s="29" t="n"/>
      <c r="R384" s="29" t="n"/>
      <c r="S384" s="29" t="n"/>
      <c r="T384" s="95" t="n"/>
      <c r="U384" s="29" t="n"/>
      <c r="V384" s="95" t="n"/>
      <c r="W384" s="29" t="n"/>
      <c r="X384" s="95" t="n"/>
      <c r="Y384" s="29" t="n"/>
      <c r="Z384" s="97" t="n"/>
      <c r="AA384" s="29" t="n"/>
      <c r="AB384" s="95" t="n"/>
      <c r="AC384" s="29" t="n"/>
      <c r="AD384" s="95" t="n"/>
      <c r="AE384" s="29" t="n"/>
      <c r="AF384" s="95" t="n"/>
      <c r="AG384" s="29" t="n"/>
      <c r="AH384" s="95" t="n"/>
      <c r="AI384" s="33" t="n"/>
      <c r="AJ384" s="95" t="n"/>
      <c r="AK384" s="33" t="n"/>
      <c r="AL384" s="95" t="n"/>
      <c r="AM384" s="33" t="n"/>
      <c r="AN384" s="33" t="n"/>
      <c r="AO384" s="95" t="n"/>
      <c r="AP384" s="95" t="n"/>
      <c r="AQ384" s="96" t="n"/>
      <c r="AR384" s="96" t="n"/>
      <c r="AS384" s="96" t="n"/>
      <c r="AT384" s="33" t="n"/>
      <c r="AU384" s="33" t="n"/>
      <c r="AV384" s="33" t="n"/>
      <c r="AW384" s="33" t="n"/>
      <c r="AX384" s="33" t="n"/>
      <c r="AY384" s="33" t="n"/>
      <c r="AZ384" s="95" t="n"/>
      <c r="BA384" s="95" t="n"/>
      <c r="BB384" s="95" t="n"/>
      <c r="BC384" s="95" t="n"/>
      <c r="BD384" s="33" t="n"/>
      <c r="BE384" s="33" t="n"/>
      <c r="BF384" s="96" t="n"/>
      <c r="BG384" s="96" t="n"/>
      <c r="BH384" s="96" t="n"/>
    </row>
    <row r="385">
      <c r="A385" s="94" t="n"/>
      <c r="B385" s="29" t="n"/>
      <c r="C385" s="35" t="n"/>
      <c r="D385" s="29" t="n"/>
      <c r="E385" s="29" t="n"/>
      <c r="F385" s="29" t="n"/>
      <c r="G385" s="95" t="n"/>
      <c r="H385" s="29" t="n"/>
      <c r="I385" s="96" t="n"/>
      <c r="J385" s="29" t="n"/>
      <c r="K385" s="29" t="n"/>
      <c r="L385" s="95" t="n"/>
      <c r="M385" s="29" t="n"/>
      <c r="N385" s="29" t="n"/>
      <c r="O385" s="29" t="n"/>
      <c r="P385" s="95" t="n"/>
      <c r="Q385" s="29" t="n"/>
      <c r="R385" s="29" t="n"/>
      <c r="S385" s="29" t="n"/>
      <c r="T385" s="95" t="n"/>
      <c r="U385" s="29" t="n"/>
      <c r="V385" s="95" t="n"/>
      <c r="W385" s="29" t="n"/>
      <c r="X385" s="95" t="n"/>
      <c r="Y385" s="29" t="n"/>
      <c r="Z385" s="97" t="n"/>
      <c r="AA385" s="29" t="n"/>
      <c r="AB385" s="95" t="n"/>
      <c r="AC385" s="29" t="n"/>
      <c r="AD385" s="95" t="n"/>
      <c r="AE385" s="29" t="n"/>
      <c r="AF385" s="95" t="n"/>
      <c r="AG385" s="29" t="n"/>
      <c r="AH385" s="95" t="n"/>
      <c r="AI385" s="33" t="n"/>
      <c r="AJ385" s="95" t="n"/>
      <c r="AK385" s="33" t="n"/>
      <c r="AL385" s="95" t="n"/>
      <c r="AM385" s="33" t="n"/>
      <c r="AN385" s="33" t="n"/>
      <c r="AO385" s="95" t="n"/>
      <c r="AP385" s="95" t="n"/>
      <c r="AQ385" s="96" t="n"/>
      <c r="AR385" s="96" t="n"/>
      <c r="AS385" s="96" t="n"/>
      <c r="AT385" s="33" t="n"/>
      <c r="AU385" s="33" t="n"/>
      <c r="AV385" s="33" t="n"/>
      <c r="AW385" s="33" t="n"/>
      <c r="AX385" s="33" t="n"/>
      <c r="AY385" s="33" t="n"/>
      <c r="AZ385" s="95" t="n"/>
      <c r="BA385" s="95" t="n"/>
      <c r="BB385" s="95" t="n"/>
      <c r="BC385" s="95" t="n"/>
      <c r="BD385" s="33" t="n"/>
      <c r="BE385" s="33" t="n"/>
      <c r="BF385" s="96" t="n"/>
      <c r="BG385" s="96" t="n"/>
      <c r="BH385" s="96" t="n"/>
    </row>
    <row r="386">
      <c r="A386" s="94" t="n"/>
      <c r="B386" s="29" t="n"/>
      <c r="C386" s="35" t="n"/>
      <c r="D386" s="29" t="n"/>
      <c r="E386" s="29" t="n"/>
      <c r="F386" s="29" t="n"/>
      <c r="G386" s="95" t="n"/>
      <c r="H386" s="29" t="n"/>
      <c r="I386" s="96" t="n"/>
      <c r="J386" s="29" t="n"/>
      <c r="K386" s="29" t="n"/>
      <c r="L386" s="95" t="n"/>
      <c r="M386" s="29" t="n"/>
      <c r="N386" s="29" t="n"/>
      <c r="O386" s="29" t="n"/>
      <c r="P386" s="95" t="n"/>
      <c r="Q386" s="29" t="n"/>
      <c r="R386" s="29" t="n"/>
      <c r="S386" s="29" t="n"/>
      <c r="T386" s="95" t="n"/>
      <c r="U386" s="29" t="n"/>
      <c r="V386" s="95" t="n"/>
      <c r="W386" s="29" t="n"/>
      <c r="X386" s="95" t="n"/>
      <c r="Y386" s="29" t="n"/>
      <c r="Z386" s="97" t="n"/>
      <c r="AA386" s="29" t="n"/>
      <c r="AB386" s="95" t="n"/>
      <c r="AC386" s="29" t="n"/>
      <c r="AD386" s="95" t="n"/>
      <c r="AE386" s="29" t="n"/>
      <c r="AF386" s="95" t="n"/>
      <c r="AG386" s="29" t="n"/>
      <c r="AH386" s="95" t="n"/>
      <c r="AI386" s="33" t="n"/>
      <c r="AJ386" s="95" t="n"/>
      <c r="AK386" s="33" t="n"/>
      <c r="AL386" s="95" t="n"/>
      <c r="AM386" s="33" t="n"/>
      <c r="AN386" s="33" t="n"/>
      <c r="AO386" s="95" t="n"/>
      <c r="AP386" s="95" t="n"/>
      <c r="AQ386" s="96" t="n"/>
      <c r="AR386" s="96" t="n"/>
      <c r="AS386" s="96" t="n"/>
      <c r="AT386" s="33" t="n"/>
      <c r="AU386" s="33" t="n"/>
      <c r="AV386" s="33" t="n"/>
      <c r="AW386" s="33" t="n"/>
      <c r="AX386" s="33" t="n"/>
      <c r="AY386" s="33" t="n"/>
      <c r="AZ386" s="95" t="n"/>
      <c r="BA386" s="95" t="n"/>
      <c r="BB386" s="95" t="n"/>
      <c r="BC386" s="95" t="n"/>
      <c r="BD386" s="33" t="n"/>
      <c r="BE386" s="33" t="n"/>
      <c r="BF386" s="96" t="n"/>
      <c r="BG386" s="96" t="n"/>
      <c r="BH386" s="96" t="n"/>
    </row>
    <row r="387">
      <c r="A387" s="94" t="n"/>
      <c r="B387" s="29" t="n"/>
      <c r="C387" s="35" t="n"/>
      <c r="D387" s="29" t="n"/>
      <c r="E387" s="29" t="n"/>
      <c r="F387" s="29" t="n"/>
      <c r="G387" s="95" t="n"/>
      <c r="H387" s="29" t="n"/>
      <c r="I387" s="96" t="n"/>
      <c r="J387" s="29" t="n"/>
      <c r="K387" s="29" t="n"/>
      <c r="L387" s="95" t="n"/>
      <c r="M387" s="29" t="n"/>
      <c r="N387" s="29" t="n"/>
      <c r="O387" s="29" t="n"/>
      <c r="P387" s="95" t="n"/>
      <c r="Q387" s="29" t="n"/>
      <c r="R387" s="29" t="n"/>
      <c r="S387" s="29" t="n"/>
      <c r="T387" s="95" t="n"/>
      <c r="U387" s="29" t="n"/>
      <c r="V387" s="95" t="n"/>
      <c r="W387" s="29" t="n"/>
      <c r="X387" s="95" t="n"/>
      <c r="Y387" s="29" t="n"/>
      <c r="Z387" s="97" t="n"/>
      <c r="AA387" s="29" t="n"/>
      <c r="AB387" s="95" t="n"/>
      <c r="AC387" s="29" t="n"/>
      <c r="AD387" s="95" t="n"/>
      <c r="AE387" s="29" t="n"/>
      <c r="AF387" s="95" t="n"/>
      <c r="AG387" s="29" t="n"/>
      <c r="AH387" s="95" t="n"/>
      <c r="AI387" s="33" t="n"/>
      <c r="AJ387" s="95" t="n"/>
      <c r="AK387" s="33" t="n"/>
      <c r="AL387" s="95" t="n"/>
      <c r="AM387" s="33" t="n"/>
      <c r="AN387" s="33" t="n"/>
      <c r="AO387" s="95" t="n"/>
      <c r="AP387" s="95" t="n"/>
      <c r="AQ387" s="96" t="n"/>
      <c r="AR387" s="96" t="n"/>
      <c r="AS387" s="96" t="n"/>
      <c r="AT387" s="33" t="n"/>
      <c r="AU387" s="33" t="n"/>
      <c r="AV387" s="33" t="n"/>
      <c r="AW387" s="33" t="n"/>
      <c r="AX387" s="33" t="n"/>
      <c r="AY387" s="33" t="n"/>
      <c r="AZ387" s="95" t="n"/>
      <c r="BA387" s="95" t="n"/>
      <c r="BB387" s="95" t="n"/>
      <c r="BC387" s="95" t="n"/>
      <c r="BD387" s="33" t="n"/>
      <c r="BE387" s="33" t="n"/>
      <c r="BF387" s="96" t="n"/>
      <c r="BG387" s="96" t="n"/>
      <c r="BH387" s="96" t="n"/>
    </row>
    <row r="388">
      <c r="A388" s="94" t="n"/>
      <c r="B388" s="29" t="n"/>
      <c r="C388" s="35" t="n"/>
      <c r="D388" s="29" t="n"/>
      <c r="E388" s="29" t="n"/>
      <c r="F388" s="29" t="n"/>
      <c r="G388" s="95" t="n"/>
      <c r="H388" s="29" t="n"/>
      <c r="I388" s="96" t="n"/>
      <c r="J388" s="29" t="n"/>
      <c r="K388" s="29" t="n"/>
      <c r="L388" s="95" t="n"/>
      <c r="M388" s="29" t="n"/>
      <c r="N388" s="29" t="n"/>
      <c r="O388" s="29" t="n"/>
      <c r="P388" s="95" t="n"/>
      <c r="Q388" s="29" t="n"/>
      <c r="R388" s="29" t="n"/>
      <c r="S388" s="29" t="n"/>
      <c r="T388" s="95" t="n"/>
      <c r="U388" s="29" t="n"/>
      <c r="V388" s="95" t="n"/>
      <c r="W388" s="29" t="n"/>
      <c r="X388" s="95" t="n"/>
      <c r="Y388" s="29" t="n"/>
      <c r="Z388" s="97" t="n"/>
      <c r="AA388" s="29" t="n"/>
      <c r="AB388" s="95" t="n"/>
      <c r="AC388" s="29" t="n"/>
      <c r="AD388" s="95" t="n"/>
      <c r="AE388" s="29" t="n"/>
      <c r="AF388" s="95" t="n"/>
      <c r="AG388" s="29" t="n"/>
      <c r="AH388" s="95" t="n"/>
      <c r="AI388" s="33" t="n"/>
      <c r="AJ388" s="95" t="n"/>
      <c r="AK388" s="33" t="n"/>
      <c r="AL388" s="95" t="n"/>
      <c r="AM388" s="33" t="n"/>
      <c r="AN388" s="33" t="n"/>
      <c r="AO388" s="95" t="n"/>
      <c r="AP388" s="95" t="n"/>
      <c r="AQ388" s="96" t="n"/>
      <c r="AR388" s="96" t="n"/>
      <c r="AS388" s="96" t="n"/>
      <c r="AT388" s="33" t="n"/>
      <c r="AU388" s="33" t="n"/>
      <c r="AV388" s="33" t="n"/>
      <c r="AW388" s="33" t="n"/>
      <c r="AX388" s="33" t="n"/>
      <c r="AY388" s="33" t="n"/>
      <c r="AZ388" s="95" t="n"/>
      <c r="BA388" s="95" t="n"/>
      <c r="BB388" s="95" t="n"/>
      <c r="BC388" s="95" t="n"/>
      <c r="BD388" s="33" t="n"/>
      <c r="BE388" s="33" t="n"/>
      <c r="BF388" s="96" t="n"/>
      <c r="BG388" s="96" t="n"/>
      <c r="BH388" s="96" t="n"/>
    </row>
    <row r="389">
      <c r="A389" s="94" t="n"/>
      <c r="B389" s="29" t="n"/>
      <c r="C389" s="35" t="n"/>
      <c r="D389" s="29" t="n"/>
      <c r="E389" s="29" t="n"/>
      <c r="F389" s="29" t="n"/>
      <c r="G389" s="95" t="n"/>
      <c r="H389" s="29" t="n"/>
      <c r="I389" s="96" t="n"/>
      <c r="J389" s="29" t="n"/>
      <c r="K389" s="29" t="n"/>
      <c r="L389" s="95" t="n"/>
      <c r="M389" s="29" t="n"/>
      <c r="N389" s="29" t="n"/>
      <c r="O389" s="29" t="n"/>
      <c r="P389" s="95" t="n"/>
      <c r="Q389" s="29" t="n"/>
      <c r="R389" s="29" t="n"/>
      <c r="S389" s="29" t="n"/>
      <c r="T389" s="95" t="n"/>
      <c r="U389" s="29" t="n"/>
      <c r="V389" s="95" t="n"/>
      <c r="W389" s="29" t="n"/>
      <c r="X389" s="95" t="n"/>
      <c r="Y389" s="29" t="n"/>
      <c r="Z389" s="97" t="n"/>
      <c r="AA389" s="29" t="n"/>
      <c r="AB389" s="95" t="n"/>
      <c r="AC389" s="29" t="n"/>
      <c r="AD389" s="95" t="n"/>
      <c r="AE389" s="29" t="n"/>
      <c r="AF389" s="95" t="n"/>
      <c r="AG389" s="29" t="n"/>
      <c r="AH389" s="95" t="n"/>
      <c r="AI389" s="33" t="n"/>
      <c r="AJ389" s="95" t="n"/>
      <c r="AK389" s="33" t="n"/>
      <c r="AL389" s="95" t="n"/>
      <c r="AM389" s="33" t="n"/>
      <c r="AN389" s="33" t="n"/>
      <c r="AO389" s="95" t="n"/>
      <c r="AP389" s="95" t="n"/>
      <c r="AQ389" s="96" t="n"/>
      <c r="AR389" s="96" t="n"/>
      <c r="AS389" s="96" t="n"/>
      <c r="AT389" s="33" t="n"/>
      <c r="AU389" s="33" t="n"/>
      <c r="AV389" s="33" t="n"/>
      <c r="AW389" s="33" t="n"/>
      <c r="AX389" s="33" t="n"/>
      <c r="AY389" s="33" t="n"/>
      <c r="AZ389" s="95" t="n"/>
      <c r="BA389" s="95" t="n"/>
      <c r="BB389" s="95" t="n"/>
      <c r="BC389" s="95" t="n"/>
      <c r="BD389" s="33" t="n"/>
      <c r="BE389" s="33" t="n"/>
      <c r="BF389" s="96" t="n"/>
      <c r="BG389" s="96" t="n"/>
      <c r="BH389" s="96" t="n"/>
    </row>
    <row r="390">
      <c r="A390" s="94" t="n"/>
      <c r="B390" s="29" t="n"/>
      <c r="C390" s="35" t="n"/>
      <c r="D390" s="29" t="n"/>
      <c r="E390" s="29" t="n"/>
      <c r="F390" s="29" t="n"/>
      <c r="G390" s="95" t="n"/>
      <c r="H390" s="29" t="n"/>
      <c r="I390" s="96" t="n"/>
      <c r="J390" s="29" t="n"/>
      <c r="K390" s="29" t="n"/>
      <c r="L390" s="95" t="n"/>
      <c r="M390" s="29" t="n"/>
      <c r="N390" s="29" t="n"/>
      <c r="O390" s="29" t="n"/>
      <c r="P390" s="95" t="n"/>
      <c r="Q390" s="29" t="n"/>
      <c r="R390" s="29" t="n"/>
      <c r="S390" s="29" t="n"/>
      <c r="T390" s="95" t="n"/>
      <c r="U390" s="29" t="n"/>
      <c r="V390" s="95" t="n"/>
      <c r="W390" s="29" t="n"/>
      <c r="X390" s="95" t="n"/>
      <c r="Y390" s="29" t="n"/>
      <c r="Z390" s="97" t="n"/>
      <c r="AA390" s="29" t="n"/>
      <c r="AB390" s="95" t="n"/>
      <c r="AC390" s="29" t="n"/>
      <c r="AD390" s="95" t="n"/>
      <c r="AE390" s="29" t="n"/>
      <c r="AF390" s="95" t="n"/>
      <c r="AG390" s="29" t="n"/>
      <c r="AH390" s="95" t="n"/>
      <c r="AI390" s="33" t="n"/>
      <c r="AJ390" s="95" t="n"/>
      <c r="AK390" s="33" t="n"/>
      <c r="AL390" s="95" t="n"/>
      <c r="AM390" s="33" t="n"/>
      <c r="AN390" s="33" t="n"/>
      <c r="AO390" s="95" t="n"/>
      <c r="AP390" s="95" t="n"/>
      <c r="AQ390" s="96" t="n"/>
      <c r="AR390" s="96" t="n"/>
      <c r="AS390" s="96" t="n"/>
      <c r="AT390" s="33" t="n"/>
      <c r="AU390" s="33" t="n"/>
      <c r="AV390" s="33" t="n"/>
      <c r="AW390" s="33" t="n"/>
      <c r="AX390" s="33" t="n"/>
      <c r="AY390" s="33" t="n"/>
      <c r="AZ390" s="95" t="n"/>
      <c r="BA390" s="95" t="n"/>
      <c r="BB390" s="95" t="n"/>
      <c r="BC390" s="95" t="n"/>
      <c r="BD390" s="33" t="n"/>
      <c r="BE390" s="33" t="n"/>
      <c r="BF390" s="96" t="n"/>
      <c r="BG390" s="96" t="n"/>
      <c r="BH390" s="96" t="n"/>
    </row>
  </sheetData>
  <autoFilter ref="A3:BH287">
    <filterColumn colId="2" hiddenButton="0" showButton="1">
      <filters>
        <dateGroupItem year="2026" month="8" dateTimeGrouping="month"/>
      </filters>
    </filterColumn>
    <filterColumn colId="3" hiddenButton="0" showButton="1">
      <filters>
        <filter val="N6"/>
        <filter val="N7"/>
        <filter val="NX8"/>
        <filter val="天籁·鸿蒙座舱"/>
      </filters>
    </filterColumn>
    <sortState ref="A6:BH198">
      <sortCondition ref="C3:C287"/>
    </sortState>
  </autoFilter>
  <mergeCells count="13">
    <mergeCell ref="R1:V1"/>
    <mergeCell ref="AC1:AH1"/>
    <mergeCell ref="AT1:BC1"/>
    <mergeCell ref="W1:AB1"/>
    <mergeCell ref="A3:D3"/>
    <mergeCell ref="E1:I1"/>
    <mergeCell ref="D1:D2"/>
    <mergeCell ref="B1:B2"/>
    <mergeCell ref="C1:C2"/>
    <mergeCell ref="J1:Q1"/>
    <mergeCell ref="BD1:BH1"/>
    <mergeCell ref="AI1:AS1"/>
    <mergeCell ref="A1:A2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>
  <sheetPr>
    <tabColor theme="7" tint="0.7999816888943144"/>
    <outlinePr summaryBelow="1" summaryRight="1"/>
    <pageSetUpPr/>
  </sheetPr>
  <dimension ref="A1:BH163"/>
  <sheetViews>
    <sheetView workbookViewId="0">
      <selection activeCell="A1" sqref="A1"/>
    </sheetView>
  </sheetViews>
  <sheetFormatPr baseColWidth="8" defaultRowHeight="14.25"/>
  <cols>
    <col width="5.5625" customWidth="1" min="1" max="1"/>
    <col width="6.78515625" customWidth="1" min="2" max="2"/>
    <col width="9.76953125" customWidth="1" min="3" max="3"/>
    <col width="11.125" customWidth="1" min="4" max="4"/>
    <col width="7.4609375" customWidth="1" min="5" max="5"/>
    <col width="7.4609375" customWidth="1" min="6" max="6"/>
    <col width="7.4609375" customWidth="1" min="7" max="7"/>
    <col width="8.953125" customWidth="1" min="8" max="8"/>
    <col width="8.953125" customWidth="1" min="9" max="9"/>
    <col width="7.4609375" customWidth="1" min="10" max="10"/>
    <col width="7.4609375" customWidth="1" min="11" max="11"/>
    <col width="7.4609375" customWidth="1" min="12" max="12"/>
    <col width="8.953125" customWidth="1" min="13" max="13"/>
    <col width="8.953125" customWidth="1" min="14" max="14"/>
    <col width="8.953125" customWidth="1" min="15" max="15"/>
    <col width="8.953125" customWidth="1" min="16" max="16"/>
    <col width="8.953125" customWidth="1" min="17" max="17"/>
    <col width="7.4609375" customWidth="1" min="18" max="18"/>
    <col width="9.49609375" customWidth="1" min="19" max="19"/>
    <col width="9.49609375" customWidth="1" min="20" max="20"/>
    <col width="9.49609375" customWidth="1" min="21" max="21"/>
    <col width="9.49609375" customWidth="1" min="22" max="22"/>
    <col width="7.4609375" customWidth="1" min="23" max="23"/>
    <col width="6.78515625" customWidth="1" min="24" max="24"/>
    <col width="7.4609375" customWidth="1" min="25" max="25"/>
    <col width="6.78515625" customWidth="1" min="26" max="26"/>
    <col width="7.4609375" customWidth="1" min="27" max="27"/>
    <col width="6.78515625" customWidth="1" min="28" max="28"/>
    <col width="7.4609375" customWidth="1" min="29" max="29"/>
    <col width="7.4609375" customWidth="1" min="30" max="30"/>
    <col width="7.4609375" customWidth="1" min="31" max="31"/>
    <col width="8.27734375" customWidth="1" min="32" max="32"/>
    <col width="9.76953125" customWidth="1" min="33" max="33"/>
    <col width="9.76953125" customWidth="1" min="34" max="34"/>
    <col width="7.4609375" customWidth="1" min="35" max="35"/>
    <col width="7.4609375" customWidth="1" min="36" max="36"/>
    <col width="7.4609375" customWidth="1" min="37" max="37"/>
    <col width="7.4609375" customWidth="1" min="38" max="38"/>
    <col width="6.78515625" customWidth="1" min="39" max="39"/>
    <col width="7.4609375" customWidth="1" min="40" max="40"/>
    <col width="7.4609375" customWidth="1" min="41" max="41"/>
    <col width="10.71875" customWidth="1" min="42" max="42"/>
    <col width="12.484375" customWidth="1" min="43" max="43"/>
    <col width="12.484375" customWidth="1" min="44" max="44"/>
    <col width="12.484375" customWidth="1" min="45" max="45"/>
    <col width="9.76953125" customWidth="1" min="46" max="46"/>
    <col width="6.78515625" customWidth="1" min="47" max="47"/>
    <col width="7.4609375" customWidth="1" min="48" max="48"/>
    <col width="6.10546875" customWidth="1" min="49" max="49"/>
    <col width="6.10546875" customWidth="1" min="50" max="50"/>
    <col width="6.10546875" customWidth="1" min="51" max="51"/>
    <col width="8.140625" customWidth="1" min="52" max="52"/>
    <col width="8.140625" customWidth="1" min="53" max="53"/>
    <col width="9.76953125" customWidth="1" min="54" max="54"/>
    <col width="9.76953125" customWidth="1" min="55" max="55"/>
    <col width="9.49609375" customWidth="1" min="56" max="56"/>
    <col width="8.140625" customWidth="1" min="57" max="57"/>
    <col width="8.140625" customWidth="1" min="58" max="58"/>
    <col width="8.140625" customWidth="1" min="59" max="59"/>
    <col width="8.140625" customWidth="1" min="60" max="60"/>
    <col width="9.76953125" customWidth="1" min="61" max="61"/>
    <col width="9.76953125" customWidth="1" min="62" max="62"/>
    <col width="9.76953125" customWidth="1" min="63" max="63"/>
    <col width="9.76953125" customWidth="1" min="64" max="64"/>
    <col width="9.76953125" customWidth="1" min="65" max="65"/>
    <col width="9.76953125" customWidth="1" min="66" max="66"/>
    <col width="9.76953125" customWidth="1" min="67" max="67"/>
    <col width="9.76953125" customWidth="1" min="68" max="68"/>
    <col width="9.76953125" customWidth="1" min="69" max="69"/>
    <col width="9.76953125" customWidth="1" min="70" max="70"/>
    <col width="9.76953125" customWidth="1" min="71" max="71"/>
    <col width="9.76953125" customWidth="1" min="72" max="72"/>
    <col width="9.76953125" customWidth="1" min="73" max="73"/>
    <col width="9.76953125" customWidth="1" min="74" max="74"/>
    <col width="9.76953125" customWidth="1" min="75" max="75"/>
    <col width="9.76953125" customWidth="1" min="76" max="76"/>
    <col width="9.76953125" customWidth="1" min="77" max="77"/>
    <col width="9.76953125" customWidth="1" min="78" max="78"/>
    <col width="9.76953125" customWidth="1" min="79" max="79"/>
    <col width="9.76953125" customWidth="1" min="80" max="80"/>
    <col width="9.76953125" customWidth="1" min="81" max="81"/>
    <col width="9.76953125" customWidth="1" min="82" max="82"/>
    <col width="9.76953125" customWidth="1" min="83" max="83"/>
    <col width="9.76953125" customWidth="1" min="84" max="84"/>
    <col width="9.76953125" customWidth="1" min="85" max="85"/>
    <col width="9.76953125" customWidth="1" min="86" max="86"/>
    <col width="9.76953125" customWidth="1" min="87" max="87"/>
    <col width="9.76953125" customWidth="1" min="88" max="88"/>
    <col width="9.76953125" customWidth="1" min="89" max="89"/>
    <col width="9.76953125" customWidth="1" min="90" max="90"/>
    <col width="9.76953125" customWidth="1" min="91" max="91"/>
    <col width="9.76953125" customWidth="1" min="92" max="92"/>
  </cols>
  <sheetData>
    <row r="1" ht="22.6" customHeight="1">
      <c r="A1" s="81" t="inlineStr">
        <is>
          <t>序号</t>
        </is>
      </c>
      <c r="B1" s="81" t="inlineStr">
        <is>
          <t>区域</t>
        </is>
      </c>
      <c r="C1" s="81" t="inlineStr">
        <is>
          <t>日期</t>
        </is>
      </c>
      <c r="D1" s="81" t="inlineStr">
        <is>
          <t>意向基准车系</t>
        </is>
      </c>
      <c r="E1" s="81" t="inlineStr">
        <is>
          <t>线索开发</t>
        </is>
      </c>
      <c r="F1" s="82" t="n"/>
      <c r="G1" s="82" t="n"/>
      <c r="H1" s="82" t="n"/>
      <c r="I1" s="83" t="n"/>
      <c r="J1" s="81" t="inlineStr">
        <is>
          <t>线索跟进</t>
        </is>
      </c>
      <c r="K1" s="82" t="n"/>
      <c r="L1" s="82" t="n"/>
      <c r="M1" s="82" t="n"/>
      <c r="N1" s="82" t="n"/>
      <c r="O1" s="82" t="n"/>
      <c r="P1" s="82" t="n"/>
      <c r="Q1" s="83" t="n"/>
      <c r="R1" s="81" t="inlineStr">
        <is>
          <t>现存线索</t>
        </is>
      </c>
      <c r="S1" s="82" t="n"/>
      <c r="T1" s="82" t="n"/>
      <c r="U1" s="82" t="n"/>
      <c r="V1" s="83" t="n"/>
      <c r="W1" s="81" t="inlineStr">
        <is>
          <t>异常线索</t>
        </is>
      </c>
      <c r="X1" s="82" t="n"/>
      <c r="Y1" s="82" t="n"/>
      <c r="Z1" s="82" t="n"/>
      <c r="AA1" s="82" t="n"/>
      <c r="AB1" s="83" t="n"/>
      <c r="AC1" s="81" t="inlineStr">
        <is>
          <t>到店转化</t>
        </is>
      </c>
      <c r="AD1" s="82" t="n"/>
      <c r="AE1" s="82" t="n"/>
      <c r="AF1" s="82" t="n"/>
      <c r="AG1" s="82" t="n"/>
      <c r="AH1" s="83" t="n"/>
      <c r="AI1" s="81" t="inlineStr">
        <is>
          <t>试驾转化</t>
        </is>
      </c>
      <c r="AJ1" s="82" t="n"/>
      <c r="AK1" s="82" t="n"/>
      <c r="AL1" s="82" t="n"/>
      <c r="AM1" s="82" t="n"/>
      <c r="AN1" s="82" t="n"/>
      <c r="AO1" s="82" t="n"/>
      <c r="AP1" s="82" t="n"/>
      <c r="AQ1" s="82" t="n"/>
      <c r="AR1" s="82" t="n"/>
      <c r="AS1" s="83" t="n"/>
      <c r="AT1" s="81" t="inlineStr">
        <is>
          <t>订单转化</t>
        </is>
      </c>
      <c r="AU1" s="82" t="n"/>
      <c r="AV1" s="82" t="n"/>
      <c r="AW1" s="82" t="n"/>
      <c r="AX1" s="82" t="n"/>
      <c r="AY1" s="82" t="n"/>
      <c r="AZ1" s="82" t="n"/>
      <c r="BA1" s="82" t="n"/>
      <c r="BB1" s="82" t="n"/>
      <c r="BC1" s="83" t="n"/>
      <c r="BD1" s="81" t="inlineStr">
        <is>
          <t>满意度</t>
        </is>
      </c>
      <c r="BE1" s="82" t="n"/>
      <c r="BF1" s="82" t="n"/>
      <c r="BG1" s="82" t="n"/>
      <c r="BH1" s="83" t="n"/>
    </row>
    <row r="2" ht="42.95" customHeight="1">
      <c r="A2" s="84" t="n"/>
      <c r="B2" s="84" t="n"/>
      <c r="C2" s="84" t="n"/>
      <c r="D2" s="84" t="n"/>
      <c r="E2" s="81" t="inlineStr">
        <is>
          <t>新增线索量</t>
        </is>
      </c>
      <c r="F2" s="81" t="inlineStr">
        <is>
          <t>有效线索量</t>
        </is>
      </c>
      <c r="G2" s="81" t="inlineStr">
        <is>
          <t>有效线索率</t>
        </is>
      </c>
      <c r="H2" s="81" t="inlineStr">
        <is>
          <t>门店线索总量</t>
        </is>
      </c>
      <c r="I2" s="81" t="inlineStr">
        <is>
          <t>门店线索占比</t>
        </is>
      </c>
      <c r="J2" s="81" t="inlineStr">
        <is>
          <t>应首访量</t>
        </is>
      </c>
      <c r="K2" s="85" t="inlineStr">
        <is>
          <t>按时首访量</t>
        </is>
      </c>
      <c r="L2" s="81" t="inlineStr">
        <is>
          <t>按时首访率</t>
        </is>
      </c>
      <c r="M2" s="81" t="inlineStr">
        <is>
          <t>应跟进任务量</t>
        </is>
      </c>
      <c r="N2" s="81" t="inlineStr">
        <is>
          <t>实际跟进任务量</t>
        </is>
      </c>
      <c r="O2" s="81" t="inlineStr">
        <is>
          <t>按时跟进任务量</t>
        </is>
      </c>
      <c r="P2" s="81" t="inlineStr">
        <is>
          <t>线索按时跟进率</t>
        </is>
      </c>
      <c r="Q2" s="81" t="inlineStr">
        <is>
          <t>超期未回访数</t>
        </is>
      </c>
      <c r="R2" s="81" t="inlineStr">
        <is>
          <t>现存线索量</t>
        </is>
      </c>
      <c r="S2" s="81" t="inlineStr">
        <is>
          <t>现存线索量H级数</t>
        </is>
      </c>
      <c r="T2" s="81" t="inlineStr">
        <is>
          <t>现存线索量H级占比</t>
        </is>
      </c>
      <c r="U2" s="81" t="inlineStr">
        <is>
          <t>现存线索企微绑定数</t>
        </is>
      </c>
      <c r="V2" s="81" t="inlineStr">
        <is>
          <t>现存线索企微绑定率</t>
        </is>
      </c>
      <c r="W2" s="81" t="inlineStr">
        <is>
          <t>战败线索量</t>
        </is>
      </c>
      <c r="X2" s="81" t="inlineStr">
        <is>
          <t>战败率</t>
        </is>
      </c>
      <c r="Y2" s="81" t="inlineStr">
        <is>
          <t>休眠线索量</t>
        </is>
      </c>
      <c r="Z2" s="81" t="inlineStr">
        <is>
          <t>休眠率</t>
        </is>
      </c>
      <c r="AA2" s="81" t="inlineStr">
        <is>
          <t>暂败线索量</t>
        </is>
      </c>
      <c r="AB2" s="81" t="inlineStr">
        <is>
          <t>暂败率</t>
        </is>
      </c>
      <c r="AC2" s="81" t="inlineStr">
        <is>
          <t>新增到店量</t>
        </is>
      </c>
      <c r="AD2" s="81" t="inlineStr">
        <is>
          <t>新增到店率</t>
        </is>
      </c>
      <c r="AE2" s="81" t="inlineStr">
        <is>
          <t>再次来店量</t>
        </is>
      </c>
      <c r="AF2" s="81" t="inlineStr">
        <is>
          <t>再次来店占比</t>
        </is>
      </c>
      <c r="AG2" s="81" t="inlineStr">
        <is>
          <t>到店企微绑定数</t>
        </is>
      </c>
      <c r="AH2" s="81" t="inlineStr">
        <is>
          <t>到店企微绑定率</t>
        </is>
      </c>
      <c r="AI2" s="81" t="inlineStr">
        <is>
          <t>线索排程量</t>
        </is>
      </c>
      <c r="AJ2" s="81" t="inlineStr">
        <is>
          <t>线索排程率</t>
        </is>
      </c>
      <c r="AK2" s="81" t="inlineStr">
        <is>
          <t>排程试驾量</t>
        </is>
      </c>
      <c r="AL2" s="81" t="inlineStr">
        <is>
          <t>排程试驾率</t>
        </is>
      </c>
      <c r="AM2" s="81" t="inlineStr">
        <is>
          <t>试驾量</t>
        </is>
      </c>
      <c r="AN2" s="81" t="inlineStr">
        <is>
          <t>有效试驾量</t>
        </is>
      </c>
      <c r="AO2" s="81" t="inlineStr">
        <is>
          <t>线索试驾率</t>
        </is>
      </c>
      <c r="AP2" s="81" t="inlineStr">
        <is>
          <t>到店线索试驾率</t>
        </is>
      </c>
      <c r="AQ2" s="81" t="inlineStr">
        <is>
          <t>试驾24H回访率</t>
        </is>
      </c>
      <c r="AR2" s="81" t="inlineStr">
        <is>
          <t>试驾24H店长跟进占比</t>
        </is>
      </c>
      <c r="AS2" s="81" t="inlineStr">
        <is>
          <t>试驾24H店长跟进占比(虚拟号)</t>
        </is>
      </c>
      <c r="AT2" s="81" t="inlineStr">
        <is>
          <t>新增小订量</t>
        </is>
      </c>
      <c r="AU2" s="81" t="inlineStr">
        <is>
          <t>小订量</t>
        </is>
      </c>
      <c r="AV2" s="81" t="inlineStr">
        <is>
          <t>新增大定量</t>
        </is>
      </c>
      <c r="AW2" s="81" t="inlineStr">
        <is>
          <t>大定量</t>
        </is>
      </c>
      <c r="AX2" s="81" t="inlineStr">
        <is>
          <t>锁单量</t>
        </is>
      </c>
      <c r="AY2" s="81" t="inlineStr">
        <is>
          <t>交车量</t>
        </is>
      </c>
      <c r="AZ2" s="81" t="inlineStr">
        <is>
          <t>线索-大定率</t>
        </is>
      </c>
      <c r="BA2" s="81" t="inlineStr">
        <is>
          <t>线索-锁单率</t>
        </is>
      </c>
      <c r="BB2" s="81" t="inlineStr">
        <is>
          <t>线索-交车率</t>
        </is>
      </c>
      <c r="BC2" s="81" t="inlineStr">
        <is>
          <t>试驾-锁单率</t>
        </is>
      </c>
      <c r="BD2" s="81" t="inlineStr">
        <is>
          <t>销售有效客诉量</t>
        </is>
      </c>
      <c r="BE2" s="81" t="inlineStr">
        <is>
          <t>低满数</t>
        </is>
      </c>
      <c r="BF2" s="81" t="inlineStr">
        <is>
          <t>试驾NPS值</t>
        </is>
      </c>
      <c r="BG2" s="81" t="inlineStr">
        <is>
          <t>订单NPS值</t>
        </is>
      </c>
      <c r="BH2" s="81" t="inlineStr">
        <is>
          <t>交付NPS值</t>
        </is>
      </c>
    </row>
    <row r="3" ht="19.55" customHeight="1">
      <c r="A3" s="86" t="inlineStr">
        <is>
          <t>合计</t>
        </is>
      </c>
      <c r="B3" s="82" t="n"/>
      <c r="C3" s="82" t="n"/>
      <c r="D3" s="83" t="n"/>
      <c r="E3" s="87" t="n">
        <v>224123</v>
      </c>
      <c r="F3" s="87" t="n">
        <v>181074</v>
      </c>
      <c r="G3" s="88" t="n">
        <v>0.8079224354483922</v>
      </c>
      <c r="H3" s="87" t="n">
        <v>103529</v>
      </c>
      <c r="I3" s="89" t="n">
        <v>0.4619293869883948</v>
      </c>
      <c r="J3" s="87" t="n">
        <v>172033</v>
      </c>
      <c r="K3" s="87" t="n">
        <v>165052</v>
      </c>
      <c r="L3" s="88" t="n">
        <v>0.959</v>
      </c>
      <c r="M3" s="87" t="n">
        <v>330929</v>
      </c>
      <c r="N3" s="87" t="n">
        <v>178799</v>
      </c>
      <c r="O3" s="87" t="n">
        <v>319371</v>
      </c>
      <c r="P3" s="88" t="n">
        <v>0.9650740793342378</v>
      </c>
      <c r="Q3" s="87" t="n">
        <v>977</v>
      </c>
      <c r="R3" s="87" t="n">
        <v>435938</v>
      </c>
      <c r="S3" s="87" t="n">
        <v>220008</v>
      </c>
      <c r="T3" s="88" t="n">
        <v>0.5046772706210516</v>
      </c>
      <c r="U3" s="87" t="n">
        <v>41925</v>
      </c>
      <c r="V3" s="88" t="n">
        <v>0.096171932706027</v>
      </c>
      <c r="W3" s="87" t="n">
        <v>33939</v>
      </c>
      <c r="X3" s="88" t="n">
        <v>0.1514302414299291</v>
      </c>
      <c r="Y3" s="87" t="n">
        <v>28514</v>
      </c>
      <c r="Z3" s="90" t="n">
        <v>0.1272247828201479</v>
      </c>
      <c r="AA3" s="87" t="n">
        <v>2438</v>
      </c>
      <c r="AB3" s="88" t="n">
        <v>0.01087795540841413</v>
      </c>
      <c r="AC3" s="87" t="n">
        <v>38709</v>
      </c>
      <c r="AD3" s="88" t="n">
        <v>0.1727131976637828</v>
      </c>
      <c r="AE3" s="87" t="n">
        <v>2360</v>
      </c>
      <c r="AF3" s="88" t="n">
        <v>0.0609677336020047</v>
      </c>
      <c r="AG3" s="87" t="n">
        <v>18998</v>
      </c>
      <c r="AH3" s="88" t="n">
        <v>0.4907902554961379</v>
      </c>
      <c r="AI3" s="91" t="n">
        <v>35385</v>
      </c>
      <c r="AJ3" s="88" t="n">
        <v>0.1578820558354118</v>
      </c>
      <c r="AK3" s="91" t="n">
        <v>1290</v>
      </c>
      <c r="AL3" s="88" t="n">
        <v>0.8126042108237954</v>
      </c>
      <c r="AM3" s="91" t="n">
        <v>34529</v>
      </c>
      <c r="AN3" s="91" t="n">
        <v>28754</v>
      </c>
      <c r="AO3" s="88" t="n">
        <v>0.1282956233853732</v>
      </c>
      <c r="AP3" s="88" t="n">
        <v>0.7428246660983234</v>
      </c>
      <c r="AQ3" s="89" t="n">
        <v>0.8999266324284666</v>
      </c>
      <c r="AR3" s="89" t="n">
        <v>0.02171041769853062</v>
      </c>
      <c r="AS3" s="89" t="n">
        <v>0.02171041769853062</v>
      </c>
      <c r="AT3" s="91" t="n">
        <v>0</v>
      </c>
      <c r="AU3" s="91" t="n">
        <v>0</v>
      </c>
      <c r="AV3" s="91" t="n">
        <v>5493</v>
      </c>
      <c r="AW3" s="91" t="n">
        <v>4403</v>
      </c>
      <c r="AX3" s="91" t="n">
        <v>4439</v>
      </c>
      <c r="AY3" s="91" t="n">
        <v>6675</v>
      </c>
      <c r="AZ3" s="88" t="n">
        <v>0.01964546253619664</v>
      </c>
      <c r="BA3" s="88" t="n">
        <v>0.01980608862098044</v>
      </c>
      <c r="BB3" s="88" t="n">
        <v>0.02978275322032991</v>
      </c>
      <c r="BC3" s="88" t="n">
        <v>0.1543785212492175</v>
      </c>
      <c r="BD3" s="91" t="n">
        <v>0</v>
      </c>
      <c r="BE3" s="91" t="n">
        <v>49</v>
      </c>
      <c r="BF3" s="89" t="n">
        <v>0.9497816593886463</v>
      </c>
      <c r="BG3" s="89" t="n">
        <v>0.973170731707317</v>
      </c>
      <c r="BH3" s="89" t="n">
        <v>0.9533333333333334</v>
      </c>
    </row>
    <row r="4" ht="19.55" customHeight="1">
      <c r="A4" s="92" t="n">
        <v>1</v>
      </c>
      <c r="B4" s="87" t="inlineStr">
        <is>
          <t>全国</t>
        </is>
      </c>
      <c r="C4" s="93" t="n">
        <v>45901</v>
      </c>
      <c r="D4" s="87" t="inlineStr">
        <is>
          <t>2026款探陆</t>
        </is>
      </c>
      <c r="E4" s="87" t="n">
        <v>0</v>
      </c>
      <c r="F4" s="87" t="n">
        <v>0</v>
      </c>
      <c r="G4" s="88" t="n">
        <v>0</v>
      </c>
      <c r="H4" s="87" t="n">
        <v>0</v>
      </c>
      <c r="I4" s="89" t="n">
        <v>0</v>
      </c>
      <c r="J4" s="87" t="n">
        <v>1</v>
      </c>
      <c r="K4" s="87" t="n">
        <v>1</v>
      </c>
      <c r="L4" s="88" t="n">
        <v>1</v>
      </c>
      <c r="M4" s="87" t="n">
        <v>1</v>
      </c>
      <c r="N4" s="87" t="n">
        <v>0</v>
      </c>
      <c r="O4" s="87" t="n">
        <v>1</v>
      </c>
      <c r="P4" s="88" t="n">
        <v>1</v>
      </c>
      <c r="Q4" s="87" t="n">
        <v>0</v>
      </c>
      <c r="R4" s="87" t="n">
        <v>0</v>
      </c>
      <c r="S4" s="87" t="n">
        <v>0</v>
      </c>
      <c r="T4" s="88" t="n">
        <v>0</v>
      </c>
      <c r="U4" s="87" t="n">
        <v>0</v>
      </c>
      <c r="V4" s="88" t="n">
        <v>0</v>
      </c>
      <c r="W4" s="87" t="n">
        <v>0</v>
      </c>
      <c r="X4" s="88" t="n">
        <v>0</v>
      </c>
      <c r="Y4" s="87" t="n">
        <v>0</v>
      </c>
      <c r="Z4" s="90" t="n">
        <v>0</v>
      </c>
      <c r="AA4" s="87" t="n">
        <v>0</v>
      </c>
      <c r="AB4" s="88" t="n">
        <v>0</v>
      </c>
      <c r="AC4" s="87" t="n">
        <v>0</v>
      </c>
      <c r="AD4" s="88" t="n">
        <v>0</v>
      </c>
      <c r="AE4" s="87" t="n">
        <v>0</v>
      </c>
      <c r="AF4" s="88" t="n">
        <v>0</v>
      </c>
      <c r="AG4" s="87" t="n">
        <v>0</v>
      </c>
      <c r="AH4" s="88" t="n">
        <v>0</v>
      </c>
      <c r="AI4" s="91" t="n">
        <v>0</v>
      </c>
      <c r="AJ4" s="88" t="n">
        <v>0</v>
      </c>
      <c r="AK4" s="91" t="n">
        <v>0</v>
      </c>
      <c r="AL4" s="88" t="n">
        <v>0</v>
      </c>
      <c r="AM4" s="91" t="n">
        <v>0</v>
      </c>
      <c r="AN4" s="91" t="n">
        <v>0</v>
      </c>
      <c r="AO4" s="88" t="n">
        <v>0</v>
      </c>
      <c r="AP4" s="88" t="n">
        <v>0</v>
      </c>
      <c r="AQ4" s="89" t="n"/>
      <c r="AR4" s="89" t="inlineStr">
        <is>
          <t>0.0%</t>
        </is>
      </c>
      <c r="AS4" s="89" t="inlineStr">
        <is>
          <t>0.0%</t>
        </is>
      </c>
      <c r="AT4" s="91" t="n">
        <v>0</v>
      </c>
      <c r="AU4" s="91" t="n">
        <v>0</v>
      </c>
      <c r="AV4" s="91" t="n">
        <v>0</v>
      </c>
      <c r="AW4" s="91" t="n">
        <v>0</v>
      </c>
      <c r="AX4" s="91" t="n">
        <v>0</v>
      </c>
      <c r="AY4" s="91" t="n">
        <v>0</v>
      </c>
      <c r="AZ4" s="88" t="n">
        <v>0</v>
      </c>
      <c r="BA4" s="88" t="n">
        <v>0</v>
      </c>
      <c r="BB4" s="88" t="n">
        <v>0</v>
      </c>
      <c r="BC4" s="88" t="n">
        <v>0</v>
      </c>
      <c r="BD4" s="91" t="n">
        <v>0</v>
      </c>
      <c r="BE4" s="91" t="n">
        <v>0</v>
      </c>
      <c r="BF4" s="89" t="inlineStr">
        <is>
          <t>-</t>
        </is>
      </c>
      <c r="BG4" s="89" t="inlineStr">
        <is>
          <t>-</t>
        </is>
      </c>
      <c r="BH4" s="89" t="inlineStr">
        <is>
          <t>-</t>
        </is>
      </c>
    </row>
    <row r="5" ht="19.55" customHeight="1">
      <c r="A5" s="92" t="n">
        <v>2</v>
      </c>
      <c r="B5" s="87" t="inlineStr">
        <is>
          <t>全国</t>
        </is>
      </c>
      <c r="C5" s="93" t="n">
        <v>45901</v>
      </c>
      <c r="D5" s="87" t="inlineStr">
        <is>
          <t>N6</t>
        </is>
      </c>
      <c r="E5" s="87" t="n">
        <v>54</v>
      </c>
      <c r="F5" s="87" t="n">
        <v>49</v>
      </c>
      <c r="G5" s="88" t="n">
        <v>0.9074074074074074</v>
      </c>
      <c r="H5" s="87" t="n">
        <v>20</v>
      </c>
      <c r="I5" s="89" t="n">
        <v>0.3703703703703703</v>
      </c>
      <c r="J5" s="87" t="n">
        <v>49</v>
      </c>
      <c r="K5" s="87" t="n">
        <v>45</v>
      </c>
      <c r="L5" s="88" t="n">
        <v>0.918</v>
      </c>
      <c r="M5" s="87" t="n">
        <v>77</v>
      </c>
      <c r="N5" s="87" t="n">
        <v>0</v>
      </c>
      <c r="O5" s="87" t="n">
        <v>68</v>
      </c>
      <c r="P5" s="88" t="n">
        <v>0.8831168831168831</v>
      </c>
      <c r="Q5" s="87" t="n">
        <v>0</v>
      </c>
      <c r="R5" s="87" t="n">
        <v>0</v>
      </c>
      <c r="S5" s="87" t="n">
        <v>0</v>
      </c>
      <c r="T5" s="88" t="n">
        <v>0</v>
      </c>
      <c r="U5" s="87" t="n">
        <v>0</v>
      </c>
      <c r="V5" s="88" t="n">
        <v>0</v>
      </c>
      <c r="W5" s="87" t="n">
        <v>0</v>
      </c>
      <c r="X5" s="88" t="n">
        <v>0</v>
      </c>
      <c r="Y5" s="87" t="n">
        <v>0</v>
      </c>
      <c r="Z5" s="90" t="n">
        <v>0</v>
      </c>
      <c r="AA5" s="87" t="n">
        <v>0</v>
      </c>
      <c r="AB5" s="88" t="n">
        <v>0</v>
      </c>
      <c r="AC5" s="87" t="n">
        <v>18</v>
      </c>
      <c r="AD5" s="88" t="n">
        <v>0.3333333333333333</v>
      </c>
      <c r="AE5" s="87" t="n">
        <v>4</v>
      </c>
      <c r="AF5" s="88" t="n">
        <v>0.2222222222222222</v>
      </c>
      <c r="AG5" s="87" t="n">
        <v>14</v>
      </c>
      <c r="AH5" s="88" t="n">
        <v>0.7777777777777778</v>
      </c>
      <c r="AI5" s="91" t="n">
        <v>0</v>
      </c>
      <c r="AJ5" s="88" t="n">
        <v>0</v>
      </c>
      <c r="AK5" s="91" t="n">
        <v>0</v>
      </c>
      <c r="AL5" s="88" t="n">
        <v>0</v>
      </c>
      <c r="AM5" s="91" t="n">
        <v>0</v>
      </c>
      <c r="AN5" s="91" t="n">
        <v>0</v>
      </c>
      <c r="AO5" s="88" t="n">
        <v>0</v>
      </c>
      <c r="AP5" s="88" t="n">
        <v>0</v>
      </c>
      <c r="AQ5" s="89" t="n"/>
      <c r="AR5" s="89" t="n">
        <v>0</v>
      </c>
      <c r="AS5" s="89" t="n">
        <v>0</v>
      </c>
      <c r="AT5" s="91" t="n">
        <v>0</v>
      </c>
      <c r="AU5" s="91" t="n">
        <v>0</v>
      </c>
      <c r="AV5" s="91" t="n">
        <v>0</v>
      </c>
      <c r="AW5" s="91" t="n">
        <v>0</v>
      </c>
      <c r="AX5" s="91" t="n">
        <v>0</v>
      </c>
      <c r="AY5" s="91" t="n">
        <v>0</v>
      </c>
      <c r="AZ5" s="88" t="n">
        <v>0</v>
      </c>
      <c r="BA5" s="88" t="n">
        <v>0</v>
      </c>
      <c r="BB5" s="88" t="n">
        <v>0</v>
      </c>
      <c r="BC5" s="88" t="n">
        <v>0</v>
      </c>
      <c r="BD5" s="91" t="n">
        <v>0</v>
      </c>
      <c r="BE5" s="91" t="n">
        <v>0</v>
      </c>
      <c r="BF5" s="89" t="inlineStr">
        <is>
          <t>-</t>
        </is>
      </c>
      <c r="BG5" s="89" t="inlineStr">
        <is>
          <t>-</t>
        </is>
      </c>
      <c r="BH5" s="89" t="inlineStr">
        <is>
          <t>-</t>
        </is>
      </c>
    </row>
    <row r="6" ht="19.55" customHeight="1">
      <c r="A6" s="92" t="n">
        <v>3</v>
      </c>
      <c r="B6" s="87" t="inlineStr">
        <is>
          <t>全国</t>
        </is>
      </c>
      <c r="C6" s="93" t="n">
        <v>45901</v>
      </c>
      <c r="D6" s="87" t="inlineStr">
        <is>
          <t>N7</t>
        </is>
      </c>
      <c r="E6" s="87" t="n">
        <v>5681</v>
      </c>
      <c r="F6" s="87" t="n">
        <v>4597</v>
      </c>
      <c r="G6" s="88" t="n">
        <v>0.8091885231473332</v>
      </c>
      <c r="H6" s="87" t="n">
        <v>2132</v>
      </c>
      <c r="I6" s="89" t="n">
        <v>0.3752860411899314</v>
      </c>
      <c r="J6" s="87" t="n">
        <v>4943</v>
      </c>
      <c r="K6" s="87" t="n">
        <v>4613</v>
      </c>
      <c r="L6" s="88" t="n">
        <v>0.9330000000000001</v>
      </c>
      <c r="M6" s="87" t="n">
        <v>7203</v>
      </c>
      <c r="N6" s="87" t="n">
        <v>0</v>
      </c>
      <c r="O6" s="87" t="n">
        <v>6797</v>
      </c>
      <c r="P6" s="88" t="n">
        <v>0.9436345966958212</v>
      </c>
      <c r="Q6" s="87" t="n">
        <v>50</v>
      </c>
      <c r="R6" s="87" t="n">
        <v>0</v>
      </c>
      <c r="S6" s="87" t="n">
        <v>0</v>
      </c>
      <c r="T6" s="88" t="n">
        <v>0</v>
      </c>
      <c r="U6" s="87" t="n">
        <v>0</v>
      </c>
      <c r="V6" s="88" t="n">
        <v>0</v>
      </c>
      <c r="W6" s="87" t="n">
        <v>1069</v>
      </c>
      <c r="X6" s="88" t="n">
        <v>0.1881710966379159</v>
      </c>
      <c r="Y6" s="87" t="n">
        <v>1055</v>
      </c>
      <c r="Z6" s="90" t="n">
        <v>0.185706741770815</v>
      </c>
      <c r="AA6" s="87" t="n">
        <v>229</v>
      </c>
      <c r="AB6" s="88" t="n">
        <v>0.04030980461186411</v>
      </c>
      <c r="AC6" s="87" t="n">
        <v>845</v>
      </c>
      <c r="AD6" s="88" t="n">
        <v>0.1487414187643021</v>
      </c>
      <c r="AE6" s="87" t="n">
        <v>33</v>
      </c>
      <c r="AF6" s="88" t="n">
        <v>0.03905325443786982</v>
      </c>
      <c r="AG6" s="87" t="n">
        <v>351</v>
      </c>
      <c r="AH6" s="88" t="n">
        <v>0.4153846153846154</v>
      </c>
      <c r="AI6" s="91" t="n">
        <v>833</v>
      </c>
      <c r="AJ6" s="88" t="n">
        <v>0.1466291145925013</v>
      </c>
      <c r="AK6" s="91" t="n">
        <v>13</v>
      </c>
      <c r="AL6" s="88" t="n">
        <v>0.8067226890756303</v>
      </c>
      <c r="AM6" s="91" t="n">
        <v>817</v>
      </c>
      <c r="AN6" s="91" t="n">
        <v>672</v>
      </c>
      <c r="AO6" s="88" t="n">
        <v>0.1182890336208414</v>
      </c>
      <c r="AP6" s="88" t="n">
        <v>0.7952662721893491</v>
      </c>
      <c r="AQ6" s="89" t="n">
        <v>0</v>
      </c>
      <c r="AR6" s="89" t="n">
        <v>0.01564380264741276</v>
      </c>
      <c r="AS6" s="89" t="n">
        <v>0.01564380264741276</v>
      </c>
      <c r="AT6" s="91" t="n">
        <v>0</v>
      </c>
      <c r="AU6" s="91" t="n">
        <v>0</v>
      </c>
      <c r="AV6" s="91" t="n">
        <v>126</v>
      </c>
      <c r="AW6" s="91" t="n">
        <v>54</v>
      </c>
      <c r="AX6" s="91" t="n">
        <v>104</v>
      </c>
      <c r="AY6" s="91" t="n">
        <v>192</v>
      </c>
      <c r="AZ6" s="88" t="n">
        <v>0.009505368773103326</v>
      </c>
      <c r="BA6" s="88" t="n">
        <v>0.01830663615560641</v>
      </c>
      <c r="BB6" s="88" t="n">
        <v>0.03379686674881183</v>
      </c>
      <c r="BC6" s="88" t="n">
        <v>0.1547619047619048</v>
      </c>
      <c r="BD6" s="91" t="n">
        <v>0</v>
      </c>
      <c r="BE6" s="91" t="n">
        <v>1</v>
      </c>
      <c r="BF6" s="89" t="n">
        <v>0.953125</v>
      </c>
      <c r="BG6" s="89" t="n">
        <v>1</v>
      </c>
      <c r="BH6" s="89" t="inlineStr">
        <is>
          <t>-</t>
        </is>
      </c>
    </row>
    <row r="7" ht="19.55" customHeight="1">
      <c r="A7" s="92" t="n">
        <v>4</v>
      </c>
      <c r="B7" s="87" t="inlineStr">
        <is>
          <t>全国</t>
        </is>
      </c>
      <c r="C7" s="93" t="n">
        <v>45901</v>
      </c>
      <c r="D7" s="87" t="inlineStr">
        <is>
          <t>NX8</t>
        </is>
      </c>
      <c r="E7" s="87" t="n">
        <v>111</v>
      </c>
      <c r="F7" s="87" t="n">
        <v>101</v>
      </c>
      <c r="G7" s="88" t="n">
        <v>0.9099099099099099</v>
      </c>
      <c r="H7" s="87" t="n">
        <v>43</v>
      </c>
      <c r="I7" s="89" t="n">
        <v>0.3873873873873874</v>
      </c>
      <c r="J7" s="87" t="n">
        <v>58</v>
      </c>
      <c r="K7" s="87" t="n">
        <v>57</v>
      </c>
      <c r="L7" s="88" t="n">
        <v>0.983</v>
      </c>
      <c r="M7" s="87" t="n">
        <v>84</v>
      </c>
      <c r="N7" s="87" t="n">
        <v>0</v>
      </c>
      <c r="O7" s="87" t="n">
        <v>82</v>
      </c>
      <c r="P7" s="88" t="n">
        <v>0.9761904761904762</v>
      </c>
      <c r="Q7" s="87" t="n">
        <v>0</v>
      </c>
      <c r="R7" s="87" t="n">
        <v>0</v>
      </c>
      <c r="S7" s="87" t="n">
        <v>0</v>
      </c>
      <c r="T7" s="88" t="n">
        <v>0</v>
      </c>
      <c r="U7" s="87" t="n">
        <v>0</v>
      </c>
      <c r="V7" s="88" t="n">
        <v>0</v>
      </c>
      <c r="W7" s="87" t="n">
        <v>0</v>
      </c>
      <c r="X7" s="88" t="n">
        <v>0</v>
      </c>
      <c r="Y7" s="87" t="n">
        <v>0</v>
      </c>
      <c r="Z7" s="90" t="n">
        <v>0</v>
      </c>
      <c r="AA7" s="87" t="n">
        <v>0</v>
      </c>
      <c r="AB7" s="88" t="n">
        <v>0</v>
      </c>
      <c r="AC7" s="87" t="n">
        <v>25</v>
      </c>
      <c r="AD7" s="88" t="n">
        <v>0.2252252252252252</v>
      </c>
      <c r="AE7" s="87" t="n">
        <v>2</v>
      </c>
      <c r="AF7" s="88" t="n">
        <v>0.08</v>
      </c>
      <c r="AG7" s="87" t="n">
        <v>15</v>
      </c>
      <c r="AH7" s="88" t="n">
        <v>0.6</v>
      </c>
      <c r="AI7" s="91" t="n">
        <v>0</v>
      </c>
      <c r="AJ7" s="88" t="n">
        <v>0</v>
      </c>
      <c r="AK7" s="91" t="n">
        <v>0</v>
      </c>
      <c r="AL7" s="88" t="n">
        <v>0</v>
      </c>
      <c r="AM7" s="91" t="n">
        <v>0</v>
      </c>
      <c r="AN7" s="91" t="n">
        <v>0</v>
      </c>
      <c r="AO7" s="88" t="n">
        <v>0</v>
      </c>
      <c r="AP7" s="88" t="n">
        <v>0</v>
      </c>
      <c r="AQ7" s="89" t="n"/>
      <c r="AR7" s="89" t="n">
        <v>0</v>
      </c>
      <c r="AS7" s="89" t="n">
        <v>0</v>
      </c>
      <c r="AT7" s="91" t="n">
        <v>0</v>
      </c>
      <c r="AU7" s="91" t="n">
        <v>0</v>
      </c>
      <c r="AV7" s="91" t="n">
        <v>0</v>
      </c>
      <c r="AW7" s="91" t="n">
        <v>0</v>
      </c>
      <c r="AX7" s="91" t="n">
        <v>0</v>
      </c>
      <c r="AY7" s="91" t="n">
        <v>0</v>
      </c>
      <c r="AZ7" s="88" t="n">
        <v>0</v>
      </c>
      <c r="BA7" s="88" t="n">
        <v>0</v>
      </c>
      <c r="BB7" s="88" t="n">
        <v>0</v>
      </c>
      <c r="BC7" s="88" t="n">
        <v>0</v>
      </c>
      <c r="BD7" s="91" t="n">
        <v>0</v>
      </c>
      <c r="BE7" s="91" t="n">
        <v>0</v>
      </c>
      <c r="BF7" s="89" t="inlineStr">
        <is>
          <t>-</t>
        </is>
      </c>
      <c r="BG7" s="89" t="inlineStr">
        <is>
          <t>-</t>
        </is>
      </c>
      <c r="BH7" s="89" t="inlineStr">
        <is>
          <t>-</t>
        </is>
      </c>
    </row>
    <row r="8" ht="19.55" customHeight="1">
      <c r="A8" s="92" t="n">
        <v>5</v>
      </c>
      <c r="B8" s="87" t="inlineStr">
        <is>
          <t>全国</t>
        </is>
      </c>
      <c r="C8" s="93" t="n">
        <v>45901</v>
      </c>
      <c r="D8" s="87" t="inlineStr">
        <is>
          <t>天籁·鸿蒙座舱</t>
        </is>
      </c>
      <c r="E8" s="87" t="n">
        <v>55</v>
      </c>
      <c r="F8" s="87" t="n">
        <v>50</v>
      </c>
      <c r="G8" s="88" t="n">
        <v>0.9090909090909091</v>
      </c>
      <c r="H8" s="87" t="n">
        <v>31</v>
      </c>
      <c r="I8" s="89" t="n">
        <v>0.5636363636363636</v>
      </c>
      <c r="J8" s="87" t="n">
        <v>58</v>
      </c>
      <c r="K8" s="87" t="n">
        <v>56</v>
      </c>
      <c r="L8" s="88" t="n">
        <v>0.966</v>
      </c>
      <c r="M8" s="87" t="n">
        <v>87</v>
      </c>
      <c r="N8" s="87" t="n">
        <v>0</v>
      </c>
      <c r="O8" s="87" t="n">
        <v>85</v>
      </c>
      <c r="P8" s="88" t="n">
        <v>0.9770114942528736</v>
      </c>
      <c r="Q8" s="87" t="n">
        <v>0</v>
      </c>
      <c r="R8" s="87" t="n">
        <v>0</v>
      </c>
      <c r="S8" s="87" t="n">
        <v>0</v>
      </c>
      <c r="T8" s="88" t="n">
        <v>0</v>
      </c>
      <c r="U8" s="87" t="n">
        <v>0</v>
      </c>
      <c r="V8" s="88" t="n">
        <v>0</v>
      </c>
      <c r="W8" s="87" t="n">
        <v>0</v>
      </c>
      <c r="X8" s="88" t="n">
        <v>0</v>
      </c>
      <c r="Y8" s="87" t="n">
        <v>0</v>
      </c>
      <c r="Z8" s="90" t="n">
        <v>0</v>
      </c>
      <c r="AA8" s="87" t="n">
        <v>0</v>
      </c>
      <c r="AB8" s="88" t="n">
        <v>0</v>
      </c>
      <c r="AC8" s="87" t="n">
        <v>12</v>
      </c>
      <c r="AD8" s="88" t="n">
        <v>0.2181818181818182</v>
      </c>
      <c r="AE8" s="87" t="n">
        <v>1</v>
      </c>
      <c r="AF8" s="88" t="n">
        <v>0.08333333333333333</v>
      </c>
      <c r="AG8" s="87" t="n">
        <v>9</v>
      </c>
      <c r="AH8" s="88" t="n">
        <v>0.75</v>
      </c>
      <c r="AI8" s="91" t="n">
        <v>0</v>
      </c>
      <c r="AJ8" s="88" t="n">
        <v>0</v>
      </c>
      <c r="AK8" s="91" t="n">
        <v>0</v>
      </c>
      <c r="AL8" s="88" t="n">
        <v>0</v>
      </c>
      <c r="AM8" s="91" t="n">
        <v>0</v>
      </c>
      <c r="AN8" s="91" t="n">
        <v>0</v>
      </c>
      <c r="AO8" s="88" t="n">
        <v>0</v>
      </c>
      <c r="AP8" s="88" t="n">
        <v>0</v>
      </c>
      <c r="AQ8" s="89" t="n"/>
      <c r="AR8" s="89" t="n">
        <v>0</v>
      </c>
      <c r="AS8" s="89" t="n">
        <v>0</v>
      </c>
      <c r="AT8" s="91" t="n">
        <v>0</v>
      </c>
      <c r="AU8" s="91" t="n">
        <v>0</v>
      </c>
      <c r="AV8" s="91" t="n">
        <v>0</v>
      </c>
      <c r="AW8" s="91" t="n">
        <v>0</v>
      </c>
      <c r="AX8" s="91" t="n">
        <v>0</v>
      </c>
      <c r="AY8" s="91" t="n">
        <v>0</v>
      </c>
      <c r="AZ8" s="88" t="n">
        <v>0</v>
      </c>
      <c r="BA8" s="88" t="n">
        <v>0</v>
      </c>
      <c r="BB8" s="88" t="n">
        <v>0</v>
      </c>
      <c r="BC8" s="88" t="n">
        <v>0</v>
      </c>
      <c r="BD8" s="91" t="n">
        <v>0</v>
      </c>
      <c r="BE8" s="91" t="n">
        <v>0</v>
      </c>
      <c r="BF8" s="89" t="inlineStr">
        <is>
          <t>-</t>
        </is>
      </c>
      <c r="BG8" s="89" t="inlineStr">
        <is>
          <t>-</t>
        </is>
      </c>
      <c r="BH8" s="89" t="inlineStr">
        <is>
          <t>-</t>
        </is>
      </c>
    </row>
    <row r="9" ht="19.55" customHeight="1">
      <c r="A9" s="92" t="n">
        <v>6</v>
      </c>
      <c r="B9" s="87" t="inlineStr">
        <is>
          <t>全国</t>
        </is>
      </c>
      <c r="C9" s="93" t="n">
        <v>45902</v>
      </c>
      <c r="D9" s="87" t="inlineStr">
        <is>
          <t>N6</t>
        </is>
      </c>
      <c r="E9" s="87" t="n">
        <v>64</v>
      </c>
      <c r="F9" s="87" t="n">
        <v>59</v>
      </c>
      <c r="G9" s="88" t="n">
        <v>0.921875</v>
      </c>
      <c r="H9" s="87" t="n">
        <v>31</v>
      </c>
      <c r="I9" s="89" t="n">
        <v>0.484375</v>
      </c>
      <c r="J9" s="87" t="n">
        <v>35</v>
      </c>
      <c r="K9" s="87" t="n">
        <v>30</v>
      </c>
      <c r="L9" s="88" t="n">
        <v>0.857</v>
      </c>
      <c r="M9" s="87" t="n">
        <v>61</v>
      </c>
      <c r="N9" s="87" t="n">
        <v>0</v>
      </c>
      <c r="O9" s="87" t="n">
        <v>54</v>
      </c>
      <c r="P9" s="88" t="n">
        <v>0.8852459016393442</v>
      </c>
      <c r="Q9" s="87" t="n">
        <v>0</v>
      </c>
      <c r="R9" s="87" t="n">
        <v>0</v>
      </c>
      <c r="S9" s="87" t="n">
        <v>0</v>
      </c>
      <c r="T9" s="88" t="n">
        <v>0</v>
      </c>
      <c r="U9" s="87" t="n">
        <v>0</v>
      </c>
      <c r="V9" s="88" t="n">
        <v>0</v>
      </c>
      <c r="W9" s="87" t="n">
        <v>0</v>
      </c>
      <c r="X9" s="88" t="n">
        <v>0</v>
      </c>
      <c r="Y9" s="87" t="n">
        <v>0</v>
      </c>
      <c r="Z9" s="90" t="n">
        <v>0</v>
      </c>
      <c r="AA9" s="87" t="n">
        <v>0</v>
      </c>
      <c r="AB9" s="88" t="n">
        <v>0</v>
      </c>
      <c r="AC9" s="87" t="n">
        <v>18</v>
      </c>
      <c r="AD9" s="88" t="n">
        <v>0.28125</v>
      </c>
      <c r="AE9" s="87" t="n">
        <v>1</v>
      </c>
      <c r="AF9" s="88" t="n">
        <v>0.05555555555555555</v>
      </c>
      <c r="AG9" s="87" t="n">
        <v>12</v>
      </c>
      <c r="AH9" s="88" t="n">
        <v>0.6666666666666666</v>
      </c>
      <c r="AI9" s="91" t="n">
        <v>0</v>
      </c>
      <c r="AJ9" s="88" t="n">
        <v>0</v>
      </c>
      <c r="AK9" s="91" t="n">
        <v>0</v>
      </c>
      <c r="AL9" s="88" t="n">
        <v>0</v>
      </c>
      <c r="AM9" s="91" t="n">
        <v>0</v>
      </c>
      <c r="AN9" s="91" t="n">
        <v>0</v>
      </c>
      <c r="AO9" s="88" t="n">
        <v>0</v>
      </c>
      <c r="AP9" s="88" t="n">
        <v>0</v>
      </c>
      <c r="AQ9" s="89" t="n"/>
      <c r="AR9" s="89" t="n">
        <v>0</v>
      </c>
      <c r="AS9" s="89" t="n">
        <v>0</v>
      </c>
      <c r="AT9" s="91" t="n">
        <v>0</v>
      </c>
      <c r="AU9" s="91" t="n">
        <v>0</v>
      </c>
      <c r="AV9" s="91" t="n">
        <v>0</v>
      </c>
      <c r="AW9" s="91" t="n">
        <v>0</v>
      </c>
      <c r="AX9" s="91" t="n">
        <v>0</v>
      </c>
      <c r="AY9" s="91" t="n">
        <v>0</v>
      </c>
      <c r="AZ9" s="88" t="n">
        <v>0</v>
      </c>
      <c r="BA9" s="88" t="n">
        <v>0</v>
      </c>
      <c r="BB9" s="88" t="n">
        <v>0</v>
      </c>
      <c r="BC9" s="88" t="n">
        <v>0</v>
      </c>
      <c r="BD9" s="91" t="n">
        <v>0</v>
      </c>
      <c r="BE9" s="91" t="n">
        <v>0</v>
      </c>
      <c r="BF9" s="89" t="inlineStr">
        <is>
          <t>-</t>
        </is>
      </c>
      <c r="BG9" s="89" t="inlineStr">
        <is>
          <t>-</t>
        </is>
      </c>
      <c r="BH9" s="89" t="inlineStr">
        <is>
          <t>-</t>
        </is>
      </c>
    </row>
    <row r="10" ht="19.55" customHeight="1">
      <c r="A10" s="92" t="n">
        <v>7</v>
      </c>
      <c r="B10" s="87" t="inlineStr">
        <is>
          <t>全国</t>
        </is>
      </c>
      <c r="C10" s="93" t="n">
        <v>45902</v>
      </c>
      <c r="D10" s="87" t="inlineStr">
        <is>
          <t>N7</t>
        </is>
      </c>
      <c r="E10" s="87" t="n">
        <v>6337</v>
      </c>
      <c r="F10" s="87" t="n">
        <v>5349</v>
      </c>
      <c r="G10" s="88" t="n">
        <v>0.8440902635316396</v>
      </c>
      <c r="H10" s="87" t="n">
        <v>2447</v>
      </c>
      <c r="I10" s="89" t="n">
        <v>0.3861448635000789</v>
      </c>
      <c r="J10" s="87" t="n">
        <v>4495</v>
      </c>
      <c r="K10" s="87" t="n">
        <v>4211</v>
      </c>
      <c r="L10" s="88" t="n">
        <v>0.9370000000000001</v>
      </c>
      <c r="M10" s="87" t="n">
        <v>5205</v>
      </c>
      <c r="N10" s="87" t="n">
        <v>0</v>
      </c>
      <c r="O10" s="87" t="n">
        <v>4869</v>
      </c>
      <c r="P10" s="88" t="n">
        <v>0.9354466858789625</v>
      </c>
      <c r="Q10" s="87" t="n">
        <v>44</v>
      </c>
      <c r="R10" s="87" t="n">
        <v>0</v>
      </c>
      <c r="S10" s="87" t="n">
        <v>0</v>
      </c>
      <c r="T10" s="88" t="n">
        <v>0</v>
      </c>
      <c r="U10" s="87" t="n">
        <v>0</v>
      </c>
      <c r="V10" s="88" t="n">
        <v>0</v>
      </c>
      <c r="W10" s="87" t="n">
        <v>848</v>
      </c>
      <c r="X10" s="88" t="n">
        <v>0.133817263689443</v>
      </c>
      <c r="Y10" s="87" t="n">
        <v>687</v>
      </c>
      <c r="Z10" s="90" t="n">
        <v>0.1084109199936879</v>
      </c>
      <c r="AA10" s="87" t="n">
        <v>263</v>
      </c>
      <c r="AB10" s="88" t="n">
        <v>0.04150228814896639</v>
      </c>
      <c r="AC10" s="87" t="n">
        <v>901</v>
      </c>
      <c r="AD10" s="88" t="n">
        <v>0.1421808426700331</v>
      </c>
      <c r="AE10" s="87" t="n">
        <v>36</v>
      </c>
      <c r="AF10" s="88" t="n">
        <v>0.03995560488346282</v>
      </c>
      <c r="AG10" s="87" t="n">
        <v>366</v>
      </c>
      <c r="AH10" s="88" t="n">
        <v>0.4062153163152054</v>
      </c>
      <c r="AI10" s="91" t="n">
        <v>892</v>
      </c>
      <c r="AJ10" s="88" t="n">
        <v>0.1407606122771027</v>
      </c>
      <c r="AK10" s="91" t="n">
        <v>22</v>
      </c>
      <c r="AL10" s="88" t="n">
        <v>0.8452914798206278</v>
      </c>
      <c r="AM10" s="91" t="n">
        <v>881</v>
      </c>
      <c r="AN10" s="91" t="n">
        <v>754</v>
      </c>
      <c r="AO10" s="88" t="n">
        <v>0.1189837462521698</v>
      </c>
      <c r="AP10" s="88" t="n">
        <v>0.8368479467258602</v>
      </c>
      <c r="AQ10" s="89" t="n">
        <v>0</v>
      </c>
      <c r="AR10" s="89" t="n">
        <v>0.02428256070640177</v>
      </c>
      <c r="AS10" s="89" t="n">
        <v>0.02428256070640177</v>
      </c>
      <c r="AT10" s="91" t="n">
        <v>0</v>
      </c>
      <c r="AU10" s="91" t="n">
        <v>0</v>
      </c>
      <c r="AV10" s="91" t="n">
        <v>108</v>
      </c>
      <c r="AW10" s="91" t="n">
        <v>75</v>
      </c>
      <c r="AX10" s="91" t="n">
        <v>99</v>
      </c>
      <c r="AY10" s="91" t="n">
        <v>234</v>
      </c>
      <c r="AZ10" s="88" t="n">
        <v>0.01183525327442007</v>
      </c>
      <c r="BA10" s="88" t="n">
        <v>0.0156225343222345</v>
      </c>
      <c r="BB10" s="88" t="n">
        <v>0.03692599021619063</v>
      </c>
      <c r="BC10" s="88" t="n">
        <v>0.1312997347480106</v>
      </c>
      <c r="BD10" s="91" t="n">
        <v>0</v>
      </c>
      <c r="BE10" s="91" t="n">
        <v>2</v>
      </c>
      <c r="BF10" s="89" t="n">
        <v>0.9512195121951219</v>
      </c>
      <c r="BG10" s="89" t="n">
        <v>0.875</v>
      </c>
      <c r="BH10" s="89" t="inlineStr">
        <is>
          <t>-</t>
        </is>
      </c>
    </row>
    <row r="11" ht="19.55" customHeight="1">
      <c r="A11" s="92" t="n">
        <v>8</v>
      </c>
      <c r="B11" s="87" t="inlineStr">
        <is>
          <t>全国</t>
        </is>
      </c>
      <c r="C11" s="93" t="n">
        <v>45902</v>
      </c>
      <c r="D11" s="87" t="inlineStr">
        <is>
          <t>NX8</t>
        </is>
      </c>
      <c r="E11" s="87" t="n">
        <v>139</v>
      </c>
      <c r="F11" s="87" t="n">
        <v>133</v>
      </c>
      <c r="G11" s="88" t="n">
        <v>0.9568345323741008</v>
      </c>
      <c r="H11" s="87" t="n">
        <v>53</v>
      </c>
      <c r="I11" s="89" t="n">
        <v>0.381294964028777</v>
      </c>
      <c r="J11" s="87" t="n">
        <v>34</v>
      </c>
      <c r="K11" s="87" t="n">
        <v>31</v>
      </c>
      <c r="L11" s="88" t="n">
        <v>0.912</v>
      </c>
      <c r="M11" s="87" t="n">
        <v>47</v>
      </c>
      <c r="N11" s="87" t="n">
        <v>0</v>
      </c>
      <c r="O11" s="87" t="n">
        <v>43</v>
      </c>
      <c r="P11" s="88" t="n">
        <v>0.9148936170212766</v>
      </c>
      <c r="Q11" s="87" t="n">
        <v>0</v>
      </c>
      <c r="R11" s="87" t="n">
        <v>0</v>
      </c>
      <c r="S11" s="87" t="n">
        <v>0</v>
      </c>
      <c r="T11" s="88" t="n">
        <v>0</v>
      </c>
      <c r="U11" s="87" t="n">
        <v>0</v>
      </c>
      <c r="V11" s="88" t="n">
        <v>0</v>
      </c>
      <c r="W11" s="87" t="n">
        <v>0</v>
      </c>
      <c r="X11" s="88" t="n">
        <v>0</v>
      </c>
      <c r="Y11" s="87" t="n">
        <v>0</v>
      </c>
      <c r="Z11" s="90" t="n">
        <v>0</v>
      </c>
      <c r="AA11" s="87" t="n">
        <v>0</v>
      </c>
      <c r="AB11" s="88" t="n">
        <v>0</v>
      </c>
      <c r="AC11" s="87" t="n">
        <v>27</v>
      </c>
      <c r="AD11" s="88" t="n">
        <v>0.1942446043165468</v>
      </c>
      <c r="AE11" s="87" t="n">
        <v>1</v>
      </c>
      <c r="AF11" s="88" t="n">
        <v>0.03703703703703703</v>
      </c>
      <c r="AG11" s="87" t="n">
        <v>15</v>
      </c>
      <c r="AH11" s="88" t="n">
        <v>0.5555555555555556</v>
      </c>
      <c r="AI11" s="91" t="n">
        <v>0</v>
      </c>
      <c r="AJ11" s="88" t="n">
        <v>0</v>
      </c>
      <c r="AK11" s="91" t="n">
        <v>0</v>
      </c>
      <c r="AL11" s="88" t="n">
        <v>0</v>
      </c>
      <c r="AM11" s="91" t="n">
        <v>0</v>
      </c>
      <c r="AN11" s="91" t="n">
        <v>0</v>
      </c>
      <c r="AO11" s="88" t="n">
        <v>0</v>
      </c>
      <c r="AP11" s="88" t="n">
        <v>0</v>
      </c>
      <c r="AQ11" s="89" t="n"/>
      <c r="AR11" s="89" t="inlineStr">
        <is>
          <t>0.0%</t>
        </is>
      </c>
      <c r="AS11" s="89" t="inlineStr">
        <is>
          <t>0.0%</t>
        </is>
      </c>
      <c r="AT11" s="91" t="n">
        <v>0</v>
      </c>
      <c r="AU11" s="91" t="n">
        <v>0</v>
      </c>
      <c r="AV11" s="91" t="n">
        <v>0</v>
      </c>
      <c r="AW11" s="91" t="n">
        <v>0</v>
      </c>
      <c r="AX11" s="91" t="n">
        <v>0</v>
      </c>
      <c r="AY11" s="91" t="n">
        <v>0</v>
      </c>
      <c r="AZ11" s="88" t="n">
        <v>0</v>
      </c>
      <c r="BA11" s="88" t="n">
        <v>0</v>
      </c>
      <c r="BB11" s="88" t="n">
        <v>0</v>
      </c>
      <c r="BC11" s="88" t="n">
        <v>0</v>
      </c>
      <c r="BD11" s="91" t="n">
        <v>0</v>
      </c>
      <c r="BE11" s="91" t="n">
        <v>0</v>
      </c>
      <c r="BF11" s="89" t="inlineStr">
        <is>
          <t>-</t>
        </is>
      </c>
      <c r="BG11" s="89" t="inlineStr">
        <is>
          <t>-</t>
        </is>
      </c>
      <c r="BH11" s="89" t="inlineStr">
        <is>
          <t>-</t>
        </is>
      </c>
    </row>
    <row r="12" ht="19.55" customHeight="1">
      <c r="A12" s="92" t="n">
        <v>9</v>
      </c>
      <c r="B12" s="87" t="inlineStr">
        <is>
          <t>全国</t>
        </is>
      </c>
      <c r="C12" s="93" t="n">
        <v>45902</v>
      </c>
      <c r="D12" s="87" t="inlineStr">
        <is>
          <t>天籁·鸿蒙座舱</t>
        </is>
      </c>
      <c r="E12" s="87" t="n">
        <v>61</v>
      </c>
      <c r="F12" s="87" t="n">
        <v>56</v>
      </c>
      <c r="G12" s="88" t="n">
        <v>0.9180327868852459</v>
      </c>
      <c r="H12" s="87" t="n">
        <v>29</v>
      </c>
      <c r="I12" s="89" t="n">
        <v>0.4754098360655737</v>
      </c>
      <c r="J12" s="87" t="n">
        <v>28</v>
      </c>
      <c r="K12" s="87" t="n">
        <v>25</v>
      </c>
      <c r="L12" s="88" t="n">
        <v>0.893</v>
      </c>
      <c r="M12" s="87" t="n">
        <v>51</v>
      </c>
      <c r="N12" s="87" t="n">
        <v>0</v>
      </c>
      <c r="O12" s="87" t="n">
        <v>45</v>
      </c>
      <c r="P12" s="88" t="n">
        <v>0.8823529411764706</v>
      </c>
      <c r="Q12" s="87" t="n">
        <v>0</v>
      </c>
      <c r="R12" s="87" t="n">
        <v>0</v>
      </c>
      <c r="S12" s="87" t="n">
        <v>0</v>
      </c>
      <c r="T12" s="88" t="n">
        <v>0</v>
      </c>
      <c r="U12" s="87" t="n">
        <v>0</v>
      </c>
      <c r="V12" s="88" t="n">
        <v>0</v>
      </c>
      <c r="W12" s="87" t="n">
        <v>0</v>
      </c>
      <c r="X12" s="88" t="n">
        <v>0</v>
      </c>
      <c r="Y12" s="87" t="n">
        <v>0</v>
      </c>
      <c r="Z12" s="90" t="n">
        <v>0</v>
      </c>
      <c r="AA12" s="87" t="n">
        <v>0</v>
      </c>
      <c r="AB12" s="88" t="n">
        <v>0</v>
      </c>
      <c r="AC12" s="87" t="n">
        <v>13</v>
      </c>
      <c r="AD12" s="88" t="n">
        <v>0.2131147540983606</v>
      </c>
      <c r="AE12" s="87" t="n">
        <v>3</v>
      </c>
      <c r="AF12" s="88" t="n">
        <v>0.2307692307692308</v>
      </c>
      <c r="AG12" s="87" t="n">
        <v>7</v>
      </c>
      <c r="AH12" s="88" t="n">
        <v>0.5384615384615384</v>
      </c>
      <c r="AI12" s="91" t="n">
        <v>0</v>
      </c>
      <c r="AJ12" s="88" t="n">
        <v>0</v>
      </c>
      <c r="AK12" s="91" t="n">
        <v>0</v>
      </c>
      <c r="AL12" s="88" t="n">
        <v>0</v>
      </c>
      <c r="AM12" s="91" t="n">
        <v>0</v>
      </c>
      <c r="AN12" s="91" t="n">
        <v>0</v>
      </c>
      <c r="AO12" s="88" t="n">
        <v>0</v>
      </c>
      <c r="AP12" s="88" t="n">
        <v>0</v>
      </c>
      <c r="AQ12" s="89" t="n"/>
      <c r="AR12" s="89" t="n">
        <v>0</v>
      </c>
      <c r="AS12" s="89" t="n">
        <v>0</v>
      </c>
      <c r="AT12" s="91" t="n">
        <v>0</v>
      </c>
      <c r="AU12" s="91" t="n">
        <v>0</v>
      </c>
      <c r="AV12" s="91" t="n">
        <v>0</v>
      </c>
      <c r="AW12" s="91" t="n">
        <v>0</v>
      </c>
      <c r="AX12" s="91" t="n">
        <v>0</v>
      </c>
      <c r="AY12" s="91" t="n">
        <v>0</v>
      </c>
      <c r="AZ12" s="88" t="n">
        <v>0</v>
      </c>
      <c r="BA12" s="88" t="n">
        <v>0</v>
      </c>
      <c r="BB12" s="88" t="n">
        <v>0</v>
      </c>
      <c r="BC12" s="88" t="n">
        <v>0</v>
      </c>
      <c r="BD12" s="91" t="n">
        <v>0</v>
      </c>
      <c r="BE12" s="91" t="n">
        <v>0</v>
      </c>
      <c r="BF12" s="89" t="inlineStr">
        <is>
          <t>-</t>
        </is>
      </c>
      <c r="BG12" s="89" t="inlineStr">
        <is>
          <t>-</t>
        </is>
      </c>
      <c r="BH12" s="89" t="inlineStr">
        <is>
          <t>-</t>
        </is>
      </c>
    </row>
    <row r="13" ht="19.55" customHeight="1">
      <c r="A13" s="92" t="n">
        <v>10</v>
      </c>
      <c r="B13" s="87" t="inlineStr">
        <is>
          <t>全国</t>
        </is>
      </c>
      <c r="C13" s="93" t="n">
        <v>45903</v>
      </c>
      <c r="D13" s="87" t="inlineStr">
        <is>
          <t>2026款探陆</t>
        </is>
      </c>
      <c r="E13" s="87" t="n">
        <v>3</v>
      </c>
      <c r="F13" s="87" t="n">
        <v>3</v>
      </c>
      <c r="G13" s="88" t="n">
        <v>1</v>
      </c>
      <c r="H13" s="87" t="n">
        <v>0</v>
      </c>
      <c r="I13" s="89" t="n">
        <v>0</v>
      </c>
      <c r="J13" s="87" t="n">
        <v>0</v>
      </c>
      <c r="K13" s="87" t="n">
        <v>0</v>
      </c>
      <c r="L13" s="88" t="n">
        <v>0</v>
      </c>
      <c r="M13" s="87" t="n">
        <v>0</v>
      </c>
      <c r="N13" s="87" t="n">
        <v>0</v>
      </c>
      <c r="O13" s="87" t="n">
        <v>0</v>
      </c>
      <c r="P13" s="88" t="n">
        <v>0</v>
      </c>
      <c r="Q13" s="87" t="n">
        <v>0</v>
      </c>
      <c r="R13" s="87" t="n">
        <v>0</v>
      </c>
      <c r="S13" s="87" t="n">
        <v>0</v>
      </c>
      <c r="T13" s="88" t="n">
        <v>0</v>
      </c>
      <c r="U13" s="87" t="n">
        <v>0</v>
      </c>
      <c r="V13" s="88" t="n">
        <v>0</v>
      </c>
      <c r="W13" s="87" t="n">
        <v>0</v>
      </c>
      <c r="X13" s="88" t="n">
        <v>0</v>
      </c>
      <c r="Y13" s="87" t="n">
        <v>0</v>
      </c>
      <c r="Z13" s="90" t="n">
        <v>0</v>
      </c>
      <c r="AA13" s="87" t="n">
        <v>0</v>
      </c>
      <c r="AB13" s="88" t="n">
        <v>0</v>
      </c>
      <c r="AC13" s="87" t="n">
        <v>1</v>
      </c>
      <c r="AD13" s="88" t="n">
        <v>0.3333333333333333</v>
      </c>
      <c r="AE13" s="87" t="n">
        <v>0</v>
      </c>
      <c r="AF13" s="88" t="n">
        <v>0</v>
      </c>
      <c r="AG13" s="87" t="n">
        <v>0</v>
      </c>
      <c r="AH13" s="88" t="n">
        <v>0</v>
      </c>
      <c r="AI13" s="91" t="n">
        <v>0</v>
      </c>
      <c r="AJ13" s="88" t="n">
        <v>0</v>
      </c>
      <c r="AK13" s="91" t="n">
        <v>0</v>
      </c>
      <c r="AL13" s="88" t="n">
        <v>0</v>
      </c>
      <c r="AM13" s="91" t="n">
        <v>0</v>
      </c>
      <c r="AN13" s="91" t="n">
        <v>0</v>
      </c>
      <c r="AO13" s="88" t="n">
        <v>0</v>
      </c>
      <c r="AP13" s="88" t="n">
        <v>0</v>
      </c>
      <c r="AQ13" s="89" t="n"/>
      <c r="AR13" s="89" t="inlineStr">
        <is>
          <t>0.0%</t>
        </is>
      </c>
      <c r="AS13" s="89" t="inlineStr">
        <is>
          <t>0.0%</t>
        </is>
      </c>
      <c r="AT13" s="91" t="n">
        <v>0</v>
      </c>
      <c r="AU13" s="91" t="n">
        <v>0</v>
      </c>
      <c r="AV13" s="91" t="n">
        <v>0</v>
      </c>
      <c r="AW13" s="91" t="n">
        <v>0</v>
      </c>
      <c r="AX13" s="91" t="n">
        <v>0</v>
      </c>
      <c r="AY13" s="91" t="n">
        <v>0</v>
      </c>
      <c r="AZ13" s="88" t="n">
        <v>0</v>
      </c>
      <c r="BA13" s="88" t="n">
        <v>0</v>
      </c>
      <c r="BB13" s="88" t="n">
        <v>0</v>
      </c>
      <c r="BC13" s="88" t="n">
        <v>0</v>
      </c>
      <c r="BD13" s="91" t="n">
        <v>0</v>
      </c>
      <c r="BE13" s="91" t="n">
        <v>0</v>
      </c>
      <c r="BF13" s="89" t="inlineStr">
        <is>
          <t>-</t>
        </is>
      </c>
      <c r="BG13" s="89" t="inlineStr">
        <is>
          <t>-</t>
        </is>
      </c>
      <c r="BH13" s="89" t="inlineStr">
        <is>
          <t>-</t>
        </is>
      </c>
    </row>
    <row r="14" ht="19.55" customHeight="1">
      <c r="A14" s="92" t="n">
        <v>11</v>
      </c>
      <c r="B14" s="87" t="inlineStr">
        <is>
          <t>全国</t>
        </is>
      </c>
      <c r="C14" s="93" t="n">
        <v>45903</v>
      </c>
      <c r="D14" s="87" t="inlineStr">
        <is>
          <t>N6</t>
        </is>
      </c>
      <c r="E14" s="87" t="n">
        <v>67</v>
      </c>
      <c r="F14" s="87" t="n">
        <v>65</v>
      </c>
      <c r="G14" s="88" t="n">
        <v>0.9701492537313433</v>
      </c>
      <c r="H14" s="87" t="n">
        <v>27</v>
      </c>
      <c r="I14" s="89" t="n">
        <v>0.4029850746268657</v>
      </c>
      <c r="J14" s="87" t="n">
        <v>27</v>
      </c>
      <c r="K14" s="87" t="n">
        <v>26</v>
      </c>
      <c r="L14" s="88" t="n">
        <v>0.963</v>
      </c>
      <c r="M14" s="87" t="n">
        <v>64</v>
      </c>
      <c r="N14" s="87" t="n">
        <v>0</v>
      </c>
      <c r="O14" s="87" t="n">
        <v>48</v>
      </c>
      <c r="P14" s="88" t="n">
        <v>0.75</v>
      </c>
      <c r="Q14" s="87" t="n">
        <v>0</v>
      </c>
      <c r="R14" s="87" t="n">
        <v>0</v>
      </c>
      <c r="S14" s="87" t="n">
        <v>0</v>
      </c>
      <c r="T14" s="88" t="n">
        <v>0</v>
      </c>
      <c r="U14" s="87" t="n">
        <v>0</v>
      </c>
      <c r="V14" s="88" t="n">
        <v>0</v>
      </c>
      <c r="W14" s="87" t="n">
        <v>0</v>
      </c>
      <c r="X14" s="88" t="n">
        <v>0</v>
      </c>
      <c r="Y14" s="87" t="n">
        <v>0</v>
      </c>
      <c r="Z14" s="90" t="n">
        <v>0</v>
      </c>
      <c r="AA14" s="87" t="n">
        <v>0</v>
      </c>
      <c r="AB14" s="88" t="n">
        <v>0</v>
      </c>
      <c r="AC14" s="87" t="n">
        <v>18</v>
      </c>
      <c r="AD14" s="88" t="n">
        <v>0.2686567164179104</v>
      </c>
      <c r="AE14" s="87" t="n">
        <v>1</v>
      </c>
      <c r="AF14" s="88" t="n">
        <v>0.05555555555555555</v>
      </c>
      <c r="AG14" s="87" t="n">
        <v>14</v>
      </c>
      <c r="AH14" s="88" t="n">
        <v>0.7777777777777778</v>
      </c>
      <c r="AI14" s="91" t="n">
        <v>0</v>
      </c>
      <c r="AJ14" s="88" t="n">
        <v>0</v>
      </c>
      <c r="AK14" s="91" t="n">
        <v>0</v>
      </c>
      <c r="AL14" s="88" t="n">
        <v>0</v>
      </c>
      <c r="AM14" s="91" t="n">
        <v>0</v>
      </c>
      <c r="AN14" s="91" t="n">
        <v>0</v>
      </c>
      <c r="AO14" s="88" t="n">
        <v>0</v>
      </c>
      <c r="AP14" s="88" t="n">
        <v>0</v>
      </c>
      <c r="AQ14" s="89" t="n"/>
      <c r="AR14" s="89" t="n">
        <v>0</v>
      </c>
      <c r="AS14" s="89" t="n">
        <v>0</v>
      </c>
      <c r="AT14" s="91" t="n">
        <v>0</v>
      </c>
      <c r="AU14" s="91" t="n">
        <v>0</v>
      </c>
      <c r="AV14" s="91" t="n">
        <v>0</v>
      </c>
      <c r="AW14" s="91" t="n">
        <v>0</v>
      </c>
      <c r="AX14" s="91" t="n">
        <v>0</v>
      </c>
      <c r="AY14" s="91" t="n">
        <v>0</v>
      </c>
      <c r="AZ14" s="88" t="n">
        <v>0</v>
      </c>
      <c r="BA14" s="88" t="n">
        <v>0</v>
      </c>
      <c r="BB14" s="88" t="n">
        <v>0</v>
      </c>
      <c r="BC14" s="88" t="n">
        <v>0</v>
      </c>
      <c r="BD14" s="91" t="n">
        <v>0</v>
      </c>
      <c r="BE14" s="91" t="n">
        <v>0</v>
      </c>
      <c r="BF14" s="89" t="inlineStr">
        <is>
          <t>-</t>
        </is>
      </c>
      <c r="BG14" s="89" t="inlineStr">
        <is>
          <t>-</t>
        </is>
      </c>
      <c r="BH14" s="89" t="inlineStr">
        <is>
          <t>-</t>
        </is>
      </c>
    </row>
    <row r="15" ht="19.55" customHeight="1">
      <c r="A15" s="92" t="n">
        <v>12</v>
      </c>
      <c r="B15" s="87" t="inlineStr">
        <is>
          <t>全国</t>
        </is>
      </c>
      <c r="C15" s="93" t="n">
        <v>45903</v>
      </c>
      <c r="D15" s="87" t="inlineStr">
        <is>
          <t>N7</t>
        </is>
      </c>
      <c r="E15" s="87" t="n">
        <v>6057</v>
      </c>
      <c r="F15" s="87" t="n">
        <v>4920</v>
      </c>
      <c r="G15" s="88" t="n">
        <v>0.8122833085685983</v>
      </c>
      <c r="H15" s="87" t="n">
        <v>2205</v>
      </c>
      <c r="I15" s="89" t="n">
        <v>0.3640416047548291</v>
      </c>
      <c r="J15" s="87" t="n">
        <v>4712</v>
      </c>
      <c r="K15" s="87" t="n">
        <v>4395</v>
      </c>
      <c r="L15" s="88" t="n">
        <v>0.9330000000000001</v>
      </c>
      <c r="M15" s="87" t="n">
        <v>5749</v>
      </c>
      <c r="N15" s="87" t="n">
        <v>0</v>
      </c>
      <c r="O15" s="87" t="n">
        <v>5344</v>
      </c>
      <c r="P15" s="88" t="n">
        <v>0.929552965733171</v>
      </c>
      <c r="Q15" s="87" t="n">
        <v>47</v>
      </c>
      <c r="R15" s="87" t="n">
        <v>0</v>
      </c>
      <c r="S15" s="87" t="n">
        <v>0</v>
      </c>
      <c r="T15" s="88" t="n">
        <v>0</v>
      </c>
      <c r="U15" s="87" t="n">
        <v>0</v>
      </c>
      <c r="V15" s="88" t="n">
        <v>0</v>
      </c>
      <c r="W15" s="87" t="n">
        <v>1025</v>
      </c>
      <c r="X15" s="88" t="n">
        <v>0.1692256892851247</v>
      </c>
      <c r="Y15" s="87" t="n">
        <v>711</v>
      </c>
      <c r="Z15" s="90" t="n">
        <v>0.1173848439821694</v>
      </c>
      <c r="AA15" s="87" t="n">
        <v>177</v>
      </c>
      <c r="AB15" s="88" t="n">
        <v>0.02922238732045567</v>
      </c>
      <c r="AC15" s="87" t="n">
        <v>794</v>
      </c>
      <c r="AD15" s="88" t="n">
        <v>0.1310879973584283</v>
      </c>
      <c r="AE15" s="87" t="n">
        <v>24</v>
      </c>
      <c r="AF15" s="88" t="n">
        <v>0.03022670025188917</v>
      </c>
      <c r="AG15" s="87" t="n">
        <v>300</v>
      </c>
      <c r="AH15" s="88" t="n">
        <v>0.3778337531486146</v>
      </c>
      <c r="AI15" s="91" t="n">
        <v>784</v>
      </c>
      <c r="AJ15" s="88" t="n">
        <v>0.1294370150239393</v>
      </c>
      <c r="AK15" s="91" t="n">
        <v>17</v>
      </c>
      <c r="AL15" s="88" t="n">
        <v>0.8392857142857143</v>
      </c>
      <c r="AM15" s="91" t="n">
        <v>777</v>
      </c>
      <c r="AN15" s="91" t="n">
        <v>658</v>
      </c>
      <c r="AO15" s="88" t="n">
        <v>0.1086346376093776</v>
      </c>
      <c r="AP15" s="88" t="n">
        <v>0.8287153652392947</v>
      </c>
      <c r="AQ15" s="89" t="n">
        <v>0</v>
      </c>
      <c r="AR15" s="89" t="n">
        <v>0.0199252801992528</v>
      </c>
      <c r="AS15" s="89" t="n">
        <v>0.0199252801992528</v>
      </c>
      <c r="AT15" s="91" t="n">
        <v>0</v>
      </c>
      <c r="AU15" s="91" t="n">
        <v>0</v>
      </c>
      <c r="AV15" s="91" t="n">
        <v>97</v>
      </c>
      <c r="AW15" s="91" t="n">
        <v>59</v>
      </c>
      <c r="AX15" s="91" t="n">
        <v>65</v>
      </c>
      <c r="AY15" s="91" t="n">
        <v>250</v>
      </c>
      <c r="AZ15" s="88" t="n">
        <v>0.009740795773485224</v>
      </c>
      <c r="BA15" s="88" t="n">
        <v>0.01073138517417864</v>
      </c>
      <c r="BB15" s="88" t="n">
        <v>0.04127455836222552</v>
      </c>
      <c r="BC15" s="88" t="n">
        <v>0.09878419452887538</v>
      </c>
      <c r="BD15" s="91" t="n">
        <v>0</v>
      </c>
      <c r="BE15" s="91" t="n">
        <v>1</v>
      </c>
      <c r="BF15" s="89" t="n">
        <v>0.9354838709677419</v>
      </c>
      <c r="BG15" s="89" t="n">
        <v>1</v>
      </c>
      <c r="BH15" s="89" t="inlineStr">
        <is>
          <t>-</t>
        </is>
      </c>
    </row>
    <row r="16" ht="19.55" customHeight="1">
      <c r="A16" s="92" t="n">
        <v>13</v>
      </c>
      <c r="B16" s="87" t="inlineStr">
        <is>
          <t>全国</t>
        </is>
      </c>
      <c r="C16" s="93" t="n">
        <v>45903</v>
      </c>
      <c r="D16" s="87" t="inlineStr">
        <is>
          <t>NX8</t>
        </is>
      </c>
      <c r="E16" s="87" t="n">
        <v>135</v>
      </c>
      <c r="F16" s="87" t="n">
        <v>111</v>
      </c>
      <c r="G16" s="88" t="n">
        <v>0.8222222222222222</v>
      </c>
      <c r="H16" s="87" t="n">
        <v>50</v>
      </c>
      <c r="I16" s="89" t="n">
        <v>0.3703703703703703</v>
      </c>
      <c r="J16" s="87" t="n">
        <v>39</v>
      </c>
      <c r="K16" s="87" t="n">
        <v>38</v>
      </c>
      <c r="L16" s="88" t="n">
        <v>0.974</v>
      </c>
      <c r="M16" s="87" t="n">
        <v>54</v>
      </c>
      <c r="N16" s="87" t="n">
        <v>0</v>
      </c>
      <c r="O16" s="87" t="n">
        <v>53</v>
      </c>
      <c r="P16" s="88" t="n">
        <v>0.9814814814814815</v>
      </c>
      <c r="Q16" s="87" t="n">
        <v>0</v>
      </c>
      <c r="R16" s="87" t="n">
        <v>0</v>
      </c>
      <c r="S16" s="87" t="n">
        <v>0</v>
      </c>
      <c r="T16" s="88" t="n">
        <v>0</v>
      </c>
      <c r="U16" s="87" t="n">
        <v>0</v>
      </c>
      <c r="V16" s="88" t="n">
        <v>0</v>
      </c>
      <c r="W16" s="87" t="n">
        <v>0</v>
      </c>
      <c r="X16" s="88" t="n">
        <v>0</v>
      </c>
      <c r="Y16" s="87" t="n">
        <v>0</v>
      </c>
      <c r="Z16" s="90" t="n">
        <v>0</v>
      </c>
      <c r="AA16" s="87" t="n">
        <v>0</v>
      </c>
      <c r="AB16" s="88" t="n">
        <v>0</v>
      </c>
      <c r="AC16" s="87" t="n">
        <v>26</v>
      </c>
      <c r="AD16" s="88" t="n">
        <v>0.1925925925925926</v>
      </c>
      <c r="AE16" s="87" t="n">
        <v>3</v>
      </c>
      <c r="AF16" s="88" t="n">
        <v>0.1153846153846154</v>
      </c>
      <c r="AG16" s="87" t="n">
        <v>14</v>
      </c>
      <c r="AH16" s="88" t="n">
        <v>0.5384615384615384</v>
      </c>
      <c r="AI16" s="91" t="n">
        <v>0</v>
      </c>
      <c r="AJ16" s="88" t="n">
        <v>0</v>
      </c>
      <c r="AK16" s="91" t="n">
        <v>0</v>
      </c>
      <c r="AL16" s="88" t="n">
        <v>0</v>
      </c>
      <c r="AM16" s="91" t="n">
        <v>0</v>
      </c>
      <c r="AN16" s="91" t="n">
        <v>0</v>
      </c>
      <c r="AO16" s="88" t="n">
        <v>0</v>
      </c>
      <c r="AP16" s="88" t="n">
        <v>0</v>
      </c>
      <c r="AQ16" s="89" t="n"/>
      <c r="AR16" s="89" t="inlineStr">
        <is>
          <t>0.0%</t>
        </is>
      </c>
      <c r="AS16" s="89" t="inlineStr">
        <is>
          <t>0.0%</t>
        </is>
      </c>
      <c r="AT16" s="91" t="n">
        <v>0</v>
      </c>
      <c r="AU16" s="91" t="n">
        <v>0</v>
      </c>
      <c r="AV16" s="91" t="n">
        <v>0</v>
      </c>
      <c r="AW16" s="91" t="n">
        <v>0</v>
      </c>
      <c r="AX16" s="91" t="n">
        <v>0</v>
      </c>
      <c r="AY16" s="91" t="n">
        <v>0</v>
      </c>
      <c r="AZ16" s="88" t="n">
        <v>0</v>
      </c>
      <c r="BA16" s="88" t="n">
        <v>0</v>
      </c>
      <c r="BB16" s="88" t="n">
        <v>0</v>
      </c>
      <c r="BC16" s="88" t="n">
        <v>0</v>
      </c>
      <c r="BD16" s="91" t="n">
        <v>0</v>
      </c>
      <c r="BE16" s="91" t="n">
        <v>0</v>
      </c>
      <c r="BF16" s="89" t="inlineStr">
        <is>
          <t>-</t>
        </is>
      </c>
      <c r="BG16" s="89" t="inlineStr">
        <is>
          <t>-</t>
        </is>
      </c>
      <c r="BH16" s="89" t="inlineStr">
        <is>
          <t>-</t>
        </is>
      </c>
    </row>
    <row r="17" ht="19.55" customHeight="1">
      <c r="A17" s="92" t="n">
        <v>14</v>
      </c>
      <c r="B17" s="87" t="inlineStr">
        <is>
          <t>全国</t>
        </is>
      </c>
      <c r="C17" s="93" t="n">
        <v>45903</v>
      </c>
      <c r="D17" s="87" t="inlineStr">
        <is>
          <t>天籁·鸿蒙座舱</t>
        </is>
      </c>
      <c r="E17" s="87" t="n">
        <v>80</v>
      </c>
      <c r="F17" s="87" t="n">
        <v>75</v>
      </c>
      <c r="G17" s="88" t="n">
        <v>0.9375</v>
      </c>
      <c r="H17" s="87" t="n">
        <v>44</v>
      </c>
      <c r="I17" s="89" t="n">
        <v>0.55</v>
      </c>
      <c r="J17" s="87" t="n">
        <v>41</v>
      </c>
      <c r="K17" s="87" t="n">
        <v>38</v>
      </c>
      <c r="L17" s="88" t="n">
        <v>0.927</v>
      </c>
      <c r="M17" s="87" t="n">
        <v>65</v>
      </c>
      <c r="N17" s="87" t="n">
        <v>0</v>
      </c>
      <c r="O17" s="87" t="n">
        <v>62</v>
      </c>
      <c r="P17" s="88" t="n">
        <v>0.9538461538461539</v>
      </c>
      <c r="Q17" s="87" t="n">
        <v>0</v>
      </c>
      <c r="R17" s="87" t="n">
        <v>0</v>
      </c>
      <c r="S17" s="87" t="n">
        <v>0</v>
      </c>
      <c r="T17" s="88" t="n">
        <v>0</v>
      </c>
      <c r="U17" s="87" t="n">
        <v>0</v>
      </c>
      <c r="V17" s="88" t="n">
        <v>0</v>
      </c>
      <c r="W17" s="87" t="n">
        <v>0</v>
      </c>
      <c r="X17" s="88" t="n">
        <v>0</v>
      </c>
      <c r="Y17" s="87" t="n">
        <v>0</v>
      </c>
      <c r="Z17" s="90" t="n">
        <v>0</v>
      </c>
      <c r="AA17" s="87" t="n">
        <v>0</v>
      </c>
      <c r="AB17" s="88" t="n">
        <v>0</v>
      </c>
      <c r="AC17" s="87" t="n">
        <v>18</v>
      </c>
      <c r="AD17" s="88" t="n">
        <v>0.225</v>
      </c>
      <c r="AE17" s="87" t="n">
        <v>4</v>
      </c>
      <c r="AF17" s="88" t="n">
        <v>0.2222222222222222</v>
      </c>
      <c r="AG17" s="87" t="n">
        <v>13</v>
      </c>
      <c r="AH17" s="88" t="n">
        <v>0.7222222222222222</v>
      </c>
      <c r="AI17" s="91" t="n">
        <v>0</v>
      </c>
      <c r="AJ17" s="88" t="n">
        <v>0</v>
      </c>
      <c r="AK17" s="91" t="n">
        <v>0</v>
      </c>
      <c r="AL17" s="88" t="n">
        <v>0</v>
      </c>
      <c r="AM17" s="91" t="n">
        <v>0</v>
      </c>
      <c r="AN17" s="91" t="n">
        <v>0</v>
      </c>
      <c r="AO17" s="88" t="n">
        <v>0</v>
      </c>
      <c r="AP17" s="88" t="n">
        <v>0</v>
      </c>
      <c r="AQ17" s="89" t="n"/>
      <c r="AR17" s="89" t="n">
        <v>0</v>
      </c>
      <c r="AS17" s="89" t="n">
        <v>0</v>
      </c>
      <c r="AT17" s="91" t="n">
        <v>0</v>
      </c>
      <c r="AU17" s="91" t="n">
        <v>0</v>
      </c>
      <c r="AV17" s="91" t="n">
        <v>0</v>
      </c>
      <c r="AW17" s="91" t="n">
        <v>0</v>
      </c>
      <c r="AX17" s="91" t="n">
        <v>0</v>
      </c>
      <c r="AY17" s="91" t="n">
        <v>0</v>
      </c>
      <c r="AZ17" s="88" t="n">
        <v>0</v>
      </c>
      <c r="BA17" s="88" t="n">
        <v>0</v>
      </c>
      <c r="BB17" s="88" t="n">
        <v>0</v>
      </c>
      <c r="BC17" s="88" t="n">
        <v>0</v>
      </c>
      <c r="BD17" s="91" t="n">
        <v>0</v>
      </c>
      <c r="BE17" s="91" t="n">
        <v>0</v>
      </c>
      <c r="BF17" s="89" t="inlineStr">
        <is>
          <t>-</t>
        </is>
      </c>
      <c r="BG17" s="89" t="inlineStr">
        <is>
          <t>-</t>
        </is>
      </c>
      <c r="BH17" s="89" t="inlineStr">
        <is>
          <t>-</t>
        </is>
      </c>
    </row>
    <row r="18" ht="19.55" customHeight="1">
      <c r="A18" s="92" t="n">
        <v>15</v>
      </c>
      <c r="B18" s="87" t="inlineStr">
        <is>
          <t>全国</t>
        </is>
      </c>
      <c r="C18" s="93" t="n">
        <v>45904</v>
      </c>
      <c r="D18" s="87" t="n"/>
      <c r="E18" s="87" t="n">
        <v>0</v>
      </c>
      <c r="F18" s="87" t="n">
        <v>0</v>
      </c>
      <c r="G18" s="88" t="n">
        <v>0</v>
      </c>
      <c r="H18" s="87" t="n">
        <v>0</v>
      </c>
      <c r="I18" s="89" t="n">
        <v>0</v>
      </c>
      <c r="J18" s="87" t="n">
        <v>0</v>
      </c>
      <c r="K18" s="87" t="n">
        <v>0</v>
      </c>
      <c r="L18" s="88" t="n">
        <v>0</v>
      </c>
      <c r="M18" s="87" t="n">
        <v>1</v>
      </c>
      <c r="N18" s="87" t="n">
        <v>0</v>
      </c>
      <c r="O18" s="87" t="n">
        <v>1</v>
      </c>
      <c r="P18" s="88" t="n">
        <v>1</v>
      </c>
      <c r="Q18" s="87" t="n">
        <v>0</v>
      </c>
      <c r="R18" s="87" t="n">
        <v>0</v>
      </c>
      <c r="S18" s="87" t="n">
        <v>0</v>
      </c>
      <c r="T18" s="88" t="n">
        <v>0</v>
      </c>
      <c r="U18" s="87" t="n">
        <v>0</v>
      </c>
      <c r="V18" s="88" t="n">
        <v>0</v>
      </c>
      <c r="W18" s="87" t="n">
        <v>0</v>
      </c>
      <c r="X18" s="88" t="n">
        <v>0</v>
      </c>
      <c r="Y18" s="87" t="n">
        <v>0</v>
      </c>
      <c r="Z18" s="90" t="n">
        <v>0</v>
      </c>
      <c r="AA18" s="87" t="n">
        <v>0</v>
      </c>
      <c r="AB18" s="88" t="n">
        <v>0</v>
      </c>
      <c r="AC18" s="87" t="n">
        <v>0</v>
      </c>
      <c r="AD18" s="88" t="n">
        <v>0</v>
      </c>
      <c r="AE18" s="87" t="n">
        <v>0</v>
      </c>
      <c r="AF18" s="88" t="n">
        <v>0</v>
      </c>
      <c r="AG18" s="87" t="n">
        <v>0</v>
      </c>
      <c r="AH18" s="88" t="n">
        <v>0</v>
      </c>
      <c r="AI18" s="91" t="n">
        <v>0</v>
      </c>
      <c r="AJ18" s="88" t="n">
        <v>0</v>
      </c>
      <c r="AK18" s="91" t="n">
        <v>0</v>
      </c>
      <c r="AL18" s="88" t="n">
        <v>0</v>
      </c>
      <c r="AM18" s="91" t="n">
        <v>0</v>
      </c>
      <c r="AN18" s="91" t="n">
        <v>0</v>
      </c>
      <c r="AO18" s="88" t="n">
        <v>0</v>
      </c>
      <c r="AP18" s="88" t="n">
        <v>0</v>
      </c>
      <c r="AQ18" s="89" t="n"/>
      <c r="AR18" s="89" t="inlineStr">
        <is>
          <t>0.0%</t>
        </is>
      </c>
      <c r="AS18" s="89" t="inlineStr">
        <is>
          <t>0.0%</t>
        </is>
      </c>
      <c r="AT18" s="91" t="n">
        <v>0</v>
      </c>
      <c r="AU18" s="91" t="n">
        <v>0</v>
      </c>
      <c r="AV18" s="91" t="n">
        <v>0</v>
      </c>
      <c r="AW18" s="91" t="n">
        <v>0</v>
      </c>
      <c r="AX18" s="91" t="n">
        <v>0</v>
      </c>
      <c r="AY18" s="91" t="n">
        <v>0</v>
      </c>
      <c r="AZ18" s="88" t="n">
        <v>0</v>
      </c>
      <c r="BA18" s="88" t="n">
        <v>0</v>
      </c>
      <c r="BB18" s="88" t="n">
        <v>0</v>
      </c>
      <c r="BC18" s="88" t="n">
        <v>0</v>
      </c>
      <c r="BD18" s="91" t="n">
        <v>0</v>
      </c>
      <c r="BE18" s="91" t="n">
        <v>7</v>
      </c>
      <c r="BF18" s="89" t="inlineStr">
        <is>
          <t>-</t>
        </is>
      </c>
      <c r="BG18" s="89" t="inlineStr">
        <is>
          <t>-</t>
        </is>
      </c>
      <c r="BH18" s="89" t="n">
        <v>0.8854961832061069</v>
      </c>
    </row>
    <row r="19" ht="19.55" customHeight="1">
      <c r="A19" s="92" t="n">
        <v>16</v>
      </c>
      <c r="B19" s="87" t="inlineStr">
        <is>
          <t>全国</t>
        </is>
      </c>
      <c r="C19" s="93" t="n">
        <v>45904</v>
      </c>
      <c r="D19" s="87" t="inlineStr">
        <is>
          <t>2026款探陆</t>
        </is>
      </c>
      <c r="E19" s="87" t="n">
        <v>1</v>
      </c>
      <c r="F19" s="87" t="n">
        <v>1</v>
      </c>
      <c r="G19" s="88" t="n">
        <v>1</v>
      </c>
      <c r="H19" s="87" t="n">
        <v>0</v>
      </c>
      <c r="I19" s="89" t="n">
        <v>0</v>
      </c>
      <c r="J19" s="87" t="n">
        <v>0</v>
      </c>
      <c r="K19" s="87" t="n">
        <v>0</v>
      </c>
      <c r="L19" s="88" t="n">
        <v>0</v>
      </c>
      <c r="M19" s="87" t="n">
        <v>0</v>
      </c>
      <c r="N19" s="87" t="n">
        <v>0</v>
      </c>
      <c r="O19" s="87" t="n">
        <v>0</v>
      </c>
      <c r="P19" s="88" t="n">
        <v>0</v>
      </c>
      <c r="Q19" s="87" t="n">
        <v>0</v>
      </c>
      <c r="R19" s="87" t="n">
        <v>0</v>
      </c>
      <c r="S19" s="87" t="n">
        <v>0</v>
      </c>
      <c r="T19" s="88" t="n">
        <v>0</v>
      </c>
      <c r="U19" s="87" t="n">
        <v>0</v>
      </c>
      <c r="V19" s="88" t="n">
        <v>0</v>
      </c>
      <c r="W19" s="87" t="n">
        <v>0</v>
      </c>
      <c r="X19" s="88" t="n">
        <v>0</v>
      </c>
      <c r="Y19" s="87" t="n">
        <v>0</v>
      </c>
      <c r="Z19" s="90" t="n">
        <v>0</v>
      </c>
      <c r="AA19" s="87" t="n">
        <v>0</v>
      </c>
      <c r="AB19" s="88" t="n">
        <v>0</v>
      </c>
      <c r="AC19" s="87" t="n">
        <v>0</v>
      </c>
      <c r="AD19" s="88" t="n">
        <v>0</v>
      </c>
      <c r="AE19" s="87" t="n">
        <v>0</v>
      </c>
      <c r="AF19" s="88" t="n">
        <v>0</v>
      </c>
      <c r="AG19" s="87" t="n">
        <v>0</v>
      </c>
      <c r="AH19" s="88" t="n">
        <v>0</v>
      </c>
      <c r="AI19" s="91" t="n">
        <v>0</v>
      </c>
      <c r="AJ19" s="88" t="n">
        <v>0</v>
      </c>
      <c r="AK19" s="91" t="n">
        <v>0</v>
      </c>
      <c r="AL19" s="88" t="n">
        <v>0</v>
      </c>
      <c r="AM19" s="91" t="n">
        <v>0</v>
      </c>
      <c r="AN19" s="91" t="n">
        <v>0</v>
      </c>
      <c r="AO19" s="88" t="n">
        <v>0</v>
      </c>
      <c r="AP19" s="88" t="n">
        <v>0</v>
      </c>
      <c r="AQ19" s="89" t="n"/>
      <c r="AR19" s="89" t="inlineStr">
        <is>
          <t>0.0%</t>
        </is>
      </c>
      <c r="AS19" s="89" t="inlineStr">
        <is>
          <t>0.0%</t>
        </is>
      </c>
      <c r="AT19" s="91" t="n">
        <v>0</v>
      </c>
      <c r="AU19" s="91" t="n">
        <v>0</v>
      </c>
      <c r="AV19" s="91" t="n">
        <v>0</v>
      </c>
      <c r="AW19" s="91" t="n">
        <v>0</v>
      </c>
      <c r="AX19" s="91" t="n">
        <v>0</v>
      </c>
      <c r="AY19" s="91" t="n">
        <v>0</v>
      </c>
      <c r="AZ19" s="88" t="n">
        <v>0</v>
      </c>
      <c r="BA19" s="88" t="n">
        <v>0</v>
      </c>
      <c r="BB19" s="88" t="n">
        <v>0</v>
      </c>
      <c r="BC19" s="88" t="n">
        <v>0</v>
      </c>
      <c r="BD19" s="91" t="n">
        <v>0</v>
      </c>
      <c r="BE19" s="91" t="n">
        <v>0</v>
      </c>
      <c r="BF19" s="89" t="inlineStr">
        <is>
          <t>-</t>
        </is>
      </c>
      <c r="BG19" s="89" t="inlineStr">
        <is>
          <t>-</t>
        </is>
      </c>
      <c r="BH19" s="89" t="inlineStr">
        <is>
          <t>-</t>
        </is>
      </c>
    </row>
    <row r="20" ht="19.55" customHeight="1">
      <c r="A20" s="92" t="n">
        <v>17</v>
      </c>
      <c r="B20" s="87" t="inlineStr">
        <is>
          <t>全国</t>
        </is>
      </c>
      <c r="C20" s="93" t="n">
        <v>45904</v>
      </c>
      <c r="D20" s="87" t="inlineStr">
        <is>
          <t>N6</t>
        </is>
      </c>
      <c r="E20" s="87" t="n">
        <v>81</v>
      </c>
      <c r="F20" s="87" t="n">
        <v>74</v>
      </c>
      <c r="G20" s="88" t="n">
        <v>0.9135802469135802</v>
      </c>
      <c r="H20" s="87" t="n">
        <v>32</v>
      </c>
      <c r="I20" s="89" t="n">
        <v>0.3950617283950617</v>
      </c>
      <c r="J20" s="87" t="n">
        <v>39</v>
      </c>
      <c r="K20" s="87" t="n">
        <v>32</v>
      </c>
      <c r="L20" s="88" t="n">
        <v>0.821</v>
      </c>
      <c r="M20" s="87" t="n">
        <v>57</v>
      </c>
      <c r="N20" s="87" t="n">
        <v>0</v>
      </c>
      <c r="O20" s="87" t="n">
        <v>48</v>
      </c>
      <c r="P20" s="88" t="n">
        <v>0.8421052631578947</v>
      </c>
      <c r="Q20" s="87" t="n">
        <v>0</v>
      </c>
      <c r="R20" s="87" t="n">
        <v>0</v>
      </c>
      <c r="S20" s="87" t="n">
        <v>0</v>
      </c>
      <c r="T20" s="88" t="n">
        <v>0</v>
      </c>
      <c r="U20" s="87" t="n">
        <v>0</v>
      </c>
      <c r="V20" s="88" t="n">
        <v>0</v>
      </c>
      <c r="W20" s="87" t="n">
        <v>0</v>
      </c>
      <c r="X20" s="88" t="n">
        <v>0</v>
      </c>
      <c r="Y20" s="87" t="n">
        <v>0</v>
      </c>
      <c r="Z20" s="90" t="n">
        <v>0</v>
      </c>
      <c r="AA20" s="87" t="n">
        <v>0</v>
      </c>
      <c r="AB20" s="88" t="n">
        <v>0</v>
      </c>
      <c r="AC20" s="87" t="n">
        <v>8</v>
      </c>
      <c r="AD20" s="88" t="n">
        <v>0.09876543209876543</v>
      </c>
      <c r="AE20" s="87" t="n">
        <v>2</v>
      </c>
      <c r="AF20" s="88" t="n">
        <v>0.25</v>
      </c>
      <c r="AG20" s="87" t="n">
        <v>7</v>
      </c>
      <c r="AH20" s="88" t="n">
        <v>0.875</v>
      </c>
      <c r="AI20" s="91" t="n">
        <v>0</v>
      </c>
      <c r="AJ20" s="88" t="n">
        <v>0</v>
      </c>
      <c r="AK20" s="91" t="n">
        <v>0</v>
      </c>
      <c r="AL20" s="88" t="n">
        <v>0</v>
      </c>
      <c r="AM20" s="91" t="n">
        <v>0</v>
      </c>
      <c r="AN20" s="91" t="n">
        <v>0</v>
      </c>
      <c r="AO20" s="88" t="n">
        <v>0</v>
      </c>
      <c r="AP20" s="88" t="n">
        <v>0</v>
      </c>
      <c r="AQ20" s="89" t="n"/>
      <c r="AR20" s="89" t="n">
        <v>0</v>
      </c>
      <c r="AS20" s="89" t="n">
        <v>0</v>
      </c>
      <c r="AT20" s="91" t="n">
        <v>0</v>
      </c>
      <c r="AU20" s="91" t="n">
        <v>0</v>
      </c>
      <c r="AV20" s="91" t="n">
        <v>0</v>
      </c>
      <c r="AW20" s="91" t="n">
        <v>0</v>
      </c>
      <c r="AX20" s="91" t="n">
        <v>0</v>
      </c>
      <c r="AY20" s="91" t="n">
        <v>0</v>
      </c>
      <c r="AZ20" s="88" t="n">
        <v>0</v>
      </c>
      <c r="BA20" s="88" t="n">
        <v>0</v>
      </c>
      <c r="BB20" s="88" t="n">
        <v>0</v>
      </c>
      <c r="BC20" s="88" t="n">
        <v>0</v>
      </c>
      <c r="BD20" s="91" t="n">
        <v>0</v>
      </c>
      <c r="BE20" s="91" t="n">
        <v>0</v>
      </c>
      <c r="BF20" s="89" t="inlineStr">
        <is>
          <t>-</t>
        </is>
      </c>
      <c r="BG20" s="89" t="inlineStr">
        <is>
          <t>-</t>
        </is>
      </c>
      <c r="BH20" s="89" t="inlineStr">
        <is>
          <t>-</t>
        </is>
      </c>
    </row>
    <row r="21" ht="19.55" customHeight="1">
      <c r="A21" s="92" t="n">
        <v>18</v>
      </c>
      <c r="B21" s="87" t="inlineStr">
        <is>
          <t>全国</t>
        </is>
      </c>
      <c r="C21" s="93" t="n">
        <v>45904</v>
      </c>
      <c r="D21" s="87" t="inlineStr">
        <is>
          <t>N7</t>
        </is>
      </c>
      <c r="E21" s="87" t="n">
        <v>8392</v>
      </c>
      <c r="F21" s="87" t="n">
        <v>6894</v>
      </c>
      <c r="G21" s="88" t="n">
        <v>0.8214966634890372</v>
      </c>
      <c r="H21" s="87" t="n">
        <v>2473</v>
      </c>
      <c r="I21" s="89" t="n">
        <v>0.2946854146806482</v>
      </c>
      <c r="J21" s="87" t="n">
        <v>5006</v>
      </c>
      <c r="K21" s="87" t="n">
        <v>4692</v>
      </c>
      <c r="L21" s="88" t="n">
        <v>0.9370000000000001</v>
      </c>
      <c r="M21" s="87" t="n">
        <v>5779</v>
      </c>
      <c r="N21" s="87" t="n">
        <v>0</v>
      </c>
      <c r="O21" s="87" t="n">
        <v>5409</v>
      </c>
      <c r="P21" s="88" t="n">
        <v>0.9359750821941513</v>
      </c>
      <c r="Q21" s="87" t="n">
        <v>40</v>
      </c>
      <c r="R21" s="87" t="n">
        <v>0</v>
      </c>
      <c r="S21" s="87" t="n">
        <v>0</v>
      </c>
      <c r="T21" s="88" t="n">
        <v>0</v>
      </c>
      <c r="U21" s="87" t="n">
        <v>0</v>
      </c>
      <c r="V21" s="88" t="n">
        <v>0</v>
      </c>
      <c r="W21" s="87" t="n">
        <v>772</v>
      </c>
      <c r="X21" s="88" t="n">
        <v>0.09199237368922783</v>
      </c>
      <c r="Y21" s="87" t="n">
        <v>748</v>
      </c>
      <c r="Z21" s="90" t="n">
        <v>0.08913250714966635</v>
      </c>
      <c r="AA21" s="87" t="n">
        <v>258</v>
      </c>
      <c r="AB21" s="88" t="n">
        <v>0.03074356530028599</v>
      </c>
      <c r="AC21" s="87" t="n">
        <v>847</v>
      </c>
      <c r="AD21" s="88" t="n">
        <v>0.1009294566253575</v>
      </c>
      <c r="AE21" s="87" t="n">
        <v>35</v>
      </c>
      <c r="AF21" s="88" t="n">
        <v>0.04132231404958678</v>
      </c>
      <c r="AG21" s="87" t="n">
        <v>332</v>
      </c>
      <c r="AH21" s="88" t="n">
        <v>0.3919716646989374</v>
      </c>
      <c r="AI21" s="91" t="n">
        <v>849</v>
      </c>
      <c r="AJ21" s="88" t="n">
        <v>0.1011677788369876</v>
      </c>
      <c r="AK21" s="91" t="n">
        <v>21</v>
      </c>
      <c r="AL21" s="88" t="n">
        <v>0.8080094228504122</v>
      </c>
      <c r="AM21" s="91" t="n">
        <v>831</v>
      </c>
      <c r="AN21" s="91" t="n">
        <v>686</v>
      </c>
      <c r="AO21" s="88" t="n">
        <v>0.08174451858913251</v>
      </c>
      <c r="AP21" s="88" t="n">
        <v>0.8099173553719008</v>
      </c>
      <c r="AQ21" s="89" t="n">
        <v>0</v>
      </c>
      <c r="AR21" s="89" t="n">
        <v>0.0104287369640788</v>
      </c>
      <c r="AS21" s="89" t="n">
        <v>0.0104287369640788</v>
      </c>
      <c r="AT21" s="91" t="n">
        <v>0</v>
      </c>
      <c r="AU21" s="91" t="n">
        <v>0</v>
      </c>
      <c r="AV21" s="91" t="n">
        <v>89</v>
      </c>
      <c r="AW21" s="91" t="n">
        <v>70</v>
      </c>
      <c r="AX21" s="91" t="n">
        <v>81</v>
      </c>
      <c r="AY21" s="91" t="n">
        <v>259</v>
      </c>
      <c r="AZ21" s="88" t="n">
        <v>0.008341277407054338</v>
      </c>
      <c r="BA21" s="88" t="n">
        <v>0.009652049571020019</v>
      </c>
      <c r="BB21" s="88" t="n">
        <v>0.03086272640610105</v>
      </c>
      <c r="BC21" s="88" t="n">
        <v>0.1180758017492711</v>
      </c>
      <c r="BD21" s="91" t="n">
        <v>0</v>
      </c>
      <c r="BE21" s="91" t="n">
        <v>1</v>
      </c>
      <c r="BF21" s="89" t="n">
        <v>0.9565217391304348</v>
      </c>
      <c r="BG21" s="89" t="n">
        <v>1</v>
      </c>
      <c r="BH21" s="89" t="inlineStr">
        <is>
          <t>-</t>
        </is>
      </c>
    </row>
    <row r="22" ht="19.55" customHeight="1">
      <c r="A22" s="92" t="n">
        <v>19</v>
      </c>
      <c r="B22" s="87" t="inlineStr">
        <is>
          <t>全国</t>
        </is>
      </c>
      <c r="C22" s="93" t="n">
        <v>45904</v>
      </c>
      <c r="D22" s="87" t="inlineStr">
        <is>
          <t>NX8</t>
        </is>
      </c>
      <c r="E22" s="87" t="n">
        <v>173</v>
      </c>
      <c r="F22" s="87" t="n">
        <v>160</v>
      </c>
      <c r="G22" s="88" t="n">
        <v>0.9248554913294798</v>
      </c>
      <c r="H22" s="87" t="n">
        <v>58</v>
      </c>
      <c r="I22" s="89" t="n">
        <v>0.3352601156069364</v>
      </c>
      <c r="J22" s="87" t="n">
        <v>30</v>
      </c>
      <c r="K22" s="87" t="n">
        <v>28</v>
      </c>
      <c r="L22" s="88" t="n">
        <v>0.9330000000000001</v>
      </c>
      <c r="M22" s="87" t="n">
        <v>37</v>
      </c>
      <c r="N22" s="87" t="n">
        <v>0</v>
      </c>
      <c r="O22" s="87" t="n">
        <v>35</v>
      </c>
      <c r="P22" s="88" t="n">
        <v>0.9459459459459459</v>
      </c>
      <c r="Q22" s="87" t="n">
        <v>0</v>
      </c>
      <c r="R22" s="87" t="n">
        <v>0</v>
      </c>
      <c r="S22" s="87" t="n">
        <v>0</v>
      </c>
      <c r="T22" s="88" t="n">
        <v>0</v>
      </c>
      <c r="U22" s="87" t="n">
        <v>0</v>
      </c>
      <c r="V22" s="88" t="n">
        <v>0</v>
      </c>
      <c r="W22" s="87" t="n">
        <v>0</v>
      </c>
      <c r="X22" s="88" t="n">
        <v>0</v>
      </c>
      <c r="Y22" s="87" t="n">
        <v>0</v>
      </c>
      <c r="Z22" s="90" t="n">
        <v>0</v>
      </c>
      <c r="AA22" s="87" t="n">
        <v>0</v>
      </c>
      <c r="AB22" s="88" t="n">
        <v>0</v>
      </c>
      <c r="AC22" s="87" t="n">
        <v>36</v>
      </c>
      <c r="AD22" s="88" t="n">
        <v>0.208092485549133</v>
      </c>
      <c r="AE22" s="87" t="n">
        <v>3</v>
      </c>
      <c r="AF22" s="88" t="n">
        <v>0.08333333333333333</v>
      </c>
      <c r="AG22" s="87" t="n">
        <v>21</v>
      </c>
      <c r="AH22" s="88" t="n">
        <v>0.5833333333333334</v>
      </c>
      <c r="AI22" s="91" t="n">
        <v>0</v>
      </c>
      <c r="AJ22" s="88" t="n">
        <v>0</v>
      </c>
      <c r="AK22" s="91" t="n">
        <v>0</v>
      </c>
      <c r="AL22" s="88" t="n">
        <v>0</v>
      </c>
      <c r="AM22" s="91" t="n">
        <v>0</v>
      </c>
      <c r="AN22" s="91" t="n">
        <v>0</v>
      </c>
      <c r="AO22" s="88" t="n">
        <v>0</v>
      </c>
      <c r="AP22" s="88" t="n">
        <v>0</v>
      </c>
      <c r="AQ22" s="89" t="n"/>
      <c r="AR22" s="89" t="n">
        <v>0</v>
      </c>
      <c r="AS22" s="89" t="n">
        <v>0</v>
      </c>
      <c r="AT22" s="91" t="n">
        <v>0</v>
      </c>
      <c r="AU22" s="91" t="n">
        <v>0</v>
      </c>
      <c r="AV22" s="91" t="n">
        <v>0</v>
      </c>
      <c r="AW22" s="91" t="n">
        <v>0</v>
      </c>
      <c r="AX22" s="91" t="n">
        <v>0</v>
      </c>
      <c r="AY22" s="91" t="n">
        <v>0</v>
      </c>
      <c r="AZ22" s="88" t="n">
        <v>0</v>
      </c>
      <c r="BA22" s="88" t="n">
        <v>0</v>
      </c>
      <c r="BB22" s="88" t="n">
        <v>0</v>
      </c>
      <c r="BC22" s="88" t="n">
        <v>0</v>
      </c>
      <c r="BD22" s="91" t="n">
        <v>0</v>
      </c>
      <c r="BE22" s="91" t="n">
        <v>0</v>
      </c>
      <c r="BF22" s="89" t="inlineStr">
        <is>
          <t>-</t>
        </is>
      </c>
      <c r="BG22" s="89" t="inlineStr">
        <is>
          <t>-</t>
        </is>
      </c>
      <c r="BH22" s="89" t="inlineStr">
        <is>
          <t>-</t>
        </is>
      </c>
    </row>
    <row r="23" ht="19.55" customHeight="1">
      <c r="A23" s="92" t="n">
        <v>20</v>
      </c>
      <c r="B23" s="87" t="inlineStr">
        <is>
          <t>全国</t>
        </is>
      </c>
      <c r="C23" s="93" t="n">
        <v>45904</v>
      </c>
      <c r="D23" s="87" t="inlineStr">
        <is>
          <t>天籁·鸿蒙座舱</t>
        </is>
      </c>
      <c r="E23" s="87" t="n">
        <v>81</v>
      </c>
      <c r="F23" s="87" t="n">
        <v>77</v>
      </c>
      <c r="G23" s="88" t="n">
        <v>0.9506172839506173</v>
      </c>
      <c r="H23" s="87" t="n">
        <v>42</v>
      </c>
      <c r="I23" s="89" t="n">
        <v>0.5185185185185185</v>
      </c>
      <c r="J23" s="87" t="n">
        <v>38</v>
      </c>
      <c r="K23" s="87" t="n">
        <v>36</v>
      </c>
      <c r="L23" s="88" t="n">
        <v>0.947</v>
      </c>
      <c r="M23" s="87" t="n">
        <v>53</v>
      </c>
      <c r="N23" s="87" t="n">
        <v>0</v>
      </c>
      <c r="O23" s="87" t="n">
        <v>51</v>
      </c>
      <c r="P23" s="88" t="n">
        <v>0.9622641509433962</v>
      </c>
      <c r="Q23" s="87" t="n">
        <v>0</v>
      </c>
      <c r="R23" s="87" t="n">
        <v>0</v>
      </c>
      <c r="S23" s="87" t="n">
        <v>0</v>
      </c>
      <c r="T23" s="88" t="n">
        <v>0</v>
      </c>
      <c r="U23" s="87" t="n">
        <v>0</v>
      </c>
      <c r="V23" s="88" t="n">
        <v>0</v>
      </c>
      <c r="W23" s="87" t="n">
        <v>0</v>
      </c>
      <c r="X23" s="88" t="n">
        <v>0</v>
      </c>
      <c r="Y23" s="87" t="n">
        <v>0</v>
      </c>
      <c r="Z23" s="90" t="n">
        <v>0</v>
      </c>
      <c r="AA23" s="87" t="n">
        <v>0</v>
      </c>
      <c r="AB23" s="88" t="n">
        <v>0</v>
      </c>
      <c r="AC23" s="87" t="n">
        <v>20</v>
      </c>
      <c r="AD23" s="88" t="n">
        <v>0.2469135802469136</v>
      </c>
      <c r="AE23" s="87" t="n">
        <v>3</v>
      </c>
      <c r="AF23" s="88" t="n">
        <v>0.15</v>
      </c>
      <c r="AG23" s="87" t="n">
        <v>12</v>
      </c>
      <c r="AH23" s="88" t="n">
        <v>0.6</v>
      </c>
      <c r="AI23" s="91" t="n">
        <v>0</v>
      </c>
      <c r="AJ23" s="88" t="n">
        <v>0</v>
      </c>
      <c r="AK23" s="91" t="n">
        <v>0</v>
      </c>
      <c r="AL23" s="88" t="n">
        <v>0</v>
      </c>
      <c r="AM23" s="91" t="n">
        <v>0</v>
      </c>
      <c r="AN23" s="91" t="n">
        <v>0</v>
      </c>
      <c r="AO23" s="88" t="n">
        <v>0</v>
      </c>
      <c r="AP23" s="88" t="n">
        <v>0</v>
      </c>
      <c r="AQ23" s="89" t="n"/>
      <c r="AR23" s="89" t="n">
        <v>0</v>
      </c>
      <c r="AS23" s="89" t="n">
        <v>0</v>
      </c>
      <c r="AT23" s="91" t="n">
        <v>0</v>
      </c>
      <c r="AU23" s="91" t="n">
        <v>0</v>
      </c>
      <c r="AV23" s="91" t="n">
        <v>0</v>
      </c>
      <c r="AW23" s="91" t="n">
        <v>0</v>
      </c>
      <c r="AX23" s="91" t="n">
        <v>0</v>
      </c>
      <c r="AY23" s="91" t="n">
        <v>0</v>
      </c>
      <c r="AZ23" s="88" t="n">
        <v>0</v>
      </c>
      <c r="BA23" s="88" t="n">
        <v>0</v>
      </c>
      <c r="BB23" s="88" t="n">
        <v>0</v>
      </c>
      <c r="BC23" s="88" t="n">
        <v>0</v>
      </c>
      <c r="BD23" s="91" t="n">
        <v>0</v>
      </c>
      <c r="BE23" s="91" t="n">
        <v>0</v>
      </c>
      <c r="BF23" s="89" t="inlineStr">
        <is>
          <t>-</t>
        </is>
      </c>
      <c r="BG23" s="89" t="inlineStr">
        <is>
          <t>-</t>
        </is>
      </c>
      <c r="BH23" s="89" t="inlineStr">
        <is>
          <t>-</t>
        </is>
      </c>
    </row>
    <row r="24" ht="19.55" customHeight="1">
      <c r="A24" s="92" t="n">
        <v>21</v>
      </c>
      <c r="B24" s="87" t="inlineStr">
        <is>
          <t>全国</t>
        </is>
      </c>
      <c r="C24" s="93" t="n">
        <v>45905</v>
      </c>
      <c r="D24" s="87" t="inlineStr">
        <is>
          <t>2026款探陆</t>
        </is>
      </c>
      <c r="E24" s="87" t="n">
        <v>1</v>
      </c>
      <c r="F24" s="87" t="n">
        <v>1</v>
      </c>
      <c r="G24" s="88" t="n">
        <v>1</v>
      </c>
      <c r="H24" s="87" t="n">
        <v>0</v>
      </c>
      <c r="I24" s="89" t="n">
        <v>0</v>
      </c>
      <c r="J24" s="87" t="n">
        <v>0</v>
      </c>
      <c r="K24" s="87" t="n">
        <v>0</v>
      </c>
      <c r="L24" s="88" t="n">
        <v>0</v>
      </c>
      <c r="M24" s="87" t="n">
        <v>0</v>
      </c>
      <c r="N24" s="87" t="n">
        <v>0</v>
      </c>
      <c r="O24" s="87" t="n">
        <v>0</v>
      </c>
      <c r="P24" s="88" t="n">
        <v>0</v>
      </c>
      <c r="Q24" s="87" t="n">
        <v>0</v>
      </c>
      <c r="R24" s="87" t="n">
        <v>0</v>
      </c>
      <c r="S24" s="87" t="n">
        <v>0</v>
      </c>
      <c r="T24" s="88" t="n">
        <v>0</v>
      </c>
      <c r="U24" s="87" t="n">
        <v>0</v>
      </c>
      <c r="V24" s="88" t="n">
        <v>0</v>
      </c>
      <c r="W24" s="87" t="n">
        <v>0</v>
      </c>
      <c r="X24" s="88" t="n">
        <v>0</v>
      </c>
      <c r="Y24" s="87" t="n">
        <v>0</v>
      </c>
      <c r="Z24" s="90" t="n">
        <v>0</v>
      </c>
      <c r="AA24" s="87" t="n">
        <v>0</v>
      </c>
      <c r="AB24" s="88" t="n">
        <v>0</v>
      </c>
      <c r="AC24" s="87" t="n">
        <v>1</v>
      </c>
      <c r="AD24" s="88" t="n">
        <v>1</v>
      </c>
      <c r="AE24" s="87" t="n">
        <v>0</v>
      </c>
      <c r="AF24" s="88" t="n">
        <v>0</v>
      </c>
      <c r="AG24" s="87" t="n">
        <v>0</v>
      </c>
      <c r="AH24" s="88" t="n">
        <v>0</v>
      </c>
      <c r="AI24" s="91" t="n">
        <v>0</v>
      </c>
      <c r="AJ24" s="88" t="n">
        <v>0</v>
      </c>
      <c r="AK24" s="91" t="n">
        <v>0</v>
      </c>
      <c r="AL24" s="88" t="n">
        <v>0</v>
      </c>
      <c r="AM24" s="91" t="n">
        <v>0</v>
      </c>
      <c r="AN24" s="91" t="n">
        <v>0</v>
      </c>
      <c r="AO24" s="88" t="n">
        <v>0</v>
      </c>
      <c r="AP24" s="88" t="n">
        <v>0</v>
      </c>
      <c r="AQ24" s="89" t="n"/>
      <c r="AR24" s="89" t="inlineStr">
        <is>
          <t>0.0%</t>
        </is>
      </c>
      <c r="AS24" s="89" t="inlineStr">
        <is>
          <t>0.0%</t>
        </is>
      </c>
      <c r="AT24" s="91" t="n">
        <v>0</v>
      </c>
      <c r="AU24" s="91" t="n">
        <v>0</v>
      </c>
      <c r="AV24" s="91" t="n">
        <v>0</v>
      </c>
      <c r="AW24" s="91" t="n">
        <v>0</v>
      </c>
      <c r="AX24" s="91" t="n">
        <v>0</v>
      </c>
      <c r="AY24" s="91" t="n">
        <v>0</v>
      </c>
      <c r="AZ24" s="88" t="n">
        <v>0</v>
      </c>
      <c r="BA24" s="88" t="n">
        <v>0</v>
      </c>
      <c r="BB24" s="88" t="n">
        <v>0</v>
      </c>
      <c r="BC24" s="88" t="n">
        <v>0</v>
      </c>
      <c r="BD24" s="91" t="n">
        <v>0</v>
      </c>
      <c r="BE24" s="91" t="n">
        <v>0</v>
      </c>
      <c r="BF24" s="89" t="inlineStr">
        <is>
          <t>-</t>
        </is>
      </c>
      <c r="BG24" s="89" t="inlineStr">
        <is>
          <t>-</t>
        </is>
      </c>
      <c r="BH24" s="89" t="inlineStr">
        <is>
          <t>-</t>
        </is>
      </c>
    </row>
    <row r="25" ht="19.55" customHeight="1">
      <c r="A25" s="92" t="n">
        <v>22</v>
      </c>
      <c r="B25" s="87" t="inlineStr">
        <is>
          <t>全国</t>
        </is>
      </c>
      <c r="C25" s="93" t="n">
        <v>45905</v>
      </c>
      <c r="D25" s="87" t="inlineStr">
        <is>
          <t>N6</t>
        </is>
      </c>
      <c r="E25" s="87" t="n">
        <v>84</v>
      </c>
      <c r="F25" s="87" t="n">
        <v>74</v>
      </c>
      <c r="G25" s="88" t="n">
        <v>0.8809523809523809</v>
      </c>
      <c r="H25" s="87" t="n">
        <v>25</v>
      </c>
      <c r="I25" s="89" t="n">
        <v>0.2976190476190476</v>
      </c>
      <c r="J25" s="87" t="n">
        <v>37</v>
      </c>
      <c r="K25" s="87" t="n">
        <v>34</v>
      </c>
      <c r="L25" s="88" t="n">
        <v>0.919</v>
      </c>
      <c r="M25" s="87" t="n">
        <v>55</v>
      </c>
      <c r="N25" s="87" t="n">
        <v>0</v>
      </c>
      <c r="O25" s="87" t="n">
        <v>43</v>
      </c>
      <c r="P25" s="88" t="n">
        <v>0.7818181818181819</v>
      </c>
      <c r="Q25" s="87" t="n">
        <v>0</v>
      </c>
      <c r="R25" s="87" t="n">
        <v>0</v>
      </c>
      <c r="S25" s="87" t="n">
        <v>0</v>
      </c>
      <c r="T25" s="88" t="n">
        <v>0</v>
      </c>
      <c r="U25" s="87" t="n">
        <v>0</v>
      </c>
      <c r="V25" s="88" t="n">
        <v>0</v>
      </c>
      <c r="W25" s="87" t="n">
        <v>0</v>
      </c>
      <c r="X25" s="88" t="n">
        <v>0</v>
      </c>
      <c r="Y25" s="87" t="n">
        <v>0</v>
      </c>
      <c r="Z25" s="90" t="n">
        <v>0</v>
      </c>
      <c r="AA25" s="87" t="n">
        <v>0</v>
      </c>
      <c r="AB25" s="88" t="n">
        <v>0</v>
      </c>
      <c r="AC25" s="87" t="n">
        <v>14</v>
      </c>
      <c r="AD25" s="88" t="n">
        <v>0.1666666666666667</v>
      </c>
      <c r="AE25" s="87" t="n">
        <v>3</v>
      </c>
      <c r="AF25" s="88" t="n">
        <v>0.2142857142857143</v>
      </c>
      <c r="AG25" s="87" t="n">
        <v>12</v>
      </c>
      <c r="AH25" s="88" t="n">
        <v>0.8571428571428571</v>
      </c>
      <c r="AI25" s="91" t="n">
        <v>0</v>
      </c>
      <c r="AJ25" s="88" t="n">
        <v>0</v>
      </c>
      <c r="AK25" s="91" t="n">
        <v>0</v>
      </c>
      <c r="AL25" s="88" t="n">
        <v>0</v>
      </c>
      <c r="AM25" s="91" t="n">
        <v>0</v>
      </c>
      <c r="AN25" s="91" t="n">
        <v>0</v>
      </c>
      <c r="AO25" s="88" t="n">
        <v>0</v>
      </c>
      <c r="AP25" s="88" t="n">
        <v>0</v>
      </c>
      <c r="AQ25" s="89" t="n"/>
      <c r="AR25" s="89" t="n">
        <v>0</v>
      </c>
      <c r="AS25" s="89" t="n">
        <v>0</v>
      </c>
      <c r="AT25" s="91" t="n">
        <v>0</v>
      </c>
      <c r="AU25" s="91" t="n">
        <v>0</v>
      </c>
      <c r="AV25" s="91" t="n">
        <v>0</v>
      </c>
      <c r="AW25" s="91" t="n">
        <v>0</v>
      </c>
      <c r="AX25" s="91" t="n">
        <v>0</v>
      </c>
      <c r="AY25" s="91" t="n">
        <v>0</v>
      </c>
      <c r="AZ25" s="88" t="n">
        <v>0</v>
      </c>
      <c r="BA25" s="88" t="n">
        <v>0</v>
      </c>
      <c r="BB25" s="88" t="n">
        <v>0</v>
      </c>
      <c r="BC25" s="88" t="n">
        <v>0</v>
      </c>
      <c r="BD25" s="91" t="n">
        <v>0</v>
      </c>
      <c r="BE25" s="91" t="n">
        <v>0</v>
      </c>
      <c r="BF25" s="89" t="inlineStr">
        <is>
          <t>-</t>
        </is>
      </c>
      <c r="BG25" s="89" t="inlineStr">
        <is>
          <t>-</t>
        </is>
      </c>
      <c r="BH25" s="89" t="inlineStr">
        <is>
          <t>-</t>
        </is>
      </c>
    </row>
    <row r="26" ht="19.55" customHeight="1">
      <c r="A26" s="92" t="n">
        <v>23</v>
      </c>
      <c r="B26" s="87" t="inlineStr">
        <is>
          <t>全国</t>
        </is>
      </c>
      <c r="C26" s="93" t="n">
        <v>45905</v>
      </c>
      <c r="D26" s="87" t="inlineStr">
        <is>
          <t>N7</t>
        </is>
      </c>
      <c r="E26" s="87" t="n">
        <v>8217</v>
      </c>
      <c r="F26" s="87" t="n">
        <v>6732</v>
      </c>
      <c r="G26" s="88" t="n">
        <v>0.8192771084337349</v>
      </c>
      <c r="H26" s="87" t="n">
        <v>2648</v>
      </c>
      <c r="I26" s="89" t="n">
        <v>0.3222587318972861</v>
      </c>
      <c r="J26" s="87" t="n">
        <v>5618</v>
      </c>
      <c r="K26" s="87" t="n">
        <v>5284</v>
      </c>
      <c r="L26" s="88" t="n">
        <v>0.9409999999999999</v>
      </c>
      <c r="M26" s="87" t="n">
        <v>6325</v>
      </c>
      <c r="N26" s="87" t="n">
        <v>0</v>
      </c>
      <c r="O26" s="87" t="n">
        <v>5922</v>
      </c>
      <c r="P26" s="88" t="n">
        <v>0.9362845849802371</v>
      </c>
      <c r="Q26" s="87" t="n">
        <v>49</v>
      </c>
      <c r="R26" s="87" t="n">
        <v>0</v>
      </c>
      <c r="S26" s="87" t="n">
        <v>0</v>
      </c>
      <c r="T26" s="88" t="n">
        <v>0</v>
      </c>
      <c r="U26" s="87" t="n">
        <v>0</v>
      </c>
      <c r="V26" s="88" t="n">
        <v>0</v>
      </c>
      <c r="W26" s="87" t="n">
        <v>1972</v>
      </c>
      <c r="X26" s="88" t="n">
        <v>0.2399902640866496</v>
      </c>
      <c r="Y26" s="87" t="n">
        <v>837</v>
      </c>
      <c r="Z26" s="90" t="n">
        <v>0.1018619934282585</v>
      </c>
      <c r="AA26" s="87" t="n">
        <v>246</v>
      </c>
      <c r="AB26" s="88" t="n">
        <v>0.02993793355239138</v>
      </c>
      <c r="AC26" s="87" t="n">
        <v>902</v>
      </c>
      <c r="AD26" s="88" t="n">
        <v>0.1097724230254351</v>
      </c>
      <c r="AE26" s="87" t="n">
        <v>38</v>
      </c>
      <c r="AF26" s="88" t="n">
        <v>0.04212860310421286</v>
      </c>
      <c r="AG26" s="87" t="n">
        <v>372</v>
      </c>
      <c r="AH26" s="88" t="n">
        <v>0.4124168514412417</v>
      </c>
      <c r="AI26" s="91" t="n">
        <v>873</v>
      </c>
      <c r="AJ26" s="88" t="n">
        <v>0.1062431544359255</v>
      </c>
      <c r="AK26" s="91" t="n">
        <v>24</v>
      </c>
      <c r="AL26" s="88" t="n">
        <v>0.8109965635738832</v>
      </c>
      <c r="AM26" s="91" t="n">
        <v>856</v>
      </c>
      <c r="AN26" s="91" t="n">
        <v>708</v>
      </c>
      <c r="AO26" s="88" t="n">
        <v>0.08616283315078496</v>
      </c>
      <c r="AP26" s="88" t="n">
        <v>0.7849223946784922</v>
      </c>
      <c r="AQ26" s="89" t="n">
        <v>0</v>
      </c>
      <c r="AR26" s="89" t="n">
        <v>0.009977827050997782</v>
      </c>
      <c r="AS26" s="89" t="n">
        <v>0.009977827050997782</v>
      </c>
      <c r="AT26" s="91" t="n">
        <v>0</v>
      </c>
      <c r="AU26" s="91" t="n">
        <v>0</v>
      </c>
      <c r="AV26" s="91" t="n">
        <v>97</v>
      </c>
      <c r="AW26" s="91" t="n">
        <v>84</v>
      </c>
      <c r="AX26" s="91" t="n">
        <v>75</v>
      </c>
      <c r="AY26" s="91" t="n">
        <v>242</v>
      </c>
      <c r="AZ26" s="88" t="n">
        <v>0.01022270901788974</v>
      </c>
      <c r="BA26" s="88" t="n">
        <v>0.009127418765972983</v>
      </c>
      <c r="BB26" s="88" t="n">
        <v>0.02945113788487282</v>
      </c>
      <c r="BC26" s="88" t="n">
        <v>0.1059322033898305</v>
      </c>
      <c r="BD26" s="91" t="n">
        <v>0</v>
      </c>
      <c r="BE26" s="91" t="n">
        <v>1</v>
      </c>
      <c r="BF26" s="89" t="n">
        <v>0.9230769230769231</v>
      </c>
      <c r="BG26" s="89" t="n">
        <v>1</v>
      </c>
      <c r="BH26" s="89" t="inlineStr">
        <is>
          <t>-</t>
        </is>
      </c>
    </row>
    <row r="27" ht="19.55" customHeight="1">
      <c r="A27" s="92" t="n">
        <v>24</v>
      </c>
      <c r="B27" s="87" t="inlineStr">
        <is>
          <t>全国</t>
        </is>
      </c>
      <c r="C27" s="93" t="n">
        <v>45905</v>
      </c>
      <c r="D27" s="87" t="inlineStr">
        <is>
          <t>NX8</t>
        </is>
      </c>
      <c r="E27" s="87" t="n">
        <v>163</v>
      </c>
      <c r="F27" s="87" t="n">
        <v>150</v>
      </c>
      <c r="G27" s="88" t="n">
        <v>0.9202453987730062</v>
      </c>
      <c r="H27" s="87" t="n">
        <v>59</v>
      </c>
      <c r="I27" s="89" t="n">
        <v>0.3619631901840491</v>
      </c>
      <c r="J27" s="87" t="n">
        <v>52</v>
      </c>
      <c r="K27" s="87" t="n">
        <v>47</v>
      </c>
      <c r="L27" s="88" t="n">
        <v>0.904</v>
      </c>
      <c r="M27" s="87" t="n">
        <v>74</v>
      </c>
      <c r="N27" s="87" t="n">
        <v>0</v>
      </c>
      <c r="O27" s="87" t="n">
        <v>67</v>
      </c>
      <c r="P27" s="88" t="n">
        <v>0.9054054054054054</v>
      </c>
      <c r="Q27" s="87" t="n">
        <v>0</v>
      </c>
      <c r="R27" s="87" t="n">
        <v>0</v>
      </c>
      <c r="S27" s="87" t="n">
        <v>0</v>
      </c>
      <c r="T27" s="88" t="n">
        <v>0</v>
      </c>
      <c r="U27" s="87" t="n">
        <v>0</v>
      </c>
      <c r="V27" s="88" t="n">
        <v>0</v>
      </c>
      <c r="W27" s="87" t="n">
        <v>0</v>
      </c>
      <c r="X27" s="88" t="n">
        <v>0</v>
      </c>
      <c r="Y27" s="87" t="n">
        <v>0</v>
      </c>
      <c r="Z27" s="90" t="n">
        <v>0</v>
      </c>
      <c r="AA27" s="87" t="n">
        <v>0</v>
      </c>
      <c r="AB27" s="88" t="n">
        <v>0</v>
      </c>
      <c r="AC27" s="87" t="n">
        <v>31</v>
      </c>
      <c r="AD27" s="88" t="n">
        <v>0.1901840490797546</v>
      </c>
      <c r="AE27" s="87" t="n">
        <v>1</v>
      </c>
      <c r="AF27" s="88" t="n">
        <v>0.03225806451612903</v>
      </c>
      <c r="AG27" s="87" t="n">
        <v>21</v>
      </c>
      <c r="AH27" s="88" t="n">
        <v>0.6774193548387096</v>
      </c>
      <c r="AI27" s="91" t="n">
        <v>0</v>
      </c>
      <c r="AJ27" s="88" t="n">
        <v>0</v>
      </c>
      <c r="AK27" s="91" t="n">
        <v>0</v>
      </c>
      <c r="AL27" s="88" t="n">
        <v>0</v>
      </c>
      <c r="AM27" s="91" t="n">
        <v>0</v>
      </c>
      <c r="AN27" s="91" t="n">
        <v>0</v>
      </c>
      <c r="AO27" s="88" t="n">
        <v>0</v>
      </c>
      <c r="AP27" s="88" t="n">
        <v>0</v>
      </c>
      <c r="AQ27" s="89" t="n"/>
      <c r="AR27" s="89" t="inlineStr">
        <is>
          <t>0.0%</t>
        </is>
      </c>
      <c r="AS27" s="89" t="inlineStr">
        <is>
          <t>0.0%</t>
        </is>
      </c>
      <c r="AT27" s="91" t="n">
        <v>0</v>
      </c>
      <c r="AU27" s="91" t="n">
        <v>0</v>
      </c>
      <c r="AV27" s="91" t="n">
        <v>0</v>
      </c>
      <c r="AW27" s="91" t="n">
        <v>0</v>
      </c>
      <c r="AX27" s="91" t="n">
        <v>0</v>
      </c>
      <c r="AY27" s="91" t="n">
        <v>0</v>
      </c>
      <c r="AZ27" s="88" t="n">
        <v>0</v>
      </c>
      <c r="BA27" s="88" t="n">
        <v>0</v>
      </c>
      <c r="BB27" s="88" t="n">
        <v>0</v>
      </c>
      <c r="BC27" s="88" t="n">
        <v>0</v>
      </c>
      <c r="BD27" s="91" t="n">
        <v>0</v>
      </c>
      <c r="BE27" s="91" t="n">
        <v>0</v>
      </c>
      <c r="BF27" s="89" t="inlineStr">
        <is>
          <t>-</t>
        </is>
      </c>
      <c r="BG27" s="89" t="inlineStr">
        <is>
          <t>-</t>
        </is>
      </c>
      <c r="BH27" s="89" t="inlineStr">
        <is>
          <t>-</t>
        </is>
      </c>
    </row>
    <row r="28" ht="19.55" customHeight="1">
      <c r="A28" s="92" t="n">
        <v>25</v>
      </c>
      <c r="B28" s="87" t="inlineStr">
        <is>
          <t>全国</t>
        </is>
      </c>
      <c r="C28" s="93" t="n">
        <v>45905</v>
      </c>
      <c r="D28" s="87" t="inlineStr">
        <is>
          <t>天籁·鸿蒙座舱</t>
        </is>
      </c>
      <c r="E28" s="87" t="n">
        <v>84</v>
      </c>
      <c r="F28" s="87" t="n">
        <v>82</v>
      </c>
      <c r="G28" s="88" t="n">
        <v>0.9761904761904762</v>
      </c>
      <c r="H28" s="87" t="n">
        <v>47</v>
      </c>
      <c r="I28" s="89" t="n">
        <v>0.5595238095238095</v>
      </c>
      <c r="J28" s="87" t="n">
        <v>49</v>
      </c>
      <c r="K28" s="87" t="n">
        <v>46</v>
      </c>
      <c r="L28" s="88" t="n">
        <v>0.9389999999999999</v>
      </c>
      <c r="M28" s="87" t="n">
        <v>86</v>
      </c>
      <c r="N28" s="87" t="n">
        <v>0</v>
      </c>
      <c r="O28" s="87" t="n">
        <v>82</v>
      </c>
      <c r="P28" s="88" t="n">
        <v>0.9534883720930233</v>
      </c>
      <c r="Q28" s="87" t="n">
        <v>0</v>
      </c>
      <c r="R28" s="87" t="n">
        <v>0</v>
      </c>
      <c r="S28" s="87" t="n">
        <v>0</v>
      </c>
      <c r="T28" s="88" t="n">
        <v>0</v>
      </c>
      <c r="U28" s="87" t="n">
        <v>0</v>
      </c>
      <c r="V28" s="88" t="n">
        <v>0</v>
      </c>
      <c r="W28" s="87" t="n">
        <v>0</v>
      </c>
      <c r="X28" s="88" t="n">
        <v>0</v>
      </c>
      <c r="Y28" s="87" t="n">
        <v>0</v>
      </c>
      <c r="Z28" s="90" t="n">
        <v>0</v>
      </c>
      <c r="AA28" s="87" t="n">
        <v>0</v>
      </c>
      <c r="AB28" s="88" t="n">
        <v>0</v>
      </c>
      <c r="AC28" s="87" t="n">
        <v>13</v>
      </c>
      <c r="AD28" s="88" t="n">
        <v>0.1547619047619048</v>
      </c>
      <c r="AE28" s="87" t="n">
        <v>0</v>
      </c>
      <c r="AF28" s="88" t="n">
        <v>0</v>
      </c>
      <c r="AG28" s="87" t="n">
        <v>4</v>
      </c>
      <c r="AH28" s="88" t="n">
        <v>0.3076923076923077</v>
      </c>
      <c r="AI28" s="91" t="n">
        <v>0</v>
      </c>
      <c r="AJ28" s="88" t="n">
        <v>0</v>
      </c>
      <c r="AK28" s="91" t="n">
        <v>0</v>
      </c>
      <c r="AL28" s="88" t="n">
        <v>0</v>
      </c>
      <c r="AM28" s="91" t="n">
        <v>0</v>
      </c>
      <c r="AN28" s="91" t="n">
        <v>0</v>
      </c>
      <c r="AO28" s="88" t="n">
        <v>0</v>
      </c>
      <c r="AP28" s="88" t="n">
        <v>0</v>
      </c>
      <c r="AQ28" s="89" t="n"/>
      <c r="AR28" s="89" t="n">
        <v>0</v>
      </c>
      <c r="AS28" s="89" t="n">
        <v>0</v>
      </c>
      <c r="AT28" s="91" t="n">
        <v>0</v>
      </c>
      <c r="AU28" s="91" t="n">
        <v>0</v>
      </c>
      <c r="AV28" s="91" t="n">
        <v>0</v>
      </c>
      <c r="AW28" s="91" t="n">
        <v>0</v>
      </c>
      <c r="AX28" s="91" t="n">
        <v>0</v>
      </c>
      <c r="AY28" s="91" t="n">
        <v>0</v>
      </c>
      <c r="AZ28" s="88" t="n">
        <v>0</v>
      </c>
      <c r="BA28" s="88" t="n">
        <v>0</v>
      </c>
      <c r="BB28" s="88" t="n">
        <v>0</v>
      </c>
      <c r="BC28" s="88" t="n">
        <v>0</v>
      </c>
      <c r="BD28" s="91" t="n">
        <v>0</v>
      </c>
      <c r="BE28" s="91" t="n">
        <v>0</v>
      </c>
      <c r="BF28" s="89" t="inlineStr">
        <is>
          <t>-</t>
        </is>
      </c>
      <c r="BG28" s="89" t="inlineStr">
        <is>
          <t>-</t>
        </is>
      </c>
      <c r="BH28" s="89" t="inlineStr">
        <is>
          <t>-</t>
        </is>
      </c>
    </row>
    <row r="29" ht="19.55" customHeight="1">
      <c r="A29" s="92" t="n">
        <v>26</v>
      </c>
      <c r="B29" s="87" t="inlineStr">
        <is>
          <t>全国</t>
        </is>
      </c>
      <c r="C29" s="93" t="n">
        <v>45906</v>
      </c>
      <c r="D29" s="87" t="inlineStr">
        <is>
          <t>2026款探陆</t>
        </is>
      </c>
      <c r="E29" s="87" t="n">
        <v>3</v>
      </c>
      <c r="F29" s="87" t="n">
        <v>2</v>
      </c>
      <c r="G29" s="88" t="n">
        <v>0.6666666666666666</v>
      </c>
      <c r="H29" s="87" t="n">
        <v>1</v>
      </c>
      <c r="I29" s="89" t="n">
        <v>0.3333333333333333</v>
      </c>
      <c r="J29" s="87" t="n">
        <v>0</v>
      </c>
      <c r="K29" s="87" t="n">
        <v>0</v>
      </c>
      <c r="L29" s="88" t="n">
        <v>0</v>
      </c>
      <c r="M29" s="87" t="n">
        <v>0</v>
      </c>
      <c r="N29" s="87" t="n">
        <v>0</v>
      </c>
      <c r="O29" s="87" t="n">
        <v>0</v>
      </c>
      <c r="P29" s="88" t="n">
        <v>0</v>
      </c>
      <c r="Q29" s="87" t="n">
        <v>0</v>
      </c>
      <c r="R29" s="87" t="n">
        <v>0</v>
      </c>
      <c r="S29" s="87" t="n">
        <v>0</v>
      </c>
      <c r="T29" s="88" t="n">
        <v>0</v>
      </c>
      <c r="U29" s="87" t="n">
        <v>0</v>
      </c>
      <c r="V29" s="88" t="n">
        <v>0</v>
      </c>
      <c r="W29" s="87" t="n">
        <v>0</v>
      </c>
      <c r="X29" s="88" t="n">
        <v>0</v>
      </c>
      <c r="Y29" s="87" t="n">
        <v>0</v>
      </c>
      <c r="Z29" s="90" t="n">
        <v>0</v>
      </c>
      <c r="AA29" s="87" t="n">
        <v>0</v>
      </c>
      <c r="AB29" s="88" t="n">
        <v>0</v>
      </c>
      <c r="AC29" s="87" t="n">
        <v>0</v>
      </c>
      <c r="AD29" s="88" t="n">
        <v>0</v>
      </c>
      <c r="AE29" s="87" t="n">
        <v>0</v>
      </c>
      <c r="AF29" s="88" t="n">
        <v>0</v>
      </c>
      <c r="AG29" s="87" t="n">
        <v>0</v>
      </c>
      <c r="AH29" s="88" t="n">
        <v>0</v>
      </c>
      <c r="AI29" s="91" t="n">
        <v>0</v>
      </c>
      <c r="AJ29" s="88" t="n">
        <v>0</v>
      </c>
      <c r="AK29" s="91" t="n">
        <v>0</v>
      </c>
      <c r="AL29" s="88" t="n">
        <v>0</v>
      </c>
      <c r="AM29" s="91" t="n">
        <v>0</v>
      </c>
      <c r="AN29" s="91" t="n">
        <v>0</v>
      </c>
      <c r="AO29" s="88" t="n">
        <v>0</v>
      </c>
      <c r="AP29" s="88" t="n">
        <v>0</v>
      </c>
      <c r="AQ29" s="89" t="n"/>
      <c r="AR29" s="89" t="inlineStr">
        <is>
          <t>0.0%</t>
        </is>
      </c>
      <c r="AS29" s="89" t="inlineStr">
        <is>
          <t>0.0%</t>
        </is>
      </c>
      <c r="AT29" s="91" t="n">
        <v>0</v>
      </c>
      <c r="AU29" s="91" t="n">
        <v>0</v>
      </c>
      <c r="AV29" s="91" t="n">
        <v>0</v>
      </c>
      <c r="AW29" s="91" t="n">
        <v>0</v>
      </c>
      <c r="AX29" s="91" t="n">
        <v>0</v>
      </c>
      <c r="AY29" s="91" t="n">
        <v>0</v>
      </c>
      <c r="AZ29" s="88" t="n">
        <v>0</v>
      </c>
      <c r="BA29" s="88" t="n">
        <v>0</v>
      </c>
      <c r="BB29" s="88" t="n">
        <v>0</v>
      </c>
      <c r="BC29" s="88" t="n">
        <v>0</v>
      </c>
      <c r="BD29" s="91" t="n">
        <v>0</v>
      </c>
      <c r="BE29" s="91" t="n">
        <v>0</v>
      </c>
      <c r="BF29" s="89" t="inlineStr">
        <is>
          <t>-</t>
        </is>
      </c>
      <c r="BG29" s="89" t="inlineStr">
        <is>
          <t>-</t>
        </is>
      </c>
      <c r="BH29" s="89" t="inlineStr">
        <is>
          <t>-</t>
        </is>
      </c>
    </row>
    <row r="30" ht="19.55" customHeight="1">
      <c r="A30" s="92" t="n">
        <v>27</v>
      </c>
      <c r="B30" s="87" t="inlineStr">
        <is>
          <t>全国</t>
        </is>
      </c>
      <c r="C30" s="93" t="n">
        <v>45906</v>
      </c>
      <c r="D30" s="87" t="inlineStr">
        <is>
          <t>N6</t>
        </is>
      </c>
      <c r="E30" s="87" t="n">
        <v>95</v>
      </c>
      <c r="F30" s="87" t="n">
        <v>86</v>
      </c>
      <c r="G30" s="88" t="n">
        <v>0.9052631578947369</v>
      </c>
      <c r="H30" s="87" t="n">
        <v>37</v>
      </c>
      <c r="I30" s="89" t="n">
        <v>0.3894736842105263</v>
      </c>
      <c r="J30" s="87" t="n">
        <v>42</v>
      </c>
      <c r="K30" s="87" t="n">
        <v>37</v>
      </c>
      <c r="L30" s="88" t="n">
        <v>0.881</v>
      </c>
      <c r="M30" s="87" t="n">
        <v>62</v>
      </c>
      <c r="N30" s="87" t="n">
        <v>0</v>
      </c>
      <c r="O30" s="87" t="n">
        <v>56</v>
      </c>
      <c r="P30" s="88" t="n">
        <v>0.9032258064516129</v>
      </c>
      <c r="Q30" s="87" t="n">
        <v>0</v>
      </c>
      <c r="R30" s="87" t="n">
        <v>0</v>
      </c>
      <c r="S30" s="87" t="n">
        <v>0</v>
      </c>
      <c r="T30" s="88" t="n">
        <v>0</v>
      </c>
      <c r="U30" s="87" t="n">
        <v>0</v>
      </c>
      <c r="V30" s="88" t="n">
        <v>0</v>
      </c>
      <c r="W30" s="87" t="n">
        <v>0</v>
      </c>
      <c r="X30" s="88" t="n">
        <v>0</v>
      </c>
      <c r="Y30" s="87" t="n">
        <v>0</v>
      </c>
      <c r="Z30" s="90" t="n">
        <v>0</v>
      </c>
      <c r="AA30" s="87" t="n">
        <v>0</v>
      </c>
      <c r="AB30" s="88" t="n">
        <v>0</v>
      </c>
      <c r="AC30" s="87" t="n">
        <v>31</v>
      </c>
      <c r="AD30" s="88" t="n">
        <v>0.3263157894736842</v>
      </c>
      <c r="AE30" s="87" t="n">
        <v>0</v>
      </c>
      <c r="AF30" s="88" t="n">
        <v>0</v>
      </c>
      <c r="AG30" s="87" t="n">
        <v>23</v>
      </c>
      <c r="AH30" s="88" t="n">
        <v>0.7419354838709677</v>
      </c>
      <c r="AI30" s="91" t="n">
        <v>0</v>
      </c>
      <c r="AJ30" s="88" t="n">
        <v>0</v>
      </c>
      <c r="AK30" s="91" t="n">
        <v>0</v>
      </c>
      <c r="AL30" s="88" t="n">
        <v>0</v>
      </c>
      <c r="AM30" s="91" t="n">
        <v>0</v>
      </c>
      <c r="AN30" s="91" t="n">
        <v>0</v>
      </c>
      <c r="AO30" s="88" t="n">
        <v>0</v>
      </c>
      <c r="AP30" s="88" t="n">
        <v>0</v>
      </c>
      <c r="AQ30" s="89" t="n"/>
      <c r="AR30" s="89" t="n">
        <v>0</v>
      </c>
      <c r="AS30" s="89" t="n">
        <v>0</v>
      </c>
      <c r="AT30" s="91" t="n">
        <v>0</v>
      </c>
      <c r="AU30" s="91" t="n">
        <v>0</v>
      </c>
      <c r="AV30" s="91" t="n">
        <v>0</v>
      </c>
      <c r="AW30" s="91" t="n">
        <v>0</v>
      </c>
      <c r="AX30" s="91" t="n">
        <v>0</v>
      </c>
      <c r="AY30" s="91" t="n">
        <v>0</v>
      </c>
      <c r="AZ30" s="88" t="n">
        <v>0</v>
      </c>
      <c r="BA30" s="88" t="n">
        <v>0</v>
      </c>
      <c r="BB30" s="88" t="n">
        <v>0</v>
      </c>
      <c r="BC30" s="88" t="n">
        <v>0</v>
      </c>
      <c r="BD30" s="91" t="n">
        <v>0</v>
      </c>
      <c r="BE30" s="91" t="n">
        <v>0</v>
      </c>
      <c r="BF30" s="89" t="inlineStr">
        <is>
          <t>-</t>
        </is>
      </c>
      <c r="BG30" s="89" t="inlineStr">
        <is>
          <t>-</t>
        </is>
      </c>
      <c r="BH30" s="89" t="inlineStr">
        <is>
          <t>-</t>
        </is>
      </c>
    </row>
    <row r="31" ht="19.55" customHeight="1">
      <c r="A31" s="92" t="n">
        <v>28</v>
      </c>
      <c r="B31" s="87" t="inlineStr">
        <is>
          <t>全国</t>
        </is>
      </c>
      <c r="C31" s="93" t="n">
        <v>45906</v>
      </c>
      <c r="D31" s="87" t="inlineStr">
        <is>
          <t>N7</t>
        </is>
      </c>
      <c r="E31" s="87" t="n">
        <v>9545</v>
      </c>
      <c r="F31" s="87" t="n">
        <v>7822</v>
      </c>
      <c r="G31" s="88" t="n">
        <v>0.8194866422210582</v>
      </c>
      <c r="H31" s="87" t="n">
        <v>3414</v>
      </c>
      <c r="I31" s="89" t="n">
        <v>0.3576741749607124</v>
      </c>
      <c r="J31" s="87" t="n">
        <v>6035</v>
      </c>
      <c r="K31" s="87" t="n">
        <v>5531</v>
      </c>
      <c r="L31" s="88" t="n">
        <v>0.916</v>
      </c>
      <c r="M31" s="87" t="n">
        <v>6799</v>
      </c>
      <c r="N31" s="87" t="n">
        <v>0</v>
      </c>
      <c r="O31" s="87" t="n">
        <v>6228</v>
      </c>
      <c r="P31" s="88" t="n">
        <v>0.9160170613325489</v>
      </c>
      <c r="Q31" s="87" t="n">
        <v>41</v>
      </c>
      <c r="R31" s="87" t="n">
        <v>0</v>
      </c>
      <c r="S31" s="87" t="n">
        <v>0</v>
      </c>
      <c r="T31" s="88" t="n">
        <v>0</v>
      </c>
      <c r="U31" s="87" t="n">
        <v>0</v>
      </c>
      <c r="V31" s="88" t="n">
        <v>0</v>
      </c>
      <c r="W31" s="87" t="n">
        <v>1248</v>
      </c>
      <c r="X31" s="88" t="n">
        <v>0.1307490832896805</v>
      </c>
      <c r="Y31" s="87" t="n">
        <v>1214</v>
      </c>
      <c r="Z31" s="90" t="n">
        <v>0.127187008905186</v>
      </c>
      <c r="AA31" s="87" t="n">
        <v>255</v>
      </c>
      <c r="AB31" s="88" t="n">
        <v>0.02671555788370875</v>
      </c>
      <c r="AC31" s="87" t="n">
        <v>1691</v>
      </c>
      <c r="AD31" s="88" t="n">
        <v>0.1771608171817706</v>
      </c>
      <c r="AE31" s="87" t="n">
        <v>66</v>
      </c>
      <c r="AF31" s="88" t="n">
        <v>0.03903015966883501</v>
      </c>
      <c r="AG31" s="87" t="n">
        <v>854</v>
      </c>
      <c r="AH31" s="88" t="n">
        <v>0.5050266114725015</v>
      </c>
      <c r="AI31" s="91" t="n">
        <v>1654</v>
      </c>
      <c r="AJ31" s="88" t="n">
        <v>0.1732844421162913</v>
      </c>
      <c r="AK31" s="91" t="n">
        <v>80</v>
      </c>
      <c r="AL31" s="88" t="n">
        <v>0.8319226118500604</v>
      </c>
      <c r="AM31" s="91" t="n">
        <v>1626</v>
      </c>
      <c r="AN31" s="91" t="n">
        <v>1376</v>
      </c>
      <c r="AO31" s="88" t="n">
        <v>0.1441592456783656</v>
      </c>
      <c r="AP31" s="88" t="n">
        <v>0.8137196924896511</v>
      </c>
      <c r="AQ31" s="89" t="n">
        <v>0</v>
      </c>
      <c r="AR31" s="89" t="n">
        <v>0.02676977989292088</v>
      </c>
      <c r="AS31" s="89" t="n">
        <v>0.02676977989292088</v>
      </c>
      <c r="AT31" s="91" t="n">
        <v>0</v>
      </c>
      <c r="AU31" s="91" t="n">
        <v>0</v>
      </c>
      <c r="AV31" s="91" t="n">
        <v>173</v>
      </c>
      <c r="AW31" s="91" t="n">
        <v>160</v>
      </c>
      <c r="AX31" s="91" t="n">
        <v>154</v>
      </c>
      <c r="AY31" s="91" t="n">
        <v>177</v>
      </c>
      <c r="AZ31" s="88" t="n">
        <v>0.01676270298585647</v>
      </c>
      <c r="BA31" s="88" t="n">
        <v>0.01613410162388685</v>
      </c>
      <c r="BB31" s="88" t="n">
        <v>0.01854374017810372</v>
      </c>
      <c r="BC31" s="88" t="n">
        <v>0.1119186046511628</v>
      </c>
      <c r="BD31" s="91" t="n">
        <v>0</v>
      </c>
      <c r="BE31" s="91" t="n">
        <v>0</v>
      </c>
      <c r="BF31" s="89" t="n">
        <v>0.9855072463768116</v>
      </c>
      <c r="BG31" s="89" t="n">
        <v>1</v>
      </c>
      <c r="BH31" s="89" t="inlineStr">
        <is>
          <t>-</t>
        </is>
      </c>
    </row>
    <row r="32" ht="19.55" customHeight="1">
      <c r="A32" s="92" t="n">
        <v>29</v>
      </c>
      <c r="B32" s="87" t="inlineStr">
        <is>
          <t>全国</t>
        </is>
      </c>
      <c r="C32" s="93" t="n">
        <v>45906</v>
      </c>
      <c r="D32" s="87" t="inlineStr">
        <is>
          <t>NX8</t>
        </is>
      </c>
      <c r="E32" s="87" t="n">
        <v>216</v>
      </c>
      <c r="F32" s="87" t="n">
        <v>200</v>
      </c>
      <c r="G32" s="88" t="n">
        <v>0.9259259259259259</v>
      </c>
      <c r="H32" s="87" t="n">
        <v>99</v>
      </c>
      <c r="I32" s="89" t="n">
        <v>0.4583333333333333</v>
      </c>
      <c r="J32" s="87" t="n">
        <v>45</v>
      </c>
      <c r="K32" s="87" t="n">
        <v>42</v>
      </c>
      <c r="L32" s="88" t="n">
        <v>0.9330000000000001</v>
      </c>
      <c r="M32" s="87" t="n">
        <v>70</v>
      </c>
      <c r="N32" s="87" t="n">
        <v>0</v>
      </c>
      <c r="O32" s="87" t="n">
        <v>64</v>
      </c>
      <c r="P32" s="88" t="n">
        <v>0.9142857142857143</v>
      </c>
      <c r="Q32" s="87" t="n">
        <v>0</v>
      </c>
      <c r="R32" s="87" t="n">
        <v>0</v>
      </c>
      <c r="S32" s="87" t="n">
        <v>0</v>
      </c>
      <c r="T32" s="88" t="n">
        <v>0</v>
      </c>
      <c r="U32" s="87" t="n">
        <v>0</v>
      </c>
      <c r="V32" s="88" t="n">
        <v>0</v>
      </c>
      <c r="W32" s="87" t="n">
        <v>0</v>
      </c>
      <c r="X32" s="88" t="n">
        <v>0</v>
      </c>
      <c r="Y32" s="87" t="n">
        <v>0</v>
      </c>
      <c r="Z32" s="90" t="n">
        <v>0</v>
      </c>
      <c r="AA32" s="87" t="n">
        <v>0</v>
      </c>
      <c r="AB32" s="88" t="n">
        <v>0</v>
      </c>
      <c r="AC32" s="87" t="n">
        <v>63</v>
      </c>
      <c r="AD32" s="88" t="n">
        <v>0.2916666666666667</v>
      </c>
      <c r="AE32" s="87" t="n">
        <v>5</v>
      </c>
      <c r="AF32" s="88" t="n">
        <v>0.07936507936507936</v>
      </c>
      <c r="AG32" s="87" t="n">
        <v>45</v>
      </c>
      <c r="AH32" s="88" t="n">
        <v>0.7142857142857143</v>
      </c>
      <c r="AI32" s="91" t="n">
        <v>0</v>
      </c>
      <c r="AJ32" s="88" t="n">
        <v>0</v>
      </c>
      <c r="AK32" s="91" t="n">
        <v>0</v>
      </c>
      <c r="AL32" s="88" t="n">
        <v>0</v>
      </c>
      <c r="AM32" s="91" t="n">
        <v>0</v>
      </c>
      <c r="AN32" s="91" t="n">
        <v>0</v>
      </c>
      <c r="AO32" s="88" t="n">
        <v>0</v>
      </c>
      <c r="AP32" s="88" t="n">
        <v>0</v>
      </c>
      <c r="AQ32" s="89" t="n"/>
      <c r="AR32" s="89" t="n">
        <v>0</v>
      </c>
      <c r="AS32" s="89" t="n">
        <v>0</v>
      </c>
      <c r="AT32" s="91" t="n">
        <v>0</v>
      </c>
      <c r="AU32" s="91" t="n">
        <v>0</v>
      </c>
      <c r="AV32" s="91" t="n">
        <v>0</v>
      </c>
      <c r="AW32" s="91" t="n">
        <v>0</v>
      </c>
      <c r="AX32" s="91" t="n">
        <v>0</v>
      </c>
      <c r="AY32" s="91" t="n">
        <v>0</v>
      </c>
      <c r="AZ32" s="88" t="n">
        <v>0</v>
      </c>
      <c r="BA32" s="88" t="n">
        <v>0</v>
      </c>
      <c r="BB32" s="88" t="n">
        <v>0</v>
      </c>
      <c r="BC32" s="88" t="n">
        <v>0</v>
      </c>
      <c r="BD32" s="91" t="n">
        <v>0</v>
      </c>
      <c r="BE32" s="91" t="n">
        <v>0</v>
      </c>
      <c r="BF32" s="89" t="inlineStr">
        <is>
          <t>-</t>
        </is>
      </c>
      <c r="BG32" s="89" t="inlineStr">
        <is>
          <t>-</t>
        </is>
      </c>
      <c r="BH32" s="89" t="inlineStr">
        <is>
          <t>-</t>
        </is>
      </c>
    </row>
    <row r="33" ht="19.55" customHeight="1">
      <c r="A33" s="92" t="n">
        <v>30</v>
      </c>
      <c r="B33" s="87" t="inlineStr">
        <is>
          <t>全国</t>
        </is>
      </c>
      <c r="C33" s="93" t="n">
        <v>45906</v>
      </c>
      <c r="D33" s="87" t="inlineStr">
        <is>
          <t>天籁·鸿蒙座舱</t>
        </is>
      </c>
      <c r="E33" s="87" t="n">
        <v>105</v>
      </c>
      <c r="F33" s="87" t="n">
        <v>97</v>
      </c>
      <c r="G33" s="88" t="n">
        <v>0.9238095238095239</v>
      </c>
      <c r="H33" s="87" t="n">
        <v>56</v>
      </c>
      <c r="I33" s="89" t="n">
        <v>0.5333333333333333</v>
      </c>
      <c r="J33" s="87" t="n">
        <v>45</v>
      </c>
      <c r="K33" s="87" t="n">
        <v>39</v>
      </c>
      <c r="L33" s="88" t="n">
        <v>0.867</v>
      </c>
      <c r="M33" s="87" t="n">
        <v>67</v>
      </c>
      <c r="N33" s="87" t="n">
        <v>0</v>
      </c>
      <c r="O33" s="87" t="n">
        <v>61</v>
      </c>
      <c r="P33" s="88" t="n">
        <v>0.9104477611940298</v>
      </c>
      <c r="Q33" s="87" t="n">
        <v>0</v>
      </c>
      <c r="R33" s="87" t="n">
        <v>0</v>
      </c>
      <c r="S33" s="87" t="n">
        <v>0</v>
      </c>
      <c r="T33" s="88" t="n">
        <v>0</v>
      </c>
      <c r="U33" s="87" t="n">
        <v>0</v>
      </c>
      <c r="V33" s="88" t="n">
        <v>0</v>
      </c>
      <c r="W33" s="87" t="n">
        <v>0</v>
      </c>
      <c r="X33" s="88" t="n">
        <v>0</v>
      </c>
      <c r="Y33" s="87" t="n">
        <v>0</v>
      </c>
      <c r="Z33" s="90" t="n">
        <v>0</v>
      </c>
      <c r="AA33" s="87" t="n">
        <v>0</v>
      </c>
      <c r="AB33" s="88" t="n">
        <v>0</v>
      </c>
      <c r="AC33" s="87" t="n">
        <v>17</v>
      </c>
      <c r="AD33" s="88" t="n">
        <v>0.1619047619047619</v>
      </c>
      <c r="AE33" s="87" t="n">
        <v>3</v>
      </c>
      <c r="AF33" s="88" t="n">
        <v>0.1764705882352941</v>
      </c>
      <c r="AG33" s="87" t="n">
        <v>13</v>
      </c>
      <c r="AH33" s="88" t="n">
        <v>0.7647058823529411</v>
      </c>
      <c r="AI33" s="91" t="n">
        <v>0</v>
      </c>
      <c r="AJ33" s="88" t="n">
        <v>0</v>
      </c>
      <c r="AK33" s="91" t="n">
        <v>0</v>
      </c>
      <c r="AL33" s="88" t="n">
        <v>0</v>
      </c>
      <c r="AM33" s="91" t="n">
        <v>0</v>
      </c>
      <c r="AN33" s="91" t="n">
        <v>0</v>
      </c>
      <c r="AO33" s="88" t="n">
        <v>0</v>
      </c>
      <c r="AP33" s="88" t="n">
        <v>0</v>
      </c>
      <c r="AQ33" s="89" t="n"/>
      <c r="AR33" s="89" t="n">
        <v>0</v>
      </c>
      <c r="AS33" s="89" t="n">
        <v>0</v>
      </c>
      <c r="AT33" s="91" t="n">
        <v>0</v>
      </c>
      <c r="AU33" s="91" t="n">
        <v>0</v>
      </c>
      <c r="AV33" s="91" t="n">
        <v>0</v>
      </c>
      <c r="AW33" s="91" t="n">
        <v>0</v>
      </c>
      <c r="AX33" s="91" t="n">
        <v>0</v>
      </c>
      <c r="AY33" s="91" t="n">
        <v>0</v>
      </c>
      <c r="AZ33" s="88" t="n">
        <v>0</v>
      </c>
      <c r="BA33" s="88" t="n">
        <v>0</v>
      </c>
      <c r="BB33" s="88" t="n">
        <v>0</v>
      </c>
      <c r="BC33" s="88" t="n">
        <v>0</v>
      </c>
      <c r="BD33" s="91" t="n">
        <v>0</v>
      </c>
      <c r="BE33" s="91" t="n">
        <v>0</v>
      </c>
      <c r="BF33" s="89" t="inlineStr">
        <is>
          <t>-</t>
        </is>
      </c>
      <c r="BG33" s="89" t="inlineStr">
        <is>
          <t>-</t>
        </is>
      </c>
      <c r="BH33" s="89" t="inlineStr">
        <is>
          <t>-</t>
        </is>
      </c>
    </row>
    <row r="34" ht="19.55" customHeight="1">
      <c r="A34" s="92" t="n">
        <v>31</v>
      </c>
      <c r="B34" s="87" t="inlineStr">
        <is>
          <t>全国</t>
        </is>
      </c>
      <c r="C34" s="93" t="n">
        <v>45907</v>
      </c>
      <c r="D34" s="87" t="inlineStr">
        <is>
          <t>2026款探陆</t>
        </is>
      </c>
      <c r="E34" s="87" t="n">
        <v>2</v>
      </c>
      <c r="F34" s="87" t="n">
        <v>2</v>
      </c>
      <c r="G34" s="88" t="n">
        <v>1</v>
      </c>
      <c r="H34" s="87" t="n">
        <v>1</v>
      </c>
      <c r="I34" s="89" t="n">
        <v>0.5</v>
      </c>
      <c r="J34" s="87" t="n">
        <v>0</v>
      </c>
      <c r="K34" s="87" t="n">
        <v>0</v>
      </c>
      <c r="L34" s="88" t="n">
        <v>0</v>
      </c>
      <c r="M34" s="87" t="n">
        <v>0</v>
      </c>
      <c r="N34" s="87" t="n">
        <v>0</v>
      </c>
      <c r="O34" s="87" t="n">
        <v>0</v>
      </c>
      <c r="P34" s="88" t="n">
        <v>0</v>
      </c>
      <c r="Q34" s="87" t="n">
        <v>0</v>
      </c>
      <c r="R34" s="87" t="n">
        <v>0</v>
      </c>
      <c r="S34" s="87" t="n">
        <v>0</v>
      </c>
      <c r="T34" s="88" t="n">
        <v>0</v>
      </c>
      <c r="U34" s="87" t="n">
        <v>0</v>
      </c>
      <c r="V34" s="88" t="n">
        <v>0</v>
      </c>
      <c r="W34" s="87" t="n">
        <v>0</v>
      </c>
      <c r="X34" s="88" t="n">
        <v>0</v>
      </c>
      <c r="Y34" s="87" t="n">
        <v>0</v>
      </c>
      <c r="Z34" s="90" t="n">
        <v>0</v>
      </c>
      <c r="AA34" s="87" t="n">
        <v>0</v>
      </c>
      <c r="AB34" s="88" t="n">
        <v>0</v>
      </c>
      <c r="AC34" s="87" t="n">
        <v>1</v>
      </c>
      <c r="AD34" s="88" t="n">
        <v>0.5</v>
      </c>
      <c r="AE34" s="87" t="n">
        <v>0</v>
      </c>
      <c r="AF34" s="88" t="n">
        <v>0</v>
      </c>
      <c r="AG34" s="87" t="n">
        <v>0</v>
      </c>
      <c r="AH34" s="88" t="n">
        <v>0</v>
      </c>
      <c r="AI34" s="91" t="n">
        <v>0</v>
      </c>
      <c r="AJ34" s="88" t="n">
        <v>0</v>
      </c>
      <c r="AK34" s="91" t="n">
        <v>0</v>
      </c>
      <c r="AL34" s="88" t="n">
        <v>0</v>
      </c>
      <c r="AM34" s="91" t="n">
        <v>0</v>
      </c>
      <c r="AN34" s="91" t="n">
        <v>0</v>
      </c>
      <c r="AO34" s="88" t="n">
        <v>0</v>
      </c>
      <c r="AP34" s="88" t="n">
        <v>0</v>
      </c>
      <c r="AQ34" s="89" t="n"/>
      <c r="AR34" s="89" t="inlineStr">
        <is>
          <t>0.0%</t>
        </is>
      </c>
      <c r="AS34" s="89" t="inlineStr">
        <is>
          <t>0.0%</t>
        </is>
      </c>
      <c r="AT34" s="91" t="n">
        <v>0</v>
      </c>
      <c r="AU34" s="91" t="n">
        <v>0</v>
      </c>
      <c r="AV34" s="91" t="n">
        <v>0</v>
      </c>
      <c r="AW34" s="91" t="n">
        <v>0</v>
      </c>
      <c r="AX34" s="91" t="n">
        <v>0</v>
      </c>
      <c r="AY34" s="91" t="n">
        <v>0</v>
      </c>
      <c r="AZ34" s="88" t="n">
        <v>0</v>
      </c>
      <c r="BA34" s="88" t="n">
        <v>0</v>
      </c>
      <c r="BB34" s="88" t="n">
        <v>0</v>
      </c>
      <c r="BC34" s="88" t="n">
        <v>0</v>
      </c>
      <c r="BD34" s="91" t="n">
        <v>0</v>
      </c>
      <c r="BE34" s="91" t="n">
        <v>0</v>
      </c>
      <c r="BF34" s="89" t="inlineStr">
        <is>
          <t>-</t>
        </is>
      </c>
      <c r="BG34" s="89" t="inlineStr">
        <is>
          <t>-</t>
        </is>
      </c>
      <c r="BH34" s="89" t="inlineStr">
        <is>
          <t>-</t>
        </is>
      </c>
    </row>
    <row r="35" ht="19.55" customHeight="1">
      <c r="A35" s="92" t="n">
        <v>32</v>
      </c>
      <c r="B35" s="87" t="inlineStr">
        <is>
          <t>全国</t>
        </is>
      </c>
      <c r="C35" s="93" t="n">
        <v>45907</v>
      </c>
      <c r="D35" s="87" t="inlineStr">
        <is>
          <t>N6</t>
        </is>
      </c>
      <c r="E35" s="87" t="n">
        <v>96</v>
      </c>
      <c r="F35" s="87" t="n">
        <v>83</v>
      </c>
      <c r="G35" s="88" t="n">
        <v>0.8645833333333334</v>
      </c>
      <c r="H35" s="87" t="n">
        <v>46</v>
      </c>
      <c r="I35" s="89" t="n">
        <v>0.4791666666666667</v>
      </c>
      <c r="J35" s="87" t="n">
        <v>53</v>
      </c>
      <c r="K35" s="87" t="n">
        <v>51</v>
      </c>
      <c r="L35" s="88" t="n">
        <v>0.962</v>
      </c>
      <c r="M35" s="87" t="n">
        <v>88</v>
      </c>
      <c r="N35" s="87" t="n">
        <v>0</v>
      </c>
      <c r="O35" s="87" t="n">
        <v>79</v>
      </c>
      <c r="P35" s="88" t="n">
        <v>0.8977272727272727</v>
      </c>
      <c r="Q35" s="87" t="n">
        <v>0</v>
      </c>
      <c r="R35" s="87" t="n">
        <v>0</v>
      </c>
      <c r="S35" s="87" t="n">
        <v>0</v>
      </c>
      <c r="T35" s="88" t="n">
        <v>0</v>
      </c>
      <c r="U35" s="87" t="n">
        <v>0</v>
      </c>
      <c r="V35" s="88" t="n">
        <v>0</v>
      </c>
      <c r="W35" s="87" t="n">
        <v>0</v>
      </c>
      <c r="X35" s="88" t="n">
        <v>0</v>
      </c>
      <c r="Y35" s="87" t="n">
        <v>0</v>
      </c>
      <c r="Z35" s="90" t="n">
        <v>0</v>
      </c>
      <c r="AA35" s="87" t="n">
        <v>0</v>
      </c>
      <c r="AB35" s="88" t="n">
        <v>0</v>
      </c>
      <c r="AC35" s="87" t="n">
        <v>25</v>
      </c>
      <c r="AD35" s="88" t="n">
        <v>0.2604166666666667</v>
      </c>
      <c r="AE35" s="87" t="n">
        <v>3</v>
      </c>
      <c r="AF35" s="88" t="n">
        <v>0.12</v>
      </c>
      <c r="AG35" s="87" t="n">
        <v>14</v>
      </c>
      <c r="AH35" s="88" t="n">
        <v>0.5600000000000001</v>
      </c>
      <c r="AI35" s="91" t="n">
        <v>1</v>
      </c>
      <c r="AJ35" s="88" t="n">
        <v>0.01041666666666667</v>
      </c>
      <c r="AK35" s="91" t="n">
        <v>0</v>
      </c>
      <c r="AL35" s="88" t="n">
        <v>0</v>
      </c>
      <c r="AM35" s="91" t="n">
        <v>0</v>
      </c>
      <c r="AN35" s="91" t="n">
        <v>0</v>
      </c>
      <c r="AO35" s="88" t="n">
        <v>0</v>
      </c>
      <c r="AP35" s="88" t="n">
        <v>0</v>
      </c>
      <c r="AQ35" s="89" t="n"/>
      <c r="AR35" s="89" t="n">
        <v>0</v>
      </c>
      <c r="AS35" s="89" t="n">
        <v>0</v>
      </c>
      <c r="AT35" s="91" t="n">
        <v>0</v>
      </c>
      <c r="AU35" s="91" t="n">
        <v>0</v>
      </c>
      <c r="AV35" s="91" t="n">
        <v>0</v>
      </c>
      <c r="AW35" s="91" t="n">
        <v>0</v>
      </c>
      <c r="AX35" s="91" t="n">
        <v>0</v>
      </c>
      <c r="AY35" s="91" t="n">
        <v>0</v>
      </c>
      <c r="AZ35" s="88" t="n">
        <v>0</v>
      </c>
      <c r="BA35" s="88" t="n">
        <v>0</v>
      </c>
      <c r="BB35" s="88" t="n">
        <v>0</v>
      </c>
      <c r="BC35" s="88" t="n">
        <v>0</v>
      </c>
      <c r="BD35" s="91" t="n">
        <v>0</v>
      </c>
      <c r="BE35" s="91" t="n">
        <v>0</v>
      </c>
      <c r="BF35" s="89" t="inlineStr">
        <is>
          <t>-</t>
        </is>
      </c>
      <c r="BG35" s="89" t="inlineStr">
        <is>
          <t>-</t>
        </is>
      </c>
      <c r="BH35" s="89" t="inlineStr">
        <is>
          <t>-</t>
        </is>
      </c>
    </row>
    <row r="36" ht="19.55" customHeight="1">
      <c r="A36" s="92" t="n">
        <v>33</v>
      </c>
      <c r="B36" s="87" t="inlineStr">
        <is>
          <t>全国</t>
        </is>
      </c>
      <c r="C36" s="93" t="n">
        <v>45907</v>
      </c>
      <c r="D36" s="87" t="inlineStr">
        <is>
          <t>N7</t>
        </is>
      </c>
      <c r="E36" s="87" t="n">
        <v>8149</v>
      </c>
      <c r="F36" s="87" t="n">
        <v>6807</v>
      </c>
      <c r="G36" s="88" t="n">
        <v>0.8353172168364217</v>
      </c>
      <c r="H36" s="87" t="n">
        <v>3694</v>
      </c>
      <c r="I36" s="89" t="n">
        <v>0.4533071542520555</v>
      </c>
      <c r="J36" s="87" t="n">
        <v>6497</v>
      </c>
      <c r="K36" s="87" t="n">
        <v>6161</v>
      </c>
      <c r="L36" s="88" t="n">
        <v>0.948</v>
      </c>
      <c r="M36" s="87" t="n">
        <v>8038</v>
      </c>
      <c r="N36" s="87" t="n">
        <v>0</v>
      </c>
      <c r="O36" s="87" t="n">
        <v>7617</v>
      </c>
      <c r="P36" s="88" t="n">
        <v>0.9476237870116945</v>
      </c>
      <c r="Q36" s="87" t="n">
        <v>57</v>
      </c>
      <c r="R36" s="87" t="n">
        <v>0</v>
      </c>
      <c r="S36" s="87" t="n">
        <v>0</v>
      </c>
      <c r="T36" s="88" t="n">
        <v>0</v>
      </c>
      <c r="U36" s="87" t="n">
        <v>0</v>
      </c>
      <c r="V36" s="88" t="n">
        <v>0</v>
      </c>
      <c r="W36" s="87" t="n">
        <v>952</v>
      </c>
      <c r="X36" s="88" t="n">
        <v>0.1168241502024788</v>
      </c>
      <c r="Y36" s="87" t="n">
        <v>877</v>
      </c>
      <c r="Z36" s="90" t="n">
        <v>0.1076205669407289</v>
      </c>
      <c r="AA36" s="87" t="n">
        <v>255</v>
      </c>
      <c r="AB36" s="88" t="n">
        <v>0.03129218308994969</v>
      </c>
      <c r="AC36" s="87" t="n">
        <v>1870</v>
      </c>
      <c r="AD36" s="88" t="n">
        <v>0.2294760093262977</v>
      </c>
      <c r="AE36" s="87" t="n">
        <v>74</v>
      </c>
      <c r="AF36" s="88" t="n">
        <v>0.03957219251336899</v>
      </c>
      <c r="AG36" s="87" t="n">
        <v>958</v>
      </c>
      <c r="AH36" s="88" t="n">
        <v>0.5122994652406417</v>
      </c>
      <c r="AI36" s="91" t="n">
        <v>1785</v>
      </c>
      <c r="AJ36" s="88" t="n">
        <v>0.2190452816296478</v>
      </c>
      <c r="AK36" s="91" t="n">
        <v>64</v>
      </c>
      <c r="AL36" s="88" t="n">
        <v>0.834733893557423</v>
      </c>
      <c r="AM36" s="91" t="n">
        <v>1741</v>
      </c>
      <c r="AN36" s="91" t="n">
        <v>1490</v>
      </c>
      <c r="AO36" s="88" t="n">
        <v>0.1828445208000982</v>
      </c>
      <c r="AP36" s="88" t="n">
        <v>0.7967914438502673</v>
      </c>
      <c r="AQ36" s="89" t="n">
        <v>0</v>
      </c>
      <c r="AR36" s="89" t="n">
        <v>0.028317601332593</v>
      </c>
      <c r="AS36" s="89" t="n">
        <v>0.028317601332593</v>
      </c>
      <c r="AT36" s="91" t="n">
        <v>0</v>
      </c>
      <c r="AU36" s="91" t="n">
        <v>0</v>
      </c>
      <c r="AV36" s="91" t="n">
        <v>273</v>
      </c>
      <c r="AW36" s="91" t="n">
        <v>242</v>
      </c>
      <c r="AX36" s="91" t="n">
        <v>214</v>
      </c>
      <c r="AY36" s="91" t="n">
        <v>140</v>
      </c>
      <c r="AZ36" s="88" t="n">
        <v>0.0296968953245797</v>
      </c>
      <c r="BA36" s="88" t="n">
        <v>0.02626089090685974</v>
      </c>
      <c r="BB36" s="88" t="n">
        <v>0.01718002208859983</v>
      </c>
      <c r="BC36" s="88" t="n">
        <v>0.1436241610738255</v>
      </c>
      <c r="BD36" s="91" t="n">
        <v>0</v>
      </c>
      <c r="BE36" s="91" t="n">
        <v>1</v>
      </c>
      <c r="BF36" s="89" t="n">
        <v>0.975609756097561</v>
      </c>
      <c r="BG36" s="89" t="n">
        <v>0.9411764705882353</v>
      </c>
      <c r="BH36" s="89" t="inlineStr">
        <is>
          <t>-</t>
        </is>
      </c>
    </row>
    <row r="37" ht="19.55" customHeight="1">
      <c r="A37" s="92" t="n">
        <v>34</v>
      </c>
      <c r="B37" s="87" t="inlineStr">
        <is>
          <t>全国</t>
        </is>
      </c>
      <c r="C37" s="93" t="n">
        <v>45907</v>
      </c>
      <c r="D37" s="87" t="inlineStr">
        <is>
          <t>NX8</t>
        </is>
      </c>
      <c r="E37" s="87" t="n">
        <v>176</v>
      </c>
      <c r="F37" s="87" t="n">
        <v>164</v>
      </c>
      <c r="G37" s="88" t="n">
        <v>0.9318181818181818</v>
      </c>
      <c r="H37" s="87" t="n">
        <v>68</v>
      </c>
      <c r="I37" s="89" t="n">
        <v>0.3863636363636364</v>
      </c>
      <c r="J37" s="87" t="n">
        <v>55</v>
      </c>
      <c r="K37" s="87" t="n">
        <v>53</v>
      </c>
      <c r="L37" s="88" t="n">
        <v>0.964</v>
      </c>
      <c r="M37" s="87" t="n">
        <v>84</v>
      </c>
      <c r="N37" s="87" t="n">
        <v>0</v>
      </c>
      <c r="O37" s="87" t="n">
        <v>82</v>
      </c>
      <c r="P37" s="88" t="n">
        <v>0.9761904761904762</v>
      </c>
      <c r="Q37" s="87" t="n">
        <v>0</v>
      </c>
      <c r="R37" s="87" t="n">
        <v>0</v>
      </c>
      <c r="S37" s="87" t="n">
        <v>0</v>
      </c>
      <c r="T37" s="88" t="n">
        <v>0</v>
      </c>
      <c r="U37" s="87" t="n">
        <v>0</v>
      </c>
      <c r="V37" s="88" t="n">
        <v>0</v>
      </c>
      <c r="W37" s="87" t="n">
        <v>0</v>
      </c>
      <c r="X37" s="88" t="n">
        <v>0</v>
      </c>
      <c r="Y37" s="87" t="n">
        <v>0</v>
      </c>
      <c r="Z37" s="90" t="n">
        <v>0</v>
      </c>
      <c r="AA37" s="87" t="n">
        <v>0</v>
      </c>
      <c r="AB37" s="88" t="n">
        <v>0</v>
      </c>
      <c r="AC37" s="87" t="n">
        <v>54</v>
      </c>
      <c r="AD37" s="88" t="n">
        <v>0.3068181818181818</v>
      </c>
      <c r="AE37" s="87" t="n">
        <v>4</v>
      </c>
      <c r="AF37" s="88" t="n">
        <v>0.07407407407407407</v>
      </c>
      <c r="AG37" s="87" t="n">
        <v>37</v>
      </c>
      <c r="AH37" s="88" t="n">
        <v>0.6851851851851852</v>
      </c>
      <c r="AI37" s="91" t="n">
        <v>1</v>
      </c>
      <c r="AJ37" s="88" t="n">
        <v>0.005681818181818182</v>
      </c>
      <c r="AK37" s="91" t="n">
        <v>0</v>
      </c>
      <c r="AL37" s="88" t="n">
        <v>0</v>
      </c>
      <c r="AM37" s="91" t="n">
        <v>0</v>
      </c>
      <c r="AN37" s="91" t="n">
        <v>0</v>
      </c>
      <c r="AO37" s="88" t="n">
        <v>0</v>
      </c>
      <c r="AP37" s="88" t="n">
        <v>0</v>
      </c>
      <c r="AQ37" s="89" t="n"/>
      <c r="AR37" s="89" t="n">
        <v>0</v>
      </c>
      <c r="AS37" s="89" t="n">
        <v>0</v>
      </c>
      <c r="AT37" s="91" t="n">
        <v>0</v>
      </c>
      <c r="AU37" s="91" t="n">
        <v>0</v>
      </c>
      <c r="AV37" s="91" t="n">
        <v>0</v>
      </c>
      <c r="AW37" s="91" t="n">
        <v>0</v>
      </c>
      <c r="AX37" s="91" t="n">
        <v>0</v>
      </c>
      <c r="AY37" s="91" t="n">
        <v>0</v>
      </c>
      <c r="AZ37" s="88" t="n">
        <v>0</v>
      </c>
      <c r="BA37" s="88" t="n">
        <v>0</v>
      </c>
      <c r="BB37" s="88" t="n">
        <v>0</v>
      </c>
      <c r="BC37" s="88" t="n">
        <v>0</v>
      </c>
      <c r="BD37" s="91" t="n">
        <v>0</v>
      </c>
      <c r="BE37" s="91" t="n">
        <v>0</v>
      </c>
      <c r="BF37" s="89" t="inlineStr">
        <is>
          <t>-</t>
        </is>
      </c>
      <c r="BG37" s="89" t="inlineStr">
        <is>
          <t>-</t>
        </is>
      </c>
      <c r="BH37" s="89" t="inlineStr">
        <is>
          <t>-</t>
        </is>
      </c>
    </row>
    <row r="38" ht="19.55" customHeight="1">
      <c r="A38" s="92" t="n">
        <v>35</v>
      </c>
      <c r="B38" s="87" t="inlineStr">
        <is>
          <t>全国</t>
        </is>
      </c>
      <c r="C38" s="93" t="n">
        <v>45907</v>
      </c>
      <c r="D38" s="87" t="inlineStr">
        <is>
          <t>天籁·鸿蒙座舱</t>
        </is>
      </c>
      <c r="E38" s="87" t="n">
        <v>102</v>
      </c>
      <c r="F38" s="87" t="n">
        <v>95</v>
      </c>
      <c r="G38" s="88" t="n">
        <v>0.9313725490196079</v>
      </c>
      <c r="H38" s="87" t="n">
        <v>54</v>
      </c>
      <c r="I38" s="89" t="n">
        <v>0.5294117647058824</v>
      </c>
      <c r="J38" s="87" t="n">
        <v>40</v>
      </c>
      <c r="K38" s="87" t="n">
        <v>38</v>
      </c>
      <c r="L38" s="88" t="n">
        <v>0.95</v>
      </c>
      <c r="M38" s="87" t="n">
        <v>77</v>
      </c>
      <c r="N38" s="87" t="n">
        <v>0</v>
      </c>
      <c r="O38" s="87" t="n">
        <v>75</v>
      </c>
      <c r="P38" s="88" t="n">
        <v>0.974025974025974</v>
      </c>
      <c r="Q38" s="87" t="n">
        <v>0</v>
      </c>
      <c r="R38" s="87" t="n">
        <v>0</v>
      </c>
      <c r="S38" s="87" t="n">
        <v>0</v>
      </c>
      <c r="T38" s="88" t="n">
        <v>0</v>
      </c>
      <c r="U38" s="87" t="n">
        <v>0</v>
      </c>
      <c r="V38" s="88" t="n">
        <v>0</v>
      </c>
      <c r="W38" s="87" t="n">
        <v>0</v>
      </c>
      <c r="X38" s="88" t="n">
        <v>0</v>
      </c>
      <c r="Y38" s="87" t="n">
        <v>0</v>
      </c>
      <c r="Z38" s="90" t="n">
        <v>0</v>
      </c>
      <c r="AA38" s="87" t="n">
        <v>0</v>
      </c>
      <c r="AB38" s="88" t="n">
        <v>0</v>
      </c>
      <c r="AC38" s="87" t="n">
        <v>31</v>
      </c>
      <c r="AD38" s="88" t="n">
        <v>0.303921568627451</v>
      </c>
      <c r="AE38" s="87" t="n">
        <v>2</v>
      </c>
      <c r="AF38" s="88" t="n">
        <v>0.06451612903225806</v>
      </c>
      <c r="AG38" s="87" t="n">
        <v>24</v>
      </c>
      <c r="AH38" s="88" t="n">
        <v>0.7741935483870968</v>
      </c>
      <c r="AI38" s="91" t="n">
        <v>0</v>
      </c>
      <c r="AJ38" s="88" t="n">
        <v>0</v>
      </c>
      <c r="AK38" s="91" t="n">
        <v>0</v>
      </c>
      <c r="AL38" s="88" t="n">
        <v>0</v>
      </c>
      <c r="AM38" s="91" t="n">
        <v>0</v>
      </c>
      <c r="AN38" s="91" t="n">
        <v>0</v>
      </c>
      <c r="AO38" s="88" t="n">
        <v>0</v>
      </c>
      <c r="AP38" s="88" t="n">
        <v>0</v>
      </c>
      <c r="AQ38" s="89" t="n"/>
      <c r="AR38" s="89" t="n">
        <v>0</v>
      </c>
      <c r="AS38" s="89" t="n">
        <v>0</v>
      </c>
      <c r="AT38" s="91" t="n">
        <v>0</v>
      </c>
      <c r="AU38" s="91" t="n">
        <v>0</v>
      </c>
      <c r="AV38" s="91" t="n">
        <v>0</v>
      </c>
      <c r="AW38" s="91" t="n">
        <v>0</v>
      </c>
      <c r="AX38" s="91" t="n">
        <v>0</v>
      </c>
      <c r="AY38" s="91" t="n">
        <v>0</v>
      </c>
      <c r="AZ38" s="88" t="n">
        <v>0</v>
      </c>
      <c r="BA38" s="88" t="n">
        <v>0</v>
      </c>
      <c r="BB38" s="88" t="n">
        <v>0</v>
      </c>
      <c r="BC38" s="88" t="n">
        <v>0</v>
      </c>
      <c r="BD38" s="91" t="n">
        <v>0</v>
      </c>
      <c r="BE38" s="91" t="n">
        <v>0</v>
      </c>
      <c r="BF38" s="89" t="inlineStr">
        <is>
          <t>-</t>
        </is>
      </c>
      <c r="BG38" s="89" t="inlineStr">
        <is>
          <t>-</t>
        </is>
      </c>
      <c r="BH38" s="89" t="inlineStr">
        <is>
          <t>-</t>
        </is>
      </c>
    </row>
    <row r="39" ht="19.55" customHeight="1">
      <c r="A39" s="92" t="n">
        <v>36</v>
      </c>
      <c r="B39" s="87" t="inlineStr">
        <is>
          <t>全国</t>
        </is>
      </c>
      <c r="C39" s="93" t="n">
        <v>45908</v>
      </c>
      <c r="D39" s="87" t="inlineStr">
        <is>
          <t>2026款探陆</t>
        </is>
      </c>
      <c r="E39" s="87" t="n">
        <v>1</v>
      </c>
      <c r="F39" s="87" t="n">
        <v>1</v>
      </c>
      <c r="G39" s="88" t="n">
        <v>1</v>
      </c>
      <c r="H39" s="87" t="n">
        <v>0</v>
      </c>
      <c r="I39" s="89" t="n">
        <v>0</v>
      </c>
      <c r="J39" s="87" t="n">
        <v>0</v>
      </c>
      <c r="K39" s="87" t="n">
        <v>0</v>
      </c>
      <c r="L39" s="88" t="n">
        <v>0</v>
      </c>
      <c r="M39" s="87" t="n">
        <v>0</v>
      </c>
      <c r="N39" s="87" t="n">
        <v>0</v>
      </c>
      <c r="O39" s="87" t="n">
        <v>0</v>
      </c>
      <c r="P39" s="88" t="n">
        <v>0</v>
      </c>
      <c r="Q39" s="87" t="n">
        <v>0</v>
      </c>
      <c r="R39" s="87" t="n">
        <v>0</v>
      </c>
      <c r="S39" s="87" t="n">
        <v>0</v>
      </c>
      <c r="T39" s="88" t="n">
        <v>0</v>
      </c>
      <c r="U39" s="87" t="n">
        <v>0</v>
      </c>
      <c r="V39" s="88" t="n">
        <v>0</v>
      </c>
      <c r="W39" s="87" t="n">
        <v>0</v>
      </c>
      <c r="X39" s="88" t="n">
        <v>0</v>
      </c>
      <c r="Y39" s="87" t="n">
        <v>0</v>
      </c>
      <c r="Z39" s="90" t="n">
        <v>0</v>
      </c>
      <c r="AA39" s="87" t="n">
        <v>0</v>
      </c>
      <c r="AB39" s="88" t="n">
        <v>0</v>
      </c>
      <c r="AC39" s="87" t="n">
        <v>0</v>
      </c>
      <c r="AD39" s="88" t="n">
        <v>0</v>
      </c>
      <c r="AE39" s="87" t="n">
        <v>0</v>
      </c>
      <c r="AF39" s="88" t="n">
        <v>0</v>
      </c>
      <c r="AG39" s="87" t="n">
        <v>0</v>
      </c>
      <c r="AH39" s="88" t="n">
        <v>0</v>
      </c>
      <c r="AI39" s="91" t="n">
        <v>0</v>
      </c>
      <c r="AJ39" s="88" t="n">
        <v>0</v>
      </c>
      <c r="AK39" s="91" t="n">
        <v>0</v>
      </c>
      <c r="AL39" s="88" t="n">
        <v>0</v>
      </c>
      <c r="AM39" s="91" t="n">
        <v>0</v>
      </c>
      <c r="AN39" s="91" t="n">
        <v>0</v>
      </c>
      <c r="AO39" s="88" t="n">
        <v>0</v>
      </c>
      <c r="AP39" s="88" t="n">
        <v>0</v>
      </c>
      <c r="AQ39" s="89" t="n"/>
      <c r="AR39" s="89" t="inlineStr">
        <is>
          <t>0.0%</t>
        </is>
      </c>
      <c r="AS39" s="89" t="inlineStr">
        <is>
          <t>0.0%</t>
        </is>
      </c>
      <c r="AT39" s="91" t="n">
        <v>0</v>
      </c>
      <c r="AU39" s="91" t="n">
        <v>0</v>
      </c>
      <c r="AV39" s="91" t="n">
        <v>0</v>
      </c>
      <c r="AW39" s="91" t="n">
        <v>0</v>
      </c>
      <c r="AX39" s="91" t="n">
        <v>0</v>
      </c>
      <c r="AY39" s="91" t="n">
        <v>0</v>
      </c>
      <c r="AZ39" s="88" t="n">
        <v>0</v>
      </c>
      <c r="BA39" s="88" t="n">
        <v>0</v>
      </c>
      <c r="BB39" s="88" t="n">
        <v>0</v>
      </c>
      <c r="BC39" s="88" t="n">
        <v>0</v>
      </c>
      <c r="BD39" s="91" t="n">
        <v>0</v>
      </c>
      <c r="BE39" s="91" t="n">
        <v>0</v>
      </c>
      <c r="BF39" s="89" t="inlineStr">
        <is>
          <t>-</t>
        </is>
      </c>
      <c r="BG39" s="89" t="inlineStr">
        <is>
          <t>-</t>
        </is>
      </c>
      <c r="BH39" s="89" t="inlineStr">
        <is>
          <t>-</t>
        </is>
      </c>
    </row>
    <row r="40" ht="19.55" customHeight="1">
      <c r="A40" s="92" t="n">
        <v>37</v>
      </c>
      <c r="B40" s="87" t="inlineStr">
        <is>
          <t>全国</t>
        </is>
      </c>
      <c r="C40" s="93" t="n">
        <v>45908</v>
      </c>
      <c r="D40" s="87" t="inlineStr">
        <is>
          <t>N6</t>
        </is>
      </c>
      <c r="E40" s="87" t="n">
        <v>76</v>
      </c>
      <c r="F40" s="87" t="n">
        <v>67</v>
      </c>
      <c r="G40" s="88" t="n">
        <v>0.881578947368421</v>
      </c>
      <c r="H40" s="87" t="n">
        <v>32</v>
      </c>
      <c r="I40" s="89" t="n">
        <v>0.4210526315789473</v>
      </c>
      <c r="J40" s="87" t="n">
        <v>34</v>
      </c>
      <c r="K40" s="87" t="n">
        <v>33</v>
      </c>
      <c r="L40" s="88" t="n">
        <v>0.971</v>
      </c>
      <c r="M40" s="87" t="n">
        <v>57</v>
      </c>
      <c r="N40" s="87" t="n">
        <v>0</v>
      </c>
      <c r="O40" s="87" t="n">
        <v>55</v>
      </c>
      <c r="P40" s="88" t="n">
        <v>0.9649122807017544</v>
      </c>
      <c r="Q40" s="87" t="n">
        <v>0</v>
      </c>
      <c r="R40" s="87" t="n">
        <v>0</v>
      </c>
      <c r="S40" s="87" t="n">
        <v>0</v>
      </c>
      <c r="T40" s="88" t="n">
        <v>0</v>
      </c>
      <c r="U40" s="87" t="n">
        <v>0</v>
      </c>
      <c r="V40" s="88" t="n">
        <v>0</v>
      </c>
      <c r="W40" s="87" t="n">
        <v>0</v>
      </c>
      <c r="X40" s="88" t="n">
        <v>0</v>
      </c>
      <c r="Y40" s="87" t="n">
        <v>0</v>
      </c>
      <c r="Z40" s="90" t="n">
        <v>0</v>
      </c>
      <c r="AA40" s="87" t="n">
        <v>0</v>
      </c>
      <c r="AB40" s="88" t="n">
        <v>0</v>
      </c>
      <c r="AC40" s="87" t="n">
        <v>24</v>
      </c>
      <c r="AD40" s="88" t="n">
        <v>0.3157894736842105</v>
      </c>
      <c r="AE40" s="87" t="n">
        <v>2</v>
      </c>
      <c r="AF40" s="88" t="n">
        <v>0.08333333333333333</v>
      </c>
      <c r="AG40" s="87" t="n">
        <v>14</v>
      </c>
      <c r="AH40" s="88" t="n">
        <v>0.5833333333333334</v>
      </c>
      <c r="AI40" s="91" t="n">
        <v>0</v>
      </c>
      <c r="AJ40" s="88" t="n">
        <v>0</v>
      </c>
      <c r="AK40" s="91" t="n">
        <v>0</v>
      </c>
      <c r="AL40" s="88" t="n">
        <v>0</v>
      </c>
      <c r="AM40" s="91" t="n">
        <v>0</v>
      </c>
      <c r="AN40" s="91" t="n">
        <v>0</v>
      </c>
      <c r="AO40" s="88" t="n">
        <v>0</v>
      </c>
      <c r="AP40" s="88" t="n">
        <v>0</v>
      </c>
      <c r="AQ40" s="89" t="n"/>
      <c r="AR40" s="89" t="n">
        <v>0</v>
      </c>
      <c r="AS40" s="89" t="n">
        <v>0</v>
      </c>
      <c r="AT40" s="91" t="n">
        <v>0</v>
      </c>
      <c r="AU40" s="91" t="n">
        <v>0</v>
      </c>
      <c r="AV40" s="91" t="n">
        <v>0</v>
      </c>
      <c r="AW40" s="91" t="n">
        <v>0</v>
      </c>
      <c r="AX40" s="91" t="n">
        <v>0</v>
      </c>
      <c r="AY40" s="91" t="n">
        <v>0</v>
      </c>
      <c r="AZ40" s="88" t="n">
        <v>0</v>
      </c>
      <c r="BA40" s="88" t="n">
        <v>0</v>
      </c>
      <c r="BB40" s="88" t="n">
        <v>0</v>
      </c>
      <c r="BC40" s="88" t="n">
        <v>0</v>
      </c>
      <c r="BD40" s="91" t="n">
        <v>0</v>
      </c>
      <c r="BE40" s="91" t="n">
        <v>0</v>
      </c>
      <c r="BF40" s="89" t="inlineStr">
        <is>
          <t>-</t>
        </is>
      </c>
      <c r="BG40" s="89" t="inlineStr">
        <is>
          <t>-</t>
        </is>
      </c>
      <c r="BH40" s="89" t="inlineStr">
        <is>
          <t>-</t>
        </is>
      </c>
    </row>
    <row r="41" ht="19.55" customHeight="1">
      <c r="A41" s="92" t="n">
        <v>38</v>
      </c>
      <c r="B41" s="87" t="inlineStr">
        <is>
          <t>全国</t>
        </is>
      </c>
      <c r="C41" s="93" t="n">
        <v>45908</v>
      </c>
      <c r="D41" s="87" t="inlineStr">
        <is>
          <t>N7</t>
        </is>
      </c>
      <c r="E41" s="87" t="n">
        <v>6621</v>
      </c>
      <c r="F41" s="87" t="n">
        <v>5359</v>
      </c>
      <c r="G41" s="88" t="n">
        <v>0.8093943513064492</v>
      </c>
      <c r="H41" s="87" t="n">
        <v>2873</v>
      </c>
      <c r="I41" s="89" t="n">
        <v>0.4339223682223229</v>
      </c>
      <c r="J41" s="87" t="n">
        <v>5872</v>
      </c>
      <c r="K41" s="87" t="n">
        <v>5518</v>
      </c>
      <c r="L41" s="88" t="n">
        <v>0.9399999999999999</v>
      </c>
      <c r="M41" s="87" t="n">
        <v>7456</v>
      </c>
      <c r="N41" s="87" t="n">
        <v>0</v>
      </c>
      <c r="O41" s="87" t="n">
        <v>7035</v>
      </c>
      <c r="P41" s="88" t="n">
        <v>0.9435354077253219</v>
      </c>
      <c r="Q41" s="87" t="n">
        <v>29</v>
      </c>
      <c r="R41" s="87" t="n">
        <v>0</v>
      </c>
      <c r="S41" s="87" t="n">
        <v>0</v>
      </c>
      <c r="T41" s="88" t="n">
        <v>0</v>
      </c>
      <c r="U41" s="87" t="n">
        <v>0</v>
      </c>
      <c r="V41" s="88" t="n">
        <v>0</v>
      </c>
      <c r="W41" s="87" t="n">
        <v>1523</v>
      </c>
      <c r="X41" s="88" t="n">
        <v>0.2300256758797765</v>
      </c>
      <c r="Y41" s="87" t="n">
        <v>1449</v>
      </c>
      <c r="Z41" s="90" t="n">
        <v>0.2188491164476665</v>
      </c>
      <c r="AA41" s="87" t="n">
        <v>237</v>
      </c>
      <c r="AB41" s="88" t="n">
        <v>0.03579519710013593</v>
      </c>
      <c r="AC41" s="87" t="n">
        <v>1009</v>
      </c>
      <c r="AD41" s="88" t="n">
        <v>0.1523938982026884</v>
      </c>
      <c r="AE41" s="87" t="n">
        <v>71</v>
      </c>
      <c r="AF41" s="88" t="n">
        <v>0.07036669970267592</v>
      </c>
      <c r="AG41" s="87" t="n">
        <v>488</v>
      </c>
      <c r="AH41" s="88" t="n">
        <v>0.4836471754212091</v>
      </c>
      <c r="AI41" s="91" t="n">
        <v>979</v>
      </c>
      <c r="AJ41" s="88" t="n">
        <v>0.1478628605950763</v>
      </c>
      <c r="AK41" s="91" t="n">
        <v>36</v>
      </c>
      <c r="AL41" s="88" t="n">
        <v>0.8232890704800817</v>
      </c>
      <c r="AM41" s="91" t="n">
        <v>960</v>
      </c>
      <c r="AN41" s="91" t="n">
        <v>806</v>
      </c>
      <c r="AO41" s="88" t="n">
        <v>0.1217338770578462</v>
      </c>
      <c r="AP41" s="88" t="n">
        <v>0.798810703666997</v>
      </c>
      <c r="AQ41" s="89" t="n">
        <v>0</v>
      </c>
      <c r="AR41" s="89" t="n">
        <v>0.01749271137026239</v>
      </c>
      <c r="AS41" s="89" t="n">
        <v>0.01749271137026239</v>
      </c>
      <c r="AT41" s="91" t="n">
        <v>0</v>
      </c>
      <c r="AU41" s="91" t="n">
        <v>0</v>
      </c>
      <c r="AV41" s="91" t="n">
        <v>152</v>
      </c>
      <c r="AW41" s="91" t="n">
        <v>114</v>
      </c>
      <c r="AX41" s="91" t="n">
        <v>118</v>
      </c>
      <c r="AY41" s="91" t="n">
        <v>257</v>
      </c>
      <c r="AZ41" s="88" t="n">
        <v>0.01721794290892614</v>
      </c>
      <c r="BA41" s="88" t="n">
        <v>0.01782208125660776</v>
      </c>
      <c r="BB41" s="88" t="n">
        <v>0.03881588883854403</v>
      </c>
      <c r="BC41" s="88" t="n">
        <v>0.1464019851116625</v>
      </c>
      <c r="BD41" s="91" t="n">
        <v>0</v>
      </c>
      <c r="BE41" s="91" t="n">
        <v>2</v>
      </c>
      <c r="BF41" s="89" t="n">
        <v>0.9298245614035088</v>
      </c>
      <c r="BG41" s="89" t="n">
        <v>1</v>
      </c>
      <c r="BH41" s="89" t="inlineStr">
        <is>
          <t>-</t>
        </is>
      </c>
    </row>
    <row r="42" ht="19.55" customHeight="1">
      <c r="A42" s="92" t="n">
        <v>39</v>
      </c>
      <c r="B42" s="87" t="inlineStr">
        <is>
          <t>全国</t>
        </is>
      </c>
      <c r="C42" s="93" t="n">
        <v>45908</v>
      </c>
      <c r="D42" s="87" t="inlineStr">
        <is>
          <t>NX8</t>
        </is>
      </c>
      <c r="E42" s="87" t="n">
        <v>156</v>
      </c>
      <c r="F42" s="87" t="n">
        <v>142</v>
      </c>
      <c r="G42" s="88" t="n">
        <v>0.9102564102564102</v>
      </c>
      <c r="H42" s="87" t="n">
        <v>62</v>
      </c>
      <c r="I42" s="89" t="n">
        <v>0.3974358974358974</v>
      </c>
      <c r="J42" s="87" t="n">
        <v>43</v>
      </c>
      <c r="K42" s="87" t="n">
        <v>41</v>
      </c>
      <c r="L42" s="88" t="n">
        <v>0.953</v>
      </c>
      <c r="M42" s="87" t="n">
        <v>65</v>
      </c>
      <c r="N42" s="87" t="n">
        <v>0</v>
      </c>
      <c r="O42" s="87" t="n">
        <v>62</v>
      </c>
      <c r="P42" s="88" t="n">
        <v>0.9538461538461539</v>
      </c>
      <c r="Q42" s="87" t="n">
        <v>0</v>
      </c>
      <c r="R42" s="87" t="n">
        <v>0</v>
      </c>
      <c r="S42" s="87" t="n">
        <v>0</v>
      </c>
      <c r="T42" s="88" t="n">
        <v>0</v>
      </c>
      <c r="U42" s="87" t="n">
        <v>0</v>
      </c>
      <c r="V42" s="88" t="n">
        <v>0</v>
      </c>
      <c r="W42" s="87" t="n">
        <v>0</v>
      </c>
      <c r="X42" s="88" t="n">
        <v>0</v>
      </c>
      <c r="Y42" s="87" t="n">
        <v>0</v>
      </c>
      <c r="Z42" s="90" t="n">
        <v>0</v>
      </c>
      <c r="AA42" s="87" t="n">
        <v>0</v>
      </c>
      <c r="AB42" s="88" t="n">
        <v>0</v>
      </c>
      <c r="AC42" s="87" t="n">
        <v>41</v>
      </c>
      <c r="AD42" s="88" t="n">
        <v>0.2628205128205128</v>
      </c>
      <c r="AE42" s="87" t="n">
        <v>5</v>
      </c>
      <c r="AF42" s="88" t="n">
        <v>0.1219512195121951</v>
      </c>
      <c r="AG42" s="87" t="n">
        <v>28</v>
      </c>
      <c r="AH42" s="88" t="n">
        <v>0.6829268292682927</v>
      </c>
      <c r="AI42" s="91" t="n">
        <v>0</v>
      </c>
      <c r="AJ42" s="88" t="n">
        <v>0</v>
      </c>
      <c r="AK42" s="91" t="n">
        <v>0</v>
      </c>
      <c r="AL42" s="88" t="n">
        <v>0</v>
      </c>
      <c r="AM42" s="91" t="n">
        <v>0</v>
      </c>
      <c r="AN42" s="91" t="n">
        <v>0</v>
      </c>
      <c r="AO42" s="88" t="n">
        <v>0</v>
      </c>
      <c r="AP42" s="88" t="n">
        <v>0</v>
      </c>
      <c r="AQ42" s="89" t="n"/>
      <c r="AR42" s="89" t="n">
        <v>0</v>
      </c>
      <c r="AS42" s="89" t="n">
        <v>0</v>
      </c>
      <c r="AT42" s="91" t="n">
        <v>0</v>
      </c>
      <c r="AU42" s="91" t="n">
        <v>0</v>
      </c>
      <c r="AV42" s="91" t="n">
        <v>0</v>
      </c>
      <c r="AW42" s="91" t="n">
        <v>0</v>
      </c>
      <c r="AX42" s="91" t="n">
        <v>0</v>
      </c>
      <c r="AY42" s="91" t="n">
        <v>0</v>
      </c>
      <c r="AZ42" s="88" t="n">
        <v>0</v>
      </c>
      <c r="BA42" s="88" t="n">
        <v>0</v>
      </c>
      <c r="BB42" s="88" t="n">
        <v>0</v>
      </c>
      <c r="BC42" s="88" t="n">
        <v>0</v>
      </c>
      <c r="BD42" s="91" t="n">
        <v>0</v>
      </c>
      <c r="BE42" s="91" t="n">
        <v>0</v>
      </c>
      <c r="BF42" s="89" t="inlineStr">
        <is>
          <t>-</t>
        </is>
      </c>
      <c r="BG42" s="89" t="inlineStr">
        <is>
          <t>-</t>
        </is>
      </c>
      <c r="BH42" s="89" t="inlineStr">
        <is>
          <t>-</t>
        </is>
      </c>
    </row>
    <row r="43" ht="19.55" customHeight="1">
      <c r="A43" s="92" t="n">
        <v>40</v>
      </c>
      <c r="B43" s="87" t="inlineStr">
        <is>
          <t>全国</t>
        </is>
      </c>
      <c r="C43" s="93" t="n">
        <v>45908</v>
      </c>
      <c r="D43" s="87" t="inlineStr">
        <is>
          <t>天籁·鸿蒙座舱</t>
        </is>
      </c>
      <c r="E43" s="87" t="n">
        <v>71</v>
      </c>
      <c r="F43" s="87" t="n">
        <v>64</v>
      </c>
      <c r="G43" s="88" t="n">
        <v>0.9014084507042254</v>
      </c>
      <c r="H43" s="87" t="n">
        <v>42</v>
      </c>
      <c r="I43" s="89" t="n">
        <v>0.5915492957746479</v>
      </c>
      <c r="J43" s="87" t="n">
        <v>36</v>
      </c>
      <c r="K43" s="87" t="n">
        <v>35</v>
      </c>
      <c r="L43" s="88" t="n">
        <v>0.972</v>
      </c>
      <c r="M43" s="87" t="n">
        <v>73</v>
      </c>
      <c r="N43" s="87" t="n">
        <v>0</v>
      </c>
      <c r="O43" s="87" t="n">
        <v>71</v>
      </c>
      <c r="P43" s="88" t="n">
        <v>0.9726027397260274</v>
      </c>
      <c r="Q43" s="87" t="n">
        <v>0</v>
      </c>
      <c r="R43" s="87" t="n">
        <v>0</v>
      </c>
      <c r="S43" s="87" t="n">
        <v>0</v>
      </c>
      <c r="T43" s="88" t="n">
        <v>0</v>
      </c>
      <c r="U43" s="87" t="n">
        <v>0</v>
      </c>
      <c r="V43" s="88" t="n">
        <v>0</v>
      </c>
      <c r="W43" s="87" t="n">
        <v>0</v>
      </c>
      <c r="X43" s="88" t="n">
        <v>0</v>
      </c>
      <c r="Y43" s="87" t="n">
        <v>0</v>
      </c>
      <c r="Z43" s="90" t="n">
        <v>0</v>
      </c>
      <c r="AA43" s="87" t="n">
        <v>0</v>
      </c>
      <c r="AB43" s="88" t="n">
        <v>0</v>
      </c>
      <c r="AC43" s="87" t="n">
        <v>19</v>
      </c>
      <c r="AD43" s="88" t="n">
        <v>0.2676056338028169</v>
      </c>
      <c r="AE43" s="87" t="n">
        <v>2</v>
      </c>
      <c r="AF43" s="88" t="n">
        <v>0.1052631578947368</v>
      </c>
      <c r="AG43" s="87" t="n">
        <v>16</v>
      </c>
      <c r="AH43" s="88" t="n">
        <v>0.8421052631578947</v>
      </c>
      <c r="AI43" s="91" t="n">
        <v>0</v>
      </c>
      <c r="AJ43" s="88" t="n">
        <v>0</v>
      </c>
      <c r="AK43" s="91" t="n">
        <v>0</v>
      </c>
      <c r="AL43" s="88" t="n">
        <v>0</v>
      </c>
      <c r="AM43" s="91" t="n">
        <v>0</v>
      </c>
      <c r="AN43" s="91" t="n">
        <v>0</v>
      </c>
      <c r="AO43" s="88" t="n">
        <v>0</v>
      </c>
      <c r="AP43" s="88" t="n">
        <v>0</v>
      </c>
      <c r="AQ43" s="89" t="n"/>
      <c r="AR43" s="89" t="n">
        <v>0</v>
      </c>
      <c r="AS43" s="89" t="n">
        <v>0</v>
      </c>
      <c r="AT43" s="91" t="n">
        <v>0</v>
      </c>
      <c r="AU43" s="91" t="n">
        <v>0</v>
      </c>
      <c r="AV43" s="91" t="n">
        <v>0</v>
      </c>
      <c r="AW43" s="91" t="n">
        <v>0</v>
      </c>
      <c r="AX43" s="91" t="n">
        <v>0</v>
      </c>
      <c r="AY43" s="91" t="n">
        <v>0</v>
      </c>
      <c r="AZ43" s="88" t="n">
        <v>0</v>
      </c>
      <c r="BA43" s="88" t="n">
        <v>0</v>
      </c>
      <c r="BB43" s="88" t="n">
        <v>0</v>
      </c>
      <c r="BC43" s="88" t="n">
        <v>0</v>
      </c>
      <c r="BD43" s="91" t="n">
        <v>0</v>
      </c>
      <c r="BE43" s="91" t="n">
        <v>0</v>
      </c>
      <c r="BF43" s="89" t="inlineStr">
        <is>
          <t>-</t>
        </is>
      </c>
      <c r="BG43" s="89" t="inlineStr">
        <is>
          <t>-</t>
        </is>
      </c>
      <c r="BH43" s="89" t="inlineStr">
        <is>
          <t>-</t>
        </is>
      </c>
    </row>
    <row r="44" ht="19.55" customHeight="1">
      <c r="A44" s="92" t="n">
        <v>41</v>
      </c>
      <c r="B44" s="87" t="inlineStr">
        <is>
          <t>全国</t>
        </is>
      </c>
      <c r="C44" s="93" t="n">
        <v>45909</v>
      </c>
      <c r="D44" s="87" t="inlineStr">
        <is>
          <t>2026款探陆</t>
        </is>
      </c>
      <c r="E44" s="87" t="n">
        <v>1</v>
      </c>
      <c r="F44" s="87" t="n">
        <v>1</v>
      </c>
      <c r="G44" s="88" t="n">
        <v>1</v>
      </c>
      <c r="H44" s="87" t="n">
        <v>0</v>
      </c>
      <c r="I44" s="89" t="n">
        <v>0</v>
      </c>
      <c r="J44" s="87" t="n">
        <v>0</v>
      </c>
      <c r="K44" s="87" t="n">
        <v>0</v>
      </c>
      <c r="L44" s="88" t="n">
        <v>0</v>
      </c>
      <c r="M44" s="87" t="n">
        <v>0</v>
      </c>
      <c r="N44" s="87" t="n">
        <v>0</v>
      </c>
      <c r="O44" s="87" t="n">
        <v>0</v>
      </c>
      <c r="P44" s="88" t="n">
        <v>0</v>
      </c>
      <c r="Q44" s="87" t="n">
        <v>0</v>
      </c>
      <c r="R44" s="87" t="n">
        <v>0</v>
      </c>
      <c r="S44" s="87" t="n">
        <v>0</v>
      </c>
      <c r="T44" s="88" t="n">
        <v>0</v>
      </c>
      <c r="U44" s="87" t="n">
        <v>0</v>
      </c>
      <c r="V44" s="88" t="n">
        <v>0</v>
      </c>
      <c r="W44" s="87" t="n">
        <v>0</v>
      </c>
      <c r="X44" s="88" t="n">
        <v>0</v>
      </c>
      <c r="Y44" s="87" t="n">
        <v>0</v>
      </c>
      <c r="Z44" s="90" t="n">
        <v>0</v>
      </c>
      <c r="AA44" s="87" t="n">
        <v>0</v>
      </c>
      <c r="AB44" s="88" t="n">
        <v>0</v>
      </c>
      <c r="AC44" s="87" t="n">
        <v>0</v>
      </c>
      <c r="AD44" s="88" t="n">
        <v>0</v>
      </c>
      <c r="AE44" s="87" t="n">
        <v>0</v>
      </c>
      <c r="AF44" s="88" t="n">
        <v>0</v>
      </c>
      <c r="AG44" s="87" t="n">
        <v>0</v>
      </c>
      <c r="AH44" s="88" t="n">
        <v>0</v>
      </c>
      <c r="AI44" s="91" t="n">
        <v>0</v>
      </c>
      <c r="AJ44" s="88" t="n">
        <v>0</v>
      </c>
      <c r="AK44" s="91" t="n">
        <v>0</v>
      </c>
      <c r="AL44" s="88" t="n">
        <v>0</v>
      </c>
      <c r="AM44" s="91" t="n">
        <v>0</v>
      </c>
      <c r="AN44" s="91" t="n">
        <v>0</v>
      </c>
      <c r="AO44" s="88" t="n">
        <v>0</v>
      </c>
      <c r="AP44" s="88" t="n">
        <v>0</v>
      </c>
      <c r="AQ44" s="89" t="n"/>
      <c r="AR44" s="89" t="inlineStr">
        <is>
          <t>0.0%</t>
        </is>
      </c>
      <c r="AS44" s="89" t="inlineStr">
        <is>
          <t>0.0%</t>
        </is>
      </c>
      <c r="AT44" s="91" t="n">
        <v>0</v>
      </c>
      <c r="AU44" s="91" t="n">
        <v>0</v>
      </c>
      <c r="AV44" s="91" t="n">
        <v>0</v>
      </c>
      <c r="AW44" s="91" t="n">
        <v>0</v>
      </c>
      <c r="AX44" s="91" t="n">
        <v>0</v>
      </c>
      <c r="AY44" s="91" t="n">
        <v>0</v>
      </c>
      <c r="AZ44" s="88" t="n">
        <v>0</v>
      </c>
      <c r="BA44" s="88" t="n">
        <v>0</v>
      </c>
      <c r="BB44" s="88" t="n">
        <v>0</v>
      </c>
      <c r="BC44" s="88" t="n">
        <v>0</v>
      </c>
      <c r="BD44" s="91" t="n">
        <v>0</v>
      </c>
      <c r="BE44" s="91" t="n">
        <v>0</v>
      </c>
      <c r="BF44" s="89" t="inlineStr">
        <is>
          <t>-</t>
        </is>
      </c>
      <c r="BG44" s="89" t="inlineStr">
        <is>
          <t>-</t>
        </is>
      </c>
      <c r="BH44" s="89" t="inlineStr">
        <is>
          <t>-</t>
        </is>
      </c>
    </row>
    <row r="45" ht="19.55" customHeight="1">
      <c r="A45" s="92" t="n">
        <v>42</v>
      </c>
      <c r="B45" s="87" t="inlineStr">
        <is>
          <t>全国</t>
        </is>
      </c>
      <c r="C45" s="93" t="n">
        <v>45909</v>
      </c>
      <c r="D45" s="87" t="inlineStr">
        <is>
          <t>N6</t>
        </is>
      </c>
      <c r="E45" s="87" t="n">
        <v>94</v>
      </c>
      <c r="F45" s="87" t="n">
        <v>84</v>
      </c>
      <c r="G45" s="88" t="n">
        <v>0.8936170212765957</v>
      </c>
      <c r="H45" s="87" t="n">
        <v>32</v>
      </c>
      <c r="I45" s="89" t="n">
        <v>0.3404255319148936</v>
      </c>
      <c r="J45" s="87" t="n">
        <v>37</v>
      </c>
      <c r="K45" s="87" t="n">
        <v>37</v>
      </c>
      <c r="L45" s="88" t="n">
        <v>1</v>
      </c>
      <c r="M45" s="87" t="n">
        <v>58</v>
      </c>
      <c r="N45" s="87" t="n">
        <v>0</v>
      </c>
      <c r="O45" s="87" t="n">
        <v>57</v>
      </c>
      <c r="P45" s="88" t="n">
        <v>0.9827586206896551</v>
      </c>
      <c r="Q45" s="87" t="n">
        <v>0</v>
      </c>
      <c r="R45" s="87" t="n">
        <v>0</v>
      </c>
      <c r="S45" s="87" t="n">
        <v>0</v>
      </c>
      <c r="T45" s="88" t="n">
        <v>0</v>
      </c>
      <c r="U45" s="87" t="n">
        <v>0</v>
      </c>
      <c r="V45" s="88" t="n">
        <v>0</v>
      </c>
      <c r="W45" s="87" t="n">
        <v>0</v>
      </c>
      <c r="X45" s="88" t="n">
        <v>0</v>
      </c>
      <c r="Y45" s="87" t="n">
        <v>0</v>
      </c>
      <c r="Z45" s="90" t="n">
        <v>0</v>
      </c>
      <c r="AA45" s="87" t="n">
        <v>0</v>
      </c>
      <c r="AB45" s="88" t="n">
        <v>0</v>
      </c>
      <c r="AC45" s="87" t="n">
        <v>17</v>
      </c>
      <c r="AD45" s="88" t="n">
        <v>0.1808510638297872</v>
      </c>
      <c r="AE45" s="87" t="n">
        <v>1</v>
      </c>
      <c r="AF45" s="88" t="n">
        <v>0.05882352941176471</v>
      </c>
      <c r="AG45" s="87" t="n">
        <v>14</v>
      </c>
      <c r="AH45" s="88" t="n">
        <v>0.8235294117647058</v>
      </c>
      <c r="AI45" s="91" t="n">
        <v>0</v>
      </c>
      <c r="AJ45" s="88" t="n">
        <v>0</v>
      </c>
      <c r="AK45" s="91" t="n">
        <v>0</v>
      </c>
      <c r="AL45" s="88" t="n">
        <v>0</v>
      </c>
      <c r="AM45" s="91" t="n">
        <v>0</v>
      </c>
      <c r="AN45" s="91" t="n">
        <v>0</v>
      </c>
      <c r="AO45" s="88" t="n">
        <v>0</v>
      </c>
      <c r="AP45" s="88" t="n">
        <v>0</v>
      </c>
      <c r="AQ45" s="89" t="n"/>
      <c r="AR45" s="89" t="n">
        <v>0</v>
      </c>
      <c r="AS45" s="89" t="n">
        <v>0</v>
      </c>
      <c r="AT45" s="91" t="n">
        <v>0</v>
      </c>
      <c r="AU45" s="91" t="n">
        <v>0</v>
      </c>
      <c r="AV45" s="91" t="n">
        <v>0</v>
      </c>
      <c r="AW45" s="91" t="n">
        <v>0</v>
      </c>
      <c r="AX45" s="91" t="n">
        <v>0</v>
      </c>
      <c r="AY45" s="91" t="n">
        <v>0</v>
      </c>
      <c r="AZ45" s="88" t="n">
        <v>0</v>
      </c>
      <c r="BA45" s="88" t="n">
        <v>0</v>
      </c>
      <c r="BB45" s="88" t="n">
        <v>0</v>
      </c>
      <c r="BC45" s="88" t="n">
        <v>0</v>
      </c>
      <c r="BD45" s="91" t="n">
        <v>0</v>
      </c>
      <c r="BE45" s="91" t="n">
        <v>0</v>
      </c>
      <c r="BF45" s="89" t="inlineStr">
        <is>
          <t>-</t>
        </is>
      </c>
      <c r="BG45" s="89" t="inlineStr">
        <is>
          <t>-</t>
        </is>
      </c>
      <c r="BH45" s="89" t="inlineStr">
        <is>
          <t>-</t>
        </is>
      </c>
    </row>
    <row r="46" ht="19.55" customHeight="1">
      <c r="A46" s="92" t="n">
        <v>43</v>
      </c>
      <c r="B46" s="87" t="inlineStr">
        <is>
          <t>全国</t>
        </is>
      </c>
      <c r="C46" s="93" t="n">
        <v>45909</v>
      </c>
      <c r="D46" s="87" t="inlineStr">
        <is>
          <t>N7</t>
        </is>
      </c>
      <c r="E46" s="87" t="n">
        <v>7164</v>
      </c>
      <c r="F46" s="87" t="n">
        <v>5648</v>
      </c>
      <c r="G46" s="88" t="n">
        <v>0.7883863763260748</v>
      </c>
      <c r="H46" s="87" t="n">
        <v>3127</v>
      </c>
      <c r="I46" s="89" t="n">
        <v>0.4364879955332217</v>
      </c>
      <c r="J46" s="87" t="n">
        <v>5261</v>
      </c>
      <c r="K46" s="87" t="n">
        <v>5032</v>
      </c>
      <c r="L46" s="88" t="n">
        <v>0.956</v>
      </c>
      <c r="M46" s="87" t="n">
        <v>6015</v>
      </c>
      <c r="N46" s="87" t="n">
        <v>0</v>
      </c>
      <c r="O46" s="87" t="n">
        <v>5743</v>
      </c>
      <c r="P46" s="88" t="n">
        <v>0.9547797173732335</v>
      </c>
      <c r="Q46" s="87" t="n">
        <v>9</v>
      </c>
      <c r="R46" s="87" t="n">
        <v>0</v>
      </c>
      <c r="S46" s="87" t="n">
        <v>0</v>
      </c>
      <c r="T46" s="88" t="n">
        <v>0</v>
      </c>
      <c r="U46" s="87" t="n">
        <v>0</v>
      </c>
      <c r="V46" s="88" t="n">
        <v>0</v>
      </c>
      <c r="W46" s="87" t="n">
        <v>1312</v>
      </c>
      <c r="X46" s="88" t="n">
        <v>0.1831379117811279</v>
      </c>
      <c r="Y46" s="87" t="n">
        <v>848</v>
      </c>
      <c r="Z46" s="90" t="n">
        <v>0.1183696259073144</v>
      </c>
      <c r="AA46" s="87" t="n">
        <v>227</v>
      </c>
      <c r="AB46" s="88" t="n">
        <v>0.03168620882188721</v>
      </c>
      <c r="AC46" s="87" t="n">
        <v>1073</v>
      </c>
      <c r="AD46" s="88" t="n">
        <v>0.1497766610831937</v>
      </c>
      <c r="AE46" s="87" t="n">
        <v>83</v>
      </c>
      <c r="AF46" s="88" t="n">
        <v>0.07735321528424977</v>
      </c>
      <c r="AG46" s="87" t="n">
        <v>523</v>
      </c>
      <c r="AH46" s="88" t="n">
        <v>0.4874184529356943</v>
      </c>
      <c r="AI46" s="91" t="n">
        <v>1088</v>
      </c>
      <c r="AJ46" s="88" t="n">
        <v>0.1518704634282524</v>
      </c>
      <c r="AK46" s="91" t="n">
        <v>54</v>
      </c>
      <c r="AL46" s="88" t="n">
        <v>0.8106617647058824</v>
      </c>
      <c r="AM46" s="91" t="n">
        <v>1050</v>
      </c>
      <c r="AN46" s="91" t="n">
        <v>882</v>
      </c>
      <c r="AO46" s="88" t="n">
        <v>0.1231155778894472</v>
      </c>
      <c r="AP46" s="88" t="n">
        <v>0.8219944082013048</v>
      </c>
      <c r="AQ46" s="89" t="n">
        <v>0</v>
      </c>
      <c r="AR46" s="89" t="n">
        <v>0.01853486319505737</v>
      </c>
      <c r="AS46" s="89" t="n">
        <v>0.01853486319505737</v>
      </c>
      <c r="AT46" s="91" t="n">
        <v>0</v>
      </c>
      <c r="AU46" s="91" t="n">
        <v>0</v>
      </c>
      <c r="AV46" s="91" t="n">
        <v>162</v>
      </c>
      <c r="AW46" s="91" t="n">
        <v>122</v>
      </c>
      <c r="AX46" s="91" t="n">
        <v>125</v>
      </c>
      <c r="AY46" s="91" t="n">
        <v>315</v>
      </c>
      <c r="AZ46" s="88" t="n">
        <v>0.01702959240647683</v>
      </c>
      <c r="BA46" s="88" t="n">
        <v>0.01744835287548855</v>
      </c>
      <c r="BB46" s="88" t="n">
        <v>0.04396984924623116</v>
      </c>
      <c r="BC46" s="88" t="n">
        <v>0.1417233560090703</v>
      </c>
      <c r="BD46" s="91" t="n">
        <v>0</v>
      </c>
      <c r="BE46" s="91" t="n">
        <v>0</v>
      </c>
      <c r="BF46" s="89" t="n">
        <v>0.9838709677419355</v>
      </c>
      <c r="BG46" s="89" t="n">
        <v>1</v>
      </c>
      <c r="BH46" s="89" t="inlineStr">
        <is>
          <t>-</t>
        </is>
      </c>
    </row>
    <row r="47" ht="19.55" customHeight="1">
      <c r="A47" s="92" t="n">
        <v>44</v>
      </c>
      <c r="B47" s="87" t="inlineStr">
        <is>
          <t>全国</t>
        </is>
      </c>
      <c r="C47" s="93" t="n">
        <v>45909</v>
      </c>
      <c r="D47" s="87" t="inlineStr">
        <is>
          <t>NX8</t>
        </is>
      </c>
      <c r="E47" s="87" t="n">
        <v>125</v>
      </c>
      <c r="F47" s="87" t="n">
        <v>114</v>
      </c>
      <c r="G47" s="88" t="n">
        <v>0.912</v>
      </c>
      <c r="H47" s="87" t="n">
        <v>60</v>
      </c>
      <c r="I47" s="89" t="n">
        <v>0.48</v>
      </c>
      <c r="J47" s="87" t="n">
        <v>34</v>
      </c>
      <c r="K47" s="87" t="n">
        <v>34</v>
      </c>
      <c r="L47" s="88" t="n">
        <v>1</v>
      </c>
      <c r="M47" s="87" t="n">
        <v>50</v>
      </c>
      <c r="N47" s="87" t="n">
        <v>0</v>
      </c>
      <c r="O47" s="87" t="n">
        <v>49</v>
      </c>
      <c r="P47" s="88" t="n">
        <v>0.98</v>
      </c>
      <c r="Q47" s="87" t="n">
        <v>0</v>
      </c>
      <c r="R47" s="87" t="n">
        <v>0</v>
      </c>
      <c r="S47" s="87" t="n">
        <v>0</v>
      </c>
      <c r="T47" s="88" t="n">
        <v>0</v>
      </c>
      <c r="U47" s="87" t="n">
        <v>0</v>
      </c>
      <c r="V47" s="88" t="n">
        <v>0</v>
      </c>
      <c r="W47" s="87" t="n">
        <v>0</v>
      </c>
      <c r="X47" s="88" t="n">
        <v>0</v>
      </c>
      <c r="Y47" s="87" t="n">
        <v>0</v>
      </c>
      <c r="Z47" s="90" t="n">
        <v>0</v>
      </c>
      <c r="AA47" s="87" t="n">
        <v>0</v>
      </c>
      <c r="AB47" s="88" t="n">
        <v>0</v>
      </c>
      <c r="AC47" s="87" t="n">
        <v>40</v>
      </c>
      <c r="AD47" s="88" t="n">
        <v>0.32</v>
      </c>
      <c r="AE47" s="87" t="n">
        <v>8</v>
      </c>
      <c r="AF47" s="88" t="n">
        <v>0.2</v>
      </c>
      <c r="AG47" s="87" t="n">
        <v>29</v>
      </c>
      <c r="AH47" s="88" t="n">
        <v>0.725</v>
      </c>
      <c r="AI47" s="91" t="n">
        <v>0</v>
      </c>
      <c r="AJ47" s="88" t="n">
        <v>0</v>
      </c>
      <c r="AK47" s="91" t="n">
        <v>0</v>
      </c>
      <c r="AL47" s="88" t="n">
        <v>0</v>
      </c>
      <c r="AM47" s="91" t="n">
        <v>0</v>
      </c>
      <c r="AN47" s="91" t="n">
        <v>0</v>
      </c>
      <c r="AO47" s="88" t="n">
        <v>0</v>
      </c>
      <c r="AP47" s="88" t="n">
        <v>0</v>
      </c>
      <c r="AQ47" s="89" t="n"/>
      <c r="AR47" s="89" t="n">
        <v>0</v>
      </c>
      <c r="AS47" s="89" t="n">
        <v>0</v>
      </c>
      <c r="AT47" s="91" t="n">
        <v>0</v>
      </c>
      <c r="AU47" s="91" t="n">
        <v>0</v>
      </c>
      <c r="AV47" s="91" t="n">
        <v>0</v>
      </c>
      <c r="AW47" s="91" t="n">
        <v>0</v>
      </c>
      <c r="AX47" s="91" t="n">
        <v>0</v>
      </c>
      <c r="AY47" s="91" t="n">
        <v>0</v>
      </c>
      <c r="AZ47" s="88" t="n">
        <v>0</v>
      </c>
      <c r="BA47" s="88" t="n">
        <v>0</v>
      </c>
      <c r="BB47" s="88" t="n">
        <v>0</v>
      </c>
      <c r="BC47" s="88" t="n">
        <v>0</v>
      </c>
      <c r="BD47" s="91" t="n">
        <v>0</v>
      </c>
      <c r="BE47" s="91" t="n">
        <v>0</v>
      </c>
      <c r="BF47" s="89" t="inlineStr">
        <is>
          <t>-</t>
        </is>
      </c>
      <c r="BG47" s="89" t="inlineStr">
        <is>
          <t>-</t>
        </is>
      </c>
      <c r="BH47" s="89" t="inlineStr">
        <is>
          <t>-</t>
        </is>
      </c>
    </row>
    <row r="48" ht="19.55" customHeight="1">
      <c r="A48" s="92" t="n">
        <v>45</v>
      </c>
      <c r="B48" s="87" t="inlineStr">
        <is>
          <t>全国</t>
        </is>
      </c>
      <c r="C48" s="93" t="n">
        <v>45909</v>
      </c>
      <c r="D48" s="87" t="inlineStr">
        <is>
          <t>天籁·鸿蒙座舱</t>
        </is>
      </c>
      <c r="E48" s="87" t="n">
        <v>93</v>
      </c>
      <c r="F48" s="87" t="n">
        <v>88</v>
      </c>
      <c r="G48" s="88" t="n">
        <v>0.946236559139785</v>
      </c>
      <c r="H48" s="87" t="n">
        <v>61</v>
      </c>
      <c r="I48" s="89" t="n">
        <v>0.6559139784946236</v>
      </c>
      <c r="J48" s="87" t="n">
        <v>39</v>
      </c>
      <c r="K48" s="87" t="n">
        <v>36</v>
      </c>
      <c r="L48" s="88" t="n">
        <v>0.923</v>
      </c>
      <c r="M48" s="87" t="n">
        <v>73</v>
      </c>
      <c r="N48" s="87" t="n">
        <v>0</v>
      </c>
      <c r="O48" s="87" t="n">
        <v>69</v>
      </c>
      <c r="P48" s="88" t="n">
        <v>0.9452054794520548</v>
      </c>
      <c r="Q48" s="87" t="n">
        <v>0</v>
      </c>
      <c r="R48" s="87" t="n">
        <v>0</v>
      </c>
      <c r="S48" s="87" t="n">
        <v>0</v>
      </c>
      <c r="T48" s="88" t="n">
        <v>0</v>
      </c>
      <c r="U48" s="87" t="n">
        <v>0</v>
      </c>
      <c r="V48" s="88" t="n">
        <v>0</v>
      </c>
      <c r="W48" s="87" t="n">
        <v>0</v>
      </c>
      <c r="X48" s="88" t="n">
        <v>0</v>
      </c>
      <c r="Y48" s="87" t="n">
        <v>0</v>
      </c>
      <c r="Z48" s="90" t="n">
        <v>0</v>
      </c>
      <c r="AA48" s="87" t="n">
        <v>0</v>
      </c>
      <c r="AB48" s="88" t="n">
        <v>0</v>
      </c>
      <c r="AC48" s="87" t="n">
        <v>13</v>
      </c>
      <c r="AD48" s="88" t="n">
        <v>0.1397849462365591</v>
      </c>
      <c r="AE48" s="87" t="n">
        <v>3</v>
      </c>
      <c r="AF48" s="88" t="n">
        <v>0.2307692307692308</v>
      </c>
      <c r="AG48" s="87" t="n">
        <v>8</v>
      </c>
      <c r="AH48" s="88" t="n">
        <v>0.6153846153846154</v>
      </c>
      <c r="AI48" s="91" t="n">
        <v>0</v>
      </c>
      <c r="AJ48" s="88" t="n">
        <v>0</v>
      </c>
      <c r="AK48" s="91" t="n">
        <v>0</v>
      </c>
      <c r="AL48" s="88" t="n">
        <v>0</v>
      </c>
      <c r="AM48" s="91" t="n">
        <v>0</v>
      </c>
      <c r="AN48" s="91" t="n">
        <v>0</v>
      </c>
      <c r="AO48" s="88" t="n">
        <v>0</v>
      </c>
      <c r="AP48" s="88" t="n">
        <v>0</v>
      </c>
      <c r="AQ48" s="89" t="n"/>
      <c r="AR48" s="89" t="n">
        <v>0</v>
      </c>
      <c r="AS48" s="89" t="n">
        <v>0</v>
      </c>
      <c r="AT48" s="91" t="n">
        <v>0</v>
      </c>
      <c r="AU48" s="91" t="n">
        <v>0</v>
      </c>
      <c r="AV48" s="91" t="n">
        <v>0</v>
      </c>
      <c r="AW48" s="91" t="n">
        <v>0</v>
      </c>
      <c r="AX48" s="91" t="n">
        <v>0</v>
      </c>
      <c r="AY48" s="91" t="n">
        <v>0</v>
      </c>
      <c r="AZ48" s="88" t="n">
        <v>0</v>
      </c>
      <c r="BA48" s="88" t="n">
        <v>0</v>
      </c>
      <c r="BB48" s="88" t="n">
        <v>0</v>
      </c>
      <c r="BC48" s="88" t="n">
        <v>0</v>
      </c>
      <c r="BD48" s="91" t="n">
        <v>0</v>
      </c>
      <c r="BE48" s="91" t="n">
        <v>0</v>
      </c>
      <c r="BF48" s="89" t="inlineStr">
        <is>
          <t>-</t>
        </is>
      </c>
      <c r="BG48" s="89" t="inlineStr">
        <is>
          <t>-</t>
        </is>
      </c>
      <c r="BH48" s="89" t="inlineStr">
        <is>
          <t>-</t>
        </is>
      </c>
    </row>
    <row r="49" ht="19.55" customHeight="1">
      <c r="A49" s="92" t="n">
        <v>46</v>
      </c>
      <c r="B49" s="87" t="inlineStr">
        <is>
          <t>全国</t>
        </is>
      </c>
      <c r="C49" s="93" t="n">
        <v>45910</v>
      </c>
      <c r="D49" s="87" t="inlineStr">
        <is>
          <t>2026款探陆</t>
        </is>
      </c>
      <c r="E49" s="87" t="n">
        <v>2</v>
      </c>
      <c r="F49" s="87" t="n">
        <v>2</v>
      </c>
      <c r="G49" s="88" t="n">
        <v>1</v>
      </c>
      <c r="H49" s="87" t="n">
        <v>1</v>
      </c>
      <c r="I49" s="89" t="n">
        <v>0.5</v>
      </c>
      <c r="J49" s="87" t="n">
        <v>1</v>
      </c>
      <c r="K49" s="87" t="n">
        <v>1</v>
      </c>
      <c r="L49" s="88" t="n">
        <v>1</v>
      </c>
      <c r="M49" s="87" t="n">
        <v>1</v>
      </c>
      <c r="N49" s="87" t="n">
        <v>0</v>
      </c>
      <c r="O49" s="87" t="n">
        <v>1</v>
      </c>
      <c r="P49" s="88" t="n">
        <v>1</v>
      </c>
      <c r="Q49" s="87" t="n">
        <v>0</v>
      </c>
      <c r="R49" s="87" t="n">
        <v>0</v>
      </c>
      <c r="S49" s="87" t="n">
        <v>0</v>
      </c>
      <c r="T49" s="88" t="n">
        <v>0</v>
      </c>
      <c r="U49" s="87" t="n">
        <v>0</v>
      </c>
      <c r="V49" s="88" t="n">
        <v>0</v>
      </c>
      <c r="W49" s="87" t="n">
        <v>0</v>
      </c>
      <c r="X49" s="88" t="n">
        <v>0</v>
      </c>
      <c r="Y49" s="87" t="n">
        <v>0</v>
      </c>
      <c r="Z49" s="90" t="n">
        <v>0</v>
      </c>
      <c r="AA49" s="87" t="n">
        <v>0</v>
      </c>
      <c r="AB49" s="88" t="n">
        <v>0</v>
      </c>
      <c r="AC49" s="87" t="n">
        <v>1</v>
      </c>
      <c r="AD49" s="88" t="n">
        <v>0.5</v>
      </c>
      <c r="AE49" s="87" t="n">
        <v>0</v>
      </c>
      <c r="AF49" s="88" t="n">
        <v>0</v>
      </c>
      <c r="AG49" s="87" t="n">
        <v>0</v>
      </c>
      <c r="AH49" s="88" t="n">
        <v>0</v>
      </c>
      <c r="AI49" s="91" t="n">
        <v>0</v>
      </c>
      <c r="AJ49" s="88" t="n">
        <v>0</v>
      </c>
      <c r="AK49" s="91" t="n">
        <v>0</v>
      </c>
      <c r="AL49" s="88" t="n">
        <v>0</v>
      </c>
      <c r="AM49" s="91" t="n">
        <v>0</v>
      </c>
      <c r="AN49" s="91" t="n">
        <v>0</v>
      </c>
      <c r="AO49" s="88" t="n">
        <v>0</v>
      </c>
      <c r="AP49" s="88" t="n">
        <v>0</v>
      </c>
      <c r="AQ49" s="89" t="n"/>
      <c r="AR49" s="89" t="inlineStr">
        <is>
          <t>0.0%</t>
        </is>
      </c>
      <c r="AS49" s="89" t="inlineStr">
        <is>
          <t>0.0%</t>
        </is>
      </c>
      <c r="AT49" s="91" t="n">
        <v>0</v>
      </c>
      <c r="AU49" s="91" t="n">
        <v>0</v>
      </c>
      <c r="AV49" s="91" t="n">
        <v>0</v>
      </c>
      <c r="AW49" s="91" t="n">
        <v>0</v>
      </c>
      <c r="AX49" s="91" t="n">
        <v>0</v>
      </c>
      <c r="AY49" s="91" t="n">
        <v>0</v>
      </c>
      <c r="AZ49" s="88" t="n">
        <v>0</v>
      </c>
      <c r="BA49" s="88" t="n">
        <v>0</v>
      </c>
      <c r="BB49" s="88" t="n">
        <v>0</v>
      </c>
      <c r="BC49" s="88" t="n">
        <v>0</v>
      </c>
      <c r="BD49" s="91" t="n">
        <v>0</v>
      </c>
      <c r="BE49" s="91" t="n">
        <v>0</v>
      </c>
      <c r="BF49" s="89" t="inlineStr">
        <is>
          <t>-</t>
        </is>
      </c>
      <c r="BG49" s="89" t="inlineStr">
        <is>
          <t>-</t>
        </is>
      </c>
      <c r="BH49" s="89" t="inlineStr">
        <is>
          <t>-</t>
        </is>
      </c>
    </row>
    <row r="50" ht="19.55" customHeight="1">
      <c r="A50" s="92" t="n">
        <v>47</v>
      </c>
      <c r="B50" s="87" t="inlineStr">
        <is>
          <t>全国</t>
        </is>
      </c>
      <c r="C50" s="93" t="n">
        <v>45910</v>
      </c>
      <c r="D50" s="87" t="inlineStr">
        <is>
          <t>N6</t>
        </is>
      </c>
      <c r="E50" s="87" t="n">
        <v>80</v>
      </c>
      <c r="F50" s="87" t="n">
        <v>68</v>
      </c>
      <c r="G50" s="88" t="n">
        <v>0.85</v>
      </c>
      <c r="H50" s="87" t="n">
        <v>39</v>
      </c>
      <c r="I50" s="89" t="n">
        <v>0.4875</v>
      </c>
      <c r="J50" s="87" t="n">
        <v>55</v>
      </c>
      <c r="K50" s="87" t="n">
        <v>52</v>
      </c>
      <c r="L50" s="88" t="n">
        <v>0.945</v>
      </c>
      <c r="M50" s="87" t="n">
        <v>80</v>
      </c>
      <c r="N50" s="87" t="n">
        <v>0</v>
      </c>
      <c r="O50" s="87" t="n">
        <v>73</v>
      </c>
      <c r="P50" s="88" t="n">
        <v>0.9125</v>
      </c>
      <c r="Q50" s="87" t="n">
        <v>0</v>
      </c>
      <c r="R50" s="87" t="n">
        <v>0</v>
      </c>
      <c r="S50" s="87" t="n">
        <v>0</v>
      </c>
      <c r="T50" s="88" t="n">
        <v>0</v>
      </c>
      <c r="U50" s="87" t="n">
        <v>0</v>
      </c>
      <c r="V50" s="88" t="n">
        <v>0</v>
      </c>
      <c r="W50" s="87" t="n">
        <v>0</v>
      </c>
      <c r="X50" s="88" t="n">
        <v>0</v>
      </c>
      <c r="Y50" s="87" t="n">
        <v>0</v>
      </c>
      <c r="Z50" s="90" t="n">
        <v>0</v>
      </c>
      <c r="AA50" s="87" t="n">
        <v>0</v>
      </c>
      <c r="AB50" s="88" t="n">
        <v>0</v>
      </c>
      <c r="AC50" s="87" t="n">
        <v>15</v>
      </c>
      <c r="AD50" s="88" t="n">
        <v>0.1875</v>
      </c>
      <c r="AE50" s="87" t="n">
        <v>1</v>
      </c>
      <c r="AF50" s="88" t="n">
        <v>0.06666666666666667</v>
      </c>
      <c r="AG50" s="87" t="n">
        <v>12</v>
      </c>
      <c r="AH50" s="88" t="n">
        <v>0.8</v>
      </c>
      <c r="AI50" s="91" t="n">
        <v>0</v>
      </c>
      <c r="AJ50" s="88" t="n">
        <v>0</v>
      </c>
      <c r="AK50" s="91" t="n">
        <v>0</v>
      </c>
      <c r="AL50" s="88" t="n">
        <v>0</v>
      </c>
      <c r="AM50" s="91" t="n">
        <v>0</v>
      </c>
      <c r="AN50" s="91" t="n">
        <v>0</v>
      </c>
      <c r="AO50" s="88" t="n">
        <v>0</v>
      </c>
      <c r="AP50" s="88" t="n">
        <v>0</v>
      </c>
      <c r="AQ50" s="89" t="n"/>
      <c r="AR50" s="89" t="n">
        <v>0</v>
      </c>
      <c r="AS50" s="89" t="n">
        <v>0</v>
      </c>
      <c r="AT50" s="91" t="n">
        <v>0</v>
      </c>
      <c r="AU50" s="91" t="n">
        <v>0</v>
      </c>
      <c r="AV50" s="91" t="n">
        <v>0</v>
      </c>
      <c r="AW50" s="91" t="n">
        <v>0</v>
      </c>
      <c r="AX50" s="91" t="n">
        <v>0</v>
      </c>
      <c r="AY50" s="91" t="n">
        <v>0</v>
      </c>
      <c r="AZ50" s="88" t="n">
        <v>0</v>
      </c>
      <c r="BA50" s="88" t="n">
        <v>0</v>
      </c>
      <c r="BB50" s="88" t="n">
        <v>0</v>
      </c>
      <c r="BC50" s="88" t="n">
        <v>0</v>
      </c>
      <c r="BD50" s="91" t="n">
        <v>0</v>
      </c>
      <c r="BE50" s="91" t="n">
        <v>0</v>
      </c>
      <c r="BF50" s="89" t="inlineStr">
        <is>
          <t>-</t>
        </is>
      </c>
      <c r="BG50" s="89" t="inlineStr">
        <is>
          <t>-</t>
        </is>
      </c>
      <c r="BH50" s="89" t="inlineStr">
        <is>
          <t>-</t>
        </is>
      </c>
    </row>
    <row r="51" ht="19.55" customHeight="1">
      <c r="A51" s="92" t="n">
        <v>48</v>
      </c>
      <c r="B51" s="87" t="inlineStr">
        <is>
          <t>全国</t>
        </is>
      </c>
      <c r="C51" s="93" t="n">
        <v>45910</v>
      </c>
      <c r="D51" s="87" t="inlineStr">
        <is>
          <t>N7</t>
        </is>
      </c>
      <c r="E51" s="87" t="n">
        <v>5949</v>
      </c>
      <c r="F51" s="87" t="n">
        <v>4739</v>
      </c>
      <c r="G51" s="88" t="n">
        <v>0.796604471339721</v>
      </c>
      <c r="H51" s="87" t="n">
        <v>3026</v>
      </c>
      <c r="I51" s="89" t="n">
        <v>0.5086569171289292</v>
      </c>
      <c r="J51" s="87" t="n">
        <v>4447</v>
      </c>
      <c r="K51" s="87" t="n">
        <v>4299</v>
      </c>
      <c r="L51" s="88" t="n">
        <v>0.967</v>
      </c>
      <c r="M51" s="87" t="n">
        <v>6011</v>
      </c>
      <c r="N51" s="87" t="n">
        <v>0</v>
      </c>
      <c r="O51" s="87" t="n">
        <v>5824</v>
      </c>
      <c r="P51" s="88" t="n">
        <v>0.9688903676592913</v>
      </c>
      <c r="Q51" s="87" t="n">
        <v>12</v>
      </c>
      <c r="R51" s="87" t="n">
        <v>0</v>
      </c>
      <c r="S51" s="87" t="n">
        <v>0</v>
      </c>
      <c r="T51" s="88" t="n">
        <v>0</v>
      </c>
      <c r="U51" s="87" t="n">
        <v>0</v>
      </c>
      <c r="V51" s="88" t="n">
        <v>0</v>
      </c>
      <c r="W51" s="87" t="n">
        <v>1267</v>
      </c>
      <c r="X51" s="88" t="n">
        <v>0.2129769709194823</v>
      </c>
      <c r="Y51" s="87" t="n">
        <v>1052</v>
      </c>
      <c r="Z51" s="90" t="n">
        <v>0.1768364430996806</v>
      </c>
      <c r="AA51" s="87" t="n">
        <v>230</v>
      </c>
      <c r="AB51" s="88" t="n">
        <v>0.03866195999327618</v>
      </c>
      <c r="AC51" s="87" t="n">
        <v>1000</v>
      </c>
      <c r="AD51" s="88" t="n">
        <v>0.1680954782316356</v>
      </c>
      <c r="AE51" s="87" t="n">
        <v>57</v>
      </c>
      <c r="AF51" s="88" t="n">
        <v>0.057</v>
      </c>
      <c r="AG51" s="87" t="n">
        <v>510</v>
      </c>
      <c r="AH51" s="88" t="n">
        <v>0.51</v>
      </c>
      <c r="AI51" s="91" t="n">
        <v>1008</v>
      </c>
      <c r="AJ51" s="88" t="n">
        <v>0.1694402420574886</v>
      </c>
      <c r="AK51" s="91" t="n">
        <v>50</v>
      </c>
      <c r="AL51" s="88" t="n">
        <v>0.7996031746031746</v>
      </c>
      <c r="AM51" s="91" t="n">
        <v>959</v>
      </c>
      <c r="AN51" s="91" t="n">
        <v>806</v>
      </c>
      <c r="AO51" s="88" t="n">
        <v>0.1354849554546983</v>
      </c>
      <c r="AP51" s="88" t="n">
        <v>0.806</v>
      </c>
      <c r="AQ51" s="89" t="n">
        <v>0</v>
      </c>
      <c r="AR51" s="89" t="n">
        <v>0.02178217821782178</v>
      </c>
      <c r="AS51" s="89" t="n">
        <v>0.02178217821782178</v>
      </c>
      <c r="AT51" s="91" t="n">
        <v>0</v>
      </c>
      <c r="AU51" s="91" t="n">
        <v>0</v>
      </c>
      <c r="AV51" s="91" t="n">
        <v>130</v>
      </c>
      <c r="AW51" s="91" t="n">
        <v>101</v>
      </c>
      <c r="AX51" s="91" t="n">
        <v>114</v>
      </c>
      <c r="AY51" s="91" t="n">
        <v>231</v>
      </c>
      <c r="AZ51" s="88" t="n">
        <v>0.01697764330139519</v>
      </c>
      <c r="BA51" s="88" t="n">
        <v>0.01916288451840645</v>
      </c>
      <c r="BB51" s="88" t="n">
        <v>0.03883005547150781</v>
      </c>
      <c r="BC51" s="88" t="n">
        <v>0.141439205955335</v>
      </c>
      <c r="BD51" s="91" t="n">
        <v>0</v>
      </c>
      <c r="BE51" s="91" t="n">
        <v>2</v>
      </c>
      <c r="BF51" s="89" t="n">
        <v>0.8936170212765957</v>
      </c>
      <c r="BG51" s="89" t="n">
        <v>1</v>
      </c>
      <c r="BH51" s="89" t="inlineStr">
        <is>
          <t>-</t>
        </is>
      </c>
    </row>
    <row r="52" ht="19.55" customHeight="1">
      <c r="A52" s="92" t="n">
        <v>49</v>
      </c>
      <c r="B52" s="87" t="inlineStr">
        <is>
          <t>全国</t>
        </is>
      </c>
      <c r="C52" s="93" t="n">
        <v>45910</v>
      </c>
      <c r="D52" s="87" t="inlineStr">
        <is>
          <t>NX8</t>
        </is>
      </c>
      <c r="E52" s="87" t="n">
        <v>208</v>
      </c>
      <c r="F52" s="87" t="n">
        <v>190</v>
      </c>
      <c r="G52" s="88" t="n">
        <v>0.9134615384615384</v>
      </c>
      <c r="H52" s="87" t="n">
        <v>71</v>
      </c>
      <c r="I52" s="89" t="n">
        <v>0.3413461538461539</v>
      </c>
      <c r="J52" s="87" t="n">
        <v>39</v>
      </c>
      <c r="K52" s="87" t="n">
        <v>39</v>
      </c>
      <c r="L52" s="88" t="n">
        <v>1</v>
      </c>
      <c r="M52" s="87" t="n">
        <v>57</v>
      </c>
      <c r="N52" s="87" t="n">
        <v>0</v>
      </c>
      <c r="O52" s="87" t="n">
        <v>56</v>
      </c>
      <c r="P52" s="88" t="n">
        <v>0.9824561403508771</v>
      </c>
      <c r="Q52" s="87" t="n">
        <v>0</v>
      </c>
      <c r="R52" s="87" t="n">
        <v>0</v>
      </c>
      <c r="S52" s="87" t="n">
        <v>0</v>
      </c>
      <c r="T52" s="88" t="n">
        <v>0</v>
      </c>
      <c r="U52" s="87" t="n">
        <v>0</v>
      </c>
      <c r="V52" s="88" t="n">
        <v>0</v>
      </c>
      <c r="W52" s="87" t="n">
        <v>0</v>
      </c>
      <c r="X52" s="88" t="n">
        <v>0</v>
      </c>
      <c r="Y52" s="87" t="n">
        <v>0</v>
      </c>
      <c r="Z52" s="90" t="n">
        <v>0</v>
      </c>
      <c r="AA52" s="87" t="n">
        <v>0</v>
      </c>
      <c r="AB52" s="88" t="n">
        <v>0</v>
      </c>
      <c r="AC52" s="87" t="n">
        <v>39</v>
      </c>
      <c r="AD52" s="88" t="n">
        <v>0.1875</v>
      </c>
      <c r="AE52" s="87" t="n">
        <v>4</v>
      </c>
      <c r="AF52" s="88" t="n">
        <v>0.1025641025641026</v>
      </c>
      <c r="AG52" s="87" t="n">
        <v>30</v>
      </c>
      <c r="AH52" s="88" t="n">
        <v>0.7692307692307693</v>
      </c>
      <c r="AI52" s="91" t="n">
        <v>0</v>
      </c>
      <c r="AJ52" s="88" t="n">
        <v>0</v>
      </c>
      <c r="AK52" s="91" t="n">
        <v>0</v>
      </c>
      <c r="AL52" s="88" t="n">
        <v>0</v>
      </c>
      <c r="AM52" s="91" t="n">
        <v>0</v>
      </c>
      <c r="AN52" s="91" t="n">
        <v>0</v>
      </c>
      <c r="AO52" s="88" t="n">
        <v>0</v>
      </c>
      <c r="AP52" s="88" t="n">
        <v>0</v>
      </c>
      <c r="AQ52" s="89" t="n"/>
      <c r="AR52" s="89" t="n">
        <v>0</v>
      </c>
      <c r="AS52" s="89" t="n">
        <v>0</v>
      </c>
      <c r="AT52" s="91" t="n">
        <v>0</v>
      </c>
      <c r="AU52" s="91" t="n">
        <v>0</v>
      </c>
      <c r="AV52" s="91" t="n">
        <v>0</v>
      </c>
      <c r="AW52" s="91" t="n">
        <v>0</v>
      </c>
      <c r="AX52" s="91" t="n">
        <v>0</v>
      </c>
      <c r="AY52" s="91" t="n">
        <v>0</v>
      </c>
      <c r="AZ52" s="88" t="n">
        <v>0</v>
      </c>
      <c r="BA52" s="88" t="n">
        <v>0</v>
      </c>
      <c r="BB52" s="88" t="n">
        <v>0</v>
      </c>
      <c r="BC52" s="88" t="n">
        <v>0</v>
      </c>
      <c r="BD52" s="91" t="n">
        <v>0</v>
      </c>
      <c r="BE52" s="91" t="n">
        <v>0</v>
      </c>
      <c r="BF52" s="89" t="inlineStr">
        <is>
          <t>-</t>
        </is>
      </c>
      <c r="BG52" s="89" t="inlineStr">
        <is>
          <t>-</t>
        </is>
      </c>
      <c r="BH52" s="89" t="inlineStr">
        <is>
          <t>-</t>
        </is>
      </c>
    </row>
    <row r="53" ht="19.55" customHeight="1">
      <c r="A53" s="92" t="n">
        <v>50</v>
      </c>
      <c r="B53" s="87" t="inlineStr">
        <is>
          <t>全国</t>
        </is>
      </c>
      <c r="C53" s="93" t="n">
        <v>45910</v>
      </c>
      <c r="D53" s="87" t="inlineStr">
        <is>
          <t>天籁·鸿蒙座舱</t>
        </is>
      </c>
      <c r="E53" s="87" t="n">
        <v>82</v>
      </c>
      <c r="F53" s="87" t="n">
        <v>79</v>
      </c>
      <c r="G53" s="88" t="n">
        <v>0.9634146341463414</v>
      </c>
      <c r="H53" s="87" t="n">
        <v>50</v>
      </c>
      <c r="I53" s="89" t="n">
        <v>0.6097560975609756</v>
      </c>
      <c r="J53" s="87" t="n">
        <v>40</v>
      </c>
      <c r="K53" s="87" t="n">
        <v>36</v>
      </c>
      <c r="L53" s="88" t="n">
        <v>0.9</v>
      </c>
      <c r="M53" s="87" t="n">
        <v>64</v>
      </c>
      <c r="N53" s="87" t="n">
        <v>0</v>
      </c>
      <c r="O53" s="87" t="n">
        <v>58</v>
      </c>
      <c r="P53" s="88" t="n">
        <v>0.90625</v>
      </c>
      <c r="Q53" s="87" t="n">
        <v>0</v>
      </c>
      <c r="R53" s="87" t="n">
        <v>0</v>
      </c>
      <c r="S53" s="87" t="n">
        <v>0</v>
      </c>
      <c r="T53" s="88" t="n">
        <v>0</v>
      </c>
      <c r="U53" s="87" t="n">
        <v>0</v>
      </c>
      <c r="V53" s="88" t="n">
        <v>0</v>
      </c>
      <c r="W53" s="87" t="n">
        <v>0</v>
      </c>
      <c r="X53" s="88" t="n">
        <v>0</v>
      </c>
      <c r="Y53" s="87" t="n">
        <v>0</v>
      </c>
      <c r="Z53" s="90" t="n">
        <v>0</v>
      </c>
      <c r="AA53" s="87" t="n">
        <v>0</v>
      </c>
      <c r="AB53" s="88" t="n">
        <v>0</v>
      </c>
      <c r="AC53" s="87" t="n">
        <v>19</v>
      </c>
      <c r="AD53" s="88" t="n">
        <v>0.2317073170731707</v>
      </c>
      <c r="AE53" s="87" t="n">
        <v>5</v>
      </c>
      <c r="AF53" s="88" t="n">
        <v>0.2631578947368421</v>
      </c>
      <c r="AG53" s="87" t="n">
        <v>13</v>
      </c>
      <c r="AH53" s="88" t="n">
        <v>0.6842105263157895</v>
      </c>
      <c r="AI53" s="91" t="n">
        <v>0</v>
      </c>
      <c r="AJ53" s="88" t="n">
        <v>0</v>
      </c>
      <c r="AK53" s="91" t="n">
        <v>0</v>
      </c>
      <c r="AL53" s="88" t="n">
        <v>0</v>
      </c>
      <c r="AM53" s="91" t="n">
        <v>0</v>
      </c>
      <c r="AN53" s="91" t="n">
        <v>0</v>
      </c>
      <c r="AO53" s="88" t="n">
        <v>0</v>
      </c>
      <c r="AP53" s="88" t="n">
        <v>0</v>
      </c>
      <c r="AQ53" s="89" t="n"/>
      <c r="AR53" s="89" t="n">
        <v>0</v>
      </c>
      <c r="AS53" s="89" t="n">
        <v>0</v>
      </c>
      <c r="AT53" s="91" t="n">
        <v>0</v>
      </c>
      <c r="AU53" s="91" t="n">
        <v>0</v>
      </c>
      <c r="AV53" s="91" t="n">
        <v>0</v>
      </c>
      <c r="AW53" s="91" t="n">
        <v>0</v>
      </c>
      <c r="AX53" s="91" t="n">
        <v>0</v>
      </c>
      <c r="AY53" s="91" t="n">
        <v>0</v>
      </c>
      <c r="AZ53" s="88" t="n">
        <v>0</v>
      </c>
      <c r="BA53" s="88" t="n">
        <v>0</v>
      </c>
      <c r="BB53" s="88" t="n">
        <v>0</v>
      </c>
      <c r="BC53" s="88" t="n">
        <v>0</v>
      </c>
      <c r="BD53" s="91" t="n">
        <v>0</v>
      </c>
      <c r="BE53" s="91" t="n">
        <v>0</v>
      </c>
      <c r="BF53" s="89" t="inlineStr">
        <is>
          <t>-</t>
        </is>
      </c>
      <c r="BG53" s="89" t="inlineStr">
        <is>
          <t>-</t>
        </is>
      </c>
      <c r="BH53" s="89" t="inlineStr">
        <is>
          <t>-</t>
        </is>
      </c>
    </row>
    <row r="54" ht="19.55" customHeight="1">
      <c r="A54" s="92" t="n">
        <v>51</v>
      </c>
      <c r="B54" s="87" t="inlineStr">
        <is>
          <t>全国</t>
        </is>
      </c>
      <c r="C54" s="93" t="n">
        <v>45911</v>
      </c>
      <c r="D54" s="87" t="inlineStr">
        <is>
          <t>N6</t>
        </is>
      </c>
      <c r="E54" s="87" t="n">
        <v>61</v>
      </c>
      <c r="F54" s="87" t="n">
        <v>59</v>
      </c>
      <c r="G54" s="88" t="n">
        <v>0.9672131147540983</v>
      </c>
      <c r="H54" s="87" t="n">
        <v>39</v>
      </c>
      <c r="I54" s="89" t="n">
        <v>0.639344262295082</v>
      </c>
      <c r="J54" s="87" t="n">
        <v>36</v>
      </c>
      <c r="K54" s="87" t="n">
        <v>35</v>
      </c>
      <c r="L54" s="88" t="n">
        <v>0.972</v>
      </c>
      <c r="M54" s="87" t="n">
        <v>63</v>
      </c>
      <c r="N54" s="87" t="n">
        <v>0</v>
      </c>
      <c r="O54" s="87" t="n">
        <v>62</v>
      </c>
      <c r="P54" s="88" t="n">
        <v>0.9841269841269841</v>
      </c>
      <c r="Q54" s="87" t="n">
        <v>0</v>
      </c>
      <c r="R54" s="87" t="n">
        <v>0</v>
      </c>
      <c r="S54" s="87" t="n">
        <v>0</v>
      </c>
      <c r="T54" s="88" t="n">
        <v>0</v>
      </c>
      <c r="U54" s="87" t="n">
        <v>0</v>
      </c>
      <c r="V54" s="88" t="n">
        <v>0</v>
      </c>
      <c r="W54" s="87" t="n">
        <v>0</v>
      </c>
      <c r="X54" s="88" t="n">
        <v>0</v>
      </c>
      <c r="Y54" s="87" t="n">
        <v>0</v>
      </c>
      <c r="Z54" s="90" t="n">
        <v>0</v>
      </c>
      <c r="AA54" s="87" t="n">
        <v>0</v>
      </c>
      <c r="AB54" s="88" t="n">
        <v>0</v>
      </c>
      <c r="AC54" s="87" t="n">
        <v>17</v>
      </c>
      <c r="AD54" s="88" t="n">
        <v>0.2786885245901639</v>
      </c>
      <c r="AE54" s="87" t="n">
        <v>3</v>
      </c>
      <c r="AF54" s="88" t="n">
        <v>0.1764705882352941</v>
      </c>
      <c r="AG54" s="87" t="n">
        <v>10</v>
      </c>
      <c r="AH54" s="88" t="n">
        <v>0.5882352941176471</v>
      </c>
      <c r="AI54" s="91" t="n">
        <v>0</v>
      </c>
      <c r="AJ54" s="88" t="n">
        <v>0</v>
      </c>
      <c r="AK54" s="91" t="n">
        <v>0</v>
      </c>
      <c r="AL54" s="88" t="n">
        <v>0</v>
      </c>
      <c r="AM54" s="91" t="n">
        <v>0</v>
      </c>
      <c r="AN54" s="91" t="n">
        <v>0</v>
      </c>
      <c r="AO54" s="88" t="n">
        <v>0</v>
      </c>
      <c r="AP54" s="88" t="n">
        <v>0</v>
      </c>
      <c r="AQ54" s="89" t="n"/>
      <c r="AR54" s="89" t="n">
        <v>0</v>
      </c>
      <c r="AS54" s="89" t="n">
        <v>0</v>
      </c>
      <c r="AT54" s="91" t="n">
        <v>0</v>
      </c>
      <c r="AU54" s="91" t="n">
        <v>0</v>
      </c>
      <c r="AV54" s="91" t="n">
        <v>0</v>
      </c>
      <c r="AW54" s="91" t="n">
        <v>0</v>
      </c>
      <c r="AX54" s="91" t="n">
        <v>0</v>
      </c>
      <c r="AY54" s="91" t="n">
        <v>0</v>
      </c>
      <c r="AZ54" s="88" t="n">
        <v>0</v>
      </c>
      <c r="BA54" s="88" t="n">
        <v>0</v>
      </c>
      <c r="BB54" s="88" t="n">
        <v>0</v>
      </c>
      <c r="BC54" s="88" t="n">
        <v>0</v>
      </c>
      <c r="BD54" s="91" t="n">
        <v>0</v>
      </c>
      <c r="BE54" s="91" t="n">
        <v>0</v>
      </c>
      <c r="BF54" s="89" t="inlineStr">
        <is>
          <t>-</t>
        </is>
      </c>
      <c r="BG54" s="89" t="inlineStr">
        <is>
          <t>-</t>
        </is>
      </c>
      <c r="BH54" s="89" t="inlineStr">
        <is>
          <t>-</t>
        </is>
      </c>
    </row>
    <row r="55" ht="19.55" customHeight="1">
      <c r="A55" s="92" t="n">
        <v>52</v>
      </c>
      <c r="B55" s="87" t="inlineStr">
        <is>
          <t>全国</t>
        </is>
      </c>
      <c r="C55" s="93" t="n">
        <v>45911</v>
      </c>
      <c r="D55" s="87" t="inlineStr">
        <is>
          <t>N7</t>
        </is>
      </c>
      <c r="E55" s="87" t="n">
        <v>6259</v>
      </c>
      <c r="F55" s="87" t="n">
        <v>4992</v>
      </c>
      <c r="G55" s="88" t="n">
        <v>0.7975714970442562</v>
      </c>
      <c r="H55" s="87" t="n">
        <v>3250</v>
      </c>
      <c r="I55" s="89" t="n">
        <v>0.519252276721521</v>
      </c>
      <c r="J55" s="87" t="n">
        <v>4890</v>
      </c>
      <c r="K55" s="87" t="n">
        <v>4743</v>
      </c>
      <c r="L55" s="88" t="n">
        <v>0.97</v>
      </c>
      <c r="M55" s="87" t="n">
        <v>5670</v>
      </c>
      <c r="N55" s="87" t="n">
        <v>0</v>
      </c>
      <c r="O55" s="87" t="n">
        <v>5499</v>
      </c>
      <c r="P55" s="88" t="n">
        <v>0.9698412698412698</v>
      </c>
      <c r="Q55" s="87" t="n">
        <v>12</v>
      </c>
      <c r="R55" s="87" t="n">
        <v>0</v>
      </c>
      <c r="S55" s="87" t="n">
        <v>0</v>
      </c>
      <c r="T55" s="88" t="n">
        <v>0</v>
      </c>
      <c r="U55" s="87" t="n">
        <v>0</v>
      </c>
      <c r="V55" s="88" t="n">
        <v>0</v>
      </c>
      <c r="W55" s="87" t="n">
        <v>833</v>
      </c>
      <c r="X55" s="88" t="n">
        <v>0.1330883527720083</v>
      </c>
      <c r="Y55" s="87" t="n">
        <v>837</v>
      </c>
      <c r="Z55" s="90" t="n">
        <v>0.133727432497204</v>
      </c>
      <c r="AA55" s="87" t="n">
        <v>3</v>
      </c>
      <c r="AB55" s="88" t="n">
        <v>0.0004793097938967886</v>
      </c>
      <c r="AC55" s="87" t="n">
        <v>1035</v>
      </c>
      <c r="AD55" s="88" t="n">
        <v>0.1653618788943921</v>
      </c>
      <c r="AE55" s="87" t="n">
        <v>60</v>
      </c>
      <c r="AF55" s="88" t="n">
        <v>0.05797101449275362</v>
      </c>
      <c r="AG55" s="87" t="n">
        <v>507</v>
      </c>
      <c r="AH55" s="88" t="n">
        <v>0.4898550724637681</v>
      </c>
      <c r="AI55" s="91" t="n">
        <v>1020</v>
      </c>
      <c r="AJ55" s="88" t="n">
        <v>0.1629653299249081</v>
      </c>
      <c r="AK55" s="91" t="n">
        <v>65</v>
      </c>
      <c r="AL55" s="88" t="n">
        <v>0.7813725490196078</v>
      </c>
      <c r="AM55" s="91" t="n">
        <v>962</v>
      </c>
      <c r="AN55" s="91" t="n">
        <v>797</v>
      </c>
      <c r="AO55" s="88" t="n">
        <v>0.1273366352452469</v>
      </c>
      <c r="AP55" s="88" t="n">
        <v>0.770048309178744</v>
      </c>
      <c r="AQ55" s="89" t="n">
        <v>0</v>
      </c>
      <c r="AR55" s="89" t="n">
        <v>0.02629016553067186</v>
      </c>
      <c r="AS55" s="89" t="n">
        <v>0.02629016553067186</v>
      </c>
      <c r="AT55" s="91" t="n">
        <v>0</v>
      </c>
      <c r="AU55" s="91" t="n">
        <v>0</v>
      </c>
      <c r="AV55" s="91" t="n">
        <v>155</v>
      </c>
      <c r="AW55" s="91" t="n">
        <v>122</v>
      </c>
      <c r="AX55" s="91" t="n">
        <v>127</v>
      </c>
      <c r="AY55" s="91" t="n">
        <v>269</v>
      </c>
      <c r="AZ55" s="88" t="n">
        <v>0.0194919316184694</v>
      </c>
      <c r="BA55" s="88" t="n">
        <v>0.02029078127496405</v>
      </c>
      <c r="BB55" s="88" t="n">
        <v>0.04297811151941205</v>
      </c>
      <c r="BC55" s="88" t="n">
        <v>0.1593475533249686</v>
      </c>
      <c r="BD55" s="91" t="n">
        <v>0</v>
      </c>
      <c r="BE55" s="91" t="n">
        <v>1</v>
      </c>
      <c r="BF55" s="89" t="n">
        <v>0.925</v>
      </c>
      <c r="BG55" s="89" t="n">
        <v>1</v>
      </c>
      <c r="BH55" s="89" t="inlineStr">
        <is>
          <t>-</t>
        </is>
      </c>
    </row>
    <row r="56" ht="19.55" customHeight="1">
      <c r="A56" s="92" t="n">
        <v>53</v>
      </c>
      <c r="B56" s="87" t="inlineStr">
        <is>
          <t>全国</t>
        </is>
      </c>
      <c r="C56" s="93" t="n">
        <v>45911</v>
      </c>
      <c r="D56" s="87" t="inlineStr">
        <is>
          <t>NX8</t>
        </is>
      </c>
      <c r="E56" s="87" t="n">
        <v>145</v>
      </c>
      <c r="F56" s="87" t="n">
        <v>138</v>
      </c>
      <c r="G56" s="88" t="n">
        <v>0.9517241379310345</v>
      </c>
      <c r="H56" s="87" t="n">
        <v>56</v>
      </c>
      <c r="I56" s="89" t="n">
        <v>0.3862068965517241</v>
      </c>
      <c r="J56" s="87" t="n">
        <v>41</v>
      </c>
      <c r="K56" s="87" t="n">
        <v>38</v>
      </c>
      <c r="L56" s="88" t="n">
        <v>0.927</v>
      </c>
      <c r="M56" s="87" t="n">
        <v>54</v>
      </c>
      <c r="N56" s="87" t="n">
        <v>0</v>
      </c>
      <c r="O56" s="87" t="n">
        <v>51</v>
      </c>
      <c r="P56" s="88" t="n">
        <v>0.9444444444444444</v>
      </c>
      <c r="Q56" s="87" t="n">
        <v>0</v>
      </c>
      <c r="R56" s="87" t="n">
        <v>0</v>
      </c>
      <c r="S56" s="87" t="n">
        <v>0</v>
      </c>
      <c r="T56" s="88" t="n">
        <v>0</v>
      </c>
      <c r="U56" s="87" t="n">
        <v>0</v>
      </c>
      <c r="V56" s="88" t="n">
        <v>0</v>
      </c>
      <c r="W56" s="87" t="n">
        <v>0</v>
      </c>
      <c r="X56" s="88" t="n">
        <v>0</v>
      </c>
      <c r="Y56" s="87" t="n">
        <v>0</v>
      </c>
      <c r="Z56" s="90" t="n">
        <v>0</v>
      </c>
      <c r="AA56" s="87" t="n">
        <v>0</v>
      </c>
      <c r="AB56" s="88" t="n">
        <v>0</v>
      </c>
      <c r="AC56" s="87" t="n">
        <v>36</v>
      </c>
      <c r="AD56" s="88" t="n">
        <v>0.2482758620689655</v>
      </c>
      <c r="AE56" s="87" t="n">
        <v>9</v>
      </c>
      <c r="AF56" s="88" t="n">
        <v>0.25</v>
      </c>
      <c r="AG56" s="87" t="n">
        <v>31</v>
      </c>
      <c r="AH56" s="88" t="n">
        <v>0.8611111111111112</v>
      </c>
      <c r="AI56" s="91" t="n">
        <v>0</v>
      </c>
      <c r="AJ56" s="88" t="n">
        <v>0</v>
      </c>
      <c r="AK56" s="91" t="n">
        <v>0</v>
      </c>
      <c r="AL56" s="88" t="n">
        <v>0</v>
      </c>
      <c r="AM56" s="91" t="n">
        <v>0</v>
      </c>
      <c r="AN56" s="91" t="n">
        <v>0</v>
      </c>
      <c r="AO56" s="88" t="n">
        <v>0</v>
      </c>
      <c r="AP56" s="88" t="n">
        <v>0</v>
      </c>
      <c r="AQ56" s="89" t="n"/>
      <c r="AR56" s="89" t="n">
        <v>0</v>
      </c>
      <c r="AS56" s="89" t="n">
        <v>0</v>
      </c>
      <c r="AT56" s="91" t="n">
        <v>0</v>
      </c>
      <c r="AU56" s="91" t="n">
        <v>0</v>
      </c>
      <c r="AV56" s="91" t="n">
        <v>0</v>
      </c>
      <c r="AW56" s="91" t="n">
        <v>0</v>
      </c>
      <c r="AX56" s="91" t="n">
        <v>0</v>
      </c>
      <c r="AY56" s="91" t="n">
        <v>0</v>
      </c>
      <c r="AZ56" s="88" t="n">
        <v>0</v>
      </c>
      <c r="BA56" s="88" t="n">
        <v>0</v>
      </c>
      <c r="BB56" s="88" t="n">
        <v>0</v>
      </c>
      <c r="BC56" s="88" t="n">
        <v>0</v>
      </c>
      <c r="BD56" s="91" t="n">
        <v>0</v>
      </c>
      <c r="BE56" s="91" t="n">
        <v>0</v>
      </c>
      <c r="BF56" s="89" t="inlineStr">
        <is>
          <t>-</t>
        </is>
      </c>
      <c r="BG56" s="89" t="inlineStr">
        <is>
          <t>-</t>
        </is>
      </c>
      <c r="BH56" s="89" t="inlineStr">
        <is>
          <t>-</t>
        </is>
      </c>
    </row>
    <row r="57" ht="19.55" customHeight="1">
      <c r="A57" s="92" t="n">
        <v>54</v>
      </c>
      <c r="B57" s="87" t="inlineStr">
        <is>
          <t>全国</t>
        </is>
      </c>
      <c r="C57" s="93" t="n">
        <v>45911</v>
      </c>
      <c r="D57" s="87" t="inlineStr">
        <is>
          <t>天籁·鸿蒙座舱</t>
        </is>
      </c>
      <c r="E57" s="87" t="n">
        <v>77</v>
      </c>
      <c r="F57" s="87" t="n">
        <v>69</v>
      </c>
      <c r="G57" s="88" t="n">
        <v>0.8961038961038961</v>
      </c>
      <c r="H57" s="87" t="n">
        <v>47</v>
      </c>
      <c r="I57" s="89" t="n">
        <v>0.6103896103896104</v>
      </c>
      <c r="J57" s="87" t="n">
        <v>49</v>
      </c>
      <c r="K57" s="87" t="n">
        <v>48</v>
      </c>
      <c r="L57" s="88" t="n">
        <v>0.98</v>
      </c>
      <c r="M57" s="87" t="n">
        <v>76</v>
      </c>
      <c r="N57" s="87" t="n">
        <v>0</v>
      </c>
      <c r="O57" s="87" t="n">
        <v>75</v>
      </c>
      <c r="P57" s="88" t="n">
        <v>0.9868421052631579</v>
      </c>
      <c r="Q57" s="87" t="n">
        <v>0</v>
      </c>
      <c r="R57" s="87" t="n">
        <v>0</v>
      </c>
      <c r="S57" s="87" t="n">
        <v>0</v>
      </c>
      <c r="T57" s="88" t="n">
        <v>0</v>
      </c>
      <c r="U57" s="87" t="n">
        <v>0</v>
      </c>
      <c r="V57" s="88" t="n">
        <v>0</v>
      </c>
      <c r="W57" s="87" t="n">
        <v>0</v>
      </c>
      <c r="X57" s="88" t="n">
        <v>0</v>
      </c>
      <c r="Y57" s="87" t="n">
        <v>0</v>
      </c>
      <c r="Z57" s="90" t="n">
        <v>0</v>
      </c>
      <c r="AA57" s="87" t="n">
        <v>0</v>
      </c>
      <c r="AB57" s="88" t="n">
        <v>0</v>
      </c>
      <c r="AC57" s="87" t="n">
        <v>19</v>
      </c>
      <c r="AD57" s="88" t="n">
        <v>0.2467532467532468</v>
      </c>
      <c r="AE57" s="87" t="n">
        <v>5</v>
      </c>
      <c r="AF57" s="88" t="n">
        <v>0.2631578947368421</v>
      </c>
      <c r="AG57" s="87" t="n">
        <v>18</v>
      </c>
      <c r="AH57" s="88" t="n">
        <v>0.9473684210526315</v>
      </c>
      <c r="AI57" s="91" t="n">
        <v>0</v>
      </c>
      <c r="AJ57" s="88" t="n">
        <v>0</v>
      </c>
      <c r="AK57" s="91" t="n">
        <v>0</v>
      </c>
      <c r="AL57" s="88" t="n">
        <v>0</v>
      </c>
      <c r="AM57" s="91" t="n">
        <v>0</v>
      </c>
      <c r="AN57" s="91" t="n">
        <v>0</v>
      </c>
      <c r="AO57" s="88" t="n">
        <v>0</v>
      </c>
      <c r="AP57" s="88" t="n">
        <v>0</v>
      </c>
      <c r="AQ57" s="89" t="n"/>
      <c r="AR57" s="89" t="n">
        <v>0</v>
      </c>
      <c r="AS57" s="89" t="n">
        <v>0</v>
      </c>
      <c r="AT57" s="91" t="n">
        <v>0</v>
      </c>
      <c r="AU57" s="91" t="n">
        <v>0</v>
      </c>
      <c r="AV57" s="91" t="n">
        <v>0</v>
      </c>
      <c r="AW57" s="91" t="n">
        <v>0</v>
      </c>
      <c r="AX57" s="91" t="n">
        <v>0</v>
      </c>
      <c r="AY57" s="91" t="n">
        <v>0</v>
      </c>
      <c r="AZ57" s="88" t="n">
        <v>0</v>
      </c>
      <c r="BA57" s="88" t="n">
        <v>0</v>
      </c>
      <c r="BB57" s="88" t="n">
        <v>0</v>
      </c>
      <c r="BC57" s="88" t="n">
        <v>0</v>
      </c>
      <c r="BD57" s="91" t="n">
        <v>0</v>
      </c>
      <c r="BE57" s="91" t="n">
        <v>0</v>
      </c>
      <c r="BF57" s="89" t="inlineStr">
        <is>
          <t>-</t>
        </is>
      </c>
      <c r="BG57" s="89" t="inlineStr">
        <is>
          <t>-</t>
        </is>
      </c>
      <c r="BH57" s="89" t="inlineStr">
        <is>
          <t>-</t>
        </is>
      </c>
    </row>
    <row r="58" ht="19.55" customHeight="1">
      <c r="A58" s="92" t="n">
        <v>55</v>
      </c>
      <c r="B58" s="87" t="inlineStr">
        <is>
          <t>全国</t>
        </is>
      </c>
      <c r="C58" s="93" t="n">
        <v>45912</v>
      </c>
      <c r="D58" s="87" t="n"/>
      <c r="E58" s="87" t="n">
        <v>0</v>
      </c>
      <c r="F58" s="87" t="n">
        <v>0</v>
      </c>
      <c r="G58" s="88" t="n">
        <v>0</v>
      </c>
      <c r="H58" s="87" t="n">
        <v>0</v>
      </c>
      <c r="I58" s="89" t="n">
        <v>0</v>
      </c>
      <c r="J58" s="87" t="n">
        <v>0</v>
      </c>
      <c r="K58" s="87" t="n">
        <v>0</v>
      </c>
      <c r="L58" s="88" t="n">
        <v>0</v>
      </c>
      <c r="M58" s="87" t="n">
        <v>1</v>
      </c>
      <c r="N58" s="87" t="n">
        <v>0</v>
      </c>
      <c r="O58" s="87" t="n">
        <v>1</v>
      </c>
      <c r="P58" s="88" t="n">
        <v>1</v>
      </c>
      <c r="Q58" s="87" t="n">
        <v>0</v>
      </c>
      <c r="R58" s="87" t="n">
        <v>0</v>
      </c>
      <c r="S58" s="87" t="n">
        <v>0</v>
      </c>
      <c r="T58" s="88" t="n">
        <v>0</v>
      </c>
      <c r="U58" s="87" t="n">
        <v>0</v>
      </c>
      <c r="V58" s="88" t="n">
        <v>0</v>
      </c>
      <c r="W58" s="87" t="n">
        <v>0</v>
      </c>
      <c r="X58" s="88" t="n">
        <v>0</v>
      </c>
      <c r="Y58" s="87" t="n">
        <v>0</v>
      </c>
      <c r="Z58" s="90" t="n">
        <v>0</v>
      </c>
      <c r="AA58" s="87" t="n">
        <v>0</v>
      </c>
      <c r="AB58" s="88" t="n">
        <v>0</v>
      </c>
      <c r="AC58" s="87" t="n">
        <v>0</v>
      </c>
      <c r="AD58" s="88" t="n">
        <v>0</v>
      </c>
      <c r="AE58" s="87" t="n">
        <v>0</v>
      </c>
      <c r="AF58" s="88" t="n">
        <v>0</v>
      </c>
      <c r="AG58" s="87" t="n">
        <v>0</v>
      </c>
      <c r="AH58" s="88" t="n">
        <v>0</v>
      </c>
      <c r="AI58" s="91" t="n">
        <v>0</v>
      </c>
      <c r="AJ58" s="88" t="n">
        <v>0</v>
      </c>
      <c r="AK58" s="91" t="n">
        <v>0</v>
      </c>
      <c r="AL58" s="88" t="n">
        <v>0</v>
      </c>
      <c r="AM58" s="91" t="n">
        <v>0</v>
      </c>
      <c r="AN58" s="91" t="n">
        <v>0</v>
      </c>
      <c r="AO58" s="88" t="n">
        <v>0</v>
      </c>
      <c r="AP58" s="88" t="n">
        <v>0</v>
      </c>
      <c r="AQ58" s="89" t="n"/>
      <c r="AR58" s="89" t="inlineStr">
        <is>
          <t>0.0%</t>
        </is>
      </c>
      <c r="AS58" s="89" t="inlineStr">
        <is>
          <t>0.0%</t>
        </is>
      </c>
      <c r="AT58" s="91" t="n">
        <v>0</v>
      </c>
      <c r="AU58" s="91" t="n">
        <v>0</v>
      </c>
      <c r="AV58" s="91" t="n">
        <v>0</v>
      </c>
      <c r="AW58" s="91" t="n">
        <v>0</v>
      </c>
      <c r="AX58" s="91" t="n">
        <v>0</v>
      </c>
      <c r="AY58" s="91" t="n">
        <v>0</v>
      </c>
      <c r="AZ58" s="88" t="n">
        <v>0</v>
      </c>
      <c r="BA58" s="88" t="n">
        <v>0</v>
      </c>
      <c r="BB58" s="88" t="n">
        <v>0</v>
      </c>
      <c r="BC58" s="88" t="n">
        <v>0</v>
      </c>
      <c r="BD58" s="91" t="n">
        <v>0</v>
      </c>
      <c r="BE58" s="91" t="n">
        <v>2</v>
      </c>
      <c r="BF58" s="89" t="inlineStr">
        <is>
          <t>-</t>
        </is>
      </c>
      <c r="BG58" s="89" t="inlineStr">
        <is>
          <t>-</t>
        </is>
      </c>
      <c r="BH58" s="89" t="n">
        <v>0.9646017699115044</v>
      </c>
    </row>
    <row r="59" ht="19.55" customHeight="1">
      <c r="A59" s="92" t="n">
        <v>56</v>
      </c>
      <c r="B59" s="87" t="inlineStr">
        <is>
          <t>全国</t>
        </is>
      </c>
      <c r="C59" s="93" t="n">
        <v>45912</v>
      </c>
      <c r="D59" s="87" t="inlineStr">
        <is>
          <t>2026款探陆</t>
        </is>
      </c>
      <c r="E59" s="87" t="n">
        <v>2</v>
      </c>
      <c r="F59" s="87" t="n">
        <v>2</v>
      </c>
      <c r="G59" s="88" t="n">
        <v>1</v>
      </c>
      <c r="H59" s="87" t="n">
        <v>0</v>
      </c>
      <c r="I59" s="89" t="n">
        <v>0</v>
      </c>
      <c r="J59" s="87" t="n">
        <v>1</v>
      </c>
      <c r="K59" s="87" t="n">
        <v>1</v>
      </c>
      <c r="L59" s="88" t="n">
        <v>1</v>
      </c>
      <c r="M59" s="87" t="n">
        <v>1</v>
      </c>
      <c r="N59" s="87" t="n">
        <v>0</v>
      </c>
      <c r="O59" s="87" t="n">
        <v>1</v>
      </c>
      <c r="P59" s="88" t="n">
        <v>1</v>
      </c>
      <c r="Q59" s="87" t="n">
        <v>0</v>
      </c>
      <c r="R59" s="87" t="n">
        <v>0</v>
      </c>
      <c r="S59" s="87" t="n">
        <v>0</v>
      </c>
      <c r="T59" s="88" t="n">
        <v>0</v>
      </c>
      <c r="U59" s="87" t="n">
        <v>0</v>
      </c>
      <c r="V59" s="88" t="n">
        <v>0</v>
      </c>
      <c r="W59" s="87" t="n">
        <v>0</v>
      </c>
      <c r="X59" s="88" t="n">
        <v>0</v>
      </c>
      <c r="Y59" s="87" t="n">
        <v>0</v>
      </c>
      <c r="Z59" s="90" t="n">
        <v>0</v>
      </c>
      <c r="AA59" s="87" t="n">
        <v>0</v>
      </c>
      <c r="AB59" s="88" t="n">
        <v>0</v>
      </c>
      <c r="AC59" s="87" t="n">
        <v>0</v>
      </c>
      <c r="AD59" s="88" t="n">
        <v>0</v>
      </c>
      <c r="AE59" s="87" t="n">
        <v>0</v>
      </c>
      <c r="AF59" s="88" t="n">
        <v>0</v>
      </c>
      <c r="AG59" s="87" t="n">
        <v>0</v>
      </c>
      <c r="AH59" s="88" t="n">
        <v>0</v>
      </c>
      <c r="AI59" s="91" t="n">
        <v>0</v>
      </c>
      <c r="AJ59" s="88" t="n">
        <v>0</v>
      </c>
      <c r="AK59" s="91" t="n">
        <v>0</v>
      </c>
      <c r="AL59" s="88" t="n">
        <v>0</v>
      </c>
      <c r="AM59" s="91" t="n">
        <v>0</v>
      </c>
      <c r="AN59" s="91" t="n">
        <v>0</v>
      </c>
      <c r="AO59" s="88" t="n">
        <v>0</v>
      </c>
      <c r="AP59" s="88" t="n">
        <v>0</v>
      </c>
      <c r="AQ59" s="89" t="n"/>
      <c r="AR59" s="89" t="inlineStr">
        <is>
          <t>0.0%</t>
        </is>
      </c>
      <c r="AS59" s="89" t="inlineStr">
        <is>
          <t>0.0%</t>
        </is>
      </c>
      <c r="AT59" s="91" t="n">
        <v>0</v>
      </c>
      <c r="AU59" s="91" t="n">
        <v>0</v>
      </c>
      <c r="AV59" s="91" t="n">
        <v>0</v>
      </c>
      <c r="AW59" s="91" t="n">
        <v>0</v>
      </c>
      <c r="AX59" s="91" t="n">
        <v>0</v>
      </c>
      <c r="AY59" s="91" t="n">
        <v>0</v>
      </c>
      <c r="AZ59" s="88" t="n">
        <v>0</v>
      </c>
      <c r="BA59" s="88" t="n">
        <v>0</v>
      </c>
      <c r="BB59" s="88" t="n">
        <v>0</v>
      </c>
      <c r="BC59" s="88" t="n">
        <v>0</v>
      </c>
      <c r="BD59" s="91" t="n">
        <v>0</v>
      </c>
      <c r="BE59" s="91" t="n">
        <v>0</v>
      </c>
      <c r="BF59" s="89" t="inlineStr">
        <is>
          <t>-</t>
        </is>
      </c>
      <c r="BG59" s="89" t="inlineStr">
        <is>
          <t>-</t>
        </is>
      </c>
      <c r="BH59" s="89" t="inlineStr">
        <is>
          <t>-</t>
        </is>
      </c>
    </row>
    <row r="60" ht="19.55" customHeight="1">
      <c r="A60" s="92" t="n">
        <v>57</v>
      </c>
      <c r="B60" s="87" t="inlineStr">
        <is>
          <t>全国</t>
        </is>
      </c>
      <c r="C60" s="93" t="n">
        <v>45912</v>
      </c>
      <c r="D60" s="87" t="inlineStr">
        <is>
          <t>N6</t>
        </is>
      </c>
      <c r="E60" s="87" t="n">
        <v>60</v>
      </c>
      <c r="F60" s="87" t="n">
        <v>53</v>
      </c>
      <c r="G60" s="88" t="n">
        <v>0.8833333333333333</v>
      </c>
      <c r="H60" s="87" t="n">
        <v>34</v>
      </c>
      <c r="I60" s="89" t="n">
        <v>0.5666666666666667</v>
      </c>
      <c r="J60" s="87" t="n">
        <v>39</v>
      </c>
      <c r="K60" s="87" t="n">
        <v>39</v>
      </c>
      <c r="L60" s="88" t="n">
        <v>1</v>
      </c>
      <c r="M60" s="87" t="n">
        <v>72</v>
      </c>
      <c r="N60" s="87" t="n">
        <v>0</v>
      </c>
      <c r="O60" s="87" t="n">
        <v>61</v>
      </c>
      <c r="P60" s="88" t="n">
        <v>0.8472222222222222</v>
      </c>
      <c r="Q60" s="87" t="n">
        <v>0</v>
      </c>
      <c r="R60" s="87" t="n">
        <v>0</v>
      </c>
      <c r="S60" s="87" t="n">
        <v>0</v>
      </c>
      <c r="T60" s="88" t="n">
        <v>0</v>
      </c>
      <c r="U60" s="87" t="n">
        <v>0</v>
      </c>
      <c r="V60" s="88" t="n">
        <v>0</v>
      </c>
      <c r="W60" s="87" t="n">
        <v>0</v>
      </c>
      <c r="X60" s="88" t="n">
        <v>0</v>
      </c>
      <c r="Y60" s="87" t="n">
        <v>0</v>
      </c>
      <c r="Z60" s="90" t="n">
        <v>0</v>
      </c>
      <c r="AA60" s="87" t="n">
        <v>0</v>
      </c>
      <c r="AB60" s="88" t="n">
        <v>0</v>
      </c>
      <c r="AC60" s="87" t="n">
        <v>18</v>
      </c>
      <c r="AD60" s="88" t="n">
        <v>0.3</v>
      </c>
      <c r="AE60" s="87" t="n">
        <v>1</v>
      </c>
      <c r="AF60" s="88" t="n">
        <v>0.05555555555555555</v>
      </c>
      <c r="AG60" s="87" t="n">
        <v>11</v>
      </c>
      <c r="AH60" s="88" t="n">
        <v>0.6111111111111112</v>
      </c>
      <c r="AI60" s="91" t="n">
        <v>0</v>
      </c>
      <c r="AJ60" s="88" t="n">
        <v>0</v>
      </c>
      <c r="AK60" s="91" t="n">
        <v>0</v>
      </c>
      <c r="AL60" s="88" t="n">
        <v>0</v>
      </c>
      <c r="AM60" s="91" t="n">
        <v>0</v>
      </c>
      <c r="AN60" s="91" t="n">
        <v>0</v>
      </c>
      <c r="AO60" s="88" t="n">
        <v>0</v>
      </c>
      <c r="AP60" s="88" t="n">
        <v>0</v>
      </c>
      <c r="AQ60" s="89" t="n"/>
      <c r="AR60" s="89" t="n">
        <v>0</v>
      </c>
      <c r="AS60" s="89" t="n">
        <v>0</v>
      </c>
      <c r="AT60" s="91" t="n">
        <v>0</v>
      </c>
      <c r="AU60" s="91" t="n">
        <v>0</v>
      </c>
      <c r="AV60" s="91" t="n">
        <v>0</v>
      </c>
      <c r="AW60" s="91" t="n">
        <v>0</v>
      </c>
      <c r="AX60" s="91" t="n">
        <v>0</v>
      </c>
      <c r="AY60" s="91" t="n">
        <v>0</v>
      </c>
      <c r="AZ60" s="88" t="n">
        <v>0</v>
      </c>
      <c r="BA60" s="88" t="n">
        <v>0</v>
      </c>
      <c r="BB60" s="88" t="n">
        <v>0</v>
      </c>
      <c r="BC60" s="88" t="n">
        <v>0</v>
      </c>
      <c r="BD60" s="91" t="n">
        <v>0</v>
      </c>
      <c r="BE60" s="91" t="n">
        <v>0</v>
      </c>
      <c r="BF60" s="89" t="inlineStr">
        <is>
          <t>-</t>
        </is>
      </c>
      <c r="BG60" s="89" t="inlineStr">
        <is>
          <t>-</t>
        </is>
      </c>
      <c r="BH60" s="89" t="inlineStr">
        <is>
          <t>-</t>
        </is>
      </c>
    </row>
    <row r="61" ht="19.55" customHeight="1">
      <c r="A61" s="92" t="n">
        <v>58</v>
      </c>
      <c r="B61" s="87" t="inlineStr">
        <is>
          <t>全国</t>
        </is>
      </c>
      <c r="C61" s="93" t="n">
        <v>45912</v>
      </c>
      <c r="D61" s="87" t="inlineStr">
        <is>
          <t>N7</t>
        </is>
      </c>
      <c r="E61" s="87" t="n">
        <v>6318</v>
      </c>
      <c r="F61" s="87" t="n">
        <v>4952</v>
      </c>
      <c r="G61" s="88" t="n">
        <v>0.7837923393478949</v>
      </c>
      <c r="H61" s="87" t="n">
        <v>3278</v>
      </c>
      <c r="I61" s="89" t="n">
        <v>0.5188350743906299</v>
      </c>
      <c r="J61" s="87" t="n">
        <v>4815</v>
      </c>
      <c r="K61" s="87" t="n">
        <v>4670</v>
      </c>
      <c r="L61" s="88" t="n">
        <v>0.97</v>
      </c>
      <c r="M61" s="87" t="n">
        <v>5774</v>
      </c>
      <c r="N61" s="87" t="n">
        <v>0</v>
      </c>
      <c r="O61" s="87" t="n">
        <v>5563</v>
      </c>
      <c r="P61" s="88" t="n">
        <v>0.9634568756494631</v>
      </c>
      <c r="Q61" s="87" t="n">
        <v>9</v>
      </c>
      <c r="R61" s="87" t="n">
        <v>0</v>
      </c>
      <c r="S61" s="87" t="n">
        <v>0</v>
      </c>
      <c r="T61" s="88" t="n">
        <v>0</v>
      </c>
      <c r="U61" s="87" t="n">
        <v>0</v>
      </c>
      <c r="V61" s="88" t="n">
        <v>0</v>
      </c>
      <c r="W61" s="87" t="n">
        <v>1629</v>
      </c>
      <c r="X61" s="88" t="n">
        <v>0.2578347578347578</v>
      </c>
      <c r="Y61" s="87" t="n">
        <v>942</v>
      </c>
      <c r="Z61" s="90" t="n">
        <v>0.1490978157644824</v>
      </c>
      <c r="AA61" s="87" t="n">
        <v>3</v>
      </c>
      <c r="AB61" s="88" t="n">
        <v>0.0004748338081671415</v>
      </c>
      <c r="AC61" s="87" t="n">
        <v>1235</v>
      </c>
      <c r="AD61" s="88" t="n">
        <v>0.1954732510288066</v>
      </c>
      <c r="AE61" s="87" t="n">
        <v>62</v>
      </c>
      <c r="AF61" s="88" t="n">
        <v>0.05020242914979757</v>
      </c>
      <c r="AG61" s="87" t="n">
        <v>599</v>
      </c>
      <c r="AH61" s="88" t="n">
        <v>0.4850202429149797</v>
      </c>
      <c r="AI61" s="91" t="n">
        <v>1150</v>
      </c>
      <c r="AJ61" s="88" t="n">
        <v>0.1820196264640709</v>
      </c>
      <c r="AK61" s="91" t="n">
        <v>64</v>
      </c>
      <c r="AL61" s="88" t="n">
        <v>0.8156521739130435</v>
      </c>
      <c r="AM61" s="91" t="n">
        <v>1121</v>
      </c>
      <c r="AN61" s="91" t="n">
        <v>938</v>
      </c>
      <c r="AO61" s="88" t="n">
        <v>0.1484647040202596</v>
      </c>
      <c r="AP61" s="88" t="n">
        <v>0.7595141700404858</v>
      </c>
      <c r="AQ61" s="89" t="n">
        <v>0</v>
      </c>
      <c r="AR61" s="89" t="n">
        <v>0.02218430034129693</v>
      </c>
      <c r="AS61" s="89" t="n">
        <v>0.02218430034129693</v>
      </c>
      <c r="AT61" s="91" t="n">
        <v>0</v>
      </c>
      <c r="AU61" s="91" t="n">
        <v>0</v>
      </c>
      <c r="AV61" s="91" t="n">
        <v>158</v>
      </c>
      <c r="AW61" s="91" t="n">
        <v>125</v>
      </c>
      <c r="AX61" s="91" t="n">
        <v>128</v>
      </c>
      <c r="AY61" s="91" t="n">
        <v>266</v>
      </c>
      <c r="AZ61" s="88" t="n">
        <v>0.01978474200696423</v>
      </c>
      <c r="BA61" s="88" t="n">
        <v>0.02025957581513137</v>
      </c>
      <c r="BB61" s="88" t="n">
        <v>0.04210193099081988</v>
      </c>
      <c r="BC61" s="88" t="n">
        <v>0.1364605543710021</v>
      </c>
      <c r="BD61" s="91" t="n">
        <v>0</v>
      </c>
      <c r="BE61" s="91" t="n">
        <v>4</v>
      </c>
      <c r="BF61" s="89" t="n">
        <v>0.8767123287671232</v>
      </c>
      <c r="BG61" s="89" t="n">
        <v>1</v>
      </c>
      <c r="BH61" s="89" t="inlineStr">
        <is>
          <t>-</t>
        </is>
      </c>
    </row>
    <row r="62" ht="19.55" customHeight="1">
      <c r="A62" s="92" t="n">
        <v>59</v>
      </c>
      <c r="B62" s="87" t="inlineStr">
        <is>
          <t>全国</t>
        </is>
      </c>
      <c r="C62" s="93" t="n">
        <v>45912</v>
      </c>
      <c r="D62" s="87" t="inlineStr">
        <is>
          <t>NX8</t>
        </is>
      </c>
      <c r="E62" s="87" t="n">
        <v>160</v>
      </c>
      <c r="F62" s="87" t="n">
        <v>143</v>
      </c>
      <c r="G62" s="88" t="n">
        <v>0.89375</v>
      </c>
      <c r="H62" s="87" t="n">
        <v>65</v>
      </c>
      <c r="I62" s="89" t="n">
        <v>0.40625</v>
      </c>
      <c r="J62" s="87" t="n">
        <v>29</v>
      </c>
      <c r="K62" s="87" t="n">
        <v>29</v>
      </c>
      <c r="L62" s="88" t="n">
        <v>1</v>
      </c>
      <c r="M62" s="87" t="n">
        <v>45</v>
      </c>
      <c r="N62" s="87" t="n">
        <v>0</v>
      </c>
      <c r="O62" s="87" t="n">
        <v>45</v>
      </c>
      <c r="P62" s="88" t="n">
        <v>1</v>
      </c>
      <c r="Q62" s="87" t="n">
        <v>0</v>
      </c>
      <c r="R62" s="87" t="n">
        <v>0</v>
      </c>
      <c r="S62" s="87" t="n">
        <v>0</v>
      </c>
      <c r="T62" s="88" t="n">
        <v>0</v>
      </c>
      <c r="U62" s="87" t="n">
        <v>0</v>
      </c>
      <c r="V62" s="88" t="n">
        <v>0</v>
      </c>
      <c r="W62" s="87" t="n">
        <v>0</v>
      </c>
      <c r="X62" s="88" t="n">
        <v>0</v>
      </c>
      <c r="Y62" s="87" t="n">
        <v>0</v>
      </c>
      <c r="Z62" s="90" t="n">
        <v>0</v>
      </c>
      <c r="AA62" s="87" t="n">
        <v>0</v>
      </c>
      <c r="AB62" s="88" t="n">
        <v>0</v>
      </c>
      <c r="AC62" s="87" t="n">
        <v>29</v>
      </c>
      <c r="AD62" s="88" t="n">
        <v>0.18125</v>
      </c>
      <c r="AE62" s="87" t="n">
        <v>2</v>
      </c>
      <c r="AF62" s="88" t="n">
        <v>0.06896551724137931</v>
      </c>
      <c r="AG62" s="87" t="n">
        <v>20</v>
      </c>
      <c r="AH62" s="88" t="n">
        <v>0.6896551724137931</v>
      </c>
      <c r="AI62" s="91" t="n">
        <v>0</v>
      </c>
      <c r="AJ62" s="88" t="n">
        <v>0</v>
      </c>
      <c r="AK62" s="91" t="n">
        <v>0</v>
      </c>
      <c r="AL62" s="88" t="n">
        <v>0</v>
      </c>
      <c r="AM62" s="91" t="n">
        <v>0</v>
      </c>
      <c r="AN62" s="91" t="n">
        <v>0</v>
      </c>
      <c r="AO62" s="88" t="n">
        <v>0</v>
      </c>
      <c r="AP62" s="88" t="n">
        <v>0</v>
      </c>
      <c r="AQ62" s="89" t="n"/>
      <c r="AR62" s="89" t="n">
        <v>0</v>
      </c>
      <c r="AS62" s="89" t="n">
        <v>0</v>
      </c>
      <c r="AT62" s="91" t="n">
        <v>0</v>
      </c>
      <c r="AU62" s="91" t="n">
        <v>0</v>
      </c>
      <c r="AV62" s="91" t="n">
        <v>0</v>
      </c>
      <c r="AW62" s="91" t="n">
        <v>0</v>
      </c>
      <c r="AX62" s="91" t="n">
        <v>0</v>
      </c>
      <c r="AY62" s="91" t="n">
        <v>0</v>
      </c>
      <c r="AZ62" s="88" t="n">
        <v>0</v>
      </c>
      <c r="BA62" s="88" t="n">
        <v>0</v>
      </c>
      <c r="BB62" s="88" t="n">
        <v>0</v>
      </c>
      <c r="BC62" s="88" t="n">
        <v>0</v>
      </c>
      <c r="BD62" s="91" t="n">
        <v>0</v>
      </c>
      <c r="BE62" s="91" t="n">
        <v>0</v>
      </c>
      <c r="BF62" s="89" t="inlineStr">
        <is>
          <t>-</t>
        </is>
      </c>
      <c r="BG62" s="89" t="inlineStr">
        <is>
          <t>-</t>
        </is>
      </c>
      <c r="BH62" s="89" t="inlineStr">
        <is>
          <t>-</t>
        </is>
      </c>
    </row>
    <row r="63" ht="19.55" customHeight="1">
      <c r="A63" s="92" t="n">
        <v>60</v>
      </c>
      <c r="B63" s="87" t="inlineStr">
        <is>
          <t>全国</t>
        </is>
      </c>
      <c r="C63" s="93" t="n">
        <v>45912</v>
      </c>
      <c r="D63" s="87" t="inlineStr">
        <is>
          <t>天籁·鸿蒙座舱</t>
        </is>
      </c>
      <c r="E63" s="87" t="n">
        <v>73</v>
      </c>
      <c r="F63" s="87" t="n">
        <v>69</v>
      </c>
      <c r="G63" s="88" t="n">
        <v>0.9452054794520548</v>
      </c>
      <c r="H63" s="87" t="n">
        <v>43</v>
      </c>
      <c r="I63" s="89" t="n">
        <v>0.589041095890411</v>
      </c>
      <c r="J63" s="87" t="n">
        <v>45</v>
      </c>
      <c r="K63" s="87" t="n">
        <v>43</v>
      </c>
      <c r="L63" s="88" t="n">
        <v>0.956</v>
      </c>
      <c r="M63" s="87" t="n">
        <v>78</v>
      </c>
      <c r="N63" s="87" t="n">
        <v>0</v>
      </c>
      <c r="O63" s="87" t="n">
        <v>75</v>
      </c>
      <c r="P63" s="88" t="n">
        <v>0.9615384615384616</v>
      </c>
      <c r="Q63" s="87" t="n">
        <v>0</v>
      </c>
      <c r="R63" s="87" t="n">
        <v>0</v>
      </c>
      <c r="S63" s="87" t="n">
        <v>0</v>
      </c>
      <c r="T63" s="88" t="n">
        <v>0</v>
      </c>
      <c r="U63" s="87" t="n">
        <v>0</v>
      </c>
      <c r="V63" s="88" t="n">
        <v>0</v>
      </c>
      <c r="W63" s="87" t="n">
        <v>0</v>
      </c>
      <c r="X63" s="88" t="n">
        <v>0</v>
      </c>
      <c r="Y63" s="87" t="n">
        <v>0</v>
      </c>
      <c r="Z63" s="90" t="n">
        <v>0</v>
      </c>
      <c r="AA63" s="87" t="n">
        <v>0</v>
      </c>
      <c r="AB63" s="88" t="n">
        <v>0</v>
      </c>
      <c r="AC63" s="87" t="n">
        <v>12</v>
      </c>
      <c r="AD63" s="88" t="n">
        <v>0.1643835616438356</v>
      </c>
      <c r="AE63" s="87" t="n">
        <v>3</v>
      </c>
      <c r="AF63" s="88" t="n">
        <v>0.25</v>
      </c>
      <c r="AG63" s="87" t="n">
        <v>5</v>
      </c>
      <c r="AH63" s="88" t="n">
        <v>0.4166666666666667</v>
      </c>
      <c r="AI63" s="91" t="n">
        <v>0</v>
      </c>
      <c r="AJ63" s="88" t="n">
        <v>0</v>
      </c>
      <c r="AK63" s="91" t="n">
        <v>0</v>
      </c>
      <c r="AL63" s="88" t="n">
        <v>0</v>
      </c>
      <c r="AM63" s="91" t="n">
        <v>0</v>
      </c>
      <c r="AN63" s="91" t="n">
        <v>0</v>
      </c>
      <c r="AO63" s="88" t="n">
        <v>0</v>
      </c>
      <c r="AP63" s="88" t="n">
        <v>0</v>
      </c>
      <c r="AQ63" s="89" t="n"/>
      <c r="AR63" s="89" t="n">
        <v>0</v>
      </c>
      <c r="AS63" s="89" t="n">
        <v>0</v>
      </c>
      <c r="AT63" s="91" t="n">
        <v>0</v>
      </c>
      <c r="AU63" s="91" t="n">
        <v>0</v>
      </c>
      <c r="AV63" s="91" t="n">
        <v>0</v>
      </c>
      <c r="AW63" s="91" t="n">
        <v>0</v>
      </c>
      <c r="AX63" s="91" t="n">
        <v>0</v>
      </c>
      <c r="AY63" s="91" t="n">
        <v>0</v>
      </c>
      <c r="AZ63" s="88" t="n">
        <v>0</v>
      </c>
      <c r="BA63" s="88" t="n">
        <v>0</v>
      </c>
      <c r="BB63" s="88" t="n">
        <v>0</v>
      </c>
      <c r="BC63" s="88" t="n">
        <v>0</v>
      </c>
      <c r="BD63" s="91" t="n">
        <v>0</v>
      </c>
      <c r="BE63" s="91" t="n">
        <v>0</v>
      </c>
      <c r="BF63" s="89" t="inlineStr">
        <is>
          <t>-</t>
        </is>
      </c>
      <c r="BG63" s="89" t="inlineStr">
        <is>
          <t>-</t>
        </is>
      </c>
      <c r="BH63" s="89" t="inlineStr">
        <is>
          <t>-</t>
        </is>
      </c>
    </row>
    <row r="64" ht="19.55" customHeight="1">
      <c r="A64" s="92" t="n">
        <v>61</v>
      </c>
      <c r="B64" s="87" t="inlineStr">
        <is>
          <t>全国</t>
        </is>
      </c>
      <c r="C64" s="93" t="n">
        <v>45913</v>
      </c>
      <c r="D64" s="87" t="n"/>
      <c r="E64" s="87" t="n">
        <v>0</v>
      </c>
      <c r="F64" s="87" t="n">
        <v>0</v>
      </c>
      <c r="G64" s="88" t="n">
        <v>0</v>
      </c>
      <c r="H64" s="87" t="n">
        <v>0</v>
      </c>
      <c r="I64" s="89" t="n">
        <v>0</v>
      </c>
      <c r="J64" s="87" t="n">
        <v>0</v>
      </c>
      <c r="K64" s="87" t="n">
        <v>0</v>
      </c>
      <c r="L64" s="88" t="n">
        <v>0</v>
      </c>
      <c r="M64" s="87" t="n">
        <v>1</v>
      </c>
      <c r="N64" s="87" t="n">
        <v>0</v>
      </c>
      <c r="O64" s="87" t="n">
        <v>1</v>
      </c>
      <c r="P64" s="88" t="n">
        <v>1</v>
      </c>
      <c r="Q64" s="87" t="n">
        <v>0</v>
      </c>
      <c r="R64" s="87" t="n">
        <v>0</v>
      </c>
      <c r="S64" s="87" t="n">
        <v>0</v>
      </c>
      <c r="T64" s="88" t="n">
        <v>0</v>
      </c>
      <c r="U64" s="87" t="n">
        <v>0</v>
      </c>
      <c r="V64" s="88" t="n">
        <v>0</v>
      </c>
      <c r="W64" s="87" t="n">
        <v>0</v>
      </c>
      <c r="X64" s="88" t="n">
        <v>0</v>
      </c>
      <c r="Y64" s="87" t="n">
        <v>0</v>
      </c>
      <c r="Z64" s="90" t="n">
        <v>0</v>
      </c>
      <c r="AA64" s="87" t="n">
        <v>0</v>
      </c>
      <c r="AB64" s="88" t="n">
        <v>0</v>
      </c>
      <c r="AC64" s="87" t="n">
        <v>0</v>
      </c>
      <c r="AD64" s="88" t="n">
        <v>0</v>
      </c>
      <c r="AE64" s="87" t="n">
        <v>0</v>
      </c>
      <c r="AF64" s="88" t="n">
        <v>0</v>
      </c>
      <c r="AG64" s="87" t="n">
        <v>0</v>
      </c>
      <c r="AH64" s="88" t="n">
        <v>0</v>
      </c>
      <c r="AI64" s="91" t="n">
        <v>0</v>
      </c>
      <c r="AJ64" s="88" t="n">
        <v>0</v>
      </c>
      <c r="AK64" s="91" t="n">
        <v>0</v>
      </c>
      <c r="AL64" s="88" t="n">
        <v>0</v>
      </c>
      <c r="AM64" s="91" t="n">
        <v>0</v>
      </c>
      <c r="AN64" s="91" t="n">
        <v>0</v>
      </c>
      <c r="AO64" s="88" t="n">
        <v>0</v>
      </c>
      <c r="AP64" s="88" t="n">
        <v>0</v>
      </c>
      <c r="AQ64" s="89" t="n"/>
      <c r="AR64" s="89" t="inlineStr">
        <is>
          <t>0.0%</t>
        </is>
      </c>
      <c r="AS64" s="89" t="inlineStr">
        <is>
          <t>0.0%</t>
        </is>
      </c>
      <c r="AT64" s="91" t="n">
        <v>0</v>
      </c>
      <c r="AU64" s="91" t="n">
        <v>0</v>
      </c>
      <c r="AV64" s="91" t="n">
        <v>0</v>
      </c>
      <c r="AW64" s="91" t="n">
        <v>0</v>
      </c>
      <c r="AX64" s="91" t="n">
        <v>0</v>
      </c>
      <c r="AY64" s="91" t="n">
        <v>0</v>
      </c>
      <c r="AZ64" s="88" t="n">
        <v>0</v>
      </c>
      <c r="BA64" s="88" t="n">
        <v>0</v>
      </c>
      <c r="BB64" s="88" t="n">
        <v>0</v>
      </c>
      <c r="BC64" s="88" t="n">
        <v>0</v>
      </c>
      <c r="BD64" s="91" t="n">
        <v>0</v>
      </c>
      <c r="BE64" s="91" t="n">
        <v>1</v>
      </c>
      <c r="BF64" s="89" t="inlineStr">
        <is>
          <t>-</t>
        </is>
      </c>
      <c r="BG64" s="89" t="inlineStr">
        <is>
          <t>-</t>
        </is>
      </c>
      <c r="BH64" s="89" t="n">
        <v>0.9555555555555556</v>
      </c>
    </row>
    <row r="65" ht="19.55" customHeight="1">
      <c r="A65" s="92" t="n">
        <v>62</v>
      </c>
      <c r="B65" s="87" t="inlineStr">
        <is>
          <t>全国</t>
        </is>
      </c>
      <c r="C65" s="93" t="n">
        <v>45913</v>
      </c>
      <c r="D65" s="87" t="inlineStr">
        <is>
          <t>2026款探陆</t>
        </is>
      </c>
      <c r="E65" s="87" t="n">
        <v>4</v>
      </c>
      <c r="F65" s="87" t="n">
        <v>4</v>
      </c>
      <c r="G65" s="88" t="n">
        <v>1</v>
      </c>
      <c r="H65" s="87" t="n">
        <v>2</v>
      </c>
      <c r="I65" s="89" t="n">
        <v>0.5</v>
      </c>
      <c r="J65" s="87" t="n">
        <v>2</v>
      </c>
      <c r="K65" s="87" t="n">
        <v>2</v>
      </c>
      <c r="L65" s="88" t="n">
        <v>1</v>
      </c>
      <c r="M65" s="87" t="n">
        <v>2</v>
      </c>
      <c r="N65" s="87" t="n">
        <v>0</v>
      </c>
      <c r="O65" s="87" t="n">
        <v>2</v>
      </c>
      <c r="P65" s="88" t="n">
        <v>1</v>
      </c>
      <c r="Q65" s="87" t="n">
        <v>0</v>
      </c>
      <c r="R65" s="87" t="n">
        <v>0</v>
      </c>
      <c r="S65" s="87" t="n">
        <v>0</v>
      </c>
      <c r="T65" s="88" t="n">
        <v>0</v>
      </c>
      <c r="U65" s="87" t="n">
        <v>0</v>
      </c>
      <c r="V65" s="88" t="n">
        <v>0</v>
      </c>
      <c r="W65" s="87" t="n">
        <v>0</v>
      </c>
      <c r="X65" s="88" t="n">
        <v>0</v>
      </c>
      <c r="Y65" s="87" t="n">
        <v>0</v>
      </c>
      <c r="Z65" s="90" t="n">
        <v>0</v>
      </c>
      <c r="AA65" s="87" t="n">
        <v>0</v>
      </c>
      <c r="AB65" s="88" t="n">
        <v>0</v>
      </c>
      <c r="AC65" s="87" t="n">
        <v>0</v>
      </c>
      <c r="AD65" s="88" t="n">
        <v>0</v>
      </c>
      <c r="AE65" s="87" t="n">
        <v>1</v>
      </c>
      <c r="AF65" s="88" t="n">
        <v>0</v>
      </c>
      <c r="AG65" s="87" t="n">
        <v>0</v>
      </c>
      <c r="AH65" s="88" t="n">
        <v>0</v>
      </c>
      <c r="AI65" s="91" t="n">
        <v>0</v>
      </c>
      <c r="AJ65" s="88" t="n">
        <v>0</v>
      </c>
      <c r="AK65" s="91" t="n">
        <v>0</v>
      </c>
      <c r="AL65" s="88" t="n">
        <v>0</v>
      </c>
      <c r="AM65" s="91" t="n">
        <v>0</v>
      </c>
      <c r="AN65" s="91" t="n">
        <v>0</v>
      </c>
      <c r="AO65" s="88" t="n">
        <v>0</v>
      </c>
      <c r="AP65" s="88" t="n">
        <v>0</v>
      </c>
      <c r="AQ65" s="89" t="n"/>
      <c r="AR65" s="89" t="inlineStr">
        <is>
          <t>0.0%</t>
        </is>
      </c>
      <c r="AS65" s="89" t="inlineStr">
        <is>
          <t>0.0%</t>
        </is>
      </c>
      <c r="AT65" s="91" t="n">
        <v>0</v>
      </c>
      <c r="AU65" s="91" t="n">
        <v>0</v>
      </c>
      <c r="AV65" s="91" t="n">
        <v>0</v>
      </c>
      <c r="AW65" s="91" t="n">
        <v>0</v>
      </c>
      <c r="AX65" s="91" t="n">
        <v>0</v>
      </c>
      <c r="AY65" s="91" t="n">
        <v>0</v>
      </c>
      <c r="AZ65" s="88" t="n">
        <v>0</v>
      </c>
      <c r="BA65" s="88" t="n">
        <v>0</v>
      </c>
      <c r="BB65" s="88" t="n">
        <v>0</v>
      </c>
      <c r="BC65" s="88" t="n">
        <v>0</v>
      </c>
      <c r="BD65" s="91" t="n">
        <v>0</v>
      </c>
      <c r="BE65" s="91" t="n">
        <v>0</v>
      </c>
      <c r="BF65" s="89" t="inlineStr">
        <is>
          <t>-</t>
        </is>
      </c>
      <c r="BG65" s="89" t="inlineStr">
        <is>
          <t>-</t>
        </is>
      </c>
      <c r="BH65" s="89" t="inlineStr">
        <is>
          <t>-</t>
        </is>
      </c>
    </row>
    <row r="66" ht="19.55" customHeight="1">
      <c r="A66" s="92" t="n">
        <v>63</v>
      </c>
      <c r="B66" s="87" t="inlineStr">
        <is>
          <t>全国</t>
        </is>
      </c>
      <c r="C66" s="93" t="n">
        <v>45913</v>
      </c>
      <c r="D66" s="87" t="inlineStr">
        <is>
          <t>N6</t>
        </is>
      </c>
      <c r="E66" s="87" t="n">
        <v>87</v>
      </c>
      <c r="F66" s="87" t="n">
        <v>77</v>
      </c>
      <c r="G66" s="88" t="n">
        <v>0.8850574712643678</v>
      </c>
      <c r="H66" s="87" t="n">
        <v>41</v>
      </c>
      <c r="I66" s="89" t="n">
        <v>0.4712643678160919</v>
      </c>
      <c r="J66" s="87" t="n">
        <v>47</v>
      </c>
      <c r="K66" s="87" t="n">
        <v>43</v>
      </c>
      <c r="L66" s="88" t="n">
        <v>0.915</v>
      </c>
      <c r="M66" s="87" t="n">
        <v>63</v>
      </c>
      <c r="N66" s="87" t="n">
        <v>0</v>
      </c>
      <c r="O66" s="87" t="n">
        <v>59</v>
      </c>
      <c r="P66" s="88" t="n">
        <v>0.9365079365079365</v>
      </c>
      <c r="Q66" s="87" t="n">
        <v>0</v>
      </c>
      <c r="R66" s="87" t="n">
        <v>0</v>
      </c>
      <c r="S66" s="87" t="n">
        <v>0</v>
      </c>
      <c r="T66" s="88" t="n">
        <v>0</v>
      </c>
      <c r="U66" s="87" t="n">
        <v>0</v>
      </c>
      <c r="V66" s="88" t="n">
        <v>0</v>
      </c>
      <c r="W66" s="87" t="n">
        <v>0</v>
      </c>
      <c r="X66" s="88" t="n">
        <v>0</v>
      </c>
      <c r="Y66" s="87" t="n">
        <v>0</v>
      </c>
      <c r="Z66" s="90" t="n">
        <v>0</v>
      </c>
      <c r="AA66" s="87" t="n">
        <v>0</v>
      </c>
      <c r="AB66" s="88" t="n">
        <v>0</v>
      </c>
      <c r="AC66" s="87" t="n">
        <v>21</v>
      </c>
      <c r="AD66" s="88" t="n">
        <v>0.2413793103448276</v>
      </c>
      <c r="AE66" s="87" t="n">
        <v>2</v>
      </c>
      <c r="AF66" s="88" t="n">
        <v>0.09523809523809523</v>
      </c>
      <c r="AG66" s="87" t="n">
        <v>17</v>
      </c>
      <c r="AH66" s="88" t="n">
        <v>0.8095238095238095</v>
      </c>
      <c r="AI66" s="91" t="n">
        <v>0</v>
      </c>
      <c r="AJ66" s="88" t="n">
        <v>0</v>
      </c>
      <c r="AK66" s="91" t="n">
        <v>0</v>
      </c>
      <c r="AL66" s="88" t="n">
        <v>0</v>
      </c>
      <c r="AM66" s="91" t="n">
        <v>0</v>
      </c>
      <c r="AN66" s="91" t="n">
        <v>0</v>
      </c>
      <c r="AO66" s="88" t="n">
        <v>0</v>
      </c>
      <c r="AP66" s="88" t="n">
        <v>0</v>
      </c>
      <c r="AQ66" s="89" t="n"/>
      <c r="AR66" s="89" t="n">
        <v>0</v>
      </c>
      <c r="AS66" s="89" t="n">
        <v>0</v>
      </c>
      <c r="AT66" s="91" t="n">
        <v>0</v>
      </c>
      <c r="AU66" s="91" t="n">
        <v>0</v>
      </c>
      <c r="AV66" s="91" t="n">
        <v>0</v>
      </c>
      <c r="AW66" s="91" t="n">
        <v>0</v>
      </c>
      <c r="AX66" s="91" t="n">
        <v>0</v>
      </c>
      <c r="AY66" s="91" t="n">
        <v>0</v>
      </c>
      <c r="AZ66" s="88" t="n">
        <v>0</v>
      </c>
      <c r="BA66" s="88" t="n">
        <v>0</v>
      </c>
      <c r="BB66" s="88" t="n">
        <v>0</v>
      </c>
      <c r="BC66" s="88" t="n">
        <v>0</v>
      </c>
      <c r="BD66" s="91" t="n">
        <v>0</v>
      </c>
      <c r="BE66" s="91" t="n">
        <v>0</v>
      </c>
      <c r="BF66" s="89" t="inlineStr">
        <is>
          <t>-</t>
        </is>
      </c>
      <c r="BG66" s="89" t="inlineStr">
        <is>
          <t>-</t>
        </is>
      </c>
      <c r="BH66" s="89" t="inlineStr">
        <is>
          <t>-</t>
        </is>
      </c>
    </row>
    <row r="67" ht="19.55" customHeight="1">
      <c r="A67" s="92" t="n">
        <v>64</v>
      </c>
      <c r="B67" s="87" t="inlineStr">
        <is>
          <t>全国</t>
        </is>
      </c>
      <c r="C67" s="93" t="n">
        <v>45913</v>
      </c>
      <c r="D67" s="87" t="inlineStr">
        <is>
          <t>N7</t>
        </is>
      </c>
      <c r="E67" s="87" t="n">
        <v>7834</v>
      </c>
      <c r="F67" s="87" t="n">
        <v>6309</v>
      </c>
      <c r="G67" s="88" t="n">
        <v>0.8053357161092672</v>
      </c>
      <c r="H67" s="87" t="n">
        <v>3995</v>
      </c>
      <c r="I67" s="89" t="n">
        <v>0.5099565994383457</v>
      </c>
      <c r="J67" s="87" t="n">
        <v>5553</v>
      </c>
      <c r="K67" s="87" t="n">
        <v>5369</v>
      </c>
      <c r="L67" s="88" t="n">
        <v>0.967</v>
      </c>
      <c r="M67" s="87" t="n">
        <v>6568</v>
      </c>
      <c r="N67" s="87" t="n">
        <v>0</v>
      </c>
      <c r="O67" s="87" t="n">
        <v>6328</v>
      </c>
      <c r="P67" s="88" t="n">
        <v>0.9634591961023142</v>
      </c>
      <c r="Q67" s="87" t="n">
        <v>8</v>
      </c>
      <c r="R67" s="87" t="n">
        <v>0</v>
      </c>
      <c r="S67" s="87" t="n">
        <v>0</v>
      </c>
      <c r="T67" s="88" t="n">
        <v>0</v>
      </c>
      <c r="U67" s="87" t="n">
        <v>0</v>
      </c>
      <c r="V67" s="88" t="n">
        <v>0</v>
      </c>
      <c r="W67" s="87" t="n">
        <v>921</v>
      </c>
      <c r="X67" s="88" t="n">
        <v>0.1175644625989277</v>
      </c>
      <c r="Y67" s="87" t="n">
        <v>1154</v>
      </c>
      <c r="Z67" s="90" t="n">
        <v>0.1473066122032168</v>
      </c>
      <c r="AA67" s="87" t="n">
        <v>2</v>
      </c>
      <c r="AB67" s="88" t="n">
        <v>0.0002552974214960429</v>
      </c>
      <c r="AC67" s="87" t="n">
        <v>1746</v>
      </c>
      <c r="AD67" s="88" t="n">
        <v>0.2228746489660454</v>
      </c>
      <c r="AE67" s="87" t="n">
        <v>67</v>
      </c>
      <c r="AF67" s="88" t="n">
        <v>0.03837342497136312</v>
      </c>
      <c r="AG67" s="87" t="n">
        <v>984</v>
      </c>
      <c r="AH67" s="88" t="n">
        <v>0.563573883161512</v>
      </c>
      <c r="AI67" s="91" t="n">
        <v>1698</v>
      </c>
      <c r="AJ67" s="88" t="n">
        <v>0.2167475108501404</v>
      </c>
      <c r="AK67" s="91" t="n">
        <v>111</v>
      </c>
      <c r="AL67" s="88" t="n">
        <v>0.8510011778563016</v>
      </c>
      <c r="AM67" s="91" t="n">
        <v>1666</v>
      </c>
      <c r="AN67" s="91" t="n">
        <v>1445</v>
      </c>
      <c r="AO67" s="88" t="n">
        <v>0.184452387030891</v>
      </c>
      <c r="AP67" s="88" t="n">
        <v>0.8276059564719358</v>
      </c>
      <c r="AQ67" s="89" t="n">
        <v>0</v>
      </c>
      <c r="AR67" s="89" t="n">
        <v>0.03381924198250729</v>
      </c>
      <c r="AS67" s="89" t="n">
        <v>0.03381924198250729</v>
      </c>
      <c r="AT67" s="91" t="n">
        <v>0</v>
      </c>
      <c r="AU67" s="91" t="n">
        <v>0</v>
      </c>
      <c r="AV67" s="91" t="n">
        <v>254</v>
      </c>
      <c r="AW67" s="91" t="n">
        <v>222</v>
      </c>
      <c r="AX67" s="91" t="n">
        <v>222</v>
      </c>
      <c r="AY67" s="91" t="n">
        <v>198</v>
      </c>
      <c r="AZ67" s="88" t="n">
        <v>0.02833801378606076</v>
      </c>
      <c r="BA67" s="88" t="n">
        <v>0.02833801378606076</v>
      </c>
      <c r="BB67" s="88" t="n">
        <v>0.02527444472810825</v>
      </c>
      <c r="BC67" s="88" t="n">
        <v>0.1536332179930796</v>
      </c>
      <c r="BD67" s="91" t="n">
        <v>0</v>
      </c>
      <c r="BE67" s="91" t="n">
        <v>1</v>
      </c>
      <c r="BF67" s="89" t="n">
        <v>0.963855421686747</v>
      </c>
      <c r="BG67" s="89" t="n">
        <v>1</v>
      </c>
      <c r="BH67" s="89" t="inlineStr">
        <is>
          <t>-</t>
        </is>
      </c>
    </row>
    <row r="68" ht="19.55" customHeight="1">
      <c r="A68" s="92" t="n">
        <v>65</v>
      </c>
      <c r="B68" s="87" t="inlineStr">
        <is>
          <t>全国</t>
        </is>
      </c>
      <c r="C68" s="93" t="n">
        <v>45913</v>
      </c>
      <c r="D68" s="87" t="inlineStr">
        <is>
          <t>NX8</t>
        </is>
      </c>
      <c r="E68" s="87" t="n">
        <v>176</v>
      </c>
      <c r="F68" s="87" t="n">
        <v>161</v>
      </c>
      <c r="G68" s="88" t="n">
        <v>0.9147727272727273</v>
      </c>
      <c r="H68" s="87" t="n">
        <v>72</v>
      </c>
      <c r="I68" s="89" t="n">
        <v>0.4090909090909091</v>
      </c>
      <c r="J68" s="87" t="n">
        <v>43</v>
      </c>
      <c r="K68" s="87" t="n">
        <v>42</v>
      </c>
      <c r="L68" s="88" t="n">
        <v>0.977</v>
      </c>
      <c r="M68" s="87" t="n">
        <v>56</v>
      </c>
      <c r="N68" s="87" t="n">
        <v>0</v>
      </c>
      <c r="O68" s="87" t="n">
        <v>55</v>
      </c>
      <c r="P68" s="88" t="n">
        <v>0.9821428571428571</v>
      </c>
      <c r="Q68" s="87" t="n">
        <v>0</v>
      </c>
      <c r="R68" s="87" t="n">
        <v>0</v>
      </c>
      <c r="S68" s="87" t="n">
        <v>0</v>
      </c>
      <c r="T68" s="88" t="n">
        <v>0</v>
      </c>
      <c r="U68" s="87" t="n">
        <v>0</v>
      </c>
      <c r="V68" s="88" t="n">
        <v>0</v>
      </c>
      <c r="W68" s="87" t="n">
        <v>0</v>
      </c>
      <c r="X68" s="88" t="n">
        <v>0</v>
      </c>
      <c r="Y68" s="87" t="n">
        <v>0</v>
      </c>
      <c r="Z68" s="90" t="n">
        <v>0</v>
      </c>
      <c r="AA68" s="87" t="n">
        <v>0</v>
      </c>
      <c r="AB68" s="88" t="n">
        <v>0</v>
      </c>
      <c r="AC68" s="87" t="n">
        <v>43</v>
      </c>
      <c r="AD68" s="88" t="n">
        <v>0.2443181818181818</v>
      </c>
      <c r="AE68" s="87" t="n">
        <v>5</v>
      </c>
      <c r="AF68" s="88" t="n">
        <v>0.1162790697674419</v>
      </c>
      <c r="AG68" s="87" t="n">
        <v>32</v>
      </c>
      <c r="AH68" s="88" t="n">
        <v>0.7441860465116279</v>
      </c>
      <c r="AI68" s="91" t="n">
        <v>0</v>
      </c>
      <c r="AJ68" s="88" t="n">
        <v>0</v>
      </c>
      <c r="AK68" s="91" t="n">
        <v>0</v>
      </c>
      <c r="AL68" s="88" t="n">
        <v>0</v>
      </c>
      <c r="AM68" s="91" t="n">
        <v>0</v>
      </c>
      <c r="AN68" s="91" t="n">
        <v>0</v>
      </c>
      <c r="AO68" s="88" t="n">
        <v>0</v>
      </c>
      <c r="AP68" s="88" t="n">
        <v>0</v>
      </c>
      <c r="AQ68" s="89" t="n"/>
      <c r="AR68" s="89" t="n">
        <v>0</v>
      </c>
      <c r="AS68" s="89" t="n">
        <v>0</v>
      </c>
      <c r="AT68" s="91" t="n">
        <v>0</v>
      </c>
      <c r="AU68" s="91" t="n">
        <v>0</v>
      </c>
      <c r="AV68" s="91" t="n">
        <v>0</v>
      </c>
      <c r="AW68" s="91" t="n">
        <v>0</v>
      </c>
      <c r="AX68" s="91" t="n">
        <v>0</v>
      </c>
      <c r="AY68" s="91" t="n">
        <v>0</v>
      </c>
      <c r="AZ68" s="88" t="n">
        <v>0</v>
      </c>
      <c r="BA68" s="88" t="n">
        <v>0</v>
      </c>
      <c r="BB68" s="88" t="n">
        <v>0</v>
      </c>
      <c r="BC68" s="88" t="n">
        <v>0</v>
      </c>
      <c r="BD68" s="91" t="n">
        <v>0</v>
      </c>
      <c r="BE68" s="91" t="n">
        <v>0</v>
      </c>
      <c r="BF68" s="89" t="inlineStr">
        <is>
          <t>-</t>
        </is>
      </c>
      <c r="BG68" s="89" t="inlineStr">
        <is>
          <t>-</t>
        </is>
      </c>
      <c r="BH68" s="89" t="inlineStr">
        <is>
          <t>-</t>
        </is>
      </c>
    </row>
    <row r="69" ht="19.55" customHeight="1">
      <c r="A69" s="92" t="n">
        <v>66</v>
      </c>
      <c r="B69" s="87" t="inlineStr">
        <is>
          <t>全国</t>
        </is>
      </c>
      <c r="C69" s="93" t="n">
        <v>45913</v>
      </c>
      <c r="D69" s="87" t="inlineStr">
        <is>
          <t>天籁·鸿蒙座舱</t>
        </is>
      </c>
      <c r="E69" s="87" t="n">
        <v>108</v>
      </c>
      <c r="F69" s="87" t="n">
        <v>102</v>
      </c>
      <c r="G69" s="88" t="n">
        <v>0.9444444444444444</v>
      </c>
      <c r="H69" s="87" t="n">
        <v>73</v>
      </c>
      <c r="I69" s="89" t="n">
        <v>0.6759259259259259</v>
      </c>
      <c r="J69" s="87" t="n">
        <v>39</v>
      </c>
      <c r="K69" s="87" t="n">
        <v>39</v>
      </c>
      <c r="L69" s="88" t="n">
        <v>1</v>
      </c>
      <c r="M69" s="87" t="n">
        <v>70</v>
      </c>
      <c r="N69" s="87" t="n">
        <v>0</v>
      </c>
      <c r="O69" s="87" t="n">
        <v>69</v>
      </c>
      <c r="P69" s="88" t="n">
        <v>0.9857142857142858</v>
      </c>
      <c r="Q69" s="87" t="n">
        <v>0</v>
      </c>
      <c r="R69" s="87" t="n">
        <v>0</v>
      </c>
      <c r="S69" s="87" t="n">
        <v>0</v>
      </c>
      <c r="T69" s="88" t="n">
        <v>0</v>
      </c>
      <c r="U69" s="87" t="n">
        <v>0</v>
      </c>
      <c r="V69" s="88" t="n">
        <v>0</v>
      </c>
      <c r="W69" s="87" t="n">
        <v>0</v>
      </c>
      <c r="X69" s="88" t="n">
        <v>0</v>
      </c>
      <c r="Y69" s="87" t="n">
        <v>0</v>
      </c>
      <c r="Z69" s="90" t="n">
        <v>0</v>
      </c>
      <c r="AA69" s="87" t="n">
        <v>0</v>
      </c>
      <c r="AB69" s="88" t="n">
        <v>0</v>
      </c>
      <c r="AC69" s="87" t="n">
        <v>31</v>
      </c>
      <c r="AD69" s="88" t="n">
        <v>0.287037037037037</v>
      </c>
      <c r="AE69" s="87" t="n">
        <v>6</v>
      </c>
      <c r="AF69" s="88" t="n">
        <v>0.1935483870967742</v>
      </c>
      <c r="AG69" s="87" t="n">
        <v>22</v>
      </c>
      <c r="AH69" s="88" t="n">
        <v>0.7096774193548387</v>
      </c>
      <c r="AI69" s="91" t="n">
        <v>0</v>
      </c>
      <c r="AJ69" s="88" t="n">
        <v>0</v>
      </c>
      <c r="AK69" s="91" t="n">
        <v>0</v>
      </c>
      <c r="AL69" s="88" t="n">
        <v>0</v>
      </c>
      <c r="AM69" s="91" t="n">
        <v>0</v>
      </c>
      <c r="AN69" s="91" t="n">
        <v>0</v>
      </c>
      <c r="AO69" s="88" t="n">
        <v>0</v>
      </c>
      <c r="AP69" s="88" t="n">
        <v>0</v>
      </c>
      <c r="AQ69" s="89" t="n"/>
      <c r="AR69" s="89" t="n">
        <v>0</v>
      </c>
      <c r="AS69" s="89" t="n">
        <v>0</v>
      </c>
      <c r="AT69" s="91" t="n">
        <v>0</v>
      </c>
      <c r="AU69" s="91" t="n">
        <v>0</v>
      </c>
      <c r="AV69" s="91" t="n">
        <v>0</v>
      </c>
      <c r="AW69" s="91" t="n">
        <v>0</v>
      </c>
      <c r="AX69" s="91" t="n">
        <v>0</v>
      </c>
      <c r="AY69" s="91" t="n">
        <v>0</v>
      </c>
      <c r="AZ69" s="88" t="n">
        <v>0</v>
      </c>
      <c r="BA69" s="88" t="n">
        <v>0</v>
      </c>
      <c r="BB69" s="88" t="n">
        <v>0</v>
      </c>
      <c r="BC69" s="88" t="n">
        <v>0</v>
      </c>
      <c r="BD69" s="91" t="n">
        <v>0</v>
      </c>
      <c r="BE69" s="91" t="n">
        <v>0</v>
      </c>
      <c r="BF69" s="89" t="inlineStr">
        <is>
          <t>-</t>
        </is>
      </c>
      <c r="BG69" s="89" t="inlineStr">
        <is>
          <t>-</t>
        </is>
      </c>
      <c r="BH69" s="89" t="inlineStr">
        <is>
          <t>-</t>
        </is>
      </c>
    </row>
    <row r="70" ht="19.55" customHeight="1">
      <c r="A70" s="92" t="n">
        <v>67</v>
      </c>
      <c r="B70" s="87" t="inlineStr">
        <is>
          <t>全国</t>
        </is>
      </c>
      <c r="C70" s="93" t="n">
        <v>45914</v>
      </c>
      <c r="D70" s="87" t="inlineStr">
        <is>
          <t>2026款探陆</t>
        </is>
      </c>
      <c r="E70" s="87" t="n">
        <v>4</v>
      </c>
      <c r="F70" s="87" t="n">
        <v>4</v>
      </c>
      <c r="G70" s="88" t="n">
        <v>1</v>
      </c>
      <c r="H70" s="87" t="n">
        <v>2</v>
      </c>
      <c r="I70" s="89" t="n">
        <v>0.5</v>
      </c>
      <c r="J70" s="87" t="n">
        <v>0</v>
      </c>
      <c r="K70" s="87" t="n">
        <v>0</v>
      </c>
      <c r="L70" s="88" t="n">
        <v>0</v>
      </c>
      <c r="M70" s="87" t="n">
        <v>0</v>
      </c>
      <c r="N70" s="87" t="n">
        <v>0</v>
      </c>
      <c r="O70" s="87" t="n">
        <v>0</v>
      </c>
      <c r="P70" s="88" t="n">
        <v>0</v>
      </c>
      <c r="Q70" s="87" t="n">
        <v>0</v>
      </c>
      <c r="R70" s="87" t="n">
        <v>0</v>
      </c>
      <c r="S70" s="87" t="n">
        <v>0</v>
      </c>
      <c r="T70" s="88" t="n">
        <v>0</v>
      </c>
      <c r="U70" s="87" t="n">
        <v>0</v>
      </c>
      <c r="V70" s="88" t="n">
        <v>0</v>
      </c>
      <c r="W70" s="87" t="n">
        <v>0</v>
      </c>
      <c r="X70" s="88" t="n">
        <v>0</v>
      </c>
      <c r="Y70" s="87" t="n">
        <v>0</v>
      </c>
      <c r="Z70" s="90" t="n">
        <v>0</v>
      </c>
      <c r="AA70" s="87" t="n">
        <v>0</v>
      </c>
      <c r="AB70" s="88" t="n">
        <v>0</v>
      </c>
      <c r="AC70" s="87" t="n">
        <v>0</v>
      </c>
      <c r="AD70" s="88" t="n">
        <v>0</v>
      </c>
      <c r="AE70" s="87" t="n">
        <v>0</v>
      </c>
      <c r="AF70" s="88" t="n">
        <v>0</v>
      </c>
      <c r="AG70" s="87" t="n">
        <v>0</v>
      </c>
      <c r="AH70" s="88" t="n">
        <v>0</v>
      </c>
      <c r="AI70" s="91" t="n">
        <v>0</v>
      </c>
      <c r="AJ70" s="88" t="n">
        <v>0</v>
      </c>
      <c r="AK70" s="91" t="n">
        <v>0</v>
      </c>
      <c r="AL70" s="88" t="n">
        <v>0</v>
      </c>
      <c r="AM70" s="91" t="n">
        <v>0</v>
      </c>
      <c r="AN70" s="91" t="n">
        <v>0</v>
      </c>
      <c r="AO70" s="88" t="n">
        <v>0</v>
      </c>
      <c r="AP70" s="88" t="n">
        <v>0</v>
      </c>
      <c r="AQ70" s="89" t="n"/>
      <c r="AR70" s="89" t="inlineStr">
        <is>
          <t>0.0%</t>
        </is>
      </c>
      <c r="AS70" s="89" t="inlineStr">
        <is>
          <t>0.0%</t>
        </is>
      </c>
      <c r="AT70" s="91" t="n">
        <v>0</v>
      </c>
      <c r="AU70" s="91" t="n">
        <v>0</v>
      </c>
      <c r="AV70" s="91" t="n">
        <v>0</v>
      </c>
      <c r="AW70" s="91" t="n">
        <v>0</v>
      </c>
      <c r="AX70" s="91" t="n">
        <v>0</v>
      </c>
      <c r="AY70" s="91" t="n">
        <v>0</v>
      </c>
      <c r="AZ70" s="88" t="n">
        <v>0</v>
      </c>
      <c r="BA70" s="88" t="n">
        <v>0</v>
      </c>
      <c r="BB70" s="88" t="n">
        <v>0</v>
      </c>
      <c r="BC70" s="88" t="n">
        <v>0</v>
      </c>
      <c r="BD70" s="91" t="n">
        <v>0</v>
      </c>
      <c r="BE70" s="91" t="n">
        <v>0</v>
      </c>
      <c r="BF70" s="89" t="inlineStr">
        <is>
          <t>-</t>
        </is>
      </c>
      <c r="BG70" s="89" t="inlineStr">
        <is>
          <t>-</t>
        </is>
      </c>
      <c r="BH70" s="89" t="inlineStr">
        <is>
          <t>-</t>
        </is>
      </c>
    </row>
    <row r="71" ht="19.55" customHeight="1">
      <c r="A71" s="92" t="n">
        <v>68</v>
      </c>
      <c r="B71" s="87" t="inlineStr">
        <is>
          <t>全国</t>
        </is>
      </c>
      <c r="C71" s="93" t="n">
        <v>45914</v>
      </c>
      <c r="D71" s="87" t="inlineStr">
        <is>
          <t>N6</t>
        </is>
      </c>
      <c r="E71" s="87" t="n">
        <v>80</v>
      </c>
      <c r="F71" s="87" t="n">
        <v>72</v>
      </c>
      <c r="G71" s="88" t="n">
        <v>0.9</v>
      </c>
      <c r="H71" s="87" t="n">
        <v>44</v>
      </c>
      <c r="I71" s="89" t="n">
        <v>0.55</v>
      </c>
      <c r="J71" s="87" t="n">
        <v>70</v>
      </c>
      <c r="K71" s="87" t="n">
        <v>69</v>
      </c>
      <c r="L71" s="88" t="n">
        <v>0.986</v>
      </c>
      <c r="M71" s="87" t="n">
        <v>94</v>
      </c>
      <c r="N71" s="87" t="n">
        <v>0</v>
      </c>
      <c r="O71" s="87" t="n">
        <v>92</v>
      </c>
      <c r="P71" s="88" t="n">
        <v>0.9787234042553191</v>
      </c>
      <c r="Q71" s="87" t="n">
        <v>0</v>
      </c>
      <c r="R71" s="87" t="n">
        <v>0</v>
      </c>
      <c r="S71" s="87" t="n">
        <v>0</v>
      </c>
      <c r="T71" s="88" t="n">
        <v>0</v>
      </c>
      <c r="U71" s="87" t="n">
        <v>0</v>
      </c>
      <c r="V71" s="88" t="n">
        <v>0</v>
      </c>
      <c r="W71" s="87" t="n">
        <v>0</v>
      </c>
      <c r="X71" s="88" t="n">
        <v>0</v>
      </c>
      <c r="Y71" s="87" t="n">
        <v>0</v>
      </c>
      <c r="Z71" s="90" t="n">
        <v>0</v>
      </c>
      <c r="AA71" s="87" t="n">
        <v>0</v>
      </c>
      <c r="AB71" s="88" t="n">
        <v>0</v>
      </c>
      <c r="AC71" s="87" t="n">
        <v>24</v>
      </c>
      <c r="AD71" s="88" t="n">
        <v>0.3</v>
      </c>
      <c r="AE71" s="87" t="n">
        <v>0</v>
      </c>
      <c r="AF71" s="88" t="n">
        <v>0</v>
      </c>
      <c r="AG71" s="87" t="n">
        <v>16</v>
      </c>
      <c r="AH71" s="88" t="n">
        <v>0.6666666666666666</v>
      </c>
      <c r="AI71" s="91" t="n">
        <v>0</v>
      </c>
      <c r="AJ71" s="88" t="n">
        <v>0</v>
      </c>
      <c r="AK71" s="91" t="n">
        <v>0</v>
      </c>
      <c r="AL71" s="88" t="n">
        <v>0</v>
      </c>
      <c r="AM71" s="91" t="n">
        <v>0</v>
      </c>
      <c r="AN71" s="91" t="n">
        <v>0</v>
      </c>
      <c r="AO71" s="88" t="n">
        <v>0</v>
      </c>
      <c r="AP71" s="88" t="n">
        <v>0</v>
      </c>
      <c r="AQ71" s="89" t="n"/>
      <c r="AR71" s="89" t="n">
        <v>0</v>
      </c>
      <c r="AS71" s="89" t="n">
        <v>0</v>
      </c>
      <c r="AT71" s="91" t="n">
        <v>0</v>
      </c>
      <c r="AU71" s="91" t="n">
        <v>0</v>
      </c>
      <c r="AV71" s="91" t="n">
        <v>0</v>
      </c>
      <c r="AW71" s="91" t="n">
        <v>0</v>
      </c>
      <c r="AX71" s="91" t="n">
        <v>0</v>
      </c>
      <c r="AY71" s="91" t="n">
        <v>0</v>
      </c>
      <c r="AZ71" s="88" t="n">
        <v>0</v>
      </c>
      <c r="BA71" s="88" t="n">
        <v>0</v>
      </c>
      <c r="BB71" s="88" t="n">
        <v>0</v>
      </c>
      <c r="BC71" s="88" t="n">
        <v>0</v>
      </c>
      <c r="BD71" s="91" t="n">
        <v>0</v>
      </c>
      <c r="BE71" s="91" t="n">
        <v>0</v>
      </c>
      <c r="BF71" s="89" t="inlineStr">
        <is>
          <t>-</t>
        </is>
      </c>
      <c r="BG71" s="89" t="inlineStr">
        <is>
          <t>-</t>
        </is>
      </c>
      <c r="BH71" s="89" t="inlineStr">
        <is>
          <t>-</t>
        </is>
      </c>
    </row>
    <row r="72" ht="19.55" customHeight="1">
      <c r="A72" s="92" t="n">
        <v>69</v>
      </c>
      <c r="B72" s="87" t="inlineStr">
        <is>
          <t>全国</t>
        </is>
      </c>
      <c r="C72" s="93" t="n">
        <v>45914</v>
      </c>
      <c r="D72" s="87" t="inlineStr">
        <is>
          <t>N7</t>
        </is>
      </c>
      <c r="E72" s="87" t="n">
        <v>7715</v>
      </c>
      <c r="F72" s="87" t="n">
        <v>6320</v>
      </c>
      <c r="G72" s="88" t="n">
        <v>0.8191834089436163</v>
      </c>
      <c r="H72" s="87" t="n">
        <v>4037</v>
      </c>
      <c r="I72" s="89" t="n">
        <v>0.5232663642255346</v>
      </c>
      <c r="J72" s="87" t="n">
        <v>6220</v>
      </c>
      <c r="K72" s="87" t="n">
        <v>5997</v>
      </c>
      <c r="L72" s="88" t="n">
        <v>0.964</v>
      </c>
      <c r="M72" s="87" t="n">
        <v>7724</v>
      </c>
      <c r="N72" s="87" t="n">
        <v>0</v>
      </c>
      <c r="O72" s="87" t="n">
        <v>7430</v>
      </c>
      <c r="P72" s="88" t="n">
        <v>0.9619368203003625</v>
      </c>
      <c r="Q72" s="87" t="n">
        <v>11</v>
      </c>
      <c r="R72" s="87" t="n">
        <v>0</v>
      </c>
      <c r="S72" s="87" t="n">
        <v>0</v>
      </c>
      <c r="T72" s="88" t="n">
        <v>0</v>
      </c>
      <c r="U72" s="87" t="n">
        <v>0</v>
      </c>
      <c r="V72" s="88" t="n">
        <v>0</v>
      </c>
      <c r="W72" s="87" t="n">
        <v>862</v>
      </c>
      <c r="X72" s="88" t="n">
        <v>0.1117303953337654</v>
      </c>
      <c r="Y72" s="87" t="n">
        <v>843</v>
      </c>
      <c r="Z72" s="90" t="n">
        <v>0.1092676604018147</v>
      </c>
      <c r="AA72" s="87" t="n">
        <v>4</v>
      </c>
      <c r="AB72" s="88" t="n">
        <v>0.0005184705119896306</v>
      </c>
      <c r="AC72" s="87" t="n">
        <v>1763</v>
      </c>
      <c r="AD72" s="88" t="n">
        <v>0.2285158781594297</v>
      </c>
      <c r="AE72" s="87" t="n">
        <v>87</v>
      </c>
      <c r="AF72" s="88" t="n">
        <v>0.04934770277935337</v>
      </c>
      <c r="AG72" s="87" t="n">
        <v>969</v>
      </c>
      <c r="AH72" s="88" t="n">
        <v>0.5496313102665911</v>
      </c>
      <c r="AI72" s="91" t="n">
        <v>1680</v>
      </c>
      <c r="AJ72" s="88" t="n">
        <v>0.2177576150356448</v>
      </c>
      <c r="AK72" s="91" t="n">
        <v>70</v>
      </c>
      <c r="AL72" s="88" t="n">
        <v>0.8369047619047619</v>
      </c>
      <c r="AM72" s="91" t="n">
        <v>1654</v>
      </c>
      <c r="AN72" s="91" t="n">
        <v>1406</v>
      </c>
      <c r="AO72" s="88" t="n">
        <v>0.1822423849643552</v>
      </c>
      <c r="AP72" s="88" t="n">
        <v>0.7975042541123085</v>
      </c>
      <c r="AQ72" s="89" t="n">
        <v>0</v>
      </c>
      <c r="AR72" s="89" t="n">
        <v>0.02982456140350877</v>
      </c>
      <c r="AS72" s="89" t="n">
        <v>0.02982456140350877</v>
      </c>
      <c r="AT72" s="91" t="n">
        <v>0</v>
      </c>
      <c r="AU72" s="91" t="n">
        <v>0</v>
      </c>
      <c r="AV72" s="91" t="n">
        <v>322</v>
      </c>
      <c r="AW72" s="91" t="n">
        <v>290</v>
      </c>
      <c r="AX72" s="91" t="n">
        <v>279</v>
      </c>
      <c r="AY72" s="91" t="n">
        <v>126</v>
      </c>
      <c r="AZ72" s="88" t="n">
        <v>0.03758911211924822</v>
      </c>
      <c r="BA72" s="88" t="n">
        <v>0.03616331821127673</v>
      </c>
      <c r="BB72" s="88" t="n">
        <v>0.01633182112767336</v>
      </c>
      <c r="BC72" s="88" t="n">
        <v>0.1984352773826458</v>
      </c>
      <c r="BD72" s="91" t="n">
        <v>0</v>
      </c>
      <c r="BE72" s="91" t="n">
        <v>2</v>
      </c>
      <c r="BF72" s="89" t="n">
        <v>0.9466666666666667</v>
      </c>
      <c r="BG72" s="89" t="n">
        <v>1</v>
      </c>
      <c r="BH72" s="89" t="inlineStr">
        <is>
          <t>-</t>
        </is>
      </c>
    </row>
    <row r="73" ht="19.55" customHeight="1">
      <c r="A73" s="92" t="n">
        <v>70</v>
      </c>
      <c r="B73" s="87" t="inlineStr">
        <is>
          <t>全国</t>
        </is>
      </c>
      <c r="C73" s="93" t="n">
        <v>45914</v>
      </c>
      <c r="D73" s="87" t="inlineStr">
        <is>
          <t>NX8</t>
        </is>
      </c>
      <c r="E73" s="87" t="n">
        <v>200</v>
      </c>
      <c r="F73" s="87" t="n">
        <v>184</v>
      </c>
      <c r="G73" s="88" t="n">
        <v>0.92</v>
      </c>
      <c r="H73" s="87" t="n">
        <v>75</v>
      </c>
      <c r="I73" s="89" t="n">
        <v>0.375</v>
      </c>
      <c r="J73" s="87" t="n">
        <v>50</v>
      </c>
      <c r="K73" s="87" t="n">
        <v>47</v>
      </c>
      <c r="L73" s="88" t="n">
        <v>0.9399999999999999</v>
      </c>
      <c r="M73" s="87" t="n">
        <v>75</v>
      </c>
      <c r="N73" s="87" t="n">
        <v>0</v>
      </c>
      <c r="O73" s="87" t="n">
        <v>72</v>
      </c>
      <c r="P73" s="88" t="n">
        <v>0.96</v>
      </c>
      <c r="Q73" s="87" t="n">
        <v>0</v>
      </c>
      <c r="R73" s="87" t="n">
        <v>0</v>
      </c>
      <c r="S73" s="87" t="n">
        <v>0</v>
      </c>
      <c r="T73" s="88" t="n">
        <v>0</v>
      </c>
      <c r="U73" s="87" t="n">
        <v>0</v>
      </c>
      <c r="V73" s="88" t="n">
        <v>0</v>
      </c>
      <c r="W73" s="87" t="n">
        <v>0</v>
      </c>
      <c r="X73" s="88" t="n">
        <v>0</v>
      </c>
      <c r="Y73" s="87" t="n">
        <v>0</v>
      </c>
      <c r="Z73" s="90" t="n">
        <v>0</v>
      </c>
      <c r="AA73" s="87" t="n">
        <v>0</v>
      </c>
      <c r="AB73" s="88" t="n">
        <v>0</v>
      </c>
      <c r="AC73" s="87" t="n">
        <v>46</v>
      </c>
      <c r="AD73" s="88" t="n">
        <v>0.23</v>
      </c>
      <c r="AE73" s="87" t="n">
        <v>3</v>
      </c>
      <c r="AF73" s="88" t="n">
        <v>0.06521739130434782</v>
      </c>
      <c r="AG73" s="87" t="n">
        <v>35</v>
      </c>
      <c r="AH73" s="88" t="n">
        <v>0.7608695652173914</v>
      </c>
      <c r="AI73" s="91" t="n">
        <v>0</v>
      </c>
      <c r="AJ73" s="88" t="n">
        <v>0</v>
      </c>
      <c r="AK73" s="91" t="n">
        <v>0</v>
      </c>
      <c r="AL73" s="88" t="n">
        <v>0</v>
      </c>
      <c r="AM73" s="91" t="n">
        <v>0</v>
      </c>
      <c r="AN73" s="91" t="n">
        <v>0</v>
      </c>
      <c r="AO73" s="88" t="n">
        <v>0</v>
      </c>
      <c r="AP73" s="88" t="n">
        <v>0</v>
      </c>
      <c r="AQ73" s="89" t="n"/>
      <c r="AR73" s="89" t="n">
        <v>0</v>
      </c>
      <c r="AS73" s="89" t="n">
        <v>0</v>
      </c>
      <c r="AT73" s="91" t="n">
        <v>0</v>
      </c>
      <c r="AU73" s="91" t="n">
        <v>0</v>
      </c>
      <c r="AV73" s="91" t="n">
        <v>0</v>
      </c>
      <c r="AW73" s="91" t="n">
        <v>0</v>
      </c>
      <c r="AX73" s="91" t="n">
        <v>0</v>
      </c>
      <c r="AY73" s="91" t="n">
        <v>0</v>
      </c>
      <c r="AZ73" s="88" t="n">
        <v>0</v>
      </c>
      <c r="BA73" s="88" t="n">
        <v>0</v>
      </c>
      <c r="BB73" s="88" t="n">
        <v>0</v>
      </c>
      <c r="BC73" s="88" t="n">
        <v>0</v>
      </c>
      <c r="BD73" s="91" t="n">
        <v>0</v>
      </c>
      <c r="BE73" s="91" t="n">
        <v>0</v>
      </c>
      <c r="BF73" s="89" t="inlineStr">
        <is>
          <t>-</t>
        </is>
      </c>
      <c r="BG73" s="89" t="inlineStr">
        <is>
          <t>-</t>
        </is>
      </c>
      <c r="BH73" s="89" t="inlineStr">
        <is>
          <t>-</t>
        </is>
      </c>
    </row>
    <row r="74" ht="19.55" customHeight="1">
      <c r="A74" s="92" t="n">
        <v>71</v>
      </c>
      <c r="B74" s="87" t="inlineStr">
        <is>
          <t>全国</t>
        </is>
      </c>
      <c r="C74" s="93" t="n">
        <v>45914</v>
      </c>
      <c r="D74" s="87" t="inlineStr">
        <is>
          <t>天籁·鸿蒙座舱</t>
        </is>
      </c>
      <c r="E74" s="87" t="n">
        <v>94</v>
      </c>
      <c r="F74" s="87" t="n">
        <v>88</v>
      </c>
      <c r="G74" s="88" t="n">
        <v>0.9361702127659575</v>
      </c>
      <c r="H74" s="87" t="n">
        <v>52</v>
      </c>
      <c r="I74" s="89" t="n">
        <v>0.5531914893617021</v>
      </c>
      <c r="J74" s="87" t="n">
        <v>54</v>
      </c>
      <c r="K74" s="87" t="n">
        <v>50</v>
      </c>
      <c r="L74" s="88" t="n">
        <v>0.926</v>
      </c>
      <c r="M74" s="87" t="n">
        <v>113</v>
      </c>
      <c r="N74" s="87" t="n">
        <v>0</v>
      </c>
      <c r="O74" s="87" t="n">
        <v>108</v>
      </c>
      <c r="P74" s="88" t="n">
        <v>0.9557522123893806</v>
      </c>
      <c r="Q74" s="87" t="n">
        <v>0</v>
      </c>
      <c r="R74" s="87" t="n">
        <v>0</v>
      </c>
      <c r="S74" s="87" t="n">
        <v>0</v>
      </c>
      <c r="T74" s="88" t="n">
        <v>0</v>
      </c>
      <c r="U74" s="87" t="n">
        <v>0</v>
      </c>
      <c r="V74" s="88" t="n">
        <v>0</v>
      </c>
      <c r="W74" s="87" t="n">
        <v>0</v>
      </c>
      <c r="X74" s="88" t="n">
        <v>0</v>
      </c>
      <c r="Y74" s="87" t="n">
        <v>0</v>
      </c>
      <c r="Z74" s="90" t="n">
        <v>0</v>
      </c>
      <c r="AA74" s="87" t="n">
        <v>0</v>
      </c>
      <c r="AB74" s="88" t="n">
        <v>0</v>
      </c>
      <c r="AC74" s="87" t="n">
        <v>26</v>
      </c>
      <c r="AD74" s="88" t="n">
        <v>0.2765957446808511</v>
      </c>
      <c r="AE74" s="87" t="n">
        <v>3</v>
      </c>
      <c r="AF74" s="88" t="n">
        <v>0.1153846153846154</v>
      </c>
      <c r="AG74" s="87" t="n">
        <v>19</v>
      </c>
      <c r="AH74" s="88" t="n">
        <v>0.7307692307692307</v>
      </c>
      <c r="AI74" s="91" t="n">
        <v>0</v>
      </c>
      <c r="AJ74" s="88" t="n">
        <v>0</v>
      </c>
      <c r="AK74" s="91" t="n">
        <v>0</v>
      </c>
      <c r="AL74" s="88" t="n">
        <v>0</v>
      </c>
      <c r="AM74" s="91" t="n">
        <v>0</v>
      </c>
      <c r="AN74" s="91" t="n">
        <v>0</v>
      </c>
      <c r="AO74" s="88" t="n">
        <v>0</v>
      </c>
      <c r="AP74" s="88" t="n">
        <v>0</v>
      </c>
      <c r="AQ74" s="89" t="n"/>
      <c r="AR74" s="89" t="n">
        <v>0</v>
      </c>
      <c r="AS74" s="89" t="n">
        <v>0</v>
      </c>
      <c r="AT74" s="91" t="n">
        <v>0</v>
      </c>
      <c r="AU74" s="91" t="n">
        <v>0</v>
      </c>
      <c r="AV74" s="91" t="n">
        <v>0</v>
      </c>
      <c r="AW74" s="91" t="n">
        <v>0</v>
      </c>
      <c r="AX74" s="91" t="n">
        <v>0</v>
      </c>
      <c r="AY74" s="91" t="n">
        <v>0</v>
      </c>
      <c r="AZ74" s="88" t="n">
        <v>0</v>
      </c>
      <c r="BA74" s="88" t="n">
        <v>0</v>
      </c>
      <c r="BB74" s="88" t="n">
        <v>0</v>
      </c>
      <c r="BC74" s="88" t="n">
        <v>0</v>
      </c>
      <c r="BD74" s="91" t="n">
        <v>0</v>
      </c>
      <c r="BE74" s="91" t="n">
        <v>0</v>
      </c>
      <c r="BF74" s="89" t="inlineStr">
        <is>
          <t>-</t>
        </is>
      </c>
      <c r="BG74" s="89" t="inlineStr">
        <is>
          <t>-</t>
        </is>
      </c>
      <c r="BH74" s="89" t="inlineStr">
        <is>
          <t>-</t>
        </is>
      </c>
    </row>
    <row r="75" ht="19.55" customHeight="1">
      <c r="A75" s="92" t="n">
        <v>72</v>
      </c>
      <c r="B75" s="87" t="inlineStr">
        <is>
          <t>全国</t>
        </is>
      </c>
      <c r="C75" s="93" t="n">
        <v>45915</v>
      </c>
      <c r="D75" s="87" t="n"/>
      <c r="E75" s="87" t="n">
        <v>0</v>
      </c>
      <c r="F75" s="87" t="n">
        <v>0</v>
      </c>
      <c r="G75" s="88" t="n">
        <v>0</v>
      </c>
      <c r="H75" s="87" t="n">
        <v>0</v>
      </c>
      <c r="I75" s="89" t="n">
        <v>0</v>
      </c>
      <c r="J75" s="87" t="n">
        <v>0</v>
      </c>
      <c r="K75" s="87" t="n">
        <v>0</v>
      </c>
      <c r="L75" s="88" t="n">
        <v>0</v>
      </c>
      <c r="M75" s="87" t="n">
        <v>1</v>
      </c>
      <c r="N75" s="87" t="n">
        <v>0</v>
      </c>
      <c r="O75" s="87" t="n">
        <v>1</v>
      </c>
      <c r="P75" s="88" t="n">
        <v>1</v>
      </c>
      <c r="Q75" s="87" t="n">
        <v>0</v>
      </c>
      <c r="R75" s="87" t="n">
        <v>0</v>
      </c>
      <c r="S75" s="87" t="n">
        <v>0</v>
      </c>
      <c r="T75" s="88" t="n">
        <v>0</v>
      </c>
      <c r="U75" s="87" t="n">
        <v>0</v>
      </c>
      <c r="V75" s="88" t="n">
        <v>0</v>
      </c>
      <c r="W75" s="87" t="n">
        <v>0</v>
      </c>
      <c r="X75" s="88" t="n">
        <v>0</v>
      </c>
      <c r="Y75" s="87" t="n">
        <v>0</v>
      </c>
      <c r="Z75" s="90" t="n">
        <v>0</v>
      </c>
      <c r="AA75" s="87" t="n">
        <v>0</v>
      </c>
      <c r="AB75" s="88" t="n">
        <v>0</v>
      </c>
      <c r="AC75" s="87" t="n">
        <v>0</v>
      </c>
      <c r="AD75" s="88" t="n">
        <v>0</v>
      </c>
      <c r="AE75" s="87" t="n">
        <v>0</v>
      </c>
      <c r="AF75" s="88" t="n">
        <v>0</v>
      </c>
      <c r="AG75" s="87" t="n">
        <v>0</v>
      </c>
      <c r="AH75" s="88" t="n">
        <v>0</v>
      </c>
      <c r="AI75" s="91" t="n">
        <v>0</v>
      </c>
      <c r="AJ75" s="88" t="n">
        <v>0</v>
      </c>
      <c r="AK75" s="91" t="n">
        <v>0</v>
      </c>
      <c r="AL75" s="88" t="n">
        <v>0</v>
      </c>
      <c r="AM75" s="91" t="n">
        <v>0</v>
      </c>
      <c r="AN75" s="91" t="n">
        <v>0</v>
      </c>
      <c r="AO75" s="88" t="n">
        <v>0</v>
      </c>
      <c r="AP75" s="88" t="n">
        <v>0</v>
      </c>
      <c r="AQ75" s="89" t="n"/>
      <c r="AR75" s="89" t="inlineStr">
        <is>
          <t>0.0%</t>
        </is>
      </c>
      <c r="AS75" s="89" t="inlineStr">
        <is>
          <t>0.0%</t>
        </is>
      </c>
      <c r="AT75" s="91" t="n">
        <v>0</v>
      </c>
      <c r="AU75" s="91" t="n">
        <v>0</v>
      </c>
      <c r="AV75" s="91" t="n">
        <v>0</v>
      </c>
      <c r="AW75" s="91" t="n">
        <v>0</v>
      </c>
      <c r="AX75" s="91" t="n">
        <v>0</v>
      </c>
      <c r="AY75" s="91" t="n">
        <v>0</v>
      </c>
      <c r="AZ75" s="88" t="n">
        <v>0</v>
      </c>
      <c r="BA75" s="88" t="n">
        <v>0</v>
      </c>
      <c r="BB75" s="88" t="n">
        <v>0</v>
      </c>
      <c r="BC75" s="88" t="n">
        <v>0</v>
      </c>
      <c r="BD75" s="91" t="n">
        <v>0</v>
      </c>
      <c r="BE75" s="91" t="n">
        <v>0</v>
      </c>
      <c r="BF75" s="89" t="inlineStr">
        <is>
          <t>-</t>
        </is>
      </c>
      <c r="BG75" s="89" t="inlineStr">
        <is>
          <t>-</t>
        </is>
      </c>
      <c r="BH75" s="89" t="n">
        <v>0.9908256880733946</v>
      </c>
    </row>
    <row r="76" ht="19.55" customHeight="1">
      <c r="A76" s="92" t="n">
        <v>73</v>
      </c>
      <c r="B76" s="87" t="inlineStr">
        <is>
          <t>全国</t>
        </is>
      </c>
      <c r="C76" s="93" t="n">
        <v>45915</v>
      </c>
      <c r="D76" s="87" t="inlineStr">
        <is>
          <t>2026款探陆</t>
        </is>
      </c>
      <c r="E76" s="87" t="n">
        <v>1</v>
      </c>
      <c r="F76" s="87" t="n">
        <v>1</v>
      </c>
      <c r="G76" s="88" t="n">
        <v>1</v>
      </c>
      <c r="H76" s="87" t="n">
        <v>0</v>
      </c>
      <c r="I76" s="89" t="n">
        <v>0</v>
      </c>
      <c r="J76" s="87" t="n">
        <v>1</v>
      </c>
      <c r="K76" s="87" t="n">
        <v>1</v>
      </c>
      <c r="L76" s="88" t="n">
        <v>1</v>
      </c>
      <c r="M76" s="87" t="n">
        <v>1</v>
      </c>
      <c r="N76" s="87" t="n">
        <v>0</v>
      </c>
      <c r="O76" s="87" t="n">
        <v>1</v>
      </c>
      <c r="P76" s="88" t="n">
        <v>1</v>
      </c>
      <c r="Q76" s="87" t="n">
        <v>0</v>
      </c>
      <c r="R76" s="87" t="n">
        <v>0</v>
      </c>
      <c r="S76" s="87" t="n">
        <v>0</v>
      </c>
      <c r="T76" s="88" t="n">
        <v>0</v>
      </c>
      <c r="U76" s="87" t="n">
        <v>0</v>
      </c>
      <c r="V76" s="88" t="n">
        <v>0</v>
      </c>
      <c r="W76" s="87" t="n">
        <v>0</v>
      </c>
      <c r="X76" s="88" t="n">
        <v>0</v>
      </c>
      <c r="Y76" s="87" t="n">
        <v>0</v>
      </c>
      <c r="Z76" s="90" t="n">
        <v>0</v>
      </c>
      <c r="AA76" s="87" t="n">
        <v>0</v>
      </c>
      <c r="AB76" s="88" t="n">
        <v>0</v>
      </c>
      <c r="AC76" s="87" t="n">
        <v>0</v>
      </c>
      <c r="AD76" s="88" t="n">
        <v>0</v>
      </c>
      <c r="AE76" s="87" t="n">
        <v>0</v>
      </c>
      <c r="AF76" s="88" t="n">
        <v>0</v>
      </c>
      <c r="AG76" s="87" t="n">
        <v>0</v>
      </c>
      <c r="AH76" s="88" t="n">
        <v>0</v>
      </c>
      <c r="AI76" s="91" t="n">
        <v>0</v>
      </c>
      <c r="AJ76" s="88" t="n">
        <v>0</v>
      </c>
      <c r="AK76" s="91" t="n">
        <v>0</v>
      </c>
      <c r="AL76" s="88" t="n">
        <v>0</v>
      </c>
      <c r="AM76" s="91" t="n">
        <v>0</v>
      </c>
      <c r="AN76" s="91" t="n">
        <v>0</v>
      </c>
      <c r="AO76" s="88" t="n">
        <v>0</v>
      </c>
      <c r="AP76" s="88" t="n">
        <v>0</v>
      </c>
      <c r="AQ76" s="89" t="n"/>
      <c r="AR76" s="89" t="inlineStr">
        <is>
          <t>0.0%</t>
        </is>
      </c>
      <c r="AS76" s="89" t="inlineStr">
        <is>
          <t>0.0%</t>
        </is>
      </c>
      <c r="AT76" s="91" t="n">
        <v>0</v>
      </c>
      <c r="AU76" s="91" t="n">
        <v>0</v>
      </c>
      <c r="AV76" s="91" t="n">
        <v>0</v>
      </c>
      <c r="AW76" s="91" t="n">
        <v>0</v>
      </c>
      <c r="AX76" s="91" t="n">
        <v>0</v>
      </c>
      <c r="AY76" s="91" t="n">
        <v>0</v>
      </c>
      <c r="AZ76" s="88" t="n">
        <v>0</v>
      </c>
      <c r="BA76" s="88" t="n">
        <v>0</v>
      </c>
      <c r="BB76" s="88" t="n">
        <v>0</v>
      </c>
      <c r="BC76" s="88" t="n">
        <v>0</v>
      </c>
      <c r="BD76" s="91" t="n">
        <v>0</v>
      </c>
      <c r="BE76" s="91" t="n">
        <v>0</v>
      </c>
      <c r="BF76" s="89" t="inlineStr">
        <is>
          <t>-</t>
        </is>
      </c>
      <c r="BG76" s="89" t="inlineStr">
        <is>
          <t>-</t>
        </is>
      </c>
      <c r="BH76" s="89" t="inlineStr">
        <is>
          <t>-</t>
        </is>
      </c>
    </row>
    <row r="77" ht="19.55" customHeight="1">
      <c r="A77" s="92" t="n">
        <v>74</v>
      </c>
      <c r="B77" s="87" t="inlineStr">
        <is>
          <t>全国</t>
        </is>
      </c>
      <c r="C77" s="93" t="n">
        <v>45915</v>
      </c>
      <c r="D77" s="87" t="inlineStr">
        <is>
          <t>N6</t>
        </is>
      </c>
      <c r="E77" s="87" t="n">
        <v>71</v>
      </c>
      <c r="F77" s="87" t="n">
        <v>67</v>
      </c>
      <c r="G77" s="88" t="n">
        <v>0.9436619718309859</v>
      </c>
      <c r="H77" s="87" t="n">
        <v>34</v>
      </c>
      <c r="I77" s="89" t="n">
        <v>0.4788732394366197</v>
      </c>
      <c r="J77" s="87" t="n">
        <v>39</v>
      </c>
      <c r="K77" s="87" t="n">
        <v>37</v>
      </c>
      <c r="L77" s="88" t="n">
        <v>0.949</v>
      </c>
      <c r="M77" s="87" t="n">
        <v>80</v>
      </c>
      <c r="N77" s="87" t="n">
        <v>0</v>
      </c>
      <c r="O77" s="87" t="n">
        <v>78</v>
      </c>
      <c r="P77" s="88" t="n">
        <v>0.975</v>
      </c>
      <c r="Q77" s="87" t="n">
        <v>0</v>
      </c>
      <c r="R77" s="87" t="n">
        <v>0</v>
      </c>
      <c r="S77" s="87" t="n">
        <v>0</v>
      </c>
      <c r="T77" s="88" t="n">
        <v>0</v>
      </c>
      <c r="U77" s="87" t="n">
        <v>0</v>
      </c>
      <c r="V77" s="88" t="n">
        <v>0</v>
      </c>
      <c r="W77" s="87" t="n">
        <v>0</v>
      </c>
      <c r="X77" s="88" t="n">
        <v>0</v>
      </c>
      <c r="Y77" s="87" t="n">
        <v>0</v>
      </c>
      <c r="Z77" s="90" t="n">
        <v>0</v>
      </c>
      <c r="AA77" s="87" t="n">
        <v>0</v>
      </c>
      <c r="AB77" s="88" t="n">
        <v>0</v>
      </c>
      <c r="AC77" s="87" t="n">
        <v>11</v>
      </c>
      <c r="AD77" s="88" t="n">
        <v>0.1549295774647887</v>
      </c>
      <c r="AE77" s="87" t="n">
        <v>2</v>
      </c>
      <c r="AF77" s="88" t="n">
        <v>0.1818181818181818</v>
      </c>
      <c r="AG77" s="87" t="n">
        <v>8</v>
      </c>
      <c r="AH77" s="88" t="n">
        <v>0.7272727272727273</v>
      </c>
      <c r="AI77" s="91" t="n">
        <v>1</v>
      </c>
      <c r="AJ77" s="88" t="n">
        <v>0.01408450704225352</v>
      </c>
      <c r="AK77" s="91" t="n">
        <v>0</v>
      </c>
      <c r="AL77" s="88" t="n">
        <v>0</v>
      </c>
      <c r="AM77" s="91" t="n">
        <v>0</v>
      </c>
      <c r="AN77" s="91" t="n">
        <v>0</v>
      </c>
      <c r="AO77" s="88" t="n">
        <v>0</v>
      </c>
      <c r="AP77" s="88" t="n">
        <v>0</v>
      </c>
      <c r="AQ77" s="89" t="n"/>
      <c r="AR77" s="89" t="n">
        <v>0</v>
      </c>
      <c r="AS77" s="89" t="n">
        <v>0</v>
      </c>
      <c r="AT77" s="91" t="n">
        <v>0</v>
      </c>
      <c r="AU77" s="91" t="n">
        <v>0</v>
      </c>
      <c r="AV77" s="91" t="n">
        <v>0</v>
      </c>
      <c r="AW77" s="91" t="n">
        <v>0</v>
      </c>
      <c r="AX77" s="91" t="n">
        <v>0</v>
      </c>
      <c r="AY77" s="91" t="n">
        <v>0</v>
      </c>
      <c r="AZ77" s="88" t="n">
        <v>0</v>
      </c>
      <c r="BA77" s="88" t="n">
        <v>0</v>
      </c>
      <c r="BB77" s="88" t="n">
        <v>0</v>
      </c>
      <c r="BC77" s="88" t="n">
        <v>0</v>
      </c>
      <c r="BD77" s="91" t="n">
        <v>0</v>
      </c>
      <c r="BE77" s="91" t="n">
        <v>0</v>
      </c>
      <c r="BF77" s="89" t="inlineStr">
        <is>
          <t>-</t>
        </is>
      </c>
      <c r="BG77" s="89" t="inlineStr">
        <is>
          <t>-</t>
        </is>
      </c>
      <c r="BH77" s="89" t="inlineStr">
        <is>
          <t>-</t>
        </is>
      </c>
    </row>
    <row r="78" ht="19.55" customHeight="1">
      <c r="A78" s="92" t="n">
        <v>75</v>
      </c>
      <c r="B78" s="87" t="inlineStr">
        <is>
          <t>全国</t>
        </is>
      </c>
      <c r="C78" s="93" t="n">
        <v>45915</v>
      </c>
      <c r="D78" s="87" t="inlineStr">
        <is>
          <t>N7</t>
        </is>
      </c>
      <c r="E78" s="87" t="n">
        <v>6608</v>
      </c>
      <c r="F78" s="87" t="n">
        <v>5242</v>
      </c>
      <c r="G78" s="88" t="n">
        <v>0.7932808716707022</v>
      </c>
      <c r="H78" s="87" t="n">
        <v>3280</v>
      </c>
      <c r="I78" s="89" t="n">
        <v>0.4963680387409201</v>
      </c>
      <c r="J78" s="87" t="n">
        <v>5903</v>
      </c>
      <c r="K78" s="87" t="n">
        <v>5667</v>
      </c>
      <c r="L78" s="88" t="n">
        <v>0.96</v>
      </c>
      <c r="M78" s="87" t="n">
        <v>7510</v>
      </c>
      <c r="N78" s="87" t="n">
        <v>0</v>
      </c>
      <c r="O78" s="87" t="n">
        <v>7153</v>
      </c>
      <c r="P78" s="88" t="n">
        <v>0.9524633821571238</v>
      </c>
      <c r="Q78" s="87" t="n">
        <v>19</v>
      </c>
      <c r="R78" s="87" t="n">
        <v>0</v>
      </c>
      <c r="S78" s="87" t="n">
        <v>0</v>
      </c>
      <c r="T78" s="88" t="n">
        <v>0</v>
      </c>
      <c r="U78" s="87" t="n">
        <v>0</v>
      </c>
      <c r="V78" s="88" t="n">
        <v>0</v>
      </c>
      <c r="W78" s="87" t="n">
        <v>726</v>
      </c>
      <c r="X78" s="88" t="n">
        <v>0.1098668280871671</v>
      </c>
      <c r="Y78" s="87" t="n">
        <v>788</v>
      </c>
      <c r="Z78" s="90" t="n">
        <v>0.1192493946731235</v>
      </c>
      <c r="AA78" s="87" t="n">
        <v>3</v>
      </c>
      <c r="AB78" s="88" t="n">
        <v>0.0004539951573849879</v>
      </c>
      <c r="AC78" s="87" t="n">
        <v>1061</v>
      </c>
      <c r="AD78" s="88" t="n">
        <v>0.1605629539951574</v>
      </c>
      <c r="AE78" s="87" t="n">
        <v>59</v>
      </c>
      <c r="AF78" s="88" t="n">
        <v>0.05560791705937795</v>
      </c>
      <c r="AG78" s="87" t="n">
        <v>553</v>
      </c>
      <c r="AH78" s="88" t="n">
        <v>0.5212064090480678</v>
      </c>
      <c r="AI78" s="91" t="n">
        <v>1045</v>
      </c>
      <c r="AJ78" s="88" t="n">
        <v>0.1581416464891041</v>
      </c>
      <c r="AK78" s="91" t="n">
        <v>30</v>
      </c>
      <c r="AL78" s="88" t="n">
        <v>0.8354066985645933</v>
      </c>
      <c r="AM78" s="91" t="n">
        <v>1027</v>
      </c>
      <c r="AN78" s="91" t="n">
        <v>873</v>
      </c>
      <c r="AO78" s="88" t="n">
        <v>0.1321125907990315</v>
      </c>
      <c r="AP78" s="88" t="n">
        <v>0.822808671065033</v>
      </c>
      <c r="AQ78" s="89" t="n">
        <v>0</v>
      </c>
      <c r="AR78" s="89" t="n">
        <v>0.02141527001862198</v>
      </c>
      <c r="AS78" s="89" t="n">
        <v>0.02141527001862198</v>
      </c>
      <c r="AT78" s="91" t="n">
        <v>0</v>
      </c>
      <c r="AU78" s="91" t="n">
        <v>0</v>
      </c>
      <c r="AV78" s="91" t="n">
        <v>179</v>
      </c>
      <c r="AW78" s="91" t="n">
        <v>129</v>
      </c>
      <c r="AX78" s="91" t="n">
        <v>127</v>
      </c>
      <c r="AY78" s="91" t="n">
        <v>208</v>
      </c>
      <c r="AZ78" s="88" t="n">
        <v>0.01952179176755448</v>
      </c>
      <c r="BA78" s="88" t="n">
        <v>0.01921912832929782</v>
      </c>
      <c r="BB78" s="88" t="n">
        <v>0.0314769975786925</v>
      </c>
      <c r="BC78" s="88" t="n">
        <v>0.145475372279496</v>
      </c>
      <c r="BD78" s="91" t="n">
        <v>0</v>
      </c>
      <c r="BE78" s="91" t="n">
        <v>4</v>
      </c>
      <c r="BF78" s="89" t="n">
        <v>0.85</v>
      </c>
      <c r="BG78" s="89" t="n">
        <v>0.8333333333333334</v>
      </c>
      <c r="BH78" s="89" t="inlineStr">
        <is>
          <t>-</t>
        </is>
      </c>
    </row>
    <row r="79" ht="19.55" customHeight="1">
      <c r="A79" s="92" t="n">
        <v>76</v>
      </c>
      <c r="B79" s="87" t="inlineStr">
        <is>
          <t>全国</t>
        </is>
      </c>
      <c r="C79" s="93" t="n">
        <v>45915</v>
      </c>
      <c r="D79" s="87" t="inlineStr">
        <is>
          <t>NX8</t>
        </is>
      </c>
      <c r="E79" s="87" t="n">
        <v>165</v>
      </c>
      <c r="F79" s="87" t="n">
        <v>151</v>
      </c>
      <c r="G79" s="88" t="n">
        <v>0.9151515151515152</v>
      </c>
      <c r="H79" s="87" t="n">
        <v>52</v>
      </c>
      <c r="I79" s="89" t="n">
        <v>0.3151515151515151</v>
      </c>
      <c r="J79" s="87" t="n">
        <v>52</v>
      </c>
      <c r="K79" s="87" t="n">
        <v>48</v>
      </c>
      <c r="L79" s="88" t="n">
        <v>0.923</v>
      </c>
      <c r="M79" s="87" t="n">
        <v>70</v>
      </c>
      <c r="N79" s="87" t="n">
        <v>0</v>
      </c>
      <c r="O79" s="87" t="n">
        <v>66</v>
      </c>
      <c r="P79" s="88" t="n">
        <v>0.9428571428571428</v>
      </c>
      <c r="Q79" s="87" t="n">
        <v>0</v>
      </c>
      <c r="R79" s="87" t="n">
        <v>0</v>
      </c>
      <c r="S79" s="87" t="n">
        <v>0</v>
      </c>
      <c r="T79" s="88" t="n">
        <v>0</v>
      </c>
      <c r="U79" s="87" t="n">
        <v>0</v>
      </c>
      <c r="V79" s="88" t="n">
        <v>0</v>
      </c>
      <c r="W79" s="87" t="n">
        <v>0</v>
      </c>
      <c r="X79" s="88" t="n">
        <v>0</v>
      </c>
      <c r="Y79" s="87" t="n">
        <v>0</v>
      </c>
      <c r="Z79" s="90" t="n">
        <v>0</v>
      </c>
      <c r="AA79" s="87" t="n">
        <v>0</v>
      </c>
      <c r="AB79" s="88" t="n">
        <v>0</v>
      </c>
      <c r="AC79" s="87" t="n">
        <v>37</v>
      </c>
      <c r="AD79" s="88" t="n">
        <v>0.2242424242424242</v>
      </c>
      <c r="AE79" s="87" t="n">
        <v>5</v>
      </c>
      <c r="AF79" s="88" t="n">
        <v>0.1351351351351351</v>
      </c>
      <c r="AG79" s="87" t="n">
        <v>30</v>
      </c>
      <c r="AH79" s="88" t="n">
        <v>0.8108108108108109</v>
      </c>
      <c r="AI79" s="91" t="n">
        <v>0</v>
      </c>
      <c r="AJ79" s="88" t="n">
        <v>0</v>
      </c>
      <c r="AK79" s="91" t="n">
        <v>0</v>
      </c>
      <c r="AL79" s="88" t="n">
        <v>0</v>
      </c>
      <c r="AM79" s="91" t="n">
        <v>0</v>
      </c>
      <c r="AN79" s="91" t="n">
        <v>0</v>
      </c>
      <c r="AO79" s="88" t="n">
        <v>0</v>
      </c>
      <c r="AP79" s="88" t="n">
        <v>0</v>
      </c>
      <c r="AQ79" s="89" t="n"/>
      <c r="AR79" s="89" t="n">
        <v>0</v>
      </c>
      <c r="AS79" s="89" t="n">
        <v>0</v>
      </c>
      <c r="AT79" s="91" t="n">
        <v>0</v>
      </c>
      <c r="AU79" s="91" t="n">
        <v>0</v>
      </c>
      <c r="AV79" s="91" t="n">
        <v>0</v>
      </c>
      <c r="AW79" s="91" t="n">
        <v>0</v>
      </c>
      <c r="AX79" s="91" t="n">
        <v>0</v>
      </c>
      <c r="AY79" s="91" t="n">
        <v>0</v>
      </c>
      <c r="AZ79" s="88" t="n">
        <v>0</v>
      </c>
      <c r="BA79" s="88" t="n">
        <v>0</v>
      </c>
      <c r="BB79" s="88" t="n">
        <v>0</v>
      </c>
      <c r="BC79" s="88" t="n">
        <v>0</v>
      </c>
      <c r="BD79" s="91" t="n">
        <v>0</v>
      </c>
      <c r="BE79" s="91" t="n">
        <v>0</v>
      </c>
      <c r="BF79" s="89" t="inlineStr">
        <is>
          <t>-</t>
        </is>
      </c>
      <c r="BG79" s="89" t="inlineStr">
        <is>
          <t>-</t>
        </is>
      </c>
      <c r="BH79" s="89" t="inlineStr">
        <is>
          <t>-</t>
        </is>
      </c>
    </row>
    <row r="80" ht="19.55" customHeight="1">
      <c r="A80" s="92" t="n">
        <v>77</v>
      </c>
      <c r="B80" s="87" t="inlineStr">
        <is>
          <t>全国</t>
        </is>
      </c>
      <c r="C80" s="93" t="n">
        <v>45915</v>
      </c>
      <c r="D80" s="87" t="inlineStr">
        <is>
          <t>天籁·鸿蒙座舱</t>
        </is>
      </c>
      <c r="E80" s="87" t="n">
        <v>103</v>
      </c>
      <c r="F80" s="87" t="n">
        <v>92</v>
      </c>
      <c r="G80" s="88" t="n">
        <v>0.8932038834951457</v>
      </c>
      <c r="H80" s="87" t="n">
        <v>68</v>
      </c>
      <c r="I80" s="89" t="n">
        <v>0.6601941747572816</v>
      </c>
      <c r="J80" s="87" t="n">
        <v>49</v>
      </c>
      <c r="K80" s="87" t="n">
        <v>48</v>
      </c>
      <c r="L80" s="88" t="n">
        <v>0.98</v>
      </c>
      <c r="M80" s="87" t="n">
        <v>86</v>
      </c>
      <c r="N80" s="87" t="n">
        <v>0</v>
      </c>
      <c r="O80" s="87" t="n">
        <v>82</v>
      </c>
      <c r="P80" s="88" t="n">
        <v>0.9534883720930233</v>
      </c>
      <c r="Q80" s="87" t="n">
        <v>0</v>
      </c>
      <c r="R80" s="87" t="n">
        <v>0</v>
      </c>
      <c r="S80" s="87" t="n">
        <v>0</v>
      </c>
      <c r="T80" s="88" t="n">
        <v>0</v>
      </c>
      <c r="U80" s="87" t="n">
        <v>0</v>
      </c>
      <c r="V80" s="88" t="n">
        <v>0</v>
      </c>
      <c r="W80" s="87" t="n">
        <v>0</v>
      </c>
      <c r="X80" s="88" t="n">
        <v>0</v>
      </c>
      <c r="Y80" s="87" t="n">
        <v>0</v>
      </c>
      <c r="Z80" s="90" t="n">
        <v>0</v>
      </c>
      <c r="AA80" s="87" t="n">
        <v>0</v>
      </c>
      <c r="AB80" s="88" t="n">
        <v>0</v>
      </c>
      <c r="AC80" s="87" t="n">
        <v>21</v>
      </c>
      <c r="AD80" s="88" t="n">
        <v>0.2038834951456311</v>
      </c>
      <c r="AE80" s="87" t="n">
        <v>2</v>
      </c>
      <c r="AF80" s="88" t="n">
        <v>0.09523809523809523</v>
      </c>
      <c r="AG80" s="87" t="n">
        <v>17</v>
      </c>
      <c r="AH80" s="88" t="n">
        <v>0.8095238095238095</v>
      </c>
      <c r="AI80" s="91" t="n">
        <v>0</v>
      </c>
      <c r="AJ80" s="88" t="n">
        <v>0</v>
      </c>
      <c r="AK80" s="91" t="n">
        <v>0</v>
      </c>
      <c r="AL80" s="88" t="n">
        <v>0</v>
      </c>
      <c r="AM80" s="91" t="n">
        <v>0</v>
      </c>
      <c r="AN80" s="91" t="n">
        <v>0</v>
      </c>
      <c r="AO80" s="88" t="n">
        <v>0</v>
      </c>
      <c r="AP80" s="88" t="n">
        <v>0</v>
      </c>
      <c r="AQ80" s="89" t="n"/>
      <c r="AR80" s="89" t="n">
        <v>0</v>
      </c>
      <c r="AS80" s="89" t="n">
        <v>0</v>
      </c>
      <c r="AT80" s="91" t="n">
        <v>0</v>
      </c>
      <c r="AU80" s="91" t="n">
        <v>0</v>
      </c>
      <c r="AV80" s="91" t="n">
        <v>0</v>
      </c>
      <c r="AW80" s="91" t="n">
        <v>0</v>
      </c>
      <c r="AX80" s="91" t="n">
        <v>0</v>
      </c>
      <c r="AY80" s="91" t="n">
        <v>0</v>
      </c>
      <c r="AZ80" s="88" t="n">
        <v>0</v>
      </c>
      <c r="BA80" s="88" t="n">
        <v>0</v>
      </c>
      <c r="BB80" s="88" t="n">
        <v>0</v>
      </c>
      <c r="BC80" s="88" t="n">
        <v>0</v>
      </c>
      <c r="BD80" s="91" t="n">
        <v>0</v>
      </c>
      <c r="BE80" s="91" t="n">
        <v>0</v>
      </c>
      <c r="BF80" s="89" t="inlineStr">
        <is>
          <t>-</t>
        </is>
      </c>
      <c r="BG80" s="89" t="inlineStr">
        <is>
          <t>-</t>
        </is>
      </c>
      <c r="BH80" s="89" t="inlineStr">
        <is>
          <t>-</t>
        </is>
      </c>
    </row>
    <row r="81" ht="19.55" customHeight="1">
      <c r="A81" s="92" t="n">
        <v>78</v>
      </c>
      <c r="B81" s="87" t="inlineStr">
        <is>
          <t>全国</t>
        </is>
      </c>
      <c r="C81" s="93" t="n">
        <v>45916</v>
      </c>
      <c r="D81" s="87" t="inlineStr">
        <is>
          <t>2026款探陆</t>
        </is>
      </c>
      <c r="E81" s="87" t="n">
        <v>1</v>
      </c>
      <c r="F81" s="87" t="n">
        <v>1</v>
      </c>
      <c r="G81" s="88" t="n">
        <v>1</v>
      </c>
      <c r="H81" s="87" t="n">
        <v>1</v>
      </c>
      <c r="I81" s="89" t="n">
        <v>1</v>
      </c>
      <c r="J81" s="87" t="n">
        <v>0</v>
      </c>
      <c r="K81" s="87" t="n">
        <v>0</v>
      </c>
      <c r="L81" s="88" t="n">
        <v>0</v>
      </c>
      <c r="M81" s="87" t="n">
        <v>0</v>
      </c>
      <c r="N81" s="87" t="n">
        <v>0</v>
      </c>
      <c r="O81" s="87" t="n">
        <v>0</v>
      </c>
      <c r="P81" s="88" t="n">
        <v>0</v>
      </c>
      <c r="Q81" s="87" t="n">
        <v>0</v>
      </c>
      <c r="R81" s="87" t="n">
        <v>0</v>
      </c>
      <c r="S81" s="87" t="n">
        <v>0</v>
      </c>
      <c r="T81" s="88" t="n">
        <v>0</v>
      </c>
      <c r="U81" s="87" t="n">
        <v>0</v>
      </c>
      <c r="V81" s="88" t="n">
        <v>0</v>
      </c>
      <c r="W81" s="87" t="n">
        <v>0</v>
      </c>
      <c r="X81" s="88" t="n">
        <v>0</v>
      </c>
      <c r="Y81" s="87" t="n">
        <v>0</v>
      </c>
      <c r="Z81" s="90" t="n">
        <v>0</v>
      </c>
      <c r="AA81" s="87" t="n">
        <v>0</v>
      </c>
      <c r="AB81" s="88" t="n">
        <v>0</v>
      </c>
      <c r="AC81" s="87" t="n">
        <v>1</v>
      </c>
      <c r="AD81" s="88" t="n">
        <v>1</v>
      </c>
      <c r="AE81" s="87" t="n">
        <v>0</v>
      </c>
      <c r="AF81" s="88" t="n">
        <v>0</v>
      </c>
      <c r="AG81" s="87" t="n">
        <v>0</v>
      </c>
      <c r="AH81" s="88" t="n">
        <v>0</v>
      </c>
      <c r="AI81" s="91" t="n">
        <v>0</v>
      </c>
      <c r="AJ81" s="88" t="n">
        <v>0</v>
      </c>
      <c r="AK81" s="91" t="n">
        <v>0</v>
      </c>
      <c r="AL81" s="88" t="n">
        <v>0</v>
      </c>
      <c r="AM81" s="91" t="n">
        <v>0</v>
      </c>
      <c r="AN81" s="91" t="n">
        <v>0</v>
      </c>
      <c r="AO81" s="88" t="n">
        <v>0</v>
      </c>
      <c r="AP81" s="88" t="n">
        <v>0</v>
      </c>
      <c r="AQ81" s="89" t="n"/>
      <c r="AR81" s="89" t="inlineStr">
        <is>
          <t>0.0%</t>
        </is>
      </c>
      <c r="AS81" s="89" t="inlineStr">
        <is>
          <t>0.0%</t>
        </is>
      </c>
      <c r="AT81" s="91" t="n">
        <v>0</v>
      </c>
      <c r="AU81" s="91" t="n">
        <v>0</v>
      </c>
      <c r="AV81" s="91" t="n">
        <v>0</v>
      </c>
      <c r="AW81" s="91" t="n">
        <v>0</v>
      </c>
      <c r="AX81" s="91" t="n">
        <v>0</v>
      </c>
      <c r="AY81" s="91" t="n">
        <v>0</v>
      </c>
      <c r="AZ81" s="88" t="n">
        <v>0</v>
      </c>
      <c r="BA81" s="88" t="n">
        <v>0</v>
      </c>
      <c r="BB81" s="88" t="n">
        <v>0</v>
      </c>
      <c r="BC81" s="88" t="n">
        <v>0</v>
      </c>
      <c r="BD81" s="91" t="n">
        <v>0</v>
      </c>
      <c r="BE81" s="91" t="n">
        <v>0</v>
      </c>
      <c r="BF81" s="89" t="inlineStr">
        <is>
          <t>-</t>
        </is>
      </c>
      <c r="BG81" s="89" t="inlineStr">
        <is>
          <t>-</t>
        </is>
      </c>
      <c r="BH81" s="89" t="inlineStr">
        <is>
          <t>-</t>
        </is>
      </c>
    </row>
    <row r="82" ht="19.55" customHeight="1">
      <c r="A82" s="92" t="n">
        <v>79</v>
      </c>
      <c r="B82" s="87" t="inlineStr">
        <is>
          <t>全国</t>
        </is>
      </c>
      <c r="C82" s="93" t="n">
        <v>45916</v>
      </c>
      <c r="D82" s="87" t="inlineStr">
        <is>
          <t>N6</t>
        </is>
      </c>
      <c r="E82" s="87" t="n">
        <v>62</v>
      </c>
      <c r="F82" s="87" t="n">
        <v>54</v>
      </c>
      <c r="G82" s="88" t="n">
        <v>0.8709677419354839</v>
      </c>
      <c r="H82" s="87" t="n">
        <v>31</v>
      </c>
      <c r="I82" s="89" t="n">
        <v>0.5</v>
      </c>
      <c r="J82" s="87" t="n">
        <v>41</v>
      </c>
      <c r="K82" s="87" t="n">
        <v>40</v>
      </c>
      <c r="L82" s="88" t="n">
        <v>0.976</v>
      </c>
      <c r="M82" s="87" t="n">
        <v>64</v>
      </c>
      <c r="N82" s="87" t="n">
        <v>0</v>
      </c>
      <c r="O82" s="87" t="n">
        <v>63</v>
      </c>
      <c r="P82" s="88" t="n">
        <v>0.984375</v>
      </c>
      <c r="Q82" s="87" t="n">
        <v>0</v>
      </c>
      <c r="R82" s="87" t="n">
        <v>0</v>
      </c>
      <c r="S82" s="87" t="n">
        <v>0</v>
      </c>
      <c r="T82" s="88" t="n">
        <v>0</v>
      </c>
      <c r="U82" s="87" t="n">
        <v>0</v>
      </c>
      <c r="V82" s="88" t="n">
        <v>0</v>
      </c>
      <c r="W82" s="87" t="n">
        <v>0</v>
      </c>
      <c r="X82" s="88" t="n">
        <v>0</v>
      </c>
      <c r="Y82" s="87" t="n">
        <v>0</v>
      </c>
      <c r="Z82" s="90" t="n">
        <v>0</v>
      </c>
      <c r="AA82" s="87" t="n">
        <v>0</v>
      </c>
      <c r="AB82" s="88" t="n">
        <v>0</v>
      </c>
      <c r="AC82" s="87" t="n">
        <v>9</v>
      </c>
      <c r="AD82" s="88" t="n">
        <v>0.1451612903225807</v>
      </c>
      <c r="AE82" s="87" t="n">
        <v>1</v>
      </c>
      <c r="AF82" s="88" t="n">
        <v>0.1111111111111111</v>
      </c>
      <c r="AG82" s="87" t="n">
        <v>6</v>
      </c>
      <c r="AH82" s="88" t="n">
        <v>0.6666666666666666</v>
      </c>
      <c r="AI82" s="91" t="n">
        <v>0</v>
      </c>
      <c r="AJ82" s="88" t="n">
        <v>0</v>
      </c>
      <c r="AK82" s="91" t="n">
        <v>0</v>
      </c>
      <c r="AL82" s="88" t="n">
        <v>0</v>
      </c>
      <c r="AM82" s="91" t="n">
        <v>0</v>
      </c>
      <c r="AN82" s="91" t="n">
        <v>0</v>
      </c>
      <c r="AO82" s="88" t="n">
        <v>0</v>
      </c>
      <c r="AP82" s="88" t="n">
        <v>0</v>
      </c>
      <c r="AQ82" s="89" t="n"/>
      <c r="AR82" s="89" t="n">
        <v>0</v>
      </c>
      <c r="AS82" s="89" t="n">
        <v>0</v>
      </c>
      <c r="AT82" s="91" t="n">
        <v>0</v>
      </c>
      <c r="AU82" s="91" t="n">
        <v>0</v>
      </c>
      <c r="AV82" s="91" t="n">
        <v>0</v>
      </c>
      <c r="AW82" s="91" t="n">
        <v>0</v>
      </c>
      <c r="AX82" s="91" t="n">
        <v>0</v>
      </c>
      <c r="AY82" s="91" t="n">
        <v>0</v>
      </c>
      <c r="AZ82" s="88" t="n">
        <v>0</v>
      </c>
      <c r="BA82" s="88" t="n">
        <v>0</v>
      </c>
      <c r="BB82" s="88" t="n">
        <v>0</v>
      </c>
      <c r="BC82" s="88" t="n">
        <v>0</v>
      </c>
      <c r="BD82" s="91" t="n">
        <v>0</v>
      </c>
      <c r="BE82" s="91" t="n">
        <v>0</v>
      </c>
      <c r="BF82" s="89" t="inlineStr">
        <is>
          <t>-</t>
        </is>
      </c>
      <c r="BG82" s="89" t="inlineStr">
        <is>
          <t>-</t>
        </is>
      </c>
      <c r="BH82" s="89" t="inlineStr">
        <is>
          <t>-</t>
        </is>
      </c>
    </row>
    <row r="83" ht="19.55" customHeight="1">
      <c r="A83" s="92" t="n">
        <v>80</v>
      </c>
      <c r="B83" s="87" t="inlineStr">
        <is>
          <t>全国</t>
        </is>
      </c>
      <c r="C83" s="93" t="n">
        <v>45916</v>
      </c>
      <c r="D83" s="87" t="inlineStr">
        <is>
          <t>N7</t>
        </is>
      </c>
      <c r="E83" s="87" t="n">
        <v>6068</v>
      </c>
      <c r="F83" s="87" t="n">
        <v>4901</v>
      </c>
      <c r="G83" s="88" t="n">
        <v>0.8076796308503625</v>
      </c>
      <c r="H83" s="87" t="n">
        <v>3305</v>
      </c>
      <c r="I83" s="89" t="n">
        <v>0.5446605141727093</v>
      </c>
      <c r="J83" s="87" t="n">
        <v>5283</v>
      </c>
      <c r="K83" s="87" t="n">
        <v>5067</v>
      </c>
      <c r="L83" s="88" t="n">
        <v>0.959</v>
      </c>
      <c r="M83" s="87" t="n">
        <v>6263</v>
      </c>
      <c r="N83" s="87" t="n">
        <v>0</v>
      </c>
      <c r="O83" s="87" t="n">
        <v>5916</v>
      </c>
      <c r="P83" s="88" t="n">
        <v>0.9445952418968545</v>
      </c>
      <c r="Q83" s="87" t="n">
        <v>16</v>
      </c>
      <c r="R83" s="87" t="n">
        <v>0</v>
      </c>
      <c r="S83" s="87" t="n">
        <v>0</v>
      </c>
      <c r="T83" s="88" t="n">
        <v>0</v>
      </c>
      <c r="U83" s="87" t="n">
        <v>0</v>
      </c>
      <c r="V83" s="88" t="n">
        <v>0</v>
      </c>
      <c r="W83" s="87" t="n">
        <v>972</v>
      </c>
      <c r="X83" s="88" t="n">
        <v>0.1601845748187212</v>
      </c>
      <c r="Y83" s="87" t="n">
        <v>712</v>
      </c>
      <c r="Z83" s="90" t="n">
        <v>0.1173368490441661</v>
      </c>
      <c r="AA83" s="87" t="n">
        <v>2</v>
      </c>
      <c r="AB83" s="88" t="n">
        <v>0.0003295978905735003</v>
      </c>
      <c r="AC83" s="87" t="n">
        <v>943</v>
      </c>
      <c r="AD83" s="88" t="n">
        <v>0.1554054054054054</v>
      </c>
      <c r="AE83" s="87" t="n">
        <v>57</v>
      </c>
      <c r="AF83" s="88" t="n">
        <v>0.06044538706256627</v>
      </c>
      <c r="AG83" s="87" t="n">
        <v>477</v>
      </c>
      <c r="AH83" s="88" t="n">
        <v>0.5058324496288441</v>
      </c>
      <c r="AI83" s="91" t="n">
        <v>947</v>
      </c>
      <c r="AJ83" s="88" t="n">
        <v>0.1560646011865524</v>
      </c>
      <c r="AK83" s="91" t="n">
        <v>36</v>
      </c>
      <c r="AL83" s="88" t="n">
        <v>0.82259767687434</v>
      </c>
      <c r="AM83" s="91" t="n">
        <v>922</v>
      </c>
      <c r="AN83" s="91" t="n">
        <v>779</v>
      </c>
      <c r="AO83" s="88" t="n">
        <v>0.1283783783783784</v>
      </c>
      <c r="AP83" s="88" t="n">
        <v>0.8260869565217391</v>
      </c>
      <c r="AQ83" s="89" t="n">
        <v>0</v>
      </c>
      <c r="AR83" s="89" t="n">
        <v>0.01535312180143296</v>
      </c>
      <c r="AS83" s="89" t="n">
        <v>0.01535312180143296</v>
      </c>
      <c r="AT83" s="91" t="n">
        <v>0</v>
      </c>
      <c r="AU83" s="91" t="n">
        <v>0</v>
      </c>
      <c r="AV83" s="91" t="n">
        <v>150</v>
      </c>
      <c r="AW83" s="91" t="n">
        <v>116</v>
      </c>
      <c r="AX83" s="91" t="n">
        <v>129</v>
      </c>
      <c r="AY83" s="91" t="n">
        <v>231</v>
      </c>
      <c r="AZ83" s="88" t="n">
        <v>0.01911667765326302</v>
      </c>
      <c r="BA83" s="88" t="n">
        <v>0.02125906394199077</v>
      </c>
      <c r="BB83" s="88" t="n">
        <v>0.03806855636123928</v>
      </c>
      <c r="BC83" s="88" t="n">
        <v>0.165596919127086</v>
      </c>
      <c r="BD83" s="91" t="n">
        <v>0</v>
      </c>
      <c r="BE83" s="91" t="n">
        <v>1</v>
      </c>
      <c r="BF83" s="89" t="n">
        <v>0.96</v>
      </c>
      <c r="BG83" s="89" t="n">
        <v>0.8461538461538461</v>
      </c>
      <c r="BH83" s="89" t="inlineStr">
        <is>
          <t>-</t>
        </is>
      </c>
    </row>
    <row r="84" ht="19.55" customHeight="1">
      <c r="A84" s="92" t="n">
        <v>81</v>
      </c>
      <c r="B84" s="87" t="inlineStr">
        <is>
          <t>全国</t>
        </is>
      </c>
      <c r="C84" s="93" t="n">
        <v>45916</v>
      </c>
      <c r="D84" s="87" t="inlineStr">
        <is>
          <t>NX8</t>
        </is>
      </c>
      <c r="E84" s="87" t="n">
        <v>153</v>
      </c>
      <c r="F84" s="87" t="n">
        <v>141</v>
      </c>
      <c r="G84" s="88" t="n">
        <v>0.9215686274509803</v>
      </c>
      <c r="H84" s="87" t="n">
        <v>66</v>
      </c>
      <c r="I84" s="89" t="n">
        <v>0.4313725490196079</v>
      </c>
      <c r="J84" s="87" t="n">
        <v>26</v>
      </c>
      <c r="K84" s="87" t="n">
        <v>25</v>
      </c>
      <c r="L84" s="88" t="n">
        <v>0.962</v>
      </c>
      <c r="M84" s="87" t="n">
        <v>45</v>
      </c>
      <c r="N84" s="87" t="n">
        <v>0</v>
      </c>
      <c r="O84" s="87" t="n">
        <v>44</v>
      </c>
      <c r="P84" s="88" t="n">
        <v>0.9777777777777777</v>
      </c>
      <c r="Q84" s="87" t="n">
        <v>0</v>
      </c>
      <c r="R84" s="87" t="n">
        <v>0</v>
      </c>
      <c r="S84" s="87" t="n">
        <v>0</v>
      </c>
      <c r="T84" s="88" t="n">
        <v>0</v>
      </c>
      <c r="U84" s="87" t="n">
        <v>0</v>
      </c>
      <c r="V84" s="88" t="n">
        <v>0</v>
      </c>
      <c r="W84" s="87" t="n">
        <v>0</v>
      </c>
      <c r="X84" s="88" t="n">
        <v>0</v>
      </c>
      <c r="Y84" s="87" t="n">
        <v>0</v>
      </c>
      <c r="Z84" s="90" t="n">
        <v>0</v>
      </c>
      <c r="AA84" s="87" t="n">
        <v>0</v>
      </c>
      <c r="AB84" s="88" t="n">
        <v>0</v>
      </c>
      <c r="AC84" s="87" t="n">
        <v>37</v>
      </c>
      <c r="AD84" s="88" t="n">
        <v>0.2418300653594771</v>
      </c>
      <c r="AE84" s="87" t="n">
        <v>3</v>
      </c>
      <c r="AF84" s="88" t="n">
        <v>0.08108108108108109</v>
      </c>
      <c r="AG84" s="87" t="n">
        <v>23</v>
      </c>
      <c r="AH84" s="88" t="n">
        <v>0.6216216216216216</v>
      </c>
      <c r="AI84" s="91" t="n">
        <v>0</v>
      </c>
      <c r="AJ84" s="88" t="n">
        <v>0</v>
      </c>
      <c r="AK84" s="91" t="n">
        <v>0</v>
      </c>
      <c r="AL84" s="88" t="n">
        <v>0</v>
      </c>
      <c r="AM84" s="91" t="n">
        <v>0</v>
      </c>
      <c r="AN84" s="91" t="n">
        <v>0</v>
      </c>
      <c r="AO84" s="88" t="n">
        <v>0</v>
      </c>
      <c r="AP84" s="88" t="n">
        <v>0</v>
      </c>
      <c r="AQ84" s="89" t="n"/>
      <c r="AR84" s="89" t="n">
        <v>0</v>
      </c>
      <c r="AS84" s="89" t="n">
        <v>0</v>
      </c>
      <c r="AT84" s="91" t="n">
        <v>0</v>
      </c>
      <c r="AU84" s="91" t="n">
        <v>0</v>
      </c>
      <c r="AV84" s="91" t="n">
        <v>0</v>
      </c>
      <c r="AW84" s="91" t="n">
        <v>0</v>
      </c>
      <c r="AX84" s="91" t="n">
        <v>0</v>
      </c>
      <c r="AY84" s="91" t="n">
        <v>0</v>
      </c>
      <c r="AZ84" s="88" t="n">
        <v>0</v>
      </c>
      <c r="BA84" s="88" t="n">
        <v>0</v>
      </c>
      <c r="BB84" s="88" t="n">
        <v>0</v>
      </c>
      <c r="BC84" s="88" t="n">
        <v>0</v>
      </c>
      <c r="BD84" s="91" t="n">
        <v>0</v>
      </c>
      <c r="BE84" s="91" t="n">
        <v>0</v>
      </c>
      <c r="BF84" s="89" t="inlineStr">
        <is>
          <t>-</t>
        </is>
      </c>
      <c r="BG84" s="89" t="inlineStr">
        <is>
          <t>-</t>
        </is>
      </c>
      <c r="BH84" s="89" t="inlineStr">
        <is>
          <t>-</t>
        </is>
      </c>
    </row>
    <row r="85" ht="19.55" customHeight="1">
      <c r="A85" s="92" t="n">
        <v>82</v>
      </c>
      <c r="B85" s="87" t="inlineStr">
        <is>
          <t>全国</t>
        </is>
      </c>
      <c r="C85" s="93" t="n">
        <v>45916</v>
      </c>
      <c r="D85" s="87" t="inlineStr">
        <is>
          <t>天籁·鸿蒙座舱</t>
        </is>
      </c>
      <c r="E85" s="87" t="n">
        <v>76</v>
      </c>
      <c r="F85" s="87" t="n">
        <v>72</v>
      </c>
      <c r="G85" s="88" t="n">
        <v>0.9473684210526315</v>
      </c>
      <c r="H85" s="87" t="n">
        <v>52</v>
      </c>
      <c r="I85" s="89" t="n">
        <v>0.6842105263157895</v>
      </c>
      <c r="J85" s="87" t="n">
        <v>37</v>
      </c>
      <c r="K85" s="87" t="n">
        <v>34</v>
      </c>
      <c r="L85" s="88" t="n">
        <v>0.919</v>
      </c>
      <c r="M85" s="87" t="n">
        <v>56</v>
      </c>
      <c r="N85" s="87" t="n">
        <v>0</v>
      </c>
      <c r="O85" s="87" t="n">
        <v>52</v>
      </c>
      <c r="P85" s="88" t="n">
        <v>0.9285714285714286</v>
      </c>
      <c r="Q85" s="87" t="n">
        <v>0</v>
      </c>
      <c r="R85" s="87" t="n">
        <v>0</v>
      </c>
      <c r="S85" s="87" t="n">
        <v>0</v>
      </c>
      <c r="T85" s="88" t="n">
        <v>0</v>
      </c>
      <c r="U85" s="87" t="n">
        <v>0</v>
      </c>
      <c r="V85" s="88" t="n">
        <v>0</v>
      </c>
      <c r="W85" s="87" t="n">
        <v>0</v>
      </c>
      <c r="X85" s="88" t="n">
        <v>0</v>
      </c>
      <c r="Y85" s="87" t="n">
        <v>0</v>
      </c>
      <c r="Z85" s="90" t="n">
        <v>0</v>
      </c>
      <c r="AA85" s="87" t="n">
        <v>0</v>
      </c>
      <c r="AB85" s="88" t="n">
        <v>0</v>
      </c>
      <c r="AC85" s="87" t="n">
        <v>18</v>
      </c>
      <c r="AD85" s="88" t="n">
        <v>0.2368421052631579</v>
      </c>
      <c r="AE85" s="87" t="n">
        <v>9</v>
      </c>
      <c r="AF85" s="88" t="n">
        <v>0.5</v>
      </c>
      <c r="AG85" s="87" t="n">
        <v>16</v>
      </c>
      <c r="AH85" s="88" t="n">
        <v>0.8888888888888888</v>
      </c>
      <c r="AI85" s="91" t="n">
        <v>0</v>
      </c>
      <c r="AJ85" s="88" t="n">
        <v>0</v>
      </c>
      <c r="AK85" s="91" t="n">
        <v>0</v>
      </c>
      <c r="AL85" s="88" t="n">
        <v>0</v>
      </c>
      <c r="AM85" s="91" t="n">
        <v>0</v>
      </c>
      <c r="AN85" s="91" t="n">
        <v>0</v>
      </c>
      <c r="AO85" s="88" t="n">
        <v>0</v>
      </c>
      <c r="AP85" s="88" t="n">
        <v>0</v>
      </c>
      <c r="AQ85" s="89" t="n"/>
      <c r="AR85" s="89" t="n">
        <v>0</v>
      </c>
      <c r="AS85" s="89" t="n">
        <v>0</v>
      </c>
      <c r="AT85" s="91" t="n">
        <v>0</v>
      </c>
      <c r="AU85" s="91" t="n">
        <v>0</v>
      </c>
      <c r="AV85" s="91" t="n">
        <v>0</v>
      </c>
      <c r="AW85" s="91" t="n">
        <v>0</v>
      </c>
      <c r="AX85" s="91" t="n">
        <v>0</v>
      </c>
      <c r="AY85" s="91" t="n">
        <v>0</v>
      </c>
      <c r="AZ85" s="88" t="n">
        <v>0</v>
      </c>
      <c r="BA85" s="88" t="n">
        <v>0</v>
      </c>
      <c r="BB85" s="88" t="n">
        <v>0</v>
      </c>
      <c r="BC85" s="88" t="n">
        <v>0</v>
      </c>
      <c r="BD85" s="91" t="n">
        <v>0</v>
      </c>
      <c r="BE85" s="91" t="n">
        <v>0</v>
      </c>
      <c r="BF85" s="89" t="inlineStr">
        <is>
          <t>-</t>
        </is>
      </c>
      <c r="BG85" s="89" t="inlineStr">
        <is>
          <t>-</t>
        </is>
      </c>
      <c r="BH85" s="89" t="inlineStr">
        <is>
          <t>-</t>
        </is>
      </c>
    </row>
    <row r="86" ht="19.55" customHeight="1">
      <c r="A86" s="92" t="n">
        <v>83</v>
      </c>
      <c r="B86" s="87" t="inlineStr">
        <is>
          <t>全国</t>
        </is>
      </c>
      <c r="C86" s="93" t="n">
        <v>45917</v>
      </c>
      <c r="D86" s="87" t="inlineStr">
        <is>
          <t>2026款探陆</t>
        </is>
      </c>
      <c r="E86" s="87" t="n">
        <v>1</v>
      </c>
      <c r="F86" s="87" t="n">
        <v>1</v>
      </c>
      <c r="G86" s="88" t="n">
        <v>1</v>
      </c>
      <c r="H86" s="87" t="n">
        <v>1</v>
      </c>
      <c r="I86" s="89" t="n">
        <v>1</v>
      </c>
      <c r="J86" s="87" t="n">
        <v>0</v>
      </c>
      <c r="K86" s="87" t="n">
        <v>0</v>
      </c>
      <c r="L86" s="88" t="n">
        <v>0</v>
      </c>
      <c r="M86" s="87" t="n">
        <v>0</v>
      </c>
      <c r="N86" s="87" t="n">
        <v>0</v>
      </c>
      <c r="O86" s="87" t="n">
        <v>0</v>
      </c>
      <c r="P86" s="88" t="n">
        <v>0</v>
      </c>
      <c r="Q86" s="87" t="n">
        <v>0</v>
      </c>
      <c r="R86" s="87" t="n">
        <v>0</v>
      </c>
      <c r="S86" s="87" t="n">
        <v>0</v>
      </c>
      <c r="T86" s="88" t="n">
        <v>0</v>
      </c>
      <c r="U86" s="87" t="n">
        <v>0</v>
      </c>
      <c r="V86" s="88" t="n">
        <v>0</v>
      </c>
      <c r="W86" s="87" t="n">
        <v>0</v>
      </c>
      <c r="X86" s="88" t="n">
        <v>0</v>
      </c>
      <c r="Y86" s="87" t="n">
        <v>0</v>
      </c>
      <c r="Z86" s="90" t="n">
        <v>0</v>
      </c>
      <c r="AA86" s="87" t="n">
        <v>0</v>
      </c>
      <c r="AB86" s="88" t="n">
        <v>0</v>
      </c>
      <c r="AC86" s="87" t="n">
        <v>0</v>
      </c>
      <c r="AD86" s="88" t="n">
        <v>0</v>
      </c>
      <c r="AE86" s="87" t="n">
        <v>0</v>
      </c>
      <c r="AF86" s="88" t="n">
        <v>0</v>
      </c>
      <c r="AG86" s="87" t="n">
        <v>0</v>
      </c>
      <c r="AH86" s="88" t="n">
        <v>0</v>
      </c>
      <c r="AI86" s="91" t="n">
        <v>0</v>
      </c>
      <c r="AJ86" s="88" t="n">
        <v>0</v>
      </c>
      <c r="AK86" s="91" t="n">
        <v>0</v>
      </c>
      <c r="AL86" s="88" t="n">
        <v>0</v>
      </c>
      <c r="AM86" s="91" t="n">
        <v>0</v>
      </c>
      <c r="AN86" s="91" t="n">
        <v>0</v>
      </c>
      <c r="AO86" s="88" t="n">
        <v>0</v>
      </c>
      <c r="AP86" s="88" t="n">
        <v>0</v>
      </c>
      <c r="AQ86" s="89" t="n"/>
      <c r="AR86" s="89" t="inlineStr">
        <is>
          <t>0.0%</t>
        </is>
      </c>
      <c r="AS86" s="89" t="inlineStr">
        <is>
          <t>0.0%</t>
        </is>
      </c>
      <c r="AT86" s="91" t="n">
        <v>0</v>
      </c>
      <c r="AU86" s="91" t="n">
        <v>0</v>
      </c>
      <c r="AV86" s="91" t="n">
        <v>0</v>
      </c>
      <c r="AW86" s="91" t="n">
        <v>0</v>
      </c>
      <c r="AX86" s="91" t="n">
        <v>0</v>
      </c>
      <c r="AY86" s="91" t="n">
        <v>0</v>
      </c>
      <c r="AZ86" s="88" t="n">
        <v>0</v>
      </c>
      <c r="BA86" s="88" t="n">
        <v>0</v>
      </c>
      <c r="BB86" s="88" t="n">
        <v>0</v>
      </c>
      <c r="BC86" s="88" t="n">
        <v>0</v>
      </c>
      <c r="BD86" s="91" t="n">
        <v>0</v>
      </c>
      <c r="BE86" s="91" t="n">
        <v>0</v>
      </c>
      <c r="BF86" s="89" t="inlineStr">
        <is>
          <t>-</t>
        </is>
      </c>
      <c r="BG86" s="89" t="inlineStr">
        <is>
          <t>-</t>
        </is>
      </c>
      <c r="BH86" s="89" t="inlineStr">
        <is>
          <t>-</t>
        </is>
      </c>
    </row>
    <row r="87" ht="19.55" customHeight="1">
      <c r="A87" s="92" t="n">
        <v>84</v>
      </c>
      <c r="B87" s="87" t="inlineStr">
        <is>
          <t>全国</t>
        </is>
      </c>
      <c r="C87" s="93" t="n">
        <v>45917</v>
      </c>
      <c r="D87" s="87" t="inlineStr">
        <is>
          <t>N6</t>
        </is>
      </c>
      <c r="E87" s="87" t="n">
        <v>90</v>
      </c>
      <c r="F87" s="87" t="n">
        <v>85</v>
      </c>
      <c r="G87" s="88" t="n">
        <v>0.9444444444444444</v>
      </c>
      <c r="H87" s="87" t="n">
        <v>42</v>
      </c>
      <c r="I87" s="89" t="n">
        <v>0.4666666666666667</v>
      </c>
      <c r="J87" s="87" t="n">
        <v>39</v>
      </c>
      <c r="K87" s="87" t="n">
        <v>38</v>
      </c>
      <c r="L87" s="88" t="n">
        <v>0.974</v>
      </c>
      <c r="M87" s="87" t="n">
        <v>60</v>
      </c>
      <c r="N87" s="87" t="n">
        <v>0</v>
      </c>
      <c r="O87" s="87" t="n">
        <v>59</v>
      </c>
      <c r="P87" s="88" t="n">
        <v>0.9833333333333333</v>
      </c>
      <c r="Q87" s="87" t="n">
        <v>0</v>
      </c>
      <c r="R87" s="87" t="n">
        <v>0</v>
      </c>
      <c r="S87" s="87" t="n">
        <v>0</v>
      </c>
      <c r="T87" s="88" t="n">
        <v>0</v>
      </c>
      <c r="U87" s="87" t="n">
        <v>0</v>
      </c>
      <c r="V87" s="88" t="n">
        <v>0</v>
      </c>
      <c r="W87" s="87" t="n">
        <v>0</v>
      </c>
      <c r="X87" s="88" t="n">
        <v>0</v>
      </c>
      <c r="Y87" s="87" t="n">
        <v>0</v>
      </c>
      <c r="Z87" s="90" t="n">
        <v>0</v>
      </c>
      <c r="AA87" s="87" t="n">
        <v>0</v>
      </c>
      <c r="AB87" s="88" t="n">
        <v>0</v>
      </c>
      <c r="AC87" s="87" t="n">
        <v>23</v>
      </c>
      <c r="AD87" s="88" t="n">
        <v>0.2555555555555555</v>
      </c>
      <c r="AE87" s="87" t="n">
        <v>2</v>
      </c>
      <c r="AF87" s="88" t="n">
        <v>0.08695652173913043</v>
      </c>
      <c r="AG87" s="87" t="n">
        <v>16</v>
      </c>
      <c r="AH87" s="88" t="n">
        <v>0.6956521739130435</v>
      </c>
      <c r="AI87" s="91" t="n">
        <v>0</v>
      </c>
      <c r="AJ87" s="88" t="n">
        <v>0</v>
      </c>
      <c r="AK87" s="91" t="n">
        <v>0</v>
      </c>
      <c r="AL87" s="88" t="n">
        <v>0</v>
      </c>
      <c r="AM87" s="91" t="n">
        <v>0</v>
      </c>
      <c r="AN87" s="91" t="n">
        <v>0</v>
      </c>
      <c r="AO87" s="88" t="n">
        <v>0</v>
      </c>
      <c r="AP87" s="88" t="n">
        <v>0</v>
      </c>
      <c r="AQ87" s="89" t="n"/>
      <c r="AR87" s="89" t="n">
        <v>0</v>
      </c>
      <c r="AS87" s="89" t="n">
        <v>0</v>
      </c>
      <c r="AT87" s="91" t="n">
        <v>0</v>
      </c>
      <c r="AU87" s="91" t="n">
        <v>0</v>
      </c>
      <c r="AV87" s="91" t="n">
        <v>0</v>
      </c>
      <c r="AW87" s="91" t="n">
        <v>0</v>
      </c>
      <c r="AX87" s="91" t="n">
        <v>0</v>
      </c>
      <c r="AY87" s="91" t="n">
        <v>0</v>
      </c>
      <c r="AZ87" s="88" t="n">
        <v>0</v>
      </c>
      <c r="BA87" s="88" t="n">
        <v>0</v>
      </c>
      <c r="BB87" s="88" t="n">
        <v>0</v>
      </c>
      <c r="BC87" s="88" t="n">
        <v>0</v>
      </c>
      <c r="BD87" s="91" t="n">
        <v>0</v>
      </c>
      <c r="BE87" s="91" t="n">
        <v>0</v>
      </c>
      <c r="BF87" s="89" t="inlineStr">
        <is>
          <t>-</t>
        </is>
      </c>
      <c r="BG87" s="89" t="inlineStr">
        <is>
          <t>-</t>
        </is>
      </c>
      <c r="BH87" s="89" t="inlineStr">
        <is>
          <t>-</t>
        </is>
      </c>
    </row>
    <row r="88" ht="19.55" customHeight="1">
      <c r="A88" s="92" t="n">
        <v>85</v>
      </c>
      <c r="B88" s="87" t="inlineStr">
        <is>
          <t>全国</t>
        </is>
      </c>
      <c r="C88" s="93" t="n">
        <v>45917</v>
      </c>
      <c r="D88" s="87" t="inlineStr">
        <is>
          <t>N7</t>
        </is>
      </c>
      <c r="E88" s="87" t="n">
        <v>6590</v>
      </c>
      <c r="F88" s="87" t="n">
        <v>5414</v>
      </c>
      <c r="G88" s="88" t="n">
        <v>0.8215477996965098</v>
      </c>
      <c r="H88" s="87" t="n">
        <v>3192</v>
      </c>
      <c r="I88" s="89" t="n">
        <v>0.4843702579666161</v>
      </c>
      <c r="J88" s="87" t="n">
        <v>4986</v>
      </c>
      <c r="K88" s="87" t="n">
        <v>4767</v>
      </c>
      <c r="L88" s="88" t="n">
        <v>0.956</v>
      </c>
      <c r="M88" s="87" t="n">
        <v>5894</v>
      </c>
      <c r="N88" s="87" t="n">
        <v>0</v>
      </c>
      <c r="O88" s="87" t="n">
        <v>5610</v>
      </c>
      <c r="P88" s="88" t="n">
        <v>0.9518154054971157</v>
      </c>
      <c r="Q88" s="87" t="n">
        <v>17</v>
      </c>
      <c r="R88" s="87" t="n">
        <v>0</v>
      </c>
      <c r="S88" s="87" t="n">
        <v>0</v>
      </c>
      <c r="T88" s="88" t="n">
        <v>0</v>
      </c>
      <c r="U88" s="87" t="n">
        <v>0</v>
      </c>
      <c r="V88" s="88" t="n">
        <v>0</v>
      </c>
      <c r="W88" s="87" t="n">
        <v>2194</v>
      </c>
      <c r="X88" s="88" t="n">
        <v>0.3329286798179059</v>
      </c>
      <c r="Y88" s="87" t="n">
        <v>1039</v>
      </c>
      <c r="Z88" s="90" t="n">
        <v>0.1576631259484067</v>
      </c>
      <c r="AA88" s="87" t="n">
        <v>3</v>
      </c>
      <c r="AB88" s="88" t="n">
        <v>0.0004552352048558422</v>
      </c>
      <c r="AC88" s="87" t="n">
        <v>1000</v>
      </c>
      <c r="AD88" s="88" t="n">
        <v>0.1517450682852807</v>
      </c>
      <c r="AE88" s="87" t="n">
        <v>57</v>
      </c>
      <c r="AF88" s="88" t="n">
        <v>0.057</v>
      </c>
      <c r="AG88" s="87" t="n">
        <v>458</v>
      </c>
      <c r="AH88" s="88" t="n">
        <v>0.458</v>
      </c>
      <c r="AI88" s="91" t="n">
        <v>1002</v>
      </c>
      <c r="AJ88" s="88" t="n">
        <v>0.1520485584218513</v>
      </c>
      <c r="AK88" s="91" t="n">
        <v>43</v>
      </c>
      <c r="AL88" s="88" t="n">
        <v>0.8273453093812375</v>
      </c>
      <c r="AM88" s="91" t="n">
        <v>980</v>
      </c>
      <c r="AN88" s="91" t="n">
        <v>829</v>
      </c>
      <c r="AO88" s="88" t="n">
        <v>0.1257966616084977</v>
      </c>
      <c r="AP88" s="88" t="n">
        <v>0.829</v>
      </c>
      <c r="AQ88" s="89" t="n">
        <v>0</v>
      </c>
      <c r="AR88" s="89" t="n">
        <v>0.02330097087378641</v>
      </c>
      <c r="AS88" s="89" t="n">
        <v>0.02330097087378641</v>
      </c>
      <c r="AT88" s="91" t="n">
        <v>0</v>
      </c>
      <c r="AU88" s="91" t="n">
        <v>0</v>
      </c>
      <c r="AV88" s="91" t="n">
        <v>145</v>
      </c>
      <c r="AW88" s="91" t="n">
        <v>124</v>
      </c>
      <c r="AX88" s="91" t="n">
        <v>119</v>
      </c>
      <c r="AY88" s="91" t="n">
        <v>268</v>
      </c>
      <c r="AZ88" s="88" t="n">
        <v>0.01881638846737481</v>
      </c>
      <c r="BA88" s="88" t="n">
        <v>0.01805766312594841</v>
      </c>
      <c r="BB88" s="88" t="n">
        <v>0.04066767830045524</v>
      </c>
      <c r="BC88" s="88" t="n">
        <v>0.1435464414957781</v>
      </c>
      <c r="BD88" s="91" t="n">
        <v>0</v>
      </c>
      <c r="BE88" s="91" t="n">
        <v>2</v>
      </c>
      <c r="BF88" s="89" t="n">
        <v>0.9272727272727272</v>
      </c>
      <c r="BG88" s="89" t="n">
        <v>1</v>
      </c>
      <c r="BH88" s="89" t="inlineStr">
        <is>
          <t>-</t>
        </is>
      </c>
    </row>
    <row r="89" ht="19.55" customHeight="1">
      <c r="A89" s="92" t="n">
        <v>86</v>
      </c>
      <c r="B89" s="87" t="inlineStr">
        <is>
          <t>全国</t>
        </is>
      </c>
      <c r="C89" s="93" t="n">
        <v>45917</v>
      </c>
      <c r="D89" s="87" t="inlineStr">
        <is>
          <t>NX8</t>
        </is>
      </c>
      <c r="E89" s="87" t="n">
        <v>164</v>
      </c>
      <c r="F89" s="87" t="n">
        <v>144</v>
      </c>
      <c r="G89" s="88" t="n">
        <v>0.8780487804878049</v>
      </c>
      <c r="H89" s="87" t="n">
        <v>65</v>
      </c>
      <c r="I89" s="89" t="n">
        <v>0.3963414634146342</v>
      </c>
      <c r="J89" s="87" t="n">
        <v>40</v>
      </c>
      <c r="K89" s="87" t="n">
        <v>39</v>
      </c>
      <c r="L89" s="88" t="n">
        <v>0.975</v>
      </c>
      <c r="M89" s="87" t="n">
        <v>52</v>
      </c>
      <c r="N89" s="87" t="n">
        <v>0</v>
      </c>
      <c r="O89" s="87" t="n">
        <v>49</v>
      </c>
      <c r="P89" s="88" t="n">
        <v>0.9423076923076923</v>
      </c>
      <c r="Q89" s="87" t="n">
        <v>0</v>
      </c>
      <c r="R89" s="87" t="n">
        <v>0</v>
      </c>
      <c r="S89" s="87" t="n">
        <v>0</v>
      </c>
      <c r="T89" s="88" t="n">
        <v>0</v>
      </c>
      <c r="U89" s="87" t="n">
        <v>0</v>
      </c>
      <c r="V89" s="88" t="n">
        <v>0</v>
      </c>
      <c r="W89" s="87" t="n">
        <v>0</v>
      </c>
      <c r="X89" s="88" t="n">
        <v>0</v>
      </c>
      <c r="Y89" s="87" t="n">
        <v>0</v>
      </c>
      <c r="Z89" s="90" t="n">
        <v>0</v>
      </c>
      <c r="AA89" s="87" t="n">
        <v>0</v>
      </c>
      <c r="AB89" s="88" t="n">
        <v>0</v>
      </c>
      <c r="AC89" s="87" t="n">
        <v>34</v>
      </c>
      <c r="AD89" s="88" t="n">
        <v>0.2073170731707317</v>
      </c>
      <c r="AE89" s="87" t="n">
        <v>7</v>
      </c>
      <c r="AF89" s="88" t="n">
        <v>0.2058823529411765</v>
      </c>
      <c r="AG89" s="87" t="n">
        <v>24</v>
      </c>
      <c r="AH89" s="88" t="n">
        <v>0.7058823529411765</v>
      </c>
      <c r="AI89" s="91" t="n">
        <v>0</v>
      </c>
      <c r="AJ89" s="88" t="n">
        <v>0</v>
      </c>
      <c r="AK89" s="91" t="n">
        <v>0</v>
      </c>
      <c r="AL89" s="88" t="n">
        <v>0</v>
      </c>
      <c r="AM89" s="91" t="n">
        <v>0</v>
      </c>
      <c r="AN89" s="91" t="n">
        <v>0</v>
      </c>
      <c r="AO89" s="88" t="n">
        <v>0</v>
      </c>
      <c r="AP89" s="88" t="n">
        <v>0</v>
      </c>
      <c r="AQ89" s="89" t="n"/>
      <c r="AR89" s="89" t="n">
        <v>0</v>
      </c>
      <c r="AS89" s="89" t="n">
        <v>0</v>
      </c>
      <c r="AT89" s="91" t="n">
        <v>0</v>
      </c>
      <c r="AU89" s="91" t="n">
        <v>0</v>
      </c>
      <c r="AV89" s="91" t="n">
        <v>0</v>
      </c>
      <c r="AW89" s="91" t="n">
        <v>0</v>
      </c>
      <c r="AX89" s="91" t="n">
        <v>0</v>
      </c>
      <c r="AY89" s="91" t="n">
        <v>0</v>
      </c>
      <c r="AZ89" s="88" t="n">
        <v>0</v>
      </c>
      <c r="BA89" s="88" t="n">
        <v>0</v>
      </c>
      <c r="BB89" s="88" t="n">
        <v>0</v>
      </c>
      <c r="BC89" s="88" t="n">
        <v>0</v>
      </c>
      <c r="BD89" s="91" t="n">
        <v>0</v>
      </c>
      <c r="BE89" s="91" t="n">
        <v>0</v>
      </c>
      <c r="BF89" s="89" t="inlineStr">
        <is>
          <t>-</t>
        </is>
      </c>
      <c r="BG89" s="89" t="inlineStr">
        <is>
          <t>-</t>
        </is>
      </c>
      <c r="BH89" s="89" t="inlineStr">
        <is>
          <t>-</t>
        </is>
      </c>
    </row>
    <row r="90" ht="19.55" customHeight="1">
      <c r="A90" s="92" t="n">
        <v>87</v>
      </c>
      <c r="B90" s="87" t="inlineStr">
        <is>
          <t>全国</t>
        </is>
      </c>
      <c r="C90" s="93" t="n">
        <v>45917</v>
      </c>
      <c r="D90" s="87" t="inlineStr">
        <is>
          <t>天籁·鸿蒙座舱</t>
        </is>
      </c>
      <c r="E90" s="87" t="n">
        <v>96</v>
      </c>
      <c r="F90" s="87" t="n">
        <v>88</v>
      </c>
      <c r="G90" s="88" t="n">
        <v>0.9166666666666666</v>
      </c>
      <c r="H90" s="87" t="n">
        <v>55</v>
      </c>
      <c r="I90" s="89" t="n">
        <v>0.5729166666666666</v>
      </c>
      <c r="J90" s="87" t="n">
        <v>38</v>
      </c>
      <c r="K90" s="87" t="n">
        <v>37</v>
      </c>
      <c r="L90" s="88" t="n">
        <v>0.974</v>
      </c>
      <c r="M90" s="87" t="n">
        <v>60</v>
      </c>
      <c r="N90" s="87" t="n">
        <v>0</v>
      </c>
      <c r="O90" s="87" t="n">
        <v>59</v>
      </c>
      <c r="P90" s="88" t="n">
        <v>0.9833333333333333</v>
      </c>
      <c r="Q90" s="87" t="n">
        <v>0</v>
      </c>
      <c r="R90" s="87" t="n">
        <v>0</v>
      </c>
      <c r="S90" s="87" t="n">
        <v>0</v>
      </c>
      <c r="T90" s="88" t="n">
        <v>0</v>
      </c>
      <c r="U90" s="87" t="n">
        <v>0</v>
      </c>
      <c r="V90" s="88" t="n">
        <v>0</v>
      </c>
      <c r="W90" s="87" t="n">
        <v>0</v>
      </c>
      <c r="X90" s="88" t="n">
        <v>0</v>
      </c>
      <c r="Y90" s="87" t="n">
        <v>0</v>
      </c>
      <c r="Z90" s="90" t="n">
        <v>0</v>
      </c>
      <c r="AA90" s="87" t="n">
        <v>0</v>
      </c>
      <c r="AB90" s="88" t="n">
        <v>0</v>
      </c>
      <c r="AC90" s="87" t="n">
        <v>22</v>
      </c>
      <c r="AD90" s="88" t="n">
        <v>0.2291666666666667</v>
      </c>
      <c r="AE90" s="87" t="n">
        <v>3</v>
      </c>
      <c r="AF90" s="88" t="n">
        <v>0.1363636363636364</v>
      </c>
      <c r="AG90" s="87" t="n">
        <v>18</v>
      </c>
      <c r="AH90" s="88" t="n">
        <v>0.8181818181818182</v>
      </c>
      <c r="AI90" s="91" t="n">
        <v>0</v>
      </c>
      <c r="AJ90" s="88" t="n">
        <v>0</v>
      </c>
      <c r="AK90" s="91" t="n">
        <v>0</v>
      </c>
      <c r="AL90" s="88" t="n">
        <v>0</v>
      </c>
      <c r="AM90" s="91" t="n">
        <v>0</v>
      </c>
      <c r="AN90" s="91" t="n">
        <v>0</v>
      </c>
      <c r="AO90" s="88" t="n">
        <v>0</v>
      </c>
      <c r="AP90" s="88" t="n">
        <v>0</v>
      </c>
      <c r="AQ90" s="89" t="n"/>
      <c r="AR90" s="89" t="n">
        <v>0</v>
      </c>
      <c r="AS90" s="89" t="n">
        <v>0</v>
      </c>
      <c r="AT90" s="91" t="n">
        <v>0</v>
      </c>
      <c r="AU90" s="91" t="n">
        <v>0</v>
      </c>
      <c r="AV90" s="91" t="n">
        <v>0</v>
      </c>
      <c r="AW90" s="91" t="n">
        <v>0</v>
      </c>
      <c r="AX90" s="91" t="n">
        <v>0</v>
      </c>
      <c r="AY90" s="91" t="n">
        <v>0</v>
      </c>
      <c r="AZ90" s="88" t="n">
        <v>0</v>
      </c>
      <c r="BA90" s="88" t="n">
        <v>0</v>
      </c>
      <c r="BB90" s="88" t="n">
        <v>0</v>
      </c>
      <c r="BC90" s="88" t="n">
        <v>0</v>
      </c>
      <c r="BD90" s="91" t="n">
        <v>0</v>
      </c>
      <c r="BE90" s="91" t="n">
        <v>0</v>
      </c>
      <c r="BF90" s="89" t="inlineStr">
        <is>
          <t>-</t>
        </is>
      </c>
      <c r="BG90" s="89" t="inlineStr">
        <is>
          <t>-</t>
        </is>
      </c>
      <c r="BH90" s="89" t="inlineStr">
        <is>
          <t>-</t>
        </is>
      </c>
    </row>
    <row r="91" ht="19.55" customHeight="1">
      <c r="A91" s="92" t="n">
        <v>88</v>
      </c>
      <c r="B91" s="87" t="inlineStr">
        <is>
          <t>全国</t>
        </is>
      </c>
      <c r="C91" s="93" t="n">
        <v>45918</v>
      </c>
      <c r="D91" s="87" t="inlineStr">
        <is>
          <t>2026款探陆</t>
        </is>
      </c>
      <c r="E91" s="87" t="n">
        <v>1</v>
      </c>
      <c r="F91" s="87" t="n">
        <v>1</v>
      </c>
      <c r="G91" s="88" t="n">
        <v>1</v>
      </c>
      <c r="H91" s="87" t="n">
        <v>1</v>
      </c>
      <c r="I91" s="89" t="n">
        <v>1</v>
      </c>
      <c r="J91" s="87" t="n">
        <v>1</v>
      </c>
      <c r="K91" s="87" t="n">
        <v>1</v>
      </c>
      <c r="L91" s="88" t="n">
        <v>1</v>
      </c>
      <c r="M91" s="87" t="n">
        <v>1</v>
      </c>
      <c r="N91" s="87" t="n">
        <v>0</v>
      </c>
      <c r="O91" s="87" t="n">
        <v>1</v>
      </c>
      <c r="P91" s="88" t="n">
        <v>1</v>
      </c>
      <c r="Q91" s="87" t="n">
        <v>0</v>
      </c>
      <c r="R91" s="87" t="n">
        <v>0</v>
      </c>
      <c r="S91" s="87" t="n">
        <v>0</v>
      </c>
      <c r="T91" s="88" t="n">
        <v>0</v>
      </c>
      <c r="U91" s="87" t="n">
        <v>0</v>
      </c>
      <c r="V91" s="88" t="n">
        <v>0</v>
      </c>
      <c r="W91" s="87" t="n">
        <v>0</v>
      </c>
      <c r="X91" s="88" t="n">
        <v>0</v>
      </c>
      <c r="Y91" s="87" t="n">
        <v>0</v>
      </c>
      <c r="Z91" s="90" t="n">
        <v>0</v>
      </c>
      <c r="AA91" s="87" t="n">
        <v>0</v>
      </c>
      <c r="AB91" s="88" t="n">
        <v>0</v>
      </c>
      <c r="AC91" s="87" t="n">
        <v>0</v>
      </c>
      <c r="AD91" s="88" t="n">
        <v>0</v>
      </c>
      <c r="AE91" s="87" t="n">
        <v>0</v>
      </c>
      <c r="AF91" s="88" t="n">
        <v>0</v>
      </c>
      <c r="AG91" s="87" t="n">
        <v>0</v>
      </c>
      <c r="AH91" s="88" t="n">
        <v>0</v>
      </c>
      <c r="AI91" s="91" t="n">
        <v>0</v>
      </c>
      <c r="AJ91" s="88" t="n">
        <v>0</v>
      </c>
      <c r="AK91" s="91" t="n">
        <v>0</v>
      </c>
      <c r="AL91" s="88" t="n">
        <v>0</v>
      </c>
      <c r="AM91" s="91" t="n">
        <v>0</v>
      </c>
      <c r="AN91" s="91" t="n">
        <v>0</v>
      </c>
      <c r="AO91" s="88" t="n">
        <v>0</v>
      </c>
      <c r="AP91" s="88" t="n">
        <v>0</v>
      </c>
      <c r="AQ91" s="89" t="n"/>
      <c r="AR91" s="89" t="inlineStr">
        <is>
          <t>0.0%</t>
        </is>
      </c>
      <c r="AS91" s="89" t="inlineStr">
        <is>
          <t>0.0%</t>
        </is>
      </c>
      <c r="AT91" s="91" t="n">
        <v>0</v>
      </c>
      <c r="AU91" s="91" t="n">
        <v>0</v>
      </c>
      <c r="AV91" s="91" t="n">
        <v>0</v>
      </c>
      <c r="AW91" s="91" t="n">
        <v>0</v>
      </c>
      <c r="AX91" s="91" t="n">
        <v>0</v>
      </c>
      <c r="AY91" s="91" t="n">
        <v>0</v>
      </c>
      <c r="AZ91" s="88" t="n">
        <v>0</v>
      </c>
      <c r="BA91" s="88" t="n">
        <v>0</v>
      </c>
      <c r="BB91" s="88" t="n">
        <v>0</v>
      </c>
      <c r="BC91" s="88" t="n">
        <v>0</v>
      </c>
      <c r="BD91" s="91" t="n">
        <v>0</v>
      </c>
      <c r="BE91" s="91" t="n">
        <v>0</v>
      </c>
      <c r="BF91" s="89" t="inlineStr">
        <is>
          <t>-</t>
        </is>
      </c>
      <c r="BG91" s="89" t="inlineStr">
        <is>
          <t>-</t>
        </is>
      </c>
      <c r="BH91" s="89" t="inlineStr">
        <is>
          <t>-</t>
        </is>
      </c>
    </row>
    <row r="92" ht="19.55" customHeight="1">
      <c r="A92" s="92" t="n">
        <v>89</v>
      </c>
      <c r="B92" s="87" t="inlineStr">
        <is>
          <t>全国</t>
        </is>
      </c>
      <c r="C92" s="93" t="n">
        <v>45918</v>
      </c>
      <c r="D92" s="87" t="inlineStr">
        <is>
          <t>N6</t>
        </is>
      </c>
      <c r="E92" s="87" t="n">
        <v>89</v>
      </c>
      <c r="F92" s="87" t="n">
        <v>86</v>
      </c>
      <c r="G92" s="88" t="n">
        <v>0.9662921348314607</v>
      </c>
      <c r="H92" s="87" t="n">
        <v>48</v>
      </c>
      <c r="I92" s="89" t="n">
        <v>0.5393258426966292</v>
      </c>
      <c r="J92" s="87" t="n">
        <v>34</v>
      </c>
      <c r="K92" s="87" t="n">
        <v>34</v>
      </c>
      <c r="L92" s="88" t="n">
        <v>1</v>
      </c>
      <c r="M92" s="87" t="n">
        <v>60</v>
      </c>
      <c r="N92" s="87" t="n">
        <v>0</v>
      </c>
      <c r="O92" s="87" t="n">
        <v>59</v>
      </c>
      <c r="P92" s="88" t="n">
        <v>0.9833333333333333</v>
      </c>
      <c r="Q92" s="87" t="n">
        <v>0</v>
      </c>
      <c r="R92" s="87" t="n">
        <v>0</v>
      </c>
      <c r="S92" s="87" t="n">
        <v>0</v>
      </c>
      <c r="T92" s="88" t="n">
        <v>0</v>
      </c>
      <c r="U92" s="87" t="n">
        <v>0</v>
      </c>
      <c r="V92" s="88" t="n">
        <v>0</v>
      </c>
      <c r="W92" s="87" t="n">
        <v>0</v>
      </c>
      <c r="X92" s="88" t="n">
        <v>0</v>
      </c>
      <c r="Y92" s="87" t="n">
        <v>0</v>
      </c>
      <c r="Z92" s="90" t="n">
        <v>0</v>
      </c>
      <c r="AA92" s="87" t="n">
        <v>0</v>
      </c>
      <c r="AB92" s="88" t="n">
        <v>0</v>
      </c>
      <c r="AC92" s="87" t="n">
        <v>19</v>
      </c>
      <c r="AD92" s="88" t="n">
        <v>0.2134831460674157</v>
      </c>
      <c r="AE92" s="87" t="n">
        <v>4</v>
      </c>
      <c r="AF92" s="88" t="n">
        <v>0.2105263157894737</v>
      </c>
      <c r="AG92" s="87" t="n">
        <v>17</v>
      </c>
      <c r="AH92" s="88" t="n">
        <v>0.8947368421052632</v>
      </c>
      <c r="AI92" s="91" t="n">
        <v>0</v>
      </c>
      <c r="AJ92" s="88" t="n">
        <v>0</v>
      </c>
      <c r="AK92" s="91" t="n">
        <v>0</v>
      </c>
      <c r="AL92" s="88" t="n">
        <v>0</v>
      </c>
      <c r="AM92" s="91" t="n">
        <v>0</v>
      </c>
      <c r="AN92" s="91" t="n">
        <v>0</v>
      </c>
      <c r="AO92" s="88" t="n">
        <v>0</v>
      </c>
      <c r="AP92" s="88" t="n">
        <v>0</v>
      </c>
      <c r="AQ92" s="89" t="n"/>
      <c r="AR92" s="89" t="n">
        <v>0</v>
      </c>
      <c r="AS92" s="89" t="n">
        <v>0</v>
      </c>
      <c r="AT92" s="91" t="n">
        <v>0</v>
      </c>
      <c r="AU92" s="91" t="n">
        <v>0</v>
      </c>
      <c r="AV92" s="91" t="n">
        <v>0</v>
      </c>
      <c r="AW92" s="91" t="n">
        <v>0</v>
      </c>
      <c r="AX92" s="91" t="n">
        <v>0</v>
      </c>
      <c r="AY92" s="91" t="n">
        <v>0</v>
      </c>
      <c r="AZ92" s="88" t="n">
        <v>0</v>
      </c>
      <c r="BA92" s="88" t="n">
        <v>0</v>
      </c>
      <c r="BB92" s="88" t="n">
        <v>0</v>
      </c>
      <c r="BC92" s="88" t="n">
        <v>0</v>
      </c>
      <c r="BD92" s="91" t="n">
        <v>0</v>
      </c>
      <c r="BE92" s="91" t="n">
        <v>0</v>
      </c>
      <c r="BF92" s="89" t="inlineStr">
        <is>
          <t>-</t>
        </is>
      </c>
      <c r="BG92" s="89" t="inlineStr">
        <is>
          <t>-</t>
        </is>
      </c>
      <c r="BH92" s="89" t="inlineStr">
        <is>
          <t>-</t>
        </is>
      </c>
    </row>
    <row r="93" ht="19.55" customHeight="1">
      <c r="A93" s="92" t="n">
        <v>90</v>
      </c>
      <c r="B93" s="87" t="inlineStr">
        <is>
          <t>全国</t>
        </is>
      </c>
      <c r="C93" s="93" t="n">
        <v>45918</v>
      </c>
      <c r="D93" s="87" t="inlineStr">
        <is>
          <t>N7</t>
        </is>
      </c>
      <c r="E93" s="87" t="n">
        <v>6561</v>
      </c>
      <c r="F93" s="87" t="n">
        <v>5368</v>
      </c>
      <c r="G93" s="88" t="n">
        <v>0.8181679622008841</v>
      </c>
      <c r="H93" s="87" t="n">
        <v>3112</v>
      </c>
      <c r="I93" s="89" t="n">
        <v>0.4743179393385155</v>
      </c>
      <c r="J93" s="87" t="n">
        <v>5724</v>
      </c>
      <c r="K93" s="87" t="n">
        <v>5581</v>
      </c>
      <c r="L93" s="88" t="n">
        <v>0.975</v>
      </c>
      <c r="M93" s="87" t="n">
        <v>6662</v>
      </c>
      <c r="N93" s="87" t="n">
        <v>0</v>
      </c>
      <c r="O93" s="87" t="n">
        <v>6430</v>
      </c>
      <c r="P93" s="88" t="n">
        <v>0.9651756229360552</v>
      </c>
      <c r="Q93" s="87" t="n">
        <v>28</v>
      </c>
      <c r="R93" s="87" t="n">
        <v>0</v>
      </c>
      <c r="S93" s="87" t="n">
        <v>0</v>
      </c>
      <c r="T93" s="88" t="n">
        <v>0</v>
      </c>
      <c r="U93" s="87" t="n">
        <v>0</v>
      </c>
      <c r="V93" s="88" t="n">
        <v>0</v>
      </c>
      <c r="W93" s="87" t="n">
        <v>1031</v>
      </c>
      <c r="X93" s="88" t="n">
        <v>0.1571406797744246</v>
      </c>
      <c r="Y93" s="87" t="n">
        <v>909</v>
      </c>
      <c r="Z93" s="90" t="n">
        <v>0.1385459533607682</v>
      </c>
      <c r="AA93" s="87" t="n">
        <v>2</v>
      </c>
      <c r="AB93" s="88" t="n">
        <v>0.0003048315805517452</v>
      </c>
      <c r="AC93" s="87" t="n">
        <v>1110</v>
      </c>
      <c r="AD93" s="88" t="n">
        <v>0.1691815272062186</v>
      </c>
      <c r="AE93" s="87" t="n">
        <v>76</v>
      </c>
      <c r="AF93" s="88" t="n">
        <v>0.06846846846846846</v>
      </c>
      <c r="AG93" s="87" t="n">
        <v>501</v>
      </c>
      <c r="AH93" s="88" t="n">
        <v>0.4513513513513513</v>
      </c>
      <c r="AI93" s="91" t="n">
        <v>1092</v>
      </c>
      <c r="AJ93" s="88" t="n">
        <v>0.1664380429812529</v>
      </c>
      <c r="AK93" s="91" t="n">
        <v>33</v>
      </c>
      <c r="AL93" s="88" t="n">
        <v>0.826007326007326</v>
      </c>
      <c r="AM93" s="91" t="n">
        <v>1074</v>
      </c>
      <c r="AN93" s="91" t="n">
        <v>902</v>
      </c>
      <c r="AO93" s="88" t="n">
        <v>0.1374790428288371</v>
      </c>
      <c r="AP93" s="88" t="n">
        <v>0.8126126126126126</v>
      </c>
      <c r="AQ93" s="89" t="n">
        <v>0</v>
      </c>
      <c r="AR93" s="89" t="n">
        <v>0.0148861646234676</v>
      </c>
      <c r="AS93" s="89" t="n">
        <v>0.0148861646234676</v>
      </c>
      <c r="AT93" s="91" t="n">
        <v>0</v>
      </c>
      <c r="AU93" s="91" t="n">
        <v>0</v>
      </c>
      <c r="AV93" s="91" t="n">
        <v>159</v>
      </c>
      <c r="AW93" s="91" t="n">
        <v>132</v>
      </c>
      <c r="AX93" s="91" t="n">
        <v>130</v>
      </c>
      <c r="AY93" s="91" t="n">
        <v>168</v>
      </c>
      <c r="AZ93" s="88" t="n">
        <v>0.02011888431641518</v>
      </c>
      <c r="BA93" s="88" t="n">
        <v>0.01981405273586343</v>
      </c>
      <c r="BB93" s="88" t="n">
        <v>0.02560585276634659</v>
      </c>
      <c r="BC93" s="88" t="n">
        <v>0.1441241685144124</v>
      </c>
      <c r="BD93" s="91" t="n">
        <v>0</v>
      </c>
      <c r="BE93" s="91" t="n">
        <v>0</v>
      </c>
      <c r="BF93" s="89" t="n">
        <v>1</v>
      </c>
      <c r="BG93" s="89" t="n">
        <v>1</v>
      </c>
      <c r="BH93" s="89" t="inlineStr">
        <is>
          <t>-</t>
        </is>
      </c>
    </row>
    <row r="94" ht="19.55" customHeight="1">
      <c r="A94" s="92" t="n">
        <v>91</v>
      </c>
      <c r="B94" s="87" t="inlineStr">
        <is>
          <t>全国</t>
        </is>
      </c>
      <c r="C94" s="93" t="n">
        <v>45918</v>
      </c>
      <c r="D94" s="87" t="inlineStr">
        <is>
          <t>NX8</t>
        </is>
      </c>
      <c r="E94" s="87" t="n">
        <v>152</v>
      </c>
      <c r="F94" s="87" t="n">
        <v>133</v>
      </c>
      <c r="G94" s="88" t="n">
        <v>0.875</v>
      </c>
      <c r="H94" s="87" t="n">
        <v>56</v>
      </c>
      <c r="I94" s="89" t="n">
        <v>0.3684210526315789</v>
      </c>
      <c r="J94" s="87" t="n">
        <v>45</v>
      </c>
      <c r="K94" s="87" t="n">
        <v>45</v>
      </c>
      <c r="L94" s="88" t="n">
        <v>1</v>
      </c>
      <c r="M94" s="87" t="n">
        <v>54</v>
      </c>
      <c r="N94" s="87" t="n">
        <v>0</v>
      </c>
      <c r="O94" s="87" t="n">
        <v>54</v>
      </c>
      <c r="P94" s="88" t="n">
        <v>1</v>
      </c>
      <c r="Q94" s="87" t="n">
        <v>0</v>
      </c>
      <c r="R94" s="87" t="n">
        <v>0</v>
      </c>
      <c r="S94" s="87" t="n">
        <v>0</v>
      </c>
      <c r="T94" s="88" t="n">
        <v>0</v>
      </c>
      <c r="U94" s="87" t="n">
        <v>0</v>
      </c>
      <c r="V94" s="88" t="n">
        <v>0</v>
      </c>
      <c r="W94" s="87" t="n">
        <v>0</v>
      </c>
      <c r="X94" s="88" t="n">
        <v>0</v>
      </c>
      <c r="Y94" s="87" t="n">
        <v>0</v>
      </c>
      <c r="Z94" s="90" t="n">
        <v>0</v>
      </c>
      <c r="AA94" s="87" t="n">
        <v>0</v>
      </c>
      <c r="AB94" s="88" t="n">
        <v>0</v>
      </c>
      <c r="AC94" s="87" t="n">
        <v>46</v>
      </c>
      <c r="AD94" s="88" t="n">
        <v>0.3026315789473684</v>
      </c>
      <c r="AE94" s="87" t="n">
        <v>7</v>
      </c>
      <c r="AF94" s="88" t="n">
        <v>0.1521739130434783</v>
      </c>
      <c r="AG94" s="87" t="n">
        <v>26</v>
      </c>
      <c r="AH94" s="88" t="n">
        <v>0.5652173913043478</v>
      </c>
      <c r="AI94" s="91" t="n">
        <v>0</v>
      </c>
      <c r="AJ94" s="88" t="n">
        <v>0</v>
      </c>
      <c r="AK94" s="91" t="n">
        <v>0</v>
      </c>
      <c r="AL94" s="88" t="n">
        <v>0</v>
      </c>
      <c r="AM94" s="91" t="n">
        <v>0</v>
      </c>
      <c r="AN94" s="91" t="n">
        <v>0</v>
      </c>
      <c r="AO94" s="88" t="n">
        <v>0</v>
      </c>
      <c r="AP94" s="88" t="n">
        <v>0</v>
      </c>
      <c r="AQ94" s="89" t="n"/>
      <c r="AR94" s="89" t="n">
        <v>0</v>
      </c>
      <c r="AS94" s="89" t="n">
        <v>0</v>
      </c>
      <c r="AT94" s="91" t="n">
        <v>0</v>
      </c>
      <c r="AU94" s="91" t="n">
        <v>0</v>
      </c>
      <c r="AV94" s="91" t="n">
        <v>0</v>
      </c>
      <c r="AW94" s="91" t="n">
        <v>0</v>
      </c>
      <c r="AX94" s="91" t="n">
        <v>0</v>
      </c>
      <c r="AY94" s="91" t="n">
        <v>0</v>
      </c>
      <c r="AZ94" s="88" t="n">
        <v>0</v>
      </c>
      <c r="BA94" s="88" t="n">
        <v>0</v>
      </c>
      <c r="BB94" s="88" t="n">
        <v>0</v>
      </c>
      <c r="BC94" s="88" t="n">
        <v>0</v>
      </c>
      <c r="BD94" s="91" t="n">
        <v>0</v>
      </c>
      <c r="BE94" s="91" t="n">
        <v>0</v>
      </c>
      <c r="BF94" s="89" t="inlineStr">
        <is>
          <t>-</t>
        </is>
      </c>
      <c r="BG94" s="89" t="inlineStr">
        <is>
          <t>-</t>
        </is>
      </c>
      <c r="BH94" s="89" t="inlineStr">
        <is>
          <t>-</t>
        </is>
      </c>
    </row>
    <row r="95" ht="19.55" customHeight="1">
      <c r="A95" s="92" t="n">
        <v>92</v>
      </c>
      <c r="B95" s="87" t="inlineStr">
        <is>
          <t>全国</t>
        </is>
      </c>
      <c r="C95" s="93" t="n">
        <v>45918</v>
      </c>
      <c r="D95" s="87" t="inlineStr">
        <is>
          <t>天籁·鸿蒙座舱</t>
        </is>
      </c>
      <c r="E95" s="87" t="n">
        <v>73</v>
      </c>
      <c r="F95" s="87" t="n">
        <v>69</v>
      </c>
      <c r="G95" s="88" t="n">
        <v>0.9452054794520548</v>
      </c>
      <c r="H95" s="87" t="n">
        <v>39</v>
      </c>
      <c r="I95" s="89" t="n">
        <v>0.5342465753424658</v>
      </c>
      <c r="J95" s="87" t="n">
        <v>51</v>
      </c>
      <c r="K95" s="87" t="n">
        <v>49</v>
      </c>
      <c r="L95" s="88" t="n">
        <v>0.961</v>
      </c>
      <c r="M95" s="87" t="n">
        <v>76</v>
      </c>
      <c r="N95" s="87" t="n">
        <v>0</v>
      </c>
      <c r="O95" s="87" t="n">
        <v>74</v>
      </c>
      <c r="P95" s="88" t="n">
        <v>0.9736842105263158</v>
      </c>
      <c r="Q95" s="87" t="n">
        <v>0</v>
      </c>
      <c r="R95" s="87" t="n">
        <v>0</v>
      </c>
      <c r="S95" s="87" t="n">
        <v>0</v>
      </c>
      <c r="T95" s="88" t="n">
        <v>0</v>
      </c>
      <c r="U95" s="87" t="n">
        <v>0</v>
      </c>
      <c r="V95" s="88" t="n">
        <v>0</v>
      </c>
      <c r="W95" s="87" t="n">
        <v>0</v>
      </c>
      <c r="X95" s="88" t="n">
        <v>0</v>
      </c>
      <c r="Y95" s="87" t="n">
        <v>0</v>
      </c>
      <c r="Z95" s="90" t="n">
        <v>0</v>
      </c>
      <c r="AA95" s="87" t="n">
        <v>0</v>
      </c>
      <c r="AB95" s="88" t="n">
        <v>0</v>
      </c>
      <c r="AC95" s="87" t="n">
        <v>19</v>
      </c>
      <c r="AD95" s="88" t="n">
        <v>0.2602739726027397</v>
      </c>
      <c r="AE95" s="87" t="n">
        <v>5</v>
      </c>
      <c r="AF95" s="88" t="n">
        <v>0.2631578947368421</v>
      </c>
      <c r="AG95" s="87" t="n">
        <v>12</v>
      </c>
      <c r="AH95" s="88" t="n">
        <v>0.631578947368421</v>
      </c>
      <c r="AI95" s="91" t="n">
        <v>0</v>
      </c>
      <c r="AJ95" s="88" t="n">
        <v>0</v>
      </c>
      <c r="AK95" s="91" t="n">
        <v>0</v>
      </c>
      <c r="AL95" s="88" t="n">
        <v>0</v>
      </c>
      <c r="AM95" s="91" t="n">
        <v>0</v>
      </c>
      <c r="AN95" s="91" t="n">
        <v>0</v>
      </c>
      <c r="AO95" s="88" t="n">
        <v>0</v>
      </c>
      <c r="AP95" s="88" t="n">
        <v>0</v>
      </c>
      <c r="AQ95" s="89" t="n"/>
      <c r="AR95" s="89" t="n">
        <v>0</v>
      </c>
      <c r="AS95" s="89" t="n">
        <v>0</v>
      </c>
      <c r="AT95" s="91" t="n">
        <v>0</v>
      </c>
      <c r="AU95" s="91" t="n">
        <v>0</v>
      </c>
      <c r="AV95" s="91" t="n">
        <v>0</v>
      </c>
      <c r="AW95" s="91" t="n">
        <v>0</v>
      </c>
      <c r="AX95" s="91" t="n">
        <v>0</v>
      </c>
      <c r="AY95" s="91" t="n">
        <v>0</v>
      </c>
      <c r="AZ95" s="88" t="n">
        <v>0</v>
      </c>
      <c r="BA95" s="88" t="n">
        <v>0</v>
      </c>
      <c r="BB95" s="88" t="n">
        <v>0</v>
      </c>
      <c r="BC95" s="88" t="n">
        <v>0</v>
      </c>
      <c r="BD95" s="91" t="n">
        <v>0</v>
      </c>
      <c r="BE95" s="91" t="n">
        <v>0</v>
      </c>
      <c r="BF95" s="89" t="inlineStr">
        <is>
          <t>-</t>
        </is>
      </c>
      <c r="BG95" s="89" t="inlineStr">
        <is>
          <t>-</t>
        </is>
      </c>
      <c r="BH95" s="89" t="inlineStr">
        <is>
          <t>-</t>
        </is>
      </c>
    </row>
    <row r="96" ht="19.55" customHeight="1">
      <c r="A96" s="92" t="n">
        <v>93</v>
      </c>
      <c r="B96" s="87" t="inlineStr">
        <is>
          <t>全国</t>
        </is>
      </c>
      <c r="C96" s="93" t="n">
        <v>45919</v>
      </c>
      <c r="D96" s="87" t="inlineStr">
        <is>
          <t>2026款探陆</t>
        </is>
      </c>
      <c r="E96" s="87" t="n">
        <v>1</v>
      </c>
      <c r="F96" s="87" t="n">
        <v>1</v>
      </c>
      <c r="G96" s="88" t="n">
        <v>1</v>
      </c>
      <c r="H96" s="87" t="n">
        <v>0</v>
      </c>
      <c r="I96" s="89" t="n">
        <v>0</v>
      </c>
      <c r="J96" s="87" t="n">
        <v>0</v>
      </c>
      <c r="K96" s="87" t="n">
        <v>0</v>
      </c>
      <c r="L96" s="88" t="n">
        <v>0</v>
      </c>
      <c r="M96" s="87" t="n">
        <v>0</v>
      </c>
      <c r="N96" s="87" t="n">
        <v>0</v>
      </c>
      <c r="O96" s="87" t="n">
        <v>0</v>
      </c>
      <c r="P96" s="88" t="n">
        <v>0</v>
      </c>
      <c r="Q96" s="87" t="n">
        <v>0</v>
      </c>
      <c r="R96" s="87" t="n">
        <v>0</v>
      </c>
      <c r="S96" s="87" t="n">
        <v>0</v>
      </c>
      <c r="T96" s="88" t="n">
        <v>0</v>
      </c>
      <c r="U96" s="87" t="n">
        <v>0</v>
      </c>
      <c r="V96" s="88" t="n">
        <v>0</v>
      </c>
      <c r="W96" s="87" t="n">
        <v>0</v>
      </c>
      <c r="X96" s="88" t="n">
        <v>0</v>
      </c>
      <c r="Y96" s="87" t="n">
        <v>0</v>
      </c>
      <c r="Z96" s="90" t="n">
        <v>0</v>
      </c>
      <c r="AA96" s="87" t="n">
        <v>0</v>
      </c>
      <c r="AB96" s="88" t="n">
        <v>0</v>
      </c>
      <c r="AC96" s="87" t="n">
        <v>1</v>
      </c>
      <c r="AD96" s="88" t="n">
        <v>1</v>
      </c>
      <c r="AE96" s="87" t="n">
        <v>0</v>
      </c>
      <c r="AF96" s="88" t="n">
        <v>0</v>
      </c>
      <c r="AG96" s="87" t="n">
        <v>1</v>
      </c>
      <c r="AH96" s="88" t="n">
        <v>1</v>
      </c>
      <c r="AI96" s="91" t="n">
        <v>0</v>
      </c>
      <c r="AJ96" s="88" t="n">
        <v>0</v>
      </c>
      <c r="AK96" s="91" t="n">
        <v>0</v>
      </c>
      <c r="AL96" s="88" t="n">
        <v>0</v>
      </c>
      <c r="AM96" s="91" t="n">
        <v>0</v>
      </c>
      <c r="AN96" s="91" t="n">
        <v>0</v>
      </c>
      <c r="AO96" s="88" t="n">
        <v>0</v>
      </c>
      <c r="AP96" s="88" t="n">
        <v>0</v>
      </c>
      <c r="AQ96" s="89" t="n"/>
      <c r="AR96" s="89" t="inlineStr">
        <is>
          <t>0.0%</t>
        </is>
      </c>
      <c r="AS96" s="89" t="inlineStr">
        <is>
          <t>0.0%</t>
        </is>
      </c>
      <c r="AT96" s="91" t="n">
        <v>0</v>
      </c>
      <c r="AU96" s="91" t="n">
        <v>0</v>
      </c>
      <c r="AV96" s="91" t="n">
        <v>0</v>
      </c>
      <c r="AW96" s="91" t="n">
        <v>0</v>
      </c>
      <c r="AX96" s="91" t="n">
        <v>0</v>
      </c>
      <c r="AY96" s="91" t="n">
        <v>0</v>
      </c>
      <c r="AZ96" s="88" t="n">
        <v>0</v>
      </c>
      <c r="BA96" s="88" t="n">
        <v>0</v>
      </c>
      <c r="BB96" s="88" t="n">
        <v>0</v>
      </c>
      <c r="BC96" s="88" t="n">
        <v>0</v>
      </c>
      <c r="BD96" s="91" t="n">
        <v>0</v>
      </c>
      <c r="BE96" s="91" t="n">
        <v>0</v>
      </c>
      <c r="BF96" s="89" t="inlineStr">
        <is>
          <t>-</t>
        </is>
      </c>
      <c r="BG96" s="89" t="inlineStr">
        <is>
          <t>-</t>
        </is>
      </c>
      <c r="BH96" s="89" t="inlineStr">
        <is>
          <t>-</t>
        </is>
      </c>
    </row>
    <row r="97" ht="19.55" customHeight="1">
      <c r="A97" s="92" t="n">
        <v>94</v>
      </c>
      <c r="B97" s="87" t="inlineStr">
        <is>
          <t>全国</t>
        </is>
      </c>
      <c r="C97" s="93" t="n">
        <v>45919</v>
      </c>
      <c r="D97" s="87" t="inlineStr">
        <is>
          <t>N6</t>
        </is>
      </c>
      <c r="E97" s="87" t="n">
        <v>112</v>
      </c>
      <c r="F97" s="87" t="n">
        <v>106</v>
      </c>
      <c r="G97" s="88" t="n">
        <v>0.9464285714285714</v>
      </c>
      <c r="H97" s="87" t="n">
        <v>61</v>
      </c>
      <c r="I97" s="89" t="n">
        <v>0.5446428571428571</v>
      </c>
      <c r="J97" s="87" t="n">
        <v>49</v>
      </c>
      <c r="K97" s="87" t="n">
        <v>47</v>
      </c>
      <c r="L97" s="88" t="n">
        <v>0.959</v>
      </c>
      <c r="M97" s="87" t="n">
        <v>92</v>
      </c>
      <c r="N97" s="87" t="n">
        <v>0</v>
      </c>
      <c r="O97" s="87" t="n">
        <v>89</v>
      </c>
      <c r="P97" s="88" t="n">
        <v>0.9673913043478261</v>
      </c>
      <c r="Q97" s="87" t="n">
        <v>0</v>
      </c>
      <c r="R97" s="87" t="n">
        <v>0</v>
      </c>
      <c r="S97" s="87" t="n">
        <v>0</v>
      </c>
      <c r="T97" s="88" t="n">
        <v>0</v>
      </c>
      <c r="U97" s="87" t="n">
        <v>0</v>
      </c>
      <c r="V97" s="88" t="n">
        <v>0</v>
      </c>
      <c r="W97" s="87" t="n">
        <v>0</v>
      </c>
      <c r="X97" s="88" t="n">
        <v>0</v>
      </c>
      <c r="Y97" s="87" t="n">
        <v>0</v>
      </c>
      <c r="Z97" s="90" t="n">
        <v>0</v>
      </c>
      <c r="AA97" s="87" t="n">
        <v>0</v>
      </c>
      <c r="AB97" s="88" t="n">
        <v>0</v>
      </c>
      <c r="AC97" s="87" t="n">
        <v>21</v>
      </c>
      <c r="AD97" s="88" t="n">
        <v>0.1875</v>
      </c>
      <c r="AE97" s="87" t="n">
        <v>4</v>
      </c>
      <c r="AF97" s="88" t="n">
        <v>0.1904761904761905</v>
      </c>
      <c r="AG97" s="87" t="n">
        <v>17</v>
      </c>
      <c r="AH97" s="88" t="n">
        <v>0.8095238095238095</v>
      </c>
      <c r="AI97" s="91" t="n">
        <v>0</v>
      </c>
      <c r="AJ97" s="88" t="n">
        <v>0</v>
      </c>
      <c r="AK97" s="91" t="n">
        <v>0</v>
      </c>
      <c r="AL97" s="88" t="n">
        <v>0</v>
      </c>
      <c r="AM97" s="91" t="n">
        <v>0</v>
      </c>
      <c r="AN97" s="91" t="n">
        <v>0</v>
      </c>
      <c r="AO97" s="88" t="n">
        <v>0</v>
      </c>
      <c r="AP97" s="88" t="n">
        <v>0</v>
      </c>
      <c r="AQ97" s="89" t="n"/>
      <c r="AR97" s="89" t="n">
        <v>0</v>
      </c>
      <c r="AS97" s="89" t="n">
        <v>0</v>
      </c>
      <c r="AT97" s="91" t="n">
        <v>0</v>
      </c>
      <c r="AU97" s="91" t="n">
        <v>0</v>
      </c>
      <c r="AV97" s="91" t="n">
        <v>0</v>
      </c>
      <c r="AW97" s="91" t="n">
        <v>0</v>
      </c>
      <c r="AX97" s="91" t="n">
        <v>0</v>
      </c>
      <c r="AY97" s="91" t="n">
        <v>0</v>
      </c>
      <c r="AZ97" s="88" t="n">
        <v>0</v>
      </c>
      <c r="BA97" s="88" t="n">
        <v>0</v>
      </c>
      <c r="BB97" s="88" t="n">
        <v>0</v>
      </c>
      <c r="BC97" s="88" t="n">
        <v>0</v>
      </c>
      <c r="BD97" s="91" t="n">
        <v>0</v>
      </c>
      <c r="BE97" s="91" t="n">
        <v>0</v>
      </c>
      <c r="BF97" s="89" t="inlineStr">
        <is>
          <t>-</t>
        </is>
      </c>
      <c r="BG97" s="89" t="inlineStr">
        <is>
          <t>-</t>
        </is>
      </c>
      <c r="BH97" s="89" t="inlineStr">
        <is>
          <t>-</t>
        </is>
      </c>
    </row>
    <row r="98" ht="19.55" customHeight="1">
      <c r="A98" s="92" t="n">
        <v>95</v>
      </c>
      <c r="B98" s="87" t="inlineStr">
        <is>
          <t>全国</t>
        </is>
      </c>
      <c r="C98" s="93" t="n">
        <v>45919</v>
      </c>
      <c r="D98" s="87" t="inlineStr">
        <is>
          <t>N7</t>
        </is>
      </c>
      <c r="E98" s="87" t="n">
        <v>6950</v>
      </c>
      <c r="F98" s="87" t="n">
        <v>5539</v>
      </c>
      <c r="G98" s="88" t="n">
        <v>0.796978417266187</v>
      </c>
      <c r="H98" s="87" t="n">
        <v>3326</v>
      </c>
      <c r="I98" s="89" t="n">
        <v>0.4785611510791367</v>
      </c>
      <c r="J98" s="87" t="n">
        <v>5711</v>
      </c>
      <c r="K98" s="87" t="n">
        <v>5526</v>
      </c>
      <c r="L98" s="88" t="n">
        <v>0.968</v>
      </c>
      <c r="M98" s="87" t="n">
        <v>6582</v>
      </c>
      <c r="N98" s="87" t="n">
        <v>0</v>
      </c>
      <c r="O98" s="87" t="n">
        <v>6342</v>
      </c>
      <c r="P98" s="88" t="n">
        <v>0.9635369188696444</v>
      </c>
      <c r="Q98" s="87" t="n">
        <v>23</v>
      </c>
      <c r="R98" s="87" t="n">
        <v>0</v>
      </c>
      <c r="S98" s="87" t="n">
        <v>0</v>
      </c>
      <c r="T98" s="88" t="n">
        <v>0</v>
      </c>
      <c r="U98" s="87" t="n">
        <v>0</v>
      </c>
      <c r="V98" s="88" t="n">
        <v>0</v>
      </c>
      <c r="W98" s="87" t="n">
        <v>1159</v>
      </c>
      <c r="X98" s="88" t="n">
        <v>0.1667625899280576</v>
      </c>
      <c r="Y98" s="87" t="n">
        <v>1251</v>
      </c>
      <c r="Z98" s="90" t="n">
        <v>0.18</v>
      </c>
      <c r="AA98" s="87" t="n">
        <v>3</v>
      </c>
      <c r="AB98" s="88" t="n">
        <v>0.0004316546762589928</v>
      </c>
      <c r="AC98" s="87" t="n">
        <v>1277</v>
      </c>
      <c r="AD98" s="88" t="n">
        <v>0.1837410071942446</v>
      </c>
      <c r="AE98" s="87" t="n">
        <v>66</v>
      </c>
      <c r="AF98" s="88" t="n">
        <v>0.05168363351605325</v>
      </c>
      <c r="AG98" s="87" t="n">
        <v>583</v>
      </c>
      <c r="AH98" s="88" t="n">
        <v>0.456538762725137</v>
      </c>
      <c r="AI98" s="91" t="n">
        <v>1261</v>
      </c>
      <c r="AJ98" s="88" t="n">
        <v>0.1814388489208633</v>
      </c>
      <c r="AK98" s="91" t="n">
        <v>43</v>
      </c>
      <c r="AL98" s="88" t="n">
        <v>0.8366375892149088</v>
      </c>
      <c r="AM98" s="91" t="n">
        <v>1230</v>
      </c>
      <c r="AN98" s="91" t="n">
        <v>1055</v>
      </c>
      <c r="AO98" s="88" t="n">
        <v>0.1517985611510791</v>
      </c>
      <c r="AP98" s="88" t="n">
        <v>0.8261550509005482</v>
      </c>
      <c r="AQ98" s="89" t="n">
        <v>0</v>
      </c>
      <c r="AR98" s="89" t="n">
        <v>0.01947040498442367</v>
      </c>
      <c r="AS98" s="89" t="n">
        <v>0.01947040498442367</v>
      </c>
      <c r="AT98" s="91" t="n">
        <v>0</v>
      </c>
      <c r="AU98" s="91" t="n">
        <v>0</v>
      </c>
      <c r="AV98" s="91" t="n">
        <v>196</v>
      </c>
      <c r="AW98" s="91" t="n">
        <v>164</v>
      </c>
      <c r="AX98" s="91" t="n">
        <v>161</v>
      </c>
      <c r="AY98" s="91" t="n">
        <v>197</v>
      </c>
      <c r="AZ98" s="88" t="n">
        <v>0.02359712230215827</v>
      </c>
      <c r="BA98" s="88" t="n">
        <v>0.02316546762589928</v>
      </c>
      <c r="BB98" s="88" t="n">
        <v>0.0283453237410072</v>
      </c>
      <c r="BC98" s="88" t="n">
        <v>0.15260663507109</v>
      </c>
      <c r="BD98" s="91" t="n">
        <v>0</v>
      </c>
      <c r="BE98" s="91" t="n">
        <v>3</v>
      </c>
      <c r="BF98" s="89" t="n">
        <v>0.9032258064516129</v>
      </c>
      <c r="BG98" s="89" t="n">
        <v>1</v>
      </c>
      <c r="BH98" s="89" t="inlineStr">
        <is>
          <t>-</t>
        </is>
      </c>
    </row>
    <row r="99" ht="19.55" customHeight="1">
      <c r="A99" s="92" t="n">
        <v>96</v>
      </c>
      <c r="B99" s="87" t="inlineStr">
        <is>
          <t>全国</t>
        </is>
      </c>
      <c r="C99" s="93" t="n">
        <v>45919</v>
      </c>
      <c r="D99" s="87" t="inlineStr">
        <is>
          <t>NX8</t>
        </is>
      </c>
      <c r="E99" s="87" t="n">
        <v>182</v>
      </c>
      <c r="F99" s="87" t="n">
        <v>160</v>
      </c>
      <c r="G99" s="88" t="n">
        <v>0.8791208791208791</v>
      </c>
      <c r="H99" s="87" t="n">
        <v>70</v>
      </c>
      <c r="I99" s="89" t="n">
        <v>0.3846153846153846</v>
      </c>
      <c r="J99" s="87" t="n">
        <v>63</v>
      </c>
      <c r="K99" s="87" t="n">
        <v>61</v>
      </c>
      <c r="L99" s="88" t="n">
        <v>0.968</v>
      </c>
      <c r="M99" s="87" t="n">
        <v>87</v>
      </c>
      <c r="N99" s="87" t="n">
        <v>0</v>
      </c>
      <c r="O99" s="87" t="n">
        <v>85</v>
      </c>
      <c r="P99" s="88" t="n">
        <v>0.9770114942528736</v>
      </c>
      <c r="Q99" s="87" t="n">
        <v>0</v>
      </c>
      <c r="R99" s="87" t="n">
        <v>0</v>
      </c>
      <c r="S99" s="87" t="n">
        <v>0</v>
      </c>
      <c r="T99" s="88" t="n">
        <v>0</v>
      </c>
      <c r="U99" s="87" t="n">
        <v>0</v>
      </c>
      <c r="V99" s="88" t="n">
        <v>0</v>
      </c>
      <c r="W99" s="87" t="n">
        <v>0</v>
      </c>
      <c r="X99" s="88" t="n">
        <v>0</v>
      </c>
      <c r="Y99" s="87" t="n">
        <v>0</v>
      </c>
      <c r="Z99" s="90" t="n">
        <v>0</v>
      </c>
      <c r="AA99" s="87" t="n">
        <v>0</v>
      </c>
      <c r="AB99" s="88" t="n">
        <v>0</v>
      </c>
      <c r="AC99" s="87" t="n">
        <v>51</v>
      </c>
      <c r="AD99" s="88" t="n">
        <v>0.2802197802197802</v>
      </c>
      <c r="AE99" s="87" t="n">
        <v>5</v>
      </c>
      <c r="AF99" s="88" t="n">
        <v>0.09803921568627451</v>
      </c>
      <c r="AG99" s="87" t="n">
        <v>30</v>
      </c>
      <c r="AH99" s="88" t="n">
        <v>0.5882352941176471</v>
      </c>
      <c r="AI99" s="91" t="n">
        <v>0</v>
      </c>
      <c r="AJ99" s="88" t="n">
        <v>0</v>
      </c>
      <c r="AK99" s="91" t="n">
        <v>0</v>
      </c>
      <c r="AL99" s="88" t="n">
        <v>0</v>
      </c>
      <c r="AM99" s="91" t="n">
        <v>0</v>
      </c>
      <c r="AN99" s="91" t="n">
        <v>0</v>
      </c>
      <c r="AO99" s="88" t="n">
        <v>0</v>
      </c>
      <c r="AP99" s="88" t="n">
        <v>0</v>
      </c>
      <c r="AQ99" s="89" t="n"/>
      <c r="AR99" s="89" t="n">
        <v>0</v>
      </c>
      <c r="AS99" s="89" t="n">
        <v>0</v>
      </c>
      <c r="AT99" s="91" t="n">
        <v>0</v>
      </c>
      <c r="AU99" s="91" t="n">
        <v>0</v>
      </c>
      <c r="AV99" s="91" t="n">
        <v>0</v>
      </c>
      <c r="AW99" s="91" t="n">
        <v>0</v>
      </c>
      <c r="AX99" s="91" t="n">
        <v>0</v>
      </c>
      <c r="AY99" s="91" t="n">
        <v>0</v>
      </c>
      <c r="AZ99" s="88" t="n">
        <v>0</v>
      </c>
      <c r="BA99" s="88" t="n">
        <v>0</v>
      </c>
      <c r="BB99" s="88" t="n">
        <v>0</v>
      </c>
      <c r="BC99" s="88" t="n">
        <v>0</v>
      </c>
      <c r="BD99" s="91" t="n">
        <v>0</v>
      </c>
      <c r="BE99" s="91" t="n">
        <v>0</v>
      </c>
      <c r="BF99" s="89" t="inlineStr">
        <is>
          <t>-</t>
        </is>
      </c>
      <c r="BG99" s="89" t="inlineStr">
        <is>
          <t>-</t>
        </is>
      </c>
      <c r="BH99" s="89" t="inlineStr">
        <is>
          <t>-</t>
        </is>
      </c>
    </row>
    <row r="100" ht="19.55" customHeight="1">
      <c r="A100" s="92" t="n">
        <v>97</v>
      </c>
      <c r="B100" s="87" t="inlineStr">
        <is>
          <t>全国</t>
        </is>
      </c>
      <c r="C100" s="93" t="n">
        <v>45919</v>
      </c>
      <c r="D100" s="87" t="inlineStr">
        <is>
          <t>天籁·鸿蒙座舱</t>
        </is>
      </c>
      <c r="E100" s="87" t="n">
        <v>89</v>
      </c>
      <c r="F100" s="87" t="n">
        <v>81</v>
      </c>
      <c r="G100" s="88" t="n">
        <v>0.9101123595505618</v>
      </c>
      <c r="H100" s="87" t="n">
        <v>54</v>
      </c>
      <c r="I100" s="89" t="n">
        <v>0.6067415730337079</v>
      </c>
      <c r="J100" s="87" t="n">
        <v>54</v>
      </c>
      <c r="K100" s="87" t="n">
        <v>52</v>
      </c>
      <c r="L100" s="88" t="n">
        <v>0.963</v>
      </c>
      <c r="M100" s="87" t="n">
        <v>93</v>
      </c>
      <c r="N100" s="87" t="n">
        <v>0</v>
      </c>
      <c r="O100" s="87" t="n">
        <v>91</v>
      </c>
      <c r="P100" s="88" t="n">
        <v>0.978494623655914</v>
      </c>
      <c r="Q100" s="87" t="n">
        <v>0</v>
      </c>
      <c r="R100" s="87" t="n">
        <v>0</v>
      </c>
      <c r="S100" s="87" t="n">
        <v>0</v>
      </c>
      <c r="T100" s="88" t="n">
        <v>0</v>
      </c>
      <c r="U100" s="87" t="n">
        <v>0</v>
      </c>
      <c r="V100" s="88" t="n">
        <v>0</v>
      </c>
      <c r="W100" s="87" t="n">
        <v>0</v>
      </c>
      <c r="X100" s="88" t="n">
        <v>0</v>
      </c>
      <c r="Y100" s="87" t="n">
        <v>0</v>
      </c>
      <c r="Z100" s="90" t="n">
        <v>0</v>
      </c>
      <c r="AA100" s="87" t="n">
        <v>0</v>
      </c>
      <c r="AB100" s="88" t="n">
        <v>0</v>
      </c>
      <c r="AC100" s="87" t="n">
        <v>22</v>
      </c>
      <c r="AD100" s="88" t="n">
        <v>0.247191011235955</v>
      </c>
      <c r="AE100" s="87" t="n">
        <v>5</v>
      </c>
      <c r="AF100" s="88" t="n">
        <v>0.2272727272727273</v>
      </c>
      <c r="AG100" s="87" t="n">
        <v>13</v>
      </c>
      <c r="AH100" s="88" t="n">
        <v>0.5909090909090909</v>
      </c>
      <c r="AI100" s="91" t="n">
        <v>0</v>
      </c>
      <c r="AJ100" s="88" t="n">
        <v>0</v>
      </c>
      <c r="AK100" s="91" t="n">
        <v>0</v>
      </c>
      <c r="AL100" s="88" t="n">
        <v>0</v>
      </c>
      <c r="AM100" s="91" t="n">
        <v>0</v>
      </c>
      <c r="AN100" s="91" t="n">
        <v>0</v>
      </c>
      <c r="AO100" s="88" t="n">
        <v>0</v>
      </c>
      <c r="AP100" s="88" t="n">
        <v>0</v>
      </c>
      <c r="AQ100" s="89" t="n"/>
      <c r="AR100" s="89" t="n">
        <v>0</v>
      </c>
      <c r="AS100" s="89" t="n">
        <v>0</v>
      </c>
      <c r="AT100" s="91" t="n">
        <v>0</v>
      </c>
      <c r="AU100" s="91" t="n">
        <v>0</v>
      </c>
      <c r="AV100" s="91" t="n">
        <v>0</v>
      </c>
      <c r="AW100" s="91" t="n">
        <v>0</v>
      </c>
      <c r="AX100" s="91" t="n">
        <v>0</v>
      </c>
      <c r="AY100" s="91" t="n">
        <v>0</v>
      </c>
      <c r="AZ100" s="88" t="n">
        <v>0</v>
      </c>
      <c r="BA100" s="88" t="n">
        <v>0</v>
      </c>
      <c r="BB100" s="88" t="n">
        <v>0</v>
      </c>
      <c r="BC100" s="88" t="n">
        <v>0</v>
      </c>
      <c r="BD100" s="91" t="n">
        <v>0</v>
      </c>
      <c r="BE100" s="91" t="n">
        <v>0</v>
      </c>
      <c r="BF100" s="89" t="inlineStr">
        <is>
          <t>-</t>
        </is>
      </c>
      <c r="BG100" s="89" t="inlineStr">
        <is>
          <t>-</t>
        </is>
      </c>
      <c r="BH100" s="89" t="inlineStr">
        <is>
          <t>-</t>
        </is>
      </c>
    </row>
    <row r="101" ht="19.55" customHeight="1">
      <c r="A101" s="92" t="n">
        <v>98</v>
      </c>
      <c r="B101" s="87" t="inlineStr">
        <is>
          <t>全国</t>
        </is>
      </c>
      <c r="C101" s="93" t="n">
        <v>45920</v>
      </c>
      <c r="D101" s="87" t="inlineStr">
        <is>
          <t>N6</t>
        </is>
      </c>
      <c r="E101" s="87" t="n">
        <v>66</v>
      </c>
      <c r="F101" s="87" t="n">
        <v>58</v>
      </c>
      <c r="G101" s="88" t="n">
        <v>0.8787878787878788</v>
      </c>
      <c r="H101" s="87" t="n">
        <v>39</v>
      </c>
      <c r="I101" s="89" t="n">
        <v>0.5909090909090909</v>
      </c>
      <c r="J101" s="87" t="n">
        <v>63</v>
      </c>
      <c r="K101" s="87" t="n">
        <v>62</v>
      </c>
      <c r="L101" s="88" t="n">
        <v>0.984</v>
      </c>
      <c r="M101" s="87" t="n">
        <v>84</v>
      </c>
      <c r="N101" s="87" t="n">
        <v>0</v>
      </c>
      <c r="O101" s="87" t="n">
        <v>83</v>
      </c>
      <c r="P101" s="88" t="n">
        <v>0.9880952380952381</v>
      </c>
      <c r="Q101" s="87" t="n">
        <v>0</v>
      </c>
      <c r="R101" s="87" t="n">
        <v>0</v>
      </c>
      <c r="S101" s="87" t="n">
        <v>0</v>
      </c>
      <c r="T101" s="88" t="n">
        <v>0</v>
      </c>
      <c r="U101" s="87" t="n">
        <v>0</v>
      </c>
      <c r="V101" s="88" t="n">
        <v>0</v>
      </c>
      <c r="W101" s="87" t="n">
        <v>0</v>
      </c>
      <c r="X101" s="88" t="n">
        <v>0</v>
      </c>
      <c r="Y101" s="87" t="n">
        <v>0</v>
      </c>
      <c r="Z101" s="90" t="n">
        <v>0</v>
      </c>
      <c r="AA101" s="87" t="n">
        <v>0</v>
      </c>
      <c r="AB101" s="88" t="n">
        <v>0</v>
      </c>
      <c r="AC101" s="87" t="n">
        <v>22</v>
      </c>
      <c r="AD101" s="88" t="n">
        <v>0.3333333333333333</v>
      </c>
      <c r="AE101" s="87" t="n">
        <v>0</v>
      </c>
      <c r="AF101" s="88" t="n">
        <v>0</v>
      </c>
      <c r="AG101" s="87" t="n">
        <v>15</v>
      </c>
      <c r="AH101" s="88" t="n">
        <v>0.6818181818181818</v>
      </c>
      <c r="AI101" s="91" t="n">
        <v>1</v>
      </c>
      <c r="AJ101" s="88" t="n">
        <v>0.01515151515151515</v>
      </c>
      <c r="AK101" s="91" t="n">
        <v>0</v>
      </c>
      <c r="AL101" s="88" t="n">
        <v>0</v>
      </c>
      <c r="AM101" s="91" t="n">
        <v>0</v>
      </c>
      <c r="AN101" s="91" t="n">
        <v>0</v>
      </c>
      <c r="AO101" s="88" t="n">
        <v>0</v>
      </c>
      <c r="AP101" s="88" t="n">
        <v>0</v>
      </c>
      <c r="AQ101" s="89" t="n"/>
      <c r="AR101" s="89" t="n">
        <v>0</v>
      </c>
      <c r="AS101" s="89" t="n">
        <v>0</v>
      </c>
      <c r="AT101" s="91" t="n">
        <v>0</v>
      </c>
      <c r="AU101" s="91" t="n">
        <v>0</v>
      </c>
      <c r="AV101" s="91" t="n">
        <v>0</v>
      </c>
      <c r="AW101" s="91" t="n">
        <v>0</v>
      </c>
      <c r="AX101" s="91" t="n">
        <v>0</v>
      </c>
      <c r="AY101" s="91" t="n">
        <v>0</v>
      </c>
      <c r="AZ101" s="88" t="n">
        <v>0</v>
      </c>
      <c r="BA101" s="88" t="n">
        <v>0</v>
      </c>
      <c r="BB101" s="88" t="n">
        <v>0</v>
      </c>
      <c r="BC101" s="88" t="n">
        <v>0</v>
      </c>
      <c r="BD101" s="91" t="n">
        <v>0</v>
      </c>
      <c r="BE101" s="91" t="n">
        <v>0</v>
      </c>
      <c r="BF101" s="89" t="inlineStr">
        <is>
          <t>-</t>
        </is>
      </c>
      <c r="BG101" s="89" t="inlineStr">
        <is>
          <t>-</t>
        </is>
      </c>
      <c r="BH101" s="89" t="inlineStr">
        <is>
          <t>-</t>
        </is>
      </c>
    </row>
    <row r="102" ht="19.55" customHeight="1">
      <c r="A102" s="92" t="n">
        <v>99</v>
      </c>
      <c r="B102" s="87" t="inlineStr">
        <is>
          <t>全国</t>
        </is>
      </c>
      <c r="C102" s="93" t="n">
        <v>45920</v>
      </c>
      <c r="D102" s="87" t="inlineStr">
        <is>
          <t>N7</t>
        </is>
      </c>
      <c r="E102" s="87" t="n">
        <v>8203</v>
      </c>
      <c r="F102" s="87" t="n">
        <v>6773</v>
      </c>
      <c r="G102" s="88" t="n">
        <v>0.8256735340729001</v>
      </c>
      <c r="H102" s="87" t="n">
        <v>3957</v>
      </c>
      <c r="I102" s="89" t="n">
        <v>0.4823844934779958</v>
      </c>
      <c r="J102" s="87" t="n">
        <v>5665</v>
      </c>
      <c r="K102" s="87" t="n">
        <v>5527</v>
      </c>
      <c r="L102" s="88" t="n">
        <v>0.976</v>
      </c>
      <c r="M102" s="87" t="n">
        <v>6737</v>
      </c>
      <c r="N102" s="87" t="n">
        <v>0</v>
      </c>
      <c r="O102" s="87" t="n">
        <v>6513</v>
      </c>
      <c r="P102" s="88" t="n">
        <v>0.9667507792786106</v>
      </c>
      <c r="Q102" s="87" t="n">
        <v>18</v>
      </c>
      <c r="R102" s="87" t="n">
        <v>0</v>
      </c>
      <c r="S102" s="87" t="n">
        <v>0</v>
      </c>
      <c r="T102" s="88" t="n">
        <v>0</v>
      </c>
      <c r="U102" s="87" t="n">
        <v>0</v>
      </c>
      <c r="V102" s="88" t="n">
        <v>0</v>
      </c>
      <c r="W102" s="87" t="n">
        <v>1011</v>
      </c>
      <c r="X102" s="88" t="n">
        <v>0.1232475923442643</v>
      </c>
      <c r="Y102" s="87" t="n">
        <v>981</v>
      </c>
      <c r="Z102" s="90" t="n">
        <v>0.1195903937583811</v>
      </c>
      <c r="AA102" s="87" t="n">
        <v>10</v>
      </c>
      <c r="AB102" s="88" t="n">
        <v>0.001219066195294405</v>
      </c>
      <c r="AC102" s="87" t="n">
        <v>1845</v>
      </c>
      <c r="AD102" s="88" t="n">
        <v>0.2249177130318176</v>
      </c>
      <c r="AE102" s="87" t="n">
        <v>92</v>
      </c>
      <c r="AF102" s="88" t="n">
        <v>0.04986449864498645</v>
      </c>
      <c r="AG102" s="87" t="n">
        <v>1014</v>
      </c>
      <c r="AH102" s="88" t="n">
        <v>0.5495934959349593</v>
      </c>
      <c r="AI102" s="91" t="n">
        <v>1817</v>
      </c>
      <c r="AJ102" s="88" t="n">
        <v>0.2215043276849933</v>
      </c>
      <c r="AK102" s="91" t="n">
        <v>96</v>
      </c>
      <c r="AL102" s="88" t="n">
        <v>0.8332416070445789</v>
      </c>
      <c r="AM102" s="91" t="n">
        <v>1776</v>
      </c>
      <c r="AN102" s="91" t="n">
        <v>1514</v>
      </c>
      <c r="AO102" s="88" t="n">
        <v>0.1845666219675728</v>
      </c>
      <c r="AP102" s="88" t="n">
        <v>0.8205962059620596</v>
      </c>
      <c r="AQ102" s="89" t="n">
        <v>0</v>
      </c>
      <c r="AR102" s="89" t="n">
        <v>0.0235042735042735</v>
      </c>
      <c r="AS102" s="89" t="n">
        <v>0.0235042735042735</v>
      </c>
      <c r="AT102" s="91" t="n">
        <v>0</v>
      </c>
      <c r="AU102" s="91" t="n">
        <v>0</v>
      </c>
      <c r="AV102" s="91" t="n">
        <v>246</v>
      </c>
      <c r="AW102" s="91" t="n">
        <v>213</v>
      </c>
      <c r="AX102" s="91" t="n">
        <v>206</v>
      </c>
      <c r="AY102" s="91" t="n">
        <v>184</v>
      </c>
      <c r="AZ102" s="88" t="n">
        <v>0.02596610995977082</v>
      </c>
      <c r="BA102" s="88" t="n">
        <v>0.02511276362306473</v>
      </c>
      <c r="BB102" s="88" t="n">
        <v>0.02243081799341704</v>
      </c>
      <c r="BC102" s="88" t="n">
        <v>0.1360634081902246</v>
      </c>
      <c r="BD102" s="91" t="n">
        <v>0</v>
      </c>
      <c r="BE102" s="91" t="n">
        <v>4</v>
      </c>
      <c r="BF102" s="89" t="n">
        <v>0.855072463768116</v>
      </c>
      <c r="BG102" s="89" t="n">
        <v>1</v>
      </c>
      <c r="BH102" s="89" t="inlineStr">
        <is>
          <t>-</t>
        </is>
      </c>
    </row>
    <row r="103" ht="19.55" customHeight="1">
      <c r="A103" s="92" t="n">
        <v>100</v>
      </c>
      <c r="B103" s="87" t="inlineStr">
        <is>
          <t>全国</t>
        </is>
      </c>
      <c r="C103" s="93" t="n">
        <v>45920</v>
      </c>
      <c r="D103" s="87" t="inlineStr">
        <is>
          <t>NX8</t>
        </is>
      </c>
      <c r="E103" s="87" t="n">
        <v>201</v>
      </c>
      <c r="F103" s="87" t="n">
        <v>185</v>
      </c>
      <c r="G103" s="88" t="n">
        <v>0.9203980099502488</v>
      </c>
      <c r="H103" s="87" t="n">
        <v>87</v>
      </c>
      <c r="I103" s="89" t="n">
        <v>0.4328358208955224</v>
      </c>
      <c r="J103" s="87" t="n">
        <v>55</v>
      </c>
      <c r="K103" s="87" t="n">
        <v>53</v>
      </c>
      <c r="L103" s="88" t="n">
        <v>0.964</v>
      </c>
      <c r="M103" s="87" t="n">
        <v>74</v>
      </c>
      <c r="N103" s="87" t="n">
        <v>0</v>
      </c>
      <c r="O103" s="87" t="n">
        <v>71</v>
      </c>
      <c r="P103" s="88" t="n">
        <v>0.9594594594594594</v>
      </c>
      <c r="Q103" s="87" t="n">
        <v>0</v>
      </c>
      <c r="R103" s="87" t="n">
        <v>0</v>
      </c>
      <c r="S103" s="87" t="n">
        <v>0</v>
      </c>
      <c r="T103" s="88" t="n">
        <v>0</v>
      </c>
      <c r="U103" s="87" t="n">
        <v>0</v>
      </c>
      <c r="V103" s="88" t="n">
        <v>0</v>
      </c>
      <c r="W103" s="87" t="n">
        <v>0</v>
      </c>
      <c r="X103" s="88" t="n">
        <v>0</v>
      </c>
      <c r="Y103" s="87" t="n">
        <v>0</v>
      </c>
      <c r="Z103" s="90" t="n">
        <v>0</v>
      </c>
      <c r="AA103" s="87" t="n">
        <v>0</v>
      </c>
      <c r="AB103" s="88" t="n">
        <v>0</v>
      </c>
      <c r="AC103" s="87" t="n">
        <v>66</v>
      </c>
      <c r="AD103" s="88" t="n">
        <v>0.3283582089552239</v>
      </c>
      <c r="AE103" s="87" t="n">
        <v>4</v>
      </c>
      <c r="AF103" s="88" t="n">
        <v>0.06060606060606061</v>
      </c>
      <c r="AG103" s="87" t="n">
        <v>49</v>
      </c>
      <c r="AH103" s="88" t="n">
        <v>0.7424242424242424</v>
      </c>
      <c r="AI103" s="91" t="n">
        <v>0</v>
      </c>
      <c r="AJ103" s="88" t="n">
        <v>0</v>
      </c>
      <c r="AK103" s="91" t="n">
        <v>0</v>
      </c>
      <c r="AL103" s="88" t="n">
        <v>0</v>
      </c>
      <c r="AM103" s="91" t="n">
        <v>0</v>
      </c>
      <c r="AN103" s="91" t="n">
        <v>0</v>
      </c>
      <c r="AO103" s="88" t="n">
        <v>0</v>
      </c>
      <c r="AP103" s="88" t="n">
        <v>0</v>
      </c>
      <c r="AQ103" s="89" t="n"/>
      <c r="AR103" s="89" t="n">
        <v>0</v>
      </c>
      <c r="AS103" s="89" t="n">
        <v>0</v>
      </c>
      <c r="AT103" s="91" t="n">
        <v>0</v>
      </c>
      <c r="AU103" s="91" t="n">
        <v>0</v>
      </c>
      <c r="AV103" s="91" t="n">
        <v>0</v>
      </c>
      <c r="AW103" s="91" t="n">
        <v>0</v>
      </c>
      <c r="AX103" s="91" t="n">
        <v>0</v>
      </c>
      <c r="AY103" s="91" t="n">
        <v>0</v>
      </c>
      <c r="AZ103" s="88" t="n">
        <v>0</v>
      </c>
      <c r="BA103" s="88" t="n">
        <v>0</v>
      </c>
      <c r="BB103" s="88" t="n">
        <v>0</v>
      </c>
      <c r="BC103" s="88" t="n">
        <v>0</v>
      </c>
      <c r="BD103" s="91" t="n">
        <v>0</v>
      </c>
      <c r="BE103" s="91" t="n">
        <v>0</v>
      </c>
      <c r="BF103" s="89" t="inlineStr">
        <is>
          <t>-</t>
        </is>
      </c>
      <c r="BG103" s="89" t="inlineStr">
        <is>
          <t>-</t>
        </is>
      </c>
      <c r="BH103" s="89" t="inlineStr">
        <is>
          <t>-</t>
        </is>
      </c>
    </row>
    <row r="104" ht="19.55" customHeight="1">
      <c r="A104" s="92" t="n">
        <v>101</v>
      </c>
      <c r="B104" s="87" t="inlineStr">
        <is>
          <t>全国</t>
        </is>
      </c>
      <c r="C104" s="93" t="n">
        <v>45920</v>
      </c>
      <c r="D104" s="87" t="inlineStr">
        <is>
          <t>天籁·鸿蒙座舱</t>
        </is>
      </c>
      <c r="E104" s="87" t="n">
        <v>106</v>
      </c>
      <c r="F104" s="87" t="n">
        <v>99</v>
      </c>
      <c r="G104" s="88" t="n">
        <v>0.9339622641509434</v>
      </c>
      <c r="H104" s="87" t="n">
        <v>70</v>
      </c>
      <c r="I104" s="89" t="n">
        <v>0.660377358490566</v>
      </c>
      <c r="J104" s="87" t="n">
        <v>43</v>
      </c>
      <c r="K104" s="87" t="n">
        <v>42</v>
      </c>
      <c r="L104" s="88" t="n">
        <v>0.977</v>
      </c>
      <c r="M104" s="87" t="n">
        <v>69</v>
      </c>
      <c r="N104" s="87" t="n">
        <v>0</v>
      </c>
      <c r="O104" s="87" t="n">
        <v>66</v>
      </c>
      <c r="P104" s="88" t="n">
        <v>0.9565217391304348</v>
      </c>
      <c r="Q104" s="87" t="n">
        <v>0</v>
      </c>
      <c r="R104" s="87" t="n">
        <v>0</v>
      </c>
      <c r="S104" s="87" t="n">
        <v>0</v>
      </c>
      <c r="T104" s="88" t="n">
        <v>0</v>
      </c>
      <c r="U104" s="87" t="n">
        <v>0</v>
      </c>
      <c r="V104" s="88" t="n">
        <v>0</v>
      </c>
      <c r="W104" s="87" t="n">
        <v>0</v>
      </c>
      <c r="X104" s="88" t="n">
        <v>0</v>
      </c>
      <c r="Y104" s="87" t="n">
        <v>0</v>
      </c>
      <c r="Z104" s="90" t="n">
        <v>0</v>
      </c>
      <c r="AA104" s="87" t="n">
        <v>0</v>
      </c>
      <c r="AB104" s="88" t="n">
        <v>0</v>
      </c>
      <c r="AC104" s="87" t="n">
        <v>23</v>
      </c>
      <c r="AD104" s="88" t="n">
        <v>0.2169811320754717</v>
      </c>
      <c r="AE104" s="87" t="n">
        <v>5</v>
      </c>
      <c r="AF104" s="88" t="n">
        <v>0.2173913043478261</v>
      </c>
      <c r="AG104" s="87" t="n">
        <v>17</v>
      </c>
      <c r="AH104" s="88" t="n">
        <v>0.7391304347826086</v>
      </c>
      <c r="AI104" s="91" t="n">
        <v>0</v>
      </c>
      <c r="AJ104" s="88" t="n">
        <v>0</v>
      </c>
      <c r="AK104" s="91" t="n">
        <v>0</v>
      </c>
      <c r="AL104" s="88" t="n">
        <v>0</v>
      </c>
      <c r="AM104" s="91" t="n">
        <v>0</v>
      </c>
      <c r="AN104" s="91" t="n">
        <v>0</v>
      </c>
      <c r="AO104" s="88" t="n">
        <v>0</v>
      </c>
      <c r="AP104" s="88" t="n">
        <v>0</v>
      </c>
      <c r="AQ104" s="89" t="n">
        <v>0</v>
      </c>
      <c r="AR104" s="89" t="n">
        <v>0</v>
      </c>
      <c r="AS104" s="89" t="n">
        <v>0</v>
      </c>
      <c r="AT104" s="91" t="n">
        <v>0</v>
      </c>
      <c r="AU104" s="91" t="n">
        <v>0</v>
      </c>
      <c r="AV104" s="91" t="n">
        <v>0</v>
      </c>
      <c r="AW104" s="91" t="n">
        <v>0</v>
      </c>
      <c r="AX104" s="91" t="n">
        <v>0</v>
      </c>
      <c r="AY104" s="91" t="n">
        <v>0</v>
      </c>
      <c r="AZ104" s="88" t="n">
        <v>0</v>
      </c>
      <c r="BA104" s="88" t="n">
        <v>0</v>
      </c>
      <c r="BB104" s="88" t="n">
        <v>0</v>
      </c>
      <c r="BC104" s="88" t="n">
        <v>0</v>
      </c>
      <c r="BD104" s="91" t="n">
        <v>0</v>
      </c>
      <c r="BE104" s="91" t="n">
        <v>0</v>
      </c>
      <c r="BF104" s="89" t="inlineStr">
        <is>
          <t>-</t>
        </is>
      </c>
      <c r="BG104" s="89" t="inlineStr">
        <is>
          <t>-</t>
        </is>
      </c>
      <c r="BH104" s="89" t="inlineStr">
        <is>
          <t>-</t>
        </is>
      </c>
    </row>
    <row r="105" ht="19.55" customHeight="1">
      <c r="A105" s="92" t="n">
        <v>102</v>
      </c>
      <c r="B105" s="87" t="inlineStr">
        <is>
          <t>全国</t>
        </is>
      </c>
      <c r="C105" s="93" t="n">
        <v>45921</v>
      </c>
      <c r="D105" s="87" t="inlineStr">
        <is>
          <t>2026款探陆</t>
        </is>
      </c>
      <c r="E105" s="87" t="n">
        <v>3</v>
      </c>
      <c r="F105" s="87" t="n">
        <v>3</v>
      </c>
      <c r="G105" s="88" t="n">
        <v>1</v>
      </c>
      <c r="H105" s="87" t="n">
        <v>1</v>
      </c>
      <c r="I105" s="89" t="n">
        <v>0.3333333333333333</v>
      </c>
      <c r="J105" s="87" t="n">
        <v>0</v>
      </c>
      <c r="K105" s="87" t="n">
        <v>0</v>
      </c>
      <c r="L105" s="88" t="n">
        <v>0</v>
      </c>
      <c r="M105" s="87" t="n">
        <v>0</v>
      </c>
      <c r="N105" s="87" t="n">
        <v>0</v>
      </c>
      <c r="O105" s="87" t="n">
        <v>0</v>
      </c>
      <c r="P105" s="88" t="n">
        <v>0</v>
      </c>
      <c r="Q105" s="87" t="n">
        <v>0</v>
      </c>
      <c r="R105" s="87" t="n">
        <v>0</v>
      </c>
      <c r="S105" s="87" t="n">
        <v>0</v>
      </c>
      <c r="T105" s="88" t="n">
        <v>0</v>
      </c>
      <c r="U105" s="87" t="n">
        <v>0</v>
      </c>
      <c r="V105" s="88" t="n">
        <v>0</v>
      </c>
      <c r="W105" s="87" t="n">
        <v>0</v>
      </c>
      <c r="X105" s="88" t="n">
        <v>0</v>
      </c>
      <c r="Y105" s="87" t="n">
        <v>0</v>
      </c>
      <c r="Z105" s="90" t="n">
        <v>0</v>
      </c>
      <c r="AA105" s="87" t="n">
        <v>0</v>
      </c>
      <c r="AB105" s="88" t="n">
        <v>0</v>
      </c>
      <c r="AC105" s="87" t="n">
        <v>2</v>
      </c>
      <c r="AD105" s="88" t="n">
        <v>0.6666666666666666</v>
      </c>
      <c r="AE105" s="87" t="n">
        <v>0</v>
      </c>
      <c r="AF105" s="88" t="n">
        <v>0</v>
      </c>
      <c r="AG105" s="87" t="n">
        <v>2</v>
      </c>
      <c r="AH105" s="88" t="n">
        <v>1</v>
      </c>
      <c r="AI105" s="91" t="n">
        <v>0</v>
      </c>
      <c r="AJ105" s="88" t="n">
        <v>0</v>
      </c>
      <c r="AK105" s="91" t="n">
        <v>0</v>
      </c>
      <c r="AL105" s="88" t="n">
        <v>0</v>
      </c>
      <c r="AM105" s="91" t="n">
        <v>0</v>
      </c>
      <c r="AN105" s="91" t="n">
        <v>0</v>
      </c>
      <c r="AO105" s="88" t="n">
        <v>0</v>
      </c>
      <c r="AP105" s="88" t="n">
        <v>0</v>
      </c>
      <c r="AQ105" s="89" t="n"/>
      <c r="AR105" s="89" t="inlineStr">
        <is>
          <t>0.0%</t>
        </is>
      </c>
      <c r="AS105" s="89" t="inlineStr">
        <is>
          <t>0.0%</t>
        </is>
      </c>
      <c r="AT105" s="91" t="n">
        <v>0</v>
      </c>
      <c r="AU105" s="91" t="n">
        <v>0</v>
      </c>
      <c r="AV105" s="91" t="n">
        <v>0</v>
      </c>
      <c r="AW105" s="91" t="n">
        <v>0</v>
      </c>
      <c r="AX105" s="91" t="n">
        <v>0</v>
      </c>
      <c r="AY105" s="91" t="n">
        <v>0</v>
      </c>
      <c r="AZ105" s="88" t="n">
        <v>0</v>
      </c>
      <c r="BA105" s="88" t="n">
        <v>0</v>
      </c>
      <c r="BB105" s="88" t="n">
        <v>0</v>
      </c>
      <c r="BC105" s="88" t="n">
        <v>0</v>
      </c>
      <c r="BD105" s="91" t="n">
        <v>0</v>
      </c>
      <c r="BE105" s="91" t="n">
        <v>0</v>
      </c>
      <c r="BF105" s="89" t="inlineStr">
        <is>
          <t>-</t>
        </is>
      </c>
      <c r="BG105" s="89" t="inlineStr">
        <is>
          <t>-</t>
        </is>
      </c>
      <c r="BH105" s="89" t="inlineStr">
        <is>
          <t>-</t>
        </is>
      </c>
    </row>
    <row r="106" ht="19.55" customHeight="1">
      <c r="A106" s="92" t="n">
        <v>103</v>
      </c>
      <c r="B106" s="87" t="inlineStr">
        <is>
          <t>全国</t>
        </is>
      </c>
      <c r="C106" s="93" t="n">
        <v>45921</v>
      </c>
      <c r="D106" s="87" t="inlineStr">
        <is>
          <t>N6</t>
        </is>
      </c>
      <c r="E106" s="87" t="n">
        <v>95</v>
      </c>
      <c r="F106" s="87" t="n">
        <v>85</v>
      </c>
      <c r="G106" s="88" t="n">
        <v>0.8947368421052632</v>
      </c>
      <c r="H106" s="87" t="n">
        <v>50</v>
      </c>
      <c r="I106" s="89" t="n">
        <v>0.5263157894736842</v>
      </c>
      <c r="J106" s="87" t="n">
        <v>61</v>
      </c>
      <c r="K106" s="87" t="n">
        <v>60</v>
      </c>
      <c r="L106" s="88" t="n">
        <v>0.984</v>
      </c>
      <c r="M106" s="87" t="n">
        <v>101</v>
      </c>
      <c r="N106" s="87" t="n">
        <v>0</v>
      </c>
      <c r="O106" s="87" t="n">
        <v>89</v>
      </c>
      <c r="P106" s="88" t="n">
        <v>0.8811881188118812</v>
      </c>
      <c r="Q106" s="87" t="n">
        <v>0</v>
      </c>
      <c r="R106" s="87" t="n">
        <v>0</v>
      </c>
      <c r="S106" s="87" t="n">
        <v>0</v>
      </c>
      <c r="T106" s="88" t="n">
        <v>0</v>
      </c>
      <c r="U106" s="87" t="n">
        <v>0</v>
      </c>
      <c r="V106" s="88" t="n">
        <v>0</v>
      </c>
      <c r="W106" s="87" t="n">
        <v>0</v>
      </c>
      <c r="X106" s="88" t="n">
        <v>0</v>
      </c>
      <c r="Y106" s="87" t="n">
        <v>0</v>
      </c>
      <c r="Z106" s="90" t="n">
        <v>0</v>
      </c>
      <c r="AA106" s="87" t="n">
        <v>0</v>
      </c>
      <c r="AB106" s="88" t="n">
        <v>0</v>
      </c>
      <c r="AC106" s="87" t="n">
        <v>30</v>
      </c>
      <c r="AD106" s="88" t="n">
        <v>0.3157894736842105</v>
      </c>
      <c r="AE106" s="87" t="n">
        <v>3</v>
      </c>
      <c r="AF106" s="88" t="n">
        <v>0.1</v>
      </c>
      <c r="AG106" s="87" t="n">
        <v>21</v>
      </c>
      <c r="AH106" s="88" t="n">
        <v>0.7</v>
      </c>
      <c r="AI106" s="91" t="n">
        <v>0</v>
      </c>
      <c r="AJ106" s="88" t="n">
        <v>0</v>
      </c>
      <c r="AK106" s="91" t="n">
        <v>0</v>
      </c>
      <c r="AL106" s="88" t="n">
        <v>0</v>
      </c>
      <c r="AM106" s="91" t="n">
        <v>0</v>
      </c>
      <c r="AN106" s="91" t="n">
        <v>0</v>
      </c>
      <c r="AO106" s="88" t="n">
        <v>0</v>
      </c>
      <c r="AP106" s="88" t="n">
        <v>0</v>
      </c>
      <c r="AQ106" s="89" t="n"/>
      <c r="AR106" s="89" t="n">
        <v>0</v>
      </c>
      <c r="AS106" s="89" t="n">
        <v>0</v>
      </c>
      <c r="AT106" s="91" t="n">
        <v>0</v>
      </c>
      <c r="AU106" s="91" t="n">
        <v>0</v>
      </c>
      <c r="AV106" s="91" t="n">
        <v>0</v>
      </c>
      <c r="AW106" s="91" t="n">
        <v>0</v>
      </c>
      <c r="AX106" s="91" t="n">
        <v>0</v>
      </c>
      <c r="AY106" s="91" t="n">
        <v>0</v>
      </c>
      <c r="AZ106" s="88" t="n">
        <v>0</v>
      </c>
      <c r="BA106" s="88" t="n">
        <v>0</v>
      </c>
      <c r="BB106" s="88" t="n">
        <v>0</v>
      </c>
      <c r="BC106" s="88" t="n">
        <v>0</v>
      </c>
      <c r="BD106" s="91" t="n">
        <v>0</v>
      </c>
      <c r="BE106" s="91" t="n">
        <v>0</v>
      </c>
      <c r="BF106" s="89" t="inlineStr">
        <is>
          <t>-</t>
        </is>
      </c>
      <c r="BG106" s="89" t="inlineStr">
        <is>
          <t>-</t>
        </is>
      </c>
      <c r="BH106" s="89" t="inlineStr">
        <is>
          <t>-</t>
        </is>
      </c>
    </row>
    <row r="107" ht="19.55" customHeight="1">
      <c r="A107" s="92" t="n">
        <v>104</v>
      </c>
      <c r="B107" s="87" t="inlineStr">
        <is>
          <t>全国</t>
        </is>
      </c>
      <c r="C107" s="93" t="n">
        <v>45921</v>
      </c>
      <c r="D107" s="87" t="inlineStr">
        <is>
          <t>N7</t>
        </is>
      </c>
      <c r="E107" s="87" t="n">
        <v>7697</v>
      </c>
      <c r="F107" s="87" t="n">
        <v>6440</v>
      </c>
      <c r="G107" s="88" t="n">
        <v>0.8366896193322073</v>
      </c>
      <c r="H107" s="87" t="n">
        <v>4045</v>
      </c>
      <c r="I107" s="89" t="n">
        <v>0.5255294270494998</v>
      </c>
      <c r="J107" s="87" t="n">
        <v>7119</v>
      </c>
      <c r="K107" s="87" t="n">
        <v>6901</v>
      </c>
      <c r="L107" s="88" t="n">
        <v>0.969</v>
      </c>
      <c r="M107" s="87" t="n">
        <v>8817</v>
      </c>
      <c r="N107" s="87" t="n">
        <v>0</v>
      </c>
      <c r="O107" s="87" t="n">
        <v>8484</v>
      </c>
      <c r="P107" s="88" t="n">
        <v>0.9622320517182715</v>
      </c>
      <c r="Q107" s="87" t="n">
        <v>41</v>
      </c>
      <c r="R107" s="87" t="n">
        <v>0</v>
      </c>
      <c r="S107" s="87" t="n">
        <v>0</v>
      </c>
      <c r="T107" s="88" t="n">
        <v>0</v>
      </c>
      <c r="U107" s="87" t="n">
        <v>0</v>
      </c>
      <c r="V107" s="88" t="n">
        <v>0</v>
      </c>
      <c r="W107" s="87" t="n">
        <v>869</v>
      </c>
      <c r="X107" s="88" t="n">
        <v>0.1129011303105106</v>
      </c>
      <c r="Y107" s="87" t="n">
        <v>715</v>
      </c>
      <c r="Z107" s="90" t="n">
        <v>0.09289333506560998</v>
      </c>
      <c r="AA107" s="87" t="n">
        <v>6</v>
      </c>
      <c r="AB107" s="88" t="n">
        <v>0.0007795244900610628</v>
      </c>
      <c r="AC107" s="87" t="n">
        <v>1852</v>
      </c>
      <c r="AD107" s="88" t="n">
        <v>0.2406132259321814</v>
      </c>
      <c r="AE107" s="87" t="n">
        <v>78</v>
      </c>
      <c r="AF107" s="88" t="n">
        <v>0.04211663066954643</v>
      </c>
      <c r="AG107" s="87" t="n">
        <v>947</v>
      </c>
      <c r="AH107" s="88" t="n">
        <v>0.5113390928725702</v>
      </c>
      <c r="AI107" s="91" t="n">
        <v>1784</v>
      </c>
      <c r="AJ107" s="88" t="n">
        <v>0.2317786150448227</v>
      </c>
      <c r="AK107" s="91" t="n">
        <v>81</v>
      </c>
      <c r="AL107" s="88" t="n">
        <v>0.8391255605381166</v>
      </c>
      <c r="AM107" s="91" t="n">
        <v>1763</v>
      </c>
      <c r="AN107" s="91" t="n">
        <v>1497</v>
      </c>
      <c r="AO107" s="88" t="n">
        <v>0.1944913602702352</v>
      </c>
      <c r="AP107" s="88" t="n">
        <v>0.8083153347732182</v>
      </c>
      <c r="AQ107" s="89" t="n">
        <v>0</v>
      </c>
      <c r="AR107" s="89" t="n">
        <v>0.03119868637110016</v>
      </c>
      <c r="AS107" s="89" t="n">
        <v>0.03119868637110016</v>
      </c>
      <c r="AT107" s="91" t="n">
        <v>0</v>
      </c>
      <c r="AU107" s="91" t="n">
        <v>0</v>
      </c>
      <c r="AV107" s="91" t="n">
        <v>352</v>
      </c>
      <c r="AW107" s="91" t="n">
        <v>298</v>
      </c>
      <c r="AX107" s="91" t="n">
        <v>268</v>
      </c>
      <c r="AY107" s="91" t="n">
        <v>102</v>
      </c>
      <c r="AZ107" s="88" t="n">
        <v>0.03871638300636612</v>
      </c>
      <c r="BA107" s="88" t="n">
        <v>0.03481876055606081</v>
      </c>
      <c r="BB107" s="88" t="n">
        <v>0.01325191633103807</v>
      </c>
      <c r="BC107" s="88" t="n">
        <v>0.1790247160988644</v>
      </c>
      <c r="BD107" s="91" t="n">
        <v>0</v>
      </c>
      <c r="BE107" s="91" t="n">
        <v>2</v>
      </c>
      <c r="BF107" s="89" t="n">
        <v>0.9444444444444444</v>
      </c>
      <c r="BG107" s="89" t="n">
        <v>1</v>
      </c>
      <c r="BH107" s="89" t="inlineStr">
        <is>
          <t>-</t>
        </is>
      </c>
    </row>
    <row r="108" ht="19.55" customHeight="1">
      <c r="A108" s="92" t="n">
        <v>105</v>
      </c>
      <c r="B108" s="87" t="inlineStr">
        <is>
          <t>全国</t>
        </is>
      </c>
      <c r="C108" s="93" t="n">
        <v>45921</v>
      </c>
      <c r="D108" s="87" t="inlineStr">
        <is>
          <t>NX8</t>
        </is>
      </c>
      <c r="E108" s="87" t="n">
        <v>193</v>
      </c>
      <c r="F108" s="87" t="n">
        <v>172</v>
      </c>
      <c r="G108" s="88" t="n">
        <v>0.8911917098445595</v>
      </c>
      <c r="H108" s="87" t="n">
        <v>76</v>
      </c>
      <c r="I108" s="89" t="n">
        <v>0.3937823834196891</v>
      </c>
      <c r="J108" s="87" t="n">
        <v>73</v>
      </c>
      <c r="K108" s="87" t="n">
        <v>71</v>
      </c>
      <c r="L108" s="88" t="n">
        <v>0.973</v>
      </c>
      <c r="M108" s="87" t="n">
        <v>105</v>
      </c>
      <c r="N108" s="87" t="n">
        <v>0</v>
      </c>
      <c r="O108" s="87" t="n">
        <v>102</v>
      </c>
      <c r="P108" s="88" t="n">
        <v>0.9714285714285714</v>
      </c>
      <c r="Q108" s="87" t="n">
        <v>0</v>
      </c>
      <c r="R108" s="87" t="n">
        <v>0</v>
      </c>
      <c r="S108" s="87" t="n">
        <v>0</v>
      </c>
      <c r="T108" s="88" t="n">
        <v>0</v>
      </c>
      <c r="U108" s="87" t="n">
        <v>0</v>
      </c>
      <c r="V108" s="88" t="n">
        <v>0</v>
      </c>
      <c r="W108" s="87" t="n">
        <v>0</v>
      </c>
      <c r="X108" s="88" t="n">
        <v>0</v>
      </c>
      <c r="Y108" s="87" t="n">
        <v>0</v>
      </c>
      <c r="Z108" s="90" t="n">
        <v>0</v>
      </c>
      <c r="AA108" s="87" t="n">
        <v>0</v>
      </c>
      <c r="AB108" s="88" t="n">
        <v>0</v>
      </c>
      <c r="AC108" s="87" t="n">
        <v>56</v>
      </c>
      <c r="AD108" s="88" t="n">
        <v>0.2901554404145077</v>
      </c>
      <c r="AE108" s="87" t="n">
        <v>3</v>
      </c>
      <c r="AF108" s="88" t="n">
        <v>0.05357142857142857</v>
      </c>
      <c r="AG108" s="87" t="n">
        <v>44</v>
      </c>
      <c r="AH108" s="88" t="n">
        <v>0.7857142857142857</v>
      </c>
      <c r="AI108" s="91" t="n">
        <v>0</v>
      </c>
      <c r="AJ108" s="88" t="n">
        <v>0</v>
      </c>
      <c r="AK108" s="91" t="n">
        <v>0</v>
      </c>
      <c r="AL108" s="88" t="n">
        <v>0</v>
      </c>
      <c r="AM108" s="91" t="n">
        <v>0</v>
      </c>
      <c r="AN108" s="91" t="n">
        <v>0</v>
      </c>
      <c r="AO108" s="88" t="n">
        <v>0</v>
      </c>
      <c r="AP108" s="88" t="n">
        <v>0</v>
      </c>
      <c r="AQ108" s="89" t="n"/>
      <c r="AR108" s="89" t="n">
        <v>0</v>
      </c>
      <c r="AS108" s="89" t="n">
        <v>0</v>
      </c>
      <c r="AT108" s="91" t="n">
        <v>0</v>
      </c>
      <c r="AU108" s="91" t="n">
        <v>0</v>
      </c>
      <c r="AV108" s="91" t="n">
        <v>0</v>
      </c>
      <c r="AW108" s="91" t="n">
        <v>0</v>
      </c>
      <c r="AX108" s="91" t="n">
        <v>0</v>
      </c>
      <c r="AY108" s="91" t="n">
        <v>0</v>
      </c>
      <c r="AZ108" s="88" t="n">
        <v>0</v>
      </c>
      <c r="BA108" s="88" t="n">
        <v>0</v>
      </c>
      <c r="BB108" s="88" t="n">
        <v>0</v>
      </c>
      <c r="BC108" s="88" t="n">
        <v>0</v>
      </c>
      <c r="BD108" s="91" t="n">
        <v>0</v>
      </c>
      <c r="BE108" s="91" t="n">
        <v>0</v>
      </c>
      <c r="BF108" s="89" t="inlineStr">
        <is>
          <t>-</t>
        </is>
      </c>
      <c r="BG108" s="89" t="inlineStr">
        <is>
          <t>-</t>
        </is>
      </c>
      <c r="BH108" s="89" t="inlineStr">
        <is>
          <t>-</t>
        </is>
      </c>
    </row>
    <row r="109" ht="19.55" customHeight="1">
      <c r="A109" s="92" t="n">
        <v>106</v>
      </c>
      <c r="B109" s="87" t="inlineStr">
        <is>
          <t>全国</t>
        </is>
      </c>
      <c r="C109" s="93" t="n">
        <v>45921</v>
      </c>
      <c r="D109" s="87" t="inlineStr">
        <is>
          <t>天籁·鸿蒙座舱</t>
        </is>
      </c>
      <c r="E109" s="87" t="n">
        <v>88</v>
      </c>
      <c r="F109" s="87" t="n">
        <v>85</v>
      </c>
      <c r="G109" s="88" t="n">
        <v>0.9659090909090909</v>
      </c>
      <c r="H109" s="87" t="n">
        <v>55</v>
      </c>
      <c r="I109" s="89" t="n">
        <v>0.625</v>
      </c>
      <c r="J109" s="87" t="n">
        <v>62</v>
      </c>
      <c r="K109" s="87" t="n">
        <v>62</v>
      </c>
      <c r="L109" s="88" t="n">
        <v>1</v>
      </c>
      <c r="M109" s="87" t="n">
        <v>92</v>
      </c>
      <c r="N109" s="87" t="n">
        <v>0</v>
      </c>
      <c r="O109" s="87" t="n">
        <v>92</v>
      </c>
      <c r="P109" s="88" t="n">
        <v>1</v>
      </c>
      <c r="Q109" s="87" t="n">
        <v>0</v>
      </c>
      <c r="R109" s="87" t="n">
        <v>0</v>
      </c>
      <c r="S109" s="87" t="n">
        <v>0</v>
      </c>
      <c r="T109" s="88" t="n">
        <v>0</v>
      </c>
      <c r="U109" s="87" t="n">
        <v>0</v>
      </c>
      <c r="V109" s="88" t="n">
        <v>0</v>
      </c>
      <c r="W109" s="87" t="n">
        <v>0</v>
      </c>
      <c r="X109" s="88" t="n">
        <v>0</v>
      </c>
      <c r="Y109" s="87" t="n">
        <v>0</v>
      </c>
      <c r="Z109" s="90" t="n">
        <v>0</v>
      </c>
      <c r="AA109" s="87" t="n">
        <v>0</v>
      </c>
      <c r="AB109" s="88" t="n">
        <v>0</v>
      </c>
      <c r="AC109" s="87" t="n">
        <v>23</v>
      </c>
      <c r="AD109" s="88" t="n">
        <v>0.2613636363636364</v>
      </c>
      <c r="AE109" s="87" t="n">
        <v>3</v>
      </c>
      <c r="AF109" s="88" t="n">
        <v>0.1304347826086956</v>
      </c>
      <c r="AG109" s="87" t="n">
        <v>15</v>
      </c>
      <c r="AH109" s="88" t="n">
        <v>0.6521739130434783</v>
      </c>
      <c r="AI109" s="91" t="n">
        <v>0</v>
      </c>
      <c r="AJ109" s="88" t="n">
        <v>0</v>
      </c>
      <c r="AK109" s="91" t="n">
        <v>0</v>
      </c>
      <c r="AL109" s="88" t="n">
        <v>0</v>
      </c>
      <c r="AM109" s="91" t="n">
        <v>0</v>
      </c>
      <c r="AN109" s="91" t="n">
        <v>0</v>
      </c>
      <c r="AO109" s="88" t="n">
        <v>0</v>
      </c>
      <c r="AP109" s="88" t="n">
        <v>0</v>
      </c>
      <c r="AQ109" s="89" t="n"/>
      <c r="AR109" s="89" t="n">
        <v>0</v>
      </c>
      <c r="AS109" s="89" t="n">
        <v>0</v>
      </c>
      <c r="AT109" s="91" t="n">
        <v>0</v>
      </c>
      <c r="AU109" s="91" t="n">
        <v>0</v>
      </c>
      <c r="AV109" s="91" t="n">
        <v>0</v>
      </c>
      <c r="AW109" s="91" t="n">
        <v>0</v>
      </c>
      <c r="AX109" s="91" t="n">
        <v>0</v>
      </c>
      <c r="AY109" s="91" t="n">
        <v>0</v>
      </c>
      <c r="AZ109" s="88" t="n">
        <v>0</v>
      </c>
      <c r="BA109" s="88" t="n">
        <v>0</v>
      </c>
      <c r="BB109" s="88" t="n">
        <v>0</v>
      </c>
      <c r="BC109" s="88" t="n">
        <v>0</v>
      </c>
      <c r="BD109" s="91" t="n">
        <v>0</v>
      </c>
      <c r="BE109" s="91" t="n">
        <v>0</v>
      </c>
      <c r="BF109" s="89" t="inlineStr">
        <is>
          <t>-</t>
        </is>
      </c>
      <c r="BG109" s="89" t="inlineStr">
        <is>
          <t>-</t>
        </is>
      </c>
      <c r="BH109" s="89" t="inlineStr">
        <is>
          <t>-</t>
        </is>
      </c>
    </row>
    <row r="110" ht="19.55" customHeight="1">
      <c r="A110" s="92" t="n">
        <v>107</v>
      </c>
      <c r="B110" s="87" t="inlineStr">
        <is>
          <t>全国</t>
        </is>
      </c>
      <c r="C110" s="93" t="n">
        <v>45922</v>
      </c>
      <c r="D110" s="87" t="inlineStr">
        <is>
          <t>2026款探陆</t>
        </is>
      </c>
      <c r="E110" s="87" t="n">
        <v>1</v>
      </c>
      <c r="F110" s="87" t="n">
        <v>1</v>
      </c>
      <c r="G110" s="88" t="n">
        <v>1</v>
      </c>
      <c r="H110" s="87" t="n">
        <v>0</v>
      </c>
      <c r="I110" s="89" t="n">
        <v>0</v>
      </c>
      <c r="J110" s="87" t="n">
        <v>1</v>
      </c>
      <c r="K110" s="87" t="n">
        <v>1</v>
      </c>
      <c r="L110" s="88" t="n">
        <v>1</v>
      </c>
      <c r="M110" s="87" t="n">
        <v>1</v>
      </c>
      <c r="N110" s="87" t="n">
        <v>0</v>
      </c>
      <c r="O110" s="87" t="n">
        <v>1</v>
      </c>
      <c r="P110" s="88" t="n">
        <v>1</v>
      </c>
      <c r="Q110" s="87" t="n">
        <v>0</v>
      </c>
      <c r="R110" s="87" t="n">
        <v>0</v>
      </c>
      <c r="S110" s="87" t="n">
        <v>0</v>
      </c>
      <c r="T110" s="88" t="n">
        <v>0</v>
      </c>
      <c r="U110" s="87" t="n">
        <v>0</v>
      </c>
      <c r="V110" s="88" t="n">
        <v>0</v>
      </c>
      <c r="W110" s="87" t="n">
        <v>0</v>
      </c>
      <c r="X110" s="88" t="n">
        <v>0</v>
      </c>
      <c r="Y110" s="87" t="n">
        <v>0</v>
      </c>
      <c r="Z110" s="90" t="n">
        <v>0</v>
      </c>
      <c r="AA110" s="87" t="n">
        <v>0</v>
      </c>
      <c r="AB110" s="88" t="n">
        <v>0</v>
      </c>
      <c r="AC110" s="87" t="n">
        <v>0</v>
      </c>
      <c r="AD110" s="88" t="n">
        <v>0</v>
      </c>
      <c r="AE110" s="87" t="n">
        <v>0</v>
      </c>
      <c r="AF110" s="88" t="n">
        <v>0</v>
      </c>
      <c r="AG110" s="87" t="n">
        <v>0</v>
      </c>
      <c r="AH110" s="88" t="n">
        <v>0</v>
      </c>
      <c r="AI110" s="91" t="n">
        <v>0</v>
      </c>
      <c r="AJ110" s="88" t="n">
        <v>0</v>
      </c>
      <c r="AK110" s="91" t="n">
        <v>0</v>
      </c>
      <c r="AL110" s="88" t="n">
        <v>0</v>
      </c>
      <c r="AM110" s="91" t="n">
        <v>0</v>
      </c>
      <c r="AN110" s="91" t="n">
        <v>0</v>
      </c>
      <c r="AO110" s="88" t="n">
        <v>0</v>
      </c>
      <c r="AP110" s="88" t="n">
        <v>0</v>
      </c>
      <c r="AQ110" s="89" t="n"/>
      <c r="AR110" s="89" t="inlineStr">
        <is>
          <t>0.0%</t>
        </is>
      </c>
      <c r="AS110" s="89" t="inlineStr">
        <is>
          <t>0.0%</t>
        </is>
      </c>
      <c r="AT110" s="91" t="n">
        <v>0</v>
      </c>
      <c r="AU110" s="91" t="n">
        <v>0</v>
      </c>
      <c r="AV110" s="91" t="n">
        <v>0</v>
      </c>
      <c r="AW110" s="91" t="n">
        <v>0</v>
      </c>
      <c r="AX110" s="91" t="n">
        <v>0</v>
      </c>
      <c r="AY110" s="91" t="n">
        <v>0</v>
      </c>
      <c r="AZ110" s="88" t="n">
        <v>0</v>
      </c>
      <c r="BA110" s="88" t="n">
        <v>0</v>
      </c>
      <c r="BB110" s="88" t="n">
        <v>0</v>
      </c>
      <c r="BC110" s="88" t="n">
        <v>0</v>
      </c>
      <c r="BD110" s="91" t="n">
        <v>0</v>
      </c>
      <c r="BE110" s="91" t="n">
        <v>0</v>
      </c>
      <c r="BF110" s="89" t="inlineStr">
        <is>
          <t>-</t>
        </is>
      </c>
      <c r="BG110" s="89" t="inlineStr">
        <is>
          <t>-</t>
        </is>
      </c>
      <c r="BH110" s="89" t="inlineStr">
        <is>
          <t>-</t>
        </is>
      </c>
    </row>
    <row r="111" ht="19.55" customHeight="1">
      <c r="A111" s="92" t="n">
        <v>108</v>
      </c>
      <c r="B111" s="87" t="inlineStr">
        <is>
          <t>全国</t>
        </is>
      </c>
      <c r="C111" s="93" t="n">
        <v>45922</v>
      </c>
      <c r="D111" s="87" t="inlineStr">
        <is>
          <t>N6</t>
        </is>
      </c>
      <c r="E111" s="87" t="n">
        <v>86</v>
      </c>
      <c r="F111" s="87" t="n">
        <v>79</v>
      </c>
      <c r="G111" s="88" t="n">
        <v>0.9186046511627907</v>
      </c>
      <c r="H111" s="87" t="n">
        <v>49</v>
      </c>
      <c r="I111" s="89" t="n">
        <v>0.5697674418604651</v>
      </c>
      <c r="J111" s="87" t="n">
        <v>85</v>
      </c>
      <c r="K111" s="87" t="n">
        <v>83</v>
      </c>
      <c r="L111" s="88" t="n">
        <v>0.976</v>
      </c>
      <c r="M111" s="87" t="n">
        <v>110</v>
      </c>
      <c r="N111" s="87" t="n">
        <v>0</v>
      </c>
      <c r="O111" s="87" t="n">
        <v>108</v>
      </c>
      <c r="P111" s="88" t="n">
        <v>0.9818181818181818</v>
      </c>
      <c r="Q111" s="87" t="n">
        <v>0</v>
      </c>
      <c r="R111" s="87" t="n">
        <v>0</v>
      </c>
      <c r="S111" s="87" t="n">
        <v>0</v>
      </c>
      <c r="T111" s="88" t="n">
        <v>0</v>
      </c>
      <c r="U111" s="87" t="n">
        <v>0</v>
      </c>
      <c r="V111" s="88" t="n">
        <v>0</v>
      </c>
      <c r="W111" s="87" t="n">
        <v>0</v>
      </c>
      <c r="X111" s="88" t="n">
        <v>0</v>
      </c>
      <c r="Y111" s="87" t="n">
        <v>0</v>
      </c>
      <c r="Z111" s="90" t="n">
        <v>0</v>
      </c>
      <c r="AA111" s="87" t="n">
        <v>0</v>
      </c>
      <c r="AB111" s="88" t="n">
        <v>0</v>
      </c>
      <c r="AC111" s="87" t="n">
        <v>17</v>
      </c>
      <c r="AD111" s="88" t="n">
        <v>0.1976744186046512</v>
      </c>
      <c r="AE111" s="87" t="n">
        <v>4</v>
      </c>
      <c r="AF111" s="88" t="n">
        <v>0.2352941176470588</v>
      </c>
      <c r="AG111" s="87" t="n">
        <v>11</v>
      </c>
      <c r="AH111" s="88" t="n">
        <v>0.6470588235294118</v>
      </c>
      <c r="AI111" s="91" t="n">
        <v>0</v>
      </c>
      <c r="AJ111" s="88" t="n">
        <v>0</v>
      </c>
      <c r="AK111" s="91" t="n">
        <v>0</v>
      </c>
      <c r="AL111" s="88" t="n">
        <v>0</v>
      </c>
      <c r="AM111" s="91" t="n">
        <v>0</v>
      </c>
      <c r="AN111" s="91" t="n">
        <v>0</v>
      </c>
      <c r="AO111" s="88" t="n">
        <v>0</v>
      </c>
      <c r="AP111" s="88" t="n">
        <v>0</v>
      </c>
      <c r="AQ111" s="89" t="n"/>
      <c r="AR111" s="89" t="n">
        <v>0</v>
      </c>
      <c r="AS111" s="89" t="n">
        <v>0</v>
      </c>
      <c r="AT111" s="91" t="n">
        <v>0</v>
      </c>
      <c r="AU111" s="91" t="n">
        <v>0</v>
      </c>
      <c r="AV111" s="91" t="n">
        <v>0</v>
      </c>
      <c r="AW111" s="91" t="n">
        <v>0</v>
      </c>
      <c r="AX111" s="91" t="n">
        <v>0</v>
      </c>
      <c r="AY111" s="91" t="n">
        <v>0</v>
      </c>
      <c r="AZ111" s="88" t="n">
        <v>0</v>
      </c>
      <c r="BA111" s="88" t="n">
        <v>0</v>
      </c>
      <c r="BB111" s="88" t="n">
        <v>0</v>
      </c>
      <c r="BC111" s="88" t="n">
        <v>0</v>
      </c>
      <c r="BD111" s="91" t="n">
        <v>0</v>
      </c>
      <c r="BE111" s="91" t="n">
        <v>0</v>
      </c>
      <c r="BF111" s="89" t="inlineStr">
        <is>
          <t>-</t>
        </is>
      </c>
      <c r="BG111" s="89" t="inlineStr">
        <is>
          <t>-</t>
        </is>
      </c>
      <c r="BH111" s="89" t="inlineStr">
        <is>
          <t>-</t>
        </is>
      </c>
    </row>
    <row r="112" ht="19.55" customHeight="1">
      <c r="A112" s="92" t="n">
        <v>109</v>
      </c>
      <c r="B112" s="87" t="inlineStr">
        <is>
          <t>全国</t>
        </is>
      </c>
      <c r="C112" s="93" t="n">
        <v>45922</v>
      </c>
      <c r="D112" s="87" t="inlineStr">
        <is>
          <t>N7</t>
        </is>
      </c>
      <c r="E112" s="87" t="n">
        <v>6441</v>
      </c>
      <c r="F112" s="87" t="n">
        <v>5315</v>
      </c>
      <c r="G112" s="88" t="n">
        <v>0.8251824250892719</v>
      </c>
      <c r="H112" s="87" t="n">
        <v>3373</v>
      </c>
      <c r="I112" s="89" t="n">
        <v>0.5236764477565595</v>
      </c>
      <c r="J112" s="87" t="n">
        <v>6540</v>
      </c>
      <c r="K112" s="87" t="n">
        <v>6379</v>
      </c>
      <c r="L112" s="88" t="n">
        <v>0.975</v>
      </c>
      <c r="M112" s="87" t="n">
        <v>8116</v>
      </c>
      <c r="N112" s="87" t="n">
        <v>0</v>
      </c>
      <c r="O112" s="87" t="n">
        <v>7877</v>
      </c>
      <c r="P112" s="88" t="n">
        <v>0.970551996057171</v>
      </c>
      <c r="Q112" s="87" t="n">
        <v>38</v>
      </c>
      <c r="R112" s="87" t="n">
        <v>0</v>
      </c>
      <c r="S112" s="87" t="n">
        <v>0</v>
      </c>
      <c r="T112" s="88" t="n">
        <v>0</v>
      </c>
      <c r="U112" s="87" t="n">
        <v>0</v>
      </c>
      <c r="V112" s="88" t="n">
        <v>0</v>
      </c>
      <c r="W112" s="87" t="n">
        <v>857</v>
      </c>
      <c r="X112" s="88" t="n">
        <v>0.1330538736221084</v>
      </c>
      <c r="Y112" s="87" t="n">
        <v>865</v>
      </c>
      <c r="Z112" s="90" t="n">
        <v>0.1342959167831082</v>
      </c>
      <c r="AA112" s="87" t="n">
        <v>4</v>
      </c>
      <c r="AB112" s="88" t="n">
        <v>0.0006210215804999224</v>
      </c>
      <c r="AC112" s="87" t="n">
        <v>1219</v>
      </c>
      <c r="AD112" s="88" t="n">
        <v>0.1892563266573513</v>
      </c>
      <c r="AE112" s="87" t="n">
        <v>52</v>
      </c>
      <c r="AF112" s="88" t="n">
        <v>0.04265791632485644</v>
      </c>
      <c r="AG112" s="87" t="n">
        <v>501</v>
      </c>
      <c r="AH112" s="88" t="n">
        <v>0.4109926168990976</v>
      </c>
      <c r="AI112" s="91" t="n">
        <v>1177</v>
      </c>
      <c r="AJ112" s="88" t="n">
        <v>0.1827356000621022</v>
      </c>
      <c r="AK112" s="91" t="n">
        <v>31</v>
      </c>
      <c r="AL112" s="88" t="n">
        <v>0.8453695836873407</v>
      </c>
      <c r="AM112" s="91" t="n">
        <v>1156</v>
      </c>
      <c r="AN112" s="91" t="n">
        <v>995</v>
      </c>
      <c r="AO112" s="88" t="n">
        <v>0.1544791181493557</v>
      </c>
      <c r="AP112" s="88" t="n">
        <v>0.8162428219852338</v>
      </c>
      <c r="AQ112" s="89" t="n">
        <v>0</v>
      </c>
      <c r="AR112" s="89" t="n">
        <v>0.01414309484193012</v>
      </c>
      <c r="AS112" s="89" t="n">
        <v>0.01414309484193012</v>
      </c>
      <c r="AT112" s="91" t="n">
        <v>0</v>
      </c>
      <c r="AU112" s="91" t="n">
        <v>0</v>
      </c>
      <c r="AV112" s="91" t="n">
        <v>211</v>
      </c>
      <c r="AW112" s="91" t="n">
        <v>171</v>
      </c>
      <c r="AX112" s="91" t="n">
        <v>197</v>
      </c>
      <c r="AY112" s="91" t="n">
        <v>187</v>
      </c>
      <c r="AZ112" s="88" t="n">
        <v>0.02654867256637168</v>
      </c>
      <c r="BA112" s="88" t="n">
        <v>0.03058531283962118</v>
      </c>
      <c r="BB112" s="88" t="n">
        <v>0.02903275888837137</v>
      </c>
      <c r="BC112" s="88" t="n">
        <v>0.1979899497487437</v>
      </c>
      <c r="BD112" s="91" t="n">
        <v>0</v>
      </c>
      <c r="BE112" s="91" t="n">
        <v>2</v>
      </c>
      <c r="BF112" s="89" t="n">
        <v>0.921875</v>
      </c>
      <c r="BG112" s="89" t="n">
        <v>0.8181818181818182</v>
      </c>
      <c r="BH112" s="89" t="inlineStr">
        <is>
          <t>-</t>
        </is>
      </c>
    </row>
    <row r="113" ht="19.55" customHeight="1">
      <c r="A113" s="92" t="n">
        <v>110</v>
      </c>
      <c r="B113" s="87" t="inlineStr">
        <is>
          <t>全国</t>
        </is>
      </c>
      <c r="C113" s="93" t="n">
        <v>45922</v>
      </c>
      <c r="D113" s="87" t="inlineStr">
        <is>
          <t>NX8</t>
        </is>
      </c>
      <c r="E113" s="87" t="n">
        <v>152</v>
      </c>
      <c r="F113" s="87" t="n">
        <v>140</v>
      </c>
      <c r="G113" s="88" t="n">
        <v>0.9210526315789473</v>
      </c>
      <c r="H113" s="87" t="n">
        <v>65</v>
      </c>
      <c r="I113" s="89" t="n">
        <v>0.4276315789473684</v>
      </c>
      <c r="J113" s="87" t="n">
        <v>48</v>
      </c>
      <c r="K113" s="87" t="n">
        <v>48</v>
      </c>
      <c r="L113" s="88" t="n">
        <v>1</v>
      </c>
      <c r="M113" s="87" t="n">
        <v>68</v>
      </c>
      <c r="N113" s="87" t="n">
        <v>0</v>
      </c>
      <c r="O113" s="87" t="n">
        <v>67</v>
      </c>
      <c r="P113" s="88" t="n">
        <v>0.9852941176470589</v>
      </c>
      <c r="Q113" s="87" t="n">
        <v>0</v>
      </c>
      <c r="R113" s="87" t="n">
        <v>0</v>
      </c>
      <c r="S113" s="87" t="n">
        <v>0</v>
      </c>
      <c r="T113" s="88" t="n">
        <v>0</v>
      </c>
      <c r="U113" s="87" t="n">
        <v>0</v>
      </c>
      <c r="V113" s="88" t="n">
        <v>0</v>
      </c>
      <c r="W113" s="87" t="n">
        <v>0</v>
      </c>
      <c r="X113" s="88" t="n">
        <v>0</v>
      </c>
      <c r="Y113" s="87" t="n">
        <v>0</v>
      </c>
      <c r="Z113" s="90" t="n">
        <v>0</v>
      </c>
      <c r="AA113" s="87" t="n">
        <v>0</v>
      </c>
      <c r="AB113" s="88" t="n">
        <v>0</v>
      </c>
      <c r="AC113" s="87" t="n">
        <v>32</v>
      </c>
      <c r="AD113" s="88" t="n">
        <v>0.2105263157894737</v>
      </c>
      <c r="AE113" s="87" t="n">
        <v>2</v>
      </c>
      <c r="AF113" s="88" t="n">
        <v>0.0625</v>
      </c>
      <c r="AG113" s="87" t="n">
        <v>15</v>
      </c>
      <c r="AH113" s="88" t="n">
        <v>0.46875</v>
      </c>
      <c r="AI113" s="91" t="n">
        <v>0</v>
      </c>
      <c r="AJ113" s="88" t="n">
        <v>0</v>
      </c>
      <c r="AK113" s="91" t="n">
        <v>0</v>
      </c>
      <c r="AL113" s="88" t="n">
        <v>0</v>
      </c>
      <c r="AM113" s="91" t="n">
        <v>0</v>
      </c>
      <c r="AN113" s="91" t="n">
        <v>0</v>
      </c>
      <c r="AO113" s="88" t="n">
        <v>0</v>
      </c>
      <c r="AP113" s="88" t="n">
        <v>0</v>
      </c>
      <c r="AQ113" s="89" t="n">
        <v>0</v>
      </c>
      <c r="AR113" s="89" t="inlineStr">
        <is>
          <t>0.0%</t>
        </is>
      </c>
      <c r="AS113" s="89" t="inlineStr">
        <is>
          <t>0.0%</t>
        </is>
      </c>
      <c r="AT113" s="91" t="n">
        <v>0</v>
      </c>
      <c r="AU113" s="91" t="n">
        <v>0</v>
      </c>
      <c r="AV113" s="91" t="n">
        <v>0</v>
      </c>
      <c r="AW113" s="91" t="n">
        <v>0</v>
      </c>
      <c r="AX113" s="91" t="n">
        <v>0</v>
      </c>
      <c r="AY113" s="91" t="n">
        <v>0</v>
      </c>
      <c r="AZ113" s="88" t="n">
        <v>0</v>
      </c>
      <c r="BA113" s="88" t="n">
        <v>0</v>
      </c>
      <c r="BB113" s="88" t="n">
        <v>0</v>
      </c>
      <c r="BC113" s="88" t="n">
        <v>0</v>
      </c>
      <c r="BD113" s="91" t="n">
        <v>0</v>
      </c>
      <c r="BE113" s="91" t="n">
        <v>0</v>
      </c>
      <c r="BF113" s="89" t="inlineStr">
        <is>
          <t>-</t>
        </is>
      </c>
      <c r="BG113" s="89" t="inlineStr">
        <is>
          <t>-</t>
        </is>
      </c>
      <c r="BH113" s="89" t="inlineStr">
        <is>
          <t>-</t>
        </is>
      </c>
    </row>
    <row r="114" ht="19.55" customHeight="1">
      <c r="A114" s="92" t="n">
        <v>111</v>
      </c>
      <c r="B114" s="87" t="inlineStr">
        <is>
          <t>全国</t>
        </is>
      </c>
      <c r="C114" s="93" t="n">
        <v>45922</v>
      </c>
      <c r="D114" s="87" t="inlineStr">
        <is>
          <t>天籁·鸿蒙座舱</t>
        </is>
      </c>
      <c r="E114" s="87" t="n">
        <v>100</v>
      </c>
      <c r="F114" s="87" t="n">
        <v>97</v>
      </c>
      <c r="G114" s="88" t="n">
        <v>0.97</v>
      </c>
      <c r="H114" s="87" t="n">
        <v>56</v>
      </c>
      <c r="I114" s="89" t="n">
        <v>0.5600000000000001</v>
      </c>
      <c r="J114" s="87" t="n">
        <v>62</v>
      </c>
      <c r="K114" s="87" t="n">
        <v>60</v>
      </c>
      <c r="L114" s="88" t="n">
        <v>0.968</v>
      </c>
      <c r="M114" s="87" t="n">
        <v>102</v>
      </c>
      <c r="N114" s="87" t="n">
        <v>0</v>
      </c>
      <c r="O114" s="87" t="n">
        <v>99</v>
      </c>
      <c r="P114" s="88" t="n">
        <v>0.9705882352941176</v>
      </c>
      <c r="Q114" s="87" t="n">
        <v>0</v>
      </c>
      <c r="R114" s="87" t="n">
        <v>0</v>
      </c>
      <c r="S114" s="87" t="n">
        <v>0</v>
      </c>
      <c r="T114" s="88" t="n">
        <v>0</v>
      </c>
      <c r="U114" s="87" t="n">
        <v>0</v>
      </c>
      <c r="V114" s="88" t="n">
        <v>0</v>
      </c>
      <c r="W114" s="87" t="n">
        <v>0</v>
      </c>
      <c r="X114" s="88" t="n">
        <v>0</v>
      </c>
      <c r="Y114" s="87" t="n">
        <v>0</v>
      </c>
      <c r="Z114" s="90" t="n">
        <v>0</v>
      </c>
      <c r="AA114" s="87" t="n">
        <v>0</v>
      </c>
      <c r="AB114" s="88" t="n">
        <v>0</v>
      </c>
      <c r="AC114" s="87" t="n">
        <v>27</v>
      </c>
      <c r="AD114" s="88" t="n">
        <v>0.27</v>
      </c>
      <c r="AE114" s="87" t="n">
        <v>2</v>
      </c>
      <c r="AF114" s="88" t="n">
        <v>0.07407407407407407</v>
      </c>
      <c r="AG114" s="87" t="n">
        <v>20</v>
      </c>
      <c r="AH114" s="88" t="n">
        <v>0.7407407407407407</v>
      </c>
      <c r="AI114" s="91" t="n">
        <v>0</v>
      </c>
      <c r="AJ114" s="88" t="n">
        <v>0</v>
      </c>
      <c r="AK114" s="91" t="n">
        <v>0</v>
      </c>
      <c r="AL114" s="88" t="n">
        <v>0</v>
      </c>
      <c r="AM114" s="91" t="n">
        <v>0</v>
      </c>
      <c r="AN114" s="91" t="n">
        <v>0</v>
      </c>
      <c r="AO114" s="88" t="n">
        <v>0</v>
      </c>
      <c r="AP114" s="88" t="n">
        <v>0</v>
      </c>
      <c r="AQ114" s="89" t="n">
        <v>0</v>
      </c>
      <c r="AR114" s="89" t="n">
        <v>0</v>
      </c>
      <c r="AS114" s="89" t="n">
        <v>0</v>
      </c>
      <c r="AT114" s="91" t="n">
        <v>0</v>
      </c>
      <c r="AU114" s="91" t="n">
        <v>0</v>
      </c>
      <c r="AV114" s="91" t="n">
        <v>0</v>
      </c>
      <c r="AW114" s="91" t="n">
        <v>0</v>
      </c>
      <c r="AX114" s="91" t="n">
        <v>0</v>
      </c>
      <c r="AY114" s="91" t="n">
        <v>0</v>
      </c>
      <c r="AZ114" s="88" t="n">
        <v>0</v>
      </c>
      <c r="BA114" s="88" t="n">
        <v>0</v>
      </c>
      <c r="BB114" s="88" t="n">
        <v>0</v>
      </c>
      <c r="BC114" s="88" t="n">
        <v>0</v>
      </c>
      <c r="BD114" s="91" t="n">
        <v>0</v>
      </c>
      <c r="BE114" s="91" t="n">
        <v>0</v>
      </c>
      <c r="BF114" s="89" t="inlineStr">
        <is>
          <t>-</t>
        </is>
      </c>
      <c r="BG114" s="89" t="inlineStr">
        <is>
          <t>-</t>
        </is>
      </c>
      <c r="BH114" s="89" t="inlineStr">
        <is>
          <t>-</t>
        </is>
      </c>
    </row>
    <row r="115" ht="19.55" customHeight="1">
      <c r="A115" s="92" t="n">
        <v>112</v>
      </c>
      <c r="B115" s="87" t="inlineStr">
        <is>
          <t>全国</t>
        </is>
      </c>
      <c r="C115" s="93" t="n">
        <v>45923</v>
      </c>
      <c r="D115" s="87" t="inlineStr">
        <is>
          <t>2026款探陆</t>
        </is>
      </c>
      <c r="E115" s="87" t="n">
        <v>0</v>
      </c>
      <c r="F115" s="87" t="n">
        <v>0</v>
      </c>
      <c r="G115" s="88" t="n">
        <v>0</v>
      </c>
      <c r="H115" s="87" t="n">
        <v>0</v>
      </c>
      <c r="I115" s="89" t="n">
        <v>0</v>
      </c>
      <c r="J115" s="87" t="n">
        <v>1</v>
      </c>
      <c r="K115" s="87" t="n">
        <v>1</v>
      </c>
      <c r="L115" s="88" t="n">
        <v>1</v>
      </c>
      <c r="M115" s="87" t="n">
        <v>1</v>
      </c>
      <c r="N115" s="87" t="n">
        <v>0</v>
      </c>
      <c r="O115" s="87" t="n">
        <v>1</v>
      </c>
      <c r="P115" s="88" t="n">
        <v>1</v>
      </c>
      <c r="Q115" s="87" t="n">
        <v>0</v>
      </c>
      <c r="R115" s="87" t="n">
        <v>0</v>
      </c>
      <c r="S115" s="87" t="n">
        <v>0</v>
      </c>
      <c r="T115" s="88" t="n">
        <v>0</v>
      </c>
      <c r="U115" s="87" t="n">
        <v>0</v>
      </c>
      <c r="V115" s="88" t="n">
        <v>0</v>
      </c>
      <c r="W115" s="87" t="n">
        <v>0</v>
      </c>
      <c r="X115" s="88" t="n">
        <v>0</v>
      </c>
      <c r="Y115" s="87" t="n">
        <v>0</v>
      </c>
      <c r="Z115" s="90" t="n">
        <v>0</v>
      </c>
      <c r="AA115" s="87" t="n">
        <v>0</v>
      </c>
      <c r="AB115" s="88" t="n">
        <v>0</v>
      </c>
      <c r="AC115" s="87" t="n">
        <v>0</v>
      </c>
      <c r="AD115" s="88" t="n">
        <v>0</v>
      </c>
      <c r="AE115" s="87" t="n">
        <v>0</v>
      </c>
      <c r="AF115" s="88" t="n">
        <v>0</v>
      </c>
      <c r="AG115" s="87" t="n">
        <v>0</v>
      </c>
      <c r="AH115" s="88" t="n">
        <v>0</v>
      </c>
      <c r="AI115" s="91" t="n">
        <v>0</v>
      </c>
      <c r="AJ115" s="88" t="n">
        <v>0</v>
      </c>
      <c r="AK115" s="91" t="n">
        <v>0</v>
      </c>
      <c r="AL115" s="88" t="n">
        <v>0</v>
      </c>
      <c r="AM115" s="91" t="n">
        <v>0</v>
      </c>
      <c r="AN115" s="91" t="n">
        <v>0</v>
      </c>
      <c r="AO115" s="88" t="n">
        <v>0</v>
      </c>
      <c r="AP115" s="88" t="n">
        <v>0</v>
      </c>
      <c r="AQ115" s="89" t="n"/>
      <c r="AR115" s="89" t="inlineStr">
        <is>
          <t>0.0%</t>
        </is>
      </c>
      <c r="AS115" s="89" t="inlineStr">
        <is>
          <t>0.0%</t>
        </is>
      </c>
      <c r="AT115" s="91" t="n">
        <v>0</v>
      </c>
      <c r="AU115" s="91" t="n">
        <v>0</v>
      </c>
      <c r="AV115" s="91" t="n">
        <v>0</v>
      </c>
      <c r="AW115" s="91" t="n">
        <v>0</v>
      </c>
      <c r="AX115" s="91" t="n">
        <v>0</v>
      </c>
      <c r="AY115" s="91" t="n">
        <v>0</v>
      </c>
      <c r="AZ115" s="88" t="n">
        <v>0</v>
      </c>
      <c r="BA115" s="88" t="n">
        <v>0</v>
      </c>
      <c r="BB115" s="88" t="n">
        <v>0</v>
      </c>
      <c r="BC115" s="88" t="n">
        <v>0</v>
      </c>
      <c r="BD115" s="91" t="n">
        <v>0</v>
      </c>
      <c r="BE115" s="91" t="n">
        <v>0</v>
      </c>
      <c r="BF115" s="89" t="inlineStr">
        <is>
          <t>-</t>
        </is>
      </c>
      <c r="BG115" s="89" t="inlineStr">
        <is>
          <t>-</t>
        </is>
      </c>
      <c r="BH115" s="89" t="inlineStr">
        <is>
          <t>-</t>
        </is>
      </c>
    </row>
    <row r="116" ht="19.55" customHeight="1">
      <c r="A116" s="92" t="n">
        <v>113</v>
      </c>
      <c r="B116" s="87" t="inlineStr">
        <is>
          <t>全国</t>
        </is>
      </c>
      <c r="C116" s="93" t="n">
        <v>45923</v>
      </c>
      <c r="D116" s="87" t="inlineStr">
        <is>
          <t>N6</t>
        </is>
      </c>
      <c r="E116" s="87" t="n">
        <v>87</v>
      </c>
      <c r="F116" s="87" t="n">
        <v>82</v>
      </c>
      <c r="G116" s="88" t="n">
        <v>0.9425287356321839</v>
      </c>
      <c r="H116" s="87" t="n">
        <v>49</v>
      </c>
      <c r="I116" s="89" t="n">
        <v>0.5632183908045977</v>
      </c>
      <c r="J116" s="87" t="n">
        <v>48</v>
      </c>
      <c r="K116" s="87" t="n">
        <v>48</v>
      </c>
      <c r="L116" s="88" t="n">
        <v>1</v>
      </c>
      <c r="M116" s="87" t="n">
        <v>68</v>
      </c>
      <c r="N116" s="87" t="n">
        <v>0</v>
      </c>
      <c r="O116" s="87" t="n">
        <v>64</v>
      </c>
      <c r="P116" s="88" t="n">
        <v>0.9411764705882353</v>
      </c>
      <c r="Q116" s="87" t="n">
        <v>0</v>
      </c>
      <c r="R116" s="87" t="n">
        <v>0</v>
      </c>
      <c r="S116" s="87" t="n">
        <v>0</v>
      </c>
      <c r="T116" s="88" t="n">
        <v>0</v>
      </c>
      <c r="U116" s="87" t="n">
        <v>0</v>
      </c>
      <c r="V116" s="88" t="n">
        <v>0</v>
      </c>
      <c r="W116" s="87" t="n">
        <v>0</v>
      </c>
      <c r="X116" s="88" t="n">
        <v>0</v>
      </c>
      <c r="Y116" s="87" t="n">
        <v>0</v>
      </c>
      <c r="Z116" s="90" t="n">
        <v>0</v>
      </c>
      <c r="AA116" s="87" t="n">
        <v>0</v>
      </c>
      <c r="AB116" s="88" t="n">
        <v>0</v>
      </c>
      <c r="AC116" s="87" t="n">
        <v>19</v>
      </c>
      <c r="AD116" s="88" t="n">
        <v>0.2183908045977012</v>
      </c>
      <c r="AE116" s="87" t="n">
        <v>4</v>
      </c>
      <c r="AF116" s="88" t="n">
        <v>0.2105263157894737</v>
      </c>
      <c r="AG116" s="87" t="n">
        <v>13</v>
      </c>
      <c r="AH116" s="88" t="n">
        <v>0.6842105263157895</v>
      </c>
      <c r="AI116" s="91" t="n">
        <v>0</v>
      </c>
      <c r="AJ116" s="88" t="n">
        <v>0</v>
      </c>
      <c r="AK116" s="91" t="n">
        <v>0</v>
      </c>
      <c r="AL116" s="88" t="n">
        <v>0</v>
      </c>
      <c r="AM116" s="91" t="n">
        <v>0</v>
      </c>
      <c r="AN116" s="91" t="n">
        <v>0</v>
      </c>
      <c r="AO116" s="88" t="n">
        <v>0</v>
      </c>
      <c r="AP116" s="88" t="n">
        <v>0</v>
      </c>
      <c r="AQ116" s="89" t="n"/>
      <c r="AR116" s="89" t="n">
        <v>0</v>
      </c>
      <c r="AS116" s="89" t="n">
        <v>0</v>
      </c>
      <c r="AT116" s="91" t="n">
        <v>0</v>
      </c>
      <c r="AU116" s="91" t="n">
        <v>0</v>
      </c>
      <c r="AV116" s="91" t="n">
        <v>0</v>
      </c>
      <c r="AW116" s="91" t="n">
        <v>0</v>
      </c>
      <c r="AX116" s="91" t="n">
        <v>0</v>
      </c>
      <c r="AY116" s="91" t="n">
        <v>0</v>
      </c>
      <c r="AZ116" s="88" t="n">
        <v>0</v>
      </c>
      <c r="BA116" s="88" t="n">
        <v>0</v>
      </c>
      <c r="BB116" s="88" t="n">
        <v>0</v>
      </c>
      <c r="BC116" s="88" t="n">
        <v>0</v>
      </c>
      <c r="BD116" s="91" t="n">
        <v>0</v>
      </c>
      <c r="BE116" s="91" t="n">
        <v>0</v>
      </c>
      <c r="BF116" s="89" t="inlineStr">
        <is>
          <t>-</t>
        </is>
      </c>
      <c r="BG116" s="89" t="inlineStr">
        <is>
          <t>-</t>
        </is>
      </c>
      <c r="BH116" s="89" t="inlineStr">
        <is>
          <t>-</t>
        </is>
      </c>
    </row>
    <row r="117" ht="19.55" customHeight="1">
      <c r="A117" s="92" t="n">
        <v>114</v>
      </c>
      <c r="B117" s="87" t="inlineStr">
        <is>
          <t>全国</t>
        </is>
      </c>
      <c r="C117" s="93" t="n">
        <v>45923</v>
      </c>
      <c r="D117" s="87" t="inlineStr">
        <is>
          <t>N7</t>
        </is>
      </c>
      <c r="E117" s="87" t="n">
        <v>5921</v>
      </c>
      <c r="F117" s="87" t="n">
        <v>4838</v>
      </c>
      <c r="G117" s="88" t="n">
        <v>0.8170917074818442</v>
      </c>
      <c r="H117" s="87" t="n">
        <v>3108</v>
      </c>
      <c r="I117" s="89" t="n">
        <v>0.5249113325451782</v>
      </c>
      <c r="J117" s="87" t="n">
        <v>5252</v>
      </c>
      <c r="K117" s="87" t="n">
        <v>5092</v>
      </c>
      <c r="L117" s="88" t="n">
        <v>0.97</v>
      </c>
      <c r="M117" s="87" t="n">
        <v>6346</v>
      </c>
      <c r="N117" s="87" t="n">
        <v>0</v>
      </c>
      <c r="O117" s="87" t="n">
        <v>5975</v>
      </c>
      <c r="P117" s="88" t="n">
        <v>0.9415379766782225</v>
      </c>
      <c r="Q117" s="87" t="n">
        <v>50</v>
      </c>
      <c r="R117" s="87" t="n">
        <v>0</v>
      </c>
      <c r="S117" s="87" t="n">
        <v>0</v>
      </c>
      <c r="T117" s="88" t="n">
        <v>0</v>
      </c>
      <c r="U117" s="87" t="n">
        <v>0</v>
      </c>
      <c r="V117" s="88" t="n">
        <v>0</v>
      </c>
      <c r="W117" s="87" t="n">
        <v>570</v>
      </c>
      <c r="X117" s="88" t="n">
        <v>0.0962675223779767</v>
      </c>
      <c r="Y117" s="87" t="n">
        <v>921</v>
      </c>
      <c r="Z117" s="90" t="n">
        <v>0.1555480493159939</v>
      </c>
      <c r="AA117" s="87" t="n">
        <v>2</v>
      </c>
      <c r="AB117" s="88" t="n">
        <v>0.0003377807802736024</v>
      </c>
      <c r="AC117" s="87" t="n">
        <v>1140</v>
      </c>
      <c r="AD117" s="88" t="n">
        <v>0.1925350447559534</v>
      </c>
      <c r="AE117" s="87" t="n">
        <v>55</v>
      </c>
      <c r="AF117" s="88" t="n">
        <v>0.04824561403508772</v>
      </c>
      <c r="AG117" s="87" t="n">
        <v>456</v>
      </c>
      <c r="AH117" s="88" t="n">
        <v>0.4</v>
      </c>
      <c r="AI117" s="91" t="n">
        <v>1159</v>
      </c>
      <c r="AJ117" s="88" t="n">
        <v>0.1957439621685526</v>
      </c>
      <c r="AK117" s="91" t="n">
        <v>45</v>
      </c>
      <c r="AL117" s="88" t="n">
        <v>0.825711820534944</v>
      </c>
      <c r="AM117" s="91" t="n">
        <v>1123</v>
      </c>
      <c r="AN117" s="91" t="n">
        <v>957</v>
      </c>
      <c r="AO117" s="88" t="n">
        <v>0.1616281033609188</v>
      </c>
      <c r="AP117" s="88" t="n">
        <v>0.8394736842105263</v>
      </c>
      <c r="AQ117" s="89" t="n">
        <v>0</v>
      </c>
      <c r="AR117" s="89" t="n">
        <v>0.01525423728813559</v>
      </c>
      <c r="AS117" s="89" t="n">
        <v>0.01525423728813559</v>
      </c>
      <c r="AT117" s="91" t="n">
        <v>0</v>
      </c>
      <c r="AU117" s="91" t="n">
        <v>0</v>
      </c>
      <c r="AV117" s="91" t="n">
        <v>137</v>
      </c>
      <c r="AW117" s="91" t="n">
        <v>94</v>
      </c>
      <c r="AX117" s="91" t="n">
        <v>103</v>
      </c>
      <c r="AY117" s="91" t="n">
        <v>223</v>
      </c>
      <c r="AZ117" s="88" t="n">
        <v>0.01587569667285932</v>
      </c>
      <c r="BA117" s="88" t="n">
        <v>0.01739571018409053</v>
      </c>
      <c r="BB117" s="88" t="n">
        <v>0.03766255700050667</v>
      </c>
      <c r="BC117" s="88" t="n">
        <v>0.1076280041797283</v>
      </c>
      <c r="BD117" s="91" t="n">
        <v>0</v>
      </c>
      <c r="BE117" s="91" t="n">
        <v>1</v>
      </c>
      <c r="BF117" s="89" t="n">
        <v>0.9565217391304348</v>
      </c>
      <c r="BG117" s="89" t="n">
        <v>1</v>
      </c>
      <c r="BH117" s="89" t="inlineStr">
        <is>
          <t>-</t>
        </is>
      </c>
    </row>
    <row r="118" ht="19.55" customHeight="1">
      <c r="A118" s="92" t="n">
        <v>115</v>
      </c>
      <c r="B118" s="87" t="inlineStr">
        <is>
          <t>全国</t>
        </is>
      </c>
      <c r="C118" s="93" t="n">
        <v>45923</v>
      </c>
      <c r="D118" s="87" t="inlineStr">
        <is>
          <t>NX8</t>
        </is>
      </c>
      <c r="E118" s="87" t="n">
        <v>157</v>
      </c>
      <c r="F118" s="87" t="n">
        <v>147</v>
      </c>
      <c r="G118" s="88" t="n">
        <v>0.9363057324840764</v>
      </c>
      <c r="H118" s="87" t="n">
        <v>66</v>
      </c>
      <c r="I118" s="89" t="n">
        <v>0.4203821656050956</v>
      </c>
      <c r="J118" s="87" t="n">
        <v>57</v>
      </c>
      <c r="K118" s="87" t="n">
        <v>56</v>
      </c>
      <c r="L118" s="88" t="n">
        <v>0.982</v>
      </c>
      <c r="M118" s="87" t="n">
        <v>67</v>
      </c>
      <c r="N118" s="87" t="n">
        <v>0</v>
      </c>
      <c r="O118" s="87" t="n">
        <v>66</v>
      </c>
      <c r="P118" s="88" t="n">
        <v>0.9850746268656716</v>
      </c>
      <c r="Q118" s="87" t="n">
        <v>0</v>
      </c>
      <c r="R118" s="87" t="n">
        <v>0</v>
      </c>
      <c r="S118" s="87" t="n">
        <v>0</v>
      </c>
      <c r="T118" s="88" t="n">
        <v>0</v>
      </c>
      <c r="U118" s="87" t="n">
        <v>0</v>
      </c>
      <c r="V118" s="88" t="n">
        <v>0</v>
      </c>
      <c r="W118" s="87" t="n">
        <v>0</v>
      </c>
      <c r="X118" s="88" t="n">
        <v>0</v>
      </c>
      <c r="Y118" s="87" t="n">
        <v>0</v>
      </c>
      <c r="Z118" s="90" t="n">
        <v>0</v>
      </c>
      <c r="AA118" s="87" t="n">
        <v>0</v>
      </c>
      <c r="AB118" s="88" t="n">
        <v>0</v>
      </c>
      <c r="AC118" s="87" t="n">
        <v>47</v>
      </c>
      <c r="AD118" s="88" t="n">
        <v>0.2993630573248408</v>
      </c>
      <c r="AE118" s="87" t="n">
        <v>5</v>
      </c>
      <c r="AF118" s="88" t="n">
        <v>0.1063829787234043</v>
      </c>
      <c r="AG118" s="87" t="n">
        <v>28</v>
      </c>
      <c r="AH118" s="88" t="n">
        <v>0.5957446808510638</v>
      </c>
      <c r="AI118" s="91" t="n">
        <v>0</v>
      </c>
      <c r="AJ118" s="88" t="n">
        <v>0</v>
      </c>
      <c r="AK118" s="91" t="n">
        <v>0</v>
      </c>
      <c r="AL118" s="88" t="n">
        <v>0</v>
      </c>
      <c r="AM118" s="91" t="n">
        <v>0</v>
      </c>
      <c r="AN118" s="91" t="n">
        <v>0</v>
      </c>
      <c r="AO118" s="88" t="n">
        <v>0</v>
      </c>
      <c r="AP118" s="88" t="n">
        <v>0</v>
      </c>
      <c r="AQ118" s="89" t="n"/>
      <c r="AR118" s="89" t="n">
        <v>0</v>
      </c>
      <c r="AS118" s="89" t="n">
        <v>0</v>
      </c>
      <c r="AT118" s="91" t="n">
        <v>0</v>
      </c>
      <c r="AU118" s="91" t="n">
        <v>0</v>
      </c>
      <c r="AV118" s="91" t="n">
        <v>0</v>
      </c>
      <c r="AW118" s="91" t="n">
        <v>0</v>
      </c>
      <c r="AX118" s="91" t="n">
        <v>0</v>
      </c>
      <c r="AY118" s="91" t="n">
        <v>0</v>
      </c>
      <c r="AZ118" s="88" t="n">
        <v>0</v>
      </c>
      <c r="BA118" s="88" t="n">
        <v>0</v>
      </c>
      <c r="BB118" s="88" t="n">
        <v>0</v>
      </c>
      <c r="BC118" s="88" t="n">
        <v>0</v>
      </c>
      <c r="BD118" s="91" t="n">
        <v>0</v>
      </c>
      <c r="BE118" s="91" t="n">
        <v>0</v>
      </c>
      <c r="BF118" s="89" t="inlineStr">
        <is>
          <t>-</t>
        </is>
      </c>
      <c r="BG118" s="89" t="inlineStr">
        <is>
          <t>-</t>
        </is>
      </c>
      <c r="BH118" s="89" t="inlineStr">
        <is>
          <t>-</t>
        </is>
      </c>
    </row>
    <row r="119" ht="19.55" customHeight="1">
      <c r="A119" s="92" t="n">
        <v>116</v>
      </c>
      <c r="B119" s="87" t="inlineStr">
        <is>
          <t>全国</t>
        </is>
      </c>
      <c r="C119" s="93" t="n">
        <v>45923</v>
      </c>
      <c r="D119" s="87" t="inlineStr">
        <is>
          <t>天籁·鸿蒙座舱</t>
        </is>
      </c>
      <c r="E119" s="87" t="n">
        <v>91</v>
      </c>
      <c r="F119" s="87" t="n">
        <v>83</v>
      </c>
      <c r="G119" s="88" t="n">
        <v>0.9120879120879121</v>
      </c>
      <c r="H119" s="87" t="n">
        <v>49</v>
      </c>
      <c r="I119" s="89" t="n">
        <v>0.5384615384615384</v>
      </c>
      <c r="J119" s="87" t="n">
        <v>58</v>
      </c>
      <c r="K119" s="87" t="n">
        <v>54</v>
      </c>
      <c r="L119" s="88" t="n">
        <v>0.931</v>
      </c>
      <c r="M119" s="87" t="n">
        <v>90</v>
      </c>
      <c r="N119" s="87" t="n">
        <v>0</v>
      </c>
      <c r="O119" s="87" t="n">
        <v>81</v>
      </c>
      <c r="P119" s="88" t="n">
        <v>0.9</v>
      </c>
      <c r="Q119" s="87" t="n">
        <v>0</v>
      </c>
      <c r="R119" s="87" t="n">
        <v>0</v>
      </c>
      <c r="S119" s="87" t="n">
        <v>0</v>
      </c>
      <c r="T119" s="88" t="n">
        <v>0</v>
      </c>
      <c r="U119" s="87" t="n">
        <v>0</v>
      </c>
      <c r="V119" s="88" t="n">
        <v>0</v>
      </c>
      <c r="W119" s="87" t="n">
        <v>0</v>
      </c>
      <c r="X119" s="88" t="n">
        <v>0</v>
      </c>
      <c r="Y119" s="87" t="n">
        <v>0</v>
      </c>
      <c r="Z119" s="90" t="n">
        <v>0</v>
      </c>
      <c r="AA119" s="87" t="n">
        <v>0</v>
      </c>
      <c r="AB119" s="88" t="n">
        <v>0</v>
      </c>
      <c r="AC119" s="87" t="n">
        <v>23</v>
      </c>
      <c r="AD119" s="88" t="n">
        <v>0.2527472527472527</v>
      </c>
      <c r="AE119" s="87" t="n">
        <v>4</v>
      </c>
      <c r="AF119" s="88" t="n">
        <v>0.1739130434782609</v>
      </c>
      <c r="AG119" s="87" t="n">
        <v>19</v>
      </c>
      <c r="AH119" s="88" t="n">
        <v>0.8260869565217391</v>
      </c>
      <c r="AI119" s="91" t="n">
        <v>0</v>
      </c>
      <c r="AJ119" s="88" t="n">
        <v>0</v>
      </c>
      <c r="AK119" s="91" t="n">
        <v>0</v>
      </c>
      <c r="AL119" s="88" t="n">
        <v>0</v>
      </c>
      <c r="AM119" s="91" t="n">
        <v>0</v>
      </c>
      <c r="AN119" s="91" t="n">
        <v>0</v>
      </c>
      <c r="AO119" s="88" t="n">
        <v>0</v>
      </c>
      <c r="AP119" s="88" t="n">
        <v>0</v>
      </c>
      <c r="AQ119" s="89" t="n"/>
      <c r="AR119" s="89" t="n">
        <v>0</v>
      </c>
      <c r="AS119" s="89" t="n">
        <v>0</v>
      </c>
      <c r="AT119" s="91" t="n">
        <v>0</v>
      </c>
      <c r="AU119" s="91" t="n">
        <v>0</v>
      </c>
      <c r="AV119" s="91" t="n">
        <v>0</v>
      </c>
      <c r="AW119" s="91" t="n">
        <v>0</v>
      </c>
      <c r="AX119" s="91" t="n">
        <v>0</v>
      </c>
      <c r="AY119" s="91" t="n">
        <v>0</v>
      </c>
      <c r="AZ119" s="88" t="n">
        <v>0</v>
      </c>
      <c r="BA119" s="88" t="n">
        <v>0</v>
      </c>
      <c r="BB119" s="88" t="n">
        <v>0</v>
      </c>
      <c r="BC119" s="88" t="n">
        <v>0</v>
      </c>
      <c r="BD119" s="91" t="n">
        <v>0</v>
      </c>
      <c r="BE119" s="91" t="n">
        <v>0</v>
      </c>
      <c r="BF119" s="89" t="inlineStr">
        <is>
          <t>-</t>
        </is>
      </c>
      <c r="BG119" s="89" t="inlineStr">
        <is>
          <t>-</t>
        </is>
      </c>
      <c r="BH119" s="89" t="inlineStr">
        <is>
          <t>-</t>
        </is>
      </c>
    </row>
    <row r="120" ht="19.55" customHeight="1">
      <c r="A120" s="92" t="n">
        <v>117</v>
      </c>
      <c r="B120" s="87" t="inlineStr">
        <is>
          <t>全国</t>
        </is>
      </c>
      <c r="C120" s="93" t="n">
        <v>45924</v>
      </c>
      <c r="D120" s="87" t="inlineStr">
        <is>
          <t>2026款探陆</t>
        </is>
      </c>
      <c r="E120" s="87" t="n">
        <v>3</v>
      </c>
      <c r="F120" s="87" t="n">
        <v>2</v>
      </c>
      <c r="G120" s="88" t="n">
        <v>0.6666666666666666</v>
      </c>
      <c r="H120" s="87" t="n">
        <v>1</v>
      </c>
      <c r="I120" s="89" t="n">
        <v>0.3333333333333333</v>
      </c>
      <c r="J120" s="87" t="n">
        <v>0</v>
      </c>
      <c r="K120" s="87" t="n">
        <v>0</v>
      </c>
      <c r="L120" s="88" t="n">
        <v>0</v>
      </c>
      <c r="M120" s="87" t="n">
        <v>0</v>
      </c>
      <c r="N120" s="87" t="n">
        <v>0</v>
      </c>
      <c r="O120" s="87" t="n">
        <v>0</v>
      </c>
      <c r="P120" s="88" t="n">
        <v>0</v>
      </c>
      <c r="Q120" s="87" t="n">
        <v>0</v>
      </c>
      <c r="R120" s="87" t="n">
        <v>0</v>
      </c>
      <c r="S120" s="87" t="n">
        <v>0</v>
      </c>
      <c r="T120" s="88" t="n">
        <v>0</v>
      </c>
      <c r="U120" s="87" t="n">
        <v>0</v>
      </c>
      <c r="V120" s="88" t="n">
        <v>0</v>
      </c>
      <c r="W120" s="87" t="n">
        <v>0</v>
      </c>
      <c r="X120" s="88" t="n">
        <v>0</v>
      </c>
      <c r="Y120" s="87" t="n">
        <v>0</v>
      </c>
      <c r="Z120" s="90" t="n">
        <v>0</v>
      </c>
      <c r="AA120" s="87" t="n">
        <v>0</v>
      </c>
      <c r="AB120" s="88" t="n">
        <v>0</v>
      </c>
      <c r="AC120" s="87" t="n">
        <v>0</v>
      </c>
      <c r="AD120" s="88" t="n">
        <v>0</v>
      </c>
      <c r="AE120" s="87" t="n">
        <v>0</v>
      </c>
      <c r="AF120" s="88" t="n">
        <v>0</v>
      </c>
      <c r="AG120" s="87" t="n">
        <v>0</v>
      </c>
      <c r="AH120" s="88" t="n">
        <v>0</v>
      </c>
      <c r="AI120" s="91" t="n">
        <v>0</v>
      </c>
      <c r="AJ120" s="88" t="n">
        <v>0</v>
      </c>
      <c r="AK120" s="91" t="n">
        <v>0</v>
      </c>
      <c r="AL120" s="88" t="n">
        <v>0</v>
      </c>
      <c r="AM120" s="91" t="n">
        <v>0</v>
      </c>
      <c r="AN120" s="91" t="n">
        <v>0</v>
      </c>
      <c r="AO120" s="88" t="n">
        <v>0</v>
      </c>
      <c r="AP120" s="88" t="n">
        <v>0</v>
      </c>
      <c r="AQ120" s="89" t="n"/>
      <c r="AR120" s="89" t="inlineStr">
        <is>
          <t>0.0%</t>
        </is>
      </c>
      <c r="AS120" s="89" t="inlineStr">
        <is>
          <t>0.0%</t>
        </is>
      </c>
      <c r="AT120" s="91" t="n">
        <v>0</v>
      </c>
      <c r="AU120" s="91" t="n">
        <v>0</v>
      </c>
      <c r="AV120" s="91" t="n">
        <v>0</v>
      </c>
      <c r="AW120" s="91" t="n">
        <v>0</v>
      </c>
      <c r="AX120" s="91" t="n">
        <v>0</v>
      </c>
      <c r="AY120" s="91" t="n">
        <v>0</v>
      </c>
      <c r="AZ120" s="88" t="n">
        <v>0</v>
      </c>
      <c r="BA120" s="88" t="n">
        <v>0</v>
      </c>
      <c r="BB120" s="88" t="n">
        <v>0</v>
      </c>
      <c r="BC120" s="88" t="n">
        <v>0</v>
      </c>
      <c r="BD120" s="91" t="n">
        <v>0</v>
      </c>
      <c r="BE120" s="91" t="n">
        <v>0</v>
      </c>
      <c r="BF120" s="89" t="inlineStr">
        <is>
          <t>-</t>
        </is>
      </c>
      <c r="BG120" s="89" t="inlineStr">
        <is>
          <t>-</t>
        </is>
      </c>
      <c r="BH120" s="89" t="inlineStr">
        <is>
          <t>-</t>
        </is>
      </c>
    </row>
    <row r="121" ht="19.55" customHeight="1">
      <c r="A121" s="92" t="n">
        <v>118</v>
      </c>
      <c r="B121" s="87" t="inlineStr">
        <is>
          <t>全国</t>
        </is>
      </c>
      <c r="C121" s="93" t="n">
        <v>45924</v>
      </c>
      <c r="D121" s="87" t="inlineStr">
        <is>
          <t>N6</t>
        </is>
      </c>
      <c r="E121" s="87" t="n">
        <v>66</v>
      </c>
      <c r="F121" s="87" t="n">
        <v>62</v>
      </c>
      <c r="G121" s="88" t="n">
        <v>0.9393939393939394</v>
      </c>
      <c r="H121" s="87" t="n">
        <v>43</v>
      </c>
      <c r="I121" s="89" t="n">
        <v>0.6515151515151515</v>
      </c>
      <c r="J121" s="87" t="n">
        <v>59</v>
      </c>
      <c r="K121" s="87" t="n">
        <v>58</v>
      </c>
      <c r="L121" s="88" t="n">
        <v>0.983</v>
      </c>
      <c r="M121" s="87" t="n">
        <v>81</v>
      </c>
      <c r="N121" s="87" t="n">
        <v>0</v>
      </c>
      <c r="O121" s="87" t="n">
        <v>80</v>
      </c>
      <c r="P121" s="88" t="n">
        <v>0.9876543209876543</v>
      </c>
      <c r="Q121" s="87" t="n">
        <v>0</v>
      </c>
      <c r="R121" s="87" t="n">
        <v>0</v>
      </c>
      <c r="S121" s="87" t="n">
        <v>0</v>
      </c>
      <c r="T121" s="88" t="n">
        <v>0</v>
      </c>
      <c r="U121" s="87" t="n">
        <v>0</v>
      </c>
      <c r="V121" s="88" t="n">
        <v>0</v>
      </c>
      <c r="W121" s="87" t="n">
        <v>0</v>
      </c>
      <c r="X121" s="88" t="n">
        <v>0</v>
      </c>
      <c r="Y121" s="87" t="n">
        <v>0</v>
      </c>
      <c r="Z121" s="90" t="n">
        <v>0</v>
      </c>
      <c r="AA121" s="87" t="n">
        <v>0</v>
      </c>
      <c r="AB121" s="88" t="n">
        <v>0</v>
      </c>
      <c r="AC121" s="87" t="n">
        <v>18</v>
      </c>
      <c r="AD121" s="88" t="n">
        <v>0.2727272727272727</v>
      </c>
      <c r="AE121" s="87" t="n">
        <v>1</v>
      </c>
      <c r="AF121" s="88" t="n">
        <v>0.05555555555555555</v>
      </c>
      <c r="AG121" s="87" t="n">
        <v>10</v>
      </c>
      <c r="AH121" s="88" t="n">
        <v>0.5555555555555556</v>
      </c>
      <c r="AI121" s="91" t="n">
        <v>0</v>
      </c>
      <c r="AJ121" s="88" t="n">
        <v>0</v>
      </c>
      <c r="AK121" s="91" t="n">
        <v>0</v>
      </c>
      <c r="AL121" s="88" t="n">
        <v>0</v>
      </c>
      <c r="AM121" s="91" t="n">
        <v>0</v>
      </c>
      <c r="AN121" s="91" t="n">
        <v>0</v>
      </c>
      <c r="AO121" s="88" t="n">
        <v>0</v>
      </c>
      <c r="AP121" s="88" t="n">
        <v>0</v>
      </c>
      <c r="AQ121" s="89" t="n"/>
      <c r="AR121" s="89" t="n">
        <v>0</v>
      </c>
      <c r="AS121" s="89" t="n">
        <v>0</v>
      </c>
      <c r="AT121" s="91" t="n">
        <v>0</v>
      </c>
      <c r="AU121" s="91" t="n">
        <v>0</v>
      </c>
      <c r="AV121" s="91" t="n">
        <v>0</v>
      </c>
      <c r="AW121" s="91" t="n">
        <v>0</v>
      </c>
      <c r="AX121" s="91" t="n">
        <v>0</v>
      </c>
      <c r="AY121" s="91" t="n">
        <v>0</v>
      </c>
      <c r="AZ121" s="88" t="n">
        <v>0</v>
      </c>
      <c r="BA121" s="88" t="n">
        <v>0</v>
      </c>
      <c r="BB121" s="88" t="n">
        <v>0</v>
      </c>
      <c r="BC121" s="88" t="n">
        <v>0</v>
      </c>
      <c r="BD121" s="91" t="n">
        <v>0</v>
      </c>
      <c r="BE121" s="91" t="n">
        <v>0</v>
      </c>
      <c r="BF121" s="89" t="inlineStr">
        <is>
          <t>-</t>
        </is>
      </c>
      <c r="BG121" s="89" t="inlineStr">
        <is>
          <t>-</t>
        </is>
      </c>
      <c r="BH121" s="89" t="inlineStr">
        <is>
          <t>-</t>
        </is>
      </c>
    </row>
    <row r="122" ht="19.55" customHeight="1">
      <c r="A122" s="92" t="n">
        <v>119</v>
      </c>
      <c r="B122" s="87" t="inlineStr">
        <is>
          <t>全国</t>
        </is>
      </c>
      <c r="C122" s="93" t="n">
        <v>45924</v>
      </c>
      <c r="D122" s="87" t="inlineStr">
        <is>
          <t>N7</t>
        </is>
      </c>
      <c r="E122" s="87" t="n">
        <v>5630</v>
      </c>
      <c r="F122" s="87" t="n">
        <v>4511</v>
      </c>
      <c r="G122" s="88" t="n">
        <v>0.8012433392539965</v>
      </c>
      <c r="H122" s="87" t="n">
        <v>3019</v>
      </c>
      <c r="I122" s="89" t="n">
        <v>0.536234458259325</v>
      </c>
      <c r="J122" s="87" t="n">
        <v>4582</v>
      </c>
      <c r="K122" s="87" t="n">
        <v>4408</v>
      </c>
      <c r="L122" s="88" t="n">
        <v>0.962</v>
      </c>
      <c r="M122" s="87" t="n">
        <v>5796</v>
      </c>
      <c r="N122" s="87" t="n">
        <v>0</v>
      </c>
      <c r="O122" s="87" t="n">
        <v>5294</v>
      </c>
      <c r="P122" s="88" t="n">
        <v>0.9133885438233265</v>
      </c>
      <c r="Q122" s="87" t="n">
        <v>21</v>
      </c>
      <c r="R122" s="87" t="n">
        <v>0</v>
      </c>
      <c r="S122" s="87" t="n">
        <v>0</v>
      </c>
      <c r="T122" s="88" t="n">
        <v>0</v>
      </c>
      <c r="U122" s="87" t="n">
        <v>0</v>
      </c>
      <c r="V122" s="88" t="n">
        <v>0</v>
      </c>
      <c r="W122" s="87" t="n">
        <v>1069</v>
      </c>
      <c r="X122" s="88" t="n">
        <v>0.1898756660746004</v>
      </c>
      <c r="Y122" s="87" t="n">
        <v>928</v>
      </c>
      <c r="Z122" s="90" t="n">
        <v>0.1648312611012433</v>
      </c>
      <c r="AA122" s="87" t="n">
        <v>1</v>
      </c>
      <c r="AB122" s="88" t="n">
        <v>0.0001776198934280639</v>
      </c>
      <c r="AC122" s="87" t="n">
        <v>919</v>
      </c>
      <c r="AD122" s="88" t="n">
        <v>0.1632326820603908</v>
      </c>
      <c r="AE122" s="87" t="n">
        <v>34</v>
      </c>
      <c r="AF122" s="88" t="n">
        <v>0.03699673558215451</v>
      </c>
      <c r="AG122" s="87" t="n">
        <v>400</v>
      </c>
      <c r="AH122" s="88" t="n">
        <v>0.4352557127312296</v>
      </c>
      <c r="AI122" s="91" t="n">
        <v>904</v>
      </c>
      <c r="AJ122" s="88" t="n">
        <v>0.1605683836589698</v>
      </c>
      <c r="AK122" s="91" t="n">
        <v>15</v>
      </c>
      <c r="AL122" s="88" t="n">
        <v>0.4933628318584071</v>
      </c>
      <c r="AM122" s="91" t="n">
        <v>882</v>
      </c>
      <c r="AN122" s="91" t="n">
        <v>446</v>
      </c>
      <c r="AO122" s="88" t="n">
        <v>0.07921847246891651</v>
      </c>
      <c r="AP122" s="88" t="n">
        <v>0.485310119695321</v>
      </c>
      <c r="AQ122" s="89" t="n">
        <v>0</v>
      </c>
      <c r="AR122" s="89" t="n">
        <v>0.02414928649835346</v>
      </c>
      <c r="AS122" s="89" t="n">
        <v>0.02414928649835346</v>
      </c>
      <c r="AT122" s="91" t="n">
        <v>0</v>
      </c>
      <c r="AU122" s="91" t="n">
        <v>0</v>
      </c>
      <c r="AV122" s="91" t="n">
        <v>139</v>
      </c>
      <c r="AW122" s="91" t="n">
        <v>104</v>
      </c>
      <c r="AX122" s="91" t="n">
        <v>115</v>
      </c>
      <c r="AY122" s="91" t="n">
        <v>172</v>
      </c>
      <c r="AZ122" s="88" t="n">
        <v>0.01847246891651865</v>
      </c>
      <c r="BA122" s="88" t="n">
        <v>0.02042628774422735</v>
      </c>
      <c r="BB122" s="88" t="n">
        <v>0.030550621669627</v>
      </c>
      <c r="BC122" s="88" t="n">
        <v>0.257847533632287</v>
      </c>
      <c r="BD122" s="91" t="n">
        <v>0</v>
      </c>
      <c r="BE122" s="91" t="n">
        <v>0</v>
      </c>
      <c r="BF122" s="89" t="n">
        <v>1</v>
      </c>
      <c r="BG122" s="89" t="n">
        <v>1</v>
      </c>
      <c r="BH122" s="89" t="inlineStr">
        <is>
          <t>-</t>
        </is>
      </c>
    </row>
    <row r="123" ht="19.55" customHeight="1">
      <c r="A123" s="92" t="n">
        <v>120</v>
      </c>
      <c r="B123" s="87" t="inlineStr">
        <is>
          <t>全国</t>
        </is>
      </c>
      <c r="C123" s="93" t="n">
        <v>45924</v>
      </c>
      <c r="D123" s="87" t="inlineStr">
        <is>
          <t>NX8</t>
        </is>
      </c>
      <c r="E123" s="87" t="n">
        <v>168</v>
      </c>
      <c r="F123" s="87" t="n">
        <v>149</v>
      </c>
      <c r="G123" s="88" t="n">
        <v>0.8869047619047619</v>
      </c>
      <c r="H123" s="87" t="n">
        <v>75</v>
      </c>
      <c r="I123" s="89" t="n">
        <v>0.4464285714285715</v>
      </c>
      <c r="J123" s="87" t="n">
        <v>34</v>
      </c>
      <c r="K123" s="87" t="n">
        <v>34</v>
      </c>
      <c r="L123" s="88" t="n">
        <v>1</v>
      </c>
      <c r="M123" s="87" t="n">
        <v>58</v>
      </c>
      <c r="N123" s="87" t="n">
        <v>0</v>
      </c>
      <c r="O123" s="87" t="n">
        <v>56</v>
      </c>
      <c r="P123" s="88" t="n">
        <v>0.9655172413793104</v>
      </c>
      <c r="Q123" s="87" t="n">
        <v>0</v>
      </c>
      <c r="R123" s="87" t="n">
        <v>0</v>
      </c>
      <c r="S123" s="87" t="n">
        <v>0</v>
      </c>
      <c r="T123" s="88" t="n">
        <v>0</v>
      </c>
      <c r="U123" s="87" t="n">
        <v>0</v>
      </c>
      <c r="V123" s="88" t="n">
        <v>0</v>
      </c>
      <c r="W123" s="87" t="n">
        <v>0</v>
      </c>
      <c r="X123" s="88" t="n">
        <v>0</v>
      </c>
      <c r="Y123" s="87" t="n">
        <v>0</v>
      </c>
      <c r="Z123" s="90" t="n">
        <v>0</v>
      </c>
      <c r="AA123" s="87" t="n">
        <v>0</v>
      </c>
      <c r="AB123" s="88" t="n">
        <v>0</v>
      </c>
      <c r="AC123" s="87" t="n">
        <v>40</v>
      </c>
      <c r="AD123" s="88" t="n">
        <v>0.2380952380952381</v>
      </c>
      <c r="AE123" s="87" t="n">
        <v>6</v>
      </c>
      <c r="AF123" s="88" t="n">
        <v>0.15</v>
      </c>
      <c r="AG123" s="87" t="n">
        <v>23</v>
      </c>
      <c r="AH123" s="88" t="n">
        <v>0.575</v>
      </c>
      <c r="AI123" s="91" t="n">
        <v>1</v>
      </c>
      <c r="AJ123" s="88" t="n">
        <v>0.005952380952380952</v>
      </c>
      <c r="AK123" s="91" t="n">
        <v>0</v>
      </c>
      <c r="AL123" s="88" t="n">
        <v>0</v>
      </c>
      <c r="AM123" s="91" t="n">
        <v>0</v>
      </c>
      <c r="AN123" s="91" t="n">
        <v>0</v>
      </c>
      <c r="AO123" s="88" t="n">
        <v>0</v>
      </c>
      <c r="AP123" s="88" t="n">
        <v>0</v>
      </c>
      <c r="AQ123" s="89" t="n"/>
      <c r="AR123" s="89" t="n">
        <v>0</v>
      </c>
      <c r="AS123" s="89" t="n">
        <v>0</v>
      </c>
      <c r="AT123" s="91" t="n">
        <v>0</v>
      </c>
      <c r="AU123" s="91" t="n">
        <v>0</v>
      </c>
      <c r="AV123" s="91" t="n">
        <v>0</v>
      </c>
      <c r="AW123" s="91" t="n">
        <v>0</v>
      </c>
      <c r="AX123" s="91" t="n">
        <v>0</v>
      </c>
      <c r="AY123" s="91" t="n">
        <v>0</v>
      </c>
      <c r="AZ123" s="88" t="n">
        <v>0</v>
      </c>
      <c r="BA123" s="88" t="n">
        <v>0</v>
      </c>
      <c r="BB123" s="88" t="n">
        <v>0</v>
      </c>
      <c r="BC123" s="88" t="n">
        <v>0</v>
      </c>
      <c r="BD123" s="91" t="n">
        <v>0</v>
      </c>
      <c r="BE123" s="91" t="n">
        <v>0</v>
      </c>
      <c r="BF123" s="89" t="inlineStr">
        <is>
          <t>-</t>
        </is>
      </c>
      <c r="BG123" s="89" t="inlineStr">
        <is>
          <t>-</t>
        </is>
      </c>
      <c r="BH123" s="89" t="inlineStr">
        <is>
          <t>-</t>
        </is>
      </c>
    </row>
    <row r="124" ht="19.55" customHeight="1">
      <c r="A124" s="92" t="n">
        <v>121</v>
      </c>
      <c r="B124" s="87" t="inlineStr">
        <is>
          <t>全国</t>
        </is>
      </c>
      <c r="C124" s="93" t="n">
        <v>45924</v>
      </c>
      <c r="D124" s="87" t="inlineStr">
        <is>
          <t>天籁·鸿蒙座舱</t>
        </is>
      </c>
      <c r="E124" s="87" t="n">
        <v>52</v>
      </c>
      <c r="F124" s="87" t="n">
        <v>51</v>
      </c>
      <c r="G124" s="88" t="n">
        <v>0.9807692307692307</v>
      </c>
      <c r="H124" s="87" t="n">
        <v>35</v>
      </c>
      <c r="I124" s="89" t="n">
        <v>0.6730769230769231</v>
      </c>
      <c r="J124" s="87" t="n">
        <v>43</v>
      </c>
      <c r="K124" s="87" t="n">
        <v>42</v>
      </c>
      <c r="L124" s="88" t="n">
        <v>0.977</v>
      </c>
      <c r="M124" s="87" t="n">
        <v>68</v>
      </c>
      <c r="N124" s="87" t="n">
        <v>0</v>
      </c>
      <c r="O124" s="87" t="n">
        <v>67</v>
      </c>
      <c r="P124" s="88" t="n">
        <v>0.9852941176470589</v>
      </c>
      <c r="Q124" s="87" t="n">
        <v>0</v>
      </c>
      <c r="R124" s="87" t="n">
        <v>0</v>
      </c>
      <c r="S124" s="87" t="n">
        <v>0</v>
      </c>
      <c r="T124" s="88" t="n">
        <v>0</v>
      </c>
      <c r="U124" s="87" t="n">
        <v>0</v>
      </c>
      <c r="V124" s="88" t="n">
        <v>0</v>
      </c>
      <c r="W124" s="87" t="n">
        <v>0</v>
      </c>
      <c r="X124" s="88" t="n">
        <v>0</v>
      </c>
      <c r="Y124" s="87" t="n">
        <v>0</v>
      </c>
      <c r="Z124" s="90" t="n">
        <v>0</v>
      </c>
      <c r="AA124" s="87" t="n">
        <v>0</v>
      </c>
      <c r="AB124" s="88" t="n">
        <v>0</v>
      </c>
      <c r="AC124" s="87" t="n">
        <v>18</v>
      </c>
      <c r="AD124" s="88" t="n">
        <v>0.3461538461538461</v>
      </c>
      <c r="AE124" s="87" t="n">
        <v>0</v>
      </c>
      <c r="AF124" s="88" t="n">
        <v>0</v>
      </c>
      <c r="AG124" s="87" t="n">
        <v>13</v>
      </c>
      <c r="AH124" s="88" t="n">
        <v>0.7222222222222222</v>
      </c>
      <c r="AI124" s="91" t="n">
        <v>0</v>
      </c>
      <c r="AJ124" s="88" t="n">
        <v>0</v>
      </c>
      <c r="AK124" s="91" t="n">
        <v>0</v>
      </c>
      <c r="AL124" s="88" t="n">
        <v>0</v>
      </c>
      <c r="AM124" s="91" t="n">
        <v>0</v>
      </c>
      <c r="AN124" s="91" t="n">
        <v>0</v>
      </c>
      <c r="AO124" s="88" t="n">
        <v>0</v>
      </c>
      <c r="AP124" s="88" t="n">
        <v>0</v>
      </c>
      <c r="AQ124" s="89" t="n"/>
      <c r="AR124" s="89" t="n">
        <v>0</v>
      </c>
      <c r="AS124" s="89" t="n">
        <v>0</v>
      </c>
      <c r="AT124" s="91" t="n">
        <v>0</v>
      </c>
      <c r="AU124" s="91" t="n">
        <v>0</v>
      </c>
      <c r="AV124" s="91" t="n">
        <v>0</v>
      </c>
      <c r="AW124" s="91" t="n">
        <v>0</v>
      </c>
      <c r="AX124" s="91" t="n">
        <v>0</v>
      </c>
      <c r="AY124" s="91" t="n">
        <v>0</v>
      </c>
      <c r="AZ124" s="88" t="n">
        <v>0</v>
      </c>
      <c r="BA124" s="88" t="n">
        <v>0</v>
      </c>
      <c r="BB124" s="88" t="n">
        <v>0</v>
      </c>
      <c r="BC124" s="88" t="n">
        <v>0</v>
      </c>
      <c r="BD124" s="91" t="n">
        <v>0</v>
      </c>
      <c r="BE124" s="91" t="n">
        <v>0</v>
      </c>
      <c r="BF124" s="89" t="inlineStr">
        <is>
          <t>-</t>
        </is>
      </c>
      <c r="BG124" s="89" t="inlineStr">
        <is>
          <t>-</t>
        </is>
      </c>
      <c r="BH124" s="89" t="inlineStr">
        <is>
          <t>-</t>
        </is>
      </c>
    </row>
    <row r="125" ht="19.55" customHeight="1">
      <c r="A125" s="92" t="n">
        <v>122</v>
      </c>
      <c r="B125" s="87" t="inlineStr">
        <is>
          <t>全国</t>
        </is>
      </c>
      <c r="C125" s="93" t="n">
        <v>45925</v>
      </c>
      <c r="D125" s="87" t="inlineStr">
        <is>
          <t>2026款探陆</t>
        </is>
      </c>
      <c r="E125" s="87" t="n">
        <v>2</v>
      </c>
      <c r="F125" s="87" t="n">
        <v>2</v>
      </c>
      <c r="G125" s="88" t="n">
        <v>1</v>
      </c>
      <c r="H125" s="87" t="n">
        <v>1</v>
      </c>
      <c r="I125" s="89" t="n">
        <v>0.5</v>
      </c>
      <c r="J125" s="87" t="n">
        <v>0</v>
      </c>
      <c r="K125" s="87" t="n">
        <v>0</v>
      </c>
      <c r="L125" s="88" t="n">
        <v>0</v>
      </c>
      <c r="M125" s="87" t="n">
        <v>0</v>
      </c>
      <c r="N125" s="87" t="n">
        <v>0</v>
      </c>
      <c r="O125" s="87" t="n">
        <v>0</v>
      </c>
      <c r="P125" s="88" t="n">
        <v>0</v>
      </c>
      <c r="Q125" s="87" t="n">
        <v>0</v>
      </c>
      <c r="R125" s="87" t="n">
        <v>0</v>
      </c>
      <c r="S125" s="87" t="n">
        <v>0</v>
      </c>
      <c r="T125" s="88" t="n">
        <v>0</v>
      </c>
      <c r="U125" s="87" t="n">
        <v>0</v>
      </c>
      <c r="V125" s="88" t="n">
        <v>0</v>
      </c>
      <c r="W125" s="87" t="n">
        <v>0</v>
      </c>
      <c r="X125" s="88" t="n">
        <v>0</v>
      </c>
      <c r="Y125" s="87" t="n">
        <v>0</v>
      </c>
      <c r="Z125" s="90" t="n">
        <v>0</v>
      </c>
      <c r="AA125" s="87" t="n">
        <v>0</v>
      </c>
      <c r="AB125" s="88" t="n">
        <v>0</v>
      </c>
      <c r="AC125" s="87" t="n">
        <v>0</v>
      </c>
      <c r="AD125" s="88" t="n">
        <v>0</v>
      </c>
      <c r="AE125" s="87" t="n">
        <v>0</v>
      </c>
      <c r="AF125" s="88" t="n">
        <v>0</v>
      </c>
      <c r="AG125" s="87" t="n">
        <v>0</v>
      </c>
      <c r="AH125" s="88" t="n">
        <v>0</v>
      </c>
      <c r="AI125" s="91" t="n">
        <v>0</v>
      </c>
      <c r="AJ125" s="88" t="n">
        <v>0</v>
      </c>
      <c r="AK125" s="91" t="n">
        <v>0</v>
      </c>
      <c r="AL125" s="88" t="n">
        <v>0</v>
      </c>
      <c r="AM125" s="91" t="n">
        <v>0</v>
      </c>
      <c r="AN125" s="91" t="n">
        <v>0</v>
      </c>
      <c r="AO125" s="88" t="n">
        <v>0</v>
      </c>
      <c r="AP125" s="88" t="n">
        <v>0</v>
      </c>
      <c r="AQ125" s="89" t="n"/>
      <c r="AR125" s="89" t="inlineStr">
        <is>
          <t>0.0%</t>
        </is>
      </c>
      <c r="AS125" s="89" t="inlineStr">
        <is>
          <t>0.0%</t>
        </is>
      </c>
      <c r="AT125" s="91" t="n">
        <v>0</v>
      </c>
      <c r="AU125" s="91" t="n">
        <v>0</v>
      </c>
      <c r="AV125" s="91" t="n">
        <v>0</v>
      </c>
      <c r="AW125" s="91" t="n">
        <v>0</v>
      </c>
      <c r="AX125" s="91" t="n">
        <v>0</v>
      </c>
      <c r="AY125" s="91" t="n">
        <v>0</v>
      </c>
      <c r="AZ125" s="88" t="n">
        <v>0</v>
      </c>
      <c r="BA125" s="88" t="n">
        <v>0</v>
      </c>
      <c r="BB125" s="88" t="n">
        <v>0</v>
      </c>
      <c r="BC125" s="88" t="n">
        <v>0</v>
      </c>
      <c r="BD125" s="91" t="n">
        <v>0</v>
      </c>
      <c r="BE125" s="91" t="n">
        <v>0</v>
      </c>
      <c r="BF125" s="89" t="inlineStr">
        <is>
          <t>-</t>
        </is>
      </c>
      <c r="BG125" s="89" t="inlineStr">
        <is>
          <t>-</t>
        </is>
      </c>
      <c r="BH125" s="89" t="inlineStr">
        <is>
          <t>-</t>
        </is>
      </c>
    </row>
    <row r="126" ht="19.55" customHeight="1">
      <c r="A126" s="92" t="n">
        <v>123</v>
      </c>
      <c r="B126" s="87" t="inlineStr">
        <is>
          <t>全国</t>
        </is>
      </c>
      <c r="C126" s="93" t="n">
        <v>45925</v>
      </c>
      <c r="D126" s="87" t="inlineStr">
        <is>
          <t>N6</t>
        </is>
      </c>
      <c r="E126" s="87" t="n">
        <v>112</v>
      </c>
      <c r="F126" s="87" t="n">
        <v>102</v>
      </c>
      <c r="G126" s="88" t="n">
        <v>0.9107142857142857</v>
      </c>
      <c r="H126" s="87" t="n">
        <v>53</v>
      </c>
      <c r="I126" s="89" t="n">
        <v>0.4732142857142857</v>
      </c>
      <c r="J126" s="87" t="n">
        <v>56</v>
      </c>
      <c r="K126" s="87" t="n">
        <v>54</v>
      </c>
      <c r="L126" s="88" t="n">
        <v>0.964</v>
      </c>
      <c r="M126" s="87" t="n">
        <v>169</v>
      </c>
      <c r="N126" s="87" t="n">
        <v>108</v>
      </c>
      <c r="O126" s="87" t="n">
        <v>157</v>
      </c>
      <c r="P126" s="88" t="n">
        <v>0.9289940828402367</v>
      </c>
      <c r="Q126" s="87" t="n">
        <v>0</v>
      </c>
      <c r="R126" s="87" t="n">
        <v>0</v>
      </c>
      <c r="S126" s="87" t="n">
        <v>0</v>
      </c>
      <c r="T126" s="88" t="n">
        <v>0</v>
      </c>
      <c r="U126" s="87" t="n">
        <v>0</v>
      </c>
      <c r="V126" s="88" t="n">
        <v>0</v>
      </c>
      <c r="W126" s="87" t="n">
        <v>0</v>
      </c>
      <c r="X126" s="88" t="n">
        <v>0</v>
      </c>
      <c r="Y126" s="87" t="n">
        <v>0</v>
      </c>
      <c r="Z126" s="90" t="n">
        <v>0</v>
      </c>
      <c r="AA126" s="87" t="n">
        <v>0</v>
      </c>
      <c r="AB126" s="88" t="n">
        <v>0</v>
      </c>
      <c r="AC126" s="87" t="n">
        <v>15</v>
      </c>
      <c r="AD126" s="88" t="n">
        <v>0.1339285714285714</v>
      </c>
      <c r="AE126" s="87" t="n">
        <v>2</v>
      </c>
      <c r="AF126" s="88" t="n">
        <v>0.1333333333333333</v>
      </c>
      <c r="AG126" s="87" t="n">
        <v>13</v>
      </c>
      <c r="AH126" s="88" t="n">
        <v>0.8666666666666667</v>
      </c>
      <c r="AI126" s="91" t="n">
        <v>0</v>
      </c>
      <c r="AJ126" s="88" t="n">
        <v>0</v>
      </c>
      <c r="AK126" s="91" t="n">
        <v>0</v>
      </c>
      <c r="AL126" s="88" t="n">
        <v>0</v>
      </c>
      <c r="AM126" s="91" t="n">
        <v>0</v>
      </c>
      <c r="AN126" s="91" t="n">
        <v>0</v>
      </c>
      <c r="AO126" s="88" t="n">
        <v>0</v>
      </c>
      <c r="AP126" s="88" t="n">
        <v>0</v>
      </c>
      <c r="AQ126" s="89" t="n">
        <v>1</v>
      </c>
      <c r="AR126" s="89" t="n">
        <v>0</v>
      </c>
      <c r="AS126" s="89" t="n">
        <v>0</v>
      </c>
      <c r="AT126" s="91" t="n">
        <v>0</v>
      </c>
      <c r="AU126" s="91" t="n">
        <v>0</v>
      </c>
      <c r="AV126" s="91" t="n">
        <v>0</v>
      </c>
      <c r="AW126" s="91" t="n">
        <v>0</v>
      </c>
      <c r="AX126" s="91" t="n">
        <v>0</v>
      </c>
      <c r="AY126" s="91" t="n">
        <v>0</v>
      </c>
      <c r="AZ126" s="88" t="n">
        <v>0</v>
      </c>
      <c r="BA126" s="88" t="n">
        <v>0</v>
      </c>
      <c r="BB126" s="88" t="n">
        <v>0</v>
      </c>
      <c r="BC126" s="88" t="n">
        <v>0</v>
      </c>
      <c r="BD126" s="91" t="n">
        <v>0</v>
      </c>
      <c r="BE126" s="91" t="n">
        <v>0</v>
      </c>
      <c r="BF126" s="89" t="inlineStr">
        <is>
          <t>-</t>
        </is>
      </c>
      <c r="BG126" s="89" t="inlineStr">
        <is>
          <t>-</t>
        </is>
      </c>
      <c r="BH126" s="89" t="inlineStr">
        <is>
          <t>-</t>
        </is>
      </c>
    </row>
    <row r="127" ht="19.55" customHeight="1">
      <c r="A127" s="92" t="n">
        <v>124</v>
      </c>
      <c r="B127" s="87" t="inlineStr">
        <is>
          <t>全国</t>
        </is>
      </c>
      <c r="C127" s="93" t="n">
        <v>45925</v>
      </c>
      <c r="D127" s="87" t="inlineStr">
        <is>
          <t>N7</t>
        </is>
      </c>
      <c r="E127" s="87" t="n">
        <v>6561</v>
      </c>
      <c r="F127" s="87" t="n">
        <v>5221</v>
      </c>
      <c r="G127" s="88" t="n">
        <v>0.7957628410303308</v>
      </c>
      <c r="H127" s="87" t="n">
        <v>3441</v>
      </c>
      <c r="I127" s="89" t="n">
        <v>0.5244627343392776</v>
      </c>
      <c r="J127" s="87" t="n">
        <v>5254</v>
      </c>
      <c r="K127" s="87" t="n">
        <v>5105</v>
      </c>
      <c r="L127" s="88" t="n">
        <v>0.972</v>
      </c>
      <c r="M127" s="87" t="n">
        <v>23870</v>
      </c>
      <c r="N127" s="87" t="n">
        <v>26960</v>
      </c>
      <c r="O127" s="87" t="n">
        <v>23313</v>
      </c>
      <c r="P127" s="88" t="n">
        <v>0.9766652702136573</v>
      </c>
      <c r="Q127" s="87" t="n">
        <v>41</v>
      </c>
      <c r="R127" s="87" t="n">
        <v>0</v>
      </c>
      <c r="S127" s="87" t="n">
        <v>0</v>
      </c>
      <c r="T127" s="88" t="n">
        <v>0</v>
      </c>
      <c r="U127" s="87" t="n">
        <v>0</v>
      </c>
      <c r="V127" s="88" t="n">
        <v>0</v>
      </c>
      <c r="W127" s="87" t="n">
        <v>1134</v>
      </c>
      <c r="X127" s="88" t="n">
        <v>0.1728395061728395</v>
      </c>
      <c r="Y127" s="87" t="n">
        <v>987</v>
      </c>
      <c r="Z127" s="90" t="n">
        <v>0.1504343850022862</v>
      </c>
      <c r="AA127" s="87" t="n">
        <v>0</v>
      </c>
      <c r="AB127" s="88" t="n">
        <v>0</v>
      </c>
      <c r="AC127" s="87" t="n">
        <v>989</v>
      </c>
      <c r="AD127" s="88" t="n">
        <v>0.150739216582838</v>
      </c>
      <c r="AE127" s="87" t="n">
        <v>75</v>
      </c>
      <c r="AF127" s="88" t="n">
        <v>0.07583417593528817</v>
      </c>
      <c r="AG127" s="87" t="n">
        <v>430</v>
      </c>
      <c r="AH127" s="88" t="n">
        <v>0.4347826086956522</v>
      </c>
      <c r="AI127" s="91" t="n">
        <v>974</v>
      </c>
      <c r="AJ127" s="88" t="n">
        <v>0.1484529797286999</v>
      </c>
      <c r="AK127" s="91" t="n">
        <v>19</v>
      </c>
      <c r="AL127" s="88" t="n">
        <v>0.6581108829568788</v>
      </c>
      <c r="AM127" s="91" t="n">
        <v>953</v>
      </c>
      <c r="AN127" s="91" t="n">
        <v>641</v>
      </c>
      <c r="AO127" s="88" t="n">
        <v>0.09769852156683433</v>
      </c>
      <c r="AP127" s="88" t="n">
        <v>0.6481294236602629</v>
      </c>
      <c r="AQ127" s="89" t="n">
        <v>0.9530791788856305</v>
      </c>
      <c r="AR127" s="89" t="n">
        <v>0.0173469387755102</v>
      </c>
      <c r="AS127" s="89" t="n">
        <v>0.0173469387755102</v>
      </c>
      <c r="AT127" s="91" t="n">
        <v>0</v>
      </c>
      <c r="AU127" s="91" t="n">
        <v>0</v>
      </c>
      <c r="AV127" s="91" t="n">
        <v>201</v>
      </c>
      <c r="AW127" s="91" t="n">
        <v>179</v>
      </c>
      <c r="AX127" s="91" t="n">
        <v>190</v>
      </c>
      <c r="AY127" s="91" t="n">
        <v>246</v>
      </c>
      <c r="AZ127" s="88" t="n">
        <v>0.02728242645938119</v>
      </c>
      <c r="BA127" s="88" t="n">
        <v>0.02895900015241579</v>
      </c>
      <c r="BB127" s="88" t="n">
        <v>0.03749428440786465</v>
      </c>
      <c r="BC127" s="88" t="n">
        <v>0.296411856474259</v>
      </c>
      <c r="BD127" s="91" t="n">
        <v>0</v>
      </c>
      <c r="BE127" s="91" t="n">
        <v>0</v>
      </c>
      <c r="BF127" s="89" t="n">
        <v>1</v>
      </c>
      <c r="BG127" s="89" t="n">
        <v>1</v>
      </c>
      <c r="BH127" s="89" t="inlineStr">
        <is>
          <t>-</t>
        </is>
      </c>
    </row>
    <row r="128" ht="19.55" customHeight="1">
      <c r="A128" s="92" t="n">
        <v>125</v>
      </c>
      <c r="B128" s="87" t="inlineStr">
        <is>
          <t>全国</t>
        </is>
      </c>
      <c r="C128" s="93" t="n">
        <v>45925</v>
      </c>
      <c r="D128" s="87" t="inlineStr">
        <is>
          <t>NX8</t>
        </is>
      </c>
      <c r="E128" s="87" t="n">
        <v>157</v>
      </c>
      <c r="F128" s="87" t="n">
        <v>143</v>
      </c>
      <c r="G128" s="88" t="n">
        <v>0.910828025477707</v>
      </c>
      <c r="H128" s="87" t="n">
        <v>65</v>
      </c>
      <c r="I128" s="89" t="n">
        <v>0.4140127388535032</v>
      </c>
      <c r="J128" s="87" t="n">
        <v>43</v>
      </c>
      <c r="K128" s="87" t="n">
        <v>41</v>
      </c>
      <c r="L128" s="88" t="n">
        <v>0.953</v>
      </c>
      <c r="M128" s="87" t="n">
        <v>85</v>
      </c>
      <c r="N128" s="87" t="n">
        <v>25</v>
      </c>
      <c r="O128" s="87" t="n">
        <v>83</v>
      </c>
      <c r="P128" s="88" t="n">
        <v>0.9764705882352941</v>
      </c>
      <c r="Q128" s="87" t="n">
        <v>0</v>
      </c>
      <c r="R128" s="87" t="n">
        <v>0</v>
      </c>
      <c r="S128" s="87" t="n">
        <v>0</v>
      </c>
      <c r="T128" s="88" t="n">
        <v>0</v>
      </c>
      <c r="U128" s="87" t="n">
        <v>0</v>
      </c>
      <c r="V128" s="88" t="n">
        <v>0</v>
      </c>
      <c r="W128" s="87" t="n">
        <v>0</v>
      </c>
      <c r="X128" s="88" t="n">
        <v>0</v>
      </c>
      <c r="Y128" s="87" t="n">
        <v>0</v>
      </c>
      <c r="Z128" s="90" t="n">
        <v>0</v>
      </c>
      <c r="AA128" s="87" t="n">
        <v>0</v>
      </c>
      <c r="AB128" s="88" t="n">
        <v>0</v>
      </c>
      <c r="AC128" s="87" t="n">
        <v>52</v>
      </c>
      <c r="AD128" s="88" t="n">
        <v>0.3312101910828025</v>
      </c>
      <c r="AE128" s="87" t="n">
        <v>9</v>
      </c>
      <c r="AF128" s="88" t="n">
        <v>0.1730769230769231</v>
      </c>
      <c r="AG128" s="87" t="n">
        <v>28</v>
      </c>
      <c r="AH128" s="88" t="n">
        <v>0.5384615384615384</v>
      </c>
      <c r="AI128" s="91" t="n">
        <v>1</v>
      </c>
      <c r="AJ128" s="88" t="n">
        <v>0.006369426751592357</v>
      </c>
      <c r="AK128" s="91" t="n">
        <v>0</v>
      </c>
      <c r="AL128" s="88" t="n">
        <v>0</v>
      </c>
      <c r="AM128" s="91" t="n">
        <v>0</v>
      </c>
      <c r="AN128" s="91" t="n">
        <v>0</v>
      </c>
      <c r="AO128" s="88" t="n">
        <v>0</v>
      </c>
      <c r="AP128" s="88" t="n">
        <v>0</v>
      </c>
      <c r="AQ128" s="89" t="n">
        <v>1</v>
      </c>
      <c r="AR128" s="89" t="n">
        <v>0</v>
      </c>
      <c r="AS128" s="89" t="n">
        <v>0</v>
      </c>
      <c r="AT128" s="91" t="n">
        <v>0</v>
      </c>
      <c r="AU128" s="91" t="n">
        <v>0</v>
      </c>
      <c r="AV128" s="91" t="n">
        <v>0</v>
      </c>
      <c r="AW128" s="91" t="n">
        <v>0</v>
      </c>
      <c r="AX128" s="91" t="n">
        <v>0</v>
      </c>
      <c r="AY128" s="91" t="n">
        <v>0</v>
      </c>
      <c r="AZ128" s="88" t="n">
        <v>0</v>
      </c>
      <c r="BA128" s="88" t="n">
        <v>0</v>
      </c>
      <c r="BB128" s="88" t="n">
        <v>0</v>
      </c>
      <c r="BC128" s="88" t="n">
        <v>0</v>
      </c>
      <c r="BD128" s="91" t="n">
        <v>0</v>
      </c>
      <c r="BE128" s="91" t="n">
        <v>0</v>
      </c>
      <c r="BF128" s="89" t="inlineStr">
        <is>
          <t>-</t>
        </is>
      </c>
      <c r="BG128" s="89" t="inlineStr">
        <is>
          <t>-</t>
        </is>
      </c>
      <c r="BH128" s="89" t="inlineStr">
        <is>
          <t>-</t>
        </is>
      </c>
    </row>
    <row r="129" ht="19.55" customHeight="1">
      <c r="A129" s="92" t="n">
        <v>126</v>
      </c>
      <c r="B129" s="87" t="inlineStr">
        <is>
          <t>全国</t>
        </is>
      </c>
      <c r="C129" s="93" t="n">
        <v>45925</v>
      </c>
      <c r="D129" s="87" t="inlineStr">
        <is>
          <t>天籁·鸿蒙座舱</t>
        </is>
      </c>
      <c r="E129" s="87" t="n">
        <v>100</v>
      </c>
      <c r="F129" s="87" t="n">
        <v>94</v>
      </c>
      <c r="G129" s="88" t="n">
        <v>0.9399999999999999</v>
      </c>
      <c r="H129" s="87" t="n">
        <v>66</v>
      </c>
      <c r="I129" s="89" t="n">
        <v>0.66</v>
      </c>
      <c r="J129" s="87" t="n">
        <v>49</v>
      </c>
      <c r="K129" s="87" t="n">
        <v>48</v>
      </c>
      <c r="L129" s="88" t="n">
        <v>0.98</v>
      </c>
      <c r="M129" s="87" t="n">
        <v>135</v>
      </c>
      <c r="N129" s="87" t="n">
        <v>84</v>
      </c>
      <c r="O129" s="87" t="n">
        <v>133</v>
      </c>
      <c r="P129" s="88" t="n">
        <v>0.9851851851851852</v>
      </c>
      <c r="Q129" s="87" t="n">
        <v>0</v>
      </c>
      <c r="R129" s="87" t="n">
        <v>0</v>
      </c>
      <c r="S129" s="87" t="n">
        <v>0</v>
      </c>
      <c r="T129" s="88" t="n">
        <v>0</v>
      </c>
      <c r="U129" s="87" t="n">
        <v>0</v>
      </c>
      <c r="V129" s="88" t="n">
        <v>0</v>
      </c>
      <c r="W129" s="87" t="n">
        <v>0</v>
      </c>
      <c r="X129" s="88" t="n">
        <v>0</v>
      </c>
      <c r="Y129" s="87" t="n">
        <v>0</v>
      </c>
      <c r="Z129" s="90" t="n">
        <v>0</v>
      </c>
      <c r="AA129" s="87" t="n">
        <v>0</v>
      </c>
      <c r="AB129" s="88" t="n">
        <v>0</v>
      </c>
      <c r="AC129" s="87" t="n">
        <v>32</v>
      </c>
      <c r="AD129" s="88" t="n">
        <v>0.32</v>
      </c>
      <c r="AE129" s="87" t="n">
        <v>6</v>
      </c>
      <c r="AF129" s="88" t="n">
        <v>0.1875</v>
      </c>
      <c r="AG129" s="87" t="n">
        <v>25</v>
      </c>
      <c r="AH129" s="88" t="n">
        <v>0.78125</v>
      </c>
      <c r="AI129" s="91" t="n">
        <v>0</v>
      </c>
      <c r="AJ129" s="88" t="n">
        <v>0</v>
      </c>
      <c r="AK129" s="91" t="n">
        <v>0</v>
      </c>
      <c r="AL129" s="88" t="n">
        <v>0</v>
      </c>
      <c r="AM129" s="91" t="n">
        <v>0</v>
      </c>
      <c r="AN129" s="91" t="n">
        <v>0</v>
      </c>
      <c r="AO129" s="88" t="n">
        <v>0</v>
      </c>
      <c r="AP129" s="88" t="n">
        <v>0</v>
      </c>
      <c r="AQ129" s="89" t="n">
        <v>1</v>
      </c>
      <c r="AR129" s="89" t="n">
        <v>0</v>
      </c>
      <c r="AS129" s="89" t="n">
        <v>0</v>
      </c>
      <c r="AT129" s="91" t="n">
        <v>0</v>
      </c>
      <c r="AU129" s="91" t="n">
        <v>0</v>
      </c>
      <c r="AV129" s="91" t="n">
        <v>0</v>
      </c>
      <c r="AW129" s="91" t="n">
        <v>0</v>
      </c>
      <c r="AX129" s="91" t="n">
        <v>0</v>
      </c>
      <c r="AY129" s="91" t="n">
        <v>0</v>
      </c>
      <c r="AZ129" s="88" t="n">
        <v>0</v>
      </c>
      <c r="BA129" s="88" t="n">
        <v>0</v>
      </c>
      <c r="BB129" s="88" t="n">
        <v>0</v>
      </c>
      <c r="BC129" s="88" t="n">
        <v>0</v>
      </c>
      <c r="BD129" s="91" t="n">
        <v>0</v>
      </c>
      <c r="BE129" s="91" t="n">
        <v>0</v>
      </c>
      <c r="BF129" s="89" t="inlineStr">
        <is>
          <t>-</t>
        </is>
      </c>
      <c r="BG129" s="89" t="inlineStr">
        <is>
          <t>-</t>
        </is>
      </c>
      <c r="BH129" s="89" t="inlineStr">
        <is>
          <t>-</t>
        </is>
      </c>
    </row>
    <row r="130" ht="19.55" customHeight="1">
      <c r="A130" s="92" t="n">
        <v>127</v>
      </c>
      <c r="B130" s="87" t="inlineStr">
        <is>
          <t>全国</t>
        </is>
      </c>
      <c r="C130" s="93" t="n">
        <v>45926</v>
      </c>
      <c r="D130" s="87" t="n"/>
      <c r="E130" s="87" t="n">
        <v>0</v>
      </c>
      <c r="F130" s="87" t="n">
        <v>0</v>
      </c>
      <c r="G130" s="88" t="n">
        <v>0</v>
      </c>
      <c r="H130" s="87" t="n">
        <v>0</v>
      </c>
      <c r="I130" s="89" t="n">
        <v>0</v>
      </c>
      <c r="J130" s="87" t="n">
        <v>0</v>
      </c>
      <c r="K130" s="87" t="n">
        <v>0</v>
      </c>
      <c r="L130" s="88" t="n">
        <v>0</v>
      </c>
      <c r="M130" s="87" t="n">
        <v>2</v>
      </c>
      <c r="N130" s="87" t="n">
        <v>0</v>
      </c>
      <c r="O130" s="87" t="n">
        <v>2</v>
      </c>
      <c r="P130" s="88" t="n">
        <v>1</v>
      </c>
      <c r="Q130" s="87" t="n">
        <v>0</v>
      </c>
      <c r="R130" s="87" t="n">
        <v>0</v>
      </c>
      <c r="S130" s="87" t="n">
        <v>0</v>
      </c>
      <c r="T130" s="88" t="n">
        <v>0</v>
      </c>
      <c r="U130" s="87" t="n">
        <v>0</v>
      </c>
      <c r="V130" s="88" t="n">
        <v>0</v>
      </c>
      <c r="W130" s="87" t="n">
        <v>0</v>
      </c>
      <c r="X130" s="88" t="n">
        <v>0</v>
      </c>
      <c r="Y130" s="87" t="n">
        <v>0</v>
      </c>
      <c r="Z130" s="90" t="n">
        <v>0</v>
      </c>
      <c r="AA130" s="87" t="n">
        <v>0</v>
      </c>
      <c r="AB130" s="88" t="n">
        <v>0</v>
      </c>
      <c r="AC130" s="87" t="n">
        <v>0</v>
      </c>
      <c r="AD130" s="88" t="n">
        <v>0</v>
      </c>
      <c r="AE130" s="87" t="n">
        <v>0</v>
      </c>
      <c r="AF130" s="88" t="n">
        <v>0</v>
      </c>
      <c r="AG130" s="87" t="n">
        <v>0</v>
      </c>
      <c r="AH130" s="88" t="n">
        <v>0</v>
      </c>
      <c r="AI130" s="91" t="n">
        <v>0</v>
      </c>
      <c r="AJ130" s="88" t="n">
        <v>0</v>
      </c>
      <c r="AK130" s="91" t="n">
        <v>0</v>
      </c>
      <c r="AL130" s="88" t="n">
        <v>0</v>
      </c>
      <c r="AM130" s="91" t="n">
        <v>0</v>
      </c>
      <c r="AN130" s="91" t="n">
        <v>0</v>
      </c>
      <c r="AO130" s="88" t="n">
        <v>0</v>
      </c>
      <c r="AP130" s="88" t="n">
        <v>0</v>
      </c>
      <c r="AQ130" s="89" t="n"/>
      <c r="AR130" s="89" t="inlineStr">
        <is>
          <t>0.0%</t>
        </is>
      </c>
      <c r="AS130" s="89" t="inlineStr">
        <is>
          <t>0.0%</t>
        </is>
      </c>
      <c r="AT130" s="91" t="n">
        <v>0</v>
      </c>
      <c r="AU130" s="91" t="n">
        <v>0</v>
      </c>
      <c r="AV130" s="91" t="n">
        <v>0</v>
      </c>
      <c r="AW130" s="91" t="n">
        <v>0</v>
      </c>
      <c r="AX130" s="91" t="n">
        <v>0</v>
      </c>
      <c r="AY130" s="91" t="n">
        <v>0</v>
      </c>
      <c r="AZ130" s="88" t="n">
        <v>0</v>
      </c>
      <c r="BA130" s="88" t="n">
        <v>0</v>
      </c>
      <c r="BB130" s="88" t="n">
        <v>0</v>
      </c>
      <c r="BC130" s="88" t="n">
        <v>0</v>
      </c>
      <c r="BD130" s="91" t="n">
        <v>0</v>
      </c>
      <c r="BE130" s="91" t="n">
        <v>1</v>
      </c>
      <c r="BF130" s="89" t="inlineStr">
        <is>
          <t>-</t>
        </is>
      </c>
      <c r="BG130" s="89" t="inlineStr">
        <is>
          <t>-</t>
        </is>
      </c>
      <c r="BH130" s="89" t="n">
        <v>0.9482758620689655</v>
      </c>
    </row>
    <row r="131" ht="19.55" customHeight="1">
      <c r="A131" s="92" t="n">
        <v>128</v>
      </c>
      <c r="B131" s="87" t="inlineStr">
        <is>
          <t>全国</t>
        </is>
      </c>
      <c r="C131" s="93" t="n">
        <v>45926</v>
      </c>
      <c r="D131" s="87" t="inlineStr">
        <is>
          <t>2026款探陆</t>
        </is>
      </c>
      <c r="E131" s="87" t="n">
        <v>2</v>
      </c>
      <c r="F131" s="87" t="n">
        <v>2</v>
      </c>
      <c r="G131" s="88" t="n">
        <v>1</v>
      </c>
      <c r="H131" s="87" t="n">
        <v>0</v>
      </c>
      <c r="I131" s="89" t="n">
        <v>0</v>
      </c>
      <c r="J131" s="87" t="n">
        <v>0</v>
      </c>
      <c r="K131" s="87" t="n">
        <v>0</v>
      </c>
      <c r="L131" s="88" t="n">
        <v>0</v>
      </c>
      <c r="M131" s="87" t="n">
        <v>0</v>
      </c>
      <c r="N131" s="87" t="n">
        <v>0</v>
      </c>
      <c r="O131" s="87" t="n">
        <v>0</v>
      </c>
      <c r="P131" s="88" t="n">
        <v>0</v>
      </c>
      <c r="Q131" s="87" t="n">
        <v>0</v>
      </c>
      <c r="R131" s="87" t="n">
        <v>0</v>
      </c>
      <c r="S131" s="87" t="n">
        <v>0</v>
      </c>
      <c r="T131" s="88" t="n">
        <v>0</v>
      </c>
      <c r="U131" s="87" t="n">
        <v>0</v>
      </c>
      <c r="V131" s="88" t="n">
        <v>0</v>
      </c>
      <c r="W131" s="87" t="n">
        <v>0</v>
      </c>
      <c r="X131" s="88" t="n">
        <v>0</v>
      </c>
      <c r="Y131" s="87" t="n">
        <v>0</v>
      </c>
      <c r="Z131" s="90" t="n">
        <v>0</v>
      </c>
      <c r="AA131" s="87" t="n">
        <v>0</v>
      </c>
      <c r="AB131" s="88" t="n">
        <v>0</v>
      </c>
      <c r="AC131" s="87" t="n">
        <v>0</v>
      </c>
      <c r="AD131" s="88" t="n">
        <v>0</v>
      </c>
      <c r="AE131" s="87" t="n">
        <v>0</v>
      </c>
      <c r="AF131" s="88" t="n">
        <v>0</v>
      </c>
      <c r="AG131" s="87" t="n">
        <v>0</v>
      </c>
      <c r="AH131" s="88" t="n">
        <v>0</v>
      </c>
      <c r="AI131" s="91" t="n">
        <v>0</v>
      </c>
      <c r="AJ131" s="88" t="n">
        <v>0</v>
      </c>
      <c r="AK131" s="91" t="n">
        <v>0</v>
      </c>
      <c r="AL131" s="88" t="n">
        <v>0</v>
      </c>
      <c r="AM131" s="91" t="n">
        <v>0</v>
      </c>
      <c r="AN131" s="91" t="n">
        <v>0</v>
      </c>
      <c r="AO131" s="88" t="n">
        <v>0</v>
      </c>
      <c r="AP131" s="88" t="n">
        <v>0</v>
      </c>
      <c r="AQ131" s="89" t="n"/>
      <c r="AR131" s="89" t="inlineStr">
        <is>
          <t>0.0%</t>
        </is>
      </c>
      <c r="AS131" s="89" t="inlineStr">
        <is>
          <t>0.0%</t>
        </is>
      </c>
      <c r="AT131" s="91" t="n">
        <v>0</v>
      </c>
      <c r="AU131" s="91" t="n">
        <v>0</v>
      </c>
      <c r="AV131" s="91" t="n">
        <v>0</v>
      </c>
      <c r="AW131" s="91" t="n">
        <v>0</v>
      </c>
      <c r="AX131" s="91" t="n">
        <v>0</v>
      </c>
      <c r="AY131" s="91" t="n">
        <v>0</v>
      </c>
      <c r="AZ131" s="88" t="n">
        <v>0</v>
      </c>
      <c r="BA131" s="88" t="n">
        <v>0</v>
      </c>
      <c r="BB131" s="88" t="n">
        <v>0</v>
      </c>
      <c r="BC131" s="88" t="n">
        <v>0</v>
      </c>
      <c r="BD131" s="91" t="n">
        <v>0</v>
      </c>
      <c r="BE131" s="91" t="n">
        <v>0</v>
      </c>
      <c r="BF131" s="89" t="inlineStr">
        <is>
          <t>-</t>
        </is>
      </c>
      <c r="BG131" s="89" t="inlineStr">
        <is>
          <t>-</t>
        </is>
      </c>
      <c r="BH131" s="89" t="inlineStr">
        <is>
          <t>-</t>
        </is>
      </c>
    </row>
    <row r="132" ht="19.55" customHeight="1">
      <c r="A132" s="92" t="n">
        <v>129</v>
      </c>
      <c r="B132" s="87" t="inlineStr">
        <is>
          <t>全国</t>
        </is>
      </c>
      <c r="C132" s="93" t="n">
        <v>45926</v>
      </c>
      <c r="D132" s="87" t="inlineStr">
        <is>
          <t>N6</t>
        </is>
      </c>
      <c r="E132" s="87" t="n">
        <v>102</v>
      </c>
      <c r="F132" s="87" t="n">
        <v>99</v>
      </c>
      <c r="G132" s="88" t="n">
        <v>0.9705882352941176</v>
      </c>
      <c r="H132" s="87" t="n">
        <v>59</v>
      </c>
      <c r="I132" s="89" t="n">
        <v>0.5784313725490197</v>
      </c>
      <c r="J132" s="87" t="n">
        <v>60</v>
      </c>
      <c r="K132" s="87" t="n">
        <v>60</v>
      </c>
      <c r="L132" s="88" t="n">
        <v>1</v>
      </c>
      <c r="M132" s="87" t="n">
        <v>186</v>
      </c>
      <c r="N132" s="87" t="n">
        <v>146</v>
      </c>
      <c r="O132" s="87" t="n">
        <v>181</v>
      </c>
      <c r="P132" s="88" t="n">
        <v>0.9731182795698925</v>
      </c>
      <c r="Q132" s="87" t="n">
        <v>0</v>
      </c>
      <c r="R132" s="87" t="n">
        <v>0</v>
      </c>
      <c r="S132" s="87" t="n">
        <v>0</v>
      </c>
      <c r="T132" s="88" t="n">
        <v>0</v>
      </c>
      <c r="U132" s="87" t="n">
        <v>0</v>
      </c>
      <c r="V132" s="88" t="n">
        <v>0</v>
      </c>
      <c r="W132" s="87" t="n">
        <v>0</v>
      </c>
      <c r="X132" s="88" t="n">
        <v>0</v>
      </c>
      <c r="Y132" s="87" t="n">
        <v>0</v>
      </c>
      <c r="Z132" s="90" t="n">
        <v>0</v>
      </c>
      <c r="AA132" s="87" t="n">
        <v>0</v>
      </c>
      <c r="AB132" s="88" t="n">
        <v>0</v>
      </c>
      <c r="AC132" s="87" t="n">
        <v>29</v>
      </c>
      <c r="AD132" s="88" t="n">
        <v>0.2843137254901961</v>
      </c>
      <c r="AE132" s="87" t="n">
        <v>5</v>
      </c>
      <c r="AF132" s="88" t="n">
        <v>0.1724137931034483</v>
      </c>
      <c r="AG132" s="87" t="n">
        <v>22</v>
      </c>
      <c r="AH132" s="88" t="n">
        <v>0.7586206896551724</v>
      </c>
      <c r="AI132" s="91" t="n">
        <v>0</v>
      </c>
      <c r="AJ132" s="88" t="n">
        <v>0</v>
      </c>
      <c r="AK132" s="91" t="n">
        <v>0</v>
      </c>
      <c r="AL132" s="88" t="n">
        <v>0</v>
      </c>
      <c r="AM132" s="91" t="n">
        <v>0</v>
      </c>
      <c r="AN132" s="91" t="n">
        <v>0</v>
      </c>
      <c r="AO132" s="88" t="n">
        <v>0</v>
      </c>
      <c r="AP132" s="88" t="n">
        <v>0</v>
      </c>
      <c r="AQ132" s="89" t="n">
        <v>0.75</v>
      </c>
      <c r="AR132" s="89" t="n">
        <v>0</v>
      </c>
      <c r="AS132" s="89" t="n">
        <v>0</v>
      </c>
      <c r="AT132" s="91" t="n">
        <v>0</v>
      </c>
      <c r="AU132" s="91" t="n">
        <v>0</v>
      </c>
      <c r="AV132" s="91" t="n">
        <v>0</v>
      </c>
      <c r="AW132" s="91" t="n">
        <v>0</v>
      </c>
      <c r="AX132" s="91" t="n">
        <v>0</v>
      </c>
      <c r="AY132" s="91" t="n">
        <v>0</v>
      </c>
      <c r="AZ132" s="88" t="n">
        <v>0</v>
      </c>
      <c r="BA132" s="88" t="n">
        <v>0</v>
      </c>
      <c r="BB132" s="88" t="n">
        <v>0</v>
      </c>
      <c r="BC132" s="88" t="n">
        <v>0</v>
      </c>
      <c r="BD132" s="91" t="n">
        <v>0</v>
      </c>
      <c r="BE132" s="91" t="n">
        <v>0</v>
      </c>
      <c r="BF132" s="89" t="inlineStr">
        <is>
          <t>-</t>
        </is>
      </c>
      <c r="BG132" s="89" t="inlineStr">
        <is>
          <t>-</t>
        </is>
      </c>
      <c r="BH132" s="89" t="inlineStr">
        <is>
          <t>-</t>
        </is>
      </c>
    </row>
    <row r="133" ht="19.55" customHeight="1">
      <c r="A133" s="92" t="n">
        <v>130</v>
      </c>
      <c r="B133" s="87" t="inlineStr">
        <is>
          <t>全国</t>
        </is>
      </c>
      <c r="C133" s="93" t="n">
        <v>45926</v>
      </c>
      <c r="D133" s="87" t="inlineStr">
        <is>
          <t>N7</t>
        </is>
      </c>
      <c r="E133" s="87" t="n">
        <v>6915</v>
      </c>
      <c r="F133" s="87" t="n">
        <v>5521</v>
      </c>
      <c r="G133" s="88" t="n">
        <v>0.7984092552422271</v>
      </c>
      <c r="H133" s="87" t="n">
        <v>3666</v>
      </c>
      <c r="I133" s="89" t="n">
        <v>0.5301518438177875</v>
      </c>
      <c r="J133" s="87" t="n">
        <v>5631</v>
      </c>
      <c r="K133" s="87" t="n">
        <v>5478</v>
      </c>
      <c r="L133" s="88" t="n">
        <v>0.973</v>
      </c>
      <c r="M133" s="87" t="n">
        <v>26060</v>
      </c>
      <c r="N133" s="87" t="n">
        <v>29251</v>
      </c>
      <c r="O133" s="87" t="n">
        <v>25621</v>
      </c>
      <c r="P133" s="88" t="n">
        <v>0.9831542594013815</v>
      </c>
      <c r="Q133" s="87" t="n">
        <v>35</v>
      </c>
      <c r="R133" s="87" t="n">
        <v>0</v>
      </c>
      <c r="S133" s="87" t="n">
        <v>0</v>
      </c>
      <c r="T133" s="88" t="n">
        <v>0</v>
      </c>
      <c r="U133" s="87" t="n">
        <v>0</v>
      </c>
      <c r="V133" s="88" t="n">
        <v>0</v>
      </c>
      <c r="W133" s="87" t="n">
        <v>1010</v>
      </c>
      <c r="X133" s="88" t="n">
        <v>0.146059291395517</v>
      </c>
      <c r="Y133" s="87" t="n">
        <v>1175</v>
      </c>
      <c r="Z133" s="90" t="n">
        <v>0.1699204627621113</v>
      </c>
      <c r="AA133" s="87" t="n">
        <v>1</v>
      </c>
      <c r="AB133" s="88" t="n">
        <v>0.0001446131597975416</v>
      </c>
      <c r="AC133" s="87" t="n">
        <v>1175</v>
      </c>
      <c r="AD133" s="88" t="n">
        <v>0.1699204627621113</v>
      </c>
      <c r="AE133" s="87" t="n">
        <v>87</v>
      </c>
      <c r="AF133" s="88" t="n">
        <v>0.07404255319148936</v>
      </c>
      <c r="AG133" s="87" t="n">
        <v>506</v>
      </c>
      <c r="AH133" s="88" t="n">
        <v>0.4306382978723404</v>
      </c>
      <c r="AI133" s="91" t="n">
        <v>1134</v>
      </c>
      <c r="AJ133" s="88" t="n">
        <v>0.1639913232104122</v>
      </c>
      <c r="AK133" s="91" t="n">
        <v>22</v>
      </c>
      <c r="AL133" s="88" t="n">
        <v>0.8112874779541446</v>
      </c>
      <c r="AM133" s="91" t="n">
        <v>1106</v>
      </c>
      <c r="AN133" s="91" t="n">
        <v>920</v>
      </c>
      <c r="AO133" s="88" t="n">
        <v>0.1330441070137383</v>
      </c>
      <c r="AP133" s="88" t="n">
        <v>0.7829787234042553</v>
      </c>
      <c r="AQ133" s="89" t="n">
        <v>0.9789251844046365</v>
      </c>
      <c r="AR133" s="89" t="n">
        <v>0.01512455516014235</v>
      </c>
      <c r="AS133" s="89" t="n">
        <v>0.01512455516014235</v>
      </c>
      <c r="AT133" s="91" t="n">
        <v>0</v>
      </c>
      <c r="AU133" s="91" t="n">
        <v>0</v>
      </c>
      <c r="AV133" s="91" t="n">
        <v>147</v>
      </c>
      <c r="AW133" s="91" t="n">
        <v>110</v>
      </c>
      <c r="AX133" s="91" t="n">
        <v>108</v>
      </c>
      <c r="AY133" s="91" t="n">
        <v>262</v>
      </c>
      <c r="AZ133" s="88" t="n">
        <v>0.01590744757772957</v>
      </c>
      <c r="BA133" s="88" t="n">
        <v>0.01561822125813449</v>
      </c>
      <c r="BB133" s="88" t="n">
        <v>0.03788864786695589</v>
      </c>
      <c r="BC133" s="88" t="n">
        <v>0.1173913043478261</v>
      </c>
      <c r="BD133" s="91" t="n">
        <v>0</v>
      </c>
      <c r="BE133" s="91" t="n">
        <v>0</v>
      </c>
      <c r="BF133" s="89" t="n">
        <v>0.9814814814814815</v>
      </c>
      <c r="BG133" s="89" t="n">
        <v>1</v>
      </c>
      <c r="BH133" s="89" t="inlineStr">
        <is>
          <t>-</t>
        </is>
      </c>
    </row>
    <row r="134" ht="19.55" customHeight="1">
      <c r="A134" s="92" t="n">
        <v>131</v>
      </c>
      <c r="B134" s="87" t="inlineStr">
        <is>
          <t>全国</t>
        </is>
      </c>
      <c r="C134" s="93" t="n">
        <v>45926</v>
      </c>
      <c r="D134" s="87" t="inlineStr">
        <is>
          <t>NX8</t>
        </is>
      </c>
      <c r="E134" s="87" t="n">
        <v>205</v>
      </c>
      <c r="F134" s="87" t="n">
        <v>186</v>
      </c>
      <c r="G134" s="88" t="n">
        <v>0.9073170731707317</v>
      </c>
      <c r="H134" s="87" t="n">
        <v>77</v>
      </c>
      <c r="I134" s="89" t="n">
        <v>0.375609756097561</v>
      </c>
      <c r="J134" s="87" t="n">
        <v>49</v>
      </c>
      <c r="K134" s="87" t="n">
        <v>49</v>
      </c>
      <c r="L134" s="88" t="n">
        <v>1</v>
      </c>
      <c r="M134" s="87" t="n">
        <v>104</v>
      </c>
      <c r="N134" s="87" t="n">
        <v>29</v>
      </c>
      <c r="O134" s="87" t="n">
        <v>104</v>
      </c>
      <c r="P134" s="88" t="n">
        <v>1</v>
      </c>
      <c r="Q134" s="87" t="n">
        <v>0</v>
      </c>
      <c r="R134" s="87" t="n">
        <v>0</v>
      </c>
      <c r="S134" s="87" t="n">
        <v>0</v>
      </c>
      <c r="T134" s="88" t="n">
        <v>0</v>
      </c>
      <c r="U134" s="87" t="n">
        <v>0</v>
      </c>
      <c r="V134" s="88" t="n">
        <v>0</v>
      </c>
      <c r="W134" s="87" t="n">
        <v>0</v>
      </c>
      <c r="X134" s="88" t="n">
        <v>0</v>
      </c>
      <c r="Y134" s="87" t="n">
        <v>0</v>
      </c>
      <c r="Z134" s="90" t="n">
        <v>0</v>
      </c>
      <c r="AA134" s="87" t="n">
        <v>0</v>
      </c>
      <c r="AB134" s="88" t="n">
        <v>0</v>
      </c>
      <c r="AC134" s="87" t="n">
        <v>72</v>
      </c>
      <c r="AD134" s="88" t="n">
        <v>0.3512195121951219</v>
      </c>
      <c r="AE134" s="87" t="n">
        <v>10</v>
      </c>
      <c r="AF134" s="88" t="n">
        <v>0.1388888888888889</v>
      </c>
      <c r="AG134" s="87" t="n">
        <v>51</v>
      </c>
      <c r="AH134" s="88" t="n">
        <v>0.7083333333333334</v>
      </c>
      <c r="AI134" s="91" t="n">
        <v>0</v>
      </c>
      <c r="AJ134" s="88" t="n">
        <v>0</v>
      </c>
      <c r="AK134" s="91" t="n">
        <v>0</v>
      </c>
      <c r="AL134" s="88" t="n">
        <v>0</v>
      </c>
      <c r="AM134" s="91" t="n">
        <v>0</v>
      </c>
      <c r="AN134" s="91" t="n">
        <v>0</v>
      </c>
      <c r="AO134" s="88" t="n">
        <v>0</v>
      </c>
      <c r="AP134" s="88" t="n">
        <v>0</v>
      </c>
      <c r="AQ134" s="89" t="n">
        <v>1</v>
      </c>
      <c r="AR134" s="89" t="n">
        <v>0</v>
      </c>
      <c r="AS134" s="89" t="n">
        <v>0</v>
      </c>
      <c r="AT134" s="91" t="n">
        <v>0</v>
      </c>
      <c r="AU134" s="91" t="n">
        <v>0</v>
      </c>
      <c r="AV134" s="91" t="n">
        <v>0</v>
      </c>
      <c r="AW134" s="91" t="n">
        <v>0</v>
      </c>
      <c r="AX134" s="91" t="n">
        <v>0</v>
      </c>
      <c r="AY134" s="91" t="n">
        <v>0</v>
      </c>
      <c r="AZ134" s="88" t="n">
        <v>0</v>
      </c>
      <c r="BA134" s="88" t="n">
        <v>0</v>
      </c>
      <c r="BB134" s="88" t="n">
        <v>0</v>
      </c>
      <c r="BC134" s="88" t="n">
        <v>0</v>
      </c>
      <c r="BD134" s="91" t="n">
        <v>0</v>
      </c>
      <c r="BE134" s="91" t="n">
        <v>0</v>
      </c>
      <c r="BF134" s="89" t="inlineStr">
        <is>
          <t>-</t>
        </is>
      </c>
      <c r="BG134" s="89" t="inlineStr">
        <is>
          <t>-</t>
        </is>
      </c>
      <c r="BH134" s="89" t="inlineStr">
        <is>
          <t>-</t>
        </is>
      </c>
    </row>
    <row r="135" ht="19.55" customHeight="1">
      <c r="A135" s="92" t="n">
        <v>132</v>
      </c>
      <c r="B135" s="87" t="inlineStr">
        <is>
          <t>全国</t>
        </is>
      </c>
      <c r="C135" s="93" t="n">
        <v>45926</v>
      </c>
      <c r="D135" s="87" t="inlineStr">
        <is>
          <t>天籁·鸿蒙座舱</t>
        </is>
      </c>
      <c r="E135" s="87" t="n">
        <v>108</v>
      </c>
      <c r="F135" s="87" t="n">
        <v>101</v>
      </c>
      <c r="G135" s="88" t="n">
        <v>0.9351851851851852</v>
      </c>
      <c r="H135" s="87" t="n">
        <v>72</v>
      </c>
      <c r="I135" s="89" t="n">
        <v>0.6666666666666666</v>
      </c>
      <c r="J135" s="87" t="n">
        <v>69</v>
      </c>
      <c r="K135" s="87" t="n">
        <v>68</v>
      </c>
      <c r="L135" s="88" t="n">
        <v>0.986</v>
      </c>
      <c r="M135" s="87" t="n">
        <v>171</v>
      </c>
      <c r="N135" s="87" t="n">
        <v>100</v>
      </c>
      <c r="O135" s="87" t="n">
        <v>168</v>
      </c>
      <c r="P135" s="88" t="n">
        <v>0.9824561403508771</v>
      </c>
      <c r="Q135" s="87" t="n">
        <v>0</v>
      </c>
      <c r="R135" s="87" t="n">
        <v>0</v>
      </c>
      <c r="S135" s="87" t="n">
        <v>0</v>
      </c>
      <c r="T135" s="88" t="n">
        <v>0</v>
      </c>
      <c r="U135" s="87" t="n">
        <v>0</v>
      </c>
      <c r="V135" s="88" t="n">
        <v>0</v>
      </c>
      <c r="W135" s="87" t="n">
        <v>0</v>
      </c>
      <c r="X135" s="88" t="n">
        <v>0</v>
      </c>
      <c r="Y135" s="87" t="n">
        <v>0</v>
      </c>
      <c r="Z135" s="90" t="n">
        <v>0</v>
      </c>
      <c r="AA135" s="87" t="n">
        <v>0</v>
      </c>
      <c r="AB135" s="88" t="n">
        <v>0</v>
      </c>
      <c r="AC135" s="87" t="n">
        <v>40</v>
      </c>
      <c r="AD135" s="88" t="n">
        <v>0.3703703703703703</v>
      </c>
      <c r="AE135" s="87" t="n">
        <v>5</v>
      </c>
      <c r="AF135" s="88" t="n">
        <v>0.125</v>
      </c>
      <c r="AG135" s="87" t="n">
        <v>26</v>
      </c>
      <c r="AH135" s="88" t="n">
        <v>0.65</v>
      </c>
      <c r="AI135" s="91" t="n">
        <v>0</v>
      </c>
      <c r="AJ135" s="88" t="n">
        <v>0</v>
      </c>
      <c r="AK135" s="91" t="n">
        <v>0</v>
      </c>
      <c r="AL135" s="88" t="n">
        <v>0</v>
      </c>
      <c r="AM135" s="91" t="n">
        <v>0</v>
      </c>
      <c r="AN135" s="91" t="n">
        <v>0</v>
      </c>
      <c r="AO135" s="88" t="n">
        <v>0</v>
      </c>
      <c r="AP135" s="88" t="n">
        <v>0</v>
      </c>
      <c r="AQ135" s="89" t="n">
        <v>1</v>
      </c>
      <c r="AR135" s="89" t="n">
        <v>0</v>
      </c>
      <c r="AS135" s="89" t="n">
        <v>0</v>
      </c>
      <c r="AT135" s="91" t="n">
        <v>0</v>
      </c>
      <c r="AU135" s="91" t="n">
        <v>0</v>
      </c>
      <c r="AV135" s="91" t="n">
        <v>0</v>
      </c>
      <c r="AW135" s="91" t="n">
        <v>0</v>
      </c>
      <c r="AX135" s="91" t="n">
        <v>0</v>
      </c>
      <c r="AY135" s="91" t="n">
        <v>0</v>
      </c>
      <c r="AZ135" s="88" t="n">
        <v>0</v>
      </c>
      <c r="BA135" s="88" t="n">
        <v>0</v>
      </c>
      <c r="BB135" s="88" t="n">
        <v>0</v>
      </c>
      <c r="BC135" s="88" t="n">
        <v>0</v>
      </c>
      <c r="BD135" s="91" t="n">
        <v>0</v>
      </c>
      <c r="BE135" s="91" t="n">
        <v>0</v>
      </c>
      <c r="BF135" s="89" t="inlineStr">
        <is>
          <t>-</t>
        </is>
      </c>
      <c r="BG135" s="89" t="inlineStr">
        <is>
          <t>-</t>
        </is>
      </c>
      <c r="BH135" s="89" t="inlineStr">
        <is>
          <t>-</t>
        </is>
      </c>
    </row>
    <row r="136" ht="19.55" customHeight="1">
      <c r="A136" s="92" t="n">
        <v>133</v>
      </c>
      <c r="B136" s="87" t="inlineStr">
        <is>
          <t>全国</t>
        </is>
      </c>
      <c r="C136" s="93" t="n">
        <v>45927</v>
      </c>
      <c r="D136" s="87" t="n"/>
      <c r="E136" s="87" t="n">
        <v>0</v>
      </c>
      <c r="F136" s="87" t="n">
        <v>0</v>
      </c>
      <c r="G136" s="88" t="n">
        <v>0</v>
      </c>
      <c r="H136" s="87" t="n">
        <v>0</v>
      </c>
      <c r="I136" s="89" t="n">
        <v>0</v>
      </c>
      <c r="J136" s="87" t="n">
        <v>0</v>
      </c>
      <c r="K136" s="87" t="n">
        <v>0</v>
      </c>
      <c r="L136" s="88" t="n">
        <v>0</v>
      </c>
      <c r="M136" s="87" t="n">
        <v>0</v>
      </c>
      <c r="N136" s="87" t="n">
        <v>0</v>
      </c>
      <c r="O136" s="87" t="n">
        <v>0</v>
      </c>
      <c r="P136" s="88" t="n">
        <v>0</v>
      </c>
      <c r="Q136" s="87" t="n">
        <v>0</v>
      </c>
      <c r="R136" s="87" t="n">
        <v>0</v>
      </c>
      <c r="S136" s="87" t="n">
        <v>0</v>
      </c>
      <c r="T136" s="88" t="n">
        <v>0</v>
      </c>
      <c r="U136" s="87" t="n">
        <v>0</v>
      </c>
      <c r="V136" s="88" t="n">
        <v>0</v>
      </c>
      <c r="W136" s="87" t="n">
        <v>0</v>
      </c>
      <c r="X136" s="88" t="n">
        <v>0</v>
      </c>
      <c r="Y136" s="87" t="n">
        <v>0</v>
      </c>
      <c r="Z136" s="90" t="n">
        <v>0</v>
      </c>
      <c r="AA136" s="87" t="n">
        <v>0</v>
      </c>
      <c r="AB136" s="88" t="n">
        <v>0</v>
      </c>
      <c r="AC136" s="87" t="n">
        <v>0</v>
      </c>
      <c r="AD136" s="88" t="n">
        <v>0</v>
      </c>
      <c r="AE136" s="87" t="n">
        <v>0</v>
      </c>
      <c r="AF136" s="88" t="n">
        <v>0</v>
      </c>
      <c r="AG136" s="87" t="n">
        <v>0</v>
      </c>
      <c r="AH136" s="88" t="n">
        <v>0</v>
      </c>
      <c r="AI136" s="91" t="n">
        <v>0</v>
      </c>
      <c r="AJ136" s="88" t="n">
        <v>0</v>
      </c>
      <c r="AK136" s="91" t="n">
        <v>0</v>
      </c>
      <c r="AL136" s="88" t="n">
        <v>0</v>
      </c>
      <c r="AM136" s="91" t="n">
        <v>0</v>
      </c>
      <c r="AN136" s="91" t="n">
        <v>0</v>
      </c>
      <c r="AO136" s="88" t="n">
        <v>0</v>
      </c>
      <c r="AP136" s="88" t="n">
        <v>0</v>
      </c>
      <c r="AQ136" s="89" t="n"/>
      <c r="AR136" s="89" t="inlineStr">
        <is>
          <t>0.0%</t>
        </is>
      </c>
      <c r="AS136" s="89" t="inlineStr">
        <is>
          <t>0.0%</t>
        </is>
      </c>
      <c r="AT136" s="91" t="n">
        <v>0</v>
      </c>
      <c r="AU136" s="91" t="n">
        <v>0</v>
      </c>
      <c r="AV136" s="91" t="n">
        <v>0</v>
      </c>
      <c r="AW136" s="91" t="n">
        <v>0</v>
      </c>
      <c r="AX136" s="91" t="n">
        <v>0</v>
      </c>
      <c r="AY136" s="91" t="n">
        <v>0</v>
      </c>
      <c r="AZ136" s="88" t="n">
        <v>0</v>
      </c>
      <c r="BA136" s="88" t="n">
        <v>0</v>
      </c>
      <c r="BB136" s="88" t="n">
        <v>0</v>
      </c>
      <c r="BC136" s="88" t="n">
        <v>0</v>
      </c>
      <c r="BD136" s="91" t="n">
        <v>0</v>
      </c>
      <c r="BE136" s="91" t="n">
        <v>0</v>
      </c>
      <c r="BF136" s="89" t="inlineStr">
        <is>
          <t>-</t>
        </is>
      </c>
      <c r="BG136" s="89" t="inlineStr">
        <is>
          <t>-</t>
        </is>
      </c>
      <c r="BH136" s="89" t="n">
        <v>0.9898989898989899</v>
      </c>
    </row>
    <row r="137" ht="19.55" customHeight="1">
      <c r="A137" s="92" t="n">
        <v>134</v>
      </c>
      <c r="B137" s="87" t="inlineStr">
        <is>
          <t>全国</t>
        </is>
      </c>
      <c r="C137" s="93" t="n">
        <v>45927</v>
      </c>
      <c r="D137" s="87" t="inlineStr">
        <is>
          <t>2026款探陆</t>
        </is>
      </c>
      <c r="E137" s="87" t="n">
        <v>3</v>
      </c>
      <c r="F137" s="87" t="n">
        <v>2</v>
      </c>
      <c r="G137" s="88" t="n">
        <v>0.6666666666666666</v>
      </c>
      <c r="H137" s="87" t="n">
        <v>0</v>
      </c>
      <c r="I137" s="89" t="n">
        <v>0</v>
      </c>
      <c r="J137" s="87" t="n">
        <v>0</v>
      </c>
      <c r="K137" s="87" t="n">
        <v>0</v>
      </c>
      <c r="L137" s="88" t="n">
        <v>0</v>
      </c>
      <c r="M137" s="87" t="n">
        <v>1</v>
      </c>
      <c r="N137" s="87" t="n">
        <v>0</v>
      </c>
      <c r="O137" s="87" t="n">
        <v>1</v>
      </c>
      <c r="P137" s="88" t="n">
        <v>1</v>
      </c>
      <c r="Q137" s="87" t="n">
        <v>0</v>
      </c>
      <c r="R137" s="87" t="n">
        <v>0</v>
      </c>
      <c r="S137" s="87" t="n">
        <v>0</v>
      </c>
      <c r="T137" s="88" t="n">
        <v>0</v>
      </c>
      <c r="U137" s="87" t="n">
        <v>0</v>
      </c>
      <c r="V137" s="88" t="n">
        <v>0</v>
      </c>
      <c r="W137" s="87" t="n">
        <v>0</v>
      </c>
      <c r="X137" s="88" t="n">
        <v>0</v>
      </c>
      <c r="Y137" s="87" t="n">
        <v>0</v>
      </c>
      <c r="Z137" s="90" t="n">
        <v>0</v>
      </c>
      <c r="AA137" s="87" t="n">
        <v>0</v>
      </c>
      <c r="AB137" s="88" t="n">
        <v>0</v>
      </c>
      <c r="AC137" s="87" t="n">
        <v>1</v>
      </c>
      <c r="AD137" s="88" t="n">
        <v>0.3333333333333333</v>
      </c>
      <c r="AE137" s="87" t="n">
        <v>0</v>
      </c>
      <c r="AF137" s="88" t="n">
        <v>0</v>
      </c>
      <c r="AG137" s="87" t="n">
        <v>1</v>
      </c>
      <c r="AH137" s="88" t="n">
        <v>1</v>
      </c>
      <c r="AI137" s="91" t="n">
        <v>0</v>
      </c>
      <c r="AJ137" s="88" t="n">
        <v>0</v>
      </c>
      <c r="AK137" s="91" t="n">
        <v>0</v>
      </c>
      <c r="AL137" s="88" t="n">
        <v>0</v>
      </c>
      <c r="AM137" s="91" t="n">
        <v>0</v>
      </c>
      <c r="AN137" s="91" t="n">
        <v>0</v>
      </c>
      <c r="AO137" s="88" t="n">
        <v>0</v>
      </c>
      <c r="AP137" s="88" t="n">
        <v>0</v>
      </c>
      <c r="AQ137" s="89" t="n"/>
      <c r="AR137" s="89" t="inlineStr">
        <is>
          <t>0.0%</t>
        </is>
      </c>
      <c r="AS137" s="89" t="inlineStr">
        <is>
          <t>0.0%</t>
        </is>
      </c>
      <c r="AT137" s="91" t="n">
        <v>0</v>
      </c>
      <c r="AU137" s="91" t="n">
        <v>0</v>
      </c>
      <c r="AV137" s="91" t="n">
        <v>0</v>
      </c>
      <c r="AW137" s="91" t="n">
        <v>0</v>
      </c>
      <c r="AX137" s="91" t="n">
        <v>0</v>
      </c>
      <c r="AY137" s="91" t="n">
        <v>0</v>
      </c>
      <c r="AZ137" s="88" t="n">
        <v>0</v>
      </c>
      <c r="BA137" s="88" t="n">
        <v>0</v>
      </c>
      <c r="BB137" s="88" t="n">
        <v>0</v>
      </c>
      <c r="BC137" s="88" t="n">
        <v>0</v>
      </c>
      <c r="BD137" s="91" t="n">
        <v>0</v>
      </c>
      <c r="BE137" s="91" t="n">
        <v>0</v>
      </c>
      <c r="BF137" s="89" t="inlineStr">
        <is>
          <t>-</t>
        </is>
      </c>
      <c r="BG137" s="89" t="inlineStr">
        <is>
          <t>-</t>
        </is>
      </c>
      <c r="BH137" s="89" t="inlineStr">
        <is>
          <t>-</t>
        </is>
      </c>
    </row>
    <row r="138" ht="19.55" customHeight="1">
      <c r="A138" s="92" t="n">
        <v>135</v>
      </c>
      <c r="B138" s="87" t="inlineStr">
        <is>
          <t>全国</t>
        </is>
      </c>
      <c r="C138" s="93" t="n">
        <v>45927</v>
      </c>
      <c r="D138" s="87" t="inlineStr">
        <is>
          <t>N6</t>
        </is>
      </c>
      <c r="E138" s="87" t="n">
        <v>126</v>
      </c>
      <c r="F138" s="87" t="n">
        <v>117</v>
      </c>
      <c r="G138" s="88" t="n">
        <v>0.9285714285714286</v>
      </c>
      <c r="H138" s="87" t="n">
        <v>66</v>
      </c>
      <c r="I138" s="89" t="n">
        <v>0.5238095238095238</v>
      </c>
      <c r="J138" s="87" t="n">
        <v>71</v>
      </c>
      <c r="K138" s="87" t="n">
        <v>69</v>
      </c>
      <c r="L138" s="88" t="n">
        <v>0.972</v>
      </c>
      <c r="M138" s="87" t="n">
        <v>233</v>
      </c>
      <c r="N138" s="87" t="n">
        <v>166</v>
      </c>
      <c r="O138" s="87" t="n">
        <v>228</v>
      </c>
      <c r="P138" s="88" t="n">
        <v>0.9785407725321889</v>
      </c>
      <c r="Q138" s="87" t="n">
        <v>0</v>
      </c>
      <c r="R138" s="87" t="n">
        <v>0</v>
      </c>
      <c r="S138" s="87" t="n">
        <v>0</v>
      </c>
      <c r="T138" s="88" t="n">
        <v>0</v>
      </c>
      <c r="U138" s="87" t="n">
        <v>0</v>
      </c>
      <c r="V138" s="88" t="n">
        <v>0</v>
      </c>
      <c r="W138" s="87" t="n">
        <v>0</v>
      </c>
      <c r="X138" s="88" t="n">
        <v>0</v>
      </c>
      <c r="Y138" s="87" t="n">
        <v>0</v>
      </c>
      <c r="Z138" s="90" t="n">
        <v>0</v>
      </c>
      <c r="AA138" s="87" t="n">
        <v>0</v>
      </c>
      <c r="AB138" s="88" t="n">
        <v>0</v>
      </c>
      <c r="AC138" s="87" t="n">
        <v>48</v>
      </c>
      <c r="AD138" s="88" t="n">
        <v>0.3809523809523809</v>
      </c>
      <c r="AE138" s="87" t="n">
        <v>8</v>
      </c>
      <c r="AF138" s="88" t="n">
        <v>0.1666666666666667</v>
      </c>
      <c r="AG138" s="87" t="n">
        <v>32</v>
      </c>
      <c r="AH138" s="88" t="n">
        <v>0.6666666666666666</v>
      </c>
      <c r="AI138" s="91" t="n">
        <v>0</v>
      </c>
      <c r="AJ138" s="88" t="n">
        <v>0</v>
      </c>
      <c r="AK138" s="91" t="n">
        <v>0</v>
      </c>
      <c r="AL138" s="88" t="n">
        <v>0</v>
      </c>
      <c r="AM138" s="91" t="n">
        <v>0</v>
      </c>
      <c r="AN138" s="91" t="n">
        <v>0</v>
      </c>
      <c r="AO138" s="88" t="n">
        <v>0</v>
      </c>
      <c r="AP138" s="88" t="n">
        <v>0</v>
      </c>
      <c r="AQ138" s="89" t="n">
        <v>0.8888888888888888</v>
      </c>
      <c r="AR138" s="89" t="n">
        <v>0</v>
      </c>
      <c r="AS138" s="89" t="n">
        <v>0</v>
      </c>
      <c r="AT138" s="91" t="n">
        <v>0</v>
      </c>
      <c r="AU138" s="91" t="n">
        <v>0</v>
      </c>
      <c r="AV138" s="91" t="n">
        <v>0</v>
      </c>
      <c r="AW138" s="91" t="n">
        <v>0</v>
      </c>
      <c r="AX138" s="91" t="n">
        <v>0</v>
      </c>
      <c r="AY138" s="91" t="n">
        <v>0</v>
      </c>
      <c r="AZ138" s="88" t="n">
        <v>0</v>
      </c>
      <c r="BA138" s="88" t="n">
        <v>0</v>
      </c>
      <c r="BB138" s="88" t="n">
        <v>0</v>
      </c>
      <c r="BC138" s="88" t="n">
        <v>0</v>
      </c>
      <c r="BD138" s="91" t="n">
        <v>0</v>
      </c>
      <c r="BE138" s="91" t="n">
        <v>0</v>
      </c>
      <c r="BF138" s="89" t="inlineStr">
        <is>
          <t>-</t>
        </is>
      </c>
      <c r="BG138" s="89" t="inlineStr">
        <is>
          <t>-</t>
        </is>
      </c>
      <c r="BH138" s="89" t="inlineStr">
        <is>
          <t>-</t>
        </is>
      </c>
    </row>
    <row r="139" ht="19.55" customHeight="1">
      <c r="A139" s="92" t="n">
        <v>136</v>
      </c>
      <c r="B139" s="87" t="inlineStr">
        <is>
          <t>全国</t>
        </is>
      </c>
      <c r="C139" s="93" t="n">
        <v>45927</v>
      </c>
      <c r="D139" s="87" t="inlineStr">
        <is>
          <t>N7</t>
        </is>
      </c>
      <c r="E139" s="87" t="n">
        <v>8588</v>
      </c>
      <c r="F139" s="87" t="n">
        <v>6582</v>
      </c>
      <c r="G139" s="88" t="n">
        <v>0.7664182580344667</v>
      </c>
      <c r="H139" s="87" t="n">
        <v>3895</v>
      </c>
      <c r="I139" s="89" t="n">
        <v>0.4535398230088495</v>
      </c>
      <c r="J139" s="87" t="n">
        <v>5935</v>
      </c>
      <c r="K139" s="87" t="n">
        <v>5732</v>
      </c>
      <c r="L139" s="88" t="n">
        <v>0.966</v>
      </c>
      <c r="M139" s="87" t="n">
        <v>26816</v>
      </c>
      <c r="N139" s="87" t="n">
        <v>30471</v>
      </c>
      <c r="O139" s="87" t="n">
        <v>26307</v>
      </c>
      <c r="P139" s="88" t="n">
        <v>0.9810187947494033</v>
      </c>
      <c r="Q139" s="87" t="n">
        <v>64</v>
      </c>
      <c r="R139" s="87" t="n">
        <v>0</v>
      </c>
      <c r="S139" s="87" t="n">
        <v>0</v>
      </c>
      <c r="T139" s="88" t="n">
        <v>0</v>
      </c>
      <c r="U139" s="87" t="n">
        <v>0</v>
      </c>
      <c r="V139" s="88" t="n">
        <v>0</v>
      </c>
      <c r="W139" s="87" t="n">
        <v>1255</v>
      </c>
      <c r="X139" s="88" t="n">
        <v>0.146134140661388</v>
      </c>
      <c r="Y139" s="87" t="n">
        <v>1291</v>
      </c>
      <c r="Z139" s="90" t="n">
        <v>0.1503260363297625</v>
      </c>
      <c r="AA139" s="87" t="n">
        <v>4</v>
      </c>
      <c r="AB139" s="88" t="n">
        <v>0.0004657661853749418</v>
      </c>
      <c r="AC139" s="87" t="n">
        <v>1540</v>
      </c>
      <c r="AD139" s="88" t="n">
        <v>0.1793199813693526</v>
      </c>
      <c r="AE139" s="87" t="n">
        <v>141</v>
      </c>
      <c r="AF139" s="88" t="n">
        <v>0.09155844155844156</v>
      </c>
      <c r="AG139" s="87" t="n">
        <v>799</v>
      </c>
      <c r="AH139" s="88" t="n">
        <v>0.5188311688311689</v>
      </c>
      <c r="AI139" s="91" t="n">
        <v>1508</v>
      </c>
      <c r="AJ139" s="88" t="n">
        <v>0.175593851886353</v>
      </c>
      <c r="AK139" s="91" t="n">
        <v>45</v>
      </c>
      <c r="AL139" s="88" t="n">
        <v>0.8143236074270557</v>
      </c>
      <c r="AM139" s="91" t="n">
        <v>1472</v>
      </c>
      <c r="AN139" s="91" t="n">
        <v>1228</v>
      </c>
      <c r="AO139" s="88" t="n">
        <v>0.1429902189101071</v>
      </c>
      <c r="AP139" s="88" t="n">
        <v>0.7974025974025974</v>
      </c>
      <c r="AQ139" s="89" t="n">
        <v>0.9497257769652651</v>
      </c>
      <c r="AR139" s="89" t="n">
        <v>0.02857142857142857</v>
      </c>
      <c r="AS139" s="89" t="n">
        <v>0.02857142857142857</v>
      </c>
      <c r="AT139" s="91" t="n">
        <v>0</v>
      </c>
      <c r="AU139" s="91" t="n">
        <v>0</v>
      </c>
      <c r="AV139" s="91" t="n">
        <v>242</v>
      </c>
      <c r="AW139" s="91" t="n">
        <v>223</v>
      </c>
      <c r="AX139" s="91" t="n">
        <v>201</v>
      </c>
      <c r="AY139" s="91" t="n">
        <v>215</v>
      </c>
      <c r="AZ139" s="88" t="n">
        <v>0.025966464834653</v>
      </c>
      <c r="BA139" s="88" t="n">
        <v>0.02340475081509082</v>
      </c>
      <c r="BB139" s="88" t="n">
        <v>0.02503493246390312</v>
      </c>
      <c r="BC139" s="88" t="n">
        <v>0.1636807817589576</v>
      </c>
      <c r="BD139" s="91" t="n">
        <v>0</v>
      </c>
      <c r="BE139" s="91" t="n">
        <v>0</v>
      </c>
      <c r="BF139" s="89" t="n">
        <v>0.9743589743589743</v>
      </c>
      <c r="BG139" s="89" t="n">
        <v>1</v>
      </c>
      <c r="BH139" s="89" t="inlineStr">
        <is>
          <t>-</t>
        </is>
      </c>
    </row>
    <row r="140" ht="19.55" customHeight="1">
      <c r="A140" s="92" t="n">
        <v>137</v>
      </c>
      <c r="B140" s="87" t="inlineStr">
        <is>
          <t>全国</t>
        </is>
      </c>
      <c r="C140" s="93" t="n">
        <v>45927</v>
      </c>
      <c r="D140" s="87" t="inlineStr">
        <is>
          <t>NX8</t>
        </is>
      </c>
      <c r="E140" s="87" t="n">
        <v>227</v>
      </c>
      <c r="F140" s="87" t="n">
        <v>200</v>
      </c>
      <c r="G140" s="88" t="n">
        <v>0.8810572687224669</v>
      </c>
      <c r="H140" s="87" t="n">
        <v>87</v>
      </c>
      <c r="I140" s="89" t="n">
        <v>0.3832599118942731</v>
      </c>
      <c r="J140" s="87" t="n">
        <v>68</v>
      </c>
      <c r="K140" s="87" t="n">
        <v>66</v>
      </c>
      <c r="L140" s="88" t="n">
        <v>0.971</v>
      </c>
      <c r="M140" s="87" t="n">
        <v>111</v>
      </c>
      <c r="N140" s="87" t="n">
        <v>25</v>
      </c>
      <c r="O140" s="87" t="n">
        <v>108</v>
      </c>
      <c r="P140" s="88" t="n">
        <v>0.972972972972973</v>
      </c>
      <c r="Q140" s="87" t="n">
        <v>0</v>
      </c>
      <c r="R140" s="87" t="n">
        <v>0</v>
      </c>
      <c r="S140" s="87" t="n">
        <v>0</v>
      </c>
      <c r="T140" s="88" t="n">
        <v>0</v>
      </c>
      <c r="U140" s="87" t="n">
        <v>0</v>
      </c>
      <c r="V140" s="88" t="n">
        <v>0</v>
      </c>
      <c r="W140" s="87" t="n">
        <v>0</v>
      </c>
      <c r="X140" s="88" t="n">
        <v>0</v>
      </c>
      <c r="Y140" s="87" t="n">
        <v>0</v>
      </c>
      <c r="Z140" s="90" t="n">
        <v>0</v>
      </c>
      <c r="AA140" s="87" t="n">
        <v>0</v>
      </c>
      <c r="AB140" s="88" t="n">
        <v>0</v>
      </c>
      <c r="AC140" s="87" t="n">
        <v>75</v>
      </c>
      <c r="AD140" s="88" t="n">
        <v>0.3303964757709251</v>
      </c>
      <c r="AE140" s="87" t="n">
        <v>11</v>
      </c>
      <c r="AF140" s="88" t="n">
        <v>0.1466666666666667</v>
      </c>
      <c r="AG140" s="87" t="n">
        <v>53</v>
      </c>
      <c r="AH140" s="88" t="n">
        <v>0.7066666666666667</v>
      </c>
      <c r="AI140" s="91" t="n">
        <v>0</v>
      </c>
      <c r="AJ140" s="88" t="n">
        <v>0</v>
      </c>
      <c r="AK140" s="91" t="n">
        <v>0</v>
      </c>
      <c r="AL140" s="88" t="n">
        <v>0</v>
      </c>
      <c r="AM140" s="91" t="n">
        <v>0</v>
      </c>
      <c r="AN140" s="91" t="n">
        <v>0</v>
      </c>
      <c r="AO140" s="88" t="n">
        <v>0</v>
      </c>
      <c r="AP140" s="88" t="n">
        <v>0</v>
      </c>
      <c r="AQ140" s="89" t="n">
        <v>1</v>
      </c>
      <c r="AR140" s="89" t="n">
        <v>0</v>
      </c>
      <c r="AS140" s="89" t="n">
        <v>0</v>
      </c>
      <c r="AT140" s="91" t="n">
        <v>0</v>
      </c>
      <c r="AU140" s="91" t="n">
        <v>0</v>
      </c>
      <c r="AV140" s="91" t="n">
        <v>0</v>
      </c>
      <c r="AW140" s="91" t="n">
        <v>0</v>
      </c>
      <c r="AX140" s="91" t="n">
        <v>0</v>
      </c>
      <c r="AY140" s="91" t="n">
        <v>0</v>
      </c>
      <c r="AZ140" s="88" t="n">
        <v>0</v>
      </c>
      <c r="BA140" s="88" t="n">
        <v>0</v>
      </c>
      <c r="BB140" s="88" t="n">
        <v>0</v>
      </c>
      <c r="BC140" s="88" t="n">
        <v>0</v>
      </c>
      <c r="BD140" s="91" t="n">
        <v>0</v>
      </c>
      <c r="BE140" s="91" t="n">
        <v>0</v>
      </c>
      <c r="BF140" s="89" t="inlineStr">
        <is>
          <t>-</t>
        </is>
      </c>
      <c r="BG140" s="89" t="inlineStr">
        <is>
          <t>-</t>
        </is>
      </c>
      <c r="BH140" s="89" t="inlineStr">
        <is>
          <t>-</t>
        </is>
      </c>
    </row>
    <row r="141" ht="19.55" customHeight="1">
      <c r="A141" s="92" t="n">
        <v>138</v>
      </c>
      <c r="B141" s="87" t="inlineStr">
        <is>
          <t>全国</t>
        </is>
      </c>
      <c r="C141" s="93" t="n">
        <v>45927</v>
      </c>
      <c r="D141" s="87" t="inlineStr">
        <is>
          <t>天籁·鸿蒙座舱</t>
        </is>
      </c>
      <c r="E141" s="87" t="n">
        <v>110</v>
      </c>
      <c r="F141" s="87" t="n">
        <v>102</v>
      </c>
      <c r="G141" s="88" t="n">
        <v>0.9272727272727272</v>
      </c>
      <c r="H141" s="87" t="n">
        <v>64</v>
      </c>
      <c r="I141" s="89" t="n">
        <v>0.5818181818181818</v>
      </c>
      <c r="J141" s="87" t="n">
        <v>56</v>
      </c>
      <c r="K141" s="87" t="n">
        <v>54</v>
      </c>
      <c r="L141" s="88" t="n">
        <v>0.964</v>
      </c>
      <c r="M141" s="87" t="n">
        <v>190</v>
      </c>
      <c r="N141" s="87" t="n">
        <v>117</v>
      </c>
      <c r="O141" s="87" t="n">
        <v>184</v>
      </c>
      <c r="P141" s="88" t="n">
        <v>0.968421052631579</v>
      </c>
      <c r="Q141" s="87" t="n">
        <v>0</v>
      </c>
      <c r="R141" s="87" t="n">
        <v>0</v>
      </c>
      <c r="S141" s="87" t="n">
        <v>0</v>
      </c>
      <c r="T141" s="88" t="n">
        <v>0</v>
      </c>
      <c r="U141" s="87" t="n">
        <v>0</v>
      </c>
      <c r="V141" s="88" t="n">
        <v>0</v>
      </c>
      <c r="W141" s="87" t="n">
        <v>0</v>
      </c>
      <c r="X141" s="88" t="n">
        <v>0</v>
      </c>
      <c r="Y141" s="87" t="n">
        <v>0</v>
      </c>
      <c r="Z141" s="90" t="n">
        <v>0</v>
      </c>
      <c r="AA141" s="87" t="n">
        <v>0</v>
      </c>
      <c r="AB141" s="88" t="n">
        <v>0</v>
      </c>
      <c r="AC141" s="87" t="n">
        <v>52</v>
      </c>
      <c r="AD141" s="88" t="n">
        <v>0.4727272727272727</v>
      </c>
      <c r="AE141" s="87" t="n">
        <v>10</v>
      </c>
      <c r="AF141" s="88" t="n">
        <v>0.1923076923076923</v>
      </c>
      <c r="AG141" s="87" t="n">
        <v>37</v>
      </c>
      <c r="AH141" s="88" t="n">
        <v>0.7115384615384616</v>
      </c>
      <c r="AI141" s="91" t="n">
        <v>0</v>
      </c>
      <c r="AJ141" s="88" t="n">
        <v>0</v>
      </c>
      <c r="AK141" s="91" t="n">
        <v>0</v>
      </c>
      <c r="AL141" s="88" t="n">
        <v>0</v>
      </c>
      <c r="AM141" s="91" t="n">
        <v>0</v>
      </c>
      <c r="AN141" s="91" t="n">
        <v>0</v>
      </c>
      <c r="AO141" s="88" t="n">
        <v>0</v>
      </c>
      <c r="AP141" s="88" t="n">
        <v>0</v>
      </c>
      <c r="AQ141" s="89" t="n">
        <v>1</v>
      </c>
      <c r="AR141" s="89" t="n">
        <v>0</v>
      </c>
      <c r="AS141" s="89" t="n">
        <v>0</v>
      </c>
      <c r="AT141" s="91" t="n">
        <v>0</v>
      </c>
      <c r="AU141" s="91" t="n">
        <v>0</v>
      </c>
      <c r="AV141" s="91" t="n">
        <v>0</v>
      </c>
      <c r="AW141" s="91" t="n">
        <v>0</v>
      </c>
      <c r="AX141" s="91" t="n">
        <v>0</v>
      </c>
      <c r="AY141" s="91" t="n">
        <v>0</v>
      </c>
      <c r="AZ141" s="88" t="n">
        <v>0</v>
      </c>
      <c r="BA141" s="88" t="n">
        <v>0</v>
      </c>
      <c r="BB141" s="88" t="n">
        <v>0</v>
      </c>
      <c r="BC141" s="88" t="n">
        <v>0</v>
      </c>
      <c r="BD141" s="91" t="n">
        <v>0</v>
      </c>
      <c r="BE141" s="91" t="n">
        <v>0</v>
      </c>
      <c r="BF141" s="89" t="inlineStr">
        <is>
          <t>-</t>
        </is>
      </c>
      <c r="BG141" s="89" t="inlineStr">
        <is>
          <t>-</t>
        </is>
      </c>
      <c r="BH141" s="89" t="inlineStr">
        <is>
          <t>-</t>
        </is>
      </c>
    </row>
    <row r="142" ht="19.55" customHeight="1">
      <c r="A142" s="92" t="n">
        <v>139</v>
      </c>
      <c r="B142" s="87" t="inlineStr">
        <is>
          <t>全国</t>
        </is>
      </c>
      <c r="C142" s="93" t="n">
        <v>45928</v>
      </c>
      <c r="D142" s="87" t="inlineStr">
        <is>
          <t>2026款探陆</t>
        </is>
      </c>
      <c r="E142" s="87" t="n">
        <v>2</v>
      </c>
      <c r="F142" s="87" t="n">
        <v>2</v>
      </c>
      <c r="G142" s="88" t="n">
        <v>1</v>
      </c>
      <c r="H142" s="87" t="n">
        <v>0</v>
      </c>
      <c r="I142" s="89" t="n">
        <v>0</v>
      </c>
      <c r="J142" s="87" t="n">
        <v>1</v>
      </c>
      <c r="K142" s="87" t="n">
        <v>1</v>
      </c>
      <c r="L142" s="88" t="n">
        <v>1</v>
      </c>
      <c r="M142" s="87" t="n">
        <v>1</v>
      </c>
      <c r="N142" s="87" t="n">
        <v>0</v>
      </c>
      <c r="O142" s="87" t="n">
        <v>1</v>
      </c>
      <c r="P142" s="88" t="n">
        <v>1</v>
      </c>
      <c r="Q142" s="87" t="n">
        <v>0</v>
      </c>
      <c r="R142" s="87" t="n">
        <v>0</v>
      </c>
      <c r="S142" s="87" t="n">
        <v>0</v>
      </c>
      <c r="T142" s="88" t="n">
        <v>0</v>
      </c>
      <c r="U142" s="87" t="n">
        <v>0</v>
      </c>
      <c r="V142" s="88" t="n">
        <v>0</v>
      </c>
      <c r="W142" s="87" t="n">
        <v>0</v>
      </c>
      <c r="X142" s="88" t="n">
        <v>0</v>
      </c>
      <c r="Y142" s="87" t="n">
        <v>0</v>
      </c>
      <c r="Z142" s="90" t="n">
        <v>0</v>
      </c>
      <c r="AA142" s="87" t="n">
        <v>0</v>
      </c>
      <c r="AB142" s="88" t="n">
        <v>0</v>
      </c>
      <c r="AC142" s="87" t="n">
        <v>0</v>
      </c>
      <c r="AD142" s="88" t="n">
        <v>0</v>
      </c>
      <c r="AE142" s="87" t="n">
        <v>0</v>
      </c>
      <c r="AF142" s="88" t="n">
        <v>0</v>
      </c>
      <c r="AG142" s="87" t="n">
        <v>0</v>
      </c>
      <c r="AH142" s="88" t="n">
        <v>0</v>
      </c>
      <c r="AI142" s="91" t="n">
        <v>0</v>
      </c>
      <c r="AJ142" s="88" t="n">
        <v>0</v>
      </c>
      <c r="AK142" s="91" t="n">
        <v>0</v>
      </c>
      <c r="AL142" s="88" t="n">
        <v>0</v>
      </c>
      <c r="AM142" s="91" t="n">
        <v>0</v>
      </c>
      <c r="AN142" s="91" t="n">
        <v>0</v>
      </c>
      <c r="AO142" s="88" t="n">
        <v>0</v>
      </c>
      <c r="AP142" s="88" t="n">
        <v>0</v>
      </c>
      <c r="AQ142" s="89" t="n"/>
      <c r="AR142" s="89" t="inlineStr">
        <is>
          <t>0.0%</t>
        </is>
      </c>
      <c r="AS142" s="89" t="inlineStr">
        <is>
          <t>0.0%</t>
        </is>
      </c>
      <c r="AT142" s="91" t="n">
        <v>0</v>
      </c>
      <c r="AU142" s="91" t="n">
        <v>0</v>
      </c>
      <c r="AV142" s="91" t="n">
        <v>0</v>
      </c>
      <c r="AW142" s="91" t="n">
        <v>0</v>
      </c>
      <c r="AX142" s="91" t="n">
        <v>0</v>
      </c>
      <c r="AY142" s="91" t="n">
        <v>0</v>
      </c>
      <c r="AZ142" s="88" t="n">
        <v>0</v>
      </c>
      <c r="BA142" s="88" t="n">
        <v>0</v>
      </c>
      <c r="BB142" s="88" t="n">
        <v>0</v>
      </c>
      <c r="BC142" s="88" t="n">
        <v>0</v>
      </c>
      <c r="BD142" s="91" t="n">
        <v>0</v>
      </c>
      <c r="BE142" s="91" t="n">
        <v>0</v>
      </c>
      <c r="BF142" s="89" t="inlineStr">
        <is>
          <t>-</t>
        </is>
      </c>
      <c r="BG142" s="89" t="inlineStr">
        <is>
          <t>-</t>
        </is>
      </c>
      <c r="BH142" s="89" t="inlineStr">
        <is>
          <t>-</t>
        </is>
      </c>
    </row>
    <row r="143" ht="19.55" customHeight="1">
      <c r="A143" s="92" t="n">
        <v>140</v>
      </c>
      <c r="B143" s="87" t="inlineStr">
        <is>
          <t>全国</t>
        </is>
      </c>
      <c r="C143" s="93" t="n">
        <v>45928</v>
      </c>
      <c r="D143" s="87" t="inlineStr">
        <is>
          <t>N6</t>
        </is>
      </c>
      <c r="E143" s="87" t="n">
        <v>112</v>
      </c>
      <c r="F143" s="87" t="n">
        <v>99</v>
      </c>
      <c r="G143" s="88" t="n">
        <v>0.8839285714285714</v>
      </c>
      <c r="H143" s="87" t="n">
        <v>62</v>
      </c>
      <c r="I143" s="89" t="n">
        <v>0.5535714285714286</v>
      </c>
      <c r="J143" s="87" t="n">
        <v>71</v>
      </c>
      <c r="K143" s="87" t="n">
        <v>69</v>
      </c>
      <c r="L143" s="88" t="n">
        <v>0.972</v>
      </c>
      <c r="M143" s="87" t="n">
        <v>240</v>
      </c>
      <c r="N143" s="87" t="n">
        <v>147</v>
      </c>
      <c r="O143" s="87" t="n">
        <v>234</v>
      </c>
      <c r="P143" s="88" t="n">
        <v>0.975</v>
      </c>
      <c r="Q143" s="87" t="n">
        <v>0</v>
      </c>
      <c r="R143" s="87" t="n">
        <v>0</v>
      </c>
      <c r="S143" s="87" t="n">
        <v>0</v>
      </c>
      <c r="T143" s="88" t="n">
        <v>0</v>
      </c>
      <c r="U143" s="87" t="n">
        <v>0</v>
      </c>
      <c r="V143" s="88" t="n">
        <v>0</v>
      </c>
      <c r="W143" s="87" t="n">
        <v>0</v>
      </c>
      <c r="X143" s="88" t="n">
        <v>0</v>
      </c>
      <c r="Y143" s="87" t="n">
        <v>0</v>
      </c>
      <c r="Z143" s="90" t="n">
        <v>0</v>
      </c>
      <c r="AA143" s="87" t="n">
        <v>0</v>
      </c>
      <c r="AB143" s="88" t="n">
        <v>0</v>
      </c>
      <c r="AC143" s="87" t="n">
        <v>43</v>
      </c>
      <c r="AD143" s="88" t="n">
        <v>0.3839285714285715</v>
      </c>
      <c r="AE143" s="87" t="n">
        <v>7</v>
      </c>
      <c r="AF143" s="88" t="n">
        <v>0.1627906976744186</v>
      </c>
      <c r="AG143" s="87" t="n">
        <v>32</v>
      </c>
      <c r="AH143" s="88" t="n">
        <v>0.7441860465116279</v>
      </c>
      <c r="AI143" s="91" t="n">
        <v>0</v>
      </c>
      <c r="AJ143" s="88" t="n">
        <v>0</v>
      </c>
      <c r="AK143" s="91" t="n">
        <v>0</v>
      </c>
      <c r="AL143" s="88" t="n">
        <v>0</v>
      </c>
      <c r="AM143" s="91" t="n">
        <v>0</v>
      </c>
      <c r="AN143" s="91" t="n">
        <v>0</v>
      </c>
      <c r="AO143" s="88" t="n">
        <v>0</v>
      </c>
      <c r="AP143" s="88" t="n">
        <v>0</v>
      </c>
      <c r="AQ143" s="89" t="n">
        <v>0.9285714285714286</v>
      </c>
      <c r="AR143" s="89" t="n">
        <v>0</v>
      </c>
      <c r="AS143" s="89" t="n">
        <v>0</v>
      </c>
      <c r="AT143" s="91" t="n">
        <v>0</v>
      </c>
      <c r="AU143" s="91" t="n">
        <v>0</v>
      </c>
      <c r="AV143" s="91" t="n">
        <v>0</v>
      </c>
      <c r="AW143" s="91" t="n">
        <v>0</v>
      </c>
      <c r="AX143" s="91" t="n">
        <v>0</v>
      </c>
      <c r="AY143" s="91" t="n">
        <v>0</v>
      </c>
      <c r="AZ143" s="88" t="n">
        <v>0</v>
      </c>
      <c r="BA143" s="88" t="n">
        <v>0</v>
      </c>
      <c r="BB143" s="88" t="n">
        <v>0</v>
      </c>
      <c r="BC143" s="88" t="n">
        <v>0</v>
      </c>
      <c r="BD143" s="91" t="n">
        <v>0</v>
      </c>
      <c r="BE143" s="91" t="n">
        <v>0</v>
      </c>
      <c r="BF143" s="89" t="inlineStr">
        <is>
          <t>-</t>
        </is>
      </c>
      <c r="BG143" s="89" t="inlineStr">
        <is>
          <t>-</t>
        </is>
      </c>
      <c r="BH143" s="89" t="inlineStr">
        <is>
          <t>-</t>
        </is>
      </c>
    </row>
    <row r="144" ht="19.55" customHeight="1">
      <c r="A144" s="92" t="n">
        <v>141</v>
      </c>
      <c r="B144" s="87" t="inlineStr">
        <is>
          <t>全国</t>
        </is>
      </c>
      <c r="C144" s="93" t="n">
        <v>45928</v>
      </c>
      <c r="D144" s="87" t="inlineStr">
        <is>
          <t>N7</t>
        </is>
      </c>
      <c r="E144" s="87" t="n">
        <v>7520</v>
      </c>
      <c r="F144" s="87" t="n">
        <v>5942</v>
      </c>
      <c r="G144" s="88" t="n">
        <v>0.7901595744680852</v>
      </c>
      <c r="H144" s="87" t="n">
        <v>3718</v>
      </c>
      <c r="I144" s="89" t="n">
        <v>0.4944148936170213</v>
      </c>
      <c r="J144" s="87" t="n">
        <v>7351</v>
      </c>
      <c r="K144" s="87" t="n">
        <v>7159</v>
      </c>
      <c r="L144" s="88" t="n">
        <v>0.974</v>
      </c>
      <c r="M144" s="87" t="n">
        <v>30304</v>
      </c>
      <c r="N144" s="87" t="n">
        <v>30126</v>
      </c>
      <c r="O144" s="87" t="n">
        <v>29605</v>
      </c>
      <c r="P144" s="88" t="n">
        <v>0.9769337381203802</v>
      </c>
      <c r="Q144" s="87" t="n">
        <v>47</v>
      </c>
      <c r="R144" s="87" t="n">
        <v>0</v>
      </c>
      <c r="S144" s="87" t="n">
        <v>0</v>
      </c>
      <c r="T144" s="88" t="n">
        <v>0</v>
      </c>
      <c r="U144" s="87" t="n">
        <v>0</v>
      </c>
      <c r="V144" s="88" t="n">
        <v>0</v>
      </c>
      <c r="W144" s="87" t="n">
        <v>1295</v>
      </c>
      <c r="X144" s="88" t="n">
        <v>0.1722074468085106</v>
      </c>
      <c r="Y144" s="87" t="n">
        <v>772</v>
      </c>
      <c r="Z144" s="90" t="n">
        <v>0.1026595744680851</v>
      </c>
      <c r="AA144" s="87" t="n">
        <v>0</v>
      </c>
      <c r="AB144" s="88" t="n">
        <v>0</v>
      </c>
      <c r="AC144" s="87" t="n">
        <v>1153</v>
      </c>
      <c r="AD144" s="88" t="n">
        <v>0.1533244680851064</v>
      </c>
      <c r="AE144" s="87" t="n">
        <v>124</v>
      </c>
      <c r="AF144" s="88" t="n">
        <v>0.1075455333911535</v>
      </c>
      <c r="AG144" s="87" t="n">
        <v>524</v>
      </c>
      <c r="AH144" s="88" t="n">
        <v>0.4544666088464874</v>
      </c>
      <c r="AI144" s="91" t="n">
        <v>1203</v>
      </c>
      <c r="AJ144" s="88" t="n">
        <v>0.1599734042553191</v>
      </c>
      <c r="AK144" s="91" t="n">
        <v>25</v>
      </c>
      <c r="AL144" s="88" t="n">
        <v>0.8179551122194514</v>
      </c>
      <c r="AM144" s="91" t="n">
        <v>1160</v>
      </c>
      <c r="AN144" s="91" t="n">
        <v>984</v>
      </c>
      <c r="AO144" s="88" t="n">
        <v>0.1308510638297872</v>
      </c>
      <c r="AP144" s="88" t="n">
        <v>0.8534258456201215</v>
      </c>
      <c r="AQ144" s="89" t="n">
        <v>0.9750173490631506</v>
      </c>
      <c r="AR144" s="89" t="n">
        <v>0.02092050209205021</v>
      </c>
      <c r="AS144" s="89" t="n">
        <v>0.02092050209205021</v>
      </c>
      <c r="AT144" s="91" t="n">
        <v>0</v>
      </c>
      <c r="AU144" s="91" t="n">
        <v>0</v>
      </c>
      <c r="AV144" s="91" t="n">
        <v>309</v>
      </c>
      <c r="AW144" s="91" t="n">
        <v>222</v>
      </c>
      <c r="AX144" s="91" t="n">
        <v>221</v>
      </c>
      <c r="AY144" s="91" t="n">
        <v>238</v>
      </c>
      <c r="AZ144" s="88" t="n">
        <v>0.02952127659574468</v>
      </c>
      <c r="BA144" s="88" t="n">
        <v>0.02938829787234043</v>
      </c>
      <c r="BB144" s="88" t="n">
        <v>0.03164893617021276</v>
      </c>
      <c r="BC144" s="88" t="n">
        <v>0.2245934959349593</v>
      </c>
      <c r="BD144" s="91" t="n">
        <v>0</v>
      </c>
      <c r="BE144" s="91" t="n">
        <v>0</v>
      </c>
      <c r="BF144" s="89" t="n">
        <v>0.9855072463768116</v>
      </c>
      <c r="BG144" s="89" t="n">
        <v>1</v>
      </c>
      <c r="BH144" s="89" t="inlineStr">
        <is>
          <t>-</t>
        </is>
      </c>
    </row>
    <row r="145" ht="19.55" customHeight="1">
      <c r="A145" s="92" t="n">
        <v>142</v>
      </c>
      <c r="B145" s="87" t="inlineStr">
        <is>
          <t>全国</t>
        </is>
      </c>
      <c r="C145" s="93" t="n">
        <v>45928</v>
      </c>
      <c r="D145" s="87" t="inlineStr">
        <is>
          <t>NX8</t>
        </is>
      </c>
      <c r="E145" s="87" t="n">
        <v>193</v>
      </c>
      <c r="F145" s="87" t="n">
        <v>175</v>
      </c>
      <c r="G145" s="88" t="n">
        <v>0.9067357512953368</v>
      </c>
      <c r="H145" s="87" t="n">
        <v>70</v>
      </c>
      <c r="I145" s="89" t="n">
        <v>0.3626943005181347</v>
      </c>
      <c r="J145" s="87" t="n">
        <v>72</v>
      </c>
      <c r="K145" s="87" t="n">
        <v>67</v>
      </c>
      <c r="L145" s="88" t="n">
        <v>0.931</v>
      </c>
      <c r="M145" s="87" t="n">
        <v>124</v>
      </c>
      <c r="N145" s="87" t="n">
        <v>22</v>
      </c>
      <c r="O145" s="87" t="n">
        <v>116</v>
      </c>
      <c r="P145" s="88" t="n">
        <v>0.9354838709677419</v>
      </c>
      <c r="Q145" s="87" t="n">
        <v>1</v>
      </c>
      <c r="R145" s="87" t="n">
        <v>0</v>
      </c>
      <c r="S145" s="87" t="n">
        <v>0</v>
      </c>
      <c r="T145" s="88" t="n">
        <v>0</v>
      </c>
      <c r="U145" s="87" t="n">
        <v>0</v>
      </c>
      <c r="V145" s="88" t="n">
        <v>0</v>
      </c>
      <c r="W145" s="87" t="n">
        <v>0</v>
      </c>
      <c r="X145" s="88" t="n">
        <v>0</v>
      </c>
      <c r="Y145" s="87" t="n">
        <v>0</v>
      </c>
      <c r="Z145" s="90" t="n">
        <v>0</v>
      </c>
      <c r="AA145" s="87" t="n">
        <v>0</v>
      </c>
      <c r="AB145" s="88" t="n">
        <v>0</v>
      </c>
      <c r="AC145" s="87" t="n">
        <v>73</v>
      </c>
      <c r="AD145" s="88" t="n">
        <v>0.3782383419689119</v>
      </c>
      <c r="AE145" s="87" t="n">
        <v>16</v>
      </c>
      <c r="AF145" s="88" t="n">
        <v>0.2191780821917808</v>
      </c>
      <c r="AG145" s="87" t="n">
        <v>54</v>
      </c>
      <c r="AH145" s="88" t="n">
        <v>0.7397260273972602</v>
      </c>
      <c r="AI145" s="91" t="n">
        <v>0</v>
      </c>
      <c r="AJ145" s="88" t="n">
        <v>0</v>
      </c>
      <c r="AK145" s="91" t="n">
        <v>0</v>
      </c>
      <c r="AL145" s="88" t="n">
        <v>0</v>
      </c>
      <c r="AM145" s="91" t="n">
        <v>0</v>
      </c>
      <c r="AN145" s="91" t="n">
        <v>0</v>
      </c>
      <c r="AO145" s="88" t="n">
        <v>0</v>
      </c>
      <c r="AP145" s="88" t="n">
        <v>0</v>
      </c>
      <c r="AQ145" s="89" t="n">
        <v>1</v>
      </c>
      <c r="AR145" s="89" t="n">
        <v>0</v>
      </c>
      <c r="AS145" s="89" t="n">
        <v>0</v>
      </c>
      <c r="AT145" s="91" t="n">
        <v>0</v>
      </c>
      <c r="AU145" s="91" t="n">
        <v>0</v>
      </c>
      <c r="AV145" s="91" t="n">
        <v>0</v>
      </c>
      <c r="AW145" s="91" t="n">
        <v>0</v>
      </c>
      <c r="AX145" s="91" t="n">
        <v>0</v>
      </c>
      <c r="AY145" s="91" t="n">
        <v>0</v>
      </c>
      <c r="AZ145" s="88" t="n">
        <v>0</v>
      </c>
      <c r="BA145" s="88" t="n">
        <v>0</v>
      </c>
      <c r="BB145" s="88" t="n">
        <v>0</v>
      </c>
      <c r="BC145" s="88" t="n">
        <v>0</v>
      </c>
      <c r="BD145" s="91" t="n">
        <v>0</v>
      </c>
      <c r="BE145" s="91" t="n">
        <v>0</v>
      </c>
      <c r="BF145" s="89" t="inlineStr">
        <is>
          <t>-</t>
        </is>
      </c>
      <c r="BG145" s="89" t="inlineStr">
        <is>
          <t>-</t>
        </is>
      </c>
      <c r="BH145" s="89" t="inlineStr">
        <is>
          <t>-</t>
        </is>
      </c>
    </row>
    <row r="146" ht="19.55" customHeight="1">
      <c r="A146" s="92" t="n">
        <v>143</v>
      </c>
      <c r="B146" s="87" t="inlineStr">
        <is>
          <t>全国</t>
        </is>
      </c>
      <c r="C146" s="93" t="n">
        <v>45928</v>
      </c>
      <c r="D146" s="87" t="inlineStr">
        <is>
          <t>天籁·鸿蒙座舱</t>
        </is>
      </c>
      <c r="E146" s="87" t="n">
        <v>107</v>
      </c>
      <c r="F146" s="87" t="n">
        <v>101</v>
      </c>
      <c r="G146" s="88" t="n">
        <v>0.9439252336448598</v>
      </c>
      <c r="H146" s="87" t="n">
        <v>62</v>
      </c>
      <c r="I146" s="89" t="n">
        <v>0.5794392523364486</v>
      </c>
      <c r="J146" s="87" t="n">
        <v>61</v>
      </c>
      <c r="K146" s="87" t="n">
        <v>59</v>
      </c>
      <c r="L146" s="88" t="n">
        <v>0.967</v>
      </c>
      <c r="M146" s="87" t="n">
        <v>195</v>
      </c>
      <c r="N146" s="87" t="n">
        <v>110</v>
      </c>
      <c r="O146" s="87" t="n">
        <v>190</v>
      </c>
      <c r="P146" s="88" t="n">
        <v>0.9743589743589743</v>
      </c>
      <c r="Q146" s="87" t="n">
        <v>1</v>
      </c>
      <c r="R146" s="87" t="n">
        <v>0</v>
      </c>
      <c r="S146" s="87" t="n">
        <v>0</v>
      </c>
      <c r="T146" s="88" t="n">
        <v>0</v>
      </c>
      <c r="U146" s="87" t="n">
        <v>0</v>
      </c>
      <c r="V146" s="88" t="n">
        <v>0</v>
      </c>
      <c r="W146" s="87" t="n">
        <v>0</v>
      </c>
      <c r="X146" s="88" t="n">
        <v>0</v>
      </c>
      <c r="Y146" s="87" t="n">
        <v>0</v>
      </c>
      <c r="Z146" s="90" t="n">
        <v>0</v>
      </c>
      <c r="AA146" s="87" t="n">
        <v>0</v>
      </c>
      <c r="AB146" s="88" t="n">
        <v>0</v>
      </c>
      <c r="AC146" s="87" t="n">
        <v>40</v>
      </c>
      <c r="AD146" s="88" t="n">
        <v>0.3738317757009346</v>
      </c>
      <c r="AE146" s="87" t="n">
        <v>9</v>
      </c>
      <c r="AF146" s="88" t="n">
        <v>0.225</v>
      </c>
      <c r="AG146" s="87" t="n">
        <v>25</v>
      </c>
      <c r="AH146" s="88" t="n">
        <v>0.625</v>
      </c>
      <c r="AI146" s="91" t="n">
        <v>0</v>
      </c>
      <c r="AJ146" s="88" t="n">
        <v>0</v>
      </c>
      <c r="AK146" s="91" t="n">
        <v>0</v>
      </c>
      <c r="AL146" s="88" t="n">
        <v>0</v>
      </c>
      <c r="AM146" s="91" t="n">
        <v>0</v>
      </c>
      <c r="AN146" s="91" t="n">
        <v>0</v>
      </c>
      <c r="AO146" s="88" t="n">
        <v>0</v>
      </c>
      <c r="AP146" s="88" t="n">
        <v>0</v>
      </c>
      <c r="AQ146" s="89" t="n">
        <v>1</v>
      </c>
      <c r="AR146" s="89" t="n">
        <v>0</v>
      </c>
      <c r="AS146" s="89" t="n">
        <v>0</v>
      </c>
      <c r="AT146" s="91" t="n">
        <v>0</v>
      </c>
      <c r="AU146" s="91" t="n">
        <v>0</v>
      </c>
      <c r="AV146" s="91" t="n">
        <v>0</v>
      </c>
      <c r="AW146" s="91" t="n">
        <v>0</v>
      </c>
      <c r="AX146" s="91" t="n">
        <v>0</v>
      </c>
      <c r="AY146" s="91" t="n">
        <v>0</v>
      </c>
      <c r="AZ146" s="88" t="n">
        <v>0</v>
      </c>
      <c r="BA146" s="88" t="n">
        <v>0</v>
      </c>
      <c r="BB146" s="88" t="n">
        <v>0</v>
      </c>
      <c r="BC146" s="88" t="n">
        <v>0</v>
      </c>
      <c r="BD146" s="91" t="n">
        <v>0</v>
      </c>
      <c r="BE146" s="91" t="n">
        <v>0</v>
      </c>
      <c r="BF146" s="89" t="inlineStr">
        <is>
          <t>-</t>
        </is>
      </c>
      <c r="BG146" s="89" t="inlineStr">
        <is>
          <t>-</t>
        </is>
      </c>
      <c r="BH146" s="89" t="inlineStr">
        <is>
          <t>-</t>
        </is>
      </c>
    </row>
    <row r="147" ht="19.55" customHeight="1">
      <c r="A147" s="92" t="n">
        <v>144</v>
      </c>
      <c r="B147" s="87" t="inlineStr">
        <is>
          <t>全国</t>
        </is>
      </c>
      <c r="C147" s="93" t="n">
        <v>45929</v>
      </c>
      <c r="D147" s="87" t="inlineStr">
        <is>
          <t>2026款探陆</t>
        </is>
      </c>
      <c r="E147" s="87" t="n">
        <v>2</v>
      </c>
      <c r="F147" s="87" t="n">
        <v>2</v>
      </c>
      <c r="G147" s="88" t="n">
        <v>1</v>
      </c>
      <c r="H147" s="87" t="n">
        <v>1</v>
      </c>
      <c r="I147" s="89" t="n">
        <v>0.5</v>
      </c>
      <c r="J147" s="87" t="n">
        <v>1</v>
      </c>
      <c r="K147" s="87" t="n">
        <v>1</v>
      </c>
      <c r="L147" s="88" t="n">
        <v>1</v>
      </c>
      <c r="M147" s="87" t="n">
        <v>1</v>
      </c>
      <c r="N147" s="87" t="n">
        <v>0</v>
      </c>
      <c r="O147" s="87" t="n">
        <v>1</v>
      </c>
      <c r="P147" s="88" t="n">
        <v>1</v>
      </c>
      <c r="Q147" s="87" t="n">
        <v>0</v>
      </c>
      <c r="R147" s="87" t="n">
        <v>0</v>
      </c>
      <c r="S147" s="87" t="n">
        <v>0</v>
      </c>
      <c r="T147" s="88" t="n">
        <v>0</v>
      </c>
      <c r="U147" s="87" t="n">
        <v>0</v>
      </c>
      <c r="V147" s="88" t="n">
        <v>0</v>
      </c>
      <c r="W147" s="87" t="n">
        <v>0</v>
      </c>
      <c r="X147" s="88" t="n">
        <v>0</v>
      </c>
      <c r="Y147" s="87" t="n">
        <v>0</v>
      </c>
      <c r="Z147" s="90" t="n">
        <v>0</v>
      </c>
      <c r="AA147" s="87" t="n">
        <v>0</v>
      </c>
      <c r="AB147" s="88" t="n">
        <v>0</v>
      </c>
      <c r="AC147" s="87" t="n">
        <v>0</v>
      </c>
      <c r="AD147" s="88" t="n">
        <v>0</v>
      </c>
      <c r="AE147" s="87" t="n">
        <v>0</v>
      </c>
      <c r="AF147" s="88" t="n">
        <v>0</v>
      </c>
      <c r="AG147" s="87" t="n">
        <v>0</v>
      </c>
      <c r="AH147" s="88" t="n">
        <v>0</v>
      </c>
      <c r="AI147" s="91" t="n">
        <v>0</v>
      </c>
      <c r="AJ147" s="88" t="n">
        <v>0</v>
      </c>
      <c r="AK147" s="91" t="n">
        <v>0</v>
      </c>
      <c r="AL147" s="88" t="n">
        <v>0</v>
      </c>
      <c r="AM147" s="91" t="n">
        <v>0</v>
      </c>
      <c r="AN147" s="91" t="n">
        <v>0</v>
      </c>
      <c r="AO147" s="88" t="n">
        <v>0</v>
      </c>
      <c r="AP147" s="88" t="n">
        <v>0</v>
      </c>
      <c r="AQ147" s="89" t="n"/>
      <c r="AR147" s="89" t="inlineStr">
        <is>
          <t>0.0%</t>
        </is>
      </c>
      <c r="AS147" s="89" t="inlineStr">
        <is>
          <t>0.0%</t>
        </is>
      </c>
      <c r="AT147" s="91" t="n">
        <v>0</v>
      </c>
      <c r="AU147" s="91" t="n">
        <v>0</v>
      </c>
      <c r="AV147" s="91" t="n">
        <v>0</v>
      </c>
      <c r="AW147" s="91" t="n">
        <v>0</v>
      </c>
      <c r="AX147" s="91" t="n">
        <v>0</v>
      </c>
      <c r="AY147" s="91" t="n">
        <v>0</v>
      </c>
      <c r="AZ147" s="88" t="n">
        <v>0</v>
      </c>
      <c r="BA147" s="88" t="n">
        <v>0</v>
      </c>
      <c r="BB147" s="88" t="n">
        <v>0</v>
      </c>
      <c r="BC147" s="88" t="n">
        <v>0</v>
      </c>
      <c r="BD147" s="91" t="n">
        <v>0</v>
      </c>
      <c r="BE147" s="91" t="n">
        <v>0</v>
      </c>
      <c r="BF147" s="89" t="inlineStr">
        <is>
          <t>-</t>
        </is>
      </c>
      <c r="BG147" s="89" t="inlineStr">
        <is>
          <t>-</t>
        </is>
      </c>
      <c r="BH147" s="89" t="inlineStr">
        <is>
          <t>-</t>
        </is>
      </c>
    </row>
    <row r="148" ht="19.55" customHeight="1">
      <c r="A148" s="92" t="n">
        <v>145</v>
      </c>
      <c r="B148" s="87" t="inlineStr">
        <is>
          <t>全国</t>
        </is>
      </c>
      <c r="C148" s="93" t="n">
        <v>45929</v>
      </c>
      <c r="D148" s="87" t="inlineStr">
        <is>
          <t>N6</t>
        </is>
      </c>
      <c r="E148" s="87" t="n">
        <v>100</v>
      </c>
      <c r="F148" s="87" t="n">
        <v>92</v>
      </c>
      <c r="G148" s="88" t="n">
        <v>0.92</v>
      </c>
      <c r="H148" s="87" t="n">
        <v>57</v>
      </c>
      <c r="I148" s="89" t="n">
        <v>0.57</v>
      </c>
      <c r="J148" s="87" t="n">
        <v>82</v>
      </c>
      <c r="K148" s="87" t="n">
        <v>77</v>
      </c>
      <c r="L148" s="88" t="n">
        <v>0.9389999999999999</v>
      </c>
      <c r="M148" s="87" t="n">
        <v>251</v>
      </c>
      <c r="N148" s="87" t="n">
        <v>155</v>
      </c>
      <c r="O148" s="87" t="n">
        <v>241</v>
      </c>
      <c r="P148" s="88" t="n">
        <v>0.9601593625498008</v>
      </c>
      <c r="Q148" s="87" t="n">
        <v>0</v>
      </c>
      <c r="R148" s="87" t="n">
        <v>0</v>
      </c>
      <c r="S148" s="87" t="n">
        <v>0</v>
      </c>
      <c r="T148" s="88" t="n">
        <v>0</v>
      </c>
      <c r="U148" s="87" t="n">
        <v>0</v>
      </c>
      <c r="V148" s="88" t="n">
        <v>0</v>
      </c>
      <c r="W148" s="87" t="n">
        <v>0</v>
      </c>
      <c r="X148" s="88" t="n">
        <v>0</v>
      </c>
      <c r="Y148" s="87" t="n">
        <v>0</v>
      </c>
      <c r="Z148" s="90" t="n">
        <v>0</v>
      </c>
      <c r="AA148" s="87" t="n">
        <v>0</v>
      </c>
      <c r="AB148" s="88" t="n">
        <v>0</v>
      </c>
      <c r="AC148" s="87" t="n">
        <v>33</v>
      </c>
      <c r="AD148" s="88" t="n">
        <v>0.33</v>
      </c>
      <c r="AE148" s="87" t="n">
        <v>4</v>
      </c>
      <c r="AF148" s="88" t="n">
        <v>0.1212121212121212</v>
      </c>
      <c r="AG148" s="87" t="n">
        <v>20</v>
      </c>
      <c r="AH148" s="88" t="n">
        <v>0.6060606060606061</v>
      </c>
      <c r="AI148" s="91" t="n">
        <v>0</v>
      </c>
      <c r="AJ148" s="88" t="n">
        <v>0</v>
      </c>
      <c r="AK148" s="91" t="n">
        <v>0</v>
      </c>
      <c r="AL148" s="88" t="n">
        <v>0</v>
      </c>
      <c r="AM148" s="91" t="n">
        <v>0</v>
      </c>
      <c r="AN148" s="91" t="n">
        <v>0</v>
      </c>
      <c r="AO148" s="88" t="n">
        <v>0</v>
      </c>
      <c r="AP148" s="88" t="n">
        <v>0</v>
      </c>
      <c r="AQ148" s="89" t="n">
        <v>0.8</v>
      </c>
      <c r="AR148" s="89" t="n">
        <v>0</v>
      </c>
      <c r="AS148" s="89" t="n">
        <v>0</v>
      </c>
      <c r="AT148" s="91" t="n">
        <v>0</v>
      </c>
      <c r="AU148" s="91" t="n">
        <v>0</v>
      </c>
      <c r="AV148" s="91" t="n">
        <v>0</v>
      </c>
      <c r="AW148" s="91" t="n">
        <v>0</v>
      </c>
      <c r="AX148" s="91" t="n">
        <v>0</v>
      </c>
      <c r="AY148" s="91" t="n">
        <v>0</v>
      </c>
      <c r="AZ148" s="88" t="n">
        <v>0</v>
      </c>
      <c r="BA148" s="88" t="n">
        <v>0</v>
      </c>
      <c r="BB148" s="88" t="n">
        <v>0</v>
      </c>
      <c r="BC148" s="88" t="n">
        <v>0</v>
      </c>
      <c r="BD148" s="91" t="n">
        <v>0</v>
      </c>
      <c r="BE148" s="91" t="n">
        <v>0</v>
      </c>
      <c r="BF148" s="89" t="inlineStr">
        <is>
          <t>-</t>
        </is>
      </c>
      <c r="BG148" s="89" t="inlineStr">
        <is>
          <t>-</t>
        </is>
      </c>
      <c r="BH148" s="89" t="inlineStr">
        <is>
          <t>-</t>
        </is>
      </c>
    </row>
    <row r="149" ht="19.55" customHeight="1">
      <c r="A149" s="92" t="n">
        <v>146</v>
      </c>
      <c r="B149" s="87" t="inlineStr">
        <is>
          <t>全国</t>
        </is>
      </c>
      <c r="C149" s="93" t="n">
        <v>45929</v>
      </c>
      <c r="D149" s="87" t="inlineStr">
        <is>
          <t>N7</t>
        </is>
      </c>
      <c r="E149" s="87" t="n">
        <v>7251</v>
      </c>
      <c r="F149" s="87" t="n">
        <v>5603</v>
      </c>
      <c r="G149" s="88" t="n">
        <v>0.7727210039994483</v>
      </c>
      <c r="H149" s="87" t="n">
        <v>3623</v>
      </c>
      <c r="I149" s="89" t="n">
        <v>0.4996552199696593</v>
      </c>
      <c r="J149" s="87" t="n">
        <v>6150</v>
      </c>
      <c r="K149" s="87" t="n">
        <v>5935</v>
      </c>
      <c r="L149" s="88" t="n">
        <v>0.965</v>
      </c>
      <c r="M149" s="87" t="n">
        <v>29076</v>
      </c>
      <c r="N149" s="87" t="n">
        <v>28726</v>
      </c>
      <c r="O149" s="87" t="n">
        <v>28571</v>
      </c>
      <c r="P149" s="88" t="n">
        <v>0.9826317237584262</v>
      </c>
      <c r="Q149" s="87" t="n">
        <v>47</v>
      </c>
      <c r="R149" s="87" t="n">
        <v>0</v>
      </c>
      <c r="S149" s="87" t="n">
        <v>0</v>
      </c>
      <c r="T149" s="88" t="n">
        <v>0</v>
      </c>
      <c r="U149" s="87" t="n">
        <v>0</v>
      </c>
      <c r="V149" s="88" t="n">
        <v>0</v>
      </c>
      <c r="W149" s="87" t="n">
        <v>1585</v>
      </c>
      <c r="X149" s="88" t="n">
        <v>0.2185905392359674</v>
      </c>
      <c r="Y149" s="87" t="n">
        <v>903</v>
      </c>
      <c r="Z149" s="90" t="n">
        <v>0.1245345469590401</v>
      </c>
      <c r="AA149" s="87" t="n">
        <v>4</v>
      </c>
      <c r="AB149" s="88" t="n">
        <v>0.0005516480485450283</v>
      </c>
      <c r="AC149" s="87" t="n">
        <v>1004</v>
      </c>
      <c r="AD149" s="88" t="n">
        <v>0.1384636601848021</v>
      </c>
      <c r="AE149" s="87" t="n">
        <v>85</v>
      </c>
      <c r="AF149" s="88" t="n">
        <v>0.0846613545816733</v>
      </c>
      <c r="AG149" s="87" t="n">
        <v>418</v>
      </c>
      <c r="AH149" s="88" t="n">
        <v>0.4163346613545817</v>
      </c>
      <c r="AI149" s="91" t="n">
        <v>1035</v>
      </c>
      <c r="AJ149" s="88" t="n">
        <v>0.1427389325610261</v>
      </c>
      <c r="AK149" s="91" t="n">
        <v>21</v>
      </c>
      <c r="AL149" s="88" t="n">
        <v>0.821256038647343</v>
      </c>
      <c r="AM149" s="91" t="n">
        <v>996</v>
      </c>
      <c r="AN149" s="91" t="n">
        <v>850</v>
      </c>
      <c r="AO149" s="88" t="n">
        <v>0.1172252103158185</v>
      </c>
      <c r="AP149" s="88" t="n">
        <v>0.8466135458167331</v>
      </c>
      <c r="AQ149" s="89" t="n">
        <v>0.9705117085862967</v>
      </c>
      <c r="AR149" s="89" t="n">
        <v>0.02295409181636726</v>
      </c>
      <c r="AS149" s="89" t="n">
        <v>0.02295409181636726</v>
      </c>
      <c r="AT149" s="91" t="n">
        <v>0</v>
      </c>
      <c r="AU149" s="91" t="n">
        <v>0</v>
      </c>
      <c r="AV149" s="91" t="n">
        <v>150</v>
      </c>
      <c r="AW149" s="91" t="n">
        <v>101</v>
      </c>
      <c r="AX149" s="91" t="n">
        <v>100</v>
      </c>
      <c r="AY149" s="91" t="n">
        <v>308</v>
      </c>
      <c r="AZ149" s="88" t="n">
        <v>0.01392911322576196</v>
      </c>
      <c r="BA149" s="88" t="n">
        <v>0.01379120121362571</v>
      </c>
      <c r="BB149" s="88" t="n">
        <v>0.04247689973796718</v>
      </c>
      <c r="BC149" s="88" t="n">
        <v>0.1176470588235294</v>
      </c>
      <c r="BD149" s="91" t="n">
        <v>0</v>
      </c>
      <c r="BE149" s="91" t="n">
        <v>0</v>
      </c>
      <c r="BF149" s="89" t="n">
        <v>0.9838709677419355</v>
      </c>
      <c r="BG149" s="89" t="n">
        <v>1</v>
      </c>
      <c r="BH149" s="89" t="inlineStr">
        <is>
          <t>-</t>
        </is>
      </c>
    </row>
    <row r="150" ht="19.55" customHeight="1">
      <c r="A150" s="92" t="n">
        <v>147</v>
      </c>
      <c r="B150" s="87" t="inlineStr">
        <is>
          <t>全国</t>
        </is>
      </c>
      <c r="C150" s="93" t="n">
        <v>45929</v>
      </c>
      <c r="D150" s="87" t="inlineStr">
        <is>
          <t>NX8</t>
        </is>
      </c>
      <c r="E150" s="87" t="n">
        <v>190</v>
      </c>
      <c r="F150" s="87" t="n">
        <v>176</v>
      </c>
      <c r="G150" s="88" t="n">
        <v>0.9263157894736842</v>
      </c>
      <c r="H150" s="87" t="n">
        <v>74</v>
      </c>
      <c r="I150" s="89" t="n">
        <v>0.3894736842105263</v>
      </c>
      <c r="J150" s="87" t="n">
        <v>60</v>
      </c>
      <c r="K150" s="87" t="n">
        <v>58</v>
      </c>
      <c r="L150" s="88" t="n">
        <v>0.967</v>
      </c>
      <c r="M150" s="87" t="n">
        <v>108</v>
      </c>
      <c r="N150" s="87" t="n">
        <v>31</v>
      </c>
      <c r="O150" s="87" t="n">
        <v>105</v>
      </c>
      <c r="P150" s="88" t="n">
        <v>0.9722222222222222</v>
      </c>
      <c r="Q150" s="87" t="n">
        <v>0</v>
      </c>
      <c r="R150" s="87" t="n">
        <v>0</v>
      </c>
      <c r="S150" s="87" t="n">
        <v>0</v>
      </c>
      <c r="T150" s="88" t="n">
        <v>0</v>
      </c>
      <c r="U150" s="87" t="n">
        <v>0</v>
      </c>
      <c r="V150" s="88" t="n">
        <v>0</v>
      </c>
      <c r="W150" s="87" t="n">
        <v>0</v>
      </c>
      <c r="X150" s="88" t="n">
        <v>0</v>
      </c>
      <c r="Y150" s="87" t="n">
        <v>0</v>
      </c>
      <c r="Z150" s="90" t="n">
        <v>0</v>
      </c>
      <c r="AA150" s="87" t="n">
        <v>0</v>
      </c>
      <c r="AB150" s="88" t="n">
        <v>0</v>
      </c>
      <c r="AC150" s="87" t="n">
        <v>69</v>
      </c>
      <c r="AD150" s="88" t="n">
        <v>0.3631578947368421</v>
      </c>
      <c r="AE150" s="87" t="n">
        <v>5</v>
      </c>
      <c r="AF150" s="88" t="n">
        <v>0.07246376811594203</v>
      </c>
      <c r="AG150" s="87" t="n">
        <v>45</v>
      </c>
      <c r="AH150" s="88" t="n">
        <v>0.6521739130434783</v>
      </c>
      <c r="AI150" s="91" t="n">
        <v>0</v>
      </c>
      <c r="AJ150" s="88" t="n">
        <v>0</v>
      </c>
      <c r="AK150" s="91" t="n">
        <v>0</v>
      </c>
      <c r="AL150" s="88" t="n">
        <v>0</v>
      </c>
      <c r="AM150" s="91" t="n">
        <v>0</v>
      </c>
      <c r="AN150" s="91" t="n">
        <v>0</v>
      </c>
      <c r="AO150" s="88" t="n">
        <v>0</v>
      </c>
      <c r="AP150" s="88" t="n">
        <v>0</v>
      </c>
      <c r="AQ150" s="89" t="n">
        <v>1</v>
      </c>
      <c r="AR150" s="89" t="n">
        <v>0</v>
      </c>
      <c r="AS150" s="89" t="n">
        <v>0</v>
      </c>
      <c r="AT150" s="91" t="n">
        <v>0</v>
      </c>
      <c r="AU150" s="91" t="n">
        <v>0</v>
      </c>
      <c r="AV150" s="91" t="n">
        <v>0</v>
      </c>
      <c r="AW150" s="91" t="n">
        <v>0</v>
      </c>
      <c r="AX150" s="91" t="n">
        <v>0</v>
      </c>
      <c r="AY150" s="91" t="n">
        <v>0</v>
      </c>
      <c r="AZ150" s="88" t="n">
        <v>0</v>
      </c>
      <c r="BA150" s="88" t="n">
        <v>0</v>
      </c>
      <c r="BB150" s="88" t="n">
        <v>0</v>
      </c>
      <c r="BC150" s="88" t="n">
        <v>0</v>
      </c>
      <c r="BD150" s="91" t="n">
        <v>0</v>
      </c>
      <c r="BE150" s="91" t="n">
        <v>0</v>
      </c>
      <c r="BF150" s="89" t="inlineStr">
        <is>
          <t>-</t>
        </is>
      </c>
      <c r="BG150" s="89" t="inlineStr">
        <is>
          <t>-</t>
        </is>
      </c>
      <c r="BH150" s="89" t="inlineStr">
        <is>
          <t>-</t>
        </is>
      </c>
    </row>
    <row r="151" ht="19.55" customHeight="1">
      <c r="A151" s="92" t="n">
        <v>148</v>
      </c>
      <c r="B151" s="87" t="inlineStr">
        <is>
          <t>全国</t>
        </is>
      </c>
      <c r="C151" s="93" t="n">
        <v>45929</v>
      </c>
      <c r="D151" s="87" t="inlineStr">
        <is>
          <t>天籁·鸿蒙座舱</t>
        </is>
      </c>
      <c r="E151" s="87" t="n">
        <v>95</v>
      </c>
      <c r="F151" s="87" t="n">
        <v>90</v>
      </c>
      <c r="G151" s="88" t="n">
        <v>0.9473684210526315</v>
      </c>
      <c r="H151" s="87" t="n">
        <v>59</v>
      </c>
      <c r="I151" s="89" t="n">
        <v>0.6210526315789474</v>
      </c>
      <c r="J151" s="87" t="n">
        <v>56</v>
      </c>
      <c r="K151" s="87" t="n">
        <v>54</v>
      </c>
      <c r="L151" s="88" t="n">
        <v>0.964</v>
      </c>
      <c r="M151" s="87" t="n">
        <v>191</v>
      </c>
      <c r="N151" s="87" t="n">
        <v>100</v>
      </c>
      <c r="O151" s="87" t="n">
        <v>186</v>
      </c>
      <c r="P151" s="88" t="n">
        <v>0.9738219895287958</v>
      </c>
      <c r="Q151" s="87" t="n">
        <v>0</v>
      </c>
      <c r="R151" s="87" t="n">
        <v>0</v>
      </c>
      <c r="S151" s="87" t="n">
        <v>0</v>
      </c>
      <c r="T151" s="88" t="n">
        <v>0</v>
      </c>
      <c r="U151" s="87" t="n">
        <v>0</v>
      </c>
      <c r="V151" s="88" t="n">
        <v>0</v>
      </c>
      <c r="W151" s="87" t="n">
        <v>0</v>
      </c>
      <c r="X151" s="88" t="n">
        <v>0</v>
      </c>
      <c r="Y151" s="87" t="n">
        <v>0</v>
      </c>
      <c r="Z151" s="90" t="n">
        <v>0</v>
      </c>
      <c r="AA151" s="87" t="n">
        <v>0</v>
      </c>
      <c r="AB151" s="88" t="n">
        <v>0</v>
      </c>
      <c r="AC151" s="87" t="n">
        <v>41</v>
      </c>
      <c r="AD151" s="88" t="n">
        <v>0.4315789473684211</v>
      </c>
      <c r="AE151" s="87" t="n">
        <v>1</v>
      </c>
      <c r="AF151" s="88" t="n">
        <v>0.02439024390243903</v>
      </c>
      <c r="AG151" s="87" t="n">
        <v>30</v>
      </c>
      <c r="AH151" s="88" t="n">
        <v>0.7317073170731707</v>
      </c>
      <c r="AI151" s="91" t="n">
        <v>0</v>
      </c>
      <c r="AJ151" s="88" t="n">
        <v>0</v>
      </c>
      <c r="AK151" s="91" t="n">
        <v>0</v>
      </c>
      <c r="AL151" s="88" t="n">
        <v>0</v>
      </c>
      <c r="AM151" s="91" t="n">
        <v>0</v>
      </c>
      <c r="AN151" s="91" t="n">
        <v>0</v>
      </c>
      <c r="AO151" s="88" t="n">
        <v>0</v>
      </c>
      <c r="AP151" s="88" t="n">
        <v>0</v>
      </c>
      <c r="AQ151" s="89" t="n">
        <v>1</v>
      </c>
      <c r="AR151" s="89" t="n">
        <v>0</v>
      </c>
      <c r="AS151" s="89" t="n">
        <v>0</v>
      </c>
      <c r="AT151" s="91" t="n">
        <v>0</v>
      </c>
      <c r="AU151" s="91" t="n">
        <v>0</v>
      </c>
      <c r="AV151" s="91" t="n">
        <v>0</v>
      </c>
      <c r="AW151" s="91" t="n">
        <v>0</v>
      </c>
      <c r="AX151" s="91" t="n">
        <v>0</v>
      </c>
      <c r="AY151" s="91" t="n">
        <v>0</v>
      </c>
      <c r="AZ151" s="88" t="n">
        <v>0</v>
      </c>
      <c r="BA151" s="88" t="n">
        <v>0</v>
      </c>
      <c r="BB151" s="88" t="n">
        <v>0</v>
      </c>
      <c r="BC151" s="88" t="n">
        <v>0</v>
      </c>
      <c r="BD151" s="91" t="n">
        <v>0</v>
      </c>
      <c r="BE151" s="91" t="n">
        <v>0</v>
      </c>
      <c r="BF151" s="89" t="inlineStr">
        <is>
          <t>-</t>
        </is>
      </c>
      <c r="BG151" s="89" t="inlineStr">
        <is>
          <t>-</t>
        </is>
      </c>
      <c r="BH151" s="89" t="inlineStr">
        <is>
          <t>-</t>
        </is>
      </c>
    </row>
    <row r="152" ht="19.55" customHeight="1">
      <c r="A152" s="92" t="n">
        <v>149</v>
      </c>
      <c r="B152" s="87" t="inlineStr">
        <is>
          <t>全国</t>
        </is>
      </c>
      <c r="C152" s="93" t="n">
        <v>45930</v>
      </c>
      <c r="D152" s="87" t="inlineStr">
        <is>
          <t>2026款探陆</t>
        </is>
      </c>
      <c r="E152" s="87" t="n">
        <v>2</v>
      </c>
      <c r="F152" s="87" t="n">
        <v>2</v>
      </c>
      <c r="G152" s="88" t="n">
        <v>1</v>
      </c>
      <c r="H152" s="87" t="n">
        <v>2</v>
      </c>
      <c r="I152" s="89" t="n">
        <v>1</v>
      </c>
      <c r="J152" s="87" t="n">
        <v>0</v>
      </c>
      <c r="K152" s="87" t="n">
        <v>0</v>
      </c>
      <c r="L152" s="88" t="n">
        <v>0</v>
      </c>
      <c r="M152" s="87" t="n">
        <v>0</v>
      </c>
      <c r="N152" s="87" t="n">
        <v>0</v>
      </c>
      <c r="O152" s="87" t="n">
        <v>0</v>
      </c>
      <c r="P152" s="88" t="n">
        <v>0</v>
      </c>
      <c r="Q152" s="87" t="n">
        <v>0</v>
      </c>
      <c r="R152" s="87" t="n">
        <v>97</v>
      </c>
      <c r="S152" s="87" t="n">
        <v>47</v>
      </c>
      <c r="T152" s="88" t="n">
        <v>0.4845360824742268</v>
      </c>
      <c r="U152" s="87" t="n">
        <v>17</v>
      </c>
      <c r="V152" s="88" t="n">
        <v>0.1752577319587629</v>
      </c>
      <c r="W152" s="87" t="n">
        <v>0</v>
      </c>
      <c r="X152" s="88" t="n">
        <v>0</v>
      </c>
      <c r="Y152" s="87" t="n">
        <v>0</v>
      </c>
      <c r="Z152" s="90" t="n">
        <v>0</v>
      </c>
      <c r="AA152" s="87" t="n">
        <v>0</v>
      </c>
      <c r="AB152" s="88" t="n">
        <v>0</v>
      </c>
      <c r="AC152" s="87" t="n">
        <v>0</v>
      </c>
      <c r="AD152" s="88" t="n">
        <v>0</v>
      </c>
      <c r="AE152" s="87" t="n">
        <v>0</v>
      </c>
      <c r="AF152" s="88" t="n">
        <v>0</v>
      </c>
      <c r="AG152" s="87" t="n">
        <v>0</v>
      </c>
      <c r="AH152" s="88" t="n">
        <v>0</v>
      </c>
      <c r="AI152" s="91" t="n">
        <v>0</v>
      </c>
      <c r="AJ152" s="88" t="n">
        <v>0</v>
      </c>
      <c r="AK152" s="91" t="n">
        <v>0</v>
      </c>
      <c r="AL152" s="88" t="n">
        <v>0</v>
      </c>
      <c r="AM152" s="91" t="n">
        <v>0</v>
      </c>
      <c r="AN152" s="91" t="n">
        <v>0</v>
      </c>
      <c r="AO152" s="88" t="n">
        <v>0</v>
      </c>
      <c r="AP152" s="88" t="n">
        <v>0</v>
      </c>
      <c r="AQ152" s="89" t="n"/>
      <c r="AR152" s="89" t="inlineStr">
        <is>
          <t>0.0%</t>
        </is>
      </c>
      <c r="AS152" s="89" t="inlineStr">
        <is>
          <t>0.0%</t>
        </is>
      </c>
      <c r="AT152" s="91" t="n">
        <v>0</v>
      </c>
      <c r="AU152" s="91" t="n">
        <v>0</v>
      </c>
      <c r="AV152" s="91" t="n">
        <v>0</v>
      </c>
      <c r="AW152" s="91" t="n">
        <v>0</v>
      </c>
      <c r="AX152" s="91" t="n">
        <v>0</v>
      </c>
      <c r="AY152" s="91" t="n">
        <v>0</v>
      </c>
      <c r="AZ152" s="88" t="n">
        <v>0</v>
      </c>
      <c r="BA152" s="88" t="n">
        <v>0</v>
      </c>
      <c r="BB152" s="88" t="n">
        <v>0</v>
      </c>
      <c r="BC152" s="88" t="n">
        <v>0</v>
      </c>
      <c r="BD152" s="91" t="n">
        <v>0</v>
      </c>
      <c r="BE152" s="91" t="n">
        <v>0</v>
      </c>
      <c r="BF152" s="89" t="inlineStr">
        <is>
          <t>-</t>
        </is>
      </c>
      <c r="BG152" s="89" t="inlineStr">
        <is>
          <t>-</t>
        </is>
      </c>
      <c r="BH152" s="89" t="inlineStr">
        <is>
          <t>-</t>
        </is>
      </c>
    </row>
    <row r="153" ht="19.55" customHeight="1">
      <c r="A153" s="92" t="n">
        <v>150</v>
      </c>
      <c r="B153" s="87" t="inlineStr">
        <is>
          <t>全国</t>
        </is>
      </c>
      <c r="C153" s="93" t="n">
        <v>45930</v>
      </c>
      <c r="D153" s="87" t="inlineStr">
        <is>
          <t>N6</t>
        </is>
      </c>
      <c r="E153" s="87" t="n">
        <v>100</v>
      </c>
      <c r="F153" s="87" t="n">
        <v>92</v>
      </c>
      <c r="G153" s="88" t="n">
        <v>0.92</v>
      </c>
      <c r="H153" s="87" t="n">
        <v>44</v>
      </c>
      <c r="I153" s="89" t="n">
        <v>0.44</v>
      </c>
      <c r="J153" s="87" t="n">
        <v>79</v>
      </c>
      <c r="K153" s="87" t="n">
        <v>76</v>
      </c>
      <c r="L153" s="88" t="n">
        <v>0.962</v>
      </c>
      <c r="M153" s="87" t="n">
        <v>243</v>
      </c>
      <c r="N153" s="87" t="n">
        <v>202</v>
      </c>
      <c r="O153" s="87" t="n">
        <v>238</v>
      </c>
      <c r="P153" s="88" t="n">
        <v>0.9794238683127572</v>
      </c>
      <c r="Q153" s="87" t="n">
        <v>0</v>
      </c>
      <c r="R153" s="87" t="n">
        <v>4506</v>
      </c>
      <c r="S153" s="87" t="n">
        <v>2067</v>
      </c>
      <c r="T153" s="88" t="n">
        <v>0.4587217043941412</v>
      </c>
      <c r="U153" s="87" t="n">
        <v>685</v>
      </c>
      <c r="V153" s="88" t="n">
        <v>0.1520195295162006</v>
      </c>
      <c r="W153" s="87" t="n">
        <v>1</v>
      </c>
      <c r="X153" s="88" t="n">
        <v>0.01</v>
      </c>
      <c r="Y153" s="87" t="n">
        <v>0</v>
      </c>
      <c r="Z153" s="90" t="n">
        <v>0</v>
      </c>
      <c r="AA153" s="87" t="n">
        <v>0</v>
      </c>
      <c r="AB153" s="88" t="n">
        <v>0</v>
      </c>
      <c r="AC153" s="87" t="n">
        <v>26</v>
      </c>
      <c r="AD153" s="88" t="n">
        <v>0.26</v>
      </c>
      <c r="AE153" s="87" t="n">
        <v>0</v>
      </c>
      <c r="AF153" s="88" t="n">
        <v>0</v>
      </c>
      <c r="AG153" s="87" t="n">
        <v>18</v>
      </c>
      <c r="AH153" s="88" t="n">
        <v>0.6923076923076923</v>
      </c>
      <c r="AI153" s="91" t="n">
        <v>0</v>
      </c>
      <c r="AJ153" s="88" t="n">
        <v>0</v>
      </c>
      <c r="AK153" s="91" t="n">
        <v>0</v>
      </c>
      <c r="AL153" s="88" t="n">
        <v>0</v>
      </c>
      <c r="AM153" s="91" t="n">
        <v>0</v>
      </c>
      <c r="AN153" s="91" t="n">
        <v>0</v>
      </c>
      <c r="AO153" s="88" t="n">
        <v>0</v>
      </c>
      <c r="AP153" s="88" t="n">
        <v>0</v>
      </c>
      <c r="AQ153" s="89" t="n">
        <v>1</v>
      </c>
      <c r="AR153" s="89" t="n">
        <v>0</v>
      </c>
      <c r="AS153" s="89" t="n">
        <v>0</v>
      </c>
      <c r="AT153" s="91" t="n">
        <v>0</v>
      </c>
      <c r="AU153" s="91" t="n">
        <v>0</v>
      </c>
      <c r="AV153" s="91" t="n">
        <v>0</v>
      </c>
      <c r="AW153" s="91" t="n">
        <v>0</v>
      </c>
      <c r="AX153" s="91" t="n">
        <v>0</v>
      </c>
      <c r="AY153" s="91" t="n">
        <v>0</v>
      </c>
      <c r="AZ153" s="88" t="n">
        <v>0</v>
      </c>
      <c r="BA153" s="88" t="n">
        <v>0</v>
      </c>
      <c r="BB153" s="88" t="n">
        <v>0</v>
      </c>
      <c r="BC153" s="88" t="n">
        <v>0</v>
      </c>
      <c r="BD153" s="91" t="n">
        <v>0</v>
      </c>
      <c r="BE153" s="91" t="n">
        <v>0</v>
      </c>
      <c r="BF153" s="89" t="inlineStr">
        <is>
          <t>-</t>
        </is>
      </c>
      <c r="BG153" s="89" t="inlineStr">
        <is>
          <t>-</t>
        </is>
      </c>
      <c r="BH153" s="89" t="inlineStr">
        <is>
          <t>-</t>
        </is>
      </c>
    </row>
    <row r="154" ht="19.55" customHeight="1">
      <c r="A154" s="92" t="n">
        <v>151</v>
      </c>
      <c r="B154" s="87" t="inlineStr">
        <is>
          <t>全国</t>
        </is>
      </c>
      <c r="C154" s="93" t="n">
        <v>45930</v>
      </c>
      <c r="D154" s="87" t="inlineStr">
        <is>
          <t>N7</t>
        </is>
      </c>
      <c r="E154" s="87" t="n">
        <v>9891</v>
      </c>
      <c r="F154" s="87" t="n">
        <v>6803</v>
      </c>
      <c r="G154" s="88" t="n">
        <v>0.6877969871600444</v>
      </c>
      <c r="H154" s="87" t="n">
        <v>3942</v>
      </c>
      <c r="I154" s="89" t="n">
        <v>0.3985441310282075</v>
      </c>
      <c r="J154" s="87" t="n">
        <v>6147</v>
      </c>
      <c r="K154" s="87" t="n">
        <v>5951</v>
      </c>
      <c r="L154" s="88" t="n">
        <v>0.968</v>
      </c>
      <c r="M154" s="87" t="n">
        <v>27628</v>
      </c>
      <c r="N154" s="87" t="n">
        <v>31580</v>
      </c>
      <c r="O154" s="87" t="n">
        <v>26956</v>
      </c>
      <c r="P154" s="88" t="n">
        <v>0.975676849572897</v>
      </c>
      <c r="Q154" s="87" t="n">
        <v>52</v>
      </c>
      <c r="R154" s="87" t="n">
        <v>416417</v>
      </c>
      <c r="S154" s="87" t="n">
        <v>211155</v>
      </c>
      <c r="T154" s="88" t="n">
        <v>0.507075839843234</v>
      </c>
      <c r="U154" s="87" t="n">
        <v>39234</v>
      </c>
      <c r="V154" s="88" t="n">
        <v>0.09421805545883093</v>
      </c>
      <c r="W154" s="87" t="n">
        <v>968</v>
      </c>
      <c r="X154" s="88" t="n">
        <v>0.09786674754827621</v>
      </c>
      <c r="Y154" s="87" t="n">
        <v>1023</v>
      </c>
      <c r="Z154" s="90" t="n">
        <v>0.1034273582044283</v>
      </c>
      <c r="AA154" s="87" t="n">
        <v>4</v>
      </c>
      <c r="AB154" s="88" t="n">
        <v>0.0004044080477201496</v>
      </c>
      <c r="AC154" s="87" t="n">
        <v>1001</v>
      </c>
      <c r="AD154" s="88" t="n">
        <v>0.1012031139419674</v>
      </c>
      <c r="AE154" s="87" t="n">
        <v>79</v>
      </c>
      <c r="AF154" s="88" t="n">
        <v>0.07892107892107893</v>
      </c>
      <c r="AG154" s="87" t="n">
        <v>399</v>
      </c>
      <c r="AH154" s="88" t="n">
        <v>0.3986013986013986</v>
      </c>
      <c r="AI154" s="91" t="n">
        <v>1044</v>
      </c>
      <c r="AJ154" s="88" t="n">
        <v>0.105550500454959</v>
      </c>
      <c r="AK154" s="91" t="n">
        <v>14</v>
      </c>
      <c r="AL154" s="88" t="n">
        <v>0.8237547892720306</v>
      </c>
      <c r="AM154" s="91" t="n">
        <v>1008</v>
      </c>
      <c r="AN154" s="91" t="n">
        <v>860</v>
      </c>
      <c r="AO154" s="88" t="n">
        <v>0.08694773025983217</v>
      </c>
      <c r="AP154" s="88" t="n">
        <v>0.8591408591408591</v>
      </c>
      <c r="AQ154" s="89" t="n">
        <v>0.9539877300613497</v>
      </c>
      <c r="AR154" s="89" t="n">
        <v>0.0136852394916911</v>
      </c>
      <c r="AS154" s="89" t="n">
        <v>0.0136852394916911</v>
      </c>
      <c r="AT154" s="91" t="n">
        <v>0</v>
      </c>
      <c r="AU154" s="91" t="n">
        <v>0</v>
      </c>
      <c r="AV154" s="91" t="n">
        <v>234</v>
      </c>
      <c r="AW154" s="91" t="n">
        <v>183</v>
      </c>
      <c r="AX154" s="91" t="n">
        <v>159</v>
      </c>
      <c r="AY154" s="91" t="n">
        <v>310</v>
      </c>
      <c r="AZ154" s="88" t="n">
        <v>0.01850166818319685</v>
      </c>
      <c r="BA154" s="88" t="n">
        <v>0.01607521989687595</v>
      </c>
      <c r="BB154" s="88" t="n">
        <v>0.0313416236983116</v>
      </c>
      <c r="BC154" s="88" t="n">
        <v>0.1848837209302326</v>
      </c>
      <c r="BD154" s="91" t="n">
        <v>0</v>
      </c>
      <c r="BE154" s="91" t="n">
        <v>0</v>
      </c>
      <c r="BF154" s="89" t="n">
        <v>1</v>
      </c>
      <c r="BG154" s="89" t="n">
        <v>0.9</v>
      </c>
      <c r="BH154" s="89" t="inlineStr">
        <is>
          <t>-</t>
        </is>
      </c>
    </row>
    <row r="155" ht="19.55" customHeight="1">
      <c r="A155" s="92" t="n">
        <v>152</v>
      </c>
      <c r="B155" s="87" t="inlineStr">
        <is>
          <t>全国</t>
        </is>
      </c>
      <c r="C155" s="93" t="n">
        <v>45930</v>
      </c>
      <c r="D155" s="87" t="inlineStr">
        <is>
          <t>NX8</t>
        </is>
      </c>
      <c r="E155" s="87" t="n">
        <v>252</v>
      </c>
      <c r="F155" s="87" t="n">
        <v>227</v>
      </c>
      <c r="G155" s="88" t="n">
        <v>0.9007936507936508</v>
      </c>
      <c r="H155" s="87" t="n">
        <v>102</v>
      </c>
      <c r="I155" s="89" t="n">
        <v>0.4047619047619048</v>
      </c>
      <c r="J155" s="87" t="n">
        <v>56</v>
      </c>
      <c r="K155" s="87" t="n">
        <v>55</v>
      </c>
      <c r="L155" s="88" t="n">
        <v>0.982</v>
      </c>
      <c r="M155" s="87" t="n">
        <v>94</v>
      </c>
      <c r="N155" s="87" t="n">
        <v>14</v>
      </c>
      <c r="O155" s="87" t="n">
        <v>92</v>
      </c>
      <c r="P155" s="88" t="n">
        <v>0.9787234042553191</v>
      </c>
      <c r="Q155" s="87" t="n">
        <v>0</v>
      </c>
      <c r="R155" s="87" t="n">
        <v>10318</v>
      </c>
      <c r="S155" s="87" t="n">
        <v>4723</v>
      </c>
      <c r="T155" s="88" t="n">
        <v>0.4577437487885249</v>
      </c>
      <c r="U155" s="87" t="n">
        <v>1344</v>
      </c>
      <c r="V155" s="88" t="n">
        <v>0.1302578018995929</v>
      </c>
      <c r="W155" s="87" t="n">
        <v>0</v>
      </c>
      <c r="X155" s="88" t="n">
        <v>0</v>
      </c>
      <c r="Y155" s="87" t="n">
        <v>0</v>
      </c>
      <c r="Z155" s="90" t="n">
        <v>0</v>
      </c>
      <c r="AA155" s="87" t="n">
        <v>0</v>
      </c>
      <c r="AB155" s="88" t="n">
        <v>0</v>
      </c>
      <c r="AC155" s="87" t="n">
        <v>62</v>
      </c>
      <c r="AD155" s="88" t="n">
        <v>0.246031746031746</v>
      </c>
      <c r="AE155" s="87" t="n">
        <v>8</v>
      </c>
      <c r="AF155" s="88" t="n">
        <v>0.1290322580645161</v>
      </c>
      <c r="AG155" s="87" t="n">
        <v>43</v>
      </c>
      <c r="AH155" s="88" t="n">
        <v>0.6935483870967742</v>
      </c>
      <c r="AI155" s="91" t="n">
        <v>0</v>
      </c>
      <c r="AJ155" s="88" t="n">
        <v>0</v>
      </c>
      <c r="AK155" s="91" t="n">
        <v>0</v>
      </c>
      <c r="AL155" s="88" t="n">
        <v>0</v>
      </c>
      <c r="AM155" s="91" t="n">
        <v>0</v>
      </c>
      <c r="AN155" s="91" t="n">
        <v>0</v>
      </c>
      <c r="AO155" s="88" t="n">
        <v>0</v>
      </c>
      <c r="AP155" s="88" t="n">
        <v>0</v>
      </c>
      <c r="AQ155" s="89" t="n"/>
      <c r="AR155" s="89" t="n">
        <v>0</v>
      </c>
      <c r="AS155" s="89" t="n">
        <v>0</v>
      </c>
      <c r="AT155" s="91" t="n">
        <v>0</v>
      </c>
      <c r="AU155" s="91" t="n">
        <v>0</v>
      </c>
      <c r="AV155" s="91" t="n">
        <v>0</v>
      </c>
      <c r="AW155" s="91" t="n">
        <v>0</v>
      </c>
      <c r="AX155" s="91" t="n">
        <v>0</v>
      </c>
      <c r="AY155" s="91" t="n">
        <v>0</v>
      </c>
      <c r="AZ155" s="88" t="n">
        <v>0</v>
      </c>
      <c r="BA155" s="88" t="n">
        <v>0</v>
      </c>
      <c r="BB155" s="88" t="n">
        <v>0</v>
      </c>
      <c r="BC155" s="88" t="n">
        <v>0</v>
      </c>
      <c r="BD155" s="91" t="n">
        <v>0</v>
      </c>
      <c r="BE155" s="91" t="n">
        <v>0</v>
      </c>
      <c r="BF155" s="89" t="inlineStr">
        <is>
          <t>-</t>
        </is>
      </c>
      <c r="BG155" s="89" t="inlineStr">
        <is>
          <t>-</t>
        </is>
      </c>
      <c r="BH155" s="89" t="inlineStr">
        <is>
          <t>-</t>
        </is>
      </c>
    </row>
    <row r="156" ht="19.55" customHeight="1">
      <c r="A156" s="92" t="n">
        <v>153</v>
      </c>
      <c r="B156" s="87" t="inlineStr">
        <is>
          <t>全国</t>
        </is>
      </c>
      <c r="C156" s="93" t="n">
        <v>45930</v>
      </c>
      <c r="D156" s="87" t="inlineStr">
        <is>
          <t>天籁·鸿蒙座舱</t>
        </is>
      </c>
      <c r="E156" s="87" t="n">
        <v>132</v>
      </c>
      <c r="F156" s="87" t="n">
        <v>124</v>
      </c>
      <c r="G156" s="88" t="n">
        <v>0.9393939393939394</v>
      </c>
      <c r="H156" s="87" t="n">
        <v>75</v>
      </c>
      <c r="I156" s="89" t="n">
        <v>0.5681818181818182</v>
      </c>
      <c r="J156" s="87" t="n">
        <v>66</v>
      </c>
      <c r="K156" s="87" t="n">
        <v>66</v>
      </c>
      <c r="L156" s="88" t="n">
        <v>1</v>
      </c>
      <c r="M156" s="87" t="n">
        <v>180</v>
      </c>
      <c r="N156" s="87" t="n">
        <v>104</v>
      </c>
      <c r="O156" s="87" t="n">
        <v>178</v>
      </c>
      <c r="P156" s="88" t="n">
        <v>0.9888888888888889</v>
      </c>
      <c r="Q156" s="87" t="n">
        <v>0</v>
      </c>
      <c r="R156" s="87" t="n">
        <v>4600</v>
      </c>
      <c r="S156" s="87" t="n">
        <v>2016</v>
      </c>
      <c r="T156" s="88" t="n">
        <v>0.4382608695652174</v>
      </c>
      <c r="U156" s="87" t="n">
        <v>645</v>
      </c>
      <c r="V156" s="88" t="n">
        <v>0.1402173913043478</v>
      </c>
      <c r="W156" s="87" t="n">
        <v>0</v>
      </c>
      <c r="X156" s="88" t="n">
        <v>0</v>
      </c>
      <c r="Y156" s="87" t="n">
        <v>0</v>
      </c>
      <c r="Z156" s="90" t="n">
        <v>0</v>
      </c>
      <c r="AA156" s="87" t="n">
        <v>0</v>
      </c>
      <c r="AB156" s="88" t="n">
        <v>0</v>
      </c>
      <c r="AC156" s="87" t="n">
        <v>41</v>
      </c>
      <c r="AD156" s="88" t="n">
        <v>0.3106060606060606</v>
      </c>
      <c r="AE156" s="87" t="n">
        <v>1</v>
      </c>
      <c r="AF156" s="88" t="n">
        <v>0.02439024390243903</v>
      </c>
      <c r="AG156" s="87" t="n">
        <v>29</v>
      </c>
      <c r="AH156" s="88" t="n">
        <v>0.7073170731707317</v>
      </c>
      <c r="AI156" s="91" t="n">
        <v>0</v>
      </c>
      <c r="AJ156" s="88" t="n">
        <v>0</v>
      </c>
      <c r="AK156" s="91" t="n">
        <v>0</v>
      </c>
      <c r="AL156" s="88" t="n">
        <v>0</v>
      </c>
      <c r="AM156" s="91" t="n">
        <v>0</v>
      </c>
      <c r="AN156" s="91" t="n">
        <v>0</v>
      </c>
      <c r="AO156" s="88" t="n">
        <v>0</v>
      </c>
      <c r="AP156" s="88" t="n">
        <v>0</v>
      </c>
      <c r="AQ156" s="89" t="n">
        <v>1</v>
      </c>
      <c r="AR156" s="89" t="n">
        <v>0</v>
      </c>
      <c r="AS156" s="89" t="n">
        <v>0</v>
      </c>
      <c r="AT156" s="91" t="n">
        <v>0</v>
      </c>
      <c r="AU156" s="91" t="n">
        <v>0</v>
      </c>
      <c r="AV156" s="91" t="n">
        <v>0</v>
      </c>
      <c r="AW156" s="91" t="n">
        <v>0</v>
      </c>
      <c r="AX156" s="91" t="n">
        <v>0</v>
      </c>
      <c r="AY156" s="91" t="n">
        <v>0</v>
      </c>
      <c r="AZ156" s="88" t="n">
        <v>0</v>
      </c>
      <c r="BA156" s="88" t="n">
        <v>0</v>
      </c>
      <c r="BB156" s="88" t="n">
        <v>0</v>
      </c>
      <c r="BC156" s="88" t="n">
        <v>0</v>
      </c>
      <c r="BD156" s="91" t="n">
        <v>0</v>
      </c>
      <c r="BE156" s="91" t="n">
        <v>0</v>
      </c>
      <c r="BF156" s="89" t="inlineStr">
        <is>
          <t>-</t>
        </is>
      </c>
      <c r="BG156" s="89" t="inlineStr">
        <is>
          <t>-</t>
        </is>
      </c>
      <c r="BH156" s="89" t="inlineStr">
        <is>
          <t>-</t>
        </is>
      </c>
    </row>
    <row r="157">
      <c r="A157" s="92" t="n"/>
      <c r="B157" s="87" t="n"/>
      <c r="C157" s="93" t="n"/>
      <c r="D157" s="87" t="n"/>
      <c r="E157" s="87" t="n"/>
      <c r="F157" s="87" t="n"/>
      <c r="G157" s="88" t="n"/>
      <c r="H157" s="87" t="n"/>
      <c r="I157" s="89" t="n"/>
      <c r="J157" s="87" t="n"/>
      <c r="K157" s="87" t="n"/>
      <c r="L157" s="88" t="n"/>
      <c r="M157" s="87" t="n"/>
      <c r="N157" s="87" t="n"/>
      <c r="O157" s="87" t="n"/>
      <c r="P157" s="88" t="n"/>
      <c r="Q157" s="87" t="n"/>
      <c r="R157" s="87" t="n"/>
      <c r="S157" s="87" t="n"/>
      <c r="T157" s="88" t="n"/>
      <c r="U157" s="87" t="n"/>
      <c r="V157" s="88" t="n"/>
      <c r="W157" s="87" t="n"/>
      <c r="X157" s="88" t="n"/>
      <c r="Y157" s="87" t="n"/>
      <c r="Z157" s="90" t="n"/>
      <c r="AA157" s="87" t="n"/>
      <c r="AB157" s="88" t="n"/>
      <c r="AC157" s="87" t="n"/>
      <c r="AD157" s="88" t="n"/>
      <c r="AE157" s="87" t="n"/>
      <c r="AF157" s="88" t="n"/>
      <c r="AG157" s="87" t="n"/>
      <c r="AH157" s="88" t="n"/>
      <c r="AI157" s="91" t="n"/>
      <c r="AJ157" s="88" t="n"/>
      <c r="AK157" s="91" t="n"/>
      <c r="AL157" s="88" t="n"/>
      <c r="AM157" s="91" t="n"/>
      <c r="AN157" s="91" t="n"/>
      <c r="AO157" s="88" t="n"/>
      <c r="AP157" s="88" t="n"/>
      <c r="AQ157" s="89" t="n"/>
      <c r="AR157" s="89" t="n"/>
      <c r="AS157" s="89" t="n"/>
      <c r="AT157" s="91" t="n"/>
      <c r="AU157" s="91" t="n"/>
      <c r="AV157" s="91" t="n"/>
      <c r="AW157" s="91" t="n"/>
      <c r="AX157" s="91" t="n"/>
      <c r="AY157" s="91" t="n"/>
      <c r="AZ157" s="88" t="n"/>
      <c r="BA157" s="88" t="n"/>
      <c r="BB157" s="88" t="n"/>
      <c r="BC157" s="88" t="n"/>
      <c r="BD157" s="91" t="n"/>
      <c r="BE157" s="91" t="n"/>
      <c r="BF157" s="89" t="n"/>
      <c r="BG157" s="89" t="n"/>
      <c r="BH157" s="89" t="n"/>
    </row>
    <row r="158">
      <c r="A158" s="94" t="n"/>
      <c r="B158" s="29" t="n"/>
      <c r="C158" s="35" t="n"/>
      <c r="D158" s="29" t="n"/>
      <c r="E158" s="29" t="n"/>
      <c r="F158" s="29" t="n"/>
      <c r="G158" s="95" t="n"/>
      <c r="H158" s="29" t="n"/>
      <c r="I158" s="96" t="n"/>
      <c r="J158" s="29" t="n"/>
      <c r="K158" s="29" t="n"/>
      <c r="L158" s="95" t="n"/>
      <c r="M158" s="29" t="n"/>
      <c r="N158" s="29" t="n"/>
      <c r="O158" s="29" t="n"/>
      <c r="P158" s="95" t="n"/>
      <c r="Q158" s="29" t="n"/>
      <c r="R158" s="29" t="n"/>
      <c r="S158" s="29" t="n"/>
      <c r="T158" s="95" t="n"/>
      <c r="U158" s="29" t="n"/>
      <c r="V158" s="95" t="n"/>
      <c r="W158" s="29" t="n"/>
      <c r="X158" s="95" t="n"/>
      <c r="Y158" s="29" t="n"/>
      <c r="Z158" s="97" t="n"/>
      <c r="AA158" s="29" t="n"/>
      <c r="AB158" s="95" t="n"/>
      <c r="AC158" s="29" t="n"/>
      <c r="AD158" s="95" t="n"/>
      <c r="AE158" s="29" t="n"/>
      <c r="AF158" s="95" t="n"/>
      <c r="AG158" s="29" t="n"/>
      <c r="AH158" s="95" t="n"/>
      <c r="AI158" s="33" t="n"/>
      <c r="AJ158" s="95" t="n"/>
      <c r="AK158" s="33" t="n"/>
      <c r="AL158" s="95" t="n"/>
      <c r="AM158" s="33" t="n"/>
      <c r="AN158" s="33" t="n"/>
      <c r="AO158" s="95" t="n"/>
      <c r="AP158" s="95" t="n"/>
      <c r="AQ158" s="96" t="n"/>
      <c r="AR158" s="96" t="n"/>
      <c r="AS158" s="96" t="n"/>
      <c r="AT158" s="33" t="n"/>
      <c r="AU158" s="33" t="n"/>
      <c r="AV158" s="33" t="n"/>
      <c r="AW158" s="33" t="n"/>
      <c r="AX158" s="33" t="n"/>
      <c r="AY158" s="33" t="n"/>
      <c r="AZ158" s="95" t="n"/>
      <c r="BA158" s="95" t="n"/>
      <c r="BB158" s="95" t="n"/>
      <c r="BC158" s="95" t="n"/>
      <c r="BD158" s="33" t="n"/>
      <c r="BE158" s="33" t="n"/>
      <c r="BF158" s="96" t="n"/>
      <c r="BG158" s="96" t="n"/>
      <c r="BH158" s="96" t="n"/>
    </row>
    <row r="159">
      <c r="A159" s="94" t="n"/>
      <c r="B159" s="29" t="n"/>
      <c r="C159" s="35" t="n"/>
      <c r="D159" s="29" t="n"/>
      <c r="E159" s="29" t="n"/>
      <c r="F159" s="29" t="n"/>
      <c r="G159" s="95" t="n"/>
      <c r="H159" s="29" t="n"/>
      <c r="I159" s="96" t="n"/>
      <c r="J159" s="29" t="n"/>
      <c r="K159" s="29" t="n"/>
      <c r="L159" s="95" t="n"/>
      <c r="M159" s="29" t="n"/>
      <c r="N159" s="29" t="n"/>
      <c r="O159" s="29" t="n"/>
      <c r="P159" s="95" t="n"/>
      <c r="Q159" s="29" t="n"/>
      <c r="R159" s="29" t="n"/>
      <c r="S159" s="29" t="n"/>
      <c r="T159" s="95" t="n"/>
      <c r="U159" s="29" t="n"/>
      <c r="V159" s="95" t="n"/>
      <c r="W159" s="29" t="n"/>
      <c r="X159" s="95" t="n"/>
      <c r="Y159" s="29" t="n"/>
      <c r="Z159" s="97" t="n"/>
      <c r="AA159" s="29" t="n"/>
      <c r="AB159" s="95" t="n"/>
      <c r="AC159" s="29" t="n"/>
      <c r="AD159" s="95" t="n"/>
      <c r="AE159" s="29" t="n"/>
      <c r="AF159" s="95" t="n"/>
      <c r="AG159" s="29" t="n"/>
      <c r="AH159" s="95" t="n"/>
      <c r="AI159" s="33" t="n"/>
      <c r="AJ159" s="95" t="n"/>
      <c r="AK159" s="33" t="n"/>
      <c r="AL159" s="95" t="n"/>
      <c r="AM159" s="33" t="n"/>
      <c r="AN159" s="33" t="n"/>
      <c r="AO159" s="95" t="n"/>
      <c r="AP159" s="95" t="n"/>
      <c r="AQ159" s="96" t="n"/>
      <c r="AR159" s="96" t="n"/>
      <c r="AS159" s="96" t="n"/>
      <c r="AT159" s="33" t="n"/>
      <c r="AU159" s="33" t="n"/>
      <c r="AV159" s="33" t="n"/>
      <c r="AW159" s="33" t="n"/>
      <c r="AX159" s="33" t="n"/>
      <c r="AY159" s="33" t="n"/>
      <c r="AZ159" s="95" t="n"/>
      <c r="BA159" s="95" t="n"/>
      <c r="BB159" s="95" t="n"/>
      <c r="BC159" s="95" t="n"/>
      <c r="BD159" s="33" t="n"/>
      <c r="BE159" s="33" t="n"/>
      <c r="BF159" s="96" t="n"/>
      <c r="BG159" s="96" t="n"/>
      <c r="BH159" s="96" t="n"/>
    </row>
    <row r="160">
      <c r="A160" s="94" t="n"/>
      <c r="B160" s="29" t="n"/>
      <c r="C160" s="35" t="n"/>
      <c r="D160" s="29" t="n"/>
      <c r="E160" s="29" t="n"/>
      <c r="F160" s="29" t="n"/>
      <c r="G160" s="95" t="n"/>
      <c r="H160" s="29" t="n"/>
      <c r="I160" s="96" t="n"/>
      <c r="J160" s="29" t="n"/>
      <c r="K160" s="29" t="n"/>
      <c r="L160" s="95" t="n"/>
      <c r="M160" s="29" t="n"/>
      <c r="N160" s="29" t="n"/>
      <c r="O160" s="29" t="n"/>
      <c r="P160" s="95" t="n"/>
      <c r="Q160" s="29" t="n"/>
      <c r="R160" s="29" t="n"/>
      <c r="S160" s="29" t="n"/>
      <c r="T160" s="95" t="n"/>
      <c r="U160" s="29" t="n"/>
      <c r="V160" s="95" t="n"/>
      <c r="W160" s="29" t="n"/>
      <c r="X160" s="95" t="n"/>
      <c r="Y160" s="29" t="n"/>
      <c r="Z160" s="97" t="n"/>
      <c r="AA160" s="29" t="n"/>
      <c r="AB160" s="95" t="n"/>
      <c r="AC160" s="29" t="n"/>
      <c r="AD160" s="95" t="n"/>
      <c r="AE160" s="29" t="n"/>
      <c r="AF160" s="95" t="n"/>
      <c r="AG160" s="29" t="n"/>
      <c r="AH160" s="95" t="n"/>
      <c r="AI160" s="33" t="n"/>
      <c r="AJ160" s="95" t="n"/>
      <c r="AK160" s="33" t="n"/>
      <c r="AL160" s="95" t="n"/>
      <c r="AM160" s="33" t="n"/>
      <c r="AN160" s="33" t="n"/>
      <c r="AO160" s="95" t="n"/>
      <c r="AP160" s="95" t="n"/>
      <c r="AQ160" s="96" t="n"/>
      <c r="AR160" s="96" t="n"/>
      <c r="AS160" s="96" t="n"/>
      <c r="AT160" s="33" t="n"/>
      <c r="AU160" s="33" t="n"/>
      <c r="AV160" s="33" t="n"/>
      <c r="AW160" s="33" t="n"/>
      <c r="AX160" s="33" t="n"/>
      <c r="AY160" s="33" t="n"/>
      <c r="AZ160" s="95" t="n"/>
      <c r="BA160" s="95" t="n"/>
      <c r="BB160" s="95" t="n"/>
      <c r="BC160" s="95" t="n"/>
      <c r="BD160" s="33" t="n"/>
      <c r="BE160" s="33" t="n"/>
      <c r="BF160" s="96" t="n"/>
      <c r="BG160" s="96" t="n"/>
      <c r="BH160" s="96" t="n"/>
    </row>
    <row r="161">
      <c r="A161" s="94" t="n"/>
      <c r="B161" s="29" t="n"/>
      <c r="C161" s="35" t="n"/>
      <c r="D161" s="29" t="n"/>
      <c r="E161" s="29" t="n"/>
      <c r="F161" s="29" t="n"/>
      <c r="G161" s="95" t="n"/>
      <c r="H161" s="29" t="n"/>
      <c r="I161" s="96" t="n"/>
      <c r="J161" s="29" t="n"/>
      <c r="K161" s="29" t="n"/>
      <c r="L161" s="95" t="n"/>
      <c r="M161" s="29" t="n"/>
      <c r="N161" s="29" t="n"/>
      <c r="O161" s="29" t="n"/>
      <c r="P161" s="95" t="n"/>
      <c r="Q161" s="29" t="n"/>
      <c r="R161" s="29" t="n"/>
      <c r="S161" s="29" t="n"/>
      <c r="T161" s="95" t="n"/>
      <c r="U161" s="29" t="n"/>
      <c r="V161" s="95" t="n"/>
      <c r="W161" s="29" t="n"/>
      <c r="X161" s="95" t="n"/>
      <c r="Y161" s="29" t="n"/>
      <c r="Z161" s="97" t="n"/>
      <c r="AA161" s="29" t="n"/>
      <c r="AB161" s="95" t="n"/>
      <c r="AC161" s="29" t="n"/>
      <c r="AD161" s="95" t="n"/>
      <c r="AE161" s="29" t="n"/>
      <c r="AF161" s="95" t="n"/>
      <c r="AG161" s="29" t="n"/>
      <c r="AH161" s="95" t="n"/>
      <c r="AI161" s="33" t="n"/>
      <c r="AJ161" s="95" t="n"/>
      <c r="AK161" s="33" t="n"/>
      <c r="AL161" s="95" t="n"/>
      <c r="AM161" s="33" t="n"/>
      <c r="AN161" s="33" t="n"/>
      <c r="AO161" s="95" t="n"/>
      <c r="AP161" s="95" t="n"/>
      <c r="AQ161" s="96" t="n"/>
      <c r="AR161" s="96" t="n"/>
      <c r="AS161" s="96" t="n"/>
      <c r="AT161" s="33" t="n"/>
      <c r="AU161" s="33" t="n"/>
      <c r="AV161" s="33" t="n"/>
      <c r="AW161" s="33" t="n"/>
      <c r="AX161" s="33" t="n"/>
      <c r="AY161" s="33" t="n"/>
      <c r="AZ161" s="95" t="n"/>
      <c r="BA161" s="95" t="n"/>
      <c r="BB161" s="95" t="n"/>
      <c r="BC161" s="95" t="n"/>
      <c r="BD161" s="33" t="n"/>
      <c r="BE161" s="33" t="n"/>
      <c r="BF161" s="96" t="n"/>
      <c r="BG161" s="96" t="n"/>
      <c r="BH161" s="96" t="n"/>
    </row>
    <row r="162">
      <c r="A162" s="94" t="n"/>
      <c r="B162" s="29" t="n"/>
      <c r="C162" s="35" t="n"/>
      <c r="D162" s="29" t="n"/>
      <c r="E162" s="29" t="n"/>
      <c r="F162" s="29" t="n"/>
      <c r="G162" s="95" t="n"/>
      <c r="H162" s="29" t="n"/>
      <c r="I162" s="96" t="n"/>
      <c r="J162" s="29" t="n"/>
      <c r="K162" s="29" t="n"/>
      <c r="L162" s="95" t="n"/>
      <c r="M162" s="29" t="n"/>
      <c r="N162" s="29" t="n"/>
      <c r="O162" s="29" t="n"/>
      <c r="P162" s="95" t="n"/>
      <c r="Q162" s="29" t="n"/>
      <c r="R162" s="29" t="n"/>
      <c r="S162" s="29" t="n"/>
      <c r="T162" s="95" t="n"/>
      <c r="U162" s="29" t="n"/>
      <c r="V162" s="95" t="n"/>
      <c r="W162" s="29" t="n"/>
      <c r="X162" s="95" t="n"/>
      <c r="Y162" s="29" t="n"/>
      <c r="Z162" s="97" t="n"/>
      <c r="AA162" s="29" t="n"/>
      <c r="AB162" s="95" t="n"/>
      <c r="AC162" s="29" t="n"/>
      <c r="AD162" s="95" t="n"/>
      <c r="AE162" s="29" t="n"/>
      <c r="AF162" s="95" t="n"/>
      <c r="AG162" s="29" t="n"/>
      <c r="AH162" s="95" t="n"/>
      <c r="AI162" s="33" t="n"/>
      <c r="AJ162" s="95" t="n"/>
      <c r="AK162" s="33" t="n"/>
      <c r="AL162" s="95" t="n"/>
      <c r="AM162" s="33" t="n"/>
      <c r="AN162" s="33" t="n"/>
      <c r="AO162" s="95" t="n"/>
      <c r="AP162" s="95" t="n"/>
      <c r="AQ162" s="96" t="n"/>
      <c r="AR162" s="96" t="n"/>
      <c r="AS162" s="96" t="n"/>
      <c r="AT162" s="33" t="n"/>
      <c r="AU162" s="33" t="n"/>
      <c r="AV162" s="33" t="n"/>
      <c r="AW162" s="33" t="n"/>
      <c r="AX162" s="33" t="n"/>
      <c r="AY162" s="33" t="n"/>
      <c r="AZ162" s="95" t="n"/>
      <c r="BA162" s="95" t="n"/>
      <c r="BB162" s="95" t="n"/>
      <c r="BC162" s="95" t="n"/>
      <c r="BD162" s="33" t="n"/>
      <c r="BE162" s="33" t="n"/>
      <c r="BF162" s="96" t="n"/>
      <c r="BG162" s="96" t="n"/>
      <c r="BH162" s="96" t="n"/>
    </row>
    <row r="163">
      <c r="A163" s="94" t="n"/>
      <c r="B163" s="29" t="n"/>
      <c r="C163" s="35" t="n"/>
      <c r="D163" s="29" t="n"/>
      <c r="E163" s="29" t="n"/>
      <c r="F163" s="29" t="n"/>
      <c r="G163" s="95" t="n"/>
      <c r="H163" s="29" t="n"/>
      <c r="I163" s="96" t="n"/>
      <c r="J163" s="29" t="n"/>
      <c r="K163" s="29" t="n"/>
      <c r="L163" s="95" t="n"/>
      <c r="M163" s="29" t="n"/>
      <c r="N163" s="29" t="n"/>
      <c r="O163" s="29" t="n"/>
      <c r="P163" s="95" t="n"/>
      <c r="Q163" s="29" t="n"/>
      <c r="R163" s="29" t="n"/>
      <c r="S163" s="29" t="n"/>
      <c r="T163" s="95" t="n"/>
      <c r="U163" s="29" t="n"/>
      <c r="V163" s="95" t="n"/>
      <c r="W163" s="29" t="n"/>
      <c r="X163" s="95" t="n"/>
      <c r="Y163" s="29" t="n"/>
      <c r="Z163" s="97" t="n"/>
      <c r="AA163" s="29" t="n"/>
      <c r="AB163" s="95" t="n"/>
      <c r="AC163" s="29" t="n"/>
      <c r="AD163" s="95" t="n"/>
      <c r="AE163" s="29" t="n"/>
      <c r="AF163" s="95" t="n"/>
      <c r="AG163" s="29" t="n"/>
      <c r="AH163" s="95" t="n"/>
      <c r="AI163" s="33" t="n"/>
      <c r="AJ163" s="95" t="n"/>
      <c r="AK163" s="33" t="n"/>
      <c r="AL163" s="95" t="n"/>
      <c r="AM163" s="33" t="n"/>
      <c r="AN163" s="33" t="n"/>
      <c r="AO163" s="95" t="n"/>
      <c r="AP163" s="95" t="n"/>
      <c r="AQ163" s="96" t="n"/>
      <c r="AR163" s="96" t="n"/>
      <c r="AS163" s="96" t="n"/>
      <c r="AT163" s="33" t="n"/>
      <c r="AU163" s="33" t="n"/>
      <c r="AV163" s="33" t="n"/>
      <c r="AW163" s="33" t="n"/>
      <c r="AX163" s="33" t="n"/>
      <c r="AY163" s="33" t="n"/>
      <c r="AZ163" s="95" t="n"/>
      <c r="BA163" s="95" t="n"/>
      <c r="BB163" s="95" t="n"/>
      <c r="BC163" s="95" t="n"/>
      <c r="BD163" s="33" t="n"/>
      <c r="BE163" s="33" t="n"/>
      <c r="BF163" s="96" t="n"/>
      <c r="BG163" s="96" t="n"/>
      <c r="BH163" s="96" t="n"/>
    </row>
  </sheetData>
  <mergeCells count="13">
    <mergeCell ref="R1:V1"/>
    <mergeCell ref="AC1:AH1"/>
    <mergeCell ref="AT1:BC1"/>
    <mergeCell ref="W1:AB1"/>
    <mergeCell ref="A3:D3"/>
    <mergeCell ref="E1:I1"/>
    <mergeCell ref="D1:D2"/>
    <mergeCell ref="B1:B2"/>
    <mergeCell ref="C1:C2"/>
    <mergeCell ref="J1:Q1"/>
    <mergeCell ref="BD1:BH1"/>
    <mergeCell ref="AI1:AS1"/>
    <mergeCell ref="A1:A2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>
  <sheetPr>
    <tabColor rgb="FF92D050"/>
    <outlinePr summaryBelow="1" summaryRight="1"/>
    <pageSetUpPr/>
  </sheetPr>
  <dimension ref="A1:U64"/>
  <sheetViews>
    <sheetView workbookViewId="0">
      <selection activeCell="G47" sqref="G47"/>
    </sheetView>
  </sheetViews>
  <sheetFormatPr baseColWidth="8" defaultRowHeight="14.25"/>
  <cols>
    <col width="3.90625" customWidth="1" min="1" max="1"/>
    <col width="23.4375" customWidth="1" min="2" max="2"/>
    <col width="23.4375" customWidth="1" min="3" max="3"/>
    <col width="23.4375" customWidth="1" min="4" max="4"/>
    <col width="23.4375" customWidth="1" min="5" max="5"/>
    <col width="23.4375" customWidth="1" min="6" max="6"/>
    <col width="23.4375" customWidth="1" min="7" max="7"/>
    <col width="23.4375" customWidth="1" min="8" max="8"/>
    <col width="23.4375" customWidth="1" min="9" max="9"/>
    <col width="23.4375" customWidth="1" min="10" max="10"/>
    <col width="23.4375" customWidth="1" min="11" max="11"/>
    <col width="23.4375" customWidth="1" min="12" max="12"/>
    <col width="23.4375" customWidth="1" min="13" max="13"/>
    <col width="23.4375" customWidth="1" min="14" max="14"/>
    <col width="23.4375" customWidth="1" min="15" max="15"/>
    <col width="23.4375" customWidth="1" min="16" max="16"/>
    <col width="23.4375" customWidth="1" min="17" max="17"/>
    <col width="23.4375" customWidth="1" min="18" max="18"/>
    <col width="23.4375" customWidth="1" min="19" max="19"/>
    <col width="23.4375" customWidth="1" min="20" max="20"/>
    <col width="23.4375" customWidth="1" min="21" max="21"/>
    <col width="8" customWidth="1" min="22" max="22"/>
    <col width="8" customWidth="1" min="23" max="23"/>
  </cols>
  <sheetData>
    <row r="1">
      <c r="A1" s="102" t="inlineStr">
        <is>
          <t>序号</t>
        </is>
      </c>
      <c r="B1" s="102" t="inlineStr">
        <is>
          <t>按日</t>
        </is>
      </c>
      <c r="C1" s="102" t="inlineStr">
        <is>
          <t>线索总量</t>
        </is>
      </c>
      <c r="D1" s="102" t="inlineStr">
        <is>
          <t>应回访线索量</t>
        </is>
      </c>
      <c r="E1" s="102" t="inlineStr">
        <is>
          <t>按时回访量</t>
        </is>
      </c>
      <c r="F1" s="102" t="inlineStr">
        <is>
          <t>超时回访量</t>
        </is>
      </c>
      <c r="G1" s="102" t="inlineStr">
        <is>
          <t>有效线索量</t>
        </is>
      </c>
      <c r="H1" s="102" t="inlineStr">
        <is>
          <t>到店量</t>
        </is>
      </c>
      <c r="I1" s="102" t="inlineStr">
        <is>
          <t>订单量</t>
        </is>
      </c>
      <c r="J1" s="102" t="inlineStr">
        <is>
          <t>成交量</t>
        </is>
      </c>
      <c r="K1" s="102" t="inlineStr">
        <is>
          <t>总成交量</t>
        </is>
      </c>
      <c r="L1" s="102" t="inlineStr">
        <is>
          <t>战败线索量</t>
        </is>
      </c>
      <c r="M1" s="102" t="inlineStr">
        <is>
          <t>线索有效率</t>
        </is>
      </c>
      <c r="N1" s="102" t="inlineStr">
        <is>
          <t>有效线索到店率</t>
        </is>
      </c>
      <c r="O1" s="102" t="inlineStr">
        <is>
          <t>有效线索下订率</t>
        </is>
      </c>
      <c r="P1" s="102" t="inlineStr">
        <is>
          <t>到店成交率</t>
        </is>
      </c>
      <c r="Q1" s="102" t="inlineStr">
        <is>
          <t>有效线索转化率</t>
        </is>
      </c>
      <c r="R1" s="102" t="inlineStr">
        <is>
          <t>线索到店率</t>
        </is>
      </c>
      <c r="S1" s="102" t="inlineStr">
        <is>
          <t>线索下订率</t>
        </is>
      </c>
      <c r="T1" s="102" t="inlineStr">
        <is>
          <t>线索转化率</t>
        </is>
      </c>
      <c r="U1" s="102" t="inlineStr">
        <is>
          <t>数营成交贡献度</t>
        </is>
      </c>
    </row>
    <row r="2">
      <c r="A2" s="103" t="inlineStr">
        <is>
          <t>1</t>
        </is>
      </c>
      <c r="B2" s="103" t="inlineStr">
        <is>
          <t>合计</t>
        </is>
      </c>
      <c r="C2" s="104" t="n">
        <v>866880</v>
      </c>
      <c r="D2" s="104" t="n">
        <v>866747</v>
      </c>
      <c r="E2" s="104" t="n">
        <v>783407</v>
      </c>
      <c r="F2" s="104" t="n">
        <v>83340</v>
      </c>
      <c r="G2" s="104" t="n">
        <v>629607</v>
      </c>
      <c r="H2" s="104" t="n">
        <v>30607</v>
      </c>
      <c r="I2" s="104" t="n">
        <v>12404</v>
      </c>
      <c r="J2" s="104" t="n">
        <v>6072</v>
      </c>
      <c r="K2" s="105" t="n">
        <v>23819</v>
      </c>
      <c r="L2" s="104" t="n">
        <v>48915</v>
      </c>
      <c r="M2" s="103" t="inlineStr">
        <is>
          <t>72.63%</t>
        </is>
      </c>
      <c r="N2" s="103" t="inlineStr">
        <is>
          <t>4.86%</t>
        </is>
      </c>
      <c r="O2" s="103" t="inlineStr">
        <is>
          <t>1.97%</t>
        </is>
      </c>
      <c r="P2" s="103" t="inlineStr">
        <is>
          <t>19.84%</t>
        </is>
      </c>
      <c r="Q2" s="103" t="inlineStr">
        <is>
          <t>0.96%</t>
        </is>
      </c>
      <c r="R2" s="103" t="inlineStr">
        <is>
          <t>3.53%</t>
        </is>
      </c>
      <c r="S2" s="103" t="inlineStr">
        <is>
          <t>1.43%</t>
        </is>
      </c>
      <c r="T2" s="103" t="inlineStr">
        <is>
          <t>0.70%</t>
        </is>
      </c>
      <c r="U2" s="103" t="inlineStr">
        <is>
          <t>25.49%</t>
        </is>
      </c>
    </row>
    <row r="3">
      <c r="A3" s="103" t="inlineStr">
        <is>
          <t>2</t>
        </is>
      </c>
      <c r="B3" s="106" t="n">
        <v>46235</v>
      </c>
      <c r="C3" s="104" t="n">
        <v>17944</v>
      </c>
      <c r="D3" s="104" t="n">
        <v>18365</v>
      </c>
      <c r="E3" s="104" t="n">
        <v>16106</v>
      </c>
      <c r="F3" s="104" t="n">
        <v>2259</v>
      </c>
      <c r="G3" s="104" t="n">
        <v>11125</v>
      </c>
      <c r="H3" s="104" t="n">
        <v>452</v>
      </c>
      <c r="I3" s="104" t="n">
        <v>26</v>
      </c>
      <c r="J3" s="104" t="n">
        <v>8</v>
      </c>
      <c r="K3" s="105" t="n">
        <v>179</v>
      </c>
      <c r="L3" s="104" t="n">
        <v>1524</v>
      </c>
      <c r="M3" s="103" t="inlineStr">
        <is>
          <t>62.00%</t>
        </is>
      </c>
      <c r="N3" s="103" t="inlineStr">
        <is>
          <t>4.06%</t>
        </is>
      </c>
      <c r="O3" s="103" t="inlineStr">
        <is>
          <t>0.23%</t>
        </is>
      </c>
      <c r="P3" s="103" t="inlineStr">
        <is>
          <t>1.77%</t>
        </is>
      </c>
      <c r="Q3" s="103" t="inlineStr">
        <is>
          <t>0.07%</t>
        </is>
      </c>
      <c r="R3" s="103" t="inlineStr">
        <is>
          <t>2.52%</t>
        </is>
      </c>
      <c r="S3" s="103" t="inlineStr">
        <is>
          <t>0.14%</t>
        </is>
      </c>
      <c r="T3" s="103" t="inlineStr">
        <is>
          <t>0.04%</t>
        </is>
      </c>
      <c r="U3" s="103" t="inlineStr">
        <is>
          <t>4.47%</t>
        </is>
      </c>
    </row>
    <row r="4">
      <c r="A4" s="103" t="inlineStr">
        <is>
          <t>3</t>
        </is>
      </c>
      <c r="B4" s="106" t="n">
        <v>46236</v>
      </c>
      <c r="C4" s="104" t="n">
        <v>20130</v>
      </c>
      <c r="D4" s="104" t="n">
        <v>19275</v>
      </c>
      <c r="E4" s="104" t="n">
        <v>17453</v>
      </c>
      <c r="F4" s="104" t="n">
        <v>1822</v>
      </c>
      <c r="G4" s="104" t="n">
        <v>12966</v>
      </c>
      <c r="H4" s="104" t="n">
        <v>668</v>
      </c>
      <c r="I4" s="104" t="n">
        <v>47</v>
      </c>
      <c r="J4" s="104" t="n">
        <v>23</v>
      </c>
      <c r="K4" s="105" t="n">
        <v>127</v>
      </c>
      <c r="L4" s="104" t="n">
        <v>1783</v>
      </c>
      <c r="M4" s="103" t="inlineStr">
        <is>
          <t>64.41%</t>
        </is>
      </c>
      <c r="N4" s="103" t="inlineStr">
        <is>
          <t>5.15%</t>
        </is>
      </c>
      <c r="O4" s="103" t="inlineStr">
        <is>
          <t>0.36%</t>
        </is>
      </c>
      <c r="P4" s="103" t="inlineStr">
        <is>
          <t>3.44%</t>
        </is>
      </c>
      <c r="Q4" s="103" t="inlineStr">
        <is>
          <t>0.18%</t>
        </is>
      </c>
      <c r="R4" s="103" t="inlineStr">
        <is>
          <t>3.32%</t>
        </is>
      </c>
      <c r="S4" s="103" t="inlineStr">
        <is>
          <t>0.23%</t>
        </is>
      </c>
      <c r="T4" s="103" t="inlineStr">
        <is>
          <t>0.11%</t>
        </is>
      </c>
      <c r="U4" s="103" t="inlineStr">
        <is>
          <t>18.11%</t>
        </is>
      </c>
    </row>
    <row r="5">
      <c r="A5" s="103" t="inlineStr">
        <is>
          <t>4</t>
        </is>
      </c>
      <c r="B5" s="106" t="n">
        <v>46237</v>
      </c>
      <c r="C5" s="104" t="n">
        <v>17907</v>
      </c>
      <c r="D5" s="104" t="n">
        <v>19054</v>
      </c>
      <c r="E5" s="104" t="n">
        <v>17166</v>
      </c>
      <c r="F5" s="104" t="n">
        <v>1888</v>
      </c>
      <c r="G5" s="104" t="n">
        <v>11395</v>
      </c>
      <c r="H5" s="104" t="n">
        <v>414</v>
      </c>
      <c r="I5" s="104" t="n">
        <v>93</v>
      </c>
      <c r="J5" s="104" t="n">
        <v>7</v>
      </c>
      <c r="K5" s="105" t="n">
        <v>251</v>
      </c>
      <c r="L5" s="104" t="n">
        <v>1559</v>
      </c>
      <c r="M5" s="103" t="inlineStr">
        <is>
          <t>63.63%</t>
        </is>
      </c>
      <c r="N5" s="103" t="inlineStr">
        <is>
          <t>3.63%</t>
        </is>
      </c>
      <c r="O5" s="103" t="inlineStr">
        <is>
          <t>0.82%</t>
        </is>
      </c>
      <c r="P5" s="103" t="inlineStr">
        <is>
          <t>1.69%</t>
        </is>
      </c>
      <c r="Q5" s="103" t="inlineStr">
        <is>
          <t>0.06%</t>
        </is>
      </c>
      <c r="R5" s="103" t="inlineStr">
        <is>
          <t>2.31%</t>
        </is>
      </c>
      <c r="S5" s="103" t="inlineStr">
        <is>
          <t>0.52%</t>
        </is>
      </c>
      <c r="T5" s="103" t="inlineStr">
        <is>
          <t>0.04%</t>
        </is>
      </c>
      <c r="U5" s="103" t="inlineStr">
        <is>
          <t>2.79%</t>
        </is>
      </c>
    </row>
    <row r="6">
      <c r="A6" s="103" t="inlineStr">
        <is>
          <t>5</t>
        </is>
      </c>
      <c r="B6" s="106" t="n">
        <v>46238</v>
      </c>
      <c r="C6" s="104" t="n">
        <v>17569</v>
      </c>
      <c r="D6" s="104" t="n">
        <v>17383</v>
      </c>
      <c r="E6" s="104" t="n">
        <v>15501</v>
      </c>
      <c r="F6" s="104" t="n">
        <v>1882</v>
      </c>
      <c r="G6" s="104" t="n">
        <v>10821</v>
      </c>
      <c r="H6" s="104" t="n">
        <v>536</v>
      </c>
      <c r="I6" s="104" t="n">
        <v>271</v>
      </c>
      <c r="J6" s="104" t="n">
        <v>24</v>
      </c>
      <c r="K6" s="105" t="n">
        <v>164</v>
      </c>
      <c r="L6" s="104" t="n">
        <v>1440</v>
      </c>
      <c r="M6" s="103" t="inlineStr">
        <is>
          <t>61.59%</t>
        </is>
      </c>
      <c r="N6" s="103" t="inlineStr">
        <is>
          <t>4.95%</t>
        </is>
      </c>
      <c r="O6" s="103" t="inlineStr">
        <is>
          <t>2.50%</t>
        </is>
      </c>
      <c r="P6" s="103" t="inlineStr">
        <is>
          <t>4.48%</t>
        </is>
      </c>
      <c r="Q6" s="103" t="inlineStr">
        <is>
          <t>0.22%</t>
        </is>
      </c>
      <c r="R6" s="103" t="inlineStr">
        <is>
          <t>3.05%</t>
        </is>
      </c>
      <c r="S6" s="103" t="inlineStr">
        <is>
          <t>1.54%</t>
        </is>
      </c>
      <c r="T6" s="103" t="inlineStr">
        <is>
          <t>0.14%</t>
        </is>
      </c>
      <c r="U6" s="103" t="inlineStr">
        <is>
          <t>14.63%</t>
        </is>
      </c>
    </row>
    <row r="7">
      <c r="A7" s="103" t="inlineStr">
        <is>
          <t>6</t>
        </is>
      </c>
      <c r="B7" s="106" t="n">
        <v>46239</v>
      </c>
      <c r="C7" s="104" t="n">
        <v>17695</v>
      </c>
      <c r="D7" s="104" t="n">
        <v>17965</v>
      </c>
      <c r="E7" s="104" t="n">
        <v>16405</v>
      </c>
      <c r="F7" s="104" t="n">
        <v>1560</v>
      </c>
      <c r="G7" s="104" t="n">
        <v>11245</v>
      </c>
      <c r="H7" s="104" t="n">
        <v>355</v>
      </c>
      <c r="I7" s="104" t="n">
        <v>45</v>
      </c>
      <c r="J7" s="104" t="n">
        <v>10</v>
      </c>
      <c r="K7" s="105" t="n">
        <v>189</v>
      </c>
      <c r="L7" s="104" t="n">
        <v>1442</v>
      </c>
      <c r="M7" s="103" t="inlineStr">
        <is>
          <t>63.55%</t>
        </is>
      </c>
      <c r="N7" s="103" t="inlineStr">
        <is>
          <t>3.16%</t>
        </is>
      </c>
      <c r="O7" s="103" t="inlineStr">
        <is>
          <t>0.40%</t>
        </is>
      </c>
      <c r="P7" s="103" t="inlineStr">
        <is>
          <t>2.82%</t>
        </is>
      </c>
      <c r="Q7" s="103" t="inlineStr">
        <is>
          <t>0.09%</t>
        </is>
      </c>
      <c r="R7" s="103" t="inlineStr">
        <is>
          <t>2.01%</t>
        </is>
      </c>
      <c r="S7" s="103" t="inlineStr">
        <is>
          <t>0.25%</t>
        </is>
      </c>
      <c r="T7" s="103" t="inlineStr">
        <is>
          <t>0.06%</t>
        </is>
      </c>
      <c r="U7" s="103" t="inlineStr">
        <is>
          <t>5.29%</t>
        </is>
      </c>
    </row>
    <row r="8">
      <c r="A8" s="103" t="inlineStr">
        <is>
          <t>7</t>
        </is>
      </c>
      <c r="B8" s="106" t="n">
        <v>46240</v>
      </c>
      <c r="C8" s="104" t="n">
        <v>18264</v>
      </c>
      <c r="D8" s="104" t="n">
        <v>17993</v>
      </c>
      <c r="E8" s="104" t="n">
        <v>16240</v>
      </c>
      <c r="F8" s="104" t="n">
        <v>1753</v>
      </c>
      <c r="G8" s="104" t="n">
        <v>11741</v>
      </c>
      <c r="H8" s="104" t="n">
        <v>410</v>
      </c>
      <c r="I8" s="104" t="n">
        <v>61</v>
      </c>
      <c r="J8" s="104" t="n">
        <v>6</v>
      </c>
      <c r="K8" s="105" t="n">
        <v>217</v>
      </c>
      <c r="L8" s="104" t="n">
        <v>1548</v>
      </c>
      <c r="M8" s="103" t="inlineStr">
        <is>
          <t>64.28%</t>
        </is>
      </c>
      <c r="N8" s="103" t="inlineStr">
        <is>
          <t>3.49%</t>
        </is>
      </c>
      <c r="O8" s="103" t="inlineStr">
        <is>
          <t>0.52%</t>
        </is>
      </c>
      <c r="P8" s="103" t="inlineStr">
        <is>
          <t>1.46%</t>
        </is>
      </c>
      <c r="Q8" s="103" t="inlineStr">
        <is>
          <t>0.05%</t>
        </is>
      </c>
      <c r="R8" s="103" t="inlineStr">
        <is>
          <t>2.24%</t>
        </is>
      </c>
      <c r="S8" s="103" t="inlineStr">
        <is>
          <t>0.33%</t>
        </is>
      </c>
      <c r="T8" s="103" t="inlineStr">
        <is>
          <t>0.03%</t>
        </is>
      </c>
      <c r="U8" s="103" t="inlineStr">
        <is>
          <t>2.76%</t>
        </is>
      </c>
    </row>
    <row r="9">
      <c r="A9" s="103" t="inlineStr">
        <is>
          <t>8</t>
        </is>
      </c>
      <c r="B9" s="106" t="n">
        <v>46241</v>
      </c>
      <c r="C9" s="104" t="n">
        <v>19949</v>
      </c>
      <c r="D9" s="104" t="n">
        <v>19563</v>
      </c>
      <c r="E9" s="104" t="n">
        <v>17125</v>
      </c>
      <c r="F9" s="104" t="n">
        <v>2438</v>
      </c>
      <c r="G9" s="104" t="n">
        <v>12440</v>
      </c>
      <c r="H9" s="104" t="n">
        <v>1195</v>
      </c>
      <c r="I9" s="104" t="n">
        <v>845</v>
      </c>
      <c r="J9" s="104" t="n">
        <v>17</v>
      </c>
      <c r="K9" s="105" t="n">
        <v>226</v>
      </c>
      <c r="L9" s="104" t="n">
        <v>1650</v>
      </c>
      <c r="M9" s="103" t="inlineStr">
        <is>
          <t>62.36%</t>
        </is>
      </c>
      <c r="N9" s="103" t="inlineStr">
        <is>
          <t>9.61%</t>
        </is>
      </c>
      <c r="O9" s="103" t="inlineStr">
        <is>
          <t>6.79%</t>
        </is>
      </c>
      <c r="P9" s="103" t="inlineStr">
        <is>
          <t>1.42%</t>
        </is>
      </c>
      <c r="Q9" s="103" t="inlineStr">
        <is>
          <t>0.14%</t>
        </is>
      </c>
      <c r="R9" s="103" t="inlineStr">
        <is>
          <t>5.99%</t>
        </is>
      </c>
      <c r="S9" s="103" t="inlineStr">
        <is>
          <t>4.24%</t>
        </is>
      </c>
      <c r="T9" s="103" t="inlineStr">
        <is>
          <t>0.09%</t>
        </is>
      </c>
      <c r="U9" s="103" t="inlineStr">
        <is>
          <t>7.52%</t>
        </is>
      </c>
    </row>
    <row r="10">
      <c r="A10" s="103" t="inlineStr">
        <is>
          <t>9</t>
        </is>
      </c>
      <c r="B10" s="106" t="n">
        <v>46242</v>
      </c>
      <c r="C10" s="104" t="n">
        <v>19114</v>
      </c>
      <c r="D10" s="104" t="n">
        <v>19011</v>
      </c>
      <c r="E10" s="104" t="n">
        <v>17336</v>
      </c>
      <c r="F10" s="104" t="n">
        <v>1675</v>
      </c>
      <c r="G10" s="104" t="n">
        <v>12674</v>
      </c>
      <c r="H10" s="104" t="n">
        <v>1384</v>
      </c>
      <c r="I10" s="104" t="n">
        <v>867</v>
      </c>
      <c r="J10" s="104" t="n">
        <v>119</v>
      </c>
      <c r="K10" s="105" t="n">
        <v>214</v>
      </c>
      <c r="L10" s="104" t="n">
        <v>1510</v>
      </c>
      <c r="M10" s="103" t="inlineStr">
        <is>
          <t>66.31%</t>
        </is>
      </c>
      <c r="N10" s="103" t="inlineStr">
        <is>
          <t>10.92%</t>
        </is>
      </c>
      <c r="O10" s="103" t="inlineStr">
        <is>
          <t>6.84%</t>
        </is>
      </c>
      <c r="P10" s="103" t="inlineStr">
        <is>
          <t>8.60%</t>
        </is>
      </c>
      <c r="Q10" s="103" t="inlineStr">
        <is>
          <t>0.94%</t>
        </is>
      </c>
      <c r="R10" s="103" t="inlineStr">
        <is>
          <t>7.24%</t>
        </is>
      </c>
      <c r="S10" s="103" t="inlineStr">
        <is>
          <t>4.54%</t>
        </is>
      </c>
      <c r="T10" s="103" t="inlineStr">
        <is>
          <t>0.62%</t>
        </is>
      </c>
      <c r="U10" s="103" t="inlineStr">
        <is>
          <t>55.61%</t>
        </is>
      </c>
    </row>
    <row r="11">
      <c r="A11" s="103" t="inlineStr">
        <is>
          <t>10</t>
        </is>
      </c>
      <c r="B11" s="106" t="n">
        <v>46243</v>
      </c>
      <c r="C11" s="104" t="n">
        <v>21475</v>
      </c>
      <c r="D11" s="104" t="n">
        <v>20394</v>
      </c>
      <c r="E11" s="104" t="n">
        <v>18470</v>
      </c>
      <c r="F11" s="104" t="n">
        <v>1924</v>
      </c>
      <c r="G11" s="104" t="n">
        <v>14331</v>
      </c>
      <c r="H11" s="104" t="n">
        <v>2485</v>
      </c>
      <c r="I11" s="104" t="n">
        <v>2005</v>
      </c>
      <c r="J11" s="104" t="n">
        <v>454</v>
      </c>
      <c r="K11" s="105" t="n">
        <v>447</v>
      </c>
      <c r="L11" s="104" t="n">
        <v>1655</v>
      </c>
      <c r="M11" s="103" t="inlineStr">
        <is>
          <t>66.73%</t>
        </is>
      </c>
      <c r="N11" s="103" t="inlineStr">
        <is>
          <t>17.34%</t>
        </is>
      </c>
      <c r="O11" s="103" t="inlineStr">
        <is>
          <t>13.99%</t>
        </is>
      </c>
      <c r="P11" s="103" t="inlineStr">
        <is>
          <t>18.27%</t>
        </is>
      </c>
      <c r="Q11" s="103" t="inlineStr">
        <is>
          <t>3.17%</t>
        </is>
      </c>
      <c r="R11" s="103" t="inlineStr">
        <is>
          <t>11.57%</t>
        </is>
      </c>
      <c r="S11" s="103" t="inlineStr">
        <is>
          <t>9.34%</t>
        </is>
      </c>
      <c r="T11" s="103" t="inlineStr">
        <is>
          <t>2.11%</t>
        </is>
      </c>
      <c r="U11" s="103" t="inlineStr">
        <is>
          <t>101.57%</t>
        </is>
      </c>
    </row>
    <row r="12">
      <c r="A12" s="103" t="inlineStr">
        <is>
          <t>11</t>
        </is>
      </c>
      <c r="B12" s="106" t="n">
        <v>46244</v>
      </c>
      <c r="C12" s="104" t="n">
        <v>18374</v>
      </c>
      <c r="D12" s="104" t="n">
        <v>19579</v>
      </c>
      <c r="E12" s="104" t="n">
        <v>17426</v>
      </c>
      <c r="F12" s="104" t="n">
        <v>2153</v>
      </c>
      <c r="G12" s="104" t="n">
        <v>12166</v>
      </c>
      <c r="H12" s="104" t="n">
        <v>499</v>
      </c>
      <c r="I12" s="104" t="n">
        <v>131</v>
      </c>
      <c r="J12" s="104" t="n">
        <v>808</v>
      </c>
      <c r="K12" s="105" t="n">
        <v>1026</v>
      </c>
      <c r="L12" s="104" t="n">
        <v>1484</v>
      </c>
      <c r="M12" s="103" t="inlineStr">
        <is>
          <t>66.21%</t>
        </is>
      </c>
      <c r="N12" s="103" t="inlineStr">
        <is>
          <t>4.10%</t>
        </is>
      </c>
      <c r="O12" s="103" t="inlineStr">
        <is>
          <t>1.08%</t>
        </is>
      </c>
      <c r="P12" s="103" t="inlineStr">
        <is>
          <t>161.92%</t>
        </is>
      </c>
      <c r="Q12" s="103" t="inlineStr">
        <is>
          <t>6.64%</t>
        </is>
      </c>
      <c r="R12" s="103" t="inlineStr">
        <is>
          <t>2.72%</t>
        </is>
      </c>
      <c r="S12" s="103" t="inlineStr">
        <is>
          <t>0.71%</t>
        </is>
      </c>
      <c r="T12" s="103" t="inlineStr">
        <is>
          <t>4.40%</t>
        </is>
      </c>
      <c r="U12" s="103" t="inlineStr">
        <is>
          <t>78.75%</t>
        </is>
      </c>
    </row>
    <row r="13">
      <c r="A13" s="103" t="inlineStr">
        <is>
          <t>12</t>
        </is>
      </c>
      <c r="B13" s="106" t="n">
        <v>46245</v>
      </c>
      <c r="C13" s="104" t="n">
        <v>18191</v>
      </c>
      <c r="D13" s="104" t="n">
        <v>18055</v>
      </c>
      <c r="E13" s="104" t="n">
        <v>16325</v>
      </c>
      <c r="F13" s="104" t="n">
        <v>1730</v>
      </c>
      <c r="G13" s="104" t="n">
        <v>12059</v>
      </c>
      <c r="H13" s="104" t="n">
        <v>415</v>
      </c>
      <c r="I13" s="104" t="n">
        <v>152</v>
      </c>
      <c r="J13" s="104" t="n">
        <v>1348</v>
      </c>
      <c r="K13" s="105" t="n">
        <v>1978</v>
      </c>
      <c r="L13" s="104" t="n">
        <v>1280</v>
      </c>
      <c r="M13" s="103" t="inlineStr">
        <is>
          <t>66.29%</t>
        </is>
      </c>
      <c r="N13" s="103" t="inlineStr">
        <is>
          <t>3.44%</t>
        </is>
      </c>
      <c r="O13" s="103" t="inlineStr">
        <is>
          <t>1.26%</t>
        </is>
      </c>
      <c r="P13" s="103" t="inlineStr">
        <is>
          <t>324.82%</t>
        </is>
      </c>
      <c r="Q13" s="103" t="inlineStr">
        <is>
          <t>11.18%</t>
        </is>
      </c>
      <c r="R13" s="103" t="inlineStr">
        <is>
          <t>2.28%</t>
        </is>
      </c>
      <c r="S13" s="103" t="inlineStr">
        <is>
          <t>0.84%</t>
        </is>
      </c>
      <c r="T13" s="103" t="inlineStr">
        <is>
          <t>7.41%</t>
        </is>
      </c>
      <c r="U13" s="103" t="inlineStr">
        <is>
          <t>68.15%</t>
        </is>
      </c>
    </row>
    <row r="14">
      <c r="A14" s="103" t="inlineStr">
        <is>
          <t>13</t>
        </is>
      </c>
      <c r="B14" s="106" t="n">
        <v>46246</v>
      </c>
      <c r="C14" s="104" t="n">
        <v>19083</v>
      </c>
      <c r="D14" s="104" t="n">
        <v>19205</v>
      </c>
      <c r="E14" s="104" t="n">
        <v>17504</v>
      </c>
      <c r="F14" s="104" t="n">
        <v>1701</v>
      </c>
      <c r="G14" s="104" t="n">
        <v>12591</v>
      </c>
      <c r="H14" s="104" t="n">
        <v>357</v>
      </c>
      <c r="I14" s="104" t="n">
        <v>87</v>
      </c>
      <c r="J14" s="104" t="n">
        <v>12</v>
      </c>
      <c r="K14" s="105" t="n">
        <v>267</v>
      </c>
      <c r="L14" s="104" t="n">
        <v>1483</v>
      </c>
      <c r="M14" s="103" t="inlineStr">
        <is>
          <t>65.98%</t>
        </is>
      </c>
      <c r="N14" s="103" t="inlineStr">
        <is>
          <t>2.84%</t>
        </is>
      </c>
      <c r="O14" s="103" t="inlineStr">
        <is>
          <t>0.69%</t>
        </is>
      </c>
      <c r="P14" s="103" t="inlineStr">
        <is>
          <t>3.36%</t>
        </is>
      </c>
      <c r="Q14" s="103" t="inlineStr">
        <is>
          <t>0.10%</t>
        </is>
      </c>
      <c r="R14" s="103" t="inlineStr">
        <is>
          <t>1.87%</t>
        </is>
      </c>
      <c r="S14" s="103" t="inlineStr">
        <is>
          <t>0.46%</t>
        </is>
      </c>
      <c r="T14" s="103" t="inlineStr">
        <is>
          <t>0.06%</t>
        </is>
      </c>
      <c r="U14" s="103" t="inlineStr">
        <is>
          <t>4.49%</t>
        </is>
      </c>
    </row>
    <row r="15">
      <c r="A15" s="103" t="inlineStr">
        <is>
          <t>14</t>
        </is>
      </c>
      <c r="B15" s="106" t="n">
        <v>46247</v>
      </c>
      <c r="C15" s="104" t="n">
        <v>17384</v>
      </c>
      <c r="D15" s="104" t="n">
        <v>18345</v>
      </c>
      <c r="E15" s="104" t="n">
        <v>16640</v>
      </c>
      <c r="F15" s="104" t="n">
        <v>1705</v>
      </c>
      <c r="G15" s="104" t="n">
        <v>11902</v>
      </c>
      <c r="H15" s="104" t="n">
        <v>422</v>
      </c>
      <c r="I15" s="104" t="n">
        <v>108</v>
      </c>
      <c r="J15" s="104" t="n">
        <v>-9</v>
      </c>
      <c r="K15" s="105" t="n">
        <v>159</v>
      </c>
      <c r="L15" s="104" t="n">
        <v>1258</v>
      </c>
      <c r="M15" s="103" t="inlineStr">
        <is>
          <t>68.47%</t>
        </is>
      </c>
      <c r="N15" s="103" t="inlineStr">
        <is>
          <t>3.55%</t>
        </is>
      </c>
      <c r="O15" s="103" t="inlineStr">
        <is>
          <t>0.91%</t>
        </is>
      </c>
      <c r="P15" s="103" t="inlineStr">
        <is>
          <t>-2.13%</t>
        </is>
      </c>
      <c r="Q15" s="103" t="inlineStr">
        <is>
          <t>-0.08%</t>
        </is>
      </c>
      <c r="R15" s="103" t="inlineStr">
        <is>
          <t>2.43%</t>
        </is>
      </c>
      <c r="S15" s="103" t="inlineStr">
        <is>
          <t>0.62%</t>
        </is>
      </c>
      <c r="T15" s="103" t="inlineStr">
        <is>
          <t>-0.05%</t>
        </is>
      </c>
      <c r="U15" s="103" t="inlineStr">
        <is>
          <t>-5.66%</t>
        </is>
      </c>
    </row>
    <row r="16">
      <c r="A16" s="103" t="inlineStr">
        <is>
          <t>15</t>
        </is>
      </c>
      <c r="B16" s="106" t="n">
        <v>46248</v>
      </c>
      <c r="C16" s="104" t="n">
        <v>16526</v>
      </c>
      <c r="D16" s="104" t="n">
        <v>16655</v>
      </c>
      <c r="E16" s="104" t="n">
        <v>14997</v>
      </c>
      <c r="F16" s="104" t="n">
        <v>1658</v>
      </c>
      <c r="G16" s="104" t="n">
        <v>11301</v>
      </c>
      <c r="H16" s="104" t="n">
        <v>464</v>
      </c>
      <c r="I16" s="104" t="n">
        <v>120</v>
      </c>
      <c r="J16" s="104" t="n">
        <v>50</v>
      </c>
      <c r="K16" s="105" t="n">
        <v>238</v>
      </c>
      <c r="L16" s="104" t="n">
        <v>1204</v>
      </c>
      <c r="M16" s="103" t="inlineStr">
        <is>
          <t>68.38%</t>
        </is>
      </c>
      <c r="N16" s="103" t="inlineStr">
        <is>
          <t>4.11%</t>
        </is>
      </c>
      <c r="O16" s="103" t="inlineStr">
        <is>
          <t>1.06%</t>
        </is>
      </c>
      <c r="P16" s="103" t="inlineStr">
        <is>
          <t>10.78%</t>
        </is>
      </c>
      <c r="Q16" s="103" t="inlineStr">
        <is>
          <t>0.44%</t>
        </is>
      </c>
      <c r="R16" s="103" t="inlineStr">
        <is>
          <t>2.81%</t>
        </is>
      </c>
      <c r="S16" s="103" t="inlineStr">
        <is>
          <t>0.73%</t>
        </is>
      </c>
      <c r="T16" s="103" t="inlineStr">
        <is>
          <t>0.30%</t>
        </is>
      </c>
      <c r="U16" s="103" t="inlineStr">
        <is>
          <t>21.01%</t>
        </is>
      </c>
    </row>
    <row r="17">
      <c r="A17" s="103" t="inlineStr">
        <is>
          <t>16</t>
        </is>
      </c>
      <c r="B17" s="106" t="n">
        <v>46249</v>
      </c>
      <c r="C17" s="104" t="n">
        <v>17601</v>
      </c>
      <c r="D17" s="104" t="n">
        <v>16693</v>
      </c>
      <c r="E17" s="104" t="n">
        <v>15236</v>
      </c>
      <c r="F17" s="104" t="n">
        <v>1457</v>
      </c>
      <c r="G17" s="104" t="n">
        <v>12452</v>
      </c>
      <c r="H17" s="104" t="n">
        <v>618</v>
      </c>
      <c r="I17" s="104" t="n">
        <v>87</v>
      </c>
      <c r="J17" s="104" t="n">
        <v>9</v>
      </c>
      <c r="K17" s="105" t="n">
        <v>187</v>
      </c>
      <c r="L17" s="104" t="n">
        <v>1257</v>
      </c>
      <c r="M17" s="103" t="inlineStr">
        <is>
          <t>70.75%</t>
        </is>
      </c>
      <c r="N17" s="103" t="inlineStr">
        <is>
          <t>4.96%</t>
        </is>
      </c>
      <c r="O17" s="103" t="inlineStr">
        <is>
          <t>0.70%</t>
        </is>
      </c>
      <c r="P17" s="103" t="inlineStr">
        <is>
          <t>1.46%</t>
        </is>
      </c>
      <c r="Q17" s="103" t="inlineStr">
        <is>
          <t>0.07%</t>
        </is>
      </c>
      <c r="R17" s="103" t="inlineStr">
        <is>
          <t>3.51%</t>
        </is>
      </c>
      <c r="S17" s="103" t="inlineStr">
        <is>
          <t>0.49%</t>
        </is>
      </c>
      <c r="T17" s="103" t="inlineStr">
        <is>
          <t>0.05%</t>
        </is>
      </c>
      <c r="U17" s="103" t="inlineStr">
        <is>
          <t>4.81%</t>
        </is>
      </c>
    </row>
    <row r="18">
      <c r="A18" s="103" t="inlineStr">
        <is>
          <t>17</t>
        </is>
      </c>
      <c r="B18" s="106" t="n">
        <v>46250</v>
      </c>
      <c r="C18" s="104" t="n">
        <v>17274</v>
      </c>
      <c r="D18" s="104" t="n">
        <v>17726</v>
      </c>
      <c r="E18" s="104" t="n">
        <v>15902</v>
      </c>
      <c r="F18" s="104" t="n">
        <v>1824</v>
      </c>
      <c r="G18" s="104" t="n">
        <v>12235</v>
      </c>
      <c r="H18" s="104" t="n">
        <v>694</v>
      </c>
      <c r="I18" s="104" t="n">
        <v>118</v>
      </c>
      <c r="J18" s="104" t="n">
        <v>22</v>
      </c>
      <c r="K18" s="105" t="n">
        <v>208</v>
      </c>
      <c r="L18" s="104" t="n">
        <v>1227</v>
      </c>
      <c r="M18" s="103" t="inlineStr">
        <is>
          <t>70.83%</t>
        </is>
      </c>
      <c r="N18" s="103" t="inlineStr">
        <is>
          <t>5.67%</t>
        </is>
      </c>
      <c r="O18" s="103" t="inlineStr">
        <is>
          <t>0.96%</t>
        </is>
      </c>
      <c r="P18" s="103" t="inlineStr">
        <is>
          <t>3.17%</t>
        </is>
      </c>
      <c r="Q18" s="103" t="inlineStr">
        <is>
          <t>0.18%</t>
        </is>
      </c>
      <c r="R18" s="103" t="inlineStr">
        <is>
          <t>4.02%</t>
        </is>
      </c>
      <c r="S18" s="103" t="inlineStr">
        <is>
          <t>0.68%</t>
        </is>
      </c>
      <c r="T18" s="103" t="inlineStr">
        <is>
          <t>0.13%</t>
        </is>
      </c>
      <c r="U18" s="103" t="inlineStr">
        <is>
          <t>10.58%</t>
        </is>
      </c>
    </row>
    <row r="19">
      <c r="A19" s="103" t="inlineStr">
        <is>
          <t>18</t>
        </is>
      </c>
      <c r="B19" s="106" t="n">
        <v>46251</v>
      </c>
      <c r="C19" s="104" t="n">
        <v>16426</v>
      </c>
      <c r="D19" s="104" t="n">
        <v>16393</v>
      </c>
      <c r="E19" s="104" t="n">
        <v>14994</v>
      </c>
      <c r="F19" s="104" t="n">
        <v>1399</v>
      </c>
      <c r="G19" s="104" t="n">
        <v>11449</v>
      </c>
      <c r="H19" s="104" t="n">
        <v>619</v>
      </c>
      <c r="I19" s="104" t="n">
        <v>156</v>
      </c>
      <c r="J19" s="104" t="n">
        <v>-5</v>
      </c>
      <c r="K19" s="105" t="n">
        <v>219</v>
      </c>
      <c r="L19" s="104" t="n">
        <v>1042</v>
      </c>
      <c r="M19" s="103" t="inlineStr">
        <is>
          <t>69.70%</t>
        </is>
      </c>
      <c r="N19" s="103" t="inlineStr">
        <is>
          <t>5.41%</t>
        </is>
      </c>
      <c r="O19" s="103" t="inlineStr">
        <is>
          <t>1.36%</t>
        </is>
      </c>
      <c r="P19" s="103" t="inlineStr">
        <is>
          <t>-0.81%</t>
        </is>
      </c>
      <c r="Q19" s="103" t="inlineStr">
        <is>
          <t>-0.04%</t>
        </is>
      </c>
      <c r="R19" s="103" t="inlineStr">
        <is>
          <t>3.77%</t>
        </is>
      </c>
      <c r="S19" s="103" t="inlineStr">
        <is>
          <t>0.95%</t>
        </is>
      </c>
      <c r="T19" s="103" t="inlineStr">
        <is>
          <t>-0.03%</t>
        </is>
      </c>
      <c r="U19" s="103" t="inlineStr">
        <is>
          <t>-2.28%</t>
        </is>
      </c>
    </row>
    <row r="20">
      <c r="A20" s="103" t="inlineStr">
        <is>
          <t>19</t>
        </is>
      </c>
      <c r="B20" s="106" t="n">
        <v>46252</v>
      </c>
      <c r="C20" s="104" t="n">
        <v>15872</v>
      </c>
      <c r="D20" s="104" t="n">
        <v>15656</v>
      </c>
      <c r="E20" s="104" t="n">
        <v>14182</v>
      </c>
      <c r="F20" s="104" t="n">
        <v>1474</v>
      </c>
      <c r="G20" s="104" t="n">
        <v>11368</v>
      </c>
      <c r="H20" s="104" t="n">
        <v>494</v>
      </c>
      <c r="I20" s="104" t="n">
        <v>171</v>
      </c>
      <c r="J20" s="104" t="n">
        <v>32</v>
      </c>
      <c r="K20" s="105" t="n">
        <v>352</v>
      </c>
      <c r="L20" s="104" t="n">
        <v>1029</v>
      </c>
      <c r="M20" s="103" t="inlineStr">
        <is>
          <t>71.62%</t>
        </is>
      </c>
      <c r="N20" s="103" t="inlineStr">
        <is>
          <t>4.35%</t>
        </is>
      </c>
      <c r="O20" s="103" t="inlineStr">
        <is>
          <t>1.50%</t>
        </is>
      </c>
      <c r="P20" s="103" t="inlineStr">
        <is>
          <t>6.48%</t>
        </is>
      </c>
      <c r="Q20" s="103" t="inlineStr">
        <is>
          <t>0.28%</t>
        </is>
      </c>
      <c r="R20" s="103" t="inlineStr">
        <is>
          <t>3.11%</t>
        </is>
      </c>
      <c r="S20" s="103" t="inlineStr">
        <is>
          <t>1.08%</t>
        </is>
      </c>
      <c r="T20" s="103" t="inlineStr">
        <is>
          <t>0.20%</t>
        </is>
      </c>
      <c r="U20" s="103" t="inlineStr">
        <is>
          <t>9.09%</t>
        </is>
      </c>
    </row>
    <row r="21">
      <c r="A21" s="103" t="inlineStr">
        <is>
          <t>20</t>
        </is>
      </c>
      <c r="B21" s="106" t="n">
        <v>46253</v>
      </c>
      <c r="C21" s="104" t="n">
        <v>14435</v>
      </c>
      <c r="D21" s="104" t="n">
        <v>15258</v>
      </c>
      <c r="E21" s="104" t="n">
        <v>13887</v>
      </c>
      <c r="F21" s="104" t="n">
        <v>1371</v>
      </c>
      <c r="G21" s="104" t="n">
        <v>10259</v>
      </c>
      <c r="H21" s="104" t="n">
        <v>367</v>
      </c>
      <c r="I21" s="104" t="n">
        <v>88</v>
      </c>
      <c r="J21" s="104" t="n">
        <v>53</v>
      </c>
      <c r="K21" s="105" t="n">
        <v>316</v>
      </c>
      <c r="L21" s="104" t="n">
        <v>827</v>
      </c>
      <c r="M21" s="103" t="inlineStr">
        <is>
          <t>71.07%</t>
        </is>
      </c>
      <c r="N21" s="103" t="inlineStr">
        <is>
          <t>3.58%</t>
        </is>
      </c>
      <c r="O21" s="103" t="inlineStr">
        <is>
          <t>0.86%</t>
        </is>
      </c>
      <c r="P21" s="103" t="inlineStr">
        <is>
          <t>14.44%</t>
        </is>
      </c>
      <c r="Q21" s="103" t="inlineStr">
        <is>
          <t>0.52%</t>
        </is>
      </c>
      <c r="R21" s="103" t="inlineStr">
        <is>
          <t>2.54%</t>
        </is>
      </c>
      <c r="S21" s="103" t="inlineStr">
        <is>
          <t>0.61%</t>
        </is>
      </c>
      <c r="T21" s="103" t="inlineStr">
        <is>
          <t>0.37%</t>
        </is>
      </c>
      <c r="U21" s="103" t="inlineStr">
        <is>
          <t>16.77%</t>
        </is>
      </c>
    </row>
    <row r="22">
      <c r="A22" s="103" t="inlineStr">
        <is>
          <t>21</t>
        </is>
      </c>
      <c r="B22" s="106" t="n">
        <v>46254</v>
      </c>
      <c r="C22" s="104" t="n">
        <v>15297</v>
      </c>
      <c r="D22" s="104" t="n">
        <v>14965</v>
      </c>
      <c r="E22" s="104" t="n">
        <v>13439</v>
      </c>
      <c r="F22" s="104" t="n">
        <v>1526</v>
      </c>
      <c r="G22" s="104" t="n">
        <v>11186</v>
      </c>
      <c r="H22" s="104" t="n">
        <v>394</v>
      </c>
      <c r="I22" s="104" t="n">
        <v>99</v>
      </c>
      <c r="J22" s="104" t="n">
        <v>26</v>
      </c>
      <c r="K22" s="105" t="n">
        <v>269</v>
      </c>
      <c r="L22" s="104" t="n">
        <v>904</v>
      </c>
      <c r="M22" s="103" t="inlineStr">
        <is>
          <t>73.13%</t>
        </is>
      </c>
      <c r="N22" s="103" t="inlineStr">
        <is>
          <t>3.52%</t>
        </is>
      </c>
      <c r="O22" s="103" t="inlineStr">
        <is>
          <t>0.89%</t>
        </is>
      </c>
      <c r="P22" s="103" t="inlineStr">
        <is>
          <t>6.60%</t>
        </is>
      </c>
      <c r="Q22" s="103" t="inlineStr">
        <is>
          <t>0.23%</t>
        </is>
      </c>
      <c r="R22" s="103" t="inlineStr">
        <is>
          <t>2.58%</t>
        </is>
      </c>
      <c r="S22" s="103" t="inlineStr">
        <is>
          <t>0.65%</t>
        </is>
      </c>
      <c r="T22" s="103" t="inlineStr">
        <is>
          <t>0.17%</t>
        </is>
      </c>
      <c r="U22" s="103" t="inlineStr">
        <is>
          <t>9.67%</t>
        </is>
      </c>
    </row>
    <row r="23">
      <c r="A23" s="103" t="inlineStr">
        <is>
          <t>22</t>
        </is>
      </c>
      <c r="B23" s="106" t="n">
        <v>46255</v>
      </c>
      <c r="C23" s="104" t="n">
        <v>15286</v>
      </c>
      <c r="D23" s="104" t="n">
        <v>14192</v>
      </c>
      <c r="E23" s="104" t="n">
        <v>12885</v>
      </c>
      <c r="F23" s="104" t="n">
        <v>1307</v>
      </c>
      <c r="G23" s="104" t="n">
        <v>11012</v>
      </c>
      <c r="H23" s="104" t="n">
        <v>517</v>
      </c>
      <c r="I23" s="104" t="n">
        <v>193</v>
      </c>
      <c r="J23" s="104" t="n">
        <v>-14</v>
      </c>
      <c r="K23" s="105" t="n">
        <v>230</v>
      </c>
      <c r="L23" s="104" t="n">
        <v>863</v>
      </c>
      <c r="M23" s="103" t="inlineStr">
        <is>
          <t>72.04%</t>
        </is>
      </c>
      <c r="N23" s="103" t="inlineStr">
        <is>
          <t>4.69%</t>
        </is>
      </c>
      <c r="O23" s="103" t="inlineStr">
        <is>
          <t>1.75%</t>
        </is>
      </c>
      <c r="P23" s="103" t="inlineStr">
        <is>
          <t>-2.71%</t>
        </is>
      </c>
      <c r="Q23" s="103" t="inlineStr">
        <is>
          <t>-0.13%</t>
        </is>
      </c>
      <c r="R23" s="103" t="inlineStr">
        <is>
          <t>3.38%</t>
        </is>
      </c>
      <c r="S23" s="103" t="inlineStr">
        <is>
          <t>1.26%</t>
        </is>
      </c>
      <c r="T23" s="103" t="inlineStr">
        <is>
          <t>-0.09%</t>
        </is>
      </c>
      <c r="U23" s="103" t="inlineStr">
        <is>
          <t>-6.09%</t>
        </is>
      </c>
    </row>
    <row r="24">
      <c r="A24" s="103" t="inlineStr">
        <is>
          <t>23</t>
        </is>
      </c>
      <c r="B24" s="106" t="n">
        <v>46256</v>
      </c>
      <c r="C24" s="104" t="n">
        <v>17131</v>
      </c>
      <c r="D24" s="104" t="n">
        <v>16146</v>
      </c>
      <c r="E24" s="104" t="n">
        <v>14653</v>
      </c>
      <c r="F24" s="104" t="n">
        <v>1493</v>
      </c>
      <c r="G24" s="104" t="n">
        <v>12613</v>
      </c>
      <c r="H24" s="104" t="n">
        <v>604</v>
      </c>
      <c r="I24" s="104" t="n">
        <v>131</v>
      </c>
      <c r="J24" s="104" t="n">
        <v>22</v>
      </c>
      <c r="K24" s="105" t="n">
        <v>310</v>
      </c>
      <c r="L24" s="104" t="n">
        <v>931</v>
      </c>
      <c r="M24" s="103" t="inlineStr">
        <is>
          <t>73.63%</t>
        </is>
      </c>
      <c r="N24" s="103" t="inlineStr">
        <is>
          <t>4.79%</t>
        </is>
      </c>
      <c r="O24" s="103" t="inlineStr">
        <is>
          <t>1.04%</t>
        </is>
      </c>
      <c r="P24" s="103" t="inlineStr">
        <is>
          <t>3.64%</t>
        </is>
      </c>
      <c r="Q24" s="103" t="inlineStr">
        <is>
          <t>0.17%</t>
        </is>
      </c>
      <c r="R24" s="103" t="inlineStr">
        <is>
          <t>3.53%</t>
        </is>
      </c>
      <c r="S24" s="103" t="inlineStr">
        <is>
          <t>0.76%</t>
        </is>
      </c>
      <c r="T24" s="103" t="inlineStr">
        <is>
          <t>0.13%</t>
        </is>
      </c>
      <c r="U24" s="103" t="inlineStr">
        <is>
          <t>7.10%</t>
        </is>
      </c>
    </row>
    <row r="25">
      <c r="A25" s="103" t="inlineStr">
        <is>
          <t>24</t>
        </is>
      </c>
      <c r="B25" s="106" t="n">
        <v>46257</v>
      </c>
      <c r="C25" s="104" t="n">
        <v>6014</v>
      </c>
      <c r="D25" s="104" t="n">
        <v>10891</v>
      </c>
      <c r="E25" s="104" t="n">
        <v>10316</v>
      </c>
      <c r="F25" s="104" t="n">
        <v>575</v>
      </c>
      <c r="G25" s="104" t="n">
        <v>4454</v>
      </c>
      <c r="H25" s="104" t="n">
        <v>79</v>
      </c>
      <c r="I25" s="104" t="n">
        <v>15</v>
      </c>
      <c r="J25" s="104" t="n">
        <v>3</v>
      </c>
      <c r="K25" s="105" t="n">
        <v>15</v>
      </c>
      <c r="L25" s="104" t="n">
        <v>337</v>
      </c>
      <c r="M25" s="103" t="inlineStr">
        <is>
          <t>74.06%</t>
        </is>
      </c>
      <c r="N25" s="103" t="inlineStr">
        <is>
          <t>1.77%</t>
        </is>
      </c>
      <c r="O25" s="103" t="inlineStr">
        <is>
          <t>0.34%</t>
        </is>
      </c>
      <c r="P25" s="103" t="inlineStr">
        <is>
          <t>3.80%</t>
        </is>
      </c>
      <c r="Q25" s="103" t="inlineStr">
        <is>
          <t>0.07%</t>
        </is>
      </c>
      <c r="R25" s="103" t="inlineStr">
        <is>
          <t>1.31%</t>
        </is>
      </c>
      <c r="S25" s="103" t="inlineStr">
        <is>
          <t>0.25%</t>
        </is>
      </c>
      <c r="T25" s="103" t="inlineStr">
        <is>
          <t>0.05%</t>
        </is>
      </c>
      <c r="U25" s="103" t="inlineStr">
        <is>
          <t>20.00%</t>
        </is>
      </c>
    </row>
    <row r="26">
      <c r="A26" s="103" t="inlineStr">
        <is>
          <t>25</t>
        </is>
      </c>
      <c r="B26" s="106" t="n">
        <v>46258</v>
      </c>
      <c r="C26" s="104" t="n">
        <v>25221</v>
      </c>
      <c r="D26" s="104" t="n">
        <v>20751</v>
      </c>
      <c r="E26" s="104" t="n">
        <v>19577</v>
      </c>
      <c r="F26" s="104" t="n">
        <v>1174</v>
      </c>
      <c r="G26" s="104" t="n">
        <v>19010</v>
      </c>
      <c r="H26" s="104" t="n">
        <v>591</v>
      </c>
      <c r="I26" s="104" t="n">
        <v>188</v>
      </c>
      <c r="J26" s="104" t="n">
        <v>64</v>
      </c>
      <c r="K26" s="105" t="n">
        <v>330</v>
      </c>
      <c r="L26" s="104" t="n">
        <v>1382</v>
      </c>
      <c r="M26" s="103" t="inlineStr">
        <is>
          <t>75.37%</t>
        </is>
      </c>
      <c r="N26" s="103" t="inlineStr">
        <is>
          <t>3.11%</t>
        </is>
      </c>
      <c r="O26" s="103" t="inlineStr">
        <is>
          <t>0.99%</t>
        </is>
      </c>
      <c r="P26" s="103" t="inlineStr">
        <is>
          <t>10.83%</t>
        </is>
      </c>
      <c r="Q26" s="103" t="inlineStr">
        <is>
          <t>0.34%</t>
        </is>
      </c>
      <c r="R26" s="103" t="inlineStr">
        <is>
          <t>2.34%</t>
        </is>
      </c>
      <c r="S26" s="103" t="inlineStr">
        <is>
          <t>0.75%</t>
        </is>
      </c>
      <c r="T26" s="103" t="inlineStr">
        <is>
          <t>0.25%</t>
        </is>
      </c>
      <c r="U26" s="103" t="inlineStr">
        <is>
          <t>19.39%</t>
        </is>
      </c>
    </row>
    <row r="27">
      <c r="A27" s="103" t="inlineStr">
        <is>
          <t>26</t>
        </is>
      </c>
      <c r="B27" s="106" t="n">
        <v>46259</v>
      </c>
      <c r="C27" s="104" t="n">
        <v>14986</v>
      </c>
      <c r="D27" s="104" t="n">
        <v>14303</v>
      </c>
      <c r="E27" s="104" t="n">
        <v>12773</v>
      </c>
      <c r="F27" s="104" t="n">
        <v>1530</v>
      </c>
      <c r="G27" s="104" t="n">
        <v>11360</v>
      </c>
      <c r="H27" s="104" t="n">
        <v>645</v>
      </c>
      <c r="I27" s="104" t="n">
        <v>188</v>
      </c>
      <c r="J27" s="104" t="n">
        <v>46</v>
      </c>
      <c r="K27" s="105" t="n">
        <v>276</v>
      </c>
      <c r="L27" s="104" t="n">
        <v>834</v>
      </c>
      <c r="M27" s="103" t="inlineStr">
        <is>
          <t>75.80%</t>
        </is>
      </c>
      <c r="N27" s="103" t="inlineStr">
        <is>
          <t>5.68%</t>
        </is>
      </c>
      <c r="O27" s="103" t="inlineStr">
        <is>
          <t>1.65%</t>
        </is>
      </c>
      <c r="P27" s="103" t="inlineStr">
        <is>
          <t>7.13%</t>
        </is>
      </c>
      <c r="Q27" s="103" t="inlineStr">
        <is>
          <t>0.40%</t>
        </is>
      </c>
      <c r="R27" s="103" t="inlineStr">
        <is>
          <t>4.30%</t>
        </is>
      </c>
      <c r="S27" s="103" t="inlineStr">
        <is>
          <t>1.25%</t>
        </is>
      </c>
      <c r="T27" s="103" t="inlineStr">
        <is>
          <t>0.31%</t>
        </is>
      </c>
      <c r="U27" s="103" t="inlineStr">
        <is>
          <t>16.67%</t>
        </is>
      </c>
    </row>
    <row r="28">
      <c r="A28" s="103" t="inlineStr">
        <is>
          <t>27</t>
        </is>
      </c>
      <c r="B28" s="106" t="n">
        <v>46260</v>
      </c>
      <c r="C28" s="104" t="n">
        <v>13382</v>
      </c>
      <c r="D28" s="104" t="n">
        <v>13333</v>
      </c>
      <c r="E28" s="104" t="n">
        <v>11901</v>
      </c>
      <c r="F28" s="104" t="n">
        <v>1432</v>
      </c>
      <c r="G28" s="104" t="n">
        <v>10374</v>
      </c>
      <c r="H28" s="104" t="n">
        <v>440</v>
      </c>
      <c r="I28" s="104" t="n">
        <v>149</v>
      </c>
      <c r="J28" s="104" t="n">
        <v>76</v>
      </c>
      <c r="K28" s="105" t="n">
        <v>461</v>
      </c>
      <c r="L28" s="104" t="n">
        <v>590</v>
      </c>
      <c r="M28" s="103" t="inlineStr">
        <is>
          <t>77.52%</t>
        </is>
      </c>
      <c r="N28" s="103" t="inlineStr">
        <is>
          <t>4.24%</t>
        </is>
      </c>
      <c r="O28" s="103" t="inlineStr">
        <is>
          <t>1.44%</t>
        </is>
      </c>
      <c r="P28" s="103" t="inlineStr">
        <is>
          <t>17.27%</t>
        </is>
      </c>
      <c r="Q28" s="103" t="inlineStr">
        <is>
          <t>0.73%</t>
        </is>
      </c>
      <c r="R28" s="103" t="inlineStr">
        <is>
          <t>3.29%</t>
        </is>
      </c>
      <c r="S28" s="103" t="inlineStr">
        <is>
          <t>1.11%</t>
        </is>
      </c>
      <c r="T28" s="103" t="inlineStr">
        <is>
          <t>0.57%</t>
        </is>
      </c>
      <c r="U28" s="103" t="inlineStr">
        <is>
          <t>16.49%</t>
        </is>
      </c>
    </row>
    <row r="29">
      <c r="A29" s="103" t="inlineStr">
        <is>
          <t>28</t>
        </is>
      </c>
      <c r="B29" s="106" t="n">
        <v>46261</v>
      </c>
      <c r="C29" s="104" t="n">
        <v>13886</v>
      </c>
      <c r="D29" s="104" t="n">
        <v>15480</v>
      </c>
      <c r="E29" s="104" t="n">
        <v>13823</v>
      </c>
      <c r="F29" s="104" t="n">
        <v>1657</v>
      </c>
      <c r="G29" s="104" t="n">
        <v>10864</v>
      </c>
      <c r="H29" s="104" t="n">
        <v>565</v>
      </c>
      <c r="I29" s="104" t="n">
        <v>349</v>
      </c>
      <c r="J29" s="104" t="n">
        <v>126</v>
      </c>
      <c r="K29" s="105" t="n">
        <v>1202</v>
      </c>
      <c r="L29" s="104" t="n">
        <v>563</v>
      </c>
      <c r="M29" s="103" t="inlineStr">
        <is>
          <t>78.24%</t>
        </is>
      </c>
      <c r="N29" s="103" t="inlineStr">
        <is>
          <t>5.20%</t>
        </is>
      </c>
      <c r="O29" s="103" t="inlineStr">
        <is>
          <t>3.21%</t>
        </is>
      </c>
      <c r="P29" s="103" t="inlineStr">
        <is>
          <t>22.30%</t>
        </is>
      </c>
      <c r="Q29" s="103" t="inlineStr">
        <is>
          <t>1.16%</t>
        </is>
      </c>
      <c r="R29" s="103" t="inlineStr">
        <is>
          <t>4.07%</t>
        </is>
      </c>
      <c r="S29" s="103" t="inlineStr">
        <is>
          <t>2.51%</t>
        </is>
      </c>
      <c r="T29" s="103" t="inlineStr">
        <is>
          <t>0.91%</t>
        </is>
      </c>
      <c r="U29" s="103" t="inlineStr">
        <is>
          <t>10.48%</t>
        </is>
      </c>
    </row>
    <row r="30">
      <c r="A30" s="103" t="inlineStr">
        <is>
          <t>29</t>
        </is>
      </c>
      <c r="B30" s="106" t="n">
        <v>46262</v>
      </c>
      <c r="C30" s="104" t="n">
        <v>15592</v>
      </c>
      <c r="D30" s="104" t="n">
        <v>13744</v>
      </c>
      <c r="E30" s="104" t="n">
        <v>12216</v>
      </c>
      <c r="F30" s="104" t="n">
        <v>1528</v>
      </c>
      <c r="G30" s="104" t="n">
        <v>12379</v>
      </c>
      <c r="H30" s="104" t="n">
        <v>683</v>
      </c>
      <c r="I30" s="104" t="n">
        <v>298</v>
      </c>
      <c r="J30" s="104" t="n">
        <v>62</v>
      </c>
      <c r="K30" s="105" t="n">
        <v>768</v>
      </c>
      <c r="L30" s="104" t="n">
        <v>609</v>
      </c>
      <c r="M30" s="103" t="inlineStr">
        <is>
          <t>79.39%</t>
        </is>
      </c>
      <c r="N30" s="103" t="inlineStr">
        <is>
          <t>5.52%</t>
        </is>
      </c>
      <c r="O30" s="103" t="inlineStr">
        <is>
          <t>2.41%</t>
        </is>
      </c>
      <c r="P30" s="103" t="inlineStr">
        <is>
          <t>9.08%</t>
        </is>
      </c>
      <c r="Q30" s="103" t="inlineStr">
        <is>
          <t>0.50%</t>
        </is>
      </c>
      <c r="R30" s="103" t="inlineStr">
        <is>
          <t>4.38%</t>
        </is>
      </c>
      <c r="S30" s="103" t="inlineStr">
        <is>
          <t>1.91%</t>
        </is>
      </c>
      <c r="T30" s="103" t="inlineStr">
        <is>
          <t>0.40%</t>
        </is>
      </c>
      <c r="U30" s="103" t="inlineStr">
        <is>
          <t>8.07%</t>
        </is>
      </c>
    </row>
    <row r="31">
      <c r="A31" s="103" t="inlineStr">
        <is>
          <t>30</t>
        </is>
      </c>
      <c r="B31" s="106" t="n">
        <v>46263</v>
      </c>
      <c r="C31" s="104" t="n">
        <v>14945</v>
      </c>
      <c r="D31" s="104" t="n">
        <v>15545</v>
      </c>
      <c r="E31" s="104" t="n">
        <v>13945</v>
      </c>
      <c r="F31" s="104" t="n">
        <v>1600</v>
      </c>
      <c r="G31" s="104" t="n">
        <v>12120</v>
      </c>
      <c r="H31" s="104" t="n">
        <v>545</v>
      </c>
      <c r="I31" s="104" t="n">
        <v>169</v>
      </c>
      <c r="J31" s="104" t="n">
        <v>86</v>
      </c>
      <c r="K31" s="105" t="n">
        <v>691</v>
      </c>
      <c r="L31" s="104" t="n">
        <v>526</v>
      </c>
      <c r="M31" s="103" t="inlineStr">
        <is>
          <t>81.10%</t>
        </is>
      </c>
      <c r="N31" s="103" t="inlineStr">
        <is>
          <t>4.50%</t>
        </is>
      </c>
      <c r="O31" s="103" t="inlineStr">
        <is>
          <t>1.39%</t>
        </is>
      </c>
      <c r="P31" s="103" t="inlineStr">
        <is>
          <t>15.78%</t>
        </is>
      </c>
      <c r="Q31" s="103" t="inlineStr">
        <is>
          <t>0.71%</t>
        </is>
      </c>
      <c r="R31" s="103" t="inlineStr">
        <is>
          <t>3.65%</t>
        </is>
      </c>
      <c r="S31" s="103" t="inlineStr">
        <is>
          <t>1.13%</t>
        </is>
      </c>
      <c r="T31" s="103" t="inlineStr">
        <is>
          <t>0.58%</t>
        </is>
      </c>
      <c r="U31" s="103" t="inlineStr">
        <is>
          <t>12.45%</t>
        </is>
      </c>
    </row>
    <row r="32">
      <c r="A32" s="103" t="inlineStr">
        <is>
          <t>31</t>
        </is>
      </c>
      <c r="B32" s="106" t="n">
        <v>46264</v>
      </c>
      <c r="C32" s="104" t="n">
        <v>15101</v>
      </c>
      <c r="D32" s="104" t="n">
        <v>14827</v>
      </c>
      <c r="E32" s="104" t="n">
        <v>13048</v>
      </c>
      <c r="F32" s="104" t="n">
        <v>1779</v>
      </c>
      <c r="G32" s="104" t="n">
        <v>12536</v>
      </c>
      <c r="H32" s="104" t="n">
        <v>1086</v>
      </c>
      <c r="I32" s="104" t="n">
        <v>627</v>
      </c>
      <c r="J32" s="104" t="n">
        <v>477</v>
      </c>
      <c r="K32" s="105" t="n">
        <v>1335</v>
      </c>
      <c r="L32" s="104" t="n">
        <v>360</v>
      </c>
      <c r="M32" s="103" t="inlineStr">
        <is>
          <t>83.01%</t>
        </is>
      </c>
      <c r="N32" s="103" t="inlineStr">
        <is>
          <t>8.66%</t>
        </is>
      </c>
      <c r="O32" s="103" t="inlineStr">
        <is>
          <t>5.00%</t>
        </is>
      </c>
      <c r="P32" s="103" t="inlineStr">
        <is>
          <t>43.92%</t>
        </is>
      </c>
      <c r="Q32" s="103" t="inlineStr">
        <is>
          <t>3.81%</t>
        </is>
      </c>
      <c r="R32" s="103" t="inlineStr">
        <is>
          <t>7.19%</t>
        </is>
      </c>
      <c r="S32" s="103" t="inlineStr">
        <is>
          <t>4.15%</t>
        </is>
      </c>
      <c r="T32" s="103" t="inlineStr">
        <is>
          <t>3.16%</t>
        </is>
      </c>
      <c r="U32" s="103" t="inlineStr">
        <is>
          <t>35.73%</t>
        </is>
      </c>
    </row>
    <row r="33">
      <c r="A33" s="103" t="inlineStr">
        <is>
          <t>32</t>
        </is>
      </c>
      <c r="B33" s="106" t="n">
        <v>46265</v>
      </c>
      <c r="C33" s="104" t="n">
        <v>14807</v>
      </c>
      <c r="D33" s="104" t="n">
        <v>14757</v>
      </c>
      <c r="E33" s="104" t="n">
        <v>12803</v>
      </c>
      <c r="F33" s="104" t="n">
        <v>1954</v>
      </c>
      <c r="G33" s="104" t="n">
        <v>12544</v>
      </c>
      <c r="H33" s="104" t="n">
        <v>1642</v>
      </c>
      <c r="I33" s="104" t="n">
        <v>1630</v>
      </c>
      <c r="J33" s="104" t="n">
        <v>1905</v>
      </c>
      <c r="K33" s="105" t="n">
        <v>6559</v>
      </c>
      <c r="L33" s="104" t="n">
        <v>320</v>
      </c>
      <c r="M33" s="103" t="inlineStr">
        <is>
          <t>84.72%</t>
        </is>
      </c>
      <c r="N33" s="103" t="inlineStr">
        <is>
          <t>13.09%</t>
        </is>
      </c>
      <c r="O33" s="103" t="inlineStr">
        <is>
          <t>12.99%</t>
        </is>
      </c>
      <c r="P33" s="103" t="inlineStr">
        <is>
          <t>116.02%</t>
        </is>
      </c>
      <c r="Q33" s="103" t="inlineStr">
        <is>
          <t>15.19%</t>
        </is>
      </c>
      <c r="R33" s="103" t="inlineStr">
        <is>
          <t>11.09%</t>
        </is>
      </c>
      <c r="S33" s="103" t="inlineStr">
        <is>
          <t>11.01%</t>
        </is>
      </c>
      <c r="T33" s="103" t="inlineStr">
        <is>
          <t>12.87%</t>
        </is>
      </c>
      <c r="U33" s="103" t="inlineStr">
        <is>
          <t>29.04%</t>
        </is>
      </c>
    </row>
    <row r="34">
      <c r="A34" s="103" t="inlineStr">
        <is>
          <t>33</t>
        </is>
      </c>
      <c r="B34" s="106" t="n">
        <v>46266</v>
      </c>
      <c r="C34" s="104" t="n">
        <v>14640</v>
      </c>
      <c r="D34" s="104" t="n">
        <v>14712</v>
      </c>
      <c r="E34" s="104" t="n">
        <v>12992</v>
      </c>
      <c r="F34" s="104" t="n">
        <v>1720</v>
      </c>
      <c r="G34" s="104" t="n">
        <v>9937</v>
      </c>
      <c r="H34" s="104" t="n">
        <v>264</v>
      </c>
      <c r="I34" s="104" t="n">
        <v>31</v>
      </c>
      <c r="J34" s="104" t="n">
        <v>2</v>
      </c>
      <c r="K34" s="105" t="n">
        <v>243</v>
      </c>
      <c r="L34" s="104" t="n">
        <v>1094</v>
      </c>
      <c r="M34" s="103" t="inlineStr">
        <is>
          <t>67.88%</t>
        </is>
      </c>
      <c r="N34" s="103" t="inlineStr">
        <is>
          <t>2.66%</t>
        </is>
      </c>
      <c r="O34" s="103" t="inlineStr">
        <is>
          <t>0.31%</t>
        </is>
      </c>
      <c r="P34" s="103" t="inlineStr">
        <is>
          <t>0.76%</t>
        </is>
      </c>
      <c r="Q34" s="103" t="inlineStr">
        <is>
          <t>0.02%</t>
        </is>
      </c>
      <c r="R34" s="103" t="inlineStr">
        <is>
          <t>1.80%</t>
        </is>
      </c>
      <c r="S34" s="103" t="inlineStr">
        <is>
          <t>0.21%</t>
        </is>
      </c>
      <c r="T34" s="103" t="inlineStr">
        <is>
          <t>0.01%</t>
        </is>
      </c>
      <c r="U34" s="103" t="inlineStr">
        <is>
          <t>0.82%</t>
        </is>
      </c>
    </row>
    <row r="35">
      <c r="A35" s="103" t="inlineStr">
        <is>
          <t>34</t>
        </is>
      </c>
      <c r="B35" s="106" t="n">
        <v>46267</v>
      </c>
      <c r="C35" s="104" t="n">
        <v>13710</v>
      </c>
      <c r="D35" s="104" t="n">
        <v>15067</v>
      </c>
      <c r="E35" s="104" t="n">
        <v>13622</v>
      </c>
      <c r="F35" s="104" t="n">
        <v>1445</v>
      </c>
      <c r="G35" s="104" t="n">
        <v>9278</v>
      </c>
      <c r="H35" s="104" t="n">
        <v>232</v>
      </c>
      <c r="I35" s="104" t="n">
        <v>47</v>
      </c>
      <c r="J35" s="104" t="n">
        <v>14</v>
      </c>
      <c r="K35" s="105" t="n">
        <v>240</v>
      </c>
      <c r="L35" s="104" t="n">
        <v>1009</v>
      </c>
      <c r="M35" s="103" t="inlineStr">
        <is>
          <t>67.67%</t>
        </is>
      </c>
      <c r="N35" s="103" t="inlineStr">
        <is>
          <t>2.50%</t>
        </is>
      </c>
      <c r="O35" s="103" t="inlineStr">
        <is>
          <t>0.51%</t>
        </is>
      </c>
      <c r="P35" s="103" t="inlineStr">
        <is>
          <t>6.03%</t>
        </is>
      </c>
      <c r="Q35" s="103" t="inlineStr">
        <is>
          <t>0.15%</t>
        </is>
      </c>
      <c r="R35" s="103" t="inlineStr">
        <is>
          <t>1.69%</t>
        </is>
      </c>
      <c r="S35" s="103" t="inlineStr">
        <is>
          <t>0.34%</t>
        </is>
      </c>
      <c r="T35" s="103" t="inlineStr">
        <is>
          <t>0.10%</t>
        </is>
      </c>
      <c r="U35" s="103" t="inlineStr">
        <is>
          <t>5.83%</t>
        </is>
      </c>
    </row>
    <row r="36">
      <c r="A36" s="103" t="inlineStr">
        <is>
          <t>35</t>
        </is>
      </c>
      <c r="B36" s="106" t="n">
        <v>46268</v>
      </c>
      <c r="C36" s="104" t="n">
        <v>13449</v>
      </c>
      <c r="D36" s="104" t="n">
        <v>13258</v>
      </c>
      <c r="E36" s="104" t="n">
        <v>12010</v>
      </c>
      <c r="F36" s="104" t="n">
        <v>1248</v>
      </c>
      <c r="G36" s="104" t="n">
        <v>9279</v>
      </c>
      <c r="H36" s="104" t="n">
        <v>256</v>
      </c>
      <c r="I36" s="104" t="n">
        <v>37</v>
      </c>
      <c r="J36" s="104" t="n">
        <v>2</v>
      </c>
      <c r="K36" s="105" t="n">
        <v>191</v>
      </c>
      <c r="L36" s="104" t="n">
        <v>934</v>
      </c>
      <c r="M36" s="103" t="inlineStr">
        <is>
          <t>68.99%</t>
        </is>
      </c>
      <c r="N36" s="103" t="inlineStr">
        <is>
          <t>2.76%</t>
        </is>
      </c>
      <c r="O36" s="103" t="inlineStr">
        <is>
          <t>0.40%</t>
        </is>
      </c>
      <c r="P36" s="103" t="inlineStr">
        <is>
          <t>0.78%</t>
        </is>
      </c>
      <c r="Q36" s="103" t="inlineStr">
        <is>
          <t>0.02%</t>
        </is>
      </c>
      <c r="R36" s="103" t="inlineStr">
        <is>
          <t>1.90%</t>
        </is>
      </c>
      <c r="S36" s="103" t="inlineStr">
        <is>
          <t>0.28%</t>
        </is>
      </c>
      <c r="T36" s="103" t="inlineStr">
        <is>
          <t>0.01%</t>
        </is>
      </c>
      <c r="U36" s="103" t="inlineStr">
        <is>
          <t>1.05%</t>
        </is>
      </c>
    </row>
    <row r="37">
      <c r="A37" s="103" t="inlineStr">
        <is>
          <t>36</t>
        </is>
      </c>
      <c r="B37" s="106" t="n">
        <v>46269</v>
      </c>
      <c r="C37" s="104" t="n">
        <v>13804</v>
      </c>
      <c r="D37" s="104" t="n">
        <v>13790</v>
      </c>
      <c r="E37" s="104" t="n">
        <v>12570</v>
      </c>
      <c r="F37" s="104" t="n">
        <v>1220</v>
      </c>
      <c r="G37" s="104" t="n">
        <v>9527</v>
      </c>
      <c r="H37" s="104" t="n">
        <v>305</v>
      </c>
      <c r="I37" s="104" t="n">
        <v>68</v>
      </c>
      <c r="J37" s="104" t="n">
        <v>7</v>
      </c>
      <c r="K37" s="105" t="n">
        <v>176</v>
      </c>
      <c r="L37" s="104" t="n">
        <v>884</v>
      </c>
      <c r="M37" s="103" t="inlineStr">
        <is>
          <t>69.02%</t>
        </is>
      </c>
      <c r="N37" s="103" t="inlineStr">
        <is>
          <t>3.20%</t>
        </is>
      </c>
      <c r="O37" s="103" t="inlineStr">
        <is>
          <t>0.71%</t>
        </is>
      </c>
      <c r="P37" s="103" t="inlineStr">
        <is>
          <t>2.30%</t>
        </is>
      </c>
      <c r="Q37" s="103" t="inlineStr">
        <is>
          <t>0.07%</t>
        </is>
      </c>
      <c r="R37" s="103" t="inlineStr">
        <is>
          <t>2.21%</t>
        </is>
      </c>
      <c r="S37" s="103" t="inlineStr">
        <is>
          <t>0.49%</t>
        </is>
      </c>
      <c r="T37" s="103" t="inlineStr">
        <is>
          <t>0.05%</t>
        </is>
      </c>
      <c r="U37" s="103" t="inlineStr">
        <is>
          <t>3.98%</t>
        </is>
      </c>
    </row>
    <row r="38">
      <c r="A38" s="103" t="inlineStr">
        <is>
          <t>37</t>
        </is>
      </c>
      <c r="B38" s="106" t="n">
        <v>46270</v>
      </c>
      <c r="C38" s="104" t="n">
        <v>15021</v>
      </c>
      <c r="D38" s="104" t="n">
        <v>14085</v>
      </c>
      <c r="E38" s="104" t="n">
        <v>12778</v>
      </c>
      <c r="F38" s="104" t="n">
        <v>1307</v>
      </c>
      <c r="G38" s="104" t="n">
        <v>10452</v>
      </c>
      <c r="H38" s="104" t="n">
        <v>459</v>
      </c>
      <c r="I38" s="104" t="n">
        <v>80</v>
      </c>
      <c r="J38" s="104" t="n">
        <v>-1</v>
      </c>
      <c r="K38" s="105" t="n">
        <v>175</v>
      </c>
      <c r="L38" s="104" t="n">
        <v>888</v>
      </c>
      <c r="M38" s="103" t="inlineStr">
        <is>
          <t>69.58%</t>
        </is>
      </c>
      <c r="N38" s="103" t="inlineStr">
        <is>
          <t>4.39%</t>
        </is>
      </c>
      <c r="O38" s="103" t="inlineStr">
        <is>
          <t>0.77%</t>
        </is>
      </c>
      <c r="P38" s="103" t="inlineStr">
        <is>
          <t>-0.22%</t>
        </is>
      </c>
      <c r="Q38" s="103" t="inlineStr">
        <is>
          <t>-0.01%</t>
        </is>
      </c>
      <c r="R38" s="103" t="inlineStr">
        <is>
          <t>3.06%</t>
        </is>
      </c>
      <c r="S38" s="103" t="inlineStr">
        <is>
          <t>0.53%</t>
        </is>
      </c>
      <c r="T38" s="103" t="inlineStr">
        <is>
          <t>-0.01%</t>
        </is>
      </c>
      <c r="U38" s="103" t="inlineStr">
        <is>
          <t>-0.57%</t>
        </is>
      </c>
    </row>
    <row r="39">
      <c r="A39" s="103" t="inlineStr">
        <is>
          <t>38</t>
        </is>
      </c>
      <c r="B39" s="106" t="n">
        <v>46271</v>
      </c>
      <c r="C39" s="104" t="n">
        <v>16261</v>
      </c>
      <c r="D39" s="104" t="n">
        <v>16103</v>
      </c>
      <c r="E39" s="104" t="n">
        <v>13984</v>
      </c>
      <c r="F39" s="104" t="n">
        <v>2119</v>
      </c>
      <c r="G39" s="104" t="n">
        <v>11657</v>
      </c>
      <c r="H39" s="104" t="n">
        <v>587</v>
      </c>
      <c r="I39" s="104" t="n">
        <v>112</v>
      </c>
      <c r="J39" s="104" t="n">
        <v>6</v>
      </c>
      <c r="K39" s="105" t="n">
        <v>144</v>
      </c>
      <c r="L39" s="104" t="n">
        <v>928</v>
      </c>
      <c r="M39" s="103" t="inlineStr">
        <is>
          <t>71.69%</t>
        </is>
      </c>
      <c r="N39" s="103" t="inlineStr">
        <is>
          <t>5.04%</t>
        </is>
      </c>
      <c r="O39" s="103" t="inlineStr">
        <is>
          <t>0.96%</t>
        </is>
      </c>
      <c r="P39" s="103" t="inlineStr">
        <is>
          <t>1.02%</t>
        </is>
      </c>
      <c r="Q39" s="103" t="inlineStr">
        <is>
          <t>0.05%</t>
        </is>
      </c>
      <c r="R39" s="103" t="inlineStr">
        <is>
          <t>3.61%</t>
        </is>
      </c>
      <c r="S39" s="103" t="inlineStr">
        <is>
          <t>0.69%</t>
        </is>
      </c>
      <c r="T39" s="103" t="inlineStr">
        <is>
          <t>0.04%</t>
        </is>
      </c>
      <c r="U39" s="103" t="inlineStr">
        <is>
          <t>4.17%</t>
        </is>
      </c>
    </row>
    <row r="40">
      <c r="A40" s="103" t="inlineStr">
        <is>
          <t>39</t>
        </is>
      </c>
      <c r="B40" s="106" t="n">
        <v>46272</v>
      </c>
      <c r="C40" s="104" t="n">
        <v>14348</v>
      </c>
      <c r="D40" s="104" t="n">
        <v>14796</v>
      </c>
      <c r="E40" s="104" t="n">
        <v>13616</v>
      </c>
      <c r="F40" s="104" t="n">
        <v>1180</v>
      </c>
      <c r="G40" s="104" t="n">
        <v>10299</v>
      </c>
      <c r="H40" s="104" t="n">
        <v>406</v>
      </c>
      <c r="I40" s="104" t="n">
        <v>119</v>
      </c>
      <c r="J40" s="104" t="n">
        <v>-18</v>
      </c>
      <c r="K40" s="105" t="n">
        <v>125</v>
      </c>
      <c r="L40" s="104" t="n">
        <v>869</v>
      </c>
      <c r="M40" s="103" t="inlineStr">
        <is>
          <t>71.78%</t>
        </is>
      </c>
      <c r="N40" s="103" t="inlineStr">
        <is>
          <t>3.94%</t>
        </is>
      </c>
      <c r="O40" s="103" t="inlineStr">
        <is>
          <t>1.16%</t>
        </is>
      </c>
      <c r="P40" s="103" t="inlineStr">
        <is>
          <t>-4.43%</t>
        </is>
      </c>
      <c r="Q40" s="103" t="inlineStr">
        <is>
          <t>-0.17%</t>
        </is>
      </c>
      <c r="R40" s="103" t="inlineStr">
        <is>
          <t>2.83%</t>
        </is>
      </c>
      <c r="S40" s="103" t="inlineStr">
        <is>
          <t>0.83%</t>
        </is>
      </c>
      <c r="T40" s="103" t="inlineStr">
        <is>
          <t>-0.13%</t>
        </is>
      </c>
      <c r="U40" s="103" t="inlineStr">
        <is>
          <t>-14.40%</t>
        </is>
      </c>
    </row>
    <row r="41">
      <c r="A41" s="103" t="inlineStr">
        <is>
          <t>40</t>
        </is>
      </c>
      <c r="B41" s="106" t="n">
        <v>46273</v>
      </c>
      <c r="C41" s="104" t="n">
        <v>14285</v>
      </c>
      <c r="D41" s="104" t="n">
        <v>14436</v>
      </c>
      <c r="E41" s="104" t="n">
        <v>13164</v>
      </c>
      <c r="F41" s="104" t="n">
        <v>1272</v>
      </c>
      <c r="G41" s="104" t="n">
        <v>10255</v>
      </c>
      <c r="H41" s="104" t="n">
        <v>378</v>
      </c>
      <c r="I41" s="104" t="n">
        <v>81</v>
      </c>
      <c r="J41" s="104" t="n">
        <v>-22</v>
      </c>
      <c r="K41" s="105" t="n">
        <v>139</v>
      </c>
      <c r="L41" s="104" t="n">
        <v>886</v>
      </c>
      <c r="M41" s="103" t="inlineStr">
        <is>
          <t>71.79%</t>
        </is>
      </c>
      <c r="N41" s="103" t="inlineStr">
        <is>
          <t>3.69%</t>
        </is>
      </c>
      <c r="O41" s="103" t="inlineStr">
        <is>
          <t>0.79%</t>
        </is>
      </c>
      <c r="P41" s="103" t="inlineStr">
        <is>
          <t>-5.82%</t>
        </is>
      </c>
      <c r="Q41" s="103" t="inlineStr">
        <is>
          <t>-0.21%</t>
        </is>
      </c>
      <c r="R41" s="103" t="inlineStr">
        <is>
          <t>2.65%</t>
        </is>
      </c>
      <c r="S41" s="103" t="inlineStr">
        <is>
          <t>0.57%</t>
        </is>
      </c>
      <c r="T41" s="103" t="inlineStr">
        <is>
          <t>-0.15%</t>
        </is>
      </c>
      <c r="U41" s="103" t="inlineStr">
        <is>
          <t>-15.83%</t>
        </is>
      </c>
    </row>
    <row r="42">
      <c r="A42" s="103" t="inlineStr">
        <is>
          <t>41</t>
        </is>
      </c>
      <c r="B42" s="106" t="n">
        <v>46274</v>
      </c>
      <c r="C42" s="104" t="n">
        <v>14295</v>
      </c>
      <c r="D42" s="104" t="n">
        <v>14528</v>
      </c>
      <c r="E42" s="104" t="n">
        <v>13344</v>
      </c>
      <c r="F42" s="104" t="n">
        <v>1184</v>
      </c>
      <c r="G42" s="104" t="n">
        <v>10218</v>
      </c>
      <c r="H42" s="104" t="n">
        <v>328</v>
      </c>
      <c r="I42" s="104" t="n">
        <v>83</v>
      </c>
      <c r="J42" s="104" t="n">
        <v>-19</v>
      </c>
      <c r="K42" s="105" t="n">
        <v>156</v>
      </c>
      <c r="L42" s="104" t="n">
        <v>744</v>
      </c>
      <c r="M42" s="103" t="inlineStr">
        <is>
          <t>71.48%</t>
        </is>
      </c>
      <c r="N42" s="103" t="inlineStr">
        <is>
          <t>3.21%</t>
        </is>
      </c>
      <c r="O42" s="103" t="inlineStr">
        <is>
          <t>0.81%</t>
        </is>
      </c>
      <c r="P42" s="103" t="inlineStr">
        <is>
          <t>-5.79%</t>
        </is>
      </c>
      <c r="Q42" s="103" t="inlineStr">
        <is>
          <t>-0.19%</t>
        </is>
      </c>
      <c r="R42" s="103" t="inlineStr">
        <is>
          <t>2.29%</t>
        </is>
      </c>
      <c r="S42" s="103" t="inlineStr">
        <is>
          <t>0.58%</t>
        </is>
      </c>
      <c r="T42" s="103" t="inlineStr">
        <is>
          <t>-0.13%</t>
        </is>
      </c>
      <c r="U42" s="103" t="inlineStr">
        <is>
          <t>-12.18%</t>
        </is>
      </c>
    </row>
    <row r="43">
      <c r="A43" s="103" t="inlineStr">
        <is>
          <t>42</t>
        </is>
      </c>
      <c r="B43" s="106" t="n">
        <v>46275</v>
      </c>
      <c r="C43" s="104" t="n">
        <v>13381</v>
      </c>
      <c r="D43" s="104" t="n">
        <v>13238</v>
      </c>
      <c r="E43" s="104" t="n">
        <v>12192</v>
      </c>
      <c r="F43" s="104" t="n">
        <v>1046</v>
      </c>
      <c r="G43" s="104" t="n">
        <v>9682</v>
      </c>
      <c r="H43" s="104" t="n">
        <v>323</v>
      </c>
      <c r="I43" s="104" t="n">
        <v>81</v>
      </c>
      <c r="J43" s="104" t="n">
        <v>10</v>
      </c>
      <c r="K43" s="105" t="n">
        <v>138</v>
      </c>
      <c r="L43" s="104" t="n">
        <v>692</v>
      </c>
      <c r="M43" s="103" t="inlineStr">
        <is>
          <t>72.36%</t>
        </is>
      </c>
      <c r="N43" s="103" t="inlineStr">
        <is>
          <t>3.34%</t>
        </is>
      </c>
      <c r="O43" s="103" t="inlineStr">
        <is>
          <t>0.84%</t>
        </is>
      </c>
      <c r="P43" s="103" t="inlineStr">
        <is>
          <t>3.10%</t>
        </is>
      </c>
      <c r="Q43" s="103" t="inlineStr">
        <is>
          <t>0.10%</t>
        </is>
      </c>
      <c r="R43" s="103" t="inlineStr">
        <is>
          <t>2.41%</t>
        </is>
      </c>
      <c r="S43" s="103" t="inlineStr">
        <is>
          <t>0.61%</t>
        </is>
      </c>
      <c r="T43" s="103" t="inlineStr">
        <is>
          <t>0.07%</t>
        </is>
      </c>
      <c r="U43" s="103" t="inlineStr">
        <is>
          <t>7.25%</t>
        </is>
      </c>
    </row>
    <row r="44">
      <c r="A44" s="103" t="inlineStr">
        <is>
          <t>43</t>
        </is>
      </c>
      <c r="B44" s="106" t="n">
        <v>46276</v>
      </c>
      <c r="C44" s="104" t="n">
        <v>14018</v>
      </c>
      <c r="D44" s="104" t="n">
        <v>13876</v>
      </c>
      <c r="E44" s="104" t="n">
        <v>12790</v>
      </c>
      <c r="F44" s="104" t="n">
        <v>1086</v>
      </c>
      <c r="G44" s="104" t="n">
        <v>10104</v>
      </c>
      <c r="H44" s="104" t="n">
        <v>398</v>
      </c>
      <c r="I44" s="104" t="n">
        <v>95</v>
      </c>
      <c r="J44" s="104" t="n">
        <v>-2</v>
      </c>
      <c r="K44" s="105" t="n">
        <v>187</v>
      </c>
      <c r="L44" s="104" t="n">
        <v>634</v>
      </c>
      <c r="M44" s="103" t="inlineStr">
        <is>
          <t>72.08%</t>
        </is>
      </c>
      <c r="N44" s="103" t="inlineStr">
        <is>
          <t>3.94%</t>
        </is>
      </c>
      <c r="O44" s="103" t="inlineStr">
        <is>
          <t>0.94%</t>
        </is>
      </c>
      <c r="P44" s="103" t="inlineStr">
        <is>
          <t>-0.50%</t>
        </is>
      </c>
      <c r="Q44" s="103" t="inlineStr">
        <is>
          <t>-0.02%</t>
        </is>
      </c>
      <c r="R44" s="103" t="inlineStr">
        <is>
          <t>2.84%</t>
        </is>
      </c>
      <c r="S44" s="103" t="inlineStr">
        <is>
          <t>0.68%</t>
        </is>
      </c>
      <c r="T44" s="103" t="inlineStr">
        <is>
          <t>-0.01%</t>
        </is>
      </c>
      <c r="U44" s="103" t="inlineStr">
        <is>
          <t>-1.07%</t>
        </is>
      </c>
    </row>
    <row r="45">
      <c r="A45" s="103" t="inlineStr">
        <is>
          <t>44</t>
        </is>
      </c>
      <c r="B45" s="106" t="n">
        <v>46277</v>
      </c>
      <c r="C45" s="104" t="n">
        <v>15406</v>
      </c>
      <c r="D45" s="104" t="n">
        <v>14008</v>
      </c>
      <c r="E45" s="104" t="n">
        <v>12810</v>
      </c>
      <c r="F45" s="104" t="n">
        <v>1198</v>
      </c>
      <c r="G45" s="104" t="n">
        <v>11502</v>
      </c>
      <c r="H45" s="104" t="n">
        <v>597</v>
      </c>
      <c r="I45" s="104" t="n">
        <v>89</v>
      </c>
      <c r="J45" s="104" t="n">
        <v>6</v>
      </c>
      <c r="K45" s="105" t="n">
        <v>202</v>
      </c>
      <c r="L45" s="104" t="n">
        <v>803</v>
      </c>
      <c r="M45" s="103" t="inlineStr">
        <is>
          <t>74.66%</t>
        </is>
      </c>
      <c r="N45" s="103" t="inlineStr">
        <is>
          <t>5.19%</t>
        </is>
      </c>
      <c r="O45" s="103" t="inlineStr">
        <is>
          <t>0.77%</t>
        </is>
      </c>
      <c r="P45" s="103" t="inlineStr">
        <is>
          <t>1.01%</t>
        </is>
      </c>
      <c r="Q45" s="103" t="inlineStr">
        <is>
          <t>0.05%</t>
        </is>
      </c>
      <c r="R45" s="103" t="inlineStr">
        <is>
          <t>3.88%</t>
        </is>
      </c>
      <c r="S45" s="103" t="inlineStr">
        <is>
          <t>0.58%</t>
        </is>
      </c>
      <c r="T45" s="103" t="inlineStr">
        <is>
          <t>0.04%</t>
        </is>
      </c>
      <c r="U45" s="103" t="inlineStr">
        <is>
          <t>2.97%</t>
        </is>
      </c>
    </row>
    <row r="46">
      <c r="A46" s="103" t="inlineStr">
        <is>
          <t>45</t>
        </is>
      </c>
      <c r="B46" s="106" t="n">
        <v>46278</v>
      </c>
      <c r="C46" s="104" t="n">
        <v>15672</v>
      </c>
      <c r="D46" s="104" t="n">
        <v>15930</v>
      </c>
      <c r="E46" s="104" t="n">
        <v>14448</v>
      </c>
      <c r="F46" s="104" t="n">
        <v>1482</v>
      </c>
      <c r="G46" s="104" t="n">
        <v>11833</v>
      </c>
      <c r="H46" s="104" t="n">
        <v>610</v>
      </c>
      <c r="I46" s="104" t="n">
        <v>66</v>
      </c>
      <c r="J46" s="104" t="n">
        <v>14</v>
      </c>
      <c r="K46" s="105" t="n">
        <v>131</v>
      </c>
      <c r="L46" s="104" t="n">
        <v>642</v>
      </c>
      <c r="M46" s="103" t="inlineStr">
        <is>
          <t>75.50%</t>
        </is>
      </c>
      <c r="N46" s="103" t="inlineStr">
        <is>
          <t>5.16%</t>
        </is>
      </c>
      <c r="O46" s="103" t="inlineStr">
        <is>
          <t>0.56%</t>
        </is>
      </c>
      <c r="P46" s="103" t="inlineStr">
        <is>
          <t>2.30%</t>
        </is>
      </c>
      <c r="Q46" s="103" t="inlineStr">
        <is>
          <t>0.12%</t>
        </is>
      </c>
      <c r="R46" s="103" t="inlineStr">
        <is>
          <t>3.89%</t>
        </is>
      </c>
      <c r="S46" s="103" t="inlineStr">
        <is>
          <t>0.42%</t>
        </is>
      </c>
      <c r="T46" s="103" t="inlineStr">
        <is>
          <t>0.09%</t>
        </is>
      </c>
      <c r="U46" s="103" t="inlineStr">
        <is>
          <t>10.69%</t>
        </is>
      </c>
    </row>
    <row r="47">
      <c r="A47" s="103" t="inlineStr">
        <is>
          <t>46</t>
        </is>
      </c>
      <c r="B47" s="106" t="n">
        <v>46279</v>
      </c>
      <c r="C47" s="104" t="n">
        <v>14394</v>
      </c>
      <c r="D47" s="104" t="n">
        <v>15036</v>
      </c>
      <c r="E47" s="104" t="n">
        <v>13591</v>
      </c>
      <c r="F47" s="104" t="n">
        <v>1445</v>
      </c>
      <c r="G47" s="104" t="n">
        <v>10763</v>
      </c>
      <c r="H47" s="104" t="n">
        <v>455</v>
      </c>
      <c r="I47" s="104" t="n">
        <v>126</v>
      </c>
      <c r="J47" s="104" t="n">
        <v>-25</v>
      </c>
      <c r="K47" s="105" t="n">
        <v>140</v>
      </c>
      <c r="L47" s="104" t="n">
        <v>671</v>
      </c>
      <c r="M47" s="103" t="inlineStr">
        <is>
          <t>74.77%</t>
        </is>
      </c>
      <c r="N47" s="103" t="inlineStr">
        <is>
          <t>4.23%</t>
        </is>
      </c>
      <c r="O47" s="103" t="inlineStr">
        <is>
          <t>1.17%</t>
        </is>
      </c>
      <c r="P47" s="103" t="inlineStr">
        <is>
          <t>-5.49%</t>
        </is>
      </c>
      <c r="Q47" s="103" t="inlineStr">
        <is>
          <t>-0.23%</t>
        </is>
      </c>
      <c r="R47" s="103" t="inlineStr">
        <is>
          <t>3.16%</t>
        </is>
      </c>
      <c r="S47" s="103" t="inlineStr">
        <is>
          <t>0.88%</t>
        </is>
      </c>
      <c r="T47" s="103" t="inlineStr">
        <is>
          <t>-0.17%</t>
        </is>
      </c>
      <c r="U47" s="103" t="inlineStr">
        <is>
          <t>-17.86%</t>
        </is>
      </c>
    </row>
    <row r="48">
      <c r="A48" s="103" t="inlineStr">
        <is>
          <t>47</t>
        </is>
      </c>
      <c r="B48" s="106" t="n">
        <v>46280</v>
      </c>
      <c r="C48" s="104" t="n">
        <v>11729</v>
      </c>
      <c r="D48" s="104" t="n">
        <v>14509</v>
      </c>
      <c r="E48" s="104" t="n">
        <v>13231</v>
      </c>
      <c r="F48" s="104" t="n">
        <v>1278</v>
      </c>
      <c r="G48" s="104" t="n">
        <v>8931</v>
      </c>
      <c r="H48" s="104" t="n">
        <v>399</v>
      </c>
      <c r="I48" s="104" t="n">
        <v>123</v>
      </c>
      <c r="J48" s="104" t="n">
        <v>-7</v>
      </c>
      <c r="K48" s="105" t="n">
        <v>114</v>
      </c>
      <c r="L48" s="104" t="n">
        <v>376</v>
      </c>
      <c r="M48" s="103" t="inlineStr">
        <is>
          <t>76.14%</t>
        </is>
      </c>
      <c r="N48" s="103" t="inlineStr">
        <is>
          <t>4.47%</t>
        </is>
      </c>
      <c r="O48" s="103" t="inlineStr">
        <is>
          <t>1.38%</t>
        </is>
      </c>
      <c r="P48" s="103" t="inlineStr">
        <is>
          <t>-1.75%</t>
        </is>
      </c>
      <c r="Q48" s="103" t="inlineStr">
        <is>
          <t>-0.08%</t>
        </is>
      </c>
      <c r="R48" s="103" t="inlineStr">
        <is>
          <t>3.40%</t>
        </is>
      </c>
      <c r="S48" s="103" t="inlineStr">
        <is>
          <t>1.05%</t>
        </is>
      </c>
      <c r="T48" s="103" t="inlineStr">
        <is>
          <t>-0.06%</t>
        </is>
      </c>
      <c r="U48" s="103" t="inlineStr">
        <is>
          <t>-6.14%</t>
        </is>
      </c>
    </row>
    <row r="49">
      <c r="A49" s="103" t="inlineStr">
        <is>
          <t>48</t>
        </is>
      </c>
      <c r="B49" s="106" t="n">
        <v>46281</v>
      </c>
      <c r="C49" s="104" t="n">
        <v>15717</v>
      </c>
      <c r="D49" s="104" t="n">
        <v>13796</v>
      </c>
      <c r="E49" s="104" t="n">
        <v>12174</v>
      </c>
      <c r="F49" s="104" t="n">
        <v>1622</v>
      </c>
      <c r="G49" s="104" t="n">
        <v>12313</v>
      </c>
      <c r="H49" s="104" t="n">
        <v>348</v>
      </c>
      <c r="I49" s="104" t="n">
        <v>117</v>
      </c>
      <c r="J49" s="104" t="n">
        <v>22</v>
      </c>
      <c r="K49" s="105" t="n">
        <v>154</v>
      </c>
      <c r="L49" s="104" t="n">
        <v>496</v>
      </c>
      <c r="M49" s="103" t="inlineStr">
        <is>
          <t>78.34%</t>
        </is>
      </c>
      <c r="N49" s="103" t="inlineStr">
        <is>
          <t>2.83%</t>
        </is>
      </c>
      <c r="O49" s="103" t="inlineStr">
        <is>
          <t>0.95%</t>
        </is>
      </c>
      <c r="P49" s="103" t="inlineStr">
        <is>
          <t>6.32%</t>
        </is>
      </c>
      <c r="Q49" s="103" t="inlineStr">
        <is>
          <t>0.18%</t>
        </is>
      </c>
      <c r="R49" s="103" t="inlineStr">
        <is>
          <t>2.21%</t>
        </is>
      </c>
      <c r="S49" s="103" t="inlineStr">
        <is>
          <t>0.74%</t>
        </is>
      </c>
      <c r="T49" s="103" t="inlineStr">
        <is>
          <t>0.14%</t>
        </is>
      </c>
      <c r="U49" s="103" t="inlineStr">
        <is>
          <t>14.29%</t>
        </is>
      </c>
    </row>
    <row r="50">
      <c r="A50" s="103" t="inlineStr">
        <is>
          <t>49</t>
        </is>
      </c>
      <c r="B50" s="106" t="n">
        <v>46282</v>
      </c>
      <c r="C50" s="104" t="n">
        <v>13868</v>
      </c>
      <c r="D50" s="104" t="n">
        <v>14052</v>
      </c>
      <c r="E50" s="104" t="n">
        <v>12774</v>
      </c>
      <c r="F50" s="104" t="n">
        <v>1278</v>
      </c>
      <c r="G50" s="104" t="n">
        <v>10871</v>
      </c>
      <c r="H50" s="104" t="n">
        <v>324</v>
      </c>
      <c r="I50" s="104" t="n">
        <v>92</v>
      </c>
      <c r="J50" s="104" t="n">
        <v>2</v>
      </c>
      <c r="K50" s="105" t="n">
        <v>173</v>
      </c>
      <c r="L50" s="104" t="n">
        <v>549</v>
      </c>
      <c r="M50" s="103" t="inlineStr">
        <is>
          <t>78.39%</t>
        </is>
      </c>
      <c r="N50" s="103" t="inlineStr">
        <is>
          <t>2.98%</t>
        </is>
      </c>
      <c r="O50" s="103" t="inlineStr">
        <is>
          <t>0.85%</t>
        </is>
      </c>
      <c r="P50" s="103" t="inlineStr">
        <is>
          <t>0.62%</t>
        </is>
      </c>
      <c r="Q50" s="103" t="inlineStr">
        <is>
          <t>0.02%</t>
        </is>
      </c>
      <c r="R50" s="103" t="inlineStr">
        <is>
          <t>2.34%</t>
        </is>
      </c>
      <c r="S50" s="103" t="inlineStr">
        <is>
          <t>0.66%</t>
        </is>
      </c>
      <c r="T50" s="103" t="inlineStr">
        <is>
          <t>0.01%</t>
        </is>
      </c>
      <c r="U50" s="103" t="inlineStr">
        <is>
          <t>1.16%</t>
        </is>
      </c>
    </row>
    <row r="51">
      <c r="A51" s="103" t="inlineStr">
        <is>
          <t>50</t>
        </is>
      </c>
      <c r="B51" s="106" t="n">
        <v>46283</v>
      </c>
      <c r="C51" s="104" t="n">
        <v>14360</v>
      </c>
      <c r="D51" s="104" t="n">
        <v>13669</v>
      </c>
      <c r="E51" s="104" t="n">
        <v>12585</v>
      </c>
      <c r="F51" s="104" t="n">
        <v>1084</v>
      </c>
      <c r="G51" s="104" t="n">
        <v>11522</v>
      </c>
      <c r="H51" s="104" t="n">
        <v>331</v>
      </c>
      <c r="I51" s="104" t="n">
        <v>99</v>
      </c>
      <c r="J51" s="104" t="n">
        <v>13</v>
      </c>
      <c r="K51" s="105" t="n">
        <v>267</v>
      </c>
      <c r="L51" s="104" t="n">
        <v>352</v>
      </c>
      <c r="M51" s="103" t="inlineStr">
        <is>
          <t>80.24%</t>
        </is>
      </c>
      <c r="N51" s="103" t="inlineStr">
        <is>
          <t>2.87%</t>
        </is>
      </c>
      <c r="O51" s="103" t="inlineStr">
        <is>
          <t>0.86%</t>
        </is>
      </c>
      <c r="P51" s="103" t="inlineStr">
        <is>
          <t>3.93%</t>
        </is>
      </c>
      <c r="Q51" s="103" t="inlineStr">
        <is>
          <t>0.11%</t>
        </is>
      </c>
      <c r="R51" s="103" t="inlineStr">
        <is>
          <t>2.31%</t>
        </is>
      </c>
      <c r="S51" s="103" t="inlineStr">
        <is>
          <t>0.69%</t>
        </is>
      </c>
      <c r="T51" s="103" t="inlineStr">
        <is>
          <t>0.09%</t>
        </is>
      </c>
      <c r="U51" s="103" t="inlineStr">
        <is>
          <t>4.87%</t>
        </is>
      </c>
    </row>
    <row r="52">
      <c r="A52" s="103" t="inlineStr">
        <is>
          <t>51</t>
        </is>
      </c>
      <c r="B52" s="106" t="n">
        <v>46284</v>
      </c>
      <c r="C52" s="104" t="n">
        <v>14922</v>
      </c>
      <c r="D52" s="104" t="n">
        <v>15072</v>
      </c>
      <c r="E52" s="104" t="n">
        <v>13758</v>
      </c>
      <c r="F52" s="104" t="n">
        <v>1314</v>
      </c>
      <c r="G52" s="104" t="n">
        <v>12355</v>
      </c>
      <c r="H52" s="104" t="n">
        <v>547</v>
      </c>
      <c r="I52" s="104" t="n">
        <v>138</v>
      </c>
      <c r="J52" s="104" t="n">
        <v>23</v>
      </c>
      <c r="K52" s="105" t="n">
        <v>228</v>
      </c>
      <c r="L52" s="104" t="n">
        <v>268</v>
      </c>
      <c r="M52" s="103" t="inlineStr">
        <is>
          <t>82.80%</t>
        </is>
      </c>
      <c r="N52" s="103" t="inlineStr">
        <is>
          <t>4.43%</t>
        </is>
      </c>
      <c r="O52" s="103" t="inlineStr">
        <is>
          <t>1.12%</t>
        </is>
      </c>
      <c r="P52" s="103" t="inlineStr">
        <is>
          <t>4.20%</t>
        </is>
      </c>
      <c r="Q52" s="103" t="inlineStr">
        <is>
          <t>0.19%</t>
        </is>
      </c>
      <c r="R52" s="103" t="inlineStr">
        <is>
          <t>3.67%</t>
        </is>
      </c>
      <c r="S52" s="103" t="inlineStr">
        <is>
          <t>0.92%</t>
        </is>
      </c>
      <c r="T52" s="103" t="inlineStr">
        <is>
          <t>0.15%</t>
        </is>
      </c>
      <c r="U52" s="103" t="inlineStr">
        <is>
          <t>10.09%</t>
        </is>
      </c>
    </row>
    <row r="53">
      <c r="A53" s="103" t="inlineStr">
        <is>
          <t>52</t>
        </is>
      </c>
      <c r="B53" s="106" t="n">
        <v>46285</v>
      </c>
      <c r="C53" s="104" t="n">
        <v>14624</v>
      </c>
      <c r="D53" s="104" t="n">
        <v>14989</v>
      </c>
      <c r="E53" s="104" t="n">
        <v>13639</v>
      </c>
      <c r="F53" s="104" t="n">
        <v>1350</v>
      </c>
      <c r="G53" s="104" t="n">
        <v>12185</v>
      </c>
      <c r="H53" s="104" t="n">
        <v>669</v>
      </c>
      <c r="I53" s="104" t="n">
        <v>377</v>
      </c>
      <c r="J53" s="104" t="n">
        <v>23</v>
      </c>
      <c r="K53" s="105" t="n">
        <v>277</v>
      </c>
      <c r="L53" s="104" t="n">
        <v>224</v>
      </c>
      <c r="M53" s="103" t="inlineStr">
        <is>
          <t>83.32%</t>
        </is>
      </c>
      <c r="N53" s="103" t="inlineStr">
        <is>
          <t>5.49%</t>
        </is>
      </c>
      <c r="O53" s="103" t="inlineStr">
        <is>
          <t>3.09%</t>
        </is>
      </c>
      <c r="P53" s="103" t="inlineStr">
        <is>
          <t>3.44%</t>
        </is>
      </c>
      <c r="Q53" s="103" t="inlineStr">
        <is>
          <t>0.19%</t>
        </is>
      </c>
      <c r="R53" s="103" t="inlineStr">
        <is>
          <t>4.57%</t>
        </is>
      </c>
      <c r="S53" s="103" t="inlineStr">
        <is>
          <t>2.58%</t>
        </is>
      </c>
      <c r="T53" s="103" t="inlineStr">
        <is>
          <t>0.16%</t>
        </is>
      </c>
      <c r="U53" s="103" t="inlineStr">
        <is>
          <t>8.30%</t>
        </is>
      </c>
    </row>
    <row r="54">
      <c r="A54" s="103" t="inlineStr">
        <is>
          <t>53</t>
        </is>
      </c>
      <c r="B54" s="106" t="n">
        <v>46286</v>
      </c>
      <c r="C54" s="104" t="n">
        <v>14011</v>
      </c>
      <c r="D54" s="104" t="n">
        <v>14285</v>
      </c>
      <c r="E54" s="104" t="n">
        <v>12789</v>
      </c>
      <c r="F54" s="104" t="n">
        <v>1496</v>
      </c>
      <c r="G54" s="104" t="n">
        <v>11894</v>
      </c>
      <c r="H54" s="104" t="n">
        <v>465</v>
      </c>
      <c r="I54" s="104" t="n">
        <v>138</v>
      </c>
      <c r="J54" s="104" t="n">
        <v>26</v>
      </c>
      <c r="K54" s="105" t="n">
        <v>181</v>
      </c>
      <c r="L54" s="104" t="n">
        <v>196</v>
      </c>
      <c r="M54" s="103" t="inlineStr">
        <is>
          <t>84.89%</t>
        </is>
      </c>
      <c r="N54" s="103" t="inlineStr">
        <is>
          <t>3.91%</t>
        </is>
      </c>
      <c r="O54" s="103" t="inlineStr">
        <is>
          <t>1.16%</t>
        </is>
      </c>
      <c r="P54" s="103" t="inlineStr">
        <is>
          <t>5.59%</t>
        </is>
      </c>
      <c r="Q54" s="103" t="inlineStr">
        <is>
          <t>0.22%</t>
        </is>
      </c>
      <c r="R54" s="103" t="inlineStr">
        <is>
          <t>3.32%</t>
        </is>
      </c>
      <c r="S54" s="103" t="inlineStr">
        <is>
          <t>0.98%</t>
        </is>
      </c>
      <c r="T54" s="103" t="inlineStr">
        <is>
          <t>0.19%</t>
        </is>
      </c>
      <c r="U54" s="103" t="inlineStr">
        <is>
          <t>14.36%</t>
        </is>
      </c>
    </row>
    <row r="55">
      <c r="A55" s="103" t="inlineStr">
        <is>
          <t>54</t>
        </is>
      </c>
      <c r="B55" s="106" t="n">
        <v>46287</v>
      </c>
      <c r="C55" s="104" t="n">
        <v>13438</v>
      </c>
      <c r="D55" s="104" t="n">
        <v>13541</v>
      </c>
      <c r="E55" s="104" t="n">
        <v>12339</v>
      </c>
      <c r="F55" s="104" t="n">
        <v>1202</v>
      </c>
      <c r="G55" s="104" t="n">
        <v>11700</v>
      </c>
      <c r="H55" s="104" t="n">
        <v>292</v>
      </c>
      <c r="I55" s="104" t="n">
        <v>102</v>
      </c>
      <c r="J55" s="104" t="n">
        <v>23</v>
      </c>
      <c r="K55" s="105" t="n">
        <v>218</v>
      </c>
      <c r="L55" s="104" t="n">
        <v>147</v>
      </c>
      <c r="M55" s="103" t="inlineStr">
        <is>
          <t>87.07%</t>
        </is>
      </c>
      <c r="N55" s="103" t="inlineStr">
        <is>
          <t>2.50%</t>
        </is>
      </c>
      <c r="O55" s="103" t="inlineStr">
        <is>
          <t>0.87%</t>
        </is>
      </c>
      <c r="P55" s="103" t="inlineStr">
        <is>
          <t>7.88%</t>
        </is>
      </c>
      <c r="Q55" s="103" t="inlineStr">
        <is>
          <t>0.20%</t>
        </is>
      </c>
      <c r="R55" s="103" t="inlineStr">
        <is>
          <t>2.17%</t>
        </is>
      </c>
      <c r="S55" s="103" t="inlineStr">
        <is>
          <t>0.76%</t>
        </is>
      </c>
      <c r="T55" s="103" t="inlineStr">
        <is>
          <t>0.17%</t>
        </is>
      </c>
      <c r="U55" s="103" t="inlineStr">
        <is>
          <t>10.55%</t>
        </is>
      </c>
    </row>
    <row r="56">
      <c r="A56" s="103" t="inlineStr">
        <is>
          <t>55</t>
        </is>
      </c>
      <c r="B56" s="106" t="n">
        <v>46288</v>
      </c>
      <c r="C56" s="104" t="n">
        <v>13879</v>
      </c>
      <c r="D56" s="104" t="n">
        <v>13977</v>
      </c>
      <c r="E56" s="104" t="n">
        <v>12650</v>
      </c>
      <c r="F56" s="104" t="n">
        <v>1327</v>
      </c>
      <c r="G56" s="104" t="n">
        <v>12445</v>
      </c>
      <c r="H56" s="104" t="n">
        <v>440</v>
      </c>
      <c r="I56" s="104" t="n">
        <v>225</v>
      </c>
      <c r="J56" s="104" t="n">
        <v>54</v>
      </c>
      <c r="K56" s="105" t="n">
        <v>298</v>
      </c>
      <c r="L56" s="104" t="n">
        <v>131</v>
      </c>
      <c r="M56" s="103" t="inlineStr">
        <is>
          <t>89.67%</t>
        </is>
      </c>
      <c r="N56" s="103" t="inlineStr">
        <is>
          <t>3.54%</t>
        </is>
      </c>
      <c r="O56" s="103" t="inlineStr">
        <is>
          <t>1.81%</t>
        </is>
      </c>
      <c r="P56" s="103" t="inlineStr">
        <is>
          <t>12.27%</t>
        </is>
      </c>
      <c r="Q56" s="103" t="inlineStr">
        <is>
          <t>0.43%</t>
        </is>
      </c>
      <c r="R56" s="103" t="inlineStr">
        <is>
          <t>3.17%</t>
        </is>
      </c>
      <c r="S56" s="103" t="inlineStr">
        <is>
          <t>1.62%</t>
        </is>
      </c>
      <c r="T56" s="103" t="inlineStr">
        <is>
          <t>0.39%</t>
        </is>
      </c>
      <c r="U56" s="103" t="inlineStr">
        <is>
          <t>18.12%</t>
        </is>
      </c>
    </row>
    <row r="57">
      <c r="A57" s="103" t="inlineStr">
        <is>
          <t>56</t>
        </is>
      </c>
      <c r="B57" s="106" t="n">
        <v>46289</v>
      </c>
      <c r="C57" s="104" t="n">
        <v>14787</v>
      </c>
      <c r="D57" s="104" t="n">
        <v>14492</v>
      </c>
      <c r="E57" s="104" t="n">
        <v>13283</v>
      </c>
      <c r="F57" s="104" t="n">
        <v>1209</v>
      </c>
      <c r="G57" s="104" t="n">
        <v>13633</v>
      </c>
      <c r="H57" s="104" t="n">
        <v>555</v>
      </c>
      <c r="I57" s="104" t="n">
        <v>364</v>
      </c>
      <c r="J57" s="104" t="n">
        <v>52</v>
      </c>
      <c r="K57" s="105" t="n">
        <v>112</v>
      </c>
      <c r="L57" s="104" t="n">
        <v>77</v>
      </c>
      <c r="M57" s="103" t="inlineStr">
        <is>
          <t>92.20%</t>
        </is>
      </c>
      <c r="N57" s="103" t="inlineStr">
        <is>
          <t>4.07%</t>
        </is>
      </c>
      <c r="O57" s="103" t="inlineStr">
        <is>
          <t>2.67%</t>
        </is>
      </c>
      <c r="P57" s="103" t="inlineStr">
        <is>
          <t>9.37%</t>
        </is>
      </c>
      <c r="Q57" s="103" t="inlineStr">
        <is>
          <t>0.38%</t>
        </is>
      </c>
      <c r="R57" s="103" t="inlineStr">
        <is>
          <t>3.75%</t>
        </is>
      </c>
      <c r="S57" s="103" t="inlineStr">
        <is>
          <t>2.46%</t>
        </is>
      </c>
      <c r="T57" s="103" t="inlineStr">
        <is>
          <t>0.35%</t>
        </is>
      </c>
      <c r="U57" s="103" t="inlineStr">
        <is>
          <t>46.43%</t>
        </is>
      </c>
    </row>
    <row r="58">
      <c r="A58" s="36" t="n"/>
      <c r="B58" s="39" t="n"/>
      <c r="C58" s="107" t="n"/>
      <c r="D58" s="107" t="n"/>
      <c r="E58" s="107" t="n"/>
      <c r="F58" s="107" t="n"/>
      <c r="G58" s="107" t="n"/>
      <c r="H58" s="107" t="n"/>
      <c r="I58" s="107" t="n"/>
      <c r="J58" s="107" t="n"/>
      <c r="K58" s="108" t="n"/>
      <c r="L58" s="107" t="n"/>
      <c r="M58" s="36" t="n"/>
      <c r="N58" s="36" t="n"/>
      <c r="O58" s="36" t="n"/>
      <c r="P58" s="36" t="n"/>
      <c r="Q58" s="36" t="n"/>
      <c r="R58" s="36" t="n"/>
      <c r="S58" s="36" t="n"/>
      <c r="T58" s="36" t="n"/>
      <c r="U58" s="36" t="n"/>
    </row>
    <row r="59">
      <c r="A59" s="36" t="n"/>
      <c r="B59" s="39" t="n"/>
      <c r="C59" s="107" t="n"/>
      <c r="D59" s="107" t="n"/>
      <c r="E59" s="107" t="n"/>
      <c r="F59" s="107" t="n"/>
      <c r="G59" s="107" t="n"/>
      <c r="H59" s="107" t="n"/>
      <c r="I59" s="107" t="n"/>
      <c r="J59" s="107" t="n"/>
      <c r="K59" s="108" t="n"/>
      <c r="L59" s="107" t="n"/>
      <c r="M59" s="36" t="n"/>
      <c r="N59" s="36" t="n"/>
      <c r="O59" s="36" t="n"/>
      <c r="P59" s="36" t="n"/>
      <c r="Q59" s="36" t="n"/>
      <c r="R59" s="36" t="n"/>
      <c r="S59" s="36" t="n"/>
      <c r="T59" s="36" t="n"/>
      <c r="U59" s="36" t="n"/>
    </row>
    <row r="60">
      <c r="A60" s="36" t="n"/>
      <c r="B60" s="39" t="n"/>
      <c r="C60" s="107" t="n"/>
      <c r="D60" s="107" t="n"/>
      <c r="E60" s="107" t="n"/>
      <c r="F60" s="107" t="n"/>
      <c r="G60" s="107" t="n"/>
      <c r="H60" s="107" t="n"/>
      <c r="I60" s="107" t="n"/>
      <c r="J60" s="107" t="n"/>
      <c r="K60" s="108" t="n"/>
      <c r="L60" s="107" t="n"/>
      <c r="M60" s="36" t="n"/>
      <c r="N60" s="36" t="n"/>
      <c r="O60" s="36" t="n"/>
      <c r="P60" s="36" t="n"/>
      <c r="Q60" s="36" t="n"/>
      <c r="R60" s="36" t="n"/>
      <c r="S60" s="36" t="n"/>
      <c r="T60" s="36" t="n"/>
      <c r="U60" s="36" t="n"/>
    </row>
    <row r="61">
      <c r="A61" s="36" t="n"/>
      <c r="B61" s="39" t="n"/>
      <c r="C61" s="107" t="n"/>
      <c r="D61" s="107" t="n"/>
      <c r="E61" s="107" t="n"/>
      <c r="F61" s="107" t="n"/>
      <c r="G61" s="107" t="n"/>
      <c r="H61" s="107" t="n"/>
      <c r="I61" s="107" t="n"/>
      <c r="J61" s="107" t="n"/>
      <c r="K61" s="108" t="n"/>
      <c r="L61" s="107" t="n"/>
      <c r="M61" s="36" t="n"/>
      <c r="N61" s="36" t="n"/>
      <c r="O61" s="36" t="n"/>
      <c r="P61" s="36" t="n"/>
      <c r="Q61" s="36" t="n"/>
      <c r="R61" s="36" t="n"/>
      <c r="S61" s="36" t="n"/>
      <c r="T61" s="36" t="n"/>
      <c r="U61" s="36" t="n"/>
    </row>
    <row r="62">
      <c r="A62" s="36" t="n"/>
      <c r="B62" s="39" t="n"/>
      <c r="C62" s="107" t="n"/>
      <c r="D62" s="107" t="n"/>
      <c r="E62" s="107" t="n"/>
      <c r="F62" s="107" t="n"/>
      <c r="G62" s="107" t="n"/>
      <c r="H62" s="107" t="n"/>
      <c r="I62" s="107" t="n"/>
      <c r="J62" s="107" t="n"/>
      <c r="K62" s="108" t="n"/>
      <c r="L62" s="107" t="n"/>
      <c r="M62" s="36" t="n"/>
      <c r="N62" s="36" t="n"/>
      <c r="O62" s="36" t="n"/>
      <c r="P62" s="36" t="n"/>
      <c r="Q62" s="36" t="n"/>
      <c r="R62" s="36" t="n"/>
      <c r="S62" s="36" t="n"/>
      <c r="T62" s="36" t="n"/>
      <c r="U62" s="36" t="n"/>
    </row>
    <row r="63">
      <c r="A63" s="36" t="n"/>
      <c r="B63" s="39" t="n"/>
      <c r="C63" s="107" t="n"/>
      <c r="D63" s="107" t="n"/>
      <c r="E63" s="107" t="n"/>
      <c r="F63" s="107" t="n"/>
      <c r="G63" s="107" t="n"/>
      <c r="H63" s="107" t="n"/>
      <c r="I63" s="107" t="n"/>
      <c r="J63" s="107" t="n"/>
      <c r="K63" s="108" t="n"/>
      <c r="L63" s="107" t="n"/>
      <c r="M63" s="36" t="n"/>
      <c r="N63" s="36" t="n"/>
      <c r="O63" s="36" t="n"/>
      <c r="P63" s="36" t="n"/>
      <c r="Q63" s="36" t="n"/>
      <c r="R63" s="36" t="n"/>
      <c r="S63" s="36" t="n"/>
      <c r="T63" s="36" t="n"/>
      <c r="U63" s="36" t="n"/>
    </row>
    <row r="64">
      <c r="A64" s="36" t="n"/>
      <c r="B64" s="39" t="n"/>
      <c r="C64" s="107" t="n"/>
      <c r="D64" s="107" t="n"/>
      <c r="E64" s="107" t="n"/>
      <c r="F64" s="107" t="n"/>
      <c r="G64" s="107" t="n"/>
      <c r="H64" s="107" t="n"/>
      <c r="I64" s="107" t="n"/>
      <c r="J64" s="107" t="n"/>
      <c r="K64" s="108" t="n"/>
      <c r="L64" s="107" t="n"/>
      <c r="M64" s="36" t="n"/>
      <c r="N64" s="36" t="n"/>
      <c r="O64" s="36" t="n"/>
      <c r="P64" s="36" t="n"/>
      <c r="Q64" s="36" t="n"/>
      <c r="R64" s="36" t="n"/>
      <c r="S64" s="36" t="n"/>
      <c r="T64" s="36" t="n"/>
      <c r="U64" s="36" t="n"/>
    </row>
  </sheetData>
  <autoFilter ref="A1:U1"/>
  <pageMargins left="0.7" right="0.7" top="0.75" bottom="0.75" header="0.3" footer="0.3"/>
</worksheet>
</file>

<file path=xl/worksheets/sheet7.xml><?xml version="1.0" encoding="utf-8"?>
<worksheet xmlns="http://schemas.openxmlformats.org/spreadsheetml/2006/main">
  <sheetPr>
    <tabColor rgb="FF92D050"/>
    <outlinePr summaryBelow="1" summaryRight="1"/>
    <pageSetUpPr/>
  </sheetPr>
  <dimension ref="A1:U33"/>
  <sheetViews>
    <sheetView workbookViewId="0">
      <selection activeCell="N14" sqref="N14"/>
    </sheetView>
  </sheetViews>
  <sheetFormatPr baseColWidth="8" defaultRowHeight="14.25"/>
  <cols>
    <col width="3.90625" customWidth="1" min="1" max="1"/>
    <col width="23.4375" customWidth="1" min="2" max="2"/>
    <col width="23.4375" customWidth="1" min="3" max="3"/>
    <col width="23.4375" customWidth="1" min="4" max="4"/>
    <col width="23.4375" customWidth="1" min="5" max="5"/>
    <col width="23.4375" customWidth="1" min="6" max="6"/>
    <col width="23.4375" customWidth="1" min="7" max="7"/>
    <col width="23.4375" customWidth="1" min="8" max="8"/>
    <col width="23.4375" customWidth="1" min="9" max="9"/>
    <col width="23.4375" customWidth="1" min="10" max="10"/>
    <col width="23.4375" customWidth="1" min="11" max="11"/>
    <col width="23.4375" customWidth="1" min="12" max="12"/>
    <col width="23.4375" customWidth="1" min="13" max="13"/>
    <col width="23.4375" customWidth="1" min="14" max="14"/>
    <col width="23.4375" customWidth="1" min="15" max="15"/>
    <col width="23.4375" customWidth="1" min="16" max="16"/>
    <col width="23.4375" customWidth="1" min="17" max="17"/>
    <col width="23.4375" customWidth="1" min="18" max="18"/>
    <col width="23.4375" customWidth="1" min="19" max="19"/>
    <col width="23.4375" customWidth="1" min="20" max="20"/>
    <col width="23.4375" customWidth="1" min="21" max="21"/>
    <col width="8" customWidth="1" min="22" max="22"/>
    <col width="8" customWidth="1" min="23" max="23"/>
  </cols>
  <sheetData>
    <row r="1">
      <c r="A1" s="102" t="inlineStr">
        <is>
          <t>序号</t>
        </is>
      </c>
      <c r="B1" s="102" t="inlineStr">
        <is>
          <t>按日</t>
        </is>
      </c>
      <c r="C1" s="102" t="inlineStr">
        <is>
          <t>线索总量</t>
        </is>
      </c>
      <c r="D1" s="102" t="inlineStr">
        <is>
          <t>应回访线索量</t>
        </is>
      </c>
      <c r="E1" s="102" t="inlineStr">
        <is>
          <t>按时回访量</t>
        </is>
      </c>
      <c r="F1" s="102" t="inlineStr">
        <is>
          <t>超时回访量</t>
        </is>
      </c>
      <c r="G1" s="102" t="inlineStr">
        <is>
          <t>有效线索量</t>
        </is>
      </c>
      <c r="H1" s="102" t="inlineStr">
        <is>
          <t>到店量</t>
        </is>
      </c>
      <c r="I1" s="102" t="inlineStr">
        <is>
          <t>订单量</t>
        </is>
      </c>
      <c r="J1" s="102" t="inlineStr">
        <is>
          <t>成交量</t>
        </is>
      </c>
      <c r="K1" s="102" t="inlineStr">
        <is>
          <t>总成交量</t>
        </is>
      </c>
      <c r="L1" s="102" t="inlineStr">
        <is>
          <t>战败线索量</t>
        </is>
      </c>
      <c r="M1" s="102" t="inlineStr">
        <is>
          <t>线索有效率</t>
        </is>
      </c>
      <c r="N1" s="102" t="inlineStr">
        <is>
          <t>有效线索到店率</t>
        </is>
      </c>
      <c r="O1" s="102" t="inlineStr">
        <is>
          <t>有效线索下订率</t>
        </is>
      </c>
      <c r="P1" s="102" t="inlineStr">
        <is>
          <t>到店成交率</t>
        </is>
      </c>
      <c r="Q1" s="102" t="inlineStr">
        <is>
          <t>有效线索转化率</t>
        </is>
      </c>
      <c r="R1" s="102" t="inlineStr">
        <is>
          <t>线索到店率</t>
        </is>
      </c>
      <c r="S1" s="102" t="inlineStr">
        <is>
          <t>线索下订率</t>
        </is>
      </c>
      <c r="T1" s="102" t="inlineStr">
        <is>
          <t>线索转化率</t>
        </is>
      </c>
      <c r="U1" s="102" t="inlineStr">
        <is>
          <t>数营成交贡献度</t>
        </is>
      </c>
    </row>
    <row r="2">
      <c r="A2" s="103" t="inlineStr">
        <is>
          <t>1</t>
        </is>
      </c>
      <c r="B2" s="103" t="inlineStr">
        <is>
          <t>合计</t>
        </is>
      </c>
      <c r="C2" s="104" t="n">
        <v>1003233</v>
      </c>
      <c r="D2" s="104" t="n">
        <v>1000359</v>
      </c>
      <c r="E2" s="104" t="n">
        <v>949117</v>
      </c>
      <c r="F2" s="104" t="n">
        <v>51242</v>
      </c>
      <c r="G2" s="104" t="n">
        <v>700306</v>
      </c>
      <c r="H2" s="104" t="n">
        <v>77842</v>
      </c>
      <c r="I2" s="104" t="n">
        <v>33111</v>
      </c>
      <c r="J2" s="104" t="n">
        <v>26866</v>
      </c>
      <c r="K2" s="105" t="n">
        <v>50653</v>
      </c>
      <c r="L2" s="104" t="n">
        <v>82049</v>
      </c>
      <c r="M2" s="103" t="inlineStr">
        <is>
          <t>69.80%</t>
        </is>
      </c>
      <c r="N2" s="103" t="inlineStr">
        <is>
          <t>11.12%</t>
        </is>
      </c>
      <c r="O2" s="103" t="inlineStr">
        <is>
          <t>4.73%</t>
        </is>
      </c>
      <c r="P2" s="103" t="inlineStr">
        <is>
          <t>34.51%</t>
        </is>
      </c>
      <c r="Q2" s="103" t="inlineStr">
        <is>
          <t>3.84%</t>
        </is>
      </c>
      <c r="R2" s="103" t="inlineStr">
        <is>
          <t>7.76%</t>
        </is>
      </c>
      <c r="S2" s="103" t="inlineStr">
        <is>
          <t>3.30%</t>
        </is>
      </c>
      <c r="T2" s="103" t="inlineStr">
        <is>
          <t>2.68%</t>
        </is>
      </c>
      <c r="U2" s="103" t="inlineStr">
        <is>
          <t>53.04%</t>
        </is>
      </c>
    </row>
    <row r="3">
      <c r="A3" s="103" t="inlineStr">
        <is>
          <t>2</t>
        </is>
      </c>
      <c r="B3" s="106" t="n">
        <v>45901</v>
      </c>
      <c r="C3" s="104" t="n">
        <v>29626</v>
      </c>
      <c r="D3" s="104" t="n">
        <v>30323</v>
      </c>
      <c r="E3" s="104" t="n">
        <v>28829</v>
      </c>
      <c r="F3" s="104" t="n">
        <v>1494</v>
      </c>
      <c r="G3" s="104" t="n">
        <v>18512</v>
      </c>
      <c r="H3" s="104" t="n">
        <v>1488</v>
      </c>
      <c r="I3" s="104" t="n">
        <v>430</v>
      </c>
      <c r="J3" s="104" t="n">
        <v>41</v>
      </c>
      <c r="K3" s="105" t="n">
        <v>234</v>
      </c>
      <c r="L3" s="104" t="n">
        <v>3576</v>
      </c>
      <c r="M3" s="103" t="inlineStr">
        <is>
          <t>62.49%</t>
        </is>
      </c>
      <c r="N3" s="103" t="inlineStr">
        <is>
          <t>8.04%</t>
        </is>
      </c>
      <c r="O3" s="103" t="inlineStr">
        <is>
          <t>2.32%</t>
        </is>
      </c>
      <c r="P3" s="103" t="inlineStr">
        <is>
          <t>2.76%</t>
        </is>
      </c>
      <c r="Q3" s="103" t="inlineStr">
        <is>
          <t>0.22%</t>
        </is>
      </c>
      <c r="R3" s="103" t="inlineStr">
        <is>
          <t>5.02%</t>
        </is>
      </c>
      <c r="S3" s="103" t="inlineStr">
        <is>
          <t>1.45%</t>
        </is>
      </c>
      <c r="T3" s="103" t="inlineStr">
        <is>
          <t>0.14%</t>
        </is>
      </c>
      <c r="U3" s="103" t="inlineStr">
        <is>
          <t>17.52%</t>
        </is>
      </c>
    </row>
    <row r="4">
      <c r="A4" s="103" t="inlineStr">
        <is>
          <t>3</t>
        </is>
      </c>
      <c r="B4" s="106" t="n">
        <v>45902</v>
      </c>
      <c r="C4" s="104" t="n">
        <v>30793</v>
      </c>
      <c r="D4" s="104" t="n">
        <v>30764</v>
      </c>
      <c r="E4" s="104" t="n">
        <v>29155</v>
      </c>
      <c r="F4" s="104" t="n">
        <v>1609</v>
      </c>
      <c r="G4" s="104" t="n">
        <v>19526</v>
      </c>
      <c r="H4" s="104" t="n">
        <v>1653</v>
      </c>
      <c r="I4" s="104" t="n">
        <v>659</v>
      </c>
      <c r="J4" s="104" t="n">
        <v>147</v>
      </c>
      <c r="K4" s="105" t="n">
        <v>549</v>
      </c>
      <c r="L4" s="104" t="n">
        <v>3572</v>
      </c>
      <c r="M4" s="103" t="inlineStr">
        <is>
          <t>63.41%</t>
        </is>
      </c>
      <c r="N4" s="103" t="inlineStr">
        <is>
          <t>8.47%</t>
        </is>
      </c>
      <c r="O4" s="103" t="inlineStr">
        <is>
          <t>3.37%</t>
        </is>
      </c>
      <c r="P4" s="103" t="inlineStr">
        <is>
          <t>8.89%</t>
        </is>
      </c>
      <c r="Q4" s="103" t="inlineStr">
        <is>
          <t>0.75%</t>
        </is>
      </c>
      <c r="R4" s="103" t="inlineStr">
        <is>
          <t>5.37%</t>
        </is>
      </c>
      <c r="S4" s="103" t="inlineStr">
        <is>
          <t>2.14%</t>
        </is>
      </c>
      <c r="T4" s="103" t="inlineStr">
        <is>
          <t>0.48%</t>
        </is>
      </c>
      <c r="U4" s="103" t="inlineStr">
        <is>
          <t>26.78%</t>
        </is>
      </c>
    </row>
    <row r="5">
      <c r="A5" s="103" t="inlineStr">
        <is>
          <t>4</t>
        </is>
      </c>
      <c r="B5" s="106" t="n">
        <v>45903</v>
      </c>
      <c r="C5" s="104" t="n">
        <v>27513</v>
      </c>
      <c r="D5" s="104" t="n">
        <v>29008</v>
      </c>
      <c r="E5" s="104" t="n">
        <v>27702</v>
      </c>
      <c r="F5" s="104" t="n">
        <v>1306</v>
      </c>
      <c r="G5" s="104" t="n">
        <v>17453</v>
      </c>
      <c r="H5" s="104" t="n">
        <v>1599</v>
      </c>
      <c r="I5" s="104" t="n">
        <v>716</v>
      </c>
      <c r="J5" s="104" t="n">
        <v>284</v>
      </c>
      <c r="K5" s="105" t="n">
        <v>633</v>
      </c>
      <c r="L5" s="104" t="n">
        <v>3189</v>
      </c>
      <c r="M5" s="103" t="inlineStr">
        <is>
          <t>63.44%</t>
        </is>
      </c>
      <c r="N5" s="103" t="inlineStr">
        <is>
          <t>9.16%</t>
        </is>
      </c>
      <c r="O5" s="103" t="inlineStr">
        <is>
          <t>4.10%</t>
        </is>
      </c>
      <c r="P5" s="103" t="inlineStr">
        <is>
          <t>17.76%</t>
        </is>
      </c>
      <c r="Q5" s="103" t="inlineStr">
        <is>
          <t>1.63%</t>
        </is>
      </c>
      <c r="R5" s="103" t="inlineStr">
        <is>
          <t>5.81%</t>
        </is>
      </c>
      <c r="S5" s="103" t="inlineStr">
        <is>
          <t>2.60%</t>
        </is>
      </c>
      <c r="T5" s="103" t="inlineStr">
        <is>
          <t>1.03%</t>
        </is>
      </c>
      <c r="U5" s="103" t="inlineStr">
        <is>
          <t>44.87%</t>
        </is>
      </c>
    </row>
    <row r="6">
      <c r="A6" s="103" t="inlineStr">
        <is>
          <t>5</t>
        </is>
      </c>
      <c r="B6" s="106" t="n">
        <v>45904</v>
      </c>
      <c r="C6" s="104" t="n">
        <v>29634</v>
      </c>
      <c r="D6" s="104" t="n">
        <v>29148</v>
      </c>
      <c r="E6" s="104" t="n">
        <v>27766</v>
      </c>
      <c r="F6" s="104" t="n">
        <v>1382</v>
      </c>
      <c r="G6" s="104" t="n">
        <v>19097</v>
      </c>
      <c r="H6" s="104" t="n">
        <v>1869</v>
      </c>
      <c r="I6" s="104" t="n">
        <v>694</v>
      </c>
      <c r="J6" s="104" t="n">
        <v>258</v>
      </c>
      <c r="K6" s="105" t="n">
        <v>610</v>
      </c>
      <c r="L6" s="104" t="n">
        <v>3332</v>
      </c>
      <c r="M6" s="103" t="inlineStr">
        <is>
          <t>64.44%</t>
        </is>
      </c>
      <c r="N6" s="103" t="inlineStr">
        <is>
          <t>9.79%</t>
        </is>
      </c>
      <c r="O6" s="103" t="inlineStr">
        <is>
          <t>3.63%</t>
        </is>
      </c>
      <c r="P6" s="103" t="inlineStr">
        <is>
          <t>13.80%</t>
        </is>
      </c>
      <c r="Q6" s="103" t="inlineStr">
        <is>
          <t>1.35%</t>
        </is>
      </c>
      <c r="R6" s="103" t="inlineStr">
        <is>
          <t>6.31%</t>
        </is>
      </c>
      <c r="S6" s="103" t="inlineStr">
        <is>
          <t>2.34%</t>
        </is>
      </c>
      <c r="T6" s="103" t="inlineStr">
        <is>
          <t>0.87%</t>
        </is>
      </c>
      <c r="U6" s="103" t="inlineStr">
        <is>
          <t>42.30%</t>
        </is>
      </c>
    </row>
    <row r="7">
      <c r="A7" s="103" t="inlineStr">
        <is>
          <t>6</t>
        </is>
      </c>
      <c r="B7" s="106" t="n">
        <v>45905</v>
      </c>
      <c r="C7" s="104" t="n">
        <v>30367</v>
      </c>
      <c r="D7" s="104" t="n">
        <v>30149</v>
      </c>
      <c r="E7" s="104" t="n">
        <v>28654</v>
      </c>
      <c r="F7" s="104" t="n">
        <v>1495</v>
      </c>
      <c r="G7" s="104" t="n">
        <v>19501</v>
      </c>
      <c r="H7" s="104" t="n">
        <v>1977</v>
      </c>
      <c r="I7" s="104" t="n">
        <v>785</v>
      </c>
      <c r="J7" s="104" t="n">
        <v>359</v>
      </c>
      <c r="K7" s="105" t="n">
        <v>725</v>
      </c>
      <c r="L7" s="104" t="n">
        <v>3396</v>
      </c>
      <c r="M7" s="103" t="inlineStr">
        <is>
          <t>64.22%</t>
        </is>
      </c>
      <c r="N7" s="103" t="inlineStr">
        <is>
          <t>10.14%</t>
        </is>
      </c>
      <c r="O7" s="103" t="inlineStr">
        <is>
          <t>4.03%</t>
        </is>
      </c>
      <c r="P7" s="103" t="inlineStr">
        <is>
          <t>18.16%</t>
        </is>
      </c>
      <c r="Q7" s="103" t="inlineStr">
        <is>
          <t>1.84%</t>
        </is>
      </c>
      <c r="R7" s="103" t="inlineStr">
        <is>
          <t>6.51%</t>
        </is>
      </c>
      <c r="S7" s="103" t="inlineStr">
        <is>
          <t>2.59%</t>
        </is>
      </c>
      <c r="T7" s="103" t="inlineStr">
        <is>
          <t>1.18%</t>
        </is>
      </c>
      <c r="U7" s="103" t="inlineStr">
        <is>
          <t>49.52%</t>
        </is>
      </c>
    </row>
    <row r="8">
      <c r="A8" s="103" t="inlineStr">
        <is>
          <t>7</t>
        </is>
      </c>
      <c r="B8" s="106" t="n">
        <v>45906</v>
      </c>
      <c r="C8" s="104" t="n">
        <v>32986</v>
      </c>
      <c r="D8" s="104" t="n">
        <v>31020</v>
      </c>
      <c r="E8" s="104" t="n">
        <v>29439</v>
      </c>
      <c r="F8" s="104" t="n">
        <v>1581</v>
      </c>
      <c r="G8" s="104" t="n">
        <v>21572</v>
      </c>
      <c r="H8" s="104" t="n">
        <v>2429</v>
      </c>
      <c r="I8" s="104" t="n">
        <v>505</v>
      </c>
      <c r="J8" s="104" t="n">
        <v>309</v>
      </c>
      <c r="K8" s="105" t="n">
        <v>645</v>
      </c>
      <c r="L8" s="104" t="n">
        <v>3773</v>
      </c>
      <c r="M8" s="103" t="inlineStr">
        <is>
          <t>65.40%</t>
        </is>
      </c>
      <c r="N8" s="103" t="inlineStr">
        <is>
          <t>11.26%</t>
        </is>
      </c>
      <c r="O8" s="103" t="inlineStr">
        <is>
          <t>2.34%</t>
        </is>
      </c>
      <c r="P8" s="103" t="inlineStr">
        <is>
          <t>12.72%</t>
        </is>
      </c>
      <c r="Q8" s="103" t="inlineStr">
        <is>
          <t>1.43%</t>
        </is>
      </c>
      <c r="R8" s="103" t="inlineStr">
        <is>
          <t>7.36%</t>
        </is>
      </c>
      <c r="S8" s="103" t="inlineStr">
        <is>
          <t>1.53%</t>
        </is>
      </c>
      <c r="T8" s="103" t="inlineStr">
        <is>
          <t>0.94%</t>
        </is>
      </c>
      <c r="U8" s="103" t="inlineStr">
        <is>
          <t>47.91%</t>
        </is>
      </c>
    </row>
    <row r="9">
      <c r="A9" s="103" t="inlineStr">
        <is>
          <t>8</t>
        </is>
      </c>
      <c r="B9" s="106" t="n">
        <v>45907</v>
      </c>
      <c r="C9" s="104" t="n">
        <v>33558</v>
      </c>
      <c r="D9" s="104" t="n">
        <v>33628</v>
      </c>
      <c r="E9" s="104" t="n">
        <v>31822</v>
      </c>
      <c r="F9" s="104" t="n">
        <v>1806</v>
      </c>
      <c r="G9" s="104" t="n">
        <v>21945</v>
      </c>
      <c r="H9" s="104" t="n">
        <v>2828</v>
      </c>
      <c r="I9" s="104" t="n">
        <v>718</v>
      </c>
      <c r="J9" s="104" t="n">
        <v>244</v>
      </c>
      <c r="K9" s="105" t="n">
        <v>512</v>
      </c>
      <c r="L9" s="104" t="n">
        <v>3407</v>
      </c>
      <c r="M9" s="103" t="inlineStr">
        <is>
          <t>65.39%</t>
        </is>
      </c>
      <c r="N9" s="103" t="inlineStr">
        <is>
          <t>12.89%</t>
        </is>
      </c>
      <c r="O9" s="103" t="inlineStr">
        <is>
          <t>3.27%</t>
        </is>
      </c>
      <c r="P9" s="103" t="inlineStr">
        <is>
          <t>8.63%</t>
        </is>
      </c>
      <c r="Q9" s="103" t="inlineStr">
        <is>
          <t>1.11%</t>
        </is>
      </c>
      <c r="R9" s="103" t="inlineStr">
        <is>
          <t>8.43%</t>
        </is>
      </c>
      <c r="S9" s="103" t="inlineStr">
        <is>
          <t>2.14%</t>
        </is>
      </c>
      <c r="T9" s="103" t="inlineStr">
        <is>
          <t>0.73%</t>
        </is>
      </c>
      <c r="U9" s="103" t="inlineStr">
        <is>
          <t>47.66%</t>
        </is>
      </c>
    </row>
    <row r="10">
      <c r="A10" s="103" t="inlineStr">
        <is>
          <t>9</t>
        </is>
      </c>
      <c r="B10" s="106" t="n">
        <v>45908</v>
      </c>
      <c r="C10" s="104" t="n">
        <v>32220</v>
      </c>
      <c r="D10" s="104" t="n">
        <v>32613</v>
      </c>
      <c r="E10" s="104" t="n">
        <v>30825</v>
      </c>
      <c r="F10" s="104" t="n">
        <v>1788</v>
      </c>
      <c r="G10" s="104" t="n">
        <v>21221</v>
      </c>
      <c r="H10" s="104" t="n">
        <v>2524</v>
      </c>
      <c r="I10" s="104" t="n">
        <v>1290</v>
      </c>
      <c r="J10" s="104" t="n">
        <v>518</v>
      </c>
      <c r="K10" s="105" t="n">
        <v>872</v>
      </c>
      <c r="L10" s="104" t="n">
        <v>3081</v>
      </c>
      <c r="M10" s="103" t="inlineStr">
        <is>
          <t>65.86%</t>
        </is>
      </c>
      <c r="N10" s="103" t="inlineStr">
        <is>
          <t>11.89%</t>
        </is>
      </c>
      <c r="O10" s="103" t="inlineStr">
        <is>
          <t>6.08%</t>
        </is>
      </c>
      <c r="P10" s="103" t="inlineStr">
        <is>
          <t>20.52%</t>
        </is>
      </c>
      <c r="Q10" s="103" t="inlineStr">
        <is>
          <t>2.44%</t>
        </is>
      </c>
      <c r="R10" s="103" t="inlineStr">
        <is>
          <t>7.83%</t>
        </is>
      </c>
      <c r="S10" s="103" t="inlineStr">
        <is>
          <t>4.00%</t>
        </is>
      </c>
      <c r="T10" s="103" t="inlineStr">
        <is>
          <t>1.61%</t>
        </is>
      </c>
      <c r="U10" s="103" t="inlineStr">
        <is>
          <t>59.40%</t>
        </is>
      </c>
    </row>
    <row r="11">
      <c r="A11" s="103" t="inlineStr">
        <is>
          <t>10</t>
        </is>
      </c>
      <c r="B11" s="106" t="n">
        <v>45909</v>
      </c>
      <c r="C11" s="104" t="n">
        <v>32173</v>
      </c>
      <c r="D11" s="104" t="n">
        <v>31813</v>
      </c>
      <c r="E11" s="104" t="n">
        <v>30306</v>
      </c>
      <c r="F11" s="104" t="n">
        <v>1507</v>
      </c>
      <c r="G11" s="104" t="n">
        <v>20787</v>
      </c>
      <c r="H11" s="104" t="n">
        <v>2211</v>
      </c>
      <c r="I11" s="104" t="n">
        <v>990</v>
      </c>
      <c r="J11" s="104" t="n">
        <v>468</v>
      </c>
      <c r="K11" s="105" t="n">
        <v>1048</v>
      </c>
      <c r="L11" s="104" t="n">
        <v>3144</v>
      </c>
      <c r="M11" s="103" t="inlineStr">
        <is>
          <t>64.61%</t>
        </is>
      </c>
      <c r="N11" s="103" t="inlineStr">
        <is>
          <t>10.64%</t>
        </is>
      </c>
      <c r="O11" s="103" t="inlineStr">
        <is>
          <t>4.76%</t>
        </is>
      </c>
      <c r="P11" s="103" t="inlineStr">
        <is>
          <t>21.17%</t>
        </is>
      </c>
      <c r="Q11" s="103" t="inlineStr">
        <is>
          <t>2.25%</t>
        </is>
      </c>
      <c r="R11" s="103" t="inlineStr">
        <is>
          <t>6.87%</t>
        </is>
      </c>
      <c r="S11" s="103" t="inlineStr">
        <is>
          <t>3.08%</t>
        </is>
      </c>
      <c r="T11" s="103" t="inlineStr">
        <is>
          <t>1.45%</t>
        </is>
      </c>
      <c r="U11" s="103" t="inlineStr">
        <is>
          <t>44.66%</t>
        </is>
      </c>
    </row>
    <row r="12">
      <c r="A12" s="103" t="inlineStr">
        <is>
          <t>11</t>
        </is>
      </c>
      <c r="B12" s="106" t="n">
        <v>45910</v>
      </c>
      <c r="C12" s="104" t="n">
        <v>31769</v>
      </c>
      <c r="D12" s="104" t="n">
        <v>31471</v>
      </c>
      <c r="E12" s="104" t="n">
        <v>29911</v>
      </c>
      <c r="F12" s="104" t="n">
        <v>1560</v>
      </c>
      <c r="G12" s="104" t="n">
        <v>21168</v>
      </c>
      <c r="H12" s="104" t="n">
        <v>1801</v>
      </c>
      <c r="I12" s="104" t="n">
        <v>667</v>
      </c>
      <c r="J12" s="104" t="n">
        <v>602</v>
      </c>
      <c r="K12" s="105" t="n">
        <v>1143</v>
      </c>
      <c r="L12" s="104" t="n">
        <v>3160</v>
      </c>
      <c r="M12" s="103" t="inlineStr">
        <is>
          <t>66.63%</t>
        </is>
      </c>
      <c r="N12" s="103" t="inlineStr">
        <is>
          <t>8.51%</t>
        </is>
      </c>
      <c r="O12" s="103" t="inlineStr">
        <is>
          <t>3.15%</t>
        </is>
      </c>
      <c r="P12" s="103" t="inlineStr">
        <is>
          <t>33.43%</t>
        </is>
      </c>
      <c r="Q12" s="103" t="inlineStr">
        <is>
          <t>2.84%</t>
        </is>
      </c>
      <c r="R12" s="103" t="inlineStr">
        <is>
          <t>5.67%</t>
        </is>
      </c>
      <c r="S12" s="103" t="inlineStr">
        <is>
          <t>2.10%</t>
        </is>
      </c>
      <c r="T12" s="103" t="inlineStr">
        <is>
          <t>1.89%</t>
        </is>
      </c>
      <c r="U12" s="103" t="inlineStr">
        <is>
          <t>52.67%</t>
        </is>
      </c>
    </row>
    <row r="13">
      <c r="A13" s="103" t="inlineStr">
        <is>
          <t>12</t>
        </is>
      </c>
      <c r="B13" s="106" t="n">
        <v>45911</v>
      </c>
      <c r="C13" s="104" t="n">
        <v>32252</v>
      </c>
      <c r="D13" s="104" t="n">
        <v>31555</v>
      </c>
      <c r="E13" s="104" t="n">
        <v>30162</v>
      </c>
      <c r="F13" s="104" t="n">
        <v>1393</v>
      </c>
      <c r="G13" s="104" t="n">
        <v>21367</v>
      </c>
      <c r="H13" s="104" t="n">
        <v>2280</v>
      </c>
      <c r="I13" s="104" t="n">
        <v>795</v>
      </c>
      <c r="J13" s="104" t="n">
        <v>549</v>
      </c>
      <c r="K13" s="105" t="n">
        <v>1047</v>
      </c>
      <c r="L13" s="104" t="n">
        <v>3175</v>
      </c>
      <c r="M13" s="103" t="inlineStr">
        <is>
          <t>66.25%</t>
        </is>
      </c>
      <c r="N13" s="103" t="inlineStr">
        <is>
          <t>10.67%</t>
        </is>
      </c>
      <c r="O13" s="103" t="inlineStr">
        <is>
          <t>3.72%</t>
        </is>
      </c>
      <c r="P13" s="103" t="inlineStr">
        <is>
          <t>24.08%</t>
        </is>
      </c>
      <c r="Q13" s="103" t="inlineStr">
        <is>
          <t>2.57%</t>
        </is>
      </c>
      <c r="R13" s="103" t="inlineStr">
        <is>
          <t>7.07%</t>
        </is>
      </c>
      <c r="S13" s="103" t="inlineStr">
        <is>
          <t>2.46%</t>
        </is>
      </c>
      <c r="T13" s="103" t="inlineStr">
        <is>
          <t>1.70%</t>
        </is>
      </c>
      <c r="U13" s="103" t="inlineStr">
        <is>
          <t>52.44%</t>
        </is>
      </c>
    </row>
    <row r="14">
      <c r="A14" s="103" t="inlineStr">
        <is>
          <t>13</t>
        </is>
      </c>
      <c r="B14" s="106" t="n">
        <v>45912</v>
      </c>
      <c r="C14" s="104" t="n">
        <v>34055</v>
      </c>
      <c r="D14" s="104" t="n">
        <v>33012</v>
      </c>
      <c r="E14" s="104" t="n">
        <v>31549</v>
      </c>
      <c r="F14" s="104" t="n">
        <v>1463</v>
      </c>
      <c r="G14" s="104" t="n">
        <v>22928</v>
      </c>
      <c r="H14" s="104" t="n">
        <v>2565</v>
      </c>
      <c r="I14" s="104" t="n">
        <v>1012</v>
      </c>
      <c r="J14" s="104" t="n">
        <v>1085</v>
      </c>
      <c r="K14" s="105" t="n">
        <v>1741</v>
      </c>
      <c r="L14" s="104" t="n">
        <v>3194</v>
      </c>
      <c r="M14" s="103" t="inlineStr">
        <is>
          <t>67.33%</t>
        </is>
      </c>
      <c r="N14" s="103" t="inlineStr">
        <is>
          <t>11.19%</t>
        </is>
      </c>
      <c r="O14" s="103" t="inlineStr">
        <is>
          <t>4.41%</t>
        </is>
      </c>
      <c r="P14" s="103" t="inlineStr">
        <is>
          <t>42.30%</t>
        </is>
      </c>
      <c r="Q14" s="103" t="inlineStr">
        <is>
          <t>4.73%</t>
        </is>
      </c>
      <c r="R14" s="103" t="inlineStr">
        <is>
          <t>7.53%</t>
        </is>
      </c>
      <c r="S14" s="103" t="inlineStr">
        <is>
          <t>2.97%</t>
        </is>
      </c>
      <c r="T14" s="103" t="inlineStr">
        <is>
          <t>3.19%</t>
        </is>
      </c>
      <c r="U14" s="103" t="inlineStr">
        <is>
          <t>62.32%</t>
        </is>
      </c>
    </row>
    <row r="15">
      <c r="A15" s="103" t="inlineStr">
        <is>
          <t>14</t>
        </is>
      </c>
      <c r="B15" s="106" t="n">
        <v>45913</v>
      </c>
      <c r="C15" s="104" t="n">
        <v>36859</v>
      </c>
      <c r="D15" s="104" t="n">
        <v>33866</v>
      </c>
      <c r="E15" s="104" t="n">
        <v>32199</v>
      </c>
      <c r="F15" s="104" t="n">
        <v>1667</v>
      </c>
      <c r="G15" s="104" t="n">
        <v>25059</v>
      </c>
      <c r="H15" s="104" t="n">
        <v>3206</v>
      </c>
      <c r="I15" s="104" t="n">
        <v>1112</v>
      </c>
      <c r="J15" s="104" t="n">
        <v>800</v>
      </c>
      <c r="K15" s="105" t="n">
        <v>1426</v>
      </c>
      <c r="L15" s="104" t="n">
        <v>3672</v>
      </c>
      <c r="M15" s="103" t="inlineStr">
        <is>
          <t>67.99%</t>
        </is>
      </c>
      <c r="N15" s="103" t="inlineStr">
        <is>
          <t>12.79%</t>
        </is>
      </c>
      <c r="O15" s="103" t="inlineStr">
        <is>
          <t>4.44%</t>
        </is>
      </c>
      <c r="P15" s="103" t="inlineStr">
        <is>
          <t>24.95%</t>
        </is>
      </c>
      <c r="Q15" s="103" t="inlineStr">
        <is>
          <t>3.19%</t>
        </is>
      </c>
      <c r="R15" s="103" t="inlineStr">
        <is>
          <t>8.70%</t>
        </is>
      </c>
      <c r="S15" s="103" t="inlineStr">
        <is>
          <t>3.02%</t>
        </is>
      </c>
      <c r="T15" s="103" t="inlineStr">
        <is>
          <t>2.17%</t>
        </is>
      </c>
      <c r="U15" s="103" t="inlineStr">
        <is>
          <t>56.10%</t>
        </is>
      </c>
    </row>
    <row r="16">
      <c r="A16" s="103" t="inlineStr">
        <is>
          <t>15</t>
        </is>
      </c>
      <c r="B16" s="106" t="n">
        <v>45914</v>
      </c>
      <c r="C16" s="104" t="n">
        <v>39785</v>
      </c>
      <c r="D16" s="104" t="n">
        <v>39187</v>
      </c>
      <c r="E16" s="104" t="n">
        <v>36978</v>
      </c>
      <c r="F16" s="104" t="n">
        <v>2209</v>
      </c>
      <c r="G16" s="104" t="n">
        <v>26630</v>
      </c>
      <c r="H16" s="104" t="n">
        <v>4289</v>
      </c>
      <c r="I16" s="104" t="n">
        <v>1861</v>
      </c>
      <c r="J16" s="104" t="n">
        <v>958</v>
      </c>
      <c r="K16" s="105" t="n">
        <v>1564</v>
      </c>
      <c r="L16" s="104" t="n">
        <v>3396</v>
      </c>
      <c r="M16" s="103" t="inlineStr">
        <is>
          <t>66.93%</t>
        </is>
      </c>
      <c r="N16" s="103" t="inlineStr">
        <is>
          <t>16.11%</t>
        </is>
      </c>
      <c r="O16" s="103" t="inlineStr">
        <is>
          <t>6.99%</t>
        </is>
      </c>
      <c r="P16" s="103" t="inlineStr">
        <is>
          <t>22.34%</t>
        </is>
      </c>
      <c r="Q16" s="103" t="inlineStr">
        <is>
          <t>3.60%</t>
        </is>
      </c>
      <c r="R16" s="103" t="inlineStr">
        <is>
          <t>10.78%</t>
        </is>
      </c>
      <c r="S16" s="103" t="inlineStr">
        <is>
          <t>4.68%</t>
        </is>
      </c>
      <c r="T16" s="103" t="inlineStr">
        <is>
          <t>2.41%</t>
        </is>
      </c>
      <c r="U16" s="103" t="inlineStr">
        <is>
          <t>61.25%</t>
        </is>
      </c>
    </row>
    <row r="17">
      <c r="A17" s="103" t="inlineStr">
        <is>
          <t>16</t>
        </is>
      </c>
      <c r="B17" s="106" t="n">
        <v>45915</v>
      </c>
      <c r="C17" s="104" t="n">
        <v>32798</v>
      </c>
      <c r="D17" s="104" t="n">
        <v>36420</v>
      </c>
      <c r="E17" s="104" t="n">
        <v>34461</v>
      </c>
      <c r="F17" s="104" t="n">
        <v>1959</v>
      </c>
      <c r="G17" s="104" t="n">
        <v>22270</v>
      </c>
      <c r="H17" s="104" t="n">
        <v>2527</v>
      </c>
      <c r="I17" s="104" t="n">
        <v>1759</v>
      </c>
      <c r="J17" s="104" t="n">
        <v>1639</v>
      </c>
      <c r="K17" s="105" t="n">
        <v>2668</v>
      </c>
      <c r="L17" s="104" t="n">
        <v>2800</v>
      </c>
      <c r="M17" s="103" t="inlineStr">
        <is>
          <t>67.90%</t>
        </is>
      </c>
      <c r="N17" s="103" t="inlineStr">
        <is>
          <t>11.35%</t>
        </is>
      </c>
      <c r="O17" s="103" t="inlineStr">
        <is>
          <t>7.90%</t>
        </is>
      </c>
      <c r="P17" s="103" t="inlineStr">
        <is>
          <t>64.86%</t>
        </is>
      </c>
      <c r="Q17" s="103" t="inlineStr">
        <is>
          <t>7.36%</t>
        </is>
      </c>
      <c r="R17" s="103" t="inlineStr">
        <is>
          <t>7.70%</t>
        </is>
      </c>
      <c r="S17" s="103" t="inlineStr">
        <is>
          <t>5.36%</t>
        </is>
      </c>
      <c r="T17" s="103" t="inlineStr">
        <is>
          <t>5.00%</t>
        </is>
      </c>
      <c r="U17" s="103" t="inlineStr">
        <is>
          <t>61.43%</t>
        </is>
      </c>
    </row>
    <row r="18">
      <c r="A18" s="103" t="inlineStr">
        <is>
          <t>17</t>
        </is>
      </c>
      <c r="B18" s="106" t="n">
        <v>45916</v>
      </c>
      <c r="C18" s="104" t="n">
        <v>31929</v>
      </c>
      <c r="D18" s="104" t="n">
        <v>32596</v>
      </c>
      <c r="E18" s="104" t="n">
        <v>30958</v>
      </c>
      <c r="F18" s="104" t="n">
        <v>1638</v>
      </c>
      <c r="G18" s="104" t="n">
        <v>21993</v>
      </c>
      <c r="H18" s="104" t="n">
        <v>2299</v>
      </c>
      <c r="I18" s="104" t="n">
        <v>1597</v>
      </c>
      <c r="J18" s="104" t="n">
        <v>3908</v>
      </c>
      <c r="K18" s="105" t="n">
        <v>5814</v>
      </c>
      <c r="L18" s="104" t="n">
        <v>2837</v>
      </c>
      <c r="M18" s="103" t="inlineStr">
        <is>
          <t>68.88%</t>
        </is>
      </c>
      <c r="N18" s="103" t="inlineStr">
        <is>
          <t>10.45%</t>
        </is>
      </c>
      <c r="O18" s="103" t="inlineStr">
        <is>
          <t>7.26%</t>
        </is>
      </c>
      <c r="P18" s="103" t="inlineStr">
        <is>
          <t>169.99%</t>
        </is>
      </c>
      <c r="Q18" s="103" t="inlineStr">
        <is>
          <t>17.77%</t>
        </is>
      </c>
      <c r="R18" s="103" t="inlineStr">
        <is>
          <t>7.20%</t>
        </is>
      </c>
      <c r="S18" s="103" t="inlineStr">
        <is>
          <t>5.00%</t>
        </is>
      </c>
      <c r="T18" s="103" t="inlineStr">
        <is>
          <t>12.24%</t>
        </is>
      </c>
      <c r="U18" s="103" t="inlineStr">
        <is>
          <t>67.22%</t>
        </is>
      </c>
    </row>
    <row r="19">
      <c r="A19" s="103" t="inlineStr">
        <is>
          <t>18</t>
        </is>
      </c>
      <c r="B19" s="106" t="n">
        <v>45917</v>
      </c>
      <c r="C19" s="104" t="n">
        <v>31385</v>
      </c>
      <c r="D19" s="104" t="n">
        <v>31893</v>
      </c>
      <c r="E19" s="104" t="n">
        <v>30287</v>
      </c>
      <c r="F19" s="104" t="n">
        <v>1606</v>
      </c>
      <c r="G19" s="104" t="n">
        <v>21441</v>
      </c>
      <c r="H19" s="104" t="n">
        <v>1462</v>
      </c>
      <c r="I19" s="104" t="n">
        <v>170</v>
      </c>
      <c r="J19" s="104" t="n">
        <v>59</v>
      </c>
      <c r="K19" s="105" t="n">
        <v>400</v>
      </c>
      <c r="L19" s="104" t="n">
        <v>2656</v>
      </c>
      <c r="M19" s="103" t="inlineStr">
        <is>
          <t>68.32%</t>
        </is>
      </c>
      <c r="N19" s="103" t="inlineStr">
        <is>
          <t>6.82%</t>
        </is>
      </c>
      <c r="O19" s="103" t="inlineStr">
        <is>
          <t>0.79%</t>
        </is>
      </c>
      <c r="P19" s="103" t="inlineStr">
        <is>
          <t>4.04%</t>
        </is>
      </c>
      <c r="Q19" s="103" t="inlineStr">
        <is>
          <t>0.28%</t>
        </is>
      </c>
      <c r="R19" s="103" t="inlineStr">
        <is>
          <t>4.66%</t>
        </is>
      </c>
      <c r="S19" s="103" t="inlineStr">
        <is>
          <t>0.54%</t>
        </is>
      </c>
      <c r="T19" s="103" t="inlineStr">
        <is>
          <t>0.19%</t>
        </is>
      </c>
      <c r="U19" s="103" t="inlineStr">
        <is>
          <t>14.75%</t>
        </is>
      </c>
    </row>
    <row r="20">
      <c r="A20" s="103" t="inlineStr">
        <is>
          <t>19</t>
        </is>
      </c>
      <c r="B20" s="106" t="n">
        <v>45918</v>
      </c>
      <c r="C20" s="104" t="n">
        <v>31064</v>
      </c>
      <c r="D20" s="104" t="n">
        <v>31538</v>
      </c>
      <c r="E20" s="104" t="n">
        <v>29935</v>
      </c>
      <c r="F20" s="104" t="n">
        <v>1603</v>
      </c>
      <c r="G20" s="104" t="n">
        <v>21622</v>
      </c>
      <c r="H20" s="104" t="n">
        <v>1543</v>
      </c>
      <c r="I20" s="104" t="n">
        <v>162</v>
      </c>
      <c r="J20" s="104" t="n">
        <v>33</v>
      </c>
      <c r="K20" s="105" t="n">
        <v>226</v>
      </c>
      <c r="L20" s="104" t="n">
        <v>2650</v>
      </c>
      <c r="M20" s="103" t="inlineStr">
        <is>
          <t>69.60%</t>
        </is>
      </c>
      <c r="N20" s="103" t="inlineStr">
        <is>
          <t>7.14%</t>
        </is>
      </c>
      <c r="O20" s="103" t="inlineStr">
        <is>
          <t>0.75%</t>
        </is>
      </c>
      <c r="P20" s="103" t="inlineStr">
        <is>
          <t>2.14%</t>
        </is>
      </c>
      <c r="Q20" s="103" t="inlineStr">
        <is>
          <t>0.15%</t>
        </is>
      </c>
      <c r="R20" s="103" t="inlineStr">
        <is>
          <t>4.97%</t>
        </is>
      </c>
      <c r="S20" s="103" t="inlineStr">
        <is>
          <t>0.52%</t>
        </is>
      </c>
      <c r="T20" s="103" t="inlineStr">
        <is>
          <t>0.11%</t>
        </is>
      </c>
      <c r="U20" s="103" t="inlineStr">
        <is>
          <t>14.60%</t>
        </is>
      </c>
    </row>
    <row r="21">
      <c r="A21" s="103" t="inlineStr">
        <is>
          <t>20</t>
        </is>
      </c>
      <c r="B21" s="106" t="n">
        <v>45919</v>
      </c>
      <c r="C21" s="104" t="n">
        <v>33534</v>
      </c>
      <c r="D21" s="104" t="n">
        <v>32357</v>
      </c>
      <c r="E21" s="104" t="n">
        <v>30736</v>
      </c>
      <c r="F21" s="104" t="n">
        <v>1621</v>
      </c>
      <c r="G21" s="104" t="n">
        <v>23228</v>
      </c>
      <c r="H21" s="104" t="n">
        <v>2000</v>
      </c>
      <c r="I21" s="104" t="n">
        <v>325</v>
      </c>
      <c r="J21" s="104" t="n">
        <v>61</v>
      </c>
      <c r="K21" s="105" t="n">
        <v>279</v>
      </c>
      <c r="L21" s="104" t="n">
        <v>2521</v>
      </c>
      <c r="M21" s="103" t="inlineStr">
        <is>
          <t>69.27%</t>
        </is>
      </c>
      <c r="N21" s="103" t="inlineStr">
        <is>
          <t>8.61%</t>
        </is>
      </c>
      <c r="O21" s="103" t="inlineStr">
        <is>
          <t>1.40%</t>
        </is>
      </c>
      <c r="P21" s="103" t="inlineStr">
        <is>
          <t>3.05%</t>
        </is>
      </c>
      <c r="Q21" s="103" t="inlineStr">
        <is>
          <t>0.26%</t>
        </is>
      </c>
      <c r="R21" s="103" t="inlineStr">
        <is>
          <t>5.96%</t>
        </is>
      </c>
      <c r="S21" s="103" t="inlineStr">
        <is>
          <t>0.97%</t>
        </is>
      </c>
      <c r="T21" s="103" t="inlineStr">
        <is>
          <t>0.18%</t>
        </is>
      </c>
      <c r="U21" s="103" t="inlineStr">
        <is>
          <t>21.86%</t>
        </is>
      </c>
    </row>
    <row r="22">
      <c r="A22" s="103" t="inlineStr">
        <is>
          <t>21</t>
        </is>
      </c>
      <c r="B22" s="106" t="n">
        <v>45920</v>
      </c>
      <c r="C22" s="104" t="n">
        <v>36168</v>
      </c>
      <c r="D22" s="104" t="n">
        <v>34176</v>
      </c>
      <c r="E22" s="104" t="n">
        <v>32369</v>
      </c>
      <c r="F22" s="104" t="n">
        <v>1807</v>
      </c>
      <c r="G22" s="104" t="n">
        <v>24995</v>
      </c>
      <c r="H22" s="104" t="n">
        <v>2490</v>
      </c>
      <c r="I22" s="104" t="n">
        <v>257</v>
      </c>
      <c r="J22" s="104" t="n">
        <v>64</v>
      </c>
      <c r="K22" s="105" t="n">
        <v>269</v>
      </c>
      <c r="L22" s="104" t="n">
        <v>2925</v>
      </c>
      <c r="M22" s="103" t="inlineStr">
        <is>
          <t>69.11%</t>
        </is>
      </c>
      <c r="N22" s="103" t="inlineStr">
        <is>
          <t>9.96%</t>
        </is>
      </c>
      <c r="O22" s="103" t="inlineStr">
        <is>
          <t>1.03%</t>
        </is>
      </c>
      <c r="P22" s="103" t="inlineStr">
        <is>
          <t>2.57%</t>
        </is>
      </c>
      <c r="Q22" s="103" t="inlineStr">
        <is>
          <t>0.26%</t>
        </is>
      </c>
      <c r="R22" s="103" t="inlineStr">
        <is>
          <t>6.88%</t>
        </is>
      </c>
      <c r="S22" s="103" t="inlineStr">
        <is>
          <t>0.71%</t>
        </is>
      </c>
      <c r="T22" s="103" t="inlineStr">
        <is>
          <t>0.18%</t>
        </is>
      </c>
      <c r="U22" s="103" t="inlineStr">
        <is>
          <t>23.79%</t>
        </is>
      </c>
    </row>
    <row r="23">
      <c r="A23" s="103" t="inlineStr">
        <is>
          <t>22</t>
        </is>
      </c>
      <c r="B23" s="106" t="n">
        <v>45921</v>
      </c>
      <c r="C23" s="104" t="n">
        <v>35343</v>
      </c>
      <c r="D23" s="104" t="n">
        <v>36299</v>
      </c>
      <c r="E23" s="104" t="n">
        <v>34142</v>
      </c>
      <c r="F23" s="104" t="n">
        <v>2157</v>
      </c>
      <c r="G23" s="104" t="n">
        <v>25571</v>
      </c>
      <c r="H23" s="104" t="n">
        <v>2780</v>
      </c>
      <c r="I23" s="104" t="n">
        <v>399</v>
      </c>
      <c r="J23" s="104" t="n">
        <v>61</v>
      </c>
      <c r="K23" s="105" t="n">
        <v>203</v>
      </c>
      <c r="L23" s="104" t="n">
        <v>2315</v>
      </c>
      <c r="M23" s="103" t="inlineStr">
        <is>
          <t>72.35%</t>
        </is>
      </c>
      <c r="N23" s="103" t="inlineStr">
        <is>
          <t>10.87%</t>
        </is>
      </c>
      <c r="O23" s="103" t="inlineStr">
        <is>
          <t>1.56%</t>
        </is>
      </c>
      <c r="P23" s="103" t="inlineStr">
        <is>
          <t>2.19%</t>
        </is>
      </c>
      <c r="Q23" s="103" t="inlineStr">
        <is>
          <t>0.24%</t>
        </is>
      </c>
      <c r="R23" s="103" t="inlineStr">
        <is>
          <t>7.87%</t>
        </is>
      </c>
      <c r="S23" s="103" t="inlineStr">
        <is>
          <t>1.13%</t>
        </is>
      </c>
      <c r="T23" s="103" t="inlineStr">
        <is>
          <t>0.17%</t>
        </is>
      </c>
      <c r="U23" s="103" t="inlineStr">
        <is>
          <t>30.05%</t>
        </is>
      </c>
    </row>
    <row r="24">
      <c r="A24" s="103" t="inlineStr">
        <is>
          <t>23</t>
        </is>
      </c>
      <c r="B24" s="106" t="n">
        <v>45922</v>
      </c>
      <c r="C24" s="104" t="n">
        <v>33961</v>
      </c>
      <c r="D24" s="104" t="n">
        <v>35242</v>
      </c>
      <c r="E24" s="104" t="n">
        <v>33353</v>
      </c>
      <c r="F24" s="104" t="n">
        <v>1889</v>
      </c>
      <c r="G24" s="104" t="n">
        <v>24402</v>
      </c>
      <c r="H24" s="104" t="n">
        <v>2326</v>
      </c>
      <c r="I24" s="104" t="n">
        <v>734</v>
      </c>
      <c r="J24" s="104" t="n">
        <v>102</v>
      </c>
      <c r="K24" s="105" t="n">
        <v>323</v>
      </c>
      <c r="L24" s="104" t="n">
        <v>2312</v>
      </c>
      <c r="M24" s="103" t="inlineStr">
        <is>
          <t>71.85%</t>
        </is>
      </c>
      <c r="N24" s="103" t="inlineStr">
        <is>
          <t>9.53%</t>
        </is>
      </c>
      <c r="O24" s="103" t="inlineStr">
        <is>
          <t>3.01%</t>
        </is>
      </c>
      <c r="P24" s="103" t="inlineStr">
        <is>
          <t>4.39%</t>
        </is>
      </c>
      <c r="Q24" s="103" t="inlineStr">
        <is>
          <t>0.42%</t>
        </is>
      </c>
      <c r="R24" s="103" t="inlineStr">
        <is>
          <t>6.85%</t>
        </is>
      </c>
      <c r="S24" s="103" t="inlineStr">
        <is>
          <t>2.16%</t>
        </is>
      </c>
      <c r="T24" s="103" t="inlineStr">
        <is>
          <t>0.30%</t>
        </is>
      </c>
      <c r="U24" s="103" t="inlineStr">
        <is>
          <t>31.58%</t>
        </is>
      </c>
    </row>
    <row r="25">
      <c r="A25" s="103" t="inlineStr">
        <is>
          <t>24</t>
        </is>
      </c>
      <c r="B25" s="106" t="n">
        <v>45923</v>
      </c>
      <c r="C25" s="104" t="n">
        <v>33209</v>
      </c>
      <c r="D25" s="104" t="n">
        <v>34554</v>
      </c>
      <c r="E25" s="104" t="n">
        <v>32640</v>
      </c>
      <c r="F25" s="104" t="n">
        <v>1914</v>
      </c>
      <c r="G25" s="104" t="n">
        <v>23965</v>
      </c>
      <c r="H25" s="104" t="n">
        <v>1983</v>
      </c>
      <c r="I25" s="104" t="n">
        <v>471</v>
      </c>
      <c r="J25" s="104" t="n">
        <v>270</v>
      </c>
      <c r="K25" s="105" t="n">
        <v>588</v>
      </c>
      <c r="L25" s="104" t="n">
        <v>2397</v>
      </c>
      <c r="M25" s="103" t="inlineStr">
        <is>
          <t>72.16%</t>
        </is>
      </c>
      <c r="N25" s="103" t="inlineStr">
        <is>
          <t>8.27%</t>
        </is>
      </c>
      <c r="O25" s="103" t="inlineStr">
        <is>
          <t>1.97%</t>
        </is>
      </c>
      <c r="P25" s="103" t="inlineStr">
        <is>
          <t>13.62%</t>
        </is>
      </c>
      <c r="Q25" s="103" t="inlineStr">
        <is>
          <t>1.13%</t>
        </is>
      </c>
      <c r="R25" s="103" t="inlineStr">
        <is>
          <t>5.97%</t>
        </is>
      </c>
      <c r="S25" s="103" t="inlineStr">
        <is>
          <t>1.42%</t>
        </is>
      </c>
      <c r="T25" s="103" t="inlineStr">
        <is>
          <t>0.81%</t>
        </is>
      </c>
      <c r="U25" s="103" t="inlineStr">
        <is>
          <t>45.92%</t>
        </is>
      </c>
    </row>
    <row r="26">
      <c r="A26" s="103" t="inlineStr">
        <is>
          <t>25</t>
        </is>
      </c>
      <c r="B26" s="106" t="n">
        <v>45924</v>
      </c>
      <c r="C26" s="104" t="n">
        <v>32691</v>
      </c>
      <c r="D26" s="104" t="n">
        <v>32358</v>
      </c>
      <c r="E26" s="104" t="n">
        <v>30661</v>
      </c>
      <c r="F26" s="104" t="n">
        <v>1697</v>
      </c>
      <c r="G26" s="104" t="n">
        <v>24356</v>
      </c>
      <c r="H26" s="104" t="n">
        <v>2019</v>
      </c>
      <c r="I26" s="104" t="n">
        <v>628</v>
      </c>
      <c r="J26" s="104" t="n">
        <v>188</v>
      </c>
      <c r="K26" s="105" t="n">
        <v>496</v>
      </c>
      <c r="L26" s="104" t="n">
        <v>1974</v>
      </c>
      <c r="M26" s="103" t="inlineStr">
        <is>
          <t>74.50%</t>
        </is>
      </c>
      <c r="N26" s="103" t="inlineStr">
        <is>
          <t>8.29%</t>
        </is>
      </c>
      <c r="O26" s="103" t="inlineStr">
        <is>
          <t>2.58%</t>
        </is>
      </c>
      <c r="P26" s="103" t="inlineStr">
        <is>
          <t>9.31%</t>
        </is>
      </c>
      <c r="Q26" s="103" t="inlineStr">
        <is>
          <t>0.77%</t>
        </is>
      </c>
      <c r="R26" s="103" t="inlineStr">
        <is>
          <t>6.18%</t>
        </is>
      </c>
      <c r="S26" s="103" t="inlineStr">
        <is>
          <t>1.92%</t>
        </is>
      </c>
      <c r="T26" s="103" t="inlineStr">
        <is>
          <t>0.58%</t>
        </is>
      </c>
      <c r="U26" s="103" t="inlineStr">
        <is>
          <t>37.90%</t>
        </is>
      </c>
    </row>
    <row r="27">
      <c r="A27" s="103" t="inlineStr">
        <is>
          <t>26</t>
        </is>
      </c>
      <c r="B27" s="106" t="n">
        <v>45925</v>
      </c>
      <c r="C27" s="104" t="n">
        <v>33772</v>
      </c>
      <c r="D27" s="104" t="n">
        <v>33219</v>
      </c>
      <c r="E27" s="104" t="n">
        <v>31704</v>
      </c>
      <c r="F27" s="104" t="n">
        <v>1515</v>
      </c>
      <c r="G27" s="104" t="n">
        <v>25558</v>
      </c>
      <c r="H27" s="104" t="n">
        <v>2154</v>
      </c>
      <c r="I27" s="104" t="n">
        <v>285</v>
      </c>
      <c r="J27" s="104" t="n">
        <v>262</v>
      </c>
      <c r="K27" s="105" t="n">
        <v>701</v>
      </c>
      <c r="L27" s="104" t="n">
        <v>1950</v>
      </c>
      <c r="M27" s="103" t="inlineStr">
        <is>
          <t>75.68%</t>
        </is>
      </c>
      <c r="N27" s="103" t="inlineStr">
        <is>
          <t>8.43%</t>
        </is>
      </c>
      <c r="O27" s="103" t="inlineStr">
        <is>
          <t>1.12%</t>
        </is>
      </c>
      <c r="P27" s="103" t="inlineStr">
        <is>
          <t>12.16%</t>
        </is>
      </c>
      <c r="Q27" s="103" t="inlineStr">
        <is>
          <t>1.03%</t>
        </is>
      </c>
      <c r="R27" s="103" t="inlineStr">
        <is>
          <t>6.38%</t>
        </is>
      </c>
      <c r="S27" s="103" t="inlineStr">
        <is>
          <t>0.84%</t>
        </is>
      </c>
      <c r="T27" s="103" t="inlineStr">
        <is>
          <t>0.78%</t>
        </is>
      </c>
      <c r="U27" s="103" t="inlineStr">
        <is>
          <t>37.38%</t>
        </is>
      </c>
    </row>
    <row r="28">
      <c r="A28" s="103" t="inlineStr">
        <is>
          <t>27</t>
        </is>
      </c>
      <c r="B28" s="106" t="n">
        <v>45926</v>
      </c>
      <c r="C28" s="104" t="n">
        <v>35370</v>
      </c>
      <c r="D28" s="104" t="n">
        <v>34406</v>
      </c>
      <c r="E28" s="104" t="n">
        <v>32707</v>
      </c>
      <c r="F28" s="104" t="n">
        <v>1699</v>
      </c>
      <c r="G28" s="104" t="n">
        <v>26793</v>
      </c>
      <c r="H28" s="104" t="n">
        <v>2609</v>
      </c>
      <c r="I28" s="104" t="n">
        <v>262</v>
      </c>
      <c r="J28" s="104" t="n">
        <v>45</v>
      </c>
      <c r="K28" s="105" t="n">
        <v>359</v>
      </c>
      <c r="L28" s="104" t="n">
        <v>1803</v>
      </c>
      <c r="M28" s="103" t="inlineStr">
        <is>
          <t>75.75%</t>
        </is>
      </c>
      <c r="N28" s="103" t="inlineStr">
        <is>
          <t>9.74%</t>
        </is>
      </c>
      <c r="O28" s="103" t="inlineStr">
        <is>
          <t>0.98%</t>
        </is>
      </c>
      <c r="P28" s="103" t="inlineStr">
        <is>
          <t>1.72%</t>
        </is>
      </c>
      <c r="Q28" s="103" t="inlineStr">
        <is>
          <t>0.17%</t>
        </is>
      </c>
      <c r="R28" s="103" t="inlineStr">
        <is>
          <t>7.38%</t>
        </is>
      </c>
      <c r="S28" s="103" t="inlineStr">
        <is>
          <t>0.74%</t>
        </is>
      </c>
      <c r="T28" s="103" t="inlineStr">
        <is>
          <t>0.13%</t>
        </is>
      </c>
      <c r="U28" s="103" t="inlineStr">
        <is>
          <t>12.53%</t>
        </is>
      </c>
    </row>
    <row r="29">
      <c r="A29" s="103" t="inlineStr">
        <is>
          <t>28</t>
        </is>
      </c>
      <c r="B29" s="106" t="n">
        <v>45927</v>
      </c>
      <c r="C29" s="104" t="n">
        <v>38586</v>
      </c>
      <c r="D29" s="104" t="n">
        <v>38265</v>
      </c>
      <c r="E29" s="104" t="n">
        <v>36225</v>
      </c>
      <c r="F29" s="104" t="n">
        <v>2040</v>
      </c>
      <c r="G29" s="104" t="n">
        <v>29562</v>
      </c>
      <c r="H29" s="104" t="n">
        <v>4171</v>
      </c>
      <c r="I29" s="104" t="n">
        <v>2693</v>
      </c>
      <c r="J29" s="104" t="n">
        <v>1140</v>
      </c>
      <c r="K29" s="105" t="n">
        <v>2237</v>
      </c>
      <c r="L29" s="104" t="n">
        <v>1743</v>
      </c>
      <c r="M29" s="103" t="inlineStr">
        <is>
          <t>76.61%</t>
        </is>
      </c>
      <c r="N29" s="103" t="inlineStr">
        <is>
          <t>14.11%</t>
        </is>
      </c>
      <c r="O29" s="103" t="inlineStr">
        <is>
          <t>9.11%</t>
        </is>
      </c>
      <c r="P29" s="103" t="inlineStr">
        <is>
          <t>27.33%</t>
        </is>
      </c>
      <c r="Q29" s="103" t="inlineStr">
        <is>
          <t>3.86%</t>
        </is>
      </c>
      <c r="R29" s="103" t="inlineStr">
        <is>
          <t>10.81%</t>
        </is>
      </c>
      <c r="S29" s="103" t="inlineStr">
        <is>
          <t>6.98%</t>
        </is>
      </c>
      <c r="T29" s="103" t="inlineStr">
        <is>
          <t>2.95%</t>
        </is>
      </c>
      <c r="U29" s="103" t="inlineStr">
        <is>
          <t>50.96%</t>
        </is>
      </c>
    </row>
    <row r="30">
      <c r="A30" s="103" t="inlineStr">
        <is>
          <t>29</t>
        </is>
      </c>
      <c r="B30" s="106" t="n">
        <v>45928</v>
      </c>
      <c r="C30" s="104" t="n">
        <v>36540</v>
      </c>
      <c r="D30" s="104" t="n">
        <v>37732</v>
      </c>
      <c r="E30" s="104" t="n">
        <v>35781</v>
      </c>
      <c r="F30" s="104" t="n">
        <v>1951</v>
      </c>
      <c r="G30" s="104" t="n">
        <v>28522</v>
      </c>
      <c r="H30" s="104" t="n">
        <v>4396</v>
      </c>
      <c r="I30" s="104" t="n">
        <v>3165</v>
      </c>
      <c r="J30" s="104" t="n">
        <v>2300</v>
      </c>
      <c r="K30" s="105" t="n">
        <v>3893</v>
      </c>
      <c r="L30" s="104" t="n">
        <v>1505</v>
      </c>
      <c r="M30" s="103" t="inlineStr">
        <is>
          <t>78.06%</t>
        </is>
      </c>
      <c r="N30" s="103" t="inlineStr">
        <is>
          <t>15.41%</t>
        </is>
      </c>
      <c r="O30" s="103" t="inlineStr">
        <is>
          <t>11.10%</t>
        </is>
      </c>
      <c r="P30" s="103" t="inlineStr">
        <is>
          <t>52.32%</t>
        </is>
      </c>
      <c r="Q30" s="103" t="inlineStr">
        <is>
          <t>8.06%</t>
        </is>
      </c>
      <c r="R30" s="103" t="inlineStr">
        <is>
          <t>12.03%</t>
        </is>
      </c>
      <c r="S30" s="103" t="inlineStr">
        <is>
          <t>8.66%</t>
        </is>
      </c>
      <c r="T30" s="103" t="inlineStr">
        <is>
          <t>6.29%</t>
        </is>
      </c>
      <c r="U30" s="103" t="inlineStr">
        <is>
          <t>59.08%</t>
        </is>
      </c>
    </row>
    <row r="31">
      <c r="A31" s="103" t="inlineStr">
        <is>
          <t>30</t>
        </is>
      </c>
      <c r="B31" s="106" t="n">
        <v>45929</v>
      </c>
      <c r="C31" s="104" t="n">
        <v>36854</v>
      </c>
      <c r="D31" s="104" t="n">
        <v>34864</v>
      </c>
      <c r="E31" s="104" t="n">
        <v>33008</v>
      </c>
      <c r="F31" s="104" t="n">
        <v>1856</v>
      </c>
      <c r="G31" s="104" t="n">
        <v>29694</v>
      </c>
      <c r="H31" s="104" t="n">
        <v>6041</v>
      </c>
      <c r="I31" s="104" t="n">
        <v>4537</v>
      </c>
      <c r="J31" s="104" t="n">
        <v>5036</v>
      </c>
      <c r="K31" s="105" t="n">
        <v>8845</v>
      </c>
      <c r="L31" s="104" t="n">
        <v>1406</v>
      </c>
      <c r="M31" s="103" t="inlineStr">
        <is>
          <t>80.57%</t>
        </is>
      </c>
      <c r="N31" s="103" t="inlineStr">
        <is>
          <t>20.34%</t>
        </is>
      </c>
      <c r="O31" s="103" t="inlineStr">
        <is>
          <t>15.28%</t>
        </is>
      </c>
      <c r="P31" s="103" t="inlineStr">
        <is>
          <t>83.36%</t>
        </is>
      </c>
      <c r="Q31" s="103" t="inlineStr">
        <is>
          <t>16.96%</t>
        </is>
      </c>
      <c r="R31" s="103" t="inlineStr">
        <is>
          <t>16.39%</t>
        </is>
      </c>
      <c r="S31" s="103" t="inlineStr">
        <is>
          <t>12.31%</t>
        </is>
      </c>
      <c r="T31" s="103" t="inlineStr">
        <is>
          <t>13.66%</t>
        </is>
      </c>
      <c r="U31" s="103" t="inlineStr">
        <is>
          <t>56.94%</t>
        </is>
      </c>
    </row>
    <row r="32">
      <c r="A32" s="103" t="inlineStr">
        <is>
          <t>31</t>
        </is>
      </c>
      <c r="B32" s="106" t="n">
        <v>45930</v>
      </c>
      <c r="C32" s="104" t="n">
        <v>36439</v>
      </c>
      <c r="D32" s="104" t="n">
        <v>36883</v>
      </c>
      <c r="E32" s="104" t="n">
        <v>34853</v>
      </c>
      <c r="F32" s="104" t="n">
        <v>2030</v>
      </c>
      <c r="G32" s="104" t="n">
        <v>29568</v>
      </c>
      <c r="H32" s="104" t="n">
        <v>4323</v>
      </c>
      <c r="I32" s="104" t="n">
        <v>3433</v>
      </c>
      <c r="J32" s="104" t="n">
        <v>5076</v>
      </c>
      <c r="K32" s="105" t="n">
        <v>10603</v>
      </c>
      <c r="L32" s="104" t="n">
        <v>1188</v>
      </c>
      <c r="M32" s="103" t="inlineStr">
        <is>
          <t>81.14%</t>
        </is>
      </c>
      <c r="N32" s="103" t="inlineStr">
        <is>
          <t>14.62%</t>
        </is>
      </c>
      <c r="O32" s="103" t="inlineStr">
        <is>
          <t>11.61%</t>
        </is>
      </c>
      <c r="P32" s="103" t="inlineStr">
        <is>
          <t>117.42%</t>
        </is>
      </c>
      <c r="Q32" s="103" t="inlineStr">
        <is>
          <t>17.17%</t>
        </is>
      </c>
      <c r="R32" s="103" t="inlineStr">
        <is>
          <t>11.86%</t>
        </is>
      </c>
      <c r="S32" s="103" t="inlineStr">
        <is>
          <t>9.42%</t>
        </is>
      </c>
      <c r="T32" s="103" t="inlineStr">
        <is>
          <t>13.93%</t>
        </is>
      </c>
      <c r="U32" s="103" t="inlineStr">
        <is>
          <t>47.87%</t>
        </is>
      </c>
    </row>
    <row r="33">
      <c r="A33" s="36" t="n"/>
      <c r="B33" s="39" t="n"/>
      <c r="C33" s="107" t="n"/>
      <c r="D33" s="107" t="n"/>
      <c r="E33" s="107" t="n"/>
      <c r="F33" s="107" t="n"/>
      <c r="G33" s="107" t="n"/>
      <c r="H33" s="107" t="n"/>
      <c r="I33" s="107" t="n"/>
      <c r="J33" s="107" t="n"/>
      <c r="K33" s="108" t="n"/>
      <c r="L33" s="107" t="n"/>
      <c r="M33" s="36" t="n"/>
      <c r="N33" s="36" t="n"/>
      <c r="O33" s="36" t="n"/>
      <c r="P33" s="36" t="n"/>
      <c r="Q33" s="36" t="n"/>
      <c r="R33" s="36" t="n"/>
      <c r="S33" s="36" t="n"/>
      <c r="T33" s="36" t="n"/>
      <c r="U33" s="36" t="n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>
  <sheetPr>
    <tabColor rgb="FF92D050"/>
    <outlinePr summaryBelow="1" summaryRight="1"/>
    <pageSetUpPr/>
  </sheetPr>
  <dimension ref="A1:U63"/>
  <sheetViews>
    <sheetView topLeftCell="A19" workbookViewId="0">
      <selection activeCell="A1" sqref="A1:XFD1048576"/>
    </sheetView>
  </sheetViews>
  <sheetFormatPr baseColWidth="8" defaultRowHeight="14.25"/>
  <cols>
    <col width="3.875" customWidth="1" min="1" max="1"/>
    <col width="23.5" customWidth="1" min="2" max="21"/>
    <col width="8" customWidth="1" min="22" max="23"/>
  </cols>
  <sheetData>
    <row r="1">
      <c r="A1" s="24" t="inlineStr">
        <is>
          <t>序号</t>
        </is>
      </c>
      <c r="B1" s="24" t="inlineStr">
        <is>
          <t>按日</t>
        </is>
      </c>
      <c r="C1" s="24" t="inlineStr">
        <is>
          <t>线索总量</t>
        </is>
      </c>
      <c r="D1" s="24" t="inlineStr">
        <is>
          <t>应回访线索量</t>
        </is>
      </c>
      <c r="E1" s="24" t="inlineStr">
        <is>
          <t>按时回访量</t>
        </is>
      </c>
      <c r="F1" s="24" t="inlineStr">
        <is>
          <t>超时回访量</t>
        </is>
      </c>
      <c r="G1" s="24" t="inlineStr">
        <is>
          <t>有效线索量</t>
        </is>
      </c>
      <c r="H1" s="24" t="inlineStr">
        <is>
          <t>到店量</t>
        </is>
      </c>
      <c r="I1" s="24" t="inlineStr">
        <is>
          <t>订单量</t>
        </is>
      </c>
      <c r="J1" s="24" t="inlineStr">
        <is>
          <t>成交量</t>
        </is>
      </c>
      <c r="K1" s="24" t="inlineStr">
        <is>
          <t>总成交量</t>
        </is>
      </c>
      <c r="L1" s="24" t="inlineStr">
        <is>
          <t>战败线索量</t>
        </is>
      </c>
      <c r="M1" s="24" t="inlineStr">
        <is>
          <t>线索有效率</t>
        </is>
      </c>
      <c r="N1" s="24" t="inlineStr">
        <is>
          <t>有效线索到店率</t>
        </is>
      </c>
      <c r="O1" s="24" t="inlineStr">
        <is>
          <t>有效线索下订率</t>
        </is>
      </c>
      <c r="P1" s="24" t="inlineStr">
        <is>
          <t>到店成交率</t>
        </is>
      </c>
      <c r="Q1" s="24" t="inlineStr">
        <is>
          <t>有效线索转化率</t>
        </is>
      </c>
      <c r="R1" s="24" t="inlineStr">
        <is>
          <t>线索到店率</t>
        </is>
      </c>
      <c r="S1" s="24" t="inlineStr">
        <is>
          <t>线索下订率</t>
        </is>
      </c>
      <c r="T1" s="24" t="inlineStr">
        <is>
          <t>线索转化率</t>
        </is>
      </c>
      <c r="U1" s="24" t="inlineStr">
        <is>
          <t>数营成交贡献度</t>
        </is>
      </c>
    </row>
    <row r="2">
      <c r="A2" s="25" t="inlineStr">
        <is>
          <t>1</t>
        </is>
      </c>
      <c r="B2" s="25" t="inlineStr">
        <is>
          <t>合计</t>
        </is>
      </c>
      <c r="C2" s="109" t="n">
        <v>63276</v>
      </c>
      <c r="D2" s="109" t="n">
        <v>63104</v>
      </c>
      <c r="E2" s="109" t="n">
        <v>56176</v>
      </c>
      <c r="F2" s="109" t="n">
        <v>6928</v>
      </c>
      <c r="G2" s="109" t="n">
        <v>48329</v>
      </c>
      <c r="H2" s="109" t="n">
        <v>1390</v>
      </c>
      <c r="I2" s="109" t="n">
        <v>361</v>
      </c>
      <c r="J2" s="109" t="n">
        <v>261</v>
      </c>
      <c r="K2" s="110" t="n">
        <v>27790</v>
      </c>
      <c r="L2" s="109" t="n">
        <v>2933</v>
      </c>
      <c r="M2" s="25" t="inlineStr">
        <is>
          <t>76.38%</t>
        </is>
      </c>
      <c r="N2" s="25" t="inlineStr">
        <is>
          <t>2.88%</t>
        </is>
      </c>
      <c r="O2" s="25" t="inlineStr">
        <is>
          <t>0.75%</t>
        </is>
      </c>
      <c r="P2" s="25" t="inlineStr">
        <is>
          <t>18.78%</t>
        </is>
      </c>
      <c r="Q2" s="25" t="inlineStr">
        <is>
          <t>0.54%</t>
        </is>
      </c>
      <c r="R2" s="25" t="inlineStr">
        <is>
          <t>2.20%</t>
        </is>
      </c>
      <c r="S2" s="25" t="inlineStr">
        <is>
          <t>0.57%</t>
        </is>
      </c>
      <c r="T2" s="25" t="inlineStr">
        <is>
          <t>0.41%</t>
        </is>
      </c>
      <c r="U2" s="25" t="inlineStr">
        <is>
          <t>0.94%</t>
        </is>
      </c>
    </row>
    <row r="3">
      <c r="A3" s="25" t="inlineStr">
        <is>
          <t>2</t>
        </is>
      </c>
      <c r="B3" s="28" t="n">
        <v>46174</v>
      </c>
      <c r="C3" s="109" t="n">
        <v>945</v>
      </c>
      <c r="D3" s="109" t="n">
        <v>1006</v>
      </c>
      <c r="E3" s="109" t="n">
        <v>940</v>
      </c>
      <c r="F3" s="109" t="n">
        <v>66</v>
      </c>
      <c r="G3" s="109" t="n">
        <v>596</v>
      </c>
      <c r="H3" s="109" t="n">
        <v>27</v>
      </c>
      <c r="I3" s="109" t="n">
        <v>2</v>
      </c>
      <c r="J3" s="109" t="n">
        <v>0</v>
      </c>
      <c r="K3" s="110" t="n">
        <v>239</v>
      </c>
      <c r="L3" s="109" t="n">
        <v>104</v>
      </c>
      <c r="M3" s="25" t="inlineStr">
        <is>
          <t>63.07%</t>
        </is>
      </c>
      <c r="N3" s="25" t="inlineStr">
        <is>
          <t>4.53%</t>
        </is>
      </c>
      <c r="O3" s="25" t="inlineStr">
        <is>
          <t>0.34%</t>
        </is>
      </c>
      <c r="P3" s="25" t="inlineStr">
        <is>
          <t>0.00%</t>
        </is>
      </c>
      <c r="Q3" s="25" t="inlineStr">
        <is>
          <t>0.00%</t>
        </is>
      </c>
      <c r="R3" s="25" t="inlineStr">
        <is>
          <t>2.86%</t>
        </is>
      </c>
      <c r="S3" s="25" t="inlineStr">
        <is>
          <t>0.21%</t>
        </is>
      </c>
      <c r="T3" s="25" t="inlineStr">
        <is>
          <t>0.00%</t>
        </is>
      </c>
      <c r="U3" s="25" t="inlineStr">
        <is>
          <t>0.00%</t>
        </is>
      </c>
    </row>
    <row r="4">
      <c r="A4" s="25" t="inlineStr">
        <is>
          <t>3</t>
        </is>
      </c>
      <c r="B4" s="28" t="n">
        <v>46175</v>
      </c>
      <c r="C4" s="109" t="n">
        <v>818</v>
      </c>
      <c r="D4" s="109" t="n">
        <v>792</v>
      </c>
      <c r="E4" s="109" t="n">
        <v>729</v>
      </c>
      <c r="F4" s="109" t="n">
        <v>63</v>
      </c>
      <c r="G4" s="109" t="n">
        <v>545</v>
      </c>
      <c r="H4" s="109" t="n">
        <v>12</v>
      </c>
      <c r="I4" s="109" t="n">
        <v>3</v>
      </c>
      <c r="J4" s="109" t="n">
        <v>-1</v>
      </c>
      <c r="K4" s="110" t="n">
        <v>261</v>
      </c>
      <c r="L4" s="109" t="n">
        <v>84</v>
      </c>
      <c r="M4" s="25" t="inlineStr">
        <is>
          <t>66.63%</t>
        </is>
      </c>
      <c r="N4" s="25" t="inlineStr">
        <is>
          <t>2.20%</t>
        </is>
      </c>
      <c r="O4" s="25" t="inlineStr">
        <is>
          <t>0.55%</t>
        </is>
      </c>
      <c r="P4" s="25" t="inlineStr">
        <is>
          <t>-8.33%</t>
        </is>
      </c>
      <c r="Q4" s="25" t="inlineStr">
        <is>
          <t>-0.18%</t>
        </is>
      </c>
      <c r="R4" s="25" t="inlineStr">
        <is>
          <t>1.47%</t>
        </is>
      </c>
      <c r="S4" s="25" t="inlineStr">
        <is>
          <t>0.37%</t>
        </is>
      </c>
      <c r="T4" s="25" t="inlineStr">
        <is>
          <t>-0.12%</t>
        </is>
      </c>
      <c r="U4" s="25" t="inlineStr">
        <is>
          <t>-0.38%</t>
        </is>
      </c>
    </row>
    <row r="5">
      <c r="A5" s="25" t="inlineStr">
        <is>
          <t>4</t>
        </is>
      </c>
      <c r="B5" s="28" t="n">
        <v>46176</v>
      </c>
      <c r="C5" s="109" t="n">
        <v>783</v>
      </c>
      <c r="D5" s="109" t="n">
        <v>864</v>
      </c>
      <c r="E5" s="109" t="n">
        <v>804</v>
      </c>
      <c r="F5" s="109" t="n">
        <v>60</v>
      </c>
      <c r="G5" s="109" t="n">
        <v>496</v>
      </c>
      <c r="H5" s="109" t="n">
        <v>24</v>
      </c>
      <c r="I5" s="109" t="n">
        <v>0</v>
      </c>
      <c r="J5" s="109" t="n">
        <v>3</v>
      </c>
      <c r="K5" s="110" t="n">
        <v>211</v>
      </c>
      <c r="L5" s="109" t="n">
        <v>67</v>
      </c>
      <c r="M5" s="25" t="inlineStr">
        <is>
          <t>63.35%</t>
        </is>
      </c>
      <c r="N5" s="25" t="inlineStr">
        <is>
          <t>4.84%</t>
        </is>
      </c>
      <c r="O5" s="25" t="inlineStr">
        <is>
          <t>0.00%</t>
        </is>
      </c>
      <c r="P5" s="25" t="inlineStr">
        <is>
          <t>12.50%</t>
        </is>
      </c>
      <c r="Q5" s="25" t="inlineStr">
        <is>
          <t>0.60%</t>
        </is>
      </c>
      <c r="R5" s="25" t="inlineStr">
        <is>
          <t>3.07%</t>
        </is>
      </c>
      <c r="S5" s="25" t="inlineStr">
        <is>
          <t>0.00%</t>
        </is>
      </c>
      <c r="T5" s="25" t="inlineStr">
        <is>
          <t>0.38%</t>
        </is>
      </c>
      <c r="U5" s="25" t="inlineStr">
        <is>
          <t>1.42%</t>
        </is>
      </c>
    </row>
    <row r="6">
      <c r="A6" s="25" t="inlineStr">
        <is>
          <t>5</t>
        </is>
      </c>
      <c r="B6" s="28" t="n">
        <v>46177</v>
      </c>
      <c r="C6" s="109" t="n">
        <v>800</v>
      </c>
      <c r="D6" s="109" t="n">
        <v>844</v>
      </c>
      <c r="E6" s="109" t="n">
        <v>787</v>
      </c>
      <c r="F6" s="109" t="n">
        <v>57</v>
      </c>
      <c r="G6" s="109" t="n">
        <v>534</v>
      </c>
      <c r="H6" s="109" t="n">
        <v>11</v>
      </c>
      <c r="I6" s="109" t="n">
        <v>2</v>
      </c>
      <c r="J6" s="109" t="n">
        <v>2</v>
      </c>
      <c r="K6" s="110" t="n">
        <v>232</v>
      </c>
      <c r="L6" s="109" t="n">
        <v>61</v>
      </c>
      <c r="M6" s="25" t="inlineStr">
        <is>
          <t>66.75%</t>
        </is>
      </c>
      <c r="N6" s="25" t="inlineStr">
        <is>
          <t>2.06%</t>
        </is>
      </c>
      <c r="O6" s="25" t="inlineStr">
        <is>
          <t>0.37%</t>
        </is>
      </c>
      <c r="P6" s="25" t="inlineStr">
        <is>
          <t>18.18%</t>
        </is>
      </c>
      <c r="Q6" s="25" t="inlineStr">
        <is>
          <t>0.37%</t>
        </is>
      </c>
      <c r="R6" s="25" t="inlineStr">
        <is>
          <t>1.38%</t>
        </is>
      </c>
      <c r="S6" s="25" t="inlineStr">
        <is>
          <t>0.25%</t>
        </is>
      </c>
      <c r="T6" s="25" t="inlineStr">
        <is>
          <t>0.25%</t>
        </is>
      </c>
      <c r="U6" s="25" t="inlineStr">
        <is>
          <t>0.86%</t>
        </is>
      </c>
    </row>
    <row r="7">
      <c r="A7" s="25" t="inlineStr">
        <is>
          <t>6</t>
        </is>
      </c>
      <c r="B7" s="28" t="n">
        <v>46178</v>
      </c>
      <c r="C7" s="109" t="n">
        <v>899</v>
      </c>
      <c r="D7" s="109" t="n">
        <v>841</v>
      </c>
      <c r="E7" s="109" t="n">
        <v>761</v>
      </c>
      <c r="F7" s="109" t="n">
        <v>80</v>
      </c>
      <c r="G7" s="109" t="n">
        <v>613</v>
      </c>
      <c r="H7" s="109" t="n">
        <v>17</v>
      </c>
      <c r="I7" s="109" t="n">
        <v>0</v>
      </c>
      <c r="J7" s="109" t="n">
        <v>-3</v>
      </c>
      <c r="K7" s="110" t="n">
        <v>285</v>
      </c>
      <c r="L7" s="109" t="n">
        <v>70</v>
      </c>
      <c r="M7" s="25" t="inlineStr">
        <is>
          <t>68.19%</t>
        </is>
      </c>
      <c r="N7" s="25" t="inlineStr">
        <is>
          <t>2.77%</t>
        </is>
      </c>
      <c r="O7" s="25" t="inlineStr">
        <is>
          <t>0.00%</t>
        </is>
      </c>
      <c r="P7" s="25" t="inlineStr">
        <is>
          <t>-17.65%</t>
        </is>
      </c>
      <c r="Q7" s="25" t="inlineStr">
        <is>
          <t>-0.49%</t>
        </is>
      </c>
      <c r="R7" s="25" t="inlineStr">
        <is>
          <t>1.89%</t>
        </is>
      </c>
      <c r="S7" s="25" t="inlineStr">
        <is>
          <t>0.00%</t>
        </is>
      </c>
      <c r="T7" s="25" t="inlineStr">
        <is>
          <t>-0.33%</t>
        </is>
      </c>
      <c r="U7" s="25" t="inlineStr">
        <is>
          <t>-1.05%</t>
        </is>
      </c>
    </row>
    <row r="8">
      <c r="A8" s="25" t="inlineStr">
        <is>
          <t>7</t>
        </is>
      </c>
      <c r="B8" s="28" t="n">
        <v>46179</v>
      </c>
      <c r="C8" s="109" t="n">
        <v>968</v>
      </c>
      <c r="D8" s="109" t="n">
        <v>895</v>
      </c>
      <c r="E8" s="109" t="n">
        <v>829</v>
      </c>
      <c r="F8" s="109" t="n">
        <v>66</v>
      </c>
      <c r="G8" s="109" t="n">
        <v>678</v>
      </c>
      <c r="H8" s="109" t="n">
        <v>26</v>
      </c>
      <c r="I8" s="109" t="n">
        <v>1</v>
      </c>
      <c r="J8" s="109" t="n">
        <v>3</v>
      </c>
      <c r="K8" s="110" t="n">
        <v>313</v>
      </c>
      <c r="L8" s="109" t="n">
        <v>86</v>
      </c>
      <c r="M8" s="25" t="inlineStr">
        <is>
          <t>70.04%</t>
        </is>
      </c>
      <c r="N8" s="25" t="inlineStr">
        <is>
          <t>3.83%</t>
        </is>
      </c>
      <c r="O8" s="25" t="inlineStr">
        <is>
          <t>0.15%</t>
        </is>
      </c>
      <c r="P8" s="25" t="inlineStr">
        <is>
          <t>11.54%</t>
        </is>
      </c>
      <c r="Q8" s="25" t="inlineStr">
        <is>
          <t>0.44%</t>
        </is>
      </c>
      <c r="R8" s="25" t="inlineStr">
        <is>
          <t>2.69%</t>
        </is>
      </c>
      <c r="S8" s="25" t="inlineStr">
        <is>
          <t>0.10%</t>
        </is>
      </c>
      <c r="T8" s="25" t="inlineStr">
        <is>
          <t>0.31%</t>
        </is>
      </c>
      <c r="U8" s="25" t="inlineStr">
        <is>
          <t>0.96%</t>
        </is>
      </c>
    </row>
    <row r="9">
      <c r="A9" s="25" t="inlineStr">
        <is>
          <t>8</t>
        </is>
      </c>
      <c r="B9" s="28" t="n">
        <v>46180</v>
      </c>
      <c r="C9" s="109" t="n">
        <v>913</v>
      </c>
      <c r="D9" s="109" t="n">
        <v>926</v>
      </c>
      <c r="E9" s="109" t="n">
        <v>847</v>
      </c>
      <c r="F9" s="109" t="n">
        <v>79</v>
      </c>
      <c r="G9" s="109" t="n">
        <v>624</v>
      </c>
      <c r="H9" s="109" t="n">
        <v>33</v>
      </c>
      <c r="I9" s="109" t="n">
        <v>5</v>
      </c>
      <c r="J9" s="109" t="n">
        <v>1</v>
      </c>
      <c r="K9" s="110" t="n">
        <v>228</v>
      </c>
      <c r="L9" s="109" t="n">
        <v>83</v>
      </c>
      <c r="M9" s="25" t="inlineStr">
        <is>
          <t>68.35%</t>
        </is>
      </c>
      <c r="N9" s="25" t="inlineStr">
        <is>
          <t>5.29%</t>
        </is>
      </c>
      <c r="O9" s="25" t="inlineStr">
        <is>
          <t>0.80%</t>
        </is>
      </c>
      <c r="P9" s="25" t="inlineStr">
        <is>
          <t>3.03%</t>
        </is>
      </c>
      <c r="Q9" s="25" t="inlineStr">
        <is>
          <t>0.16%</t>
        </is>
      </c>
      <c r="R9" s="25" t="inlineStr">
        <is>
          <t>3.61%</t>
        </is>
      </c>
      <c r="S9" s="25" t="inlineStr">
        <is>
          <t>0.55%</t>
        </is>
      </c>
      <c r="T9" s="25" t="inlineStr">
        <is>
          <t>0.11%</t>
        </is>
      </c>
      <c r="U9" s="25" t="inlineStr">
        <is>
          <t>0.44%</t>
        </is>
      </c>
    </row>
    <row r="10">
      <c r="A10" s="25" t="inlineStr">
        <is>
          <t>9</t>
        </is>
      </c>
      <c r="B10" s="28" t="n">
        <v>46181</v>
      </c>
      <c r="C10" s="109" t="n">
        <v>1006</v>
      </c>
      <c r="D10" s="109" t="n">
        <v>1020</v>
      </c>
      <c r="E10" s="109" t="n">
        <v>933</v>
      </c>
      <c r="F10" s="109" t="n">
        <v>87</v>
      </c>
      <c r="G10" s="109" t="n">
        <v>704</v>
      </c>
      <c r="H10" s="109" t="n">
        <v>45</v>
      </c>
      <c r="I10" s="109" t="n">
        <v>2</v>
      </c>
      <c r="J10" s="109" t="n">
        <v>0</v>
      </c>
      <c r="K10" s="110" t="n">
        <v>305</v>
      </c>
      <c r="L10" s="109" t="n">
        <v>98</v>
      </c>
      <c r="M10" s="25" t="inlineStr">
        <is>
          <t>69.98%</t>
        </is>
      </c>
      <c r="N10" s="25" t="inlineStr">
        <is>
          <t>6.39%</t>
        </is>
      </c>
      <c r="O10" s="25" t="inlineStr">
        <is>
          <t>0.28%</t>
        </is>
      </c>
      <c r="P10" s="25" t="inlineStr">
        <is>
          <t>0.00%</t>
        </is>
      </c>
      <c r="Q10" s="25" t="inlineStr">
        <is>
          <t>0.00%</t>
        </is>
      </c>
      <c r="R10" s="25" t="inlineStr">
        <is>
          <t>4.47%</t>
        </is>
      </c>
      <c r="S10" s="25" t="inlineStr">
        <is>
          <t>0.20%</t>
        </is>
      </c>
      <c r="T10" s="25" t="inlineStr">
        <is>
          <t>0.00%</t>
        </is>
      </c>
      <c r="U10" s="25" t="inlineStr">
        <is>
          <t>0.00%</t>
        </is>
      </c>
    </row>
    <row r="11">
      <c r="A11" s="25" t="inlineStr">
        <is>
          <t>10</t>
        </is>
      </c>
      <c r="B11" s="28" t="n">
        <v>46182</v>
      </c>
      <c r="C11" s="109" t="n">
        <v>884</v>
      </c>
      <c r="D11" s="109" t="n">
        <v>940</v>
      </c>
      <c r="E11" s="109" t="n">
        <v>866</v>
      </c>
      <c r="F11" s="109" t="n">
        <v>74</v>
      </c>
      <c r="G11" s="109" t="n">
        <v>602</v>
      </c>
      <c r="H11" s="109" t="n">
        <v>23</v>
      </c>
      <c r="I11" s="109" t="n">
        <v>0</v>
      </c>
      <c r="J11" s="109" t="n">
        <v>2</v>
      </c>
      <c r="K11" s="110" t="n">
        <v>266</v>
      </c>
      <c r="L11" s="109" t="n">
        <v>78</v>
      </c>
      <c r="M11" s="25" t="inlineStr">
        <is>
          <t>68.10%</t>
        </is>
      </c>
      <c r="N11" s="25" t="inlineStr">
        <is>
          <t>3.82%</t>
        </is>
      </c>
      <c r="O11" s="25" t="inlineStr">
        <is>
          <t>0.00%</t>
        </is>
      </c>
      <c r="P11" s="25" t="inlineStr">
        <is>
          <t>8.70%</t>
        </is>
      </c>
      <c r="Q11" s="25" t="inlineStr">
        <is>
          <t>0.33%</t>
        </is>
      </c>
      <c r="R11" s="25" t="inlineStr">
        <is>
          <t>2.60%</t>
        </is>
      </c>
      <c r="S11" s="25" t="inlineStr">
        <is>
          <t>0.00%</t>
        </is>
      </c>
      <c r="T11" s="25" t="inlineStr">
        <is>
          <t>0.23%</t>
        </is>
      </c>
      <c r="U11" s="25" t="inlineStr">
        <is>
          <t>0.75%</t>
        </is>
      </c>
    </row>
    <row r="12">
      <c r="A12" s="25" t="inlineStr">
        <is>
          <t>11</t>
        </is>
      </c>
      <c r="B12" s="28" t="n">
        <v>46183</v>
      </c>
      <c r="C12" s="109" t="n">
        <v>1032</v>
      </c>
      <c r="D12" s="109" t="n">
        <v>985</v>
      </c>
      <c r="E12" s="109" t="n">
        <v>907</v>
      </c>
      <c r="F12" s="109" t="n">
        <v>78</v>
      </c>
      <c r="G12" s="109" t="n">
        <v>703</v>
      </c>
      <c r="H12" s="109" t="n">
        <v>15</v>
      </c>
      <c r="I12" s="109" t="n">
        <v>0</v>
      </c>
      <c r="J12" s="109" t="n">
        <v>-3</v>
      </c>
      <c r="K12" s="110" t="n">
        <v>264</v>
      </c>
      <c r="L12" s="109" t="n">
        <v>81</v>
      </c>
      <c r="M12" s="25" t="inlineStr">
        <is>
          <t>68.12%</t>
        </is>
      </c>
      <c r="N12" s="25" t="inlineStr">
        <is>
          <t>2.13%</t>
        </is>
      </c>
      <c r="O12" s="25" t="inlineStr">
        <is>
          <t>0.00%</t>
        </is>
      </c>
      <c r="P12" s="25" t="inlineStr">
        <is>
          <t>-20.00%</t>
        </is>
      </c>
      <c r="Q12" s="25" t="inlineStr">
        <is>
          <t>-0.43%</t>
        </is>
      </c>
      <c r="R12" s="25" t="inlineStr">
        <is>
          <t>1.45%</t>
        </is>
      </c>
      <c r="S12" s="25" t="inlineStr">
        <is>
          <t>0.00%</t>
        </is>
      </c>
      <c r="T12" s="25" t="inlineStr">
        <is>
          <t>-0.29%</t>
        </is>
      </c>
      <c r="U12" s="25" t="inlineStr">
        <is>
          <t>-1.14%</t>
        </is>
      </c>
    </row>
    <row r="13">
      <c r="A13" s="25" t="inlineStr">
        <is>
          <t>12</t>
        </is>
      </c>
      <c r="B13" s="28" t="n">
        <v>46184</v>
      </c>
      <c r="C13" s="109" t="n">
        <v>1341</v>
      </c>
      <c r="D13" s="109" t="n">
        <v>1230</v>
      </c>
      <c r="E13" s="109" t="n">
        <v>1152</v>
      </c>
      <c r="F13" s="109" t="n">
        <v>78</v>
      </c>
      <c r="G13" s="109" t="n">
        <v>890</v>
      </c>
      <c r="H13" s="109" t="n">
        <v>21</v>
      </c>
      <c r="I13" s="109" t="n">
        <v>3</v>
      </c>
      <c r="J13" s="109" t="n">
        <v>1</v>
      </c>
      <c r="K13" s="110" t="n">
        <v>192</v>
      </c>
      <c r="L13" s="109" t="n">
        <v>101</v>
      </c>
      <c r="M13" s="25" t="inlineStr">
        <is>
          <t>66.37%</t>
        </is>
      </c>
      <c r="N13" s="25" t="inlineStr">
        <is>
          <t>2.36%</t>
        </is>
      </c>
      <c r="O13" s="25" t="inlineStr">
        <is>
          <t>0.34%</t>
        </is>
      </c>
      <c r="P13" s="25" t="inlineStr">
        <is>
          <t>4.76%</t>
        </is>
      </c>
      <c r="Q13" s="25" t="inlineStr">
        <is>
          <t>0.11%</t>
        </is>
      </c>
      <c r="R13" s="25" t="inlineStr">
        <is>
          <t>1.57%</t>
        </is>
      </c>
      <c r="S13" s="25" t="inlineStr">
        <is>
          <t>0.22%</t>
        </is>
      </c>
      <c r="T13" s="25" t="inlineStr">
        <is>
          <t>0.07%</t>
        </is>
      </c>
      <c r="U13" s="25" t="inlineStr">
        <is>
          <t>0.52%</t>
        </is>
      </c>
    </row>
    <row r="14">
      <c r="A14" s="25" t="inlineStr">
        <is>
          <t>13</t>
        </is>
      </c>
      <c r="B14" s="28" t="n">
        <v>46185</v>
      </c>
      <c r="C14" s="109" t="n">
        <v>1582</v>
      </c>
      <c r="D14" s="109" t="n">
        <v>1463</v>
      </c>
      <c r="E14" s="109" t="n">
        <v>1309</v>
      </c>
      <c r="F14" s="109" t="n">
        <v>154</v>
      </c>
      <c r="G14" s="109" t="n">
        <v>1087</v>
      </c>
      <c r="H14" s="109" t="n">
        <v>31</v>
      </c>
      <c r="I14" s="109" t="n">
        <v>5</v>
      </c>
      <c r="J14" s="109" t="n">
        <v>0</v>
      </c>
      <c r="K14" s="110" t="n">
        <v>226</v>
      </c>
      <c r="L14" s="109" t="n">
        <v>114</v>
      </c>
      <c r="M14" s="25" t="inlineStr">
        <is>
          <t>68.71%</t>
        </is>
      </c>
      <c r="N14" s="25" t="inlineStr">
        <is>
          <t>2.85%</t>
        </is>
      </c>
      <c r="O14" s="25" t="inlineStr">
        <is>
          <t>0.46%</t>
        </is>
      </c>
      <c r="P14" s="25" t="inlineStr">
        <is>
          <t>0.00%</t>
        </is>
      </c>
      <c r="Q14" s="25" t="inlineStr">
        <is>
          <t>0.00%</t>
        </is>
      </c>
      <c r="R14" s="25" t="inlineStr">
        <is>
          <t>1.96%</t>
        </is>
      </c>
      <c r="S14" s="25" t="inlineStr">
        <is>
          <t>0.32%</t>
        </is>
      </c>
      <c r="T14" s="25" t="inlineStr">
        <is>
          <t>0.00%</t>
        </is>
      </c>
      <c r="U14" s="25" t="inlineStr">
        <is>
          <t>0.00%</t>
        </is>
      </c>
    </row>
    <row r="15">
      <c r="A15" s="25" t="inlineStr">
        <is>
          <t>14</t>
        </is>
      </c>
      <c r="B15" s="28" t="n">
        <v>46186</v>
      </c>
      <c r="C15" s="109" t="n">
        <v>1755</v>
      </c>
      <c r="D15" s="109" t="n">
        <v>1674</v>
      </c>
      <c r="E15" s="109" t="n">
        <v>1538</v>
      </c>
      <c r="F15" s="109" t="n">
        <v>136</v>
      </c>
      <c r="G15" s="109" t="n">
        <v>1220</v>
      </c>
      <c r="H15" s="109" t="n">
        <v>31</v>
      </c>
      <c r="I15" s="109" t="n">
        <v>2</v>
      </c>
      <c r="J15" s="109" t="n">
        <v>-4</v>
      </c>
      <c r="K15" s="110" t="n">
        <v>273</v>
      </c>
      <c r="L15" s="109" t="n">
        <v>112</v>
      </c>
      <c r="M15" s="25" t="inlineStr">
        <is>
          <t>69.52%</t>
        </is>
      </c>
      <c r="N15" s="25" t="inlineStr">
        <is>
          <t>2.54%</t>
        </is>
      </c>
      <c r="O15" s="25" t="inlineStr">
        <is>
          <t>0.16%</t>
        </is>
      </c>
      <c r="P15" s="25" t="inlineStr">
        <is>
          <t>-12.90%</t>
        </is>
      </c>
      <c r="Q15" s="25" t="inlineStr">
        <is>
          <t>-0.33%</t>
        </is>
      </c>
      <c r="R15" s="25" t="inlineStr">
        <is>
          <t>1.77%</t>
        </is>
      </c>
      <c r="S15" s="25" t="inlineStr">
        <is>
          <t>0.11%</t>
        </is>
      </c>
      <c r="T15" s="25" t="inlineStr">
        <is>
          <t>-0.23%</t>
        </is>
      </c>
      <c r="U15" s="25" t="inlineStr">
        <is>
          <t>-1.47%</t>
        </is>
      </c>
    </row>
    <row r="16">
      <c r="A16" s="25" t="inlineStr">
        <is>
          <t>15</t>
        </is>
      </c>
      <c r="B16" s="28" t="n">
        <v>46187</v>
      </c>
      <c r="C16" s="109" t="n">
        <v>1690</v>
      </c>
      <c r="D16" s="109" t="n">
        <v>1718</v>
      </c>
      <c r="E16" s="109" t="n">
        <v>1482</v>
      </c>
      <c r="F16" s="109" t="n">
        <v>236</v>
      </c>
      <c r="G16" s="109" t="n">
        <v>1190</v>
      </c>
      <c r="H16" s="109" t="n">
        <v>50</v>
      </c>
      <c r="I16" s="109" t="n">
        <v>0</v>
      </c>
      <c r="J16" s="109" t="n">
        <v>0</v>
      </c>
      <c r="K16" s="110" t="n">
        <v>252</v>
      </c>
      <c r="L16" s="109" t="n">
        <v>88</v>
      </c>
      <c r="M16" s="25" t="inlineStr">
        <is>
          <t>70.41%</t>
        </is>
      </c>
      <c r="N16" s="25" t="inlineStr">
        <is>
          <t>4.20%</t>
        </is>
      </c>
      <c r="O16" s="25" t="inlineStr">
        <is>
          <t>0.00%</t>
        </is>
      </c>
      <c r="P16" s="25" t="inlineStr">
        <is>
          <t>0.00%</t>
        </is>
      </c>
      <c r="Q16" s="25" t="inlineStr">
        <is>
          <t>0.00%</t>
        </is>
      </c>
      <c r="R16" s="25" t="inlineStr">
        <is>
          <t>2.96%</t>
        </is>
      </c>
      <c r="S16" s="25" t="inlineStr">
        <is>
          <t>0.00%</t>
        </is>
      </c>
      <c r="T16" s="25" t="inlineStr">
        <is>
          <t>0.00%</t>
        </is>
      </c>
      <c r="U16" s="25" t="inlineStr">
        <is>
          <t>0.00%</t>
        </is>
      </c>
    </row>
    <row r="17">
      <c r="A17" s="25" t="inlineStr">
        <is>
          <t>16</t>
        </is>
      </c>
      <c r="B17" s="28" t="n">
        <v>46188</v>
      </c>
      <c r="C17" s="109" t="n">
        <v>1486</v>
      </c>
      <c r="D17" s="109" t="n">
        <v>1676</v>
      </c>
      <c r="E17" s="109" t="n">
        <v>1498</v>
      </c>
      <c r="F17" s="109" t="n">
        <v>178</v>
      </c>
      <c r="G17" s="109" t="n">
        <v>1036</v>
      </c>
      <c r="H17" s="109" t="n">
        <v>36</v>
      </c>
      <c r="I17" s="109" t="n">
        <v>4</v>
      </c>
      <c r="J17" s="109" t="n">
        <v>1</v>
      </c>
      <c r="K17" s="110" t="n">
        <v>320</v>
      </c>
      <c r="L17" s="109" t="n">
        <v>93</v>
      </c>
      <c r="M17" s="25" t="inlineStr">
        <is>
          <t>69.72%</t>
        </is>
      </c>
      <c r="N17" s="25" t="inlineStr">
        <is>
          <t>3.47%</t>
        </is>
      </c>
      <c r="O17" s="25" t="inlineStr">
        <is>
          <t>0.39%</t>
        </is>
      </c>
      <c r="P17" s="25" t="inlineStr">
        <is>
          <t>2.78%</t>
        </is>
      </c>
      <c r="Q17" s="25" t="inlineStr">
        <is>
          <t>0.10%</t>
        </is>
      </c>
      <c r="R17" s="25" t="inlineStr">
        <is>
          <t>2.42%</t>
        </is>
      </c>
      <c r="S17" s="25" t="inlineStr">
        <is>
          <t>0.27%</t>
        </is>
      </c>
      <c r="T17" s="25" t="inlineStr">
        <is>
          <t>0.07%</t>
        </is>
      </c>
      <c r="U17" s="25" t="inlineStr">
        <is>
          <t>0.31%</t>
        </is>
      </c>
    </row>
    <row r="18">
      <c r="A18" s="25" t="inlineStr">
        <is>
          <t>17</t>
        </is>
      </c>
      <c r="B18" s="28" t="n">
        <v>46189</v>
      </c>
      <c r="C18" s="109" t="n">
        <v>1318</v>
      </c>
      <c r="D18" s="109" t="n">
        <v>1347</v>
      </c>
      <c r="E18" s="109" t="n">
        <v>1155</v>
      </c>
      <c r="F18" s="109" t="n">
        <v>192</v>
      </c>
      <c r="G18" s="109" t="n">
        <v>912</v>
      </c>
      <c r="H18" s="109" t="n">
        <v>23</v>
      </c>
      <c r="I18" s="109" t="n">
        <v>7</v>
      </c>
      <c r="J18" s="109" t="n">
        <v>3</v>
      </c>
      <c r="K18" s="110" t="n">
        <v>333</v>
      </c>
      <c r="L18" s="109" t="n">
        <v>83</v>
      </c>
      <c r="M18" s="25" t="inlineStr">
        <is>
          <t>69.20%</t>
        </is>
      </c>
      <c r="N18" s="25" t="inlineStr">
        <is>
          <t>2.52%</t>
        </is>
      </c>
      <c r="O18" s="25" t="inlineStr">
        <is>
          <t>0.77%</t>
        </is>
      </c>
      <c r="P18" s="25" t="inlineStr">
        <is>
          <t>13.04%</t>
        </is>
      </c>
      <c r="Q18" s="25" t="inlineStr">
        <is>
          <t>0.33%</t>
        </is>
      </c>
      <c r="R18" s="25" t="inlineStr">
        <is>
          <t>1.75%</t>
        </is>
      </c>
      <c r="S18" s="25" t="inlineStr">
        <is>
          <t>0.53%</t>
        </is>
      </c>
      <c r="T18" s="25" t="inlineStr">
        <is>
          <t>0.23%</t>
        </is>
      </c>
      <c r="U18" s="25" t="inlineStr">
        <is>
          <t>0.90%</t>
        </is>
      </c>
    </row>
    <row r="19">
      <c r="A19" s="25" t="inlineStr">
        <is>
          <t>18</t>
        </is>
      </c>
      <c r="B19" s="28" t="n">
        <v>46190</v>
      </c>
      <c r="C19" s="109" t="n">
        <v>1464</v>
      </c>
      <c r="D19" s="109" t="n">
        <v>1402</v>
      </c>
      <c r="E19" s="109" t="n">
        <v>1233</v>
      </c>
      <c r="F19" s="109" t="n">
        <v>169</v>
      </c>
      <c r="G19" s="109" t="n">
        <v>1076</v>
      </c>
      <c r="H19" s="109" t="n">
        <v>38</v>
      </c>
      <c r="I19" s="109" t="n">
        <v>10</v>
      </c>
      <c r="J19" s="109" t="n">
        <v>6</v>
      </c>
      <c r="K19" s="110" t="n">
        <v>319</v>
      </c>
      <c r="L19" s="109" t="n">
        <v>81</v>
      </c>
      <c r="M19" s="25" t="inlineStr">
        <is>
          <t>73.50%</t>
        </is>
      </c>
      <c r="N19" s="25" t="inlineStr">
        <is>
          <t>3.53%</t>
        </is>
      </c>
      <c r="O19" s="25" t="inlineStr">
        <is>
          <t>0.93%</t>
        </is>
      </c>
      <c r="P19" s="25" t="inlineStr">
        <is>
          <t>15.79%</t>
        </is>
      </c>
      <c r="Q19" s="25" t="inlineStr">
        <is>
          <t>0.56%</t>
        </is>
      </c>
      <c r="R19" s="25" t="inlineStr">
        <is>
          <t>2.60%</t>
        </is>
      </c>
      <c r="S19" s="25" t="inlineStr">
        <is>
          <t>0.68%</t>
        </is>
      </c>
      <c r="T19" s="25" t="inlineStr">
        <is>
          <t>0.41%</t>
        </is>
      </c>
      <c r="U19" s="25" t="inlineStr">
        <is>
          <t>1.88%</t>
        </is>
      </c>
    </row>
    <row r="20">
      <c r="A20" s="25" t="inlineStr">
        <is>
          <t>19</t>
        </is>
      </c>
      <c r="B20" s="28" t="n">
        <v>46191</v>
      </c>
      <c r="C20" s="109" t="n">
        <v>1579</v>
      </c>
      <c r="D20" s="109" t="n">
        <v>1328</v>
      </c>
      <c r="E20" s="109" t="n">
        <v>1196</v>
      </c>
      <c r="F20" s="109" t="n">
        <v>132</v>
      </c>
      <c r="G20" s="109" t="n">
        <v>1138</v>
      </c>
      <c r="H20" s="109" t="n">
        <v>17</v>
      </c>
      <c r="I20" s="109" t="n">
        <v>13</v>
      </c>
      <c r="J20" s="109" t="n">
        <v>0</v>
      </c>
      <c r="K20" s="110" t="n">
        <v>519</v>
      </c>
      <c r="L20" s="109" t="n">
        <v>88</v>
      </c>
      <c r="M20" s="25" t="inlineStr">
        <is>
          <t>72.07%</t>
        </is>
      </c>
      <c r="N20" s="25" t="inlineStr">
        <is>
          <t>1.49%</t>
        </is>
      </c>
      <c r="O20" s="25" t="inlineStr">
        <is>
          <t>1.14%</t>
        </is>
      </c>
      <c r="P20" s="25" t="inlineStr">
        <is>
          <t>0.00%</t>
        </is>
      </c>
      <c r="Q20" s="25" t="inlineStr">
        <is>
          <t>0.00%</t>
        </is>
      </c>
      <c r="R20" s="25" t="inlineStr">
        <is>
          <t>1.08%</t>
        </is>
      </c>
      <c r="S20" s="25" t="inlineStr">
        <is>
          <t>0.82%</t>
        </is>
      </c>
      <c r="T20" s="25" t="inlineStr">
        <is>
          <t>0.00%</t>
        </is>
      </c>
      <c r="U20" s="25" t="inlineStr">
        <is>
          <t>0.00%</t>
        </is>
      </c>
    </row>
    <row r="21">
      <c r="A21" s="25" t="inlineStr">
        <is>
          <t>20</t>
        </is>
      </c>
      <c r="B21" s="28" t="n">
        <v>46192</v>
      </c>
      <c r="C21" s="109" t="n">
        <v>1976</v>
      </c>
      <c r="D21" s="109" t="n">
        <v>1838</v>
      </c>
      <c r="E21" s="109" t="n">
        <v>1631</v>
      </c>
      <c r="F21" s="109" t="n">
        <v>207</v>
      </c>
      <c r="G21" s="109" t="n">
        <v>1444</v>
      </c>
      <c r="H21" s="109" t="n">
        <v>33</v>
      </c>
      <c r="I21" s="109" t="n">
        <v>7</v>
      </c>
      <c r="J21" s="109" t="n">
        <v>1</v>
      </c>
      <c r="K21" s="110" t="n">
        <v>265</v>
      </c>
      <c r="L21" s="109" t="n">
        <v>96</v>
      </c>
      <c r="M21" s="25" t="inlineStr">
        <is>
          <t>73.08%</t>
        </is>
      </c>
      <c r="N21" s="25" t="inlineStr">
        <is>
          <t>2.29%</t>
        </is>
      </c>
      <c r="O21" s="25" t="inlineStr">
        <is>
          <t>0.48%</t>
        </is>
      </c>
      <c r="P21" s="25" t="inlineStr">
        <is>
          <t>3.03%</t>
        </is>
      </c>
      <c r="Q21" s="25" t="inlineStr">
        <is>
          <t>0.07%</t>
        </is>
      </c>
      <c r="R21" s="25" t="inlineStr">
        <is>
          <t>1.67%</t>
        </is>
      </c>
      <c r="S21" s="25" t="inlineStr">
        <is>
          <t>0.35%</t>
        </is>
      </c>
      <c r="T21" s="25" t="inlineStr">
        <is>
          <t>0.05%</t>
        </is>
      </c>
      <c r="U21" s="25" t="inlineStr">
        <is>
          <t>0.38%</t>
        </is>
      </c>
    </row>
    <row r="22">
      <c r="A22" s="25" t="inlineStr">
        <is>
          <t>21</t>
        </is>
      </c>
      <c r="B22" s="28" t="n">
        <v>46193</v>
      </c>
      <c r="C22" s="109" t="n">
        <v>1846</v>
      </c>
      <c r="D22" s="109" t="n">
        <v>1858</v>
      </c>
      <c r="E22" s="109" t="n">
        <v>1642</v>
      </c>
      <c r="F22" s="109" t="n">
        <v>216</v>
      </c>
      <c r="G22" s="109" t="n">
        <v>1346</v>
      </c>
      <c r="H22" s="109" t="n">
        <v>81</v>
      </c>
      <c r="I22" s="109" t="n">
        <v>7</v>
      </c>
      <c r="J22" s="109" t="n">
        <v>0</v>
      </c>
      <c r="K22" s="110" t="n">
        <v>246</v>
      </c>
      <c r="L22" s="109" t="n">
        <v>101</v>
      </c>
      <c r="M22" s="25" t="inlineStr">
        <is>
          <t>72.91%</t>
        </is>
      </c>
      <c r="N22" s="25" t="inlineStr">
        <is>
          <t>6.02%</t>
        </is>
      </c>
      <c r="O22" s="25" t="inlineStr">
        <is>
          <t>0.52%</t>
        </is>
      </c>
      <c r="P22" s="25" t="inlineStr">
        <is>
          <t>0.00%</t>
        </is>
      </c>
      <c r="Q22" s="25" t="inlineStr">
        <is>
          <t>0.00%</t>
        </is>
      </c>
      <c r="R22" s="25" t="inlineStr">
        <is>
          <t>4.39%</t>
        </is>
      </c>
      <c r="S22" s="25" t="inlineStr">
        <is>
          <t>0.38%</t>
        </is>
      </c>
      <c r="T22" s="25" t="inlineStr">
        <is>
          <t>0.00%</t>
        </is>
      </c>
      <c r="U22" s="25" t="inlineStr">
        <is>
          <t>0.00%</t>
        </is>
      </c>
    </row>
    <row r="23">
      <c r="A23" s="25" t="inlineStr">
        <is>
          <t>22</t>
        </is>
      </c>
      <c r="B23" s="28" t="n">
        <v>46194</v>
      </c>
      <c r="C23" s="109" t="n">
        <v>1745</v>
      </c>
      <c r="D23" s="109" t="n">
        <v>1931</v>
      </c>
      <c r="E23" s="109" t="n">
        <v>1642</v>
      </c>
      <c r="F23" s="109" t="n">
        <v>289</v>
      </c>
      <c r="G23" s="109" t="n">
        <v>1337</v>
      </c>
      <c r="H23" s="109" t="n">
        <v>43</v>
      </c>
      <c r="I23" s="109" t="n">
        <v>9</v>
      </c>
      <c r="J23" s="109" t="n">
        <v>0</v>
      </c>
      <c r="K23" s="110" t="n">
        <v>276</v>
      </c>
      <c r="L23" s="109" t="n">
        <v>74</v>
      </c>
      <c r="M23" s="25" t="inlineStr">
        <is>
          <t>76.62%</t>
        </is>
      </c>
      <c r="N23" s="25" t="inlineStr">
        <is>
          <t>3.22%</t>
        </is>
      </c>
      <c r="O23" s="25" t="inlineStr">
        <is>
          <t>0.67%</t>
        </is>
      </c>
      <c r="P23" s="25" t="inlineStr">
        <is>
          <t>0.00%</t>
        </is>
      </c>
      <c r="Q23" s="25" t="inlineStr">
        <is>
          <t>0.00%</t>
        </is>
      </c>
      <c r="R23" s="25" t="inlineStr">
        <is>
          <t>2.46%</t>
        </is>
      </c>
      <c r="S23" s="25" t="inlineStr">
        <is>
          <t>0.52%</t>
        </is>
      </c>
      <c r="T23" s="25" t="inlineStr">
        <is>
          <t>0.00%</t>
        </is>
      </c>
      <c r="U23" s="25" t="inlineStr">
        <is>
          <t>0.00%</t>
        </is>
      </c>
    </row>
    <row r="24">
      <c r="A24" s="25" t="inlineStr">
        <is>
          <t>23</t>
        </is>
      </c>
      <c r="B24" s="28" t="n">
        <v>46195</v>
      </c>
      <c r="C24" s="109" t="n">
        <v>1692</v>
      </c>
      <c r="D24" s="109" t="n">
        <v>1796</v>
      </c>
      <c r="E24" s="109" t="n">
        <v>1533</v>
      </c>
      <c r="F24" s="109" t="n">
        <v>263</v>
      </c>
      <c r="G24" s="109" t="n">
        <v>1283</v>
      </c>
      <c r="H24" s="109" t="n">
        <v>20</v>
      </c>
      <c r="I24" s="109" t="n">
        <v>11</v>
      </c>
      <c r="J24" s="109" t="n">
        <v>7</v>
      </c>
      <c r="K24" s="110" t="n">
        <v>422</v>
      </c>
      <c r="L24" s="109" t="n">
        <v>90</v>
      </c>
      <c r="M24" s="25" t="inlineStr">
        <is>
          <t>75.83%</t>
        </is>
      </c>
      <c r="N24" s="25" t="inlineStr">
        <is>
          <t>1.56%</t>
        </is>
      </c>
      <c r="O24" s="25" t="inlineStr">
        <is>
          <t>0.86%</t>
        </is>
      </c>
      <c r="P24" s="25" t="inlineStr">
        <is>
          <t>35.00%</t>
        </is>
      </c>
      <c r="Q24" s="25" t="inlineStr">
        <is>
          <t>0.55%</t>
        </is>
      </c>
      <c r="R24" s="25" t="inlineStr">
        <is>
          <t>1.18%</t>
        </is>
      </c>
      <c r="S24" s="25" t="inlineStr">
        <is>
          <t>0.65%</t>
        </is>
      </c>
      <c r="T24" s="25" t="inlineStr">
        <is>
          <t>0.41%</t>
        </is>
      </c>
      <c r="U24" s="25" t="inlineStr">
        <is>
          <t>1.66%</t>
        </is>
      </c>
    </row>
    <row r="25">
      <c r="A25" s="25" t="inlineStr">
        <is>
          <t>24</t>
        </is>
      </c>
      <c r="B25" s="28" t="n">
        <v>46196</v>
      </c>
      <c r="C25" s="109" t="n">
        <v>1732</v>
      </c>
      <c r="D25" s="109" t="n">
        <v>1665</v>
      </c>
      <c r="E25" s="109" t="n">
        <v>1517</v>
      </c>
      <c r="F25" s="109" t="n">
        <v>148</v>
      </c>
      <c r="G25" s="109" t="n">
        <v>1306</v>
      </c>
      <c r="H25" s="109" t="n">
        <v>38</v>
      </c>
      <c r="I25" s="109" t="n">
        <v>11</v>
      </c>
      <c r="J25" s="109" t="n">
        <v>9</v>
      </c>
      <c r="K25" s="110" t="n">
        <v>359</v>
      </c>
      <c r="L25" s="109" t="n">
        <v>91</v>
      </c>
      <c r="M25" s="25" t="inlineStr">
        <is>
          <t>75.40%</t>
        </is>
      </c>
      <c r="N25" s="25" t="inlineStr">
        <is>
          <t>2.91%</t>
        </is>
      </c>
      <c r="O25" s="25" t="inlineStr">
        <is>
          <t>0.84%</t>
        </is>
      </c>
      <c r="P25" s="25" t="inlineStr">
        <is>
          <t>23.68%</t>
        </is>
      </c>
      <c r="Q25" s="25" t="inlineStr">
        <is>
          <t>0.69%</t>
        </is>
      </c>
      <c r="R25" s="25" t="inlineStr">
        <is>
          <t>2.19%</t>
        </is>
      </c>
      <c r="S25" s="25" t="inlineStr">
        <is>
          <t>0.64%</t>
        </is>
      </c>
      <c r="T25" s="25" t="inlineStr">
        <is>
          <t>0.52%</t>
        </is>
      </c>
      <c r="U25" s="25" t="inlineStr">
        <is>
          <t>2.51%</t>
        </is>
      </c>
    </row>
    <row r="26">
      <c r="A26" s="25" t="inlineStr">
        <is>
          <t>25</t>
        </is>
      </c>
      <c r="B26" s="28" t="n">
        <v>46197</v>
      </c>
      <c r="C26" s="109" t="n">
        <v>1419</v>
      </c>
      <c r="D26" s="109" t="n">
        <v>1686</v>
      </c>
      <c r="E26" s="109" t="n">
        <v>1490</v>
      </c>
      <c r="F26" s="109" t="n">
        <v>196</v>
      </c>
      <c r="G26" s="109" t="n">
        <v>1089</v>
      </c>
      <c r="H26" s="109" t="n">
        <v>47</v>
      </c>
      <c r="I26" s="109" t="n">
        <v>31</v>
      </c>
      <c r="J26" s="109" t="n">
        <v>5</v>
      </c>
      <c r="K26" s="110" t="n">
        <v>499</v>
      </c>
      <c r="L26" s="109" t="n">
        <v>57</v>
      </c>
      <c r="M26" s="25" t="inlineStr">
        <is>
          <t>76.74%</t>
        </is>
      </c>
      <c r="N26" s="25" t="inlineStr">
        <is>
          <t>4.32%</t>
        </is>
      </c>
      <c r="O26" s="25" t="inlineStr">
        <is>
          <t>2.85%</t>
        </is>
      </c>
      <c r="P26" s="25" t="inlineStr">
        <is>
          <t>10.64%</t>
        </is>
      </c>
      <c r="Q26" s="25" t="inlineStr">
        <is>
          <t>0.46%</t>
        </is>
      </c>
      <c r="R26" s="25" t="inlineStr">
        <is>
          <t>3.31%</t>
        </is>
      </c>
      <c r="S26" s="25" t="inlineStr">
        <is>
          <t>2.18%</t>
        </is>
      </c>
      <c r="T26" s="25" t="inlineStr">
        <is>
          <t>0.35%</t>
        </is>
      </c>
      <c r="U26" s="25" t="inlineStr">
        <is>
          <t>1.00%</t>
        </is>
      </c>
    </row>
    <row r="27">
      <c r="A27" s="25" t="inlineStr">
        <is>
          <t>26</t>
        </is>
      </c>
      <c r="B27" s="28" t="n">
        <v>46198</v>
      </c>
      <c r="C27" s="109" t="n">
        <v>1701</v>
      </c>
      <c r="D27" s="109" t="n">
        <v>1383</v>
      </c>
      <c r="E27" s="109" t="n">
        <v>1231</v>
      </c>
      <c r="F27" s="109" t="n">
        <v>152</v>
      </c>
      <c r="G27" s="109" t="n">
        <v>1389</v>
      </c>
      <c r="H27" s="109" t="n">
        <v>22</v>
      </c>
      <c r="I27" s="109" t="n">
        <v>10</v>
      </c>
      <c r="J27" s="109" t="n">
        <v>25</v>
      </c>
      <c r="K27" s="110" t="n">
        <v>948</v>
      </c>
      <c r="L27" s="109" t="n">
        <v>55</v>
      </c>
      <c r="M27" s="25" t="inlineStr">
        <is>
          <t>81.66%</t>
        </is>
      </c>
      <c r="N27" s="25" t="inlineStr">
        <is>
          <t>1.58%</t>
        </is>
      </c>
      <c r="O27" s="25" t="inlineStr">
        <is>
          <t>0.72%</t>
        </is>
      </c>
      <c r="P27" s="25" t="inlineStr">
        <is>
          <t>113.64%</t>
        </is>
      </c>
      <c r="Q27" s="25" t="inlineStr">
        <is>
          <t>1.80%</t>
        </is>
      </c>
      <c r="R27" s="25" t="inlineStr">
        <is>
          <t>1.29%</t>
        </is>
      </c>
      <c r="S27" s="25" t="inlineStr">
        <is>
          <t>0.59%</t>
        </is>
      </c>
      <c r="T27" s="25" t="inlineStr">
        <is>
          <t>1.47%</t>
        </is>
      </c>
      <c r="U27" s="25" t="inlineStr">
        <is>
          <t>2.64%</t>
        </is>
      </c>
    </row>
    <row r="28">
      <c r="A28" s="25" t="inlineStr">
        <is>
          <t>27</t>
        </is>
      </c>
      <c r="B28" s="28" t="n">
        <v>46199</v>
      </c>
      <c r="C28" s="109" t="n">
        <v>1510</v>
      </c>
      <c r="D28" s="109" t="n">
        <v>1600</v>
      </c>
      <c r="E28" s="109" t="n">
        <v>1406</v>
      </c>
      <c r="F28" s="109" t="n">
        <v>194</v>
      </c>
      <c r="G28" s="109" t="n">
        <v>1180</v>
      </c>
      <c r="H28" s="109" t="n">
        <v>28</v>
      </c>
      <c r="I28" s="109" t="n">
        <v>7</v>
      </c>
      <c r="J28" s="109" t="n">
        <v>4</v>
      </c>
      <c r="K28" s="110" t="n">
        <v>897</v>
      </c>
      <c r="L28" s="109" t="n">
        <v>63</v>
      </c>
      <c r="M28" s="25" t="inlineStr">
        <is>
          <t>78.15%</t>
        </is>
      </c>
      <c r="N28" s="25" t="inlineStr">
        <is>
          <t>2.37%</t>
        </is>
      </c>
      <c r="O28" s="25" t="inlineStr">
        <is>
          <t>0.59%</t>
        </is>
      </c>
      <c r="P28" s="25" t="inlineStr">
        <is>
          <t>14.29%</t>
        </is>
      </c>
      <c r="Q28" s="25" t="inlineStr">
        <is>
          <t>0.34%</t>
        </is>
      </c>
      <c r="R28" s="25" t="inlineStr">
        <is>
          <t>1.85%</t>
        </is>
      </c>
      <c r="S28" s="25" t="inlineStr">
        <is>
          <t>0.46%</t>
        </is>
      </c>
      <c r="T28" s="25" t="inlineStr">
        <is>
          <t>0.26%</t>
        </is>
      </c>
      <c r="U28" s="25" t="inlineStr">
        <is>
          <t>0.45%</t>
        </is>
      </c>
    </row>
    <row r="29">
      <c r="A29" s="25" t="inlineStr">
        <is>
          <t>28</t>
        </is>
      </c>
      <c r="B29" s="28" t="n">
        <v>46200</v>
      </c>
      <c r="C29" s="109" t="n">
        <v>1597</v>
      </c>
      <c r="D29" s="109" t="n">
        <v>1563</v>
      </c>
      <c r="E29" s="109" t="n">
        <v>1356</v>
      </c>
      <c r="F29" s="109" t="n">
        <v>207</v>
      </c>
      <c r="G29" s="109" t="n">
        <v>1311</v>
      </c>
      <c r="H29" s="109" t="n">
        <v>42</v>
      </c>
      <c r="I29" s="109" t="n">
        <v>11</v>
      </c>
      <c r="J29" s="109" t="n">
        <v>6</v>
      </c>
      <c r="K29" s="110" t="n">
        <v>1013</v>
      </c>
      <c r="L29" s="109" t="n">
        <v>48</v>
      </c>
      <c r="M29" s="25" t="inlineStr">
        <is>
          <t>82.09%</t>
        </is>
      </c>
      <c r="N29" s="25" t="inlineStr">
        <is>
          <t>3.20%</t>
        </is>
      </c>
      <c r="O29" s="25" t="inlineStr">
        <is>
          <t>0.84%</t>
        </is>
      </c>
      <c r="P29" s="25" t="inlineStr">
        <is>
          <t>14.29%</t>
        </is>
      </c>
      <c r="Q29" s="25" t="inlineStr">
        <is>
          <t>0.46%</t>
        </is>
      </c>
      <c r="R29" s="25" t="inlineStr">
        <is>
          <t>2.63%</t>
        </is>
      </c>
      <c r="S29" s="25" t="inlineStr">
        <is>
          <t>0.69%</t>
        </is>
      </c>
      <c r="T29" s="25" t="inlineStr">
        <is>
          <t>0.38%</t>
        </is>
      </c>
      <c r="U29" s="25" t="inlineStr">
        <is>
          <t>0.59%</t>
        </is>
      </c>
    </row>
    <row r="30">
      <c r="A30" s="25" t="inlineStr">
        <is>
          <t>29</t>
        </is>
      </c>
      <c r="B30" s="28" t="n">
        <v>46201</v>
      </c>
      <c r="C30" s="109" t="n">
        <v>1517</v>
      </c>
      <c r="D30" s="109" t="n">
        <v>1520</v>
      </c>
      <c r="E30" s="109" t="n">
        <v>1356</v>
      </c>
      <c r="F30" s="109" t="n">
        <v>164</v>
      </c>
      <c r="G30" s="109" t="n">
        <v>1273</v>
      </c>
      <c r="H30" s="109" t="n">
        <v>54</v>
      </c>
      <c r="I30" s="109" t="n">
        <v>15</v>
      </c>
      <c r="J30" s="109" t="n">
        <v>8</v>
      </c>
      <c r="K30" s="110" t="n">
        <v>686</v>
      </c>
      <c r="L30" s="109" t="n">
        <v>34</v>
      </c>
      <c r="M30" s="25" t="inlineStr">
        <is>
          <t>83.92%</t>
        </is>
      </c>
      <c r="N30" s="25" t="inlineStr">
        <is>
          <t>4.24%</t>
        </is>
      </c>
      <c r="O30" s="25" t="inlineStr">
        <is>
          <t>1.18%</t>
        </is>
      </c>
      <c r="P30" s="25" t="inlineStr">
        <is>
          <t>14.81%</t>
        </is>
      </c>
      <c r="Q30" s="25" t="inlineStr">
        <is>
          <t>0.63%</t>
        </is>
      </c>
      <c r="R30" s="25" t="inlineStr">
        <is>
          <t>3.56%</t>
        </is>
      </c>
      <c r="S30" s="25" t="inlineStr">
        <is>
          <t>0.99%</t>
        </is>
      </c>
      <c r="T30" s="25" t="inlineStr">
        <is>
          <t>0.53%</t>
        </is>
      </c>
      <c r="U30" s="25" t="inlineStr">
        <is>
          <t>1.17%</t>
        </is>
      </c>
    </row>
    <row r="31">
      <c r="A31" s="25" t="inlineStr">
        <is>
          <t>30</t>
        </is>
      </c>
      <c r="B31" s="28" t="n">
        <v>46202</v>
      </c>
      <c r="C31" s="109" t="n">
        <v>1830</v>
      </c>
      <c r="D31" s="109" t="n">
        <v>1693</v>
      </c>
      <c r="E31" s="109" t="n">
        <v>1425</v>
      </c>
      <c r="F31" s="109" t="n">
        <v>268</v>
      </c>
      <c r="G31" s="109" t="n">
        <v>1576</v>
      </c>
      <c r="H31" s="109" t="n">
        <v>73</v>
      </c>
      <c r="I31" s="109" t="n">
        <v>51</v>
      </c>
      <c r="J31" s="109" t="n">
        <v>40</v>
      </c>
      <c r="K31" s="110" t="n">
        <v>2573</v>
      </c>
      <c r="L31" s="109" t="n">
        <v>37</v>
      </c>
      <c r="M31" s="25" t="inlineStr">
        <is>
          <t>86.12%</t>
        </is>
      </c>
      <c r="N31" s="25" t="inlineStr">
        <is>
          <t>4.63%</t>
        </is>
      </c>
      <c r="O31" s="25" t="inlineStr">
        <is>
          <t>3.24%</t>
        </is>
      </c>
      <c r="P31" s="25" t="inlineStr">
        <is>
          <t>54.79%</t>
        </is>
      </c>
      <c r="Q31" s="25" t="inlineStr">
        <is>
          <t>2.54%</t>
        </is>
      </c>
      <c r="R31" s="25" t="inlineStr">
        <is>
          <t>3.99%</t>
        </is>
      </c>
      <c r="S31" s="25" t="inlineStr">
        <is>
          <t>2.79%</t>
        </is>
      </c>
      <c r="T31" s="25" t="inlineStr">
        <is>
          <t>2.19%</t>
        </is>
      </c>
      <c r="U31" s="25" t="inlineStr">
        <is>
          <t>1.55%</t>
        </is>
      </c>
    </row>
    <row r="32">
      <c r="A32" s="25" t="inlineStr">
        <is>
          <t>31</t>
        </is>
      </c>
      <c r="B32" s="28" t="n">
        <v>46203</v>
      </c>
      <c r="C32" s="109" t="n">
        <v>1555</v>
      </c>
      <c r="D32" s="109" t="n">
        <v>1549</v>
      </c>
      <c r="E32" s="109" t="n">
        <v>1294</v>
      </c>
      <c r="F32" s="109" t="n">
        <v>255</v>
      </c>
      <c r="G32" s="109" t="n">
        <v>1357</v>
      </c>
      <c r="H32" s="109" t="n">
        <v>104</v>
      </c>
      <c r="I32" s="109" t="n">
        <v>88</v>
      </c>
      <c r="J32" s="109" t="n">
        <v>97</v>
      </c>
      <c r="K32" s="110" t="n">
        <v>9491</v>
      </c>
      <c r="L32" s="109" t="n">
        <v>28</v>
      </c>
      <c r="M32" s="25" t="inlineStr">
        <is>
          <t>87.27%</t>
        </is>
      </c>
      <c r="N32" s="25" t="inlineStr">
        <is>
          <t>7.66%</t>
        </is>
      </c>
      <c r="O32" s="25" t="inlineStr">
        <is>
          <t>6.48%</t>
        </is>
      </c>
      <c r="P32" s="25" t="inlineStr">
        <is>
          <t>93.27%</t>
        </is>
      </c>
      <c r="Q32" s="25" t="inlineStr">
        <is>
          <t>7.15%</t>
        </is>
      </c>
      <c r="R32" s="25" t="inlineStr">
        <is>
          <t>6.69%</t>
        </is>
      </c>
      <c r="S32" s="25" t="inlineStr">
        <is>
          <t>5.66%</t>
        </is>
      </c>
      <c r="T32" s="25" t="inlineStr">
        <is>
          <t>6.24%</t>
        </is>
      </c>
      <c r="U32" s="25" t="inlineStr">
        <is>
          <t>1.02%</t>
        </is>
      </c>
    </row>
    <row r="33">
      <c r="A33" s="25" t="inlineStr">
        <is>
          <t>32</t>
        </is>
      </c>
      <c r="B33" s="28" t="n">
        <v>46204</v>
      </c>
      <c r="C33" s="109" t="n">
        <v>1194</v>
      </c>
      <c r="D33" s="109" t="n">
        <v>1197</v>
      </c>
      <c r="E33" s="109" t="n">
        <v>1054</v>
      </c>
      <c r="F33" s="109" t="n">
        <v>143</v>
      </c>
      <c r="G33" s="109" t="n">
        <v>852</v>
      </c>
      <c r="H33" s="109" t="n">
        <v>26</v>
      </c>
      <c r="I33" s="109" t="n">
        <v>2</v>
      </c>
      <c r="J33" s="109" t="n">
        <v>2</v>
      </c>
      <c r="K33" s="110" t="n">
        <v>871</v>
      </c>
      <c r="L33" s="109" t="n">
        <v>46</v>
      </c>
      <c r="M33" s="25" t="inlineStr">
        <is>
          <t>71.36%</t>
        </is>
      </c>
      <c r="N33" s="25" t="inlineStr">
        <is>
          <t>3.05%</t>
        </is>
      </c>
      <c r="O33" s="25" t="inlineStr">
        <is>
          <t>0.23%</t>
        </is>
      </c>
      <c r="P33" s="25" t="inlineStr">
        <is>
          <t>7.69%</t>
        </is>
      </c>
      <c r="Q33" s="25" t="inlineStr">
        <is>
          <t>0.23%</t>
        </is>
      </c>
      <c r="R33" s="25" t="inlineStr">
        <is>
          <t>2.18%</t>
        </is>
      </c>
      <c r="S33" s="25" t="inlineStr">
        <is>
          <t>0.17%</t>
        </is>
      </c>
      <c r="T33" s="25" t="inlineStr">
        <is>
          <t>0.17%</t>
        </is>
      </c>
      <c r="U33" s="25" t="inlineStr">
        <is>
          <t>0.23%</t>
        </is>
      </c>
    </row>
    <row r="34">
      <c r="A34" s="25" t="inlineStr">
        <is>
          <t>33</t>
        </is>
      </c>
      <c r="B34" s="28" t="n">
        <v>46205</v>
      </c>
      <c r="C34" s="109" t="n">
        <v>1168</v>
      </c>
      <c r="D34" s="109" t="n">
        <v>1394</v>
      </c>
      <c r="E34" s="109" t="n">
        <v>1269</v>
      </c>
      <c r="F34" s="109" t="n">
        <v>125</v>
      </c>
      <c r="G34" s="109" t="n">
        <v>853</v>
      </c>
      <c r="H34" s="109" t="n">
        <v>21</v>
      </c>
      <c r="I34" s="109" t="n">
        <v>0</v>
      </c>
      <c r="J34" s="109" t="n">
        <v>4</v>
      </c>
      <c r="K34" s="110" t="n">
        <v>317</v>
      </c>
      <c r="L34" s="109" t="n">
        <v>46</v>
      </c>
      <c r="M34" s="25" t="inlineStr">
        <is>
          <t>73.03%</t>
        </is>
      </c>
      <c r="N34" s="25" t="inlineStr">
        <is>
          <t>2.46%</t>
        </is>
      </c>
      <c r="O34" s="25" t="inlineStr">
        <is>
          <t>0.00%</t>
        </is>
      </c>
      <c r="P34" s="25" t="inlineStr">
        <is>
          <t>19.05%</t>
        </is>
      </c>
      <c r="Q34" s="25" t="inlineStr">
        <is>
          <t>0.47%</t>
        </is>
      </c>
      <c r="R34" s="25" t="inlineStr">
        <is>
          <t>1.80%</t>
        </is>
      </c>
      <c r="S34" s="25" t="inlineStr">
        <is>
          <t>0.00%</t>
        </is>
      </c>
      <c r="T34" s="25" t="inlineStr">
        <is>
          <t>0.34%</t>
        </is>
      </c>
      <c r="U34" s="25" t="inlineStr">
        <is>
          <t>1.26%</t>
        </is>
      </c>
    </row>
    <row r="35">
      <c r="A35" s="25" t="inlineStr">
        <is>
          <t>34</t>
        </is>
      </c>
      <c r="B35" s="28" t="n">
        <v>46206</v>
      </c>
      <c r="C35" s="109" t="n">
        <v>1081</v>
      </c>
      <c r="D35" s="109" t="n">
        <v>1123</v>
      </c>
      <c r="E35" s="109" t="n">
        <v>1005</v>
      </c>
      <c r="F35" s="109" t="n">
        <v>118</v>
      </c>
      <c r="G35" s="109" t="n">
        <v>784</v>
      </c>
      <c r="H35" s="109" t="n">
        <v>15</v>
      </c>
      <c r="I35" s="109" t="n">
        <v>4</v>
      </c>
      <c r="J35" s="109" t="n">
        <v>27</v>
      </c>
      <c r="K35" s="110" t="n">
        <v>353</v>
      </c>
      <c r="L35" s="109" t="n">
        <v>46</v>
      </c>
      <c r="M35" s="25" t="inlineStr">
        <is>
          <t>72.53%</t>
        </is>
      </c>
      <c r="N35" s="25" t="inlineStr">
        <is>
          <t>1.91%</t>
        </is>
      </c>
      <c r="O35" s="25" t="inlineStr">
        <is>
          <t>0.51%</t>
        </is>
      </c>
      <c r="P35" s="25" t="inlineStr">
        <is>
          <t>180.00%</t>
        </is>
      </c>
      <c r="Q35" s="25" t="inlineStr">
        <is>
          <t>3.44%</t>
        </is>
      </c>
      <c r="R35" s="25" t="inlineStr">
        <is>
          <t>1.39%</t>
        </is>
      </c>
      <c r="S35" s="25" t="inlineStr">
        <is>
          <t>0.37%</t>
        </is>
      </c>
      <c r="T35" s="25" t="inlineStr">
        <is>
          <t>2.50%</t>
        </is>
      </c>
      <c r="U35" s="25" t="inlineStr">
        <is>
          <t>7.65%</t>
        </is>
      </c>
    </row>
    <row r="36">
      <c r="A36" s="25" t="inlineStr">
        <is>
          <t>35</t>
        </is>
      </c>
      <c r="B36" s="28" t="n">
        <v>46207</v>
      </c>
      <c r="C36" s="109" t="n">
        <v>1057</v>
      </c>
      <c r="D36" s="109" t="n">
        <v>1033</v>
      </c>
      <c r="E36" s="109" t="n">
        <v>946</v>
      </c>
      <c r="F36" s="109" t="n">
        <v>87</v>
      </c>
      <c r="G36" s="109" t="n">
        <v>798</v>
      </c>
      <c r="H36" s="109" t="n">
        <v>21</v>
      </c>
      <c r="I36" s="109" t="n">
        <v>1</v>
      </c>
      <c r="J36" s="109" t="n">
        <v>1</v>
      </c>
      <c r="K36" s="110" t="n">
        <v>238</v>
      </c>
      <c r="L36" s="109" t="n">
        <v>47</v>
      </c>
      <c r="M36" s="25" t="inlineStr">
        <is>
          <t>75.50%</t>
        </is>
      </c>
      <c r="N36" s="25" t="inlineStr">
        <is>
          <t>2.63%</t>
        </is>
      </c>
      <c r="O36" s="25" t="inlineStr">
        <is>
          <t>0.13%</t>
        </is>
      </c>
      <c r="P36" s="25" t="inlineStr">
        <is>
          <t>4.76%</t>
        </is>
      </c>
      <c r="Q36" s="25" t="inlineStr">
        <is>
          <t>0.13%</t>
        </is>
      </c>
      <c r="R36" s="25" t="inlineStr">
        <is>
          <t>1.99%</t>
        </is>
      </c>
      <c r="S36" s="25" t="inlineStr">
        <is>
          <t>0.09%</t>
        </is>
      </c>
      <c r="T36" s="25" t="inlineStr">
        <is>
          <t>0.09%</t>
        </is>
      </c>
      <c r="U36" s="25" t="inlineStr">
        <is>
          <t>0.42%</t>
        </is>
      </c>
    </row>
    <row r="37">
      <c r="A37" s="25" t="inlineStr">
        <is>
          <t>36</t>
        </is>
      </c>
      <c r="B37" s="28" t="n">
        <v>46208</v>
      </c>
      <c r="C37" s="109" t="n">
        <v>1319</v>
      </c>
      <c r="D37" s="109" t="n">
        <v>1227</v>
      </c>
      <c r="E37" s="109" t="n">
        <v>1096</v>
      </c>
      <c r="F37" s="109" t="n">
        <v>131</v>
      </c>
      <c r="G37" s="109" t="n">
        <v>1002</v>
      </c>
      <c r="H37" s="109" t="n">
        <v>32</v>
      </c>
      <c r="I37" s="109" t="n">
        <v>1</v>
      </c>
      <c r="J37" s="109" t="n">
        <v>1</v>
      </c>
      <c r="K37" s="110" t="n">
        <v>224</v>
      </c>
      <c r="L37" s="109" t="n">
        <v>61</v>
      </c>
      <c r="M37" s="25" t="inlineStr">
        <is>
          <t>75.97%</t>
        </is>
      </c>
      <c r="N37" s="25" t="inlineStr">
        <is>
          <t>3.19%</t>
        </is>
      </c>
      <c r="O37" s="25" t="inlineStr">
        <is>
          <t>0.10%</t>
        </is>
      </c>
      <c r="P37" s="25" t="inlineStr">
        <is>
          <t>3.13%</t>
        </is>
      </c>
      <c r="Q37" s="25" t="inlineStr">
        <is>
          <t>0.10%</t>
        </is>
      </c>
      <c r="R37" s="25" t="inlineStr">
        <is>
          <t>2.43%</t>
        </is>
      </c>
      <c r="S37" s="25" t="inlineStr">
        <is>
          <t>0.08%</t>
        </is>
      </c>
      <c r="T37" s="25" t="inlineStr">
        <is>
          <t>0.08%</t>
        </is>
      </c>
      <c r="U37" s="25" t="inlineStr">
        <is>
          <t>0.45%</t>
        </is>
      </c>
    </row>
    <row r="38">
      <c r="A38" s="25" t="inlineStr">
        <is>
          <t>37</t>
        </is>
      </c>
      <c r="B38" s="28" t="n">
        <v>46209</v>
      </c>
      <c r="C38" s="109" t="n">
        <v>1450</v>
      </c>
      <c r="D38" s="109" t="n">
        <v>1374</v>
      </c>
      <c r="E38" s="109" t="n">
        <v>1173</v>
      </c>
      <c r="F38" s="109" t="n">
        <v>201</v>
      </c>
      <c r="G38" s="109" t="n">
        <v>1135</v>
      </c>
      <c r="H38" s="109" t="n">
        <v>18</v>
      </c>
      <c r="I38" s="109" t="n">
        <v>0</v>
      </c>
      <c r="J38" s="109" t="n">
        <v>1</v>
      </c>
      <c r="K38" s="110" t="n">
        <v>297</v>
      </c>
      <c r="L38" s="109" t="n">
        <v>55</v>
      </c>
      <c r="M38" s="25" t="inlineStr">
        <is>
          <t>78.28%</t>
        </is>
      </c>
      <c r="N38" s="25" t="inlineStr">
        <is>
          <t>1.59%</t>
        </is>
      </c>
      <c r="O38" s="25" t="inlineStr">
        <is>
          <t>0.00%</t>
        </is>
      </c>
      <c r="P38" s="25" t="inlineStr">
        <is>
          <t>5.56%</t>
        </is>
      </c>
      <c r="Q38" s="25" t="inlineStr">
        <is>
          <t>0.09%</t>
        </is>
      </c>
      <c r="R38" s="25" t="inlineStr">
        <is>
          <t>1.24%</t>
        </is>
      </c>
      <c r="S38" s="25" t="inlineStr">
        <is>
          <t>0.00%</t>
        </is>
      </c>
      <c r="T38" s="25" t="inlineStr">
        <is>
          <t>0.07%</t>
        </is>
      </c>
      <c r="U38" s="25" t="inlineStr">
        <is>
          <t>0.34%</t>
        </is>
      </c>
    </row>
    <row r="39">
      <c r="A39" s="25" t="inlineStr">
        <is>
          <t>38</t>
        </is>
      </c>
      <c r="B39" s="28" t="n">
        <v>46210</v>
      </c>
      <c r="C39" s="109" t="n">
        <v>1390</v>
      </c>
      <c r="D39" s="109" t="n">
        <v>1459</v>
      </c>
      <c r="E39" s="109" t="n">
        <v>1245</v>
      </c>
      <c r="F39" s="109" t="n">
        <v>214</v>
      </c>
      <c r="G39" s="109" t="n">
        <v>1090</v>
      </c>
      <c r="H39" s="109" t="n">
        <v>14</v>
      </c>
      <c r="I39" s="109" t="n">
        <v>8</v>
      </c>
      <c r="J39" s="109" t="n">
        <v>2</v>
      </c>
      <c r="K39" s="110" t="n">
        <v>265</v>
      </c>
      <c r="L39" s="109" t="n">
        <v>46</v>
      </c>
      <c r="M39" s="25" t="inlineStr">
        <is>
          <t>78.42%</t>
        </is>
      </c>
      <c r="N39" s="25" t="inlineStr">
        <is>
          <t>1.28%</t>
        </is>
      </c>
      <c r="O39" s="25" t="inlineStr">
        <is>
          <t>0.73%</t>
        </is>
      </c>
      <c r="P39" s="25" t="inlineStr">
        <is>
          <t>14.29%</t>
        </is>
      </c>
      <c r="Q39" s="25" t="inlineStr">
        <is>
          <t>0.18%</t>
        </is>
      </c>
      <c r="R39" s="25" t="inlineStr">
        <is>
          <t>1.01%</t>
        </is>
      </c>
      <c r="S39" s="25" t="inlineStr">
        <is>
          <t>0.58%</t>
        </is>
      </c>
      <c r="T39" s="25" t="inlineStr">
        <is>
          <t>0.14%</t>
        </is>
      </c>
      <c r="U39" s="25" t="inlineStr">
        <is>
          <t>0.75%</t>
        </is>
      </c>
    </row>
    <row r="40">
      <c r="A40" s="25" t="inlineStr">
        <is>
          <t>39</t>
        </is>
      </c>
      <c r="B40" s="28" t="n">
        <v>46211</v>
      </c>
      <c r="C40" s="109" t="n">
        <v>1590</v>
      </c>
      <c r="D40" s="109" t="n">
        <v>1545</v>
      </c>
      <c r="E40" s="109" t="n">
        <v>1362</v>
      </c>
      <c r="F40" s="109" t="n">
        <v>183</v>
      </c>
      <c r="G40" s="109" t="n">
        <v>1274</v>
      </c>
      <c r="H40" s="109" t="n">
        <v>19</v>
      </c>
      <c r="I40" s="109" t="n">
        <v>4</v>
      </c>
      <c r="J40" s="109" t="n">
        <v>2</v>
      </c>
      <c r="K40" s="110" t="n">
        <v>298</v>
      </c>
      <c r="L40" s="109" t="n">
        <v>43</v>
      </c>
      <c r="M40" s="25" t="inlineStr">
        <is>
          <t>80.13%</t>
        </is>
      </c>
      <c r="N40" s="25" t="inlineStr">
        <is>
          <t>1.49%</t>
        </is>
      </c>
      <c r="O40" s="25" t="inlineStr">
        <is>
          <t>0.31%</t>
        </is>
      </c>
      <c r="P40" s="25" t="inlineStr">
        <is>
          <t>10.53%</t>
        </is>
      </c>
      <c r="Q40" s="25" t="inlineStr">
        <is>
          <t>0.16%</t>
        </is>
      </c>
      <c r="R40" s="25" t="inlineStr">
        <is>
          <t>1.19%</t>
        </is>
      </c>
      <c r="S40" s="25" t="inlineStr">
        <is>
          <t>0.25%</t>
        </is>
      </c>
      <c r="T40" s="25" t="inlineStr">
        <is>
          <t>0.13%</t>
        </is>
      </c>
      <c r="U40" s="25" t="inlineStr">
        <is>
          <t>0.67%</t>
        </is>
      </c>
    </row>
    <row r="41">
      <c r="A41" s="25" t="inlineStr">
        <is>
          <t>40</t>
        </is>
      </c>
      <c r="B41" s="28" t="n">
        <v>46212</v>
      </c>
      <c r="C41" s="109" t="n">
        <v>1504</v>
      </c>
      <c r="D41" s="109" t="n">
        <v>1480</v>
      </c>
      <c r="E41" s="109" t="n">
        <v>1324</v>
      </c>
      <c r="F41" s="109" t="n">
        <v>156</v>
      </c>
      <c r="G41" s="109" t="n">
        <v>1233</v>
      </c>
      <c r="H41" s="109" t="n">
        <v>14</v>
      </c>
      <c r="I41" s="109" t="n">
        <v>4</v>
      </c>
      <c r="J41" s="109" t="n">
        <v>4</v>
      </c>
      <c r="K41" s="110" t="n">
        <v>352</v>
      </c>
      <c r="L41" s="109" t="n">
        <v>43</v>
      </c>
      <c r="M41" s="25" t="inlineStr">
        <is>
          <t>81.98%</t>
        </is>
      </c>
      <c r="N41" s="25" t="inlineStr">
        <is>
          <t>1.14%</t>
        </is>
      </c>
      <c r="O41" s="25" t="inlineStr">
        <is>
          <t>0.32%</t>
        </is>
      </c>
      <c r="P41" s="25" t="inlineStr">
        <is>
          <t>28.57%</t>
        </is>
      </c>
      <c r="Q41" s="25" t="inlineStr">
        <is>
          <t>0.32%</t>
        </is>
      </c>
      <c r="R41" s="25" t="inlineStr">
        <is>
          <t>0.93%</t>
        </is>
      </c>
      <c r="S41" s="25" t="inlineStr">
        <is>
          <t>0.27%</t>
        </is>
      </c>
      <c r="T41" s="25" t="inlineStr">
        <is>
          <t>0.27%</t>
        </is>
      </c>
      <c r="U41" s="25" t="inlineStr">
        <is>
          <t>1.14%</t>
        </is>
      </c>
    </row>
    <row r="42">
      <c r="A42" s="25" t="inlineStr">
        <is>
          <t>41</t>
        </is>
      </c>
      <c r="B42" s="28" t="n">
        <v>46213</v>
      </c>
      <c r="C42" s="109" t="n">
        <v>1319</v>
      </c>
      <c r="D42" s="109" t="n">
        <v>1372</v>
      </c>
      <c r="E42" s="109" t="n">
        <v>1243</v>
      </c>
      <c r="F42" s="109" t="n">
        <v>129</v>
      </c>
      <c r="G42" s="109" t="n">
        <v>1081</v>
      </c>
      <c r="H42" s="109" t="n">
        <v>19</v>
      </c>
      <c r="I42" s="109" t="n">
        <v>1</v>
      </c>
      <c r="J42" s="109" t="n">
        <v>-5</v>
      </c>
      <c r="K42" s="110" t="n">
        <v>262</v>
      </c>
      <c r="L42" s="109" t="n">
        <v>28</v>
      </c>
      <c r="M42" s="25" t="inlineStr">
        <is>
          <t>81.96%</t>
        </is>
      </c>
      <c r="N42" s="25" t="inlineStr">
        <is>
          <t>1.76%</t>
        </is>
      </c>
      <c r="O42" s="25" t="inlineStr">
        <is>
          <t>0.09%</t>
        </is>
      </c>
      <c r="P42" s="25" t="inlineStr">
        <is>
          <t>-26.32%</t>
        </is>
      </c>
      <c r="Q42" s="25" t="inlineStr">
        <is>
          <t>-0.46%</t>
        </is>
      </c>
      <c r="R42" s="25" t="inlineStr">
        <is>
          <t>1.44%</t>
        </is>
      </c>
      <c r="S42" s="25" t="inlineStr">
        <is>
          <t>0.08%</t>
        </is>
      </c>
      <c r="T42" s="25" t="inlineStr">
        <is>
          <t>-0.38%</t>
        </is>
      </c>
      <c r="U42" s="25" t="inlineStr">
        <is>
          <t>-1.91%</t>
        </is>
      </c>
    </row>
    <row r="43">
      <c r="A43" s="25" t="inlineStr">
        <is>
          <t>42</t>
        </is>
      </c>
      <c r="B43" s="28" t="n">
        <v>46214</v>
      </c>
      <c r="C43" s="109" t="n">
        <v>1205</v>
      </c>
      <c r="D43" s="109" t="n">
        <v>1289</v>
      </c>
      <c r="E43" s="109" t="n">
        <v>1209</v>
      </c>
      <c r="F43" s="109" t="n">
        <v>80</v>
      </c>
      <c r="G43" s="109" t="n">
        <v>1017</v>
      </c>
      <c r="H43" s="109" t="n">
        <v>18</v>
      </c>
      <c r="I43" s="109" t="n">
        <v>1</v>
      </c>
      <c r="J43" s="109" t="n">
        <v>2</v>
      </c>
      <c r="K43" s="110" t="n">
        <v>214</v>
      </c>
      <c r="L43" s="109" t="n">
        <v>39</v>
      </c>
      <c r="M43" s="25" t="inlineStr">
        <is>
          <t>84.40%</t>
        </is>
      </c>
      <c r="N43" s="25" t="inlineStr">
        <is>
          <t>1.77%</t>
        </is>
      </c>
      <c r="O43" s="25" t="inlineStr">
        <is>
          <t>0.10%</t>
        </is>
      </c>
      <c r="P43" s="25" t="inlineStr">
        <is>
          <t>11.11%</t>
        </is>
      </c>
      <c r="Q43" s="25" t="inlineStr">
        <is>
          <t>0.20%</t>
        </is>
      </c>
      <c r="R43" s="25" t="inlineStr">
        <is>
          <t>1.49%</t>
        </is>
      </c>
      <c r="S43" s="25" t="inlineStr">
        <is>
          <t>0.08%</t>
        </is>
      </c>
      <c r="T43" s="25" t="inlineStr">
        <is>
          <t>0.17%</t>
        </is>
      </c>
      <c r="U43" s="25" t="inlineStr">
        <is>
          <t>0.93%</t>
        </is>
      </c>
    </row>
    <row r="44">
      <c r="A44" s="25" t="inlineStr">
        <is>
          <t>43</t>
        </is>
      </c>
      <c r="B44" s="28" t="n">
        <v>46215</v>
      </c>
      <c r="C44" s="109" t="n">
        <v>1619</v>
      </c>
      <c r="D44" s="109" t="n">
        <v>1497</v>
      </c>
      <c r="E44" s="109" t="n">
        <v>1341</v>
      </c>
      <c r="F44" s="109" t="n">
        <v>156</v>
      </c>
      <c r="G44" s="109" t="n">
        <v>1351</v>
      </c>
      <c r="H44" s="109" t="n">
        <v>16</v>
      </c>
      <c r="I44" s="109" t="n">
        <v>4</v>
      </c>
      <c r="J44" s="109" t="n">
        <v>3</v>
      </c>
      <c r="K44" s="110" t="n">
        <v>187</v>
      </c>
      <c r="L44" s="109" t="n">
        <v>34</v>
      </c>
      <c r="M44" s="25" t="inlineStr">
        <is>
          <t>83.45%</t>
        </is>
      </c>
      <c r="N44" s="25" t="inlineStr">
        <is>
          <t>1.18%</t>
        </is>
      </c>
      <c r="O44" s="25" t="inlineStr">
        <is>
          <t>0.30%</t>
        </is>
      </c>
      <c r="P44" s="25" t="inlineStr">
        <is>
          <t>18.75%</t>
        </is>
      </c>
      <c r="Q44" s="25" t="inlineStr">
        <is>
          <t>0.22%</t>
        </is>
      </c>
      <c r="R44" s="25" t="inlineStr">
        <is>
          <t>0.99%</t>
        </is>
      </c>
      <c r="S44" s="25" t="inlineStr">
        <is>
          <t>0.25%</t>
        </is>
      </c>
      <c r="T44" s="25" t="inlineStr">
        <is>
          <t>0.19%</t>
        </is>
      </c>
      <c r="U44" s="25" t="inlineStr">
        <is>
          <t>1.60%</t>
        </is>
      </c>
    </row>
    <row r="45">
      <c r="A45" s="25" t="inlineStr">
        <is>
          <t>44</t>
        </is>
      </c>
      <c r="B45" s="28" t="n">
        <v>46216</v>
      </c>
      <c r="C45" s="109" t="n">
        <v>1619</v>
      </c>
      <c r="D45" s="109" t="n">
        <v>1649</v>
      </c>
      <c r="E45" s="109" t="n">
        <v>1496</v>
      </c>
      <c r="F45" s="109" t="n">
        <v>153</v>
      </c>
      <c r="G45" s="109" t="n">
        <v>1340</v>
      </c>
      <c r="H45" s="109" t="n">
        <v>22</v>
      </c>
      <c r="I45" s="109" t="n">
        <v>4</v>
      </c>
      <c r="J45" s="109" t="n">
        <v>0</v>
      </c>
      <c r="K45" s="110" t="n">
        <v>319</v>
      </c>
      <c r="L45" s="109" t="n">
        <v>20</v>
      </c>
      <c r="M45" s="25" t="inlineStr">
        <is>
          <t>82.77%</t>
        </is>
      </c>
      <c r="N45" s="25" t="inlineStr">
        <is>
          <t>1.64%</t>
        </is>
      </c>
      <c r="O45" s="25" t="inlineStr">
        <is>
          <t>0.30%</t>
        </is>
      </c>
      <c r="P45" s="25" t="inlineStr">
        <is>
          <t>0.00%</t>
        </is>
      </c>
      <c r="Q45" s="25" t="inlineStr">
        <is>
          <t>0.00%</t>
        </is>
      </c>
      <c r="R45" s="25" t="inlineStr">
        <is>
          <t>1.36%</t>
        </is>
      </c>
      <c r="S45" s="25" t="inlineStr">
        <is>
          <t>0.25%</t>
        </is>
      </c>
      <c r="T45" s="25" t="inlineStr">
        <is>
          <t>0.00%</t>
        </is>
      </c>
      <c r="U45" s="25" t="inlineStr">
        <is>
          <t>0.00%</t>
        </is>
      </c>
    </row>
    <row r="46">
      <c r="A46" s="25" t="inlineStr">
        <is>
          <t>45</t>
        </is>
      </c>
      <c r="B46" s="28" t="n">
        <v>46217</v>
      </c>
      <c r="C46" s="109" t="n">
        <v>1495</v>
      </c>
      <c r="D46" s="109" t="n">
        <v>1442</v>
      </c>
      <c r="E46" s="109" t="n">
        <v>1267</v>
      </c>
      <c r="F46" s="109" t="n">
        <v>175</v>
      </c>
      <c r="G46" s="109" t="n">
        <v>1329</v>
      </c>
      <c r="H46" s="109" t="n">
        <v>24</v>
      </c>
      <c r="I46" s="109" t="n">
        <v>6</v>
      </c>
      <c r="J46" s="109" t="n">
        <v>1</v>
      </c>
      <c r="K46" s="110" t="n">
        <v>295</v>
      </c>
      <c r="L46" s="109" t="n">
        <v>16</v>
      </c>
      <c r="M46" s="25" t="inlineStr">
        <is>
          <t>88.90%</t>
        </is>
      </c>
      <c r="N46" s="25" t="inlineStr">
        <is>
          <t>1.81%</t>
        </is>
      </c>
      <c r="O46" s="25" t="inlineStr">
        <is>
          <t>0.45%</t>
        </is>
      </c>
      <c r="P46" s="25" t="inlineStr">
        <is>
          <t>4.17%</t>
        </is>
      </c>
      <c r="Q46" s="25" t="inlineStr">
        <is>
          <t>0.08%</t>
        </is>
      </c>
      <c r="R46" s="25" t="inlineStr">
        <is>
          <t>1.61%</t>
        </is>
      </c>
      <c r="S46" s="25" t="inlineStr">
        <is>
          <t>0.40%</t>
        </is>
      </c>
      <c r="T46" s="25" t="inlineStr">
        <is>
          <t>0.07%</t>
        </is>
      </c>
      <c r="U46" s="25" t="inlineStr">
        <is>
          <t>0.34%</t>
        </is>
      </c>
    </row>
    <row r="47">
      <c r="A47" s="25" t="inlineStr">
        <is>
          <t>46</t>
        </is>
      </c>
      <c r="B47" s="28" t="n">
        <v>46218</v>
      </c>
      <c r="C47" s="109" t="n">
        <v>1405</v>
      </c>
      <c r="D47" s="109" t="n">
        <v>1487</v>
      </c>
      <c r="E47" s="109" t="n">
        <v>1315</v>
      </c>
      <c r="F47" s="109" t="n">
        <v>172</v>
      </c>
      <c r="G47" s="109" t="n">
        <v>1279</v>
      </c>
      <c r="H47" s="109" t="n">
        <v>28</v>
      </c>
      <c r="I47" s="109" t="n">
        <v>3</v>
      </c>
      <c r="J47" s="109" t="n">
        <v>3</v>
      </c>
      <c r="K47" s="110" t="n">
        <v>273</v>
      </c>
      <c r="L47" s="109" t="n">
        <v>11</v>
      </c>
      <c r="M47" s="25" t="inlineStr">
        <is>
          <t>91.03%</t>
        </is>
      </c>
      <c r="N47" s="25" t="inlineStr">
        <is>
          <t>2.19%</t>
        </is>
      </c>
      <c r="O47" s="25" t="inlineStr">
        <is>
          <t>0.23%</t>
        </is>
      </c>
      <c r="P47" s="25" t="inlineStr">
        <is>
          <t>10.71%</t>
        </is>
      </c>
      <c r="Q47" s="25" t="inlineStr">
        <is>
          <t>0.23%</t>
        </is>
      </c>
      <c r="R47" s="25" t="inlineStr">
        <is>
          <t>1.99%</t>
        </is>
      </c>
      <c r="S47" s="25" t="inlineStr">
        <is>
          <t>0.21%</t>
        </is>
      </c>
      <c r="T47" s="25" t="inlineStr">
        <is>
          <t>0.21%</t>
        </is>
      </c>
      <c r="U47" s="25" t="inlineStr">
        <is>
          <t>1.10%</t>
        </is>
      </c>
    </row>
    <row r="48">
      <c r="A48" s="25" t="inlineStr">
        <is>
          <t>47</t>
        </is>
      </c>
      <c r="B48" s="28" t="n">
        <v>46219</v>
      </c>
      <c r="C48" s="109" t="n">
        <v>1478</v>
      </c>
      <c r="D48" s="109" t="n">
        <v>1503</v>
      </c>
      <c r="E48" s="109" t="n">
        <v>1342</v>
      </c>
      <c r="F48" s="109" t="n">
        <v>161</v>
      </c>
      <c r="G48" s="109" t="n">
        <v>1376</v>
      </c>
      <c r="H48" s="109" t="n">
        <v>18</v>
      </c>
      <c r="I48" s="109" t="n">
        <v>1</v>
      </c>
      <c r="J48" s="109" t="n">
        <v>0</v>
      </c>
      <c r="K48" s="110" t="n">
        <v>312</v>
      </c>
      <c r="L48" s="109" t="n">
        <v>6</v>
      </c>
      <c r="M48" s="25" t="inlineStr">
        <is>
          <t>93.10%</t>
        </is>
      </c>
      <c r="N48" s="25" t="inlineStr">
        <is>
          <t>1.31%</t>
        </is>
      </c>
      <c r="O48" s="25" t="inlineStr">
        <is>
          <t>0.07%</t>
        </is>
      </c>
      <c r="P48" s="25" t="inlineStr">
        <is>
          <t>0.00%</t>
        </is>
      </c>
      <c r="Q48" s="25" t="inlineStr">
        <is>
          <t>0.00%</t>
        </is>
      </c>
      <c r="R48" s="25" t="inlineStr">
        <is>
          <t>1.22%</t>
        </is>
      </c>
      <c r="S48" s="25" t="inlineStr">
        <is>
          <t>0.07%</t>
        </is>
      </c>
      <c r="T48" s="25" t="inlineStr">
        <is>
          <t>0.00%</t>
        </is>
      </c>
      <c r="U48" s="25" t="inlineStr">
        <is>
          <t>0.00%</t>
        </is>
      </c>
    </row>
    <row r="49">
      <c r="A49" s="20" t="n"/>
      <c r="B49" s="23" t="n"/>
      <c r="C49" s="111" t="n"/>
      <c r="D49" s="111" t="n"/>
      <c r="E49" s="111" t="n"/>
      <c r="F49" s="111" t="n"/>
      <c r="G49" s="111" t="n"/>
      <c r="H49" s="111" t="n"/>
      <c r="I49" s="111" t="n"/>
      <c r="J49" s="111" t="n"/>
      <c r="K49" s="112" t="n"/>
      <c r="L49" s="111" t="n"/>
      <c r="M49" s="20" t="n"/>
      <c r="N49" s="20" t="n"/>
      <c r="O49" s="20" t="n"/>
      <c r="P49" s="20" t="n"/>
      <c r="Q49" s="20" t="n"/>
      <c r="R49" s="20" t="n"/>
      <c r="S49" s="20" t="n"/>
      <c r="T49" s="20" t="n"/>
      <c r="U49" s="20" t="n"/>
    </row>
    <row r="50">
      <c r="A50" s="20" t="n"/>
      <c r="B50" s="23" t="n"/>
      <c r="C50" s="111" t="n"/>
      <c r="D50" s="111" t="n"/>
      <c r="E50" s="111" t="n"/>
      <c r="F50" s="111" t="n"/>
      <c r="G50" s="111" t="n"/>
      <c r="H50" s="111" t="n"/>
      <c r="I50" s="111" t="n"/>
      <c r="J50" s="111" t="n"/>
      <c r="K50" s="112" t="n"/>
      <c r="L50" s="111" t="n"/>
      <c r="M50" s="20" t="n"/>
      <c r="N50" s="20" t="n"/>
      <c r="O50" s="20" t="n"/>
      <c r="P50" s="20" t="n"/>
      <c r="Q50" s="20" t="n"/>
      <c r="R50" s="20" t="n"/>
      <c r="S50" s="20" t="n"/>
      <c r="T50" s="20" t="n"/>
      <c r="U50" s="20" t="n"/>
    </row>
    <row r="51">
      <c r="A51" s="20" t="n"/>
      <c r="B51" s="23" t="n"/>
      <c r="C51" s="111" t="n"/>
      <c r="D51" s="111" t="n"/>
      <c r="E51" s="111" t="n"/>
      <c r="F51" s="111" t="n"/>
      <c r="G51" s="111" t="n"/>
      <c r="H51" s="111" t="n"/>
      <c r="I51" s="111" t="n"/>
      <c r="J51" s="111" t="n"/>
      <c r="K51" s="112" t="n"/>
      <c r="L51" s="111" t="n"/>
      <c r="M51" s="20" t="n"/>
      <c r="N51" s="20" t="n"/>
      <c r="O51" s="20" t="n"/>
      <c r="P51" s="20" t="n"/>
      <c r="Q51" s="20" t="n"/>
      <c r="R51" s="20" t="n"/>
      <c r="S51" s="20" t="n"/>
      <c r="T51" s="20" t="n"/>
      <c r="U51" s="20" t="n"/>
    </row>
    <row r="52">
      <c r="A52" s="20" t="n"/>
      <c r="B52" s="23" t="n"/>
      <c r="C52" s="111" t="n"/>
      <c r="D52" s="111" t="n"/>
      <c r="E52" s="111" t="n"/>
      <c r="F52" s="111" t="n"/>
      <c r="G52" s="111" t="n"/>
      <c r="H52" s="111" t="n"/>
      <c r="I52" s="111" t="n"/>
      <c r="J52" s="111" t="n"/>
      <c r="K52" s="112" t="n"/>
      <c r="L52" s="111" t="n"/>
      <c r="M52" s="20" t="n"/>
      <c r="N52" s="20" t="n"/>
      <c r="O52" s="20" t="n"/>
      <c r="P52" s="20" t="n"/>
      <c r="Q52" s="20" t="n"/>
      <c r="R52" s="20" t="n"/>
      <c r="S52" s="20" t="n"/>
      <c r="T52" s="20" t="n"/>
      <c r="U52" s="20" t="n"/>
    </row>
    <row r="53">
      <c r="A53" s="20" t="n"/>
      <c r="B53" s="23" t="n"/>
      <c r="C53" s="111" t="n"/>
      <c r="D53" s="111" t="n"/>
      <c r="E53" s="111" t="n"/>
      <c r="F53" s="111" t="n"/>
      <c r="G53" s="111" t="n"/>
      <c r="H53" s="111" t="n"/>
      <c r="I53" s="111" t="n"/>
      <c r="J53" s="111" t="n"/>
      <c r="K53" s="112" t="n"/>
      <c r="L53" s="111" t="n"/>
      <c r="M53" s="20" t="n"/>
      <c r="N53" s="20" t="n"/>
      <c r="O53" s="20" t="n"/>
      <c r="P53" s="20" t="n"/>
      <c r="Q53" s="20" t="n"/>
      <c r="R53" s="20" t="n"/>
      <c r="S53" s="20" t="n"/>
      <c r="T53" s="20" t="n"/>
      <c r="U53" s="20" t="n"/>
    </row>
    <row r="54">
      <c r="A54" s="20" t="n"/>
      <c r="B54" s="23" t="n"/>
      <c r="C54" s="111" t="n"/>
      <c r="D54" s="111" t="n"/>
      <c r="E54" s="111" t="n"/>
      <c r="F54" s="111" t="n"/>
      <c r="G54" s="111" t="n"/>
      <c r="H54" s="111" t="n"/>
      <c r="I54" s="111" t="n"/>
      <c r="J54" s="111" t="n"/>
      <c r="K54" s="112" t="n"/>
      <c r="L54" s="111" t="n"/>
      <c r="M54" s="20" t="n"/>
      <c r="N54" s="20" t="n"/>
      <c r="O54" s="20" t="n"/>
      <c r="P54" s="20" t="n"/>
      <c r="Q54" s="20" t="n"/>
      <c r="R54" s="20" t="n"/>
      <c r="S54" s="20" t="n"/>
      <c r="T54" s="20" t="n"/>
      <c r="U54" s="20" t="n"/>
    </row>
    <row r="55">
      <c r="A55" s="20" t="n"/>
      <c r="B55" s="23" t="n"/>
      <c r="C55" s="111" t="n"/>
      <c r="D55" s="111" t="n"/>
      <c r="E55" s="111" t="n"/>
      <c r="F55" s="111" t="n"/>
      <c r="G55" s="111" t="n"/>
      <c r="H55" s="111" t="n"/>
      <c r="I55" s="111" t="n"/>
      <c r="J55" s="111" t="n"/>
      <c r="K55" s="112" t="n"/>
      <c r="L55" s="111" t="n"/>
      <c r="M55" s="20" t="n"/>
      <c r="N55" s="20" t="n"/>
      <c r="O55" s="20" t="n"/>
      <c r="P55" s="20" t="n"/>
      <c r="Q55" s="20" t="n"/>
      <c r="R55" s="20" t="n"/>
      <c r="S55" s="20" t="n"/>
      <c r="T55" s="20" t="n"/>
      <c r="U55" s="20" t="n"/>
    </row>
    <row r="56">
      <c r="A56" s="20" t="n"/>
      <c r="B56" s="23" t="n"/>
      <c r="C56" s="111" t="n"/>
      <c r="D56" s="111" t="n"/>
      <c r="E56" s="111" t="n"/>
      <c r="F56" s="111" t="n"/>
      <c r="G56" s="111" t="n"/>
      <c r="H56" s="111" t="n"/>
      <c r="I56" s="111" t="n"/>
      <c r="J56" s="111" t="n"/>
      <c r="K56" s="112" t="n"/>
      <c r="L56" s="111" t="n"/>
      <c r="M56" s="20" t="n"/>
      <c r="N56" s="20" t="n"/>
      <c r="O56" s="20" t="n"/>
      <c r="P56" s="20" t="n"/>
      <c r="Q56" s="20" t="n"/>
      <c r="R56" s="20" t="n"/>
      <c r="S56" s="20" t="n"/>
      <c r="T56" s="20" t="n"/>
      <c r="U56" s="20" t="n"/>
    </row>
    <row r="57">
      <c r="A57" s="20" t="n"/>
      <c r="B57" s="23" t="n"/>
      <c r="C57" s="111" t="n"/>
      <c r="D57" s="111" t="n"/>
      <c r="E57" s="111" t="n"/>
      <c r="F57" s="111" t="n"/>
      <c r="G57" s="111" t="n"/>
      <c r="H57" s="111" t="n"/>
      <c r="I57" s="111" t="n"/>
      <c r="J57" s="111" t="n"/>
      <c r="K57" s="112" t="n"/>
      <c r="L57" s="111" t="n"/>
      <c r="M57" s="20" t="n"/>
      <c r="N57" s="20" t="n"/>
      <c r="O57" s="20" t="n"/>
      <c r="P57" s="20" t="n"/>
      <c r="Q57" s="20" t="n"/>
      <c r="R57" s="20" t="n"/>
      <c r="S57" s="20" t="n"/>
      <c r="T57" s="20" t="n"/>
      <c r="U57" s="20" t="n"/>
    </row>
    <row r="58">
      <c r="A58" s="20" t="n"/>
      <c r="B58" s="23" t="n"/>
      <c r="C58" s="111" t="n"/>
      <c r="D58" s="111" t="n"/>
      <c r="E58" s="111" t="n"/>
      <c r="F58" s="111" t="n"/>
      <c r="G58" s="111" t="n"/>
      <c r="H58" s="111" t="n"/>
      <c r="I58" s="111" t="n"/>
      <c r="J58" s="111" t="n"/>
      <c r="K58" s="112" t="n"/>
      <c r="L58" s="111" t="n"/>
      <c r="M58" s="20" t="n"/>
      <c r="N58" s="20" t="n"/>
      <c r="O58" s="20" t="n"/>
      <c r="P58" s="20" t="n"/>
      <c r="Q58" s="20" t="n"/>
      <c r="R58" s="20" t="n"/>
      <c r="S58" s="20" t="n"/>
      <c r="T58" s="20" t="n"/>
      <c r="U58" s="20" t="n"/>
    </row>
    <row r="59">
      <c r="A59" s="20" t="n"/>
      <c r="B59" s="23" t="n"/>
      <c r="C59" s="111" t="n"/>
      <c r="D59" s="111" t="n"/>
      <c r="E59" s="111" t="n"/>
      <c r="F59" s="111" t="n"/>
      <c r="G59" s="111" t="n"/>
      <c r="H59" s="111" t="n"/>
      <c r="I59" s="111" t="n"/>
      <c r="J59" s="111" t="n"/>
      <c r="K59" s="112" t="n"/>
      <c r="L59" s="111" t="n"/>
      <c r="M59" s="20" t="n"/>
      <c r="N59" s="20" t="n"/>
      <c r="O59" s="20" t="n"/>
      <c r="P59" s="20" t="n"/>
      <c r="Q59" s="20" t="n"/>
      <c r="R59" s="20" t="n"/>
      <c r="S59" s="20" t="n"/>
      <c r="T59" s="20" t="n"/>
      <c r="U59" s="20" t="n"/>
    </row>
    <row r="60">
      <c r="A60" s="20" t="n"/>
      <c r="B60" s="23" t="n"/>
      <c r="C60" s="111" t="n"/>
      <c r="D60" s="111" t="n"/>
      <c r="E60" s="111" t="n"/>
      <c r="F60" s="111" t="n"/>
      <c r="G60" s="111" t="n"/>
      <c r="H60" s="111" t="n"/>
      <c r="I60" s="111" t="n"/>
      <c r="J60" s="111" t="n"/>
      <c r="K60" s="112" t="n"/>
      <c r="L60" s="111" t="n"/>
      <c r="M60" s="20" t="n"/>
      <c r="N60" s="20" t="n"/>
      <c r="O60" s="20" t="n"/>
      <c r="P60" s="20" t="n"/>
      <c r="Q60" s="20" t="n"/>
      <c r="R60" s="20" t="n"/>
      <c r="S60" s="20" t="n"/>
      <c r="T60" s="20" t="n"/>
      <c r="U60" s="20" t="n"/>
    </row>
    <row r="61">
      <c r="A61" s="20" t="n"/>
      <c r="B61" s="23" t="n"/>
      <c r="C61" s="111" t="n"/>
      <c r="D61" s="111" t="n"/>
      <c r="E61" s="111" t="n"/>
      <c r="F61" s="111" t="n"/>
      <c r="G61" s="111" t="n"/>
      <c r="H61" s="111" t="n"/>
      <c r="I61" s="111" t="n"/>
      <c r="J61" s="111" t="n"/>
      <c r="K61" s="112" t="n"/>
      <c r="L61" s="111" t="n"/>
      <c r="M61" s="20" t="n"/>
      <c r="N61" s="20" t="n"/>
      <c r="O61" s="20" t="n"/>
      <c r="P61" s="20" t="n"/>
      <c r="Q61" s="20" t="n"/>
      <c r="R61" s="20" t="n"/>
      <c r="S61" s="20" t="n"/>
      <c r="T61" s="20" t="n"/>
      <c r="U61" s="20" t="n"/>
    </row>
    <row r="62">
      <c r="A62" s="20" t="n"/>
      <c r="B62" s="23" t="n"/>
      <c r="C62" s="111" t="n"/>
      <c r="D62" s="111" t="n"/>
      <c r="E62" s="111" t="n"/>
      <c r="F62" s="111" t="n"/>
      <c r="G62" s="111" t="n"/>
      <c r="H62" s="111" t="n"/>
      <c r="I62" s="111" t="n"/>
      <c r="J62" s="111" t="n"/>
      <c r="K62" s="112" t="n"/>
      <c r="L62" s="111" t="n"/>
      <c r="M62" s="20" t="n"/>
      <c r="N62" s="20" t="n"/>
      <c r="O62" s="20" t="n"/>
      <c r="P62" s="20" t="n"/>
      <c r="Q62" s="20" t="n"/>
      <c r="R62" s="20" t="n"/>
      <c r="S62" s="20" t="n"/>
      <c r="T62" s="20" t="n"/>
      <c r="U62" s="20" t="n"/>
    </row>
    <row r="63">
      <c r="A63" s="20" t="n"/>
      <c r="B63" s="23" t="n"/>
      <c r="C63" s="111" t="n"/>
      <c r="D63" s="111" t="n"/>
      <c r="E63" s="111" t="n"/>
      <c r="F63" s="111" t="n"/>
      <c r="G63" s="111" t="n"/>
      <c r="H63" s="111" t="n"/>
      <c r="I63" s="111" t="n"/>
      <c r="J63" s="111" t="n"/>
      <c r="K63" s="112" t="n"/>
      <c r="L63" s="111" t="n"/>
      <c r="M63" s="20" t="n"/>
      <c r="N63" s="20" t="n"/>
      <c r="O63" s="20" t="n"/>
      <c r="P63" s="20" t="n"/>
      <c r="Q63" s="20" t="n"/>
      <c r="R63" s="20" t="n"/>
      <c r="S63" s="20" t="n"/>
      <c r="T63" s="20" t="n"/>
      <c r="U63" s="20" t="n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>
  <sheetPr>
    <outlinePr summaryBelow="1" summaryRight="1"/>
    <pageSetUpPr/>
  </sheetPr>
  <dimension ref="B2:B2"/>
  <sheetViews>
    <sheetView workbookViewId="0">
      <selection activeCell="D2" sqref="D2"/>
    </sheetView>
  </sheetViews>
  <sheetFormatPr baseColWidth="8" defaultRowHeight="14.25"/>
  <cols>
    <col width="95.875" customWidth="1" min="2" max="2"/>
  </cols>
  <sheetData>
    <row r="2" ht="250.5" customHeight="1">
      <c r="B2" s="14" t="inlineStr">
        <is>
          <t>各位领导：
请查收04.07线索&amp;来店日报
【NEV线索】
车累计实绩71,863，累计达成率71.8%；当日实绩11,290，当日达成率76.9%
①NX8累计实绩20,559，累计达成率114.2%；当日实绩3,738，当日达成率141.3%
②N7累计实绩16,254，累计达成率71.1%；当日实绩2,942，当日达成率93.1%
③N6累计实绩16,809，累计达成率69.1%；当日实绩1,572，当日达成率47.0%
④天籁·鸿蒙座舱累计实绩18,241，累计达成率48.8%；当日实绩3,038，当日达成率59.6%
【十五代轩逸线索】
十五代轩逸累计实绩 7,080，累计达成率 25.8%；当日实绩 1,107，当日达成率 28.3%</t>
        </is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石嘉琪(Shi Jiaqi,UOC)(东风日产汽车销售有限公司用户运营中心市场支持科)</dc:creator>
  <dcterms:created xmlns:dcterms="http://purl.org/dc/terms/" xmlns:xsi="http://www.w3.org/2001/XMLSchema-instance" xsi:type="dcterms:W3CDTF">2015-06-05T18:19:00Z</dcterms:created>
  <dcterms:modified xmlns:dcterms="http://purl.org/dc/terms/" xmlns:xsi="http://www.w3.org/2001/XMLSchema-instance" xsi:type="dcterms:W3CDTF">2026-09-25T01:06:58Z</dcterms:modified>
  <cp:lastModifiedBy>梁承戈(东风日产数据服务有限公司数字营销部线索管理室)</cp:lastModifiedBy>
  <cp:keywords>1</cp:keywords>
</cp:coreProperties>
</file>

<file path=docProps/custom.xml><?xml version="1.0" encoding="utf-8"?>
<Properties xmlns="http://schemas.openxmlformats.org/officeDocument/2006/custom-properties">
  <property name="TrackVanish" fmtid="{D5CDD505-2E9C-101B-9397-08002B2CF9AE}" pid="2">
    <vt:lpwstr xmlns:vt="http://schemas.openxmlformats.org/officeDocument/2006/docPropsVTypes">{2095F861-62E7-4B80-8C19-B449212097E4}</vt:lpwstr>
  </property>
  <property name="DLPManualFileClassification" fmtid="{D5CDD505-2E9C-101B-9397-08002B2CF9AE}" pid="3">
    <vt:lpwstr xmlns:vt="http://schemas.openxmlformats.org/officeDocument/2006/docPropsVTypes">{2095F861-62E7-4B80-8C19-B449212097E4}</vt:lpwstr>
  </property>
  <property name="手动分类 2025/3/2 13:14:06" fmtid="{D5CDD505-2E9C-101B-9397-08002B2CF9AE}" pid="4">
    <vt:lpwstr xmlns:vt="http://schemas.openxmlformats.org/officeDocument/2006/docPropsVTypes">shijiaqi 设置标签级别为：工作秘密</vt:lpwstr>
  </property>
  <property name="ICV" fmtid="{D5CDD505-2E9C-101B-9397-08002B2CF9AE}" pid="5">
    <vt:lpwstr xmlns:vt="http://schemas.openxmlformats.org/officeDocument/2006/docPropsVTypes">49D61C371359494380BEC78D7EBA9A1D_13</vt:lpwstr>
  </property>
  <property name="KSOProductBuildVer" fmtid="{D5CDD505-2E9C-101B-9397-08002B2CF9AE}" pid="6">
    <vt:lpwstr xmlns:vt="http://schemas.openxmlformats.org/officeDocument/2006/docPropsVTypes">2052-12.1.0.24657</vt:lpwstr>
  </property>
  <property name="CalculationRule" fmtid="{D5CDD505-2E9C-101B-9397-08002B2CF9AE}" pid="7">
    <vt:i4 xmlns:vt="http://schemas.openxmlformats.org/officeDocument/2006/docPropsVTypes">0</vt:i4>
  </property>
</Properties>
</file>