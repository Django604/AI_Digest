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EB30CEE1-CFEC-403B-9E37-84C43277752E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9" i="3" l="1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X9" i="3" s="1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P9" i="3" s="1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H9" i="3" s="1"/>
  <c r="G6" i="3"/>
  <c r="G9" i="3" s="1"/>
  <c r="F6" i="3"/>
  <c r="F9" i="3" s="1"/>
  <c r="E6" i="3"/>
  <c r="E9" i="3" s="1"/>
  <c r="D6" i="3"/>
  <c r="D9" i="3" s="1"/>
  <c r="C6" i="3"/>
  <c r="C9" i="3" s="1"/>
  <c r="B6" i="3"/>
  <c r="B9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F7" i="3" s="1"/>
  <c r="C7" i="1"/>
  <c r="C5" i="1"/>
  <c r="C3" i="1"/>
  <c r="I2" i="1"/>
  <c r="I4" i="1" s="1"/>
  <c r="F2" i="1"/>
  <c r="F5" i="1" s="1"/>
  <c r="C2" i="1"/>
  <c r="C4" i="1" s="1"/>
  <c r="C1" i="1"/>
  <c r="F3" i="1" l="1"/>
  <c r="C6" i="1"/>
  <c r="I7" i="3"/>
  <c r="Q7" i="3"/>
  <c r="Y7" i="3"/>
  <c r="B8" i="3"/>
  <c r="B10" i="3" s="1"/>
  <c r="J8" i="3"/>
  <c r="J10" i="3" s="1"/>
  <c r="R8" i="3"/>
  <c r="R10" i="3" s="1"/>
  <c r="Z8" i="3"/>
  <c r="I3" i="1"/>
  <c r="F6" i="1"/>
  <c r="B7" i="3"/>
  <c r="J7" i="3"/>
  <c r="R7" i="3"/>
  <c r="Z7" i="3"/>
  <c r="C8" i="3"/>
  <c r="C10" i="3" s="1"/>
  <c r="K8" i="3"/>
  <c r="S8" i="3"/>
  <c r="AA8" i="3"/>
  <c r="I5" i="1"/>
  <c r="I6" i="1"/>
  <c r="C7" i="3"/>
  <c r="K7" i="3"/>
  <c r="S7" i="3"/>
  <c r="AA7" i="3"/>
  <c r="D8" i="3"/>
  <c r="L8" i="3"/>
  <c r="T8" i="3"/>
  <c r="AB8" i="3"/>
  <c r="AB10" i="3" s="1"/>
  <c r="F4" i="1"/>
  <c r="D7" i="3"/>
  <c r="L7" i="3"/>
  <c r="T7" i="3"/>
  <c r="AB7" i="3"/>
  <c r="E8" i="3"/>
  <c r="M8" i="3"/>
  <c r="U8" i="3"/>
  <c r="U10" i="3" s="1"/>
  <c r="AC8" i="3"/>
  <c r="AC10" i="3" s="1"/>
  <c r="E7" i="3"/>
  <c r="M7" i="3"/>
  <c r="U7" i="3"/>
  <c r="AC7" i="3"/>
  <c r="F8" i="3"/>
  <c r="N8" i="3"/>
  <c r="V8" i="3"/>
  <c r="V10" i="3" s="1"/>
  <c r="AD8" i="3"/>
  <c r="AD10" i="3" s="1"/>
  <c r="F7" i="3"/>
  <c r="N7" i="3"/>
  <c r="V7" i="3"/>
  <c r="AD7" i="3"/>
  <c r="G8" i="3"/>
  <c r="O8" i="3"/>
  <c r="W8" i="3"/>
  <c r="W10" i="3" s="1"/>
  <c r="AE8" i="3"/>
  <c r="AE10" i="3" s="1"/>
  <c r="G7" i="3"/>
  <c r="O7" i="3"/>
  <c r="W7" i="3"/>
  <c r="AE7" i="3"/>
  <c r="H8" i="3"/>
  <c r="H10" i="3" s="1"/>
  <c r="P8" i="3"/>
  <c r="X8" i="3"/>
  <c r="X10" i="3" s="1"/>
  <c r="AF8" i="3"/>
  <c r="AF10" i="3" s="1"/>
  <c r="H7" i="3"/>
  <c r="P7" i="3"/>
  <c r="X7" i="3"/>
  <c r="I8" i="3"/>
  <c r="I10" i="3" s="1"/>
  <c r="Q8" i="3"/>
  <c r="Q10" i="3" s="1"/>
  <c r="Y8" i="3"/>
  <c r="Y10" i="3" s="1"/>
  <c r="P10" i="3" l="1"/>
  <c r="O10" i="3"/>
  <c r="N10" i="3"/>
  <c r="M10" i="3"/>
  <c r="T10" i="3"/>
  <c r="G10" i="3"/>
  <c r="E10" i="3"/>
  <c r="L10" i="3"/>
  <c r="AA10" i="3"/>
  <c r="D10" i="3"/>
  <c r="S10" i="3"/>
  <c r="F10" i="3"/>
  <c r="K10" i="3"/>
  <c r="Z10" i="3"/>
</calcChain>
</file>

<file path=xl/sharedStrings.xml><?xml version="1.0" encoding="utf-8"?>
<sst xmlns="http://schemas.openxmlformats.org/spreadsheetml/2006/main" count="2527" uniqueCount="601">
  <si>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</si>
  <si>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</si>
  <si>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</si>
  <si>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</si>
  <si>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</si>
  <si>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</si>
  <si>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</si>
  <si>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</si>
  <si>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</si>
  <si>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日期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</si>
  <si>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</si>
  <si>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</si>
  <si>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</si>
  <si>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</si>
  <si>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</si>
  <si>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</si>
  <si>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</si>
  <si>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</si>
  <si>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</si>
  <si>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</si>
  <si>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</si>
  <si>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</si>
  <si>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合计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</si>
  <si>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</si>
  <si>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</si>
  <si>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</si>
  <si>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</si>
  <si>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</si>
  <si>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</si>
  <si>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</si>
  <si>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</si>
  <si>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</si>
  <si>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</si>
  <si>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N7</t>
  </si>
  <si>
    <t>N6</t>
  </si>
  <si>
    <t>天籁·鸿蒙座舱</t>
  </si>
  <si>
    <t>NX8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</si>
  <si>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</si>
  <si>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</si>
  <si>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</si>
  <si>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</si>
  <si>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</si>
  <si>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</si>
  <si>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</si>
  <si>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</si>
  <si>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</si>
  <si>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</si>
  <si>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</si>
  <si>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</si>
  <si>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</si>
  <si>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</si>
  <si>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</si>
  <si>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</si>
  <si>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</si>
  <si>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</si>
  <si>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</si>
  <si>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</si>
  <si>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</si>
  <si>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</si>
  <si>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</si>
  <si>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</si>
  <si>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</si>
  <si>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</si>
  <si>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</si>
  <si>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</si>
  <si>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</si>
  <si>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</si>
  <si>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</si>
  <si>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</si>
  <si>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</si>
  <si>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</si>
  <si>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</si>
  <si>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</si>
  <si>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</si>
  <si>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</si>
  <si>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</si>
  <si>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</si>
  <si>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</si>
  <si>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</si>
  <si>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</si>
  <si>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</si>
  <si>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</si>
  <si>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</si>
  <si>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</si>
  <si>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</si>
  <si>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</si>
  <si>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</si>
  <si>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</si>
  <si>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</si>
  <si>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</si>
  <si>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</si>
  <si>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</si>
  <si>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</si>
  <si>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</si>
  <si>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</si>
  <si>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</si>
  <si>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</si>
  <si>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</si>
  <si>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</si>
  <si>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</si>
  <si>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</si>
  <si>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</si>
  <si>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</si>
  <si>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</si>
  <si>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</si>
  <si>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</si>
  <si>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</si>
  <si>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</si>
  <si>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</si>
  <si>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</si>
  <si>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</si>
  <si>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</si>
  <si>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</si>
  <si>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</si>
  <si>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</si>
  <si>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</si>
  <si>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</si>
  <si>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</si>
  <si>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</si>
  <si>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</si>
  <si>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</si>
  <si>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</si>
  <si>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</si>
  <si>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</si>
  <si>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</si>
  <si>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</si>
  <si>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</si>
  <si>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</si>
  <si>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</si>
  <si>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</si>
  <si>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</si>
  <si>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72.37%</t>
  </si>
  <si>
    <t>6.75%</t>
  </si>
  <si>
    <t>3.25%</t>
  </si>
  <si>
    <t>36.47%</t>
  </si>
  <si>
    <t>2.46%</t>
  </si>
  <si>
    <t>4.88%</t>
  </si>
  <si>
    <t>2.35%</t>
  </si>
  <si>
    <t>1.78%</t>
  </si>
  <si>
    <t>41.22%</t>
  </si>
  <si>
    <t>2</t>
  </si>
  <si>
    <t>64.09%</t>
  </si>
  <si>
    <t>8.30%</t>
  </si>
  <si>
    <t>2.51%</t>
  </si>
  <si>
    <t>4.74%</t>
  </si>
  <si>
    <t>0.39%</t>
  </si>
  <si>
    <t>5.32%</t>
  </si>
  <si>
    <t>1.61%</t>
  </si>
  <si>
    <t>0.25%</t>
  </si>
  <si>
    <t>20.78%</t>
  </si>
  <si>
    <t>3</t>
  </si>
  <si>
    <t>65.03%</t>
  </si>
  <si>
    <t>10.11%</t>
  </si>
  <si>
    <t>2.83%</t>
  </si>
  <si>
    <t>6.35%</t>
  </si>
  <si>
    <t>0.64%</t>
  </si>
  <si>
    <t>6.58%</t>
  </si>
  <si>
    <t>1.84%</t>
  </si>
  <si>
    <t>0.42%</t>
  </si>
  <si>
    <t>29.62%</t>
  </si>
  <si>
    <t>4</t>
  </si>
  <si>
    <t>63.04%</t>
  </si>
  <si>
    <t>9.42%</t>
  </si>
  <si>
    <t>3.72%</t>
  </si>
  <si>
    <t>8.18%</t>
  </si>
  <si>
    <t>0.77%</t>
  </si>
  <si>
    <t>5.94%</t>
  </si>
  <si>
    <t>0.49%</t>
  </si>
  <si>
    <t>39.88%</t>
  </si>
  <si>
    <t>5</t>
  </si>
  <si>
    <t>66.44%</t>
  </si>
  <si>
    <t>10.08%</t>
  </si>
  <si>
    <t>5.66%</t>
  </si>
  <si>
    <t>8.02%</t>
  </si>
  <si>
    <t>0.81%</t>
  </si>
  <si>
    <t>6.70%</t>
  </si>
  <si>
    <t>3.76%</t>
  </si>
  <si>
    <t>0.54%</t>
  </si>
  <si>
    <t>34.32%</t>
  </si>
  <si>
    <t>6</t>
  </si>
  <si>
    <t>63.88%</t>
  </si>
  <si>
    <t>16.45%</t>
  </si>
  <si>
    <t>11.71%</t>
  </si>
  <si>
    <t>17.18%</t>
  </si>
  <si>
    <t>10.51%</t>
  </si>
  <si>
    <t>7.48%</t>
  </si>
  <si>
    <t>1.80%</t>
  </si>
  <si>
    <t>65.49%</t>
  </si>
  <si>
    <t>7</t>
  </si>
  <si>
    <t>68.02%</t>
  </si>
  <si>
    <t>13.45%</t>
  </si>
  <si>
    <t>12.97%</t>
  </si>
  <si>
    <t>64.17%</t>
  </si>
  <si>
    <t>8.63%</t>
  </si>
  <si>
    <t>9.15%</t>
  </si>
  <si>
    <t>8.82%</t>
  </si>
  <si>
    <t>5.87%</t>
  </si>
  <si>
    <t>76.94%</t>
  </si>
  <si>
    <t>8</t>
  </si>
  <si>
    <t>67.57%</t>
  </si>
  <si>
    <t>12.12%</t>
  </si>
  <si>
    <t>13.46%</t>
  </si>
  <si>
    <t>234.36%</t>
  </si>
  <si>
    <t>28.42%</t>
  </si>
  <si>
    <t>8.19%</t>
  </si>
  <si>
    <t>9.10%</t>
  </si>
  <si>
    <t>19.20%</t>
  </si>
  <si>
    <t>73.36%</t>
  </si>
  <si>
    <t>9</t>
  </si>
  <si>
    <t>67.39%</t>
  </si>
  <si>
    <t>4.14%</t>
  </si>
  <si>
    <t>1.21%</t>
  </si>
  <si>
    <t>7.16%</t>
  </si>
  <si>
    <t>0.30%</t>
  </si>
  <si>
    <t>2.79%</t>
  </si>
  <si>
    <t>0.20%</t>
  </si>
  <si>
    <t>7.86%</t>
  </si>
  <si>
    <t>10</t>
  </si>
  <si>
    <t>66.39%</t>
  </si>
  <si>
    <t>3.93%</t>
  </si>
  <si>
    <t>0.60%</t>
  </si>
  <si>
    <t>2.41%</t>
  </si>
  <si>
    <t>0.09%</t>
  </si>
  <si>
    <t>2.61%</t>
  </si>
  <si>
    <t>0.40%</t>
  </si>
  <si>
    <t>0.06%</t>
  </si>
  <si>
    <t>3.63%</t>
  </si>
  <si>
    <t>11</t>
  </si>
  <si>
    <t>66.42%</t>
  </si>
  <si>
    <t>4.82%</t>
  </si>
  <si>
    <t>0.72%</t>
  </si>
  <si>
    <t>2.02%</t>
  </si>
  <si>
    <t>0.10%</t>
  </si>
  <si>
    <t>3.20%</t>
  </si>
  <si>
    <t>0.48%</t>
  </si>
  <si>
    <t>6.22%</t>
  </si>
  <si>
    <t>12</t>
  </si>
  <si>
    <t>68.06%</t>
  </si>
  <si>
    <t>5.98%</t>
  </si>
  <si>
    <t>3.12%</t>
  </si>
  <si>
    <t>7.42%</t>
  </si>
  <si>
    <t>0.44%</t>
  </si>
  <si>
    <t>4.07%</t>
  </si>
  <si>
    <t>2.12%</t>
  </si>
  <si>
    <t>13.62%</t>
  </si>
  <si>
    <t>13</t>
  </si>
  <si>
    <t>68.10%</t>
  </si>
  <si>
    <t>4.35%</t>
  </si>
  <si>
    <t>1.62%</t>
  </si>
  <si>
    <t>4.17%</t>
  </si>
  <si>
    <t>0.18%</t>
  </si>
  <si>
    <t>2.96%</t>
  </si>
  <si>
    <t>1.11%</t>
  </si>
  <si>
    <t>0.12%</t>
  </si>
  <si>
    <t>5.44%</t>
  </si>
  <si>
    <t>14</t>
  </si>
  <si>
    <t>68.64%</t>
  </si>
  <si>
    <t>4.36%</t>
  </si>
  <si>
    <t>1.05%</t>
  </si>
  <si>
    <t>8.67%</t>
  </si>
  <si>
    <t>0.38%</t>
  </si>
  <si>
    <t>2.99%</t>
  </si>
  <si>
    <t>0.26%</t>
  </si>
  <si>
    <t>13.40%</t>
  </si>
  <si>
    <t>15</t>
  </si>
  <si>
    <t>69.04%</t>
  </si>
  <si>
    <t>3.21%</t>
  </si>
  <si>
    <t>0.97%</t>
  </si>
  <si>
    <t>8.08%</t>
  </si>
  <si>
    <t>2.22%</t>
  </si>
  <si>
    <t>0.67%</t>
  </si>
  <si>
    <t>10.46%</t>
  </si>
  <si>
    <t>16</t>
  </si>
  <si>
    <t>69.58%</t>
  </si>
  <si>
    <t>3.56%</t>
  </si>
  <si>
    <t>0.84%</t>
  </si>
  <si>
    <t>18.23%</t>
  </si>
  <si>
    <t>0.65%</t>
  </si>
  <si>
    <t>2.47%</t>
  </si>
  <si>
    <t>0.59%</t>
  </si>
  <si>
    <t>0.45%</t>
  </si>
  <si>
    <t>14.64%</t>
  </si>
  <si>
    <t>17</t>
  </si>
  <si>
    <t>70.04%</t>
  </si>
  <si>
    <t>5.62%</t>
  </si>
  <si>
    <t>6.48%</t>
  </si>
  <si>
    <t>0.36%</t>
  </si>
  <si>
    <t>11.96%</t>
  </si>
  <si>
    <t>18</t>
  </si>
  <si>
    <t>71.00%</t>
  </si>
  <si>
    <t>6.19%</t>
  </si>
  <si>
    <t>1.13%</t>
  </si>
  <si>
    <t>1.75%</t>
  </si>
  <si>
    <t>0.11%</t>
  </si>
  <si>
    <t>4.39%</t>
  </si>
  <si>
    <t>0.80%</t>
  </si>
  <si>
    <t>0.08%</t>
  </si>
  <si>
    <t>19</t>
  </si>
  <si>
    <t>71.88%</t>
  </si>
  <si>
    <t>4.12%</t>
  </si>
  <si>
    <t>1.20%</t>
  </si>
  <si>
    <t>7.49%</t>
  </si>
  <si>
    <t>0.31%</t>
  </si>
  <si>
    <t>0.87%</t>
  </si>
  <si>
    <t>0.22%</t>
  </si>
  <si>
    <t>10.74%</t>
  </si>
  <si>
    <t>20</t>
  </si>
  <si>
    <t>72.78%</t>
  </si>
  <si>
    <t>4.44%</t>
  </si>
  <si>
    <t>1.40%</t>
  </si>
  <si>
    <t>2.75%</t>
  </si>
  <si>
    <t>3.23%</t>
  </si>
  <si>
    <t>1.02%</t>
  </si>
  <si>
    <t>5.03%</t>
  </si>
  <si>
    <t>21</t>
  </si>
  <si>
    <t>74.21%</t>
  </si>
  <si>
    <t>3.75%</t>
  </si>
  <si>
    <t>1.27%</t>
  </si>
  <si>
    <t>20.35%</t>
  </si>
  <si>
    <t>0.76%</t>
  </si>
  <si>
    <t>0.94%</t>
  </si>
  <si>
    <t>0.57%</t>
  </si>
  <si>
    <t>20.13%</t>
  </si>
  <si>
    <t>22</t>
  </si>
  <si>
    <t>74.82%</t>
  </si>
  <si>
    <t>3.94%</t>
  </si>
  <si>
    <t>1.37%</t>
  </si>
  <si>
    <t>16.56%</t>
  </si>
  <si>
    <t>2.95%</t>
  </si>
  <si>
    <t>19.46%</t>
  </si>
  <si>
    <t>23</t>
  </si>
  <si>
    <t>74.76%</t>
  </si>
  <si>
    <t>3.06%</t>
  </si>
  <si>
    <t>0.98%</t>
  </si>
  <si>
    <t>9.95%</t>
  </si>
  <si>
    <t>2.29%</t>
  </si>
  <si>
    <t>0.74%</t>
  </si>
  <si>
    <t>0.23%</t>
  </si>
  <si>
    <t>8.98%</t>
  </si>
  <si>
    <t>24</t>
  </si>
  <si>
    <t>76.16%</t>
  </si>
  <si>
    <t>5.24%</t>
  </si>
  <si>
    <t>16.95%</t>
  </si>
  <si>
    <t>0.89%</t>
  </si>
  <si>
    <t>3.99%</t>
  </si>
  <si>
    <t>0.61%</t>
  </si>
  <si>
    <t>0.68%</t>
  </si>
  <si>
    <t>26.25%</t>
  </si>
  <si>
    <t>25</t>
  </si>
  <si>
    <t>77.44%</t>
  </si>
  <si>
    <t>6.60%</t>
  </si>
  <si>
    <t>1.09%</t>
  </si>
  <si>
    <t>10.38%</t>
  </si>
  <si>
    <t>0.69%</t>
  </si>
  <si>
    <t>5.11%</t>
  </si>
  <si>
    <t>0.85%</t>
  </si>
  <si>
    <t>0.53%</t>
  </si>
  <si>
    <t>26.92%</t>
  </si>
  <si>
    <t>26</t>
  </si>
  <si>
    <t>78.73%</t>
  </si>
  <si>
    <t>5.57%</t>
  </si>
  <si>
    <t>1.70%</t>
  </si>
  <si>
    <t>16.93%</t>
  </si>
  <si>
    <t>1.34%</t>
  </si>
  <si>
    <t>23.66%</t>
  </si>
  <si>
    <t>27</t>
  </si>
  <si>
    <t>79.51%</t>
  </si>
  <si>
    <t>4.92%</t>
  </si>
  <si>
    <t>1.19%</t>
  </si>
  <si>
    <t>32.92%</t>
  </si>
  <si>
    <t>3.91%</t>
  </si>
  <si>
    <t>0.95%</t>
  </si>
  <si>
    <t>1.29%</t>
  </si>
  <si>
    <t>30.57%</t>
  </si>
  <si>
    <t>28</t>
  </si>
  <si>
    <t>82.49%</t>
  </si>
  <si>
    <t>4.78%</t>
  </si>
  <si>
    <t>2.33%</t>
  </si>
  <si>
    <t>27.34%</t>
  </si>
  <si>
    <t>1.31%</t>
  </si>
  <si>
    <t>1.92%</t>
  </si>
  <si>
    <t>1.08%</t>
  </si>
  <si>
    <t>28.24%</t>
  </si>
  <si>
    <t>29</t>
  </si>
  <si>
    <t>83.73%</t>
  </si>
  <si>
    <t>5.28%</t>
  </si>
  <si>
    <t>3.34%</t>
  </si>
  <si>
    <t>44.71%</t>
  </si>
  <si>
    <t>2.36%</t>
  </si>
  <si>
    <t>4.42%</t>
  </si>
  <si>
    <t>1.98%</t>
  </si>
  <si>
    <t>36.23%</t>
  </si>
  <si>
    <t>30</t>
  </si>
  <si>
    <t>85.91%</t>
  </si>
  <si>
    <t>5.43%</t>
  </si>
  <si>
    <t>3.13%</t>
  </si>
  <si>
    <t>62.10%</t>
  </si>
  <si>
    <t>3.37%</t>
  </si>
  <si>
    <t>4.66%</t>
  </si>
  <si>
    <t>2.68%</t>
  </si>
  <si>
    <t>2.90%</t>
  </si>
  <si>
    <t>33.95%</t>
  </si>
  <si>
    <t>31</t>
  </si>
  <si>
    <t>86.61%</t>
  </si>
  <si>
    <t>12.09%</t>
  </si>
  <si>
    <t>7.54%</t>
  </si>
  <si>
    <t>65.83%</t>
  </si>
  <si>
    <t>7.96%</t>
  </si>
  <si>
    <t>10.47%</t>
  </si>
  <si>
    <t>6.53%</t>
  </si>
  <si>
    <t>6.89%</t>
  </si>
  <si>
    <t>42.21%</t>
  </si>
  <si>
    <t>32</t>
  </si>
  <si>
    <t>89.82%</t>
  </si>
  <si>
    <t>9.79%</t>
  </si>
  <si>
    <t>6.33%</t>
  </si>
  <si>
    <t>116.78%</t>
  </si>
  <si>
    <t>11.43%</t>
  </si>
  <si>
    <t>8.79%</t>
  </si>
  <si>
    <t>5.68%</t>
  </si>
  <si>
    <t>10.27%</t>
  </si>
  <si>
    <t>43.38%</t>
  </si>
  <si>
    <t>33</t>
  </si>
  <si>
    <t>92.86%</t>
  </si>
  <si>
    <t>2.49%</t>
  </si>
  <si>
    <t>0.03%</t>
  </si>
  <si>
    <t>2.31%</t>
  </si>
  <si>
    <t>0.24%</t>
  </si>
  <si>
    <t>2.09%</t>
  </si>
  <si>
    <t>71.55%</t>
  </si>
  <si>
    <t>4.27%</t>
  </si>
  <si>
    <t>1.86%</t>
  </si>
  <si>
    <t>33.75%</t>
  </si>
  <si>
    <t>1.44%</t>
  </si>
  <si>
    <t>1.33%</t>
  </si>
  <si>
    <t>1.03%</t>
  </si>
  <si>
    <t>1.87%</t>
  </si>
  <si>
    <t>0.00%</t>
  </si>
  <si>
    <t>64.23%</t>
  </si>
  <si>
    <t>4.97%</t>
  </si>
  <si>
    <t>6.98%</t>
  </si>
  <si>
    <t>0.35%</t>
  </si>
  <si>
    <t>3.19%</t>
  </si>
  <si>
    <t>0.56%</t>
  </si>
  <si>
    <t>1.63%</t>
  </si>
  <si>
    <t>58.47%</t>
  </si>
  <si>
    <t>7.13%</t>
  </si>
  <si>
    <t>4.03%</t>
  </si>
  <si>
    <t>2.78%</t>
  </si>
  <si>
    <t>0.93%</t>
  </si>
  <si>
    <t>64.26%</t>
  </si>
  <si>
    <t>6.39%</t>
  </si>
  <si>
    <t>3.53%</t>
  </si>
  <si>
    <t>3.88%</t>
  </si>
  <si>
    <t>4.10%</t>
  </si>
  <si>
    <t>2.27%</t>
  </si>
  <si>
    <t>0.16%</t>
  </si>
  <si>
    <t>0.99%</t>
  </si>
  <si>
    <t>57.18%</t>
  </si>
  <si>
    <t>5.20%</t>
  </si>
  <si>
    <t>2.50%</t>
  </si>
  <si>
    <t>45.45%</t>
  </si>
  <si>
    <t>2.97%</t>
  </si>
  <si>
    <t>1.43%</t>
  </si>
  <si>
    <t>1.35%</t>
  </si>
  <si>
    <t>66.34%</t>
  </si>
  <si>
    <t>7.33%</t>
  </si>
  <si>
    <t>43.01%</t>
  </si>
  <si>
    <t>3.45%</t>
  </si>
  <si>
    <t>4.87%</t>
  </si>
  <si>
    <t>2.58%</t>
  </si>
  <si>
    <t>72.33%</t>
  </si>
  <si>
    <t>3.51%</t>
  </si>
  <si>
    <t>289.13%</t>
  </si>
  <si>
    <t>10.85%</t>
  </si>
  <si>
    <t>2.71%</t>
  </si>
  <si>
    <t>2.54%</t>
  </si>
  <si>
    <t>7.85%</t>
  </si>
  <si>
    <t>2.74%</t>
  </si>
  <si>
    <t>68.87%</t>
  </si>
  <si>
    <t>2.25%</t>
  </si>
  <si>
    <t>3.70%</t>
  </si>
  <si>
    <t>1.55%</t>
  </si>
  <si>
    <t>0.29%</t>
  </si>
  <si>
    <t>0.21%</t>
  </si>
  <si>
    <t>69.28%</t>
  </si>
  <si>
    <t>1.64%</t>
  </si>
  <si>
    <t>5.00%</t>
  </si>
  <si>
    <t>1.14%</t>
  </si>
  <si>
    <t>0.34%</t>
  </si>
  <si>
    <t>64.47%</t>
  </si>
  <si>
    <t>3.64%</t>
  </si>
  <si>
    <t>2.34%</t>
  </si>
  <si>
    <t>0.07%</t>
  </si>
  <si>
    <t>69.72%</t>
  </si>
  <si>
    <t>4.21%</t>
  </si>
  <si>
    <t>2.94%</t>
  </si>
  <si>
    <t>1.89%</t>
  </si>
  <si>
    <t>70.61%</t>
  </si>
  <si>
    <t>3.57%</t>
  </si>
  <si>
    <t>2.43%</t>
  </si>
  <si>
    <t>74.12%</t>
  </si>
  <si>
    <t>0.79%</t>
  </si>
  <si>
    <t>10.53%</t>
  </si>
  <si>
    <t>1.85%</t>
  </si>
  <si>
    <t>0.58%</t>
  </si>
  <si>
    <t>0.19%</t>
  </si>
  <si>
    <t>68.29%</t>
  </si>
  <si>
    <t>1.41%</t>
  </si>
  <si>
    <t>0.27%</t>
  </si>
  <si>
    <t>4.76%</t>
  </si>
  <si>
    <t>0.96%</t>
  </si>
  <si>
    <t>0.05%</t>
  </si>
  <si>
    <t>0.33%</t>
  </si>
  <si>
    <t>71.60%</t>
  </si>
  <si>
    <t>1.71%</t>
  </si>
  <si>
    <t>0.70%</t>
  </si>
  <si>
    <t>47.06%</t>
  </si>
  <si>
    <t>1.22%</t>
  </si>
  <si>
    <t>0.50%</t>
  </si>
  <si>
    <t>1.54%</t>
  </si>
  <si>
    <t>70.80%</t>
  </si>
  <si>
    <t>14.29%</t>
  </si>
  <si>
    <t>2.21%</t>
  </si>
  <si>
    <t>0.47%</t>
  </si>
  <si>
    <t>0.32%</t>
  </si>
  <si>
    <t>74.23%</t>
  </si>
  <si>
    <t>2.07%</t>
  </si>
  <si>
    <t>76.79%</t>
  </si>
  <si>
    <t>3.22%</t>
  </si>
  <si>
    <t>0.46%</t>
  </si>
  <si>
    <t>75.60%</t>
  </si>
  <si>
    <t>3.43%</t>
  </si>
  <si>
    <t>-12.00%</t>
  </si>
  <si>
    <t>-0.41%</t>
  </si>
  <si>
    <t>2.60%</t>
  </si>
  <si>
    <t>0.73%</t>
  </si>
  <si>
    <t>-0.31%</t>
  </si>
  <si>
    <t>-0.94%</t>
  </si>
  <si>
    <t>76.10%</t>
  </si>
  <si>
    <t>2.23%</t>
  </si>
  <si>
    <t>20.00%</t>
  </si>
  <si>
    <t>77.30%</t>
  </si>
  <si>
    <t>3.60%</t>
  </si>
  <si>
    <t>0.13%</t>
  </si>
  <si>
    <t>79.12%</t>
  </si>
  <si>
    <t>1.49%</t>
  </si>
  <si>
    <t>0.43%</t>
  </si>
  <si>
    <t>77.35%</t>
  </si>
  <si>
    <t>3.69%</t>
  </si>
  <si>
    <t>22.58%</t>
  </si>
  <si>
    <t>0.83%</t>
  </si>
  <si>
    <t>2.85%</t>
  </si>
  <si>
    <t>0.28%</t>
  </si>
  <si>
    <t>1.67%</t>
  </si>
  <si>
    <t>79.59%</t>
  </si>
  <si>
    <t>5.25%</t>
  </si>
  <si>
    <t>4.18%</t>
  </si>
  <si>
    <t>79.73%</t>
  </si>
  <si>
    <t>12.90%</t>
  </si>
  <si>
    <t>2.18%</t>
  </si>
  <si>
    <t>0.63%</t>
  </si>
  <si>
    <t>81.23%</t>
  </si>
  <si>
    <t>3.83%</t>
  </si>
  <si>
    <t>0.88%</t>
  </si>
  <si>
    <t>17.95%</t>
  </si>
  <si>
    <t>85.41%</t>
  </si>
  <si>
    <t>4.30%</t>
  </si>
  <si>
    <t>2.24%</t>
  </si>
  <si>
    <t>21.74%</t>
  </si>
  <si>
    <t>3.67%</t>
  </si>
  <si>
    <t>1.91%</t>
  </si>
  <si>
    <t>87.35%</t>
  </si>
  <si>
    <t>2.56%</t>
  </si>
  <si>
    <t>1.48%</t>
  </si>
  <si>
    <t>57.69%</t>
  </si>
  <si>
    <t>85.34%</t>
  </si>
  <si>
    <t>5.85%</t>
  </si>
  <si>
    <t>3.44%</t>
  </si>
  <si>
    <t>45.65%</t>
  </si>
  <si>
    <t>2.67%</t>
  </si>
  <si>
    <t>4.99%</t>
  </si>
  <si>
    <t>2.93%</t>
  </si>
  <si>
    <t>2.28%</t>
  </si>
  <si>
    <t>87.32%</t>
  </si>
  <si>
    <t>6.37%</t>
  </si>
  <si>
    <t>56.52%</t>
  </si>
  <si>
    <t>7.68%</t>
  </si>
  <si>
    <t>5.56%</t>
  </si>
  <si>
    <t>4.34%</t>
  </si>
  <si>
    <t>88.04%</t>
  </si>
  <si>
    <t>13.59%</t>
  </si>
  <si>
    <t>9.29%</t>
  </si>
  <si>
    <t>117.09%</t>
  </si>
  <si>
    <t>15.91%</t>
  </si>
  <si>
    <t>14.01%</t>
  </si>
  <si>
    <t>3.42%</t>
  </si>
  <si>
    <t>90.98%</t>
  </si>
  <si>
    <t>3.15%</t>
  </si>
  <si>
    <t>2.87%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</si>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</sst>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#0.0%"/>
    <numFmt numFmtId="179" formatCode="#0.00%"/>
    <numFmt numFmtId="180" formatCode="#0"/>
    <numFmt numFmtId="181" formatCode="0_ "/>
    <numFmt numFmtId="182" formatCode="0.0_ "/>
    <numFmt numFmtId="183" formatCode="[$-F800]dddd\,\ mmmm\ dd\,\ yyyy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9"/>
      <name val="等线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83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52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183" fontId="6" fillId="5" borderId="10" xfId="8" applyNumberFormat="1" applyFill="1" applyBorder="1" applyAlignment="1">
      <alignment horizontal="center" vertical="center"/>
    </xf>
    <xf numFmtId="0" fontId="6" fillId="5" borderId="10" xfId="8" applyFill="1" applyBorder="1" applyAlignment="1">
      <alignment horizontal="center" vertical="center"/>
    </xf>
    <xf numFmtId="0" fontId="6" fillId="0" borderId="10" xfId="8" applyBorder="1" applyAlignment="1">
      <alignment horizontal="center" vertical="center"/>
    </xf>
    <xf numFmtId="0" fontId="6" fillId="4" borderId="10" xfId="8" applyFill="1" applyBorder="1" applyAlignment="1">
      <alignment horizontal="center" vertical="center"/>
    </xf>
    <xf numFmtId="0" fontId="6" fillId="0" borderId="0" xfId="8" applyAlignment="1">
      <alignment horizontal="center"/>
    </xf>
    <xf numFmtId="183" fontId="6" fillId="0" borderId="10" xfId="8" applyNumberFormat="1" applyBorder="1" applyAlignment="1">
      <alignment horizontal="center"/>
    </xf>
    <xf numFmtId="31" fontId="6" fillId="0" borderId="10" xfId="8" applyNumberFormat="1" applyBorder="1" applyAlignment="1">
      <alignment horizontal="center"/>
    </xf>
    <xf numFmtId="1" fontId="8" fillId="0" borderId="10" xfId="3" applyNumberFormat="1" applyFont="1" applyBorder="1" applyAlignment="1">
      <alignment horizontal="center" vertical="center" wrapText="1"/>
    </xf>
    <xf numFmtId="1" fontId="8" fillId="4" borderId="10" xfId="3" applyNumberFormat="1" applyFont="1" applyFill="1" applyBorder="1" applyAlignment="1">
      <alignment horizontal="center" vertical="center" wrapText="1"/>
    </xf>
    <xf numFmtId="1" fontId="6" fillId="0" borderId="10" xfId="8" applyNumberFormat="1" applyBorder="1" applyAlignment="1">
      <alignment horizontal="center"/>
    </xf>
    <xf numFmtId="1" fontId="6" fillId="4" borderId="10" xfId="8" applyNumberFormat="1" applyFill="1" applyBorder="1" applyAlignment="1">
      <alignment horizontal="center"/>
    </xf>
    <xf numFmtId="0" fontId="6" fillId="0" borderId="10" xfId="8" applyBorder="1" applyAlignment="1">
      <alignment horizontal="center"/>
    </xf>
    <xf numFmtId="0" fontId="6" fillId="0" borderId="10" xfId="9" applyBorder="1" applyAlignment="1">
      <alignment horizontal="center" vertical="center"/>
    </xf>
    <xf numFmtId="1" fontId="2" fillId="0" borderId="10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183" fontId="6" fillId="0" borderId="0" xfId="8" applyNumberFormat="1" applyAlignment="1">
      <alignment horizontal="center"/>
    </xf>
    <xf numFmtId="0" fontId="11" fillId="6" borderId="11" xfId="0" applyFont="1" applyFill="1" applyBorder="1" applyAlignment="1">
      <alignment horizontal="center" vertical="center" wrapText="1"/>
    </xf>
    <xf numFmtId="0" fontId="12" fillId="6" borderId="11" xfId="0" applyFont="1" applyFill="1" applyBorder="1" applyAlignment="1">
      <alignment horizontal="center" vertical="center" wrapText="1"/>
    </xf>
    <xf numFmtId="0" fontId="14" fillId="7" borderId="11" xfId="0" applyFont="1" applyFill="1" applyBorder="1" applyAlignment="1">
      <alignment horizontal="center" vertical="center" wrapText="1"/>
    </xf>
    <xf numFmtId="178" fontId="14" fillId="7" borderId="11" xfId="0" applyNumberFormat="1" applyFont="1" applyFill="1" applyBorder="1" applyAlignment="1">
      <alignment horizontal="center" vertical="center" wrapText="1"/>
    </xf>
    <xf numFmtId="178" fontId="15" fillId="0" borderId="11" xfId="0" applyNumberFormat="1" applyFont="1" applyBorder="1" applyAlignment="1">
      <alignment horizontal="center" vertical="center" wrapText="1"/>
    </xf>
    <xf numFmtId="179" fontId="14" fillId="7" borderId="11" xfId="0" applyNumberFormat="1" applyFont="1" applyFill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180" fontId="14" fillId="7" borderId="11" xfId="0" applyNumberFormat="1" applyFont="1" applyFill="1" applyBorder="1" applyAlignment="1">
      <alignment horizontal="center" vertical="center" wrapText="1"/>
    </xf>
    <xf numFmtId="14" fontId="15" fillId="0" borderId="11" xfId="0" applyNumberFormat="1" applyFont="1" applyBorder="1" applyAlignment="1">
      <alignment horizontal="center" vertical="center" wrapText="1"/>
    </xf>
    <xf numFmtId="0" fontId="16" fillId="3" borderId="15" xfId="0" applyFont="1" applyFill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181" fontId="17" fillId="0" borderId="15" xfId="0" applyNumberFormat="1" applyFont="1" applyBorder="1" applyAlignment="1">
      <alignment horizontal="center" vertical="center"/>
    </xf>
    <xf numFmtId="182" fontId="17" fillId="0" borderId="15" xfId="0" applyNumberFormat="1" applyFont="1" applyBorder="1" applyAlignment="1">
      <alignment horizontal="center" vertical="center"/>
    </xf>
    <xf numFmtId="14" fontId="17" fillId="0" borderId="15" xfId="0" applyNumberFormat="1" applyFont="1" applyBorder="1" applyAlignment="1">
      <alignment horizontal="center" vertical="center"/>
    </xf>
    <xf numFmtId="0" fontId="11" fillId="6" borderId="11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13" fillId="0" borderId="11" xfId="0" applyFont="1" applyBorder="1" applyAlignment="1">
      <alignment horizontal="center" vertical="center" wrapText="1"/>
    </xf>
    <xf numFmtId="0" fontId="0" fillId="0" borderId="14" xfId="0" applyBorder="1"/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AC-45B7-A24A-679E065F8C64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AC-45B7-A24A-679E065F8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AC-45B7-A24A-679E065F8C64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AC-45B7-A24A-679E065F8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0</v>
      </c>
      <c r="C1" s="11">
        <f ca="1">TODAY()</f>
        <v>46175</v>
      </c>
    </row>
    <row r="2" spans="2:9">
      <c r="B2" s="1" t="s">
        <v>1</v>
      </c>
      <c r="C2" s="8">
        <f ca="1">C1-1</f>
        <v>46174</v>
      </c>
      <c r="E2" s="1" t="s">
        <v>2</v>
      </c>
      <c r="F2" s="2">
        <f ca="1">EDATE(C2,-1)</f>
        <v>46143</v>
      </c>
      <c r="H2" s="1" t="s">
        <v>3</v>
      </c>
      <c r="I2" s="2">
        <f ca="1">EDATE(C2,-12)</f>
        <v>45809</v>
      </c>
    </row>
    <row r="3" spans="2:9">
      <c r="B3" s="3" t="s">
        <v>4</v>
      </c>
      <c r="C3" s="4">
        <f ca="1">DAY(C2)/DAY(EOMONTH(C2,0))</f>
        <v>3.3333333333333333E-2</v>
      </c>
      <c r="E3" s="3" t="s">
        <v>4</v>
      </c>
      <c r="F3" s="4">
        <f ca="1">DAY(F2)/DAY(EOMONTH(F2,0))</f>
        <v>3.2258064516129031E-2</v>
      </c>
      <c r="H3" s="3" t="s">
        <v>4</v>
      </c>
      <c r="I3" s="4">
        <f ca="1">DAY(I2)/DAY(EOMONTH(I2,0))</f>
        <v>3.3333333333333333E-2</v>
      </c>
    </row>
    <row r="4" spans="2:9">
      <c r="B4" s="3" t="s">
        <v>5</v>
      </c>
      <c r="C4" s="5">
        <f ca="1">YEAR(C2)</f>
        <v>2026</v>
      </c>
      <c r="E4" s="3" t="s">
        <v>5</v>
      </c>
      <c r="F4" s="5">
        <f ca="1">YEAR(F2)</f>
        <v>2026</v>
      </c>
      <c r="H4" s="3" t="s">
        <v>5</v>
      </c>
      <c r="I4" s="5">
        <f ca="1">YEAR(I2)</f>
        <v>2025</v>
      </c>
    </row>
    <row r="5" spans="2:9">
      <c r="B5" s="3" t="s">
        <v>6</v>
      </c>
      <c r="C5" s="5">
        <f ca="1">MONTH(C2)</f>
        <v>6</v>
      </c>
      <c r="E5" s="3" t="s">
        <v>6</v>
      </c>
      <c r="F5" s="5">
        <f ca="1">MONTH(F2)</f>
        <v>5</v>
      </c>
      <c r="H5" s="3" t="s">
        <v>6</v>
      </c>
      <c r="I5" s="5">
        <f ca="1">MONTH(I2)</f>
        <v>6</v>
      </c>
    </row>
    <row r="6" spans="2:9" ht="15" customHeight="1" thickBot="1">
      <c r="B6" s="3" t="s">
        <v>7</v>
      </c>
      <c r="C6" s="5">
        <f ca="1">DAY(C2)</f>
        <v>1</v>
      </c>
      <c r="E6" s="6" t="s">
        <v>7</v>
      </c>
      <c r="F6" s="7">
        <f ca="1">DAY(F2)</f>
        <v>1</v>
      </c>
      <c r="H6" s="6" t="s">
        <v>7</v>
      </c>
      <c r="I6" s="7">
        <f ca="1">DAY(I2)</f>
        <v>1</v>
      </c>
    </row>
    <row r="7" spans="2:9" ht="15" customHeight="1" thickBot="1">
      <c r="B7" s="12" t="s">
        <v>8</v>
      </c>
      <c r="C7" s="13">
        <f ca="1">TODAY() - DAY(TODAY()) + 1</f>
        <v>46174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tabSelected="1" zoomScale="85" zoomScaleNormal="85" workbookViewId="0">
      <pane ySplit="2" topLeftCell="A708" activePane="bottomLeft" state="frozen"/>
      <selection activeCell="K9" sqref="K9"/>
      <selection pane="bottomLeft" activeCell="O693" sqref="O693:Q693"/>
    </sheetView>
  </sheetViews>
  <sheetFormatPr defaultRowHeight="14.25"/>
  <cols>
    <col min="1" max="1" width="15.625" style="32" bestFit="1" customWidth="1"/>
    <col min="2" max="2" width="15" style="21" customWidth="1"/>
    <col min="3" max="14" width="9" style="21" customWidth="1"/>
    <col min="15" max="18" width="16.625" style="21" bestFit="1" customWidth="1"/>
    <col min="19" max="19" width="18.625" style="21" bestFit="1" customWidth="1"/>
    <col min="20" max="20" width="19.625" style="21" bestFit="1" customWidth="1"/>
    <col min="21" max="22" width="16.625" style="21" bestFit="1" customWidth="1"/>
    <col min="23" max="23" width="21.75" style="21" bestFit="1" customWidth="1"/>
    <col min="24" max="24" width="19.625" style="21" bestFit="1" customWidth="1"/>
    <col min="25" max="25" width="9" style="21" customWidth="1"/>
    <col min="26" max="16384" width="9" style="21"/>
  </cols>
  <sheetData>
    <row r="2" spans="1:24">
      <c r="A2" s="17" t="s">
        <v>9</v>
      </c>
      <c r="B2" s="18" t="s">
        <v>10</v>
      </c>
      <c r="C2" s="19" t="s">
        <v>11</v>
      </c>
      <c r="D2" s="19" t="s">
        <v>12</v>
      </c>
      <c r="E2" s="19" t="s">
        <v>13</v>
      </c>
      <c r="F2" s="19" t="s">
        <v>14</v>
      </c>
      <c r="G2" s="19" t="s">
        <v>15</v>
      </c>
      <c r="H2" s="19" t="s">
        <v>16</v>
      </c>
      <c r="I2" s="19" t="s">
        <v>17</v>
      </c>
      <c r="J2" s="19" t="s">
        <v>18</v>
      </c>
      <c r="K2" s="19" t="s">
        <v>19</v>
      </c>
      <c r="L2" s="19" t="s">
        <v>20</v>
      </c>
      <c r="M2" s="19" t="s">
        <v>21</v>
      </c>
      <c r="N2" s="20" t="s">
        <v>22</v>
      </c>
      <c r="O2" s="19" t="s">
        <v>23</v>
      </c>
      <c r="P2" s="19" t="s">
        <v>24</v>
      </c>
      <c r="Q2" s="19" t="s">
        <v>25</v>
      </c>
      <c r="R2" s="19" t="s">
        <v>26</v>
      </c>
      <c r="S2" s="19" t="s">
        <v>27</v>
      </c>
      <c r="T2" s="19" t="s">
        <v>28</v>
      </c>
      <c r="U2" s="19" t="s">
        <v>29</v>
      </c>
      <c r="V2" s="19" t="s">
        <v>30</v>
      </c>
      <c r="W2" s="19" t="s">
        <v>31</v>
      </c>
      <c r="X2" s="19" t="s">
        <v>32</v>
      </c>
    </row>
    <row r="3" spans="1:24">
      <c r="A3" s="22">
        <v>46082</v>
      </c>
      <c r="B3" s="23" t="s">
        <v>33</v>
      </c>
      <c r="C3" s="24">
        <v>322</v>
      </c>
      <c r="D3" s="24">
        <v>297</v>
      </c>
      <c r="E3" s="24">
        <v>148</v>
      </c>
      <c r="F3" s="24">
        <v>495</v>
      </c>
      <c r="G3" s="24">
        <v>297</v>
      </c>
      <c r="H3" s="24">
        <v>223</v>
      </c>
      <c r="I3" s="24">
        <v>247</v>
      </c>
      <c r="J3" s="24">
        <v>99</v>
      </c>
      <c r="K3" s="24">
        <v>247</v>
      </c>
      <c r="L3" s="24">
        <v>99</v>
      </c>
      <c r="M3" s="24">
        <v>1060</v>
      </c>
      <c r="N3" s="25">
        <v>3534</v>
      </c>
      <c r="O3" s="24">
        <v>134</v>
      </c>
      <c r="P3" s="24">
        <v>6</v>
      </c>
      <c r="Q3" s="24">
        <v>550</v>
      </c>
      <c r="R3" s="24">
        <v>1000</v>
      </c>
      <c r="S3" s="24">
        <v>500</v>
      </c>
      <c r="T3" s="24">
        <v>300</v>
      </c>
      <c r="U3" s="24">
        <v>0</v>
      </c>
      <c r="V3" s="24">
        <v>435</v>
      </c>
      <c r="W3" s="24">
        <v>609</v>
      </c>
      <c r="X3" s="24">
        <v>0</v>
      </c>
    </row>
    <row r="4" spans="1:24">
      <c r="A4" s="22">
        <v>46083</v>
      </c>
      <c r="B4" s="23" t="s">
        <v>33</v>
      </c>
      <c r="C4" s="24">
        <v>318</v>
      </c>
      <c r="D4" s="24">
        <v>294</v>
      </c>
      <c r="E4" s="24">
        <v>147</v>
      </c>
      <c r="F4" s="24">
        <v>490</v>
      </c>
      <c r="G4" s="24">
        <v>294</v>
      </c>
      <c r="H4" s="24">
        <v>220</v>
      </c>
      <c r="I4" s="24">
        <v>245</v>
      </c>
      <c r="J4" s="24">
        <v>98</v>
      </c>
      <c r="K4" s="24">
        <v>245</v>
      </c>
      <c r="L4" s="24">
        <v>98</v>
      </c>
      <c r="M4" s="24">
        <v>1050</v>
      </c>
      <c r="N4" s="25">
        <v>3499</v>
      </c>
      <c r="O4" s="24">
        <v>134</v>
      </c>
      <c r="P4" s="24">
        <v>6</v>
      </c>
      <c r="Q4" s="24">
        <v>422</v>
      </c>
      <c r="R4" s="24">
        <v>1000</v>
      </c>
      <c r="S4" s="24">
        <v>450</v>
      </c>
      <c r="T4" s="24">
        <v>300</v>
      </c>
      <c r="U4" s="24">
        <v>0</v>
      </c>
      <c r="V4" s="24">
        <v>435</v>
      </c>
      <c r="W4" s="24">
        <v>729</v>
      </c>
      <c r="X4" s="24">
        <v>23</v>
      </c>
    </row>
    <row r="5" spans="1:24">
      <c r="A5" s="22">
        <v>46084</v>
      </c>
      <c r="B5" s="23" t="s">
        <v>33</v>
      </c>
      <c r="C5" s="24">
        <v>321</v>
      </c>
      <c r="D5" s="24">
        <v>297</v>
      </c>
      <c r="E5" s="24">
        <v>148</v>
      </c>
      <c r="F5" s="24">
        <v>494</v>
      </c>
      <c r="G5" s="24">
        <v>297</v>
      </c>
      <c r="H5" s="24">
        <v>222</v>
      </c>
      <c r="I5" s="24">
        <v>247</v>
      </c>
      <c r="J5" s="24">
        <v>99</v>
      </c>
      <c r="K5" s="24">
        <v>247</v>
      </c>
      <c r="L5" s="24">
        <v>99</v>
      </c>
      <c r="M5" s="24">
        <v>1060</v>
      </c>
      <c r="N5" s="25">
        <v>3531</v>
      </c>
      <c r="O5" s="24">
        <v>134</v>
      </c>
      <c r="P5" s="24">
        <v>6</v>
      </c>
      <c r="Q5" s="24">
        <v>422</v>
      </c>
      <c r="R5" s="24">
        <v>1000</v>
      </c>
      <c r="S5" s="24">
        <v>450</v>
      </c>
      <c r="T5" s="24">
        <v>300</v>
      </c>
      <c r="U5" s="24">
        <v>0</v>
      </c>
      <c r="V5" s="24">
        <v>435</v>
      </c>
      <c r="W5" s="24">
        <v>761</v>
      </c>
      <c r="X5" s="24">
        <v>23</v>
      </c>
    </row>
    <row r="6" spans="1:24">
      <c r="A6" s="22">
        <v>46085</v>
      </c>
      <c r="B6" s="23" t="s">
        <v>33</v>
      </c>
      <c r="C6" s="24">
        <v>320</v>
      </c>
      <c r="D6" s="24">
        <v>295</v>
      </c>
      <c r="E6" s="24">
        <v>148</v>
      </c>
      <c r="F6" s="24">
        <v>492</v>
      </c>
      <c r="G6" s="24">
        <v>295</v>
      </c>
      <c r="H6" s="24">
        <v>222</v>
      </c>
      <c r="I6" s="24">
        <v>246</v>
      </c>
      <c r="J6" s="24">
        <v>98</v>
      </c>
      <c r="K6" s="24">
        <v>246</v>
      </c>
      <c r="L6" s="24">
        <v>98</v>
      </c>
      <c r="M6" s="24">
        <v>1057</v>
      </c>
      <c r="N6" s="25">
        <v>3517</v>
      </c>
      <c r="O6" s="24">
        <v>134</v>
      </c>
      <c r="P6" s="24">
        <v>6</v>
      </c>
      <c r="Q6" s="24">
        <v>422</v>
      </c>
      <c r="R6" s="24">
        <v>1000</v>
      </c>
      <c r="S6" s="24">
        <v>450</v>
      </c>
      <c r="T6" s="24">
        <v>300</v>
      </c>
      <c r="U6" s="24">
        <v>0</v>
      </c>
      <c r="V6" s="24">
        <v>435</v>
      </c>
      <c r="W6" s="24">
        <v>747</v>
      </c>
      <c r="X6" s="24">
        <v>23</v>
      </c>
    </row>
    <row r="7" spans="1:24">
      <c r="A7" s="22">
        <v>46086</v>
      </c>
      <c r="B7" s="23" t="s">
        <v>33</v>
      </c>
      <c r="C7" s="24">
        <v>328</v>
      </c>
      <c r="D7" s="24">
        <v>302</v>
      </c>
      <c r="E7" s="24">
        <v>151</v>
      </c>
      <c r="F7" s="24">
        <v>504</v>
      </c>
      <c r="G7" s="24">
        <v>302</v>
      </c>
      <c r="H7" s="24">
        <v>227</v>
      </c>
      <c r="I7" s="24">
        <v>252</v>
      </c>
      <c r="J7" s="24">
        <v>101</v>
      </c>
      <c r="K7" s="24">
        <v>252</v>
      </c>
      <c r="L7" s="24">
        <v>101</v>
      </c>
      <c r="M7" s="24">
        <v>1079</v>
      </c>
      <c r="N7" s="25">
        <v>3599</v>
      </c>
      <c r="O7" s="24">
        <v>134</v>
      </c>
      <c r="P7" s="24">
        <v>6</v>
      </c>
      <c r="Q7" s="24">
        <v>422</v>
      </c>
      <c r="R7" s="24">
        <v>1000</v>
      </c>
      <c r="S7" s="24">
        <v>450</v>
      </c>
      <c r="T7" s="24">
        <v>300</v>
      </c>
      <c r="U7" s="24">
        <v>0</v>
      </c>
      <c r="V7" s="24">
        <v>435</v>
      </c>
      <c r="W7" s="24">
        <v>829</v>
      </c>
      <c r="X7" s="24">
        <v>23</v>
      </c>
    </row>
    <row r="8" spans="1:24">
      <c r="A8" s="22">
        <v>46087</v>
      </c>
      <c r="B8" s="23" t="s">
        <v>33</v>
      </c>
      <c r="C8" s="24">
        <v>336</v>
      </c>
      <c r="D8" s="24">
        <v>310</v>
      </c>
      <c r="E8" s="24">
        <v>155</v>
      </c>
      <c r="F8" s="24">
        <v>517</v>
      </c>
      <c r="G8" s="24">
        <v>310</v>
      </c>
      <c r="H8" s="24">
        <v>233</v>
      </c>
      <c r="I8" s="24">
        <v>259</v>
      </c>
      <c r="J8" s="24">
        <v>103</v>
      </c>
      <c r="K8" s="24">
        <v>259</v>
      </c>
      <c r="L8" s="24">
        <v>103</v>
      </c>
      <c r="M8" s="24">
        <v>1110</v>
      </c>
      <c r="N8" s="25">
        <v>3695</v>
      </c>
      <c r="O8" s="24">
        <v>134</v>
      </c>
      <c r="P8" s="24">
        <v>6</v>
      </c>
      <c r="Q8" s="24">
        <v>422</v>
      </c>
      <c r="R8" s="24">
        <v>1000</v>
      </c>
      <c r="S8" s="24">
        <v>450</v>
      </c>
      <c r="T8" s="24">
        <v>300</v>
      </c>
      <c r="U8" s="24">
        <v>118</v>
      </c>
      <c r="V8" s="24">
        <v>435</v>
      </c>
      <c r="W8" s="24">
        <v>807</v>
      </c>
      <c r="X8" s="24">
        <v>23</v>
      </c>
    </row>
    <row r="9" spans="1:24">
      <c r="A9" s="22">
        <v>46088</v>
      </c>
      <c r="B9" s="23" t="s">
        <v>33</v>
      </c>
      <c r="C9" s="24">
        <v>361</v>
      </c>
      <c r="D9" s="24">
        <v>333</v>
      </c>
      <c r="E9" s="24">
        <v>167</v>
      </c>
      <c r="F9" s="24">
        <v>556</v>
      </c>
      <c r="G9" s="24">
        <v>333</v>
      </c>
      <c r="H9" s="24">
        <v>250</v>
      </c>
      <c r="I9" s="24">
        <v>278</v>
      </c>
      <c r="J9" s="24">
        <v>111</v>
      </c>
      <c r="K9" s="24">
        <v>278</v>
      </c>
      <c r="L9" s="24">
        <v>111</v>
      </c>
      <c r="M9" s="24">
        <v>1191</v>
      </c>
      <c r="N9" s="25">
        <v>3969</v>
      </c>
      <c r="O9" s="24">
        <v>134</v>
      </c>
      <c r="P9" s="24">
        <v>6</v>
      </c>
      <c r="Q9" s="24">
        <v>549</v>
      </c>
      <c r="R9" s="24">
        <v>1000</v>
      </c>
      <c r="S9" s="24">
        <v>500</v>
      </c>
      <c r="T9" s="24">
        <v>350</v>
      </c>
      <c r="U9" s="24">
        <v>118</v>
      </c>
      <c r="V9" s="24">
        <v>435</v>
      </c>
      <c r="W9" s="24">
        <v>877</v>
      </c>
      <c r="X9" s="24">
        <v>0</v>
      </c>
    </row>
    <row r="10" spans="1:24">
      <c r="A10" s="22">
        <v>46089</v>
      </c>
      <c r="B10" s="23" t="s">
        <v>33</v>
      </c>
      <c r="C10" s="24">
        <v>455</v>
      </c>
      <c r="D10" s="24">
        <v>420</v>
      </c>
      <c r="E10" s="24">
        <v>210</v>
      </c>
      <c r="F10" s="24">
        <v>700</v>
      </c>
      <c r="G10" s="24">
        <v>420</v>
      </c>
      <c r="H10" s="24">
        <v>315</v>
      </c>
      <c r="I10" s="24">
        <v>350</v>
      </c>
      <c r="J10" s="24">
        <v>140</v>
      </c>
      <c r="K10" s="24">
        <v>350</v>
      </c>
      <c r="L10" s="24">
        <v>140</v>
      </c>
      <c r="M10" s="24">
        <v>1499</v>
      </c>
      <c r="N10" s="25">
        <v>4999</v>
      </c>
      <c r="O10" s="24">
        <v>134</v>
      </c>
      <c r="P10" s="24">
        <v>6</v>
      </c>
      <c r="Q10" s="24">
        <v>549</v>
      </c>
      <c r="R10" s="24">
        <v>1941</v>
      </c>
      <c r="S10" s="24">
        <v>550</v>
      </c>
      <c r="T10" s="24">
        <v>350</v>
      </c>
      <c r="U10" s="24">
        <v>118</v>
      </c>
      <c r="V10" s="24">
        <v>435</v>
      </c>
      <c r="W10" s="24">
        <v>916</v>
      </c>
      <c r="X10" s="24">
        <v>0</v>
      </c>
    </row>
    <row r="11" spans="1:24">
      <c r="A11" s="22">
        <v>46090</v>
      </c>
      <c r="B11" s="23" t="s">
        <v>33</v>
      </c>
      <c r="C11" s="24">
        <v>432</v>
      </c>
      <c r="D11" s="24">
        <v>399</v>
      </c>
      <c r="E11" s="24">
        <v>200</v>
      </c>
      <c r="F11" s="24">
        <v>665</v>
      </c>
      <c r="G11" s="24">
        <v>399</v>
      </c>
      <c r="H11" s="24">
        <v>299</v>
      </c>
      <c r="I11" s="24">
        <v>333</v>
      </c>
      <c r="J11" s="24">
        <v>133</v>
      </c>
      <c r="K11" s="24">
        <v>333</v>
      </c>
      <c r="L11" s="24">
        <v>133</v>
      </c>
      <c r="M11" s="24">
        <v>1425</v>
      </c>
      <c r="N11" s="25">
        <v>4751</v>
      </c>
      <c r="O11" s="24">
        <v>134</v>
      </c>
      <c r="P11" s="24">
        <v>6</v>
      </c>
      <c r="Q11" s="24">
        <v>422</v>
      </c>
      <c r="R11" s="24">
        <v>1941</v>
      </c>
      <c r="S11" s="24">
        <v>450</v>
      </c>
      <c r="T11" s="24">
        <v>300</v>
      </c>
      <c r="U11" s="24">
        <v>118</v>
      </c>
      <c r="V11" s="24">
        <v>435</v>
      </c>
      <c r="W11" s="24">
        <v>922</v>
      </c>
      <c r="X11" s="24">
        <v>23</v>
      </c>
    </row>
    <row r="12" spans="1:24">
      <c r="A12" s="22">
        <v>46091</v>
      </c>
      <c r="B12" s="23" t="s">
        <v>33</v>
      </c>
      <c r="C12" s="24">
        <v>429</v>
      </c>
      <c r="D12" s="24">
        <v>396</v>
      </c>
      <c r="E12" s="24">
        <v>198</v>
      </c>
      <c r="F12" s="24">
        <v>661</v>
      </c>
      <c r="G12" s="24">
        <v>396</v>
      </c>
      <c r="H12" s="24">
        <v>297</v>
      </c>
      <c r="I12" s="24">
        <v>330</v>
      </c>
      <c r="J12" s="24">
        <v>132</v>
      </c>
      <c r="K12" s="24">
        <v>330</v>
      </c>
      <c r="L12" s="24">
        <v>132</v>
      </c>
      <c r="M12" s="24">
        <v>1418</v>
      </c>
      <c r="N12" s="25">
        <v>4719</v>
      </c>
      <c r="O12" s="24">
        <v>134</v>
      </c>
      <c r="P12" s="24">
        <v>6</v>
      </c>
      <c r="Q12" s="24">
        <v>422</v>
      </c>
      <c r="R12" s="24">
        <v>1941</v>
      </c>
      <c r="S12" s="24">
        <v>450</v>
      </c>
      <c r="T12" s="24">
        <v>400</v>
      </c>
      <c r="U12" s="24">
        <v>0</v>
      </c>
      <c r="V12" s="24">
        <v>435</v>
      </c>
      <c r="W12" s="24">
        <v>907</v>
      </c>
      <c r="X12" s="24">
        <v>24</v>
      </c>
    </row>
    <row r="13" spans="1:24">
      <c r="A13" s="22">
        <v>46092</v>
      </c>
      <c r="B13" s="23" t="s">
        <v>33</v>
      </c>
      <c r="C13" s="24">
        <v>448</v>
      </c>
      <c r="D13" s="24">
        <v>413</v>
      </c>
      <c r="E13" s="24">
        <v>207</v>
      </c>
      <c r="F13" s="24">
        <v>689</v>
      </c>
      <c r="G13" s="24">
        <v>413</v>
      </c>
      <c r="H13" s="24">
        <v>310</v>
      </c>
      <c r="I13" s="24">
        <v>344</v>
      </c>
      <c r="J13" s="24">
        <v>138</v>
      </c>
      <c r="K13" s="24">
        <v>344</v>
      </c>
      <c r="L13" s="24">
        <v>138</v>
      </c>
      <c r="M13" s="24">
        <v>1474</v>
      </c>
      <c r="N13" s="25">
        <v>4918</v>
      </c>
      <c r="O13" s="24">
        <v>134</v>
      </c>
      <c r="P13" s="24">
        <v>6</v>
      </c>
      <c r="Q13" s="24">
        <v>465</v>
      </c>
      <c r="R13" s="24">
        <v>1941</v>
      </c>
      <c r="S13" s="24">
        <v>450</v>
      </c>
      <c r="T13" s="24">
        <v>400</v>
      </c>
      <c r="U13" s="24">
        <v>226</v>
      </c>
      <c r="V13" s="24">
        <v>435</v>
      </c>
      <c r="W13" s="24">
        <v>837</v>
      </c>
      <c r="X13" s="24">
        <v>24</v>
      </c>
    </row>
    <row r="14" spans="1:24">
      <c r="A14" s="22">
        <v>46093</v>
      </c>
      <c r="B14" s="23" t="s">
        <v>33</v>
      </c>
      <c r="C14" s="24">
        <v>596</v>
      </c>
      <c r="D14" s="24">
        <v>550</v>
      </c>
      <c r="E14" s="24">
        <v>275</v>
      </c>
      <c r="F14" s="24">
        <v>917</v>
      </c>
      <c r="G14" s="24">
        <v>550</v>
      </c>
      <c r="H14" s="24">
        <v>412</v>
      </c>
      <c r="I14" s="24">
        <v>458</v>
      </c>
      <c r="J14" s="24">
        <v>183</v>
      </c>
      <c r="K14" s="24">
        <v>458</v>
      </c>
      <c r="L14" s="24">
        <v>183</v>
      </c>
      <c r="M14" s="24">
        <v>1965</v>
      </c>
      <c r="N14" s="25">
        <v>6547</v>
      </c>
      <c r="O14" s="24">
        <v>134</v>
      </c>
      <c r="P14" s="24">
        <v>6</v>
      </c>
      <c r="Q14" s="24">
        <v>465</v>
      </c>
      <c r="R14" s="24">
        <v>3600</v>
      </c>
      <c r="S14" s="24">
        <v>450</v>
      </c>
      <c r="T14" s="24">
        <v>400</v>
      </c>
      <c r="U14" s="24">
        <v>226</v>
      </c>
      <c r="V14" s="24">
        <v>435</v>
      </c>
      <c r="W14" s="24">
        <v>807</v>
      </c>
      <c r="X14" s="24">
        <v>24</v>
      </c>
    </row>
    <row r="15" spans="1:24">
      <c r="A15" s="22">
        <v>46094</v>
      </c>
      <c r="B15" s="23" t="s">
        <v>33</v>
      </c>
      <c r="C15" s="24">
        <v>606</v>
      </c>
      <c r="D15" s="24">
        <v>559</v>
      </c>
      <c r="E15" s="24">
        <v>280</v>
      </c>
      <c r="F15" s="24">
        <v>932</v>
      </c>
      <c r="G15" s="24">
        <v>559</v>
      </c>
      <c r="H15" s="24">
        <v>419</v>
      </c>
      <c r="I15" s="24">
        <v>466</v>
      </c>
      <c r="J15" s="24">
        <v>186</v>
      </c>
      <c r="K15" s="24">
        <v>466</v>
      </c>
      <c r="L15" s="24">
        <v>186</v>
      </c>
      <c r="M15" s="24">
        <v>1998</v>
      </c>
      <c r="N15" s="25">
        <v>6657</v>
      </c>
      <c r="O15" s="24">
        <v>134</v>
      </c>
      <c r="P15" s="24">
        <v>6</v>
      </c>
      <c r="Q15" s="24">
        <v>465</v>
      </c>
      <c r="R15" s="24">
        <v>3600</v>
      </c>
      <c r="S15" s="24">
        <v>450</v>
      </c>
      <c r="T15" s="24">
        <v>400</v>
      </c>
      <c r="U15" s="24">
        <v>226</v>
      </c>
      <c r="V15" s="24">
        <v>435</v>
      </c>
      <c r="W15" s="24">
        <v>917</v>
      </c>
      <c r="X15" s="24">
        <v>24</v>
      </c>
    </row>
    <row r="16" spans="1:24">
      <c r="A16" s="22">
        <v>46095</v>
      </c>
      <c r="B16" s="23" t="s">
        <v>33</v>
      </c>
      <c r="C16" s="24">
        <v>625</v>
      </c>
      <c r="D16" s="24">
        <v>577</v>
      </c>
      <c r="E16" s="24">
        <v>288</v>
      </c>
      <c r="F16" s="24">
        <v>961</v>
      </c>
      <c r="G16" s="24">
        <v>577</v>
      </c>
      <c r="H16" s="24">
        <v>433</v>
      </c>
      <c r="I16" s="24">
        <v>481</v>
      </c>
      <c r="J16" s="24">
        <v>192</v>
      </c>
      <c r="K16" s="24">
        <v>481</v>
      </c>
      <c r="L16" s="24">
        <v>192</v>
      </c>
      <c r="M16" s="24">
        <v>2059</v>
      </c>
      <c r="N16" s="25">
        <v>6866</v>
      </c>
      <c r="O16" s="24">
        <v>134</v>
      </c>
      <c r="P16" s="24">
        <v>6</v>
      </c>
      <c r="Q16" s="24">
        <v>604</v>
      </c>
      <c r="R16" s="24">
        <v>3600</v>
      </c>
      <c r="S16" s="24">
        <v>500</v>
      </c>
      <c r="T16" s="24">
        <v>400</v>
      </c>
      <c r="U16" s="24">
        <v>226</v>
      </c>
      <c r="V16" s="24">
        <v>435</v>
      </c>
      <c r="W16" s="24">
        <v>961</v>
      </c>
      <c r="X16" s="24">
        <v>0</v>
      </c>
    </row>
    <row r="17" spans="1:24">
      <c r="A17" s="22">
        <v>46096</v>
      </c>
      <c r="B17" s="23" t="s">
        <v>33</v>
      </c>
      <c r="C17" s="24">
        <v>637</v>
      </c>
      <c r="D17" s="24">
        <v>588</v>
      </c>
      <c r="E17" s="24">
        <v>294</v>
      </c>
      <c r="F17" s="24">
        <v>980</v>
      </c>
      <c r="G17" s="24">
        <v>588</v>
      </c>
      <c r="H17" s="24">
        <v>441</v>
      </c>
      <c r="I17" s="24">
        <v>490</v>
      </c>
      <c r="J17" s="24">
        <v>196</v>
      </c>
      <c r="K17" s="24">
        <v>490</v>
      </c>
      <c r="L17" s="24">
        <v>196</v>
      </c>
      <c r="M17" s="24">
        <v>2097</v>
      </c>
      <c r="N17" s="25">
        <v>6997</v>
      </c>
      <c r="O17" s="24">
        <v>134</v>
      </c>
      <c r="P17" s="24">
        <v>6</v>
      </c>
      <c r="Q17" s="24">
        <v>604</v>
      </c>
      <c r="R17" s="24">
        <v>3600</v>
      </c>
      <c r="S17" s="24">
        <v>500</v>
      </c>
      <c r="T17" s="24">
        <v>400</v>
      </c>
      <c r="U17" s="24">
        <v>226</v>
      </c>
      <c r="V17" s="24">
        <v>435</v>
      </c>
      <c r="W17" s="24">
        <v>1092</v>
      </c>
      <c r="X17" s="24">
        <v>0</v>
      </c>
    </row>
    <row r="18" spans="1:24">
      <c r="A18" s="22">
        <v>46097</v>
      </c>
      <c r="B18" s="23" t="s">
        <v>33</v>
      </c>
      <c r="C18" s="24">
        <v>625</v>
      </c>
      <c r="D18" s="24">
        <v>577</v>
      </c>
      <c r="E18" s="24">
        <v>289</v>
      </c>
      <c r="F18" s="24">
        <v>962</v>
      </c>
      <c r="G18" s="24">
        <v>577</v>
      </c>
      <c r="H18" s="24">
        <v>433</v>
      </c>
      <c r="I18" s="24">
        <v>481</v>
      </c>
      <c r="J18" s="24">
        <v>192</v>
      </c>
      <c r="K18" s="24">
        <v>481</v>
      </c>
      <c r="L18" s="24">
        <v>192</v>
      </c>
      <c r="M18" s="24">
        <v>2062</v>
      </c>
      <c r="N18" s="25">
        <v>6871</v>
      </c>
      <c r="O18" s="24">
        <v>133</v>
      </c>
      <c r="P18" s="24">
        <v>6</v>
      </c>
      <c r="Q18" s="24">
        <v>465</v>
      </c>
      <c r="R18" s="24">
        <v>3600</v>
      </c>
      <c r="S18" s="24">
        <v>450</v>
      </c>
      <c r="T18" s="24">
        <v>400</v>
      </c>
      <c r="U18" s="24">
        <v>226</v>
      </c>
      <c r="V18" s="24">
        <v>435</v>
      </c>
      <c r="W18" s="24">
        <v>1132</v>
      </c>
      <c r="X18" s="24">
        <v>24</v>
      </c>
    </row>
    <row r="19" spans="1:24">
      <c r="A19" s="22">
        <v>46098</v>
      </c>
      <c r="B19" s="23" t="s">
        <v>33</v>
      </c>
      <c r="C19" s="24">
        <v>615</v>
      </c>
      <c r="D19" s="24">
        <v>568</v>
      </c>
      <c r="E19" s="24">
        <v>284</v>
      </c>
      <c r="F19" s="24">
        <v>946</v>
      </c>
      <c r="G19" s="24">
        <v>568</v>
      </c>
      <c r="H19" s="24">
        <v>426</v>
      </c>
      <c r="I19" s="24">
        <v>473</v>
      </c>
      <c r="J19" s="24">
        <v>189</v>
      </c>
      <c r="K19" s="24">
        <v>473</v>
      </c>
      <c r="L19" s="24">
        <v>189</v>
      </c>
      <c r="M19" s="24">
        <v>2026</v>
      </c>
      <c r="N19" s="25">
        <v>6757</v>
      </c>
      <c r="O19" s="24">
        <v>133</v>
      </c>
      <c r="P19" s="24">
        <v>6</v>
      </c>
      <c r="Q19" s="24">
        <v>465</v>
      </c>
      <c r="R19" s="24">
        <v>3600</v>
      </c>
      <c r="S19" s="24">
        <v>450</v>
      </c>
      <c r="T19" s="24">
        <v>600</v>
      </c>
      <c r="U19" s="24">
        <v>0</v>
      </c>
      <c r="V19" s="24">
        <v>435</v>
      </c>
      <c r="W19" s="24">
        <v>1044</v>
      </c>
      <c r="X19" s="24">
        <v>24</v>
      </c>
    </row>
    <row r="20" spans="1:24">
      <c r="A20" s="22">
        <v>46099</v>
      </c>
      <c r="B20" s="23" t="s">
        <v>33</v>
      </c>
      <c r="C20" s="24">
        <v>520</v>
      </c>
      <c r="D20" s="24">
        <v>480</v>
      </c>
      <c r="E20" s="24">
        <v>240</v>
      </c>
      <c r="F20" s="24">
        <v>800</v>
      </c>
      <c r="G20" s="24">
        <v>480</v>
      </c>
      <c r="H20" s="24">
        <v>360</v>
      </c>
      <c r="I20" s="24">
        <v>400</v>
      </c>
      <c r="J20" s="24">
        <v>160</v>
      </c>
      <c r="K20" s="24">
        <v>400</v>
      </c>
      <c r="L20" s="24">
        <v>160</v>
      </c>
      <c r="M20" s="24">
        <v>1711</v>
      </c>
      <c r="N20" s="25">
        <v>5711</v>
      </c>
      <c r="O20" s="24">
        <v>133</v>
      </c>
      <c r="P20" s="24">
        <v>6</v>
      </c>
      <c r="Q20" s="24">
        <v>465</v>
      </c>
      <c r="R20" s="24">
        <v>2556</v>
      </c>
      <c r="S20" s="24">
        <v>450</v>
      </c>
      <c r="T20" s="24">
        <v>600</v>
      </c>
      <c r="U20" s="24">
        <v>0</v>
      </c>
      <c r="V20" s="24">
        <v>435</v>
      </c>
      <c r="W20" s="24">
        <v>1042</v>
      </c>
      <c r="X20" s="24">
        <v>24</v>
      </c>
    </row>
    <row r="21" spans="1:24">
      <c r="A21" s="22">
        <v>46100</v>
      </c>
      <c r="B21" s="23" t="s">
        <v>33</v>
      </c>
      <c r="C21" s="24">
        <v>469</v>
      </c>
      <c r="D21" s="24">
        <v>433</v>
      </c>
      <c r="E21" s="24">
        <v>216</v>
      </c>
      <c r="F21" s="24">
        <v>721</v>
      </c>
      <c r="G21" s="24">
        <v>433</v>
      </c>
      <c r="H21" s="24">
        <v>325</v>
      </c>
      <c r="I21" s="24">
        <v>361</v>
      </c>
      <c r="J21" s="24">
        <v>144</v>
      </c>
      <c r="K21" s="24">
        <v>361</v>
      </c>
      <c r="L21" s="24">
        <v>144</v>
      </c>
      <c r="M21" s="24">
        <v>1544</v>
      </c>
      <c r="N21" s="25">
        <v>5151</v>
      </c>
      <c r="O21" s="24">
        <v>133</v>
      </c>
      <c r="P21" s="24">
        <v>6</v>
      </c>
      <c r="Q21" s="24">
        <v>465</v>
      </c>
      <c r="R21" s="24">
        <v>1941</v>
      </c>
      <c r="S21" s="24">
        <v>450</v>
      </c>
      <c r="T21" s="24">
        <v>600</v>
      </c>
      <c r="U21" s="24">
        <v>0</v>
      </c>
      <c r="V21" s="24">
        <v>435</v>
      </c>
      <c r="W21" s="24">
        <v>1097</v>
      </c>
      <c r="X21" s="24">
        <v>24</v>
      </c>
    </row>
    <row r="22" spans="1:24">
      <c r="A22" s="22">
        <v>46101</v>
      </c>
      <c r="B22" s="23" t="s">
        <v>33</v>
      </c>
      <c r="C22" s="24">
        <v>464</v>
      </c>
      <c r="D22" s="24">
        <v>428</v>
      </c>
      <c r="E22" s="24">
        <v>214</v>
      </c>
      <c r="F22" s="24">
        <v>714</v>
      </c>
      <c r="G22" s="24">
        <v>428</v>
      </c>
      <c r="H22" s="24">
        <v>321</v>
      </c>
      <c r="I22" s="24">
        <v>357</v>
      </c>
      <c r="J22" s="24">
        <v>143</v>
      </c>
      <c r="K22" s="24">
        <v>357</v>
      </c>
      <c r="L22" s="24">
        <v>143</v>
      </c>
      <c r="M22" s="24">
        <v>1529</v>
      </c>
      <c r="N22" s="25">
        <v>5098</v>
      </c>
      <c r="O22" s="24">
        <v>133</v>
      </c>
      <c r="P22" s="24">
        <v>6</v>
      </c>
      <c r="Q22" s="24">
        <v>465</v>
      </c>
      <c r="R22" s="24">
        <v>1941</v>
      </c>
      <c r="S22" s="24">
        <v>450</v>
      </c>
      <c r="T22" s="24">
        <v>600</v>
      </c>
      <c r="U22" s="24">
        <v>0</v>
      </c>
      <c r="V22" s="24">
        <v>435</v>
      </c>
      <c r="W22" s="24">
        <v>1044</v>
      </c>
      <c r="X22" s="24">
        <v>24</v>
      </c>
    </row>
    <row r="23" spans="1:24">
      <c r="A23" s="22">
        <v>46102</v>
      </c>
      <c r="B23" s="23" t="s">
        <v>33</v>
      </c>
      <c r="C23" s="24">
        <v>494</v>
      </c>
      <c r="D23" s="24">
        <v>456</v>
      </c>
      <c r="E23" s="24">
        <v>228</v>
      </c>
      <c r="F23" s="24">
        <v>760</v>
      </c>
      <c r="G23" s="24">
        <v>456</v>
      </c>
      <c r="H23" s="24">
        <v>342</v>
      </c>
      <c r="I23" s="24">
        <v>380</v>
      </c>
      <c r="J23" s="24">
        <v>152</v>
      </c>
      <c r="K23" s="24">
        <v>380</v>
      </c>
      <c r="L23" s="24">
        <v>152</v>
      </c>
      <c r="M23" s="24">
        <v>1627</v>
      </c>
      <c r="N23" s="25">
        <v>5427</v>
      </c>
      <c r="O23" s="24">
        <v>133</v>
      </c>
      <c r="P23" s="24">
        <v>6</v>
      </c>
      <c r="Q23" s="24">
        <v>659</v>
      </c>
      <c r="R23" s="24">
        <v>1941</v>
      </c>
      <c r="S23" s="24">
        <v>500</v>
      </c>
      <c r="T23" s="24">
        <v>700</v>
      </c>
      <c r="U23" s="24">
        <v>0</v>
      </c>
      <c r="V23" s="24">
        <v>435</v>
      </c>
      <c r="W23" s="24">
        <v>1053</v>
      </c>
      <c r="X23" s="24">
        <v>0</v>
      </c>
    </row>
    <row r="24" spans="1:24">
      <c r="A24" s="22">
        <v>46103</v>
      </c>
      <c r="B24" s="23" t="s">
        <v>33</v>
      </c>
      <c r="C24" s="24">
        <v>652</v>
      </c>
      <c r="D24" s="24">
        <v>602</v>
      </c>
      <c r="E24" s="24">
        <v>301</v>
      </c>
      <c r="F24" s="24">
        <v>1004</v>
      </c>
      <c r="G24" s="24">
        <v>602</v>
      </c>
      <c r="H24" s="24">
        <v>452</v>
      </c>
      <c r="I24" s="24">
        <v>502</v>
      </c>
      <c r="J24" s="24">
        <v>201</v>
      </c>
      <c r="K24" s="24">
        <v>502</v>
      </c>
      <c r="L24" s="24">
        <v>201</v>
      </c>
      <c r="M24" s="24">
        <v>2149</v>
      </c>
      <c r="N24" s="25">
        <v>7168</v>
      </c>
      <c r="O24" s="24">
        <v>133</v>
      </c>
      <c r="P24" s="24">
        <v>6</v>
      </c>
      <c r="Q24" s="24">
        <v>659</v>
      </c>
      <c r="R24" s="24">
        <v>3600</v>
      </c>
      <c r="S24" s="24">
        <v>500</v>
      </c>
      <c r="T24" s="24">
        <v>700</v>
      </c>
      <c r="U24" s="24">
        <v>0</v>
      </c>
      <c r="V24" s="24">
        <v>435</v>
      </c>
      <c r="W24" s="24">
        <v>1135</v>
      </c>
      <c r="X24" s="24">
        <v>0</v>
      </c>
    </row>
    <row r="25" spans="1:24">
      <c r="A25" s="22">
        <v>46104</v>
      </c>
      <c r="B25" s="23" t="s">
        <v>33</v>
      </c>
      <c r="C25" s="24">
        <v>488</v>
      </c>
      <c r="D25" s="24">
        <v>451</v>
      </c>
      <c r="E25" s="24">
        <v>225</v>
      </c>
      <c r="F25" s="24">
        <v>751</v>
      </c>
      <c r="G25" s="24">
        <v>451</v>
      </c>
      <c r="H25" s="24">
        <v>338</v>
      </c>
      <c r="I25" s="24">
        <v>376</v>
      </c>
      <c r="J25" s="24">
        <v>150</v>
      </c>
      <c r="K25" s="24">
        <v>376</v>
      </c>
      <c r="L25" s="24">
        <v>150</v>
      </c>
      <c r="M25" s="24">
        <v>1611</v>
      </c>
      <c r="N25" s="25">
        <v>5367</v>
      </c>
      <c r="O25" s="24">
        <v>133</v>
      </c>
      <c r="P25" s="24">
        <v>6</v>
      </c>
      <c r="Q25" s="24">
        <v>507</v>
      </c>
      <c r="R25" s="24">
        <v>1941</v>
      </c>
      <c r="S25" s="24">
        <v>450</v>
      </c>
      <c r="T25" s="24">
        <v>700</v>
      </c>
      <c r="U25" s="24">
        <v>0</v>
      </c>
      <c r="V25" s="24">
        <v>435</v>
      </c>
      <c r="W25" s="24">
        <v>1171</v>
      </c>
      <c r="X25" s="24">
        <v>24</v>
      </c>
    </row>
    <row r="26" spans="1:24">
      <c r="A26" s="22">
        <v>46105</v>
      </c>
      <c r="B26" s="23" t="s">
        <v>33</v>
      </c>
      <c r="C26" s="24">
        <v>479</v>
      </c>
      <c r="D26" s="24">
        <v>442</v>
      </c>
      <c r="E26" s="24">
        <v>221</v>
      </c>
      <c r="F26" s="24">
        <v>737</v>
      </c>
      <c r="G26" s="24">
        <v>442</v>
      </c>
      <c r="H26" s="24">
        <v>332</v>
      </c>
      <c r="I26" s="24">
        <v>368</v>
      </c>
      <c r="J26" s="24">
        <v>147</v>
      </c>
      <c r="K26" s="24">
        <v>368</v>
      </c>
      <c r="L26" s="24">
        <v>147</v>
      </c>
      <c r="M26" s="24">
        <v>1579</v>
      </c>
      <c r="N26" s="25">
        <v>5262</v>
      </c>
      <c r="O26" s="24">
        <v>133</v>
      </c>
      <c r="P26" s="24">
        <v>6</v>
      </c>
      <c r="Q26" s="24">
        <v>507</v>
      </c>
      <c r="R26" s="24">
        <v>1941</v>
      </c>
      <c r="S26" s="24">
        <v>450</v>
      </c>
      <c r="T26" s="24">
        <v>700</v>
      </c>
      <c r="U26" s="24">
        <v>0</v>
      </c>
      <c r="V26" s="24">
        <v>435</v>
      </c>
      <c r="W26" s="24">
        <v>1066</v>
      </c>
      <c r="X26" s="24">
        <v>24</v>
      </c>
    </row>
    <row r="27" spans="1:24">
      <c r="A27" s="22">
        <v>46106</v>
      </c>
      <c r="B27" s="23" t="s">
        <v>33</v>
      </c>
      <c r="C27" s="24">
        <v>479</v>
      </c>
      <c r="D27" s="24">
        <v>442</v>
      </c>
      <c r="E27" s="24">
        <v>221</v>
      </c>
      <c r="F27" s="24">
        <v>737</v>
      </c>
      <c r="G27" s="24">
        <v>442</v>
      </c>
      <c r="H27" s="24">
        <v>332</v>
      </c>
      <c r="I27" s="24">
        <v>368</v>
      </c>
      <c r="J27" s="24">
        <v>147</v>
      </c>
      <c r="K27" s="24">
        <v>368</v>
      </c>
      <c r="L27" s="24">
        <v>147</v>
      </c>
      <c r="M27" s="24">
        <v>1580</v>
      </c>
      <c r="N27" s="25">
        <v>5263</v>
      </c>
      <c r="O27" s="24">
        <v>133</v>
      </c>
      <c r="P27" s="24">
        <v>6</v>
      </c>
      <c r="Q27" s="24">
        <v>507</v>
      </c>
      <c r="R27" s="24">
        <v>1941</v>
      </c>
      <c r="S27" s="24">
        <v>450</v>
      </c>
      <c r="T27" s="24">
        <v>700</v>
      </c>
      <c r="U27" s="24">
        <v>0</v>
      </c>
      <c r="V27" s="24">
        <v>435</v>
      </c>
      <c r="W27" s="24">
        <v>1067</v>
      </c>
      <c r="X27" s="24">
        <v>24</v>
      </c>
    </row>
    <row r="28" spans="1:24">
      <c r="A28" s="22">
        <v>46107</v>
      </c>
      <c r="B28" s="23" t="s">
        <v>33</v>
      </c>
      <c r="C28" s="24">
        <v>415</v>
      </c>
      <c r="D28" s="24">
        <v>383</v>
      </c>
      <c r="E28" s="24">
        <v>192</v>
      </c>
      <c r="F28" s="24">
        <v>639</v>
      </c>
      <c r="G28" s="24">
        <v>383</v>
      </c>
      <c r="H28" s="24">
        <v>288</v>
      </c>
      <c r="I28" s="24">
        <v>320</v>
      </c>
      <c r="J28" s="24">
        <v>128</v>
      </c>
      <c r="K28" s="24">
        <v>320</v>
      </c>
      <c r="L28" s="24">
        <v>128</v>
      </c>
      <c r="M28" s="24">
        <v>1369</v>
      </c>
      <c r="N28" s="25">
        <v>4565</v>
      </c>
      <c r="O28" s="24">
        <v>133</v>
      </c>
      <c r="P28" s="24">
        <v>6</v>
      </c>
      <c r="Q28" s="24">
        <v>507</v>
      </c>
      <c r="R28" s="24">
        <v>1000</v>
      </c>
      <c r="S28" s="24">
        <v>450</v>
      </c>
      <c r="T28" s="24">
        <v>700</v>
      </c>
      <c r="U28" s="24">
        <v>240</v>
      </c>
      <c r="V28" s="24">
        <v>438</v>
      </c>
      <c r="W28" s="24">
        <v>1067</v>
      </c>
      <c r="X28" s="24">
        <v>24</v>
      </c>
    </row>
    <row r="29" spans="1:24">
      <c r="A29" s="22">
        <v>46108</v>
      </c>
      <c r="B29" s="23" t="s">
        <v>33</v>
      </c>
      <c r="C29" s="24">
        <v>427</v>
      </c>
      <c r="D29" s="24">
        <v>394</v>
      </c>
      <c r="E29" s="24">
        <v>197</v>
      </c>
      <c r="F29" s="24">
        <v>656</v>
      </c>
      <c r="G29" s="24">
        <v>394</v>
      </c>
      <c r="H29" s="24">
        <v>295</v>
      </c>
      <c r="I29" s="24">
        <v>328</v>
      </c>
      <c r="J29" s="24">
        <v>131</v>
      </c>
      <c r="K29" s="24">
        <v>328</v>
      </c>
      <c r="L29" s="24">
        <v>131</v>
      </c>
      <c r="M29" s="24">
        <v>1406</v>
      </c>
      <c r="N29" s="25">
        <v>4687</v>
      </c>
      <c r="O29" s="24">
        <v>133</v>
      </c>
      <c r="P29" s="24">
        <v>6</v>
      </c>
      <c r="Q29" s="24">
        <v>507</v>
      </c>
      <c r="R29" s="24">
        <v>1000</v>
      </c>
      <c r="S29" s="24">
        <v>450</v>
      </c>
      <c r="T29" s="24">
        <v>700</v>
      </c>
      <c r="U29" s="24">
        <v>353</v>
      </c>
      <c r="V29" s="24">
        <v>435</v>
      </c>
      <c r="W29" s="24">
        <v>1079</v>
      </c>
      <c r="X29" s="24">
        <v>24</v>
      </c>
    </row>
    <row r="30" spans="1:24">
      <c r="A30" s="22">
        <v>46109</v>
      </c>
      <c r="B30" s="23" t="s">
        <v>33</v>
      </c>
      <c r="C30" s="24">
        <v>450</v>
      </c>
      <c r="D30" s="24">
        <v>415</v>
      </c>
      <c r="E30" s="24">
        <v>208</v>
      </c>
      <c r="F30" s="24">
        <v>692</v>
      </c>
      <c r="G30" s="24">
        <v>415</v>
      </c>
      <c r="H30" s="24">
        <v>312</v>
      </c>
      <c r="I30" s="24">
        <v>346</v>
      </c>
      <c r="J30" s="24">
        <v>138</v>
      </c>
      <c r="K30" s="24">
        <v>346</v>
      </c>
      <c r="L30" s="24">
        <v>138</v>
      </c>
      <c r="M30" s="24">
        <v>1485</v>
      </c>
      <c r="N30" s="25">
        <v>4945</v>
      </c>
      <c r="O30" s="24">
        <v>133</v>
      </c>
      <c r="P30" s="24">
        <v>6</v>
      </c>
      <c r="Q30" s="24">
        <v>659</v>
      </c>
      <c r="R30" s="24">
        <v>1000</v>
      </c>
      <c r="S30" s="24">
        <v>500</v>
      </c>
      <c r="T30" s="24">
        <v>700</v>
      </c>
      <c r="U30" s="24">
        <v>353</v>
      </c>
      <c r="V30" s="24">
        <v>440</v>
      </c>
      <c r="W30" s="24">
        <v>1154</v>
      </c>
      <c r="X30" s="24">
        <v>0</v>
      </c>
    </row>
    <row r="31" spans="1:24">
      <c r="A31" s="22">
        <v>46110</v>
      </c>
      <c r="B31" s="23" t="s">
        <v>33</v>
      </c>
      <c r="C31" s="24">
        <v>453</v>
      </c>
      <c r="D31" s="24">
        <v>418</v>
      </c>
      <c r="E31" s="24">
        <v>209</v>
      </c>
      <c r="F31" s="24">
        <v>697</v>
      </c>
      <c r="G31" s="24">
        <v>418</v>
      </c>
      <c r="H31" s="24">
        <v>313</v>
      </c>
      <c r="I31" s="24">
        <v>348</v>
      </c>
      <c r="J31" s="24">
        <v>139</v>
      </c>
      <c r="K31" s="24">
        <v>348</v>
      </c>
      <c r="L31" s="24">
        <v>139</v>
      </c>
      <c r="M31" s="24">
        <v>1493</v>
      </c>
      <c r="N31" s="25">
        <v>4975</v>
      </c>
      <c r="O31" s="24">
        <v>133</v>
      </c>
      <c r="P31" s="24">
        <v>6</v>
      </c>
      <c r="Q31" s="24">
        <v>659</v>
      </c>
      <c r="R31" s="24">
        <v>1000</v>
      </c>
      <c r="S31" s="24">
        <v>500</v>
      </c>
      <c r="T31" s="24">
        <v>700</v>
      </c>
      <c r="U31" s="24">
        <v>347</v>
      </c>
      <c r="V31" s="24">
        <v>440</v>
      </c>
      <c r="W31" s="24">
        <v>1190</v>
      </c>
      <c r="X31" s="24">
        <v>0</v>
      </c>
    </row>
    <row r="32" spans="1:24">
      <c r="A32" s="22">
        <v>46111</v>
      </c>
      <c r="B32" s="23" t="s">
        <v>33</v>
      </c>
      <c r="C32" s="24">
        <v>390</v>
      </c>
      <c r="D32" s="24">
        <v>360</v>
      </c>
      <c r="E32" s="24">
        <v>180</v>
      </c>
      <c r="F32" s="24">
        <v>600</v>
      </c>
      <c r="G32" s="24">
        <v>360</v>
      </c>
      <c r="H32" s="24">
        <v>270</v>
      </c>
      <c r="I32" s="24">
        <v>300</v>
      </c>
      <c r="J32" s="24">
        <v>120</v>
      </c>
      <c r="K32" s="24">
        <v>300</v>
      </c>
      <c r="L32" s="24">
        <v>120</v>
      </c>
      <c r="M32" s="24">
        <v>1288</v>
      </c>
      <c r="N32" s="25">
        <v>4288</v>
      </c>
      <c r="O32" s="24">
        <v>133</v>
      </c>
      <c r="P32" s="24">
        <v>6</v>
      </c>
      <c r="Q32" s="24">
        <v>507</v>
      </c>
      <c r="R32" s="24">
        <v>1000</v>
      </c>
      <c r="S32" s="24">
        <v>400</v>
      </c>
      <c r="T32" s="24">
        <v>700</v>
      </c>
      <c r="U32" s="24">
        <v>0</v>
      </c>
      <c r="V32" s="24">
        <v>440</v>
      </c>
      <c r="W32" s="24">
        <v>1079</v>
      </c>
      <c r="X32" s="24">
        <v>23</v>
      </c>
    </row>
    <row r="33" spans="1:24">
      <c r="A33" s="22">
        <v>46112</v>
      </c>
      <c r="B33" s="23" t="s">
        <v>33</v>
      </c>
      <c r="C33" s="24">
        <v>397</v>
      </c>
      <c r="D33" s="24">
        <v>366</v>
      </c>
      <c r="E33" s="24">
        <v>183</v>
      </c>
      <c r="F33" s="24">
        <v>610</v>
      </c>
      <c r="G33" s="24">
        <v>366</v>
      </c>
      <c r="H33" s="24">
        <v>275</v>
      </c>
      <c r="I33" s="24">
        <v>305</v>
      </c>
      <c r="J33" s="24">
        <v>122</v>
      </c>
      <c r="K33" s="24">
        <v>305</v>
      </c>
      <c r="L33" s="24">
        <v>122</v>
      </c>
      <c r="M33" s="24">
        <v>1308</v>
      </c>
      <c r="N33" s="25">
        <v>4359</v>
      </c>
      <c r="O33" s="24">
        <v>133</v>
      </c>
      <c r="P33" s="24">
        <v>6</v>
      </c>
      <c r="Q33" s="24">
        <v>507</v>
      </c>
      <c r="R33" s="24">
        <v>1000</v>
      </c>
      <c r="S33" s="24">
        <v>410</v>
      </c>
      <c r="T33" s="24">
        <v>827</v>
      </c>
      <c r="U33" s="24">
        <v>0</v>
      </c>
      <c r="V33" s="24">
        <v>440</v>
      </c>
      <c r="W33" s="24">
        <v>1013</v>
      </c>
      <c r="X33" s="24">
        <v>23</v>
      </c>
    </row>
    <row r="34" spans="1:24">
      <c r="A34" s="22">
        <v>46113</v>
      </c>
      <c r="B34" s="23" t="s">
        <v>33</v>
      </c>
      <c r="C34" s="26">
        <v>234.11240968885247</v>
      </c>
      <c r="D34" s="26">
        <v>229.78918775837769</v>
      </c>
      <c r="E34" s="26">
        <v>174.5381789356677</v>
      </c>
      <c r="F34" s="26">
        <v>438.30651220300882</v>
      </c>
      <c r="G34" s="26">
        <v>250.3104272747496</v>
      </c>
      <c r="H34" s="26">
        <v>202.61099217698893</v>
      </c>
      <c r="I34" s="26">
        <v>223.1316444426958</v>
      </c>
      <c r="J34" s="26">
        <v>125.62137321362084</v>
      </c>
      <c r="K34" s="26">
        <v>247.08207548027244</v>
      </c>
      <c r="L34" s="26">
        <v>84.397198825764434</v>
      </c>
      <c r="M34" s="24">
        <v>947.10000000000127</v>
      </c>
      <c r="N34" s="27">
        <v>3157</v>
      </c>
      <c r="O34" s="26">
        <v>158</v>
      </c>
      <c r="P34" s="26">
        <v>3</v>
      </c>
      <c r="Q34" s="26">
        <v>391</v>
      </c>
      <c r="R34" s="26">
        <v>813</v>
      </c>
      <c r="S34" s="26">
        <v>260</v>
      </c>
      <c r="T34" s="26">
        <v>261</v>
      </c>
      <c r="U34" s="26">
        <v>182</v>
      </c>
      <c r="V34" s="26">
        <v>477</v>
      </c>
      <c r="W34" s="26">
        <v>548</v>
      </c>
      <c r="X34" s="26">
        <v>64</v>
      </c>
    </row>
    <row r="35" spans="1:24">
      <c r="A35" s="22">
        <v>46114</v>
      </c>
      <c r="B35" s="23" t="s">
        <v>33</v>
      </c>
      <c r="C35" s="26">
        <v>236.26295130461958</v>
      </c>
      <c r="D35" s="26">
        <v>231.90001653411193</v>
      </c>
      <c r="E35" s="26">
        <v>176.14147547958103</v>
      </c>
      <c r="F35" s="26">
        <v>442.33276777915307</v>
      </c>
      <c r="G35" s="26">
        <v>252.60976284363392</v>
      </c>
      <c r="H35" s="26">
        <v>204.47216378710382</v>
      </c>
      <c r="I35" s="26">
        <v>225.18131745151373</v>
      </c>
      <c r="J35" s="26">
        <v>126.77532311010327</v>
      </c>
      <c r="K35" s="26">
        <v>249.35175561613812</v>
      </c>
      <c r="L35" s="26">
        <v>85.172466094040388</v>
      </c>
      <c r="M35" s="24">
        <v>955.80000000000109</v>
      </c>
      <c r="N35" s="27">
        <v>3186</v>
      </c>
      <c r="O35" s="26">
        <v>164</v>
      </c>
      <c r="P35" s="26">
        <v>6</v>
      </c>
      <c r="Q35" s="26">
        <v>391</v>
      </c>
      <c r="R35" s="26">
        <v>820</v>
      </c>
      <c r="S35" s="26">
        <v>268</v>
      </c>
      <c r="T35" s="26">
        <v>268</v>
      </c>
      <c r="U35" s="26">
        <v>182</v>
      </c>
      <c r="V35" s="26">
        <v>477</v>
      </c>
      <c r="W35" s="26">
        <v>546</v>
      </c>
      <c r="X35" s="26">
        <v>64</v>
      </c>
    </row>
    <row r="36" spans="1:24">
      <c r="A36" s="22">
        <v>46115</v>
      </c>
      <c r="B36" s="23" t="s">
        <v>33</v>
      </c>
      <c r="C36" s="26">
        <v>236.11463808973909</v>
      </c>
      <c r="D36" s="26">
        <v>231.75444213578544</v>
      </c>
      <c r="E36" s="26">
        <v>176.03090330413875</v>
      </c>
      <c r="F36" s="26">
        <v>442.05509498079829</v>
      </c>
      <c r="G36" s="26">
        <v>252.45118797681431</v>
      </c>
      <c r="H36" s="26">
        <v>204.34380712433727</v>
      </c>
      <c r="I36" s="26">
        <v>225.03996069228489</v>
      </c>
      <c r="J36" s="26">
        <v>126.69574035862172</v>
      </c>
      <c r="K36" s="26">
        <v>249.19522595159563</v>
      </c>
      <c r="L36" s="26">
        <v>85.118999385883427</v>
      </c>
      <c r="M36" s="24">
        <v>955.20000000000118</v>
      </c>
      <c r="N36" s="27">
        <v>3184</v>
      </c>
      <c r="O36" s="26">
        <v>164</v>
      </c>
      <c r="P36" s="26">
        <v>6</v>
      </c>
      <c r="Q36" s="26">
        <v>391</v>
      </c>
      <c r="R36" s="26">
        <v>820</v>
      </c>
      <c r="S36" s="26">
        <v>268</v>
      </c>
      <c r="T36" s="26">
        <v>268</v>
      </c>
      <c r="U36" s="26">
        <v>182</v>
      </c>
      <c r="V36" s="26">
        <v>477</v>
      </c>
      <c r="W36" s="26">
        <v>544</v>
      </c>
      <c r="X36" s="26">
        <v>64</v>
      </c>
    </row>
    <row r="37" spans="1:24">
      <c r="A37" s="22">
        <v>46116</v>
      </c>
      <c r="B37" s="23" t="s">
        <v>33</v>
      </c>
      <c r="C37" s="26">
        <v>252.05830868939171</v>
      </c>
      <c r="D37" s="26">
        <v>247.403689955884</v>
      </c>
      <c r="E37" s="26">
        <v>187.91741216418581</v>
      </c>
      <c r="F37" s="26">
        <v>471.90492080393636</v>
      </c>
      <c r="G37" s="26">
        <v>269.49798615992205</v>
      </c>
      <c r="H37" s="26">
        <v>218.14214837174072</v>
      </c>
      <c r="I37" s="26">
        <v>240.23581230938328</v>
      </c>
      <c r="J37" s="26">
        <v>135.25088614288794</v>
      </c>
      <c r="K37" s="26">
        <v>266.02216488991007</v>
      </c>
      <c r="L37" s="26">
        <v>90.866670512756841</v>
      </c>
      <c r="M37" s="24">
        <v>1019.7000000000012</v>
      </c>
      <c r="N37" s="27">
        <v>3399</v>
      </c>
      <c r="O37" s="26">
        <v>188</v>
      </c>
      <c r="P37" s="26">
        <v>7</v>
      </c>
      <c r="Q37" s="26">
        <v>450</v>
      </c>
      <c r="R37" s="26">
        <v>820</v>
      </c>
      <c r="S37" s="26">
        <v>308</v>
      </c>
      <c r="T37" s="26">
        <v>308</v>
      </c>
      <c r="U37" s="26">
        <v>209</v>
      </c>
      <c r="V37" s="26">
        <v>549</v>
      </c>
      <c r="W37" s="26">
        <v>560</v>
      </c>
      <c r="X37" s="26">
        <v>0</v>
      </c>
    </row>
    <row r="38" spans="1:24">
      <c r="A38" s="22">
        <v>46117</v>
      </c>
      <c r="B38" s="23" t="s">
        <v>33</v>
      </c>
      <c r="C38" s="26">
        <v>251.98415208195146</v>
      </c>
      <c r="D38" s="26">
        <v>247.33090275672077</v>
      </c>
      <c r="E38" s="26">
        <v>187.86212607646465</v>
      </c>
      <c r="F38" s="26">
        <v>471.766084404759</v>
      </c>
      <c r="G38" s="26">
        <v>269.41869872651228</v>
      </c>
      <c r="H38" s="26">
        <v>218.07797004035746</v>
      </c>
      <c r="I38" s="26">
        <v>240.1651339297689</v>
      </c>
      <c r="J38" s="26">
        <v>135.21109476714719</v>
      </c>
      <c r="K38" s="26">
        <v>265.94390005763881</v>
      </c>
      <c r="L38" s="26">
        <v>90.839937158678367</v>
      </c>
      <c r="M38" s="24">
        <v>1019.400000000001</v>
      </c>
      <c r="N38" s="27">
        <v>3398</v>
      </c>
      <c r="O38" s="26">
        <v>188</v>
      </c>
      <c r="P38" s="26">
        <v>7</v>
      </c>
      <c r="Q38" s="26">
        <v>450</v>
      </c>
      <c r="R38" s="26">
        <v>820</v>
      </c>
      <c r="S38" s="26">
        <v>308</v>
      </c>
      <c r="T38" s="26">
        <v>308</v>
      </c>
      <c r="U38" s="26">
        <v>209</v>
      </c>
      <c r="V38" s="26">
        <v>549</v>
      </c>
      <c r="W38" s="26">
        <v>559</v>
      </c>
      <c r="X38" s="26">
        <v>0</v>
      </c>
    </row>
    <row r="39" spans="1:24">
      <c r="A39" s="22">
        <v>46118</v>
      </c>
      <c r="B39" s="23" t="s">
        <v>33</v>
      </c>
      <c r="C39" s="26">
        <v>250.05608028850509</v>
      </c>
      <c r="D39" s="26">
        <v>245.43843557847629</v>
      </c>
      <c r="E39" s="26">
        <v>186.42468779571476</v>
      </c>
      <c r="F39" s="26">
        <v>468.1563380261469</v>
      </c>
      <c r="G39" s="26">
        <v>267.35722545785734</v>
      </c>
      <c r="H39" s="26">
        <v>216.40933342439237</v>
      </c>
      <c r="I39" s="26">
        <v>238.32749605979419</v>
      </c>
      <c r="J39" s="26">
        <v>134.17651899788706</v>
      </c>
      <c r="K39" s="26">
        <v>263.90901441858682</v>
      </c>
      <c r="L39" s="26">
        <v>90.144869952637848</v>
      </c>
      <c r="M39" s="24">
        <v>1011.6000000000017</v>
      </c>
      <c r="N39" s="27">
        <v>3372</v>
      </c>
      <c r="O39" s="26">
        <v>188</v>
      </c>
      <c r="P39" s="26">
        <v>7</v>
      </c>
      <c r="Q39" s="26">
        <v>450</v>
      </c>
      <c r="R39" s="26">
        <v>820</v>
      </c>
      <c r="S39" s="26">
        <v>308</v>
      </c>
      <c r="T39" s="26">
        <v>308</v>
      </c>
      <c r="U39" s="26">
        <v>209</v>
      </c>
      <c r="V39" s="26">
        <v>549</v>
      </c>
      <c r="W39" s="26">
        <v>533</v>
      </c>
      <c r="X39" s="26">
        <v>0</v>
      </c>
    </row>
    <row r="40" spans="1:24">
      <c r="A40" s="22">
        <v>46119</v>
      </c>
      <c r="B40" s="23" t="s">
        <v>33</v>
      </c>
      <c r="C40" s="26">
        <v>234.26072290373298</v>
      </c>
      <c r="D40" s="26">
        <v>229.93476215670421</v>
      </c>
      <c r="E40" s="26">
        <v>174.64875111111002</v>
      </c>
      <c r="F40" s="26">
        <v>438.58418500136361</v>
      </c>
      <c r="G40" s="26">
        <v>250.46900214156923</v>
      </c>
      <c r="H40" s="26">
        <v>202.73934883975548</v>
      </c>
      <c r="I40" s="26">
        <v>223.27300120192461</v>
      </c>
      <c r="J40" s="26">
        <v>125.70095596510239</v>
      </c>
      <c r="K40" s="26">
        <v>247.2386051448149</v>
      </c>
      <c r="L40" s="26">
        <v>84.450665533921395</v>
      </c>
      <c r="M40" s="24">
        <v>947.70000000000118</v>
      </c>
      <c r="N40" s="27">
        <v>3159</v>
      </c>
      <c r="O40" s="26">
        <v>164</v>
      </c>
      <c r="P40" s="26">
        <v>6</v>
      </c>
      <c r="Q40" s="26">
        <v>391</v>
      </c>
      <c r="R40" s="26">
        <v>820</v>
      </c>
      <c r="S40" s="26">
        <v>268</v>
      </c>
      <c r="T40" s="26">
        <v>268</v>
      </c>
      <c r="U40" s="26">
        <v>182</v>
      </c>
      <c r="V40" s="26">
        <v>477</v>
      </c>
      <c r="W40" s="26">
        <v>519</v>
      </c>
      <c r="X40" s="26">
        <v>64</v>
      </c>
    </row>
    <row r="41" spans="1:24">
      <c r="A41" s="22">
        <v>46120</v>
      </c>
      <c r="B41" s="23" t="s">
        <v>33</v>
      </c>
      <c r="C41" s="26">
        <v>218.76199194872186</v>
      </c>
      <c r="D41" s="26">
        <v>214.72223753158514</v>
      </c>
      <c r="E41" s="26">
        <v>163.09395877738987</v>
      </c>
      <c r="F41" s="26">
        <v>409.56737757328989</v>
      </c>
      <c r="G41" s="26">
        <v>233.89792855892031</v>
      </c>
      <c r="H41" s="26">
        <v>189.32607758065171</v>
      </c>
      <c r="I41" s="26">
        <v>208.50121986251273</v>
      </c>
      <c r="J41" s="26">
        <v>117.38455843528081</v>
      </c>
      <c r="K41" s="26">
        <v>230.8812552001279</v>
      </c>
      <c r="L41" s="26">
        <v>78.863394531518892</v>
      </c>
      <c r="M41" s="24">
        <v>885.00000000000091</v>
      </c>
      <c r="N41" s="27">
        <v>2950</v>
      </c>
      <c r="O41" s="26">
        <v>164</v>
      </c>
      <c r="P41" s="26">
        <v>6</v>
      </c>
      <c r="Q41" s="26">
        <v>391</v>
      </c>
      <c r="R41" s="26">
        <v>820</v>
      </c>
      <c r="S41" s="26">
        <v>268</v>
      </c>
      <c r="T41" s="26">
        <v>100</v>
      </c>
      <c r="U41" s="26">
        <v>182</v>
      </c>
      <c r="V41" s="26">
        <v>477</v>
      </c>
      <c r="W41" s="26">
        <v>478</v>
      </c>
      <c r="X41" s="26">
        <v>64</v>
      </c>
    </row>
    <row r="42" spans="1:24">
      <c r="A42" s="22">
        <v>46121</v>
      </c>
      <c r="B42" s="23" t="s">
        <v>33</v>
      </c>
      <c r="C42" s="26">
        <v>233.0000605772488</v>
      </c>
      <c r="D42" s="26">
        <v>228.69737977092896</v>
      </c>
      <c r="E42" s="26">
        <v>173.70888761985046</v>
      </c>
      <c r="F42" s="26">
        <v>436.22396621534801</v>
      </c>
      <c r="G42" s="26">
        <v>249.12111577360255</v>
      </c>
      <c r="H42" s="26">
        <v>201.64831720623985</v>
      </c>
      <c r="I42" s="26">
        <v>222.07146874847962</v>
      </c>
      <c r="J42" s="26">
        <v>125.02450257750924</v>
      </c>
      <c r="K42" s="26">
        <v>245.90810299620398</v>
      </c>
      <c r="L42" s="26">
        <v>83.996198514587221</v>
      </c>
      <c r="M42" s="24">
        <v>942.60000000000127</v>
      </c>
      <c r="N42" s="27">
        <v>3142</v>
      </c>
      <c r="O42" s="26">
        <v>164</v>
      </c>
      <c r="P42" s="26">
        <v>6</v>
      </c>
      <c r="Q42" s="26">
        <v>391</v>
      </c>
      <c r="R42" s="26">
        <v>820</v>
      </c>
      <c r="S42" s="26">
        <v>268</v>
      </c>
      <c r="T42" s="26">
        <v>268</v>
      </c>
      <c r="U42" s="26">
        <v>182</v>
      </c>
      <c r="V42" s="26">
        <v>477</v>
      </c>
      <c r="W42" s="26">
        <v>502</v>
      </c>
      <c r="X42" s="26">
        <v>64</v>
      </c>
    </row>
    <row r="43" spans="1:24">
      <c r="A43" s="22">
        <v>46122</v>
      </c>
      <c r="B43" s="23" t="s">
        <v>33</v>
      </c>
      <c r="C43" s="26">
        <v>233.37084361445002</v>
      </c>
      <c r="D43" s="26">
        <v>229.0613157667452</v>
      </c>
      <c r="E43" s="26">
        <v>173.98531805845622</v>
      </c>
      <c r="F43" s="26">
        <v>436.91814821123495</v>
      </c>
      <c r="G43" s="26">
        <v>249.51755294065157</v>
      </c>
      <c r="H43" s="26">
        <v>201.96920886315621</v>
      </c>
      <c r="I43" s="26">
        <v>222.42486064655168</v>
      </c>
      <c r="J43" s="26">
        <v>125.22345945621311</v>
      </c>
      <c r="K43" s="26">
        <v>246.29942715756013</v>
      </c>
      <c r="L43" s="26">
        <v>84.12986528497963</v>
      </c>
      <c r="M43" s="24">
        <v>944.10000000000127</v>
      </c>
      <c r="N43" s="27">
        <v>3147</v>
      </c>
      <c r="O43" s="26">
        <v>164</v>
      </c>
      <c r="P43" s="26">
        <v>6</v>
      </c>
      <c r="Q43" s="26">
        <v>391</v>
      </c>
      <c r="R43" s="26">
        <v>820</v>
      </c>
      <c r="S43" s="26">
        <v>268</v>
      </c>
      <c r="T43" s="26">
        <v>268</v>
      </c>
      <c r="U43" s="26">
        <v>182</v>
      </c>
      <c r="V43" s="26">
        <v>477</v>
      </c>
      <c r="W43" s="26">
        <v>507</v>
      </c>
      <c r="X43" s="26">
        <v>64</v>
      </c>
    </row>
    <row r="44" spans="1:24">
      <c r="A44" s="22">
        <v>46123</v>
      </c>
      <c r="B44" s="23" t="s">
        <v>33</v>
      </c>
      <c r="C44" s="26">
        <v>259.91890907805765</v>
      </c>
      <c r="D44" s="26">
        <v>255.11913306718844</v>
      </c>
      <c r="E44" s="26">
        <v>193.77773746262761</v>
      </c>
      <c r="F44" s="26">
        <v>486.62157911673938</v>
      </c>
      <c r="G44" s="26">
        <v>277.90245410136129</v>
      </c>
      <c r="H44" s="26">
        <v>224.94505149836755</v>
      </c>
      <c r="I44" s="26">
        <v>247.72772054851089</v>
      </c>
      <c r="J44" s="26">
        <v>139.46877197140992</v>
      </c>
      <c r="K44" s="26">
        <v>274.31823711066045</v>
      </c>
      <c r="L44" s="26">
        <v>93.700406045075837</v>
      </c>
      <c r="M44" s="24">
        <v>1051.5000000000009</v>
      </c>
      <c r="N44" s="27">
        <v>3505</v>
      </c>
      <c r="O44" s="26">
        <v>188</v>
      </c>
      <c r="P44" s="26">
        <v>7</v>
      </c>
      <c r="Q44" s="26">
        <v>450</v>
      </c>
      <c r="R44" s="26">
        <v>960</v>
      </c>
      <c r="S44" s="26">
        <v>308</v>
      </c>
      <c r="T44" s="26">
        <v>308</v>
      </c>
      <c r="U44" s="26">
        <v>209</v>
      </c>
      <c r="V44" s="26">
        <v>549</v>
      </c>
      <c r="W44" s="26">
        <v>526</v>
      </c>
      <c r="X44" s="26">
        <v>0</v>
      </c>
    </row>
    <row r="45" spans="1:24">
      <c r="A45" s="22">
        <v>46124</v>
      </c>
      <c r="B45" s="23" t="s">
        <v>33</v>
      </c>
      <c r="C45" s="26">
        <v>260.51216193757961</v>
      </c>
      <c r="D45" s="26">
        <v>255.70143066049445</v>
      </c>
      <c r="E45" s="26">
        <v>194.22002616439681</v>
      </c>
      <c r="F45" s="26">
        <v>487.73227031015841</v>
      </c>
      <c r="G45" s="26">
        <v>278.53675356863971</v>
      </c>
      <c r="H45" s="26">
        <v>225.45847814943372</v>
      </c>
      <c r="I45" s="26">
        <v>248.29314758542617</v>
      </c>
      <c r="J45" s="26">
        <v>139.7871029773361</v>
      </c>
      <c r="K45" s="26">
        <v>274.94435576883029</v>
      </c>
      <c r="L45" s="26">
        <v>93.914272877703681</v>
      </c>
      <c r="M45" s="24">
        <v>1053.900000000001</v>
      </c>
      <c r="N45" s="27">
        <v>3513</v>
      </c>
      <c r="O45" s="26">
        <v>188</v>
      </c>
      <c r="P45" s="26">
        <v>7</v>
      </c>
      <c r="Q45" s="26">
        <v>450</v>
      </c>
      <c r="R45" s="26">
        <v>960</v>
      </c>
      <c r="S45" s="26">
        <v>308</v>
      </c>
      <c r="T45" s="26">
        <v>308</v>
      </c>
      <c r="U45" s="26">
        <v>209</v>
      </c>
      <c r="V45" s="26">
        <v>549</v>
      </c>
      <c r="W45" s="26">
        <v>534</v>
      </c>
      <c r="X45" s="26">
        <v>0</v>
      </c>
    </row>
    <row r="46" spans="1:24">
      <c r="A46" s="22">
        <v>46125</v>
      </c>
      <c r="B46" s="23" t="s">
        <v>33</v>
      </c>
      <c r="C46" s="26">
        <v>244.04939508584528</v>
      </c>
      <c r="D46" s="26">
        <v>239.54267244625311</v>
      </c>
      <c r="E46" s="26">
        <v>181.94651469030171</v>
      </c>
      <c r="F46" s="26">
        <v>456.91058969277861</v>
      </c>
      <c r="G46" s="26">
        <v>260.93494335166332</v>
      </c>
      <c r="H46" s="26">
        <v>211.21088858234737</v>
      </c>
      <c r="I46" s="26">
        <v>232.60254731102691</v>
      </c>
      <c r="J46" s="26">
        <v>130.95341756288445</v>
      </c>
      <c r="K46" s="26">
        <v>257.56956300461724</v>
      </c>
      <c r="L46" s="26">
        <v>87.979468272280897</v>
      </c>
      <c r="M46" s="24">
        <v>987.30000000000109</v>
      </c>
      <c r="N46" s="27">
        <v>3291</v>
      </c>
      <c r="O46" s="26">
        <v>164</v>
      </c>
      <c r="P46" s="26">
        <v>6</v>
      </c>
      <c r="Q46" s="26">
        <v>391</v>
      </c>
      <c r="R46" s="26">
        <v>960</v>
      </c>
      <c r="S46" s="26">
        <v>268</v>
      </c>
      <c r="T46" s="26">
        <v>268</v>
      </c>
      <c r="U46" s="26">
        <v>182</v>
      </c>
      <c r="V46" s="26">
        <v>477</v>
      </c>
      <c r="W46" s="26">
        <v>511</v>
      </c>
      <c r="X46" s="26">
        <v>64</v>
      </c>
    </row>
    <row r="47" spans="1:24">
      <c r="A47" s="22">
        <v>46126</v>
      </c>
      <c r="B47" s="23" t="s">
        <v>33</v>
      </c>
      <c r="C47" s="26">
        <v>244.86511776768796</v>
      </c>
      <c r="D47" s="26">
        <v>240.34333163704883</v>
      </c>
      <c r="E47" s="26">
        <v>182.55466165523433</v>
      </c>
      <c r="F47" s="26">
        <v>458.43779008372985</v>
      </c>
      <c r="G47" s="26">
        <v>261.80710511917113</v>
      </c>
      <c r="H47" s="26">
        <v>211.91685022756334</v>
      </c>
      <c r="I47" s="26">
        <v>233.38000948678541</v>
      </c>
      <c r="J47" s="26">
        <v>131.39112269603294</v>
      </c>
      <c r="K47" s="26">
        <v>258.43047615960074</v>
      </c>
      <c r="L47" s="26">
        <v>88.273535167144175</v>
      </c>
      <c r="M47" s="24">
        <v>990.60000000000127</v>
      </c>
      <c r="N47" s="27">
        <v>3302</v>
      </c>
      <c r="O47" s="26">
        <v>164</v>
      </c>
      <c r="P47" s="26">
        <v>6</v>
      </c>
      <c r="Q47" s="26">
        <v>391</v>
      </c>
      <c r="R47" s="26">
        <v>960</v>
      </c>
      <c r="S47" s="26">
        <v>268</v>
      </c>
      <c r="T47" s="26">
        <v>268</v>
      </c>
      <c r="U47" s="26">
        <v>182</v>
      </c>
      <c r="V47" s="26">
        <v>477</v>
      </c>
      <c r="W47" s="26">
        <v>522</v>
      </c>
      <c r="X47" s="26">
        <v>64</v>
      </c>
    </row>
    <row r="48" spans="1:24">
      <c r="A48" s="22">
        <v>46127</v>
      </c>
      <c r="B48" s="23" t="s">
        <v>33</v>
      </c>
      <c r="C48" s="26">
        <v>245.01343098256845</v>
      </c>
      <c r="D48" s="26">
        <v>240.48890603537535</v>
      </c>
      <c r="E48" s="26">
        <v>182.66523383067664</v>
      </c>
      <c r="F48" s="26">
        <v>458.71546288208464</v>
      </c>
      <c r="G48" s="26">
        <v>261.96567998599073</v>
      </c>
      <c r="H48" s="26">
        <v>212.04520689032989</v>
      </c>
      <c r="I48" s="26">
        <v>233.52136624601422</v>
      </c>
      <c r="J48" s="26">
        <v>131.47070544751449</v>
      </c>
      <c r="K48" s="26">
        <v>258.5870058241432</v>
      </c>
      <c r="L48" s="26">
        <v>88.32700187530115</v>
      </c>
      <c r="M48" s="24">
        <v>991.20000000000164</v>
      </c>
      <c r="N48" s="27">
        <v>3304</v>
      </c>
      <c r="O48" s="26">
        <v>164</v>
      </c>
      <c r="P48" s="26">
        <v>6</v>
      </c>
      <c r="Q48" s="26">
        <v>391</v>
      </c>
      <c r="R48" s="26">
        <v>960</v>
      </c>
      <c r="S48" s="26">
        <v>268</v>
      </c>
      <c r="T48" s="26">
        <v>268</v>
      </c>
      <c r="U48" s="26">
        <v>182</v>
      </c>
      <c r="V48" s="26">
        <v>477</v>
      </c>
      <c r="W48" s="26">
        <v>524</v>
      </c>
      <c r="X48" s="26">
        <v>64</v>
      </c>
    </row>
    <row r="49" spans="1:24">
      <c r="A49" s="22">
        <v>46128</v>
      </c>
      <c r="B49" s="23" t="s">
        <v>33</v>
      </c>
      <c r="C49" s="26">
        <v>244.86511776768796</v>
      </c>
      <c r="D49" s="26">
        <v>240.34333163704883</v>
      </c>
      <c r="E49" s="26">
        <v>182.55466165523433</v>
      </c>
      <c r="F49" s="26">
        <v>458.43779008372985</v>
      </c>
      <c r="G49" s="26">
        <v>261.80710511917113</v>
      </c>
      <c r="H49" s="26">
        <v>211.91685022756334</v>
      </c>
      <c r="I49" s="26">
        <v>233.38000948678541</v>
      </c>
      <c r="J49" s="26">
        <v>131.39112269603294</v>
      </c>
      <c r="K49" s="26">
        <v>258.43047615960074</v>
      </c>
      <c r="L49" s="26">
        <v>88.273535167144175</v>
      </c>
      <c r="M49" s="24">
        <v>990.60000000000127</v>
      </c>
      <c r="N49" s="27">
        <v>3302</v>
      </c>
      <c r="O49" s="26">
        <v>164</v>
      </c>
      <c r="P49" s="26">
        <v>6</v>
      </c>
      <c r="Q49" s="26">
        <v>391</v>
      </c>
      <c r="R49" s="26">
        <v>960</v>
      </c>
      <c r="S49" s="26">
        <v>268</v>
      </c>
      <c r="T49" s="26">
        <v>268</v>
      </c>
      <c r="U49" s="26">
        <v>182</v>
      </c>
      <c r="V49" s="26">
        <v>477</v>
      </c>
      <c r="W49" s="26">
        <v>522</v>
      </c>
      <c r="X49" s="26">
        <v>64</v>
      </c>
    </row>
    <row r="50" spans="1:24">
      <c r="A50" s="22">
        <v>46129</v>
      </c>
      <c r="B50" s="23" t="s">
        <v>33</v>
      </c>
      <c r="C50" s="26">
        <v>246.12578009417211</v>
      </c>
      <c r="D50" s="26">
        <v>241.58071402282408</v>
      </c>
      <c r="E50" s="26">
        <v>183.49452514649386</v>
      </c>
      <c r="F50" s="26">
        <v>460.79800886974544</v>
      </c>
      <c r="G50" s="26">
        <v>263.15499148713781</v>
      </c>
      <c r="H50" s="26">
        <v>213.00788186107897</v>
      </c>
      <c r="I50" s="26">
        <v>234.58154194023041</v>
      </c>
      <c r="J50" s="26">
        <v>132.06757608362611</v>
      </c>
      <c r="K50" s="26">
        <v>259.76097830821169</v>
      </c>
      <c r="L50" s="26">
        <v>88.728002186478363</v>
      </c>
      <c r="M50" s="24">
        <v>995.70000000000118</v>
      </c>
      <c r="N50" s="27">
        <v>3319</v>
      </c>
      <c r="O50" s="26">
        <v>164</v>
      </c>
      <c r="P50" s="26">
        <v>6</v>
      </c>
      <c r="Q50" s="26">
        <v>391</v>
      </c>
      <c r="R50" s="26">
        <v>960</v>
      </c>
      <c r="S50" s="26">
        <v>268</v>
      </c>
      <c r="T50" s="26">
        <v>268</v>
      </c>
      <c r="U50" s="26">
        <v>182</v>
      </c>
      <c r="V50" s="26">
        <v>477</v>
      </c>
      <c r="W50" s="26">
        <v>539</v>
      </c>
      <c r="X50" s="26">
        <v>64</v>
      </c>
    </row>
    <row r="51" spans="1:24">
      <c r="A51" s="22">
        <v>46130</v>
      </c>
      <c r="B51" s="23" t="s">
        <v>33</v>
      </c>
      <c r="C51" s="26">
        <v>263.1817998054284</v>
      </c>
      <c r="D51" s="26">
        <v>258.32176983037141</v>
      </c>
      <c r="E51" s="26">
        <v>196.21032532235816</v>
      </c>
      <c r="F51" s="26">
        <v>492.73038068054433</v>
      </c>
      <c r="G51" s="26">
        <v>281.39110117139256</v>
      </c>
      <c r="H51" s="26">
        <v>227.76889807923149</v>
      </c>
      <c r="I51" s="26">
        <v>250.83756925154495</v>
      </c>
      <c r="J51" s="26">
        <v>141.21959250400391</v>
      </c>
      <c r="K51" s="26">
        <v>277.76188973059453</v>
      </c>
      <c r="L51" s="26">
        <v>94.876673624528976</v>
      </c>
      <c r="M51" s="24">
        <v>1064.7000000000012</v>
      </c>
      <c r="N51" s="27">
        <v>3549</v>
      </c>
      <c r="O51" s="26">
        <v>188</v>
      </c>
      <c r="P51" s="26">
        <v>7</v>
      </c>
      <c r="Q51" s="26">
        <v>450</v>
      </c>
      <c r="R51" s="26">
        <v>960</v>
      </c>
      <c r="S51" s="26">
        <v>308</v>
      </c>
      <c r="T51" s="26">
        <v>308</v>
      </c>
      <c r="U51" s="26">
        <v>209</v>
      </c>
      <c r="V51" s="26">
        <v>549</v>
      </c>
      <c r="W51" s="26">
        <v>570</v>
      </c>
      <c r="X51" s="26">
        <v>0</v>
      </c>
    </row>
    <row r="52" spans="1:24">
      <c r="A52" s="22">
        <v>46131</v>
      </c>
      <c r="B52" s="23" t="s">
        <v>33</v>
      </c>
      <c r="C52" s="26">
        <v>263.47842623518943</v>
      </c>
      <c r="D52" s="26">
        <v>258.61291862702438</v>
      </c>
      <c r="E52" s="26">
        <v>196.43146967324276</v>
      </c>
      <c r="F52" s="26">
        <v>493.2857262772539</v>
      </c>
      <c r="G52" s="26">
        <v>281.70825090503183</v>
      </c>
      <c r="H52" s="26">
        <v>228.02561140476459</v>
      </c>
      <c r="I52" s="26">
        <v>251.1202827700026</v>
      </c>
      <c r="J52" s="26">
        <v>141.37875800696702</v>
      </c>
      <c r="K52" s="26">
        <v>278.07494905967945</v>
      </c>
      <c r="L52" s="26">
        <v>94.983607040842912</v>
      </c>
      <c r="M52" s="24">
        <v>1065.900000000001</v>
      </c>
      <c r="N52" s="27">
        <v>3553</v>
      </c>
      <c r="O52" s="26">
        <v>188</v>
      </c>
      <c r="P52" s="26">
        <v>7</v>
      </c>
      <c r="Q52" s="26">
        <v>450</v>
      </c>
      <c r="R52" s="26">
        <v>960</v>
      </c>
      <c r="S52" s="26">
        <v>308</v>
      </c>
      <c r="T52" s="26">
        <v>308</v>
      </c>
      <c r="U52" s="26">
        <v>209</v>
      </c>
      <c r="V52" s="26">
        <v>549</v>
      </c>
      <c r="W52" s="26">
        <v>574</v>
      </c>
      <c r="X52" s="26">
        <v>0</v>
      </c>
    </row>
    <row r="53" spans="1:24">
      <c r="A53" s="22">
        <v>46132</v>
      </c>
      <c r="B53" s="23" t="s">
        <v>33</v>
      </c>
      <c r="C53" s="26">
        <v>248.49879153225996</v>
      </c>
      <c r="D53" s="26">
        <v>243.90990439604806</v>
      </c>
      <c r="E53" s="26">
        <v>185.26367995357066</v>
      </c>
      <c r="F53" s="26">
        <v>465.24077364342179</v>
      </c>
      <c r="G53" s="26">
        <v>265.6921893562515</v>
      </c>
      <c r="H53" s="26">
        <v>215.06158846534368</v>
      </c>
      <c r="I53" s="26">
        <v>236.84325008789156</v>
      </c>
      <c r="J53" s="26">
        <v>133.34090010733084</v>
      </c>
      <c r="K53" s="26">
        <v>262.26545294089101</v>
      </c>
      <c r="L53" s="26">
        <v>89.583469516989751</v>
      </c>
      <c r="M53" s="24">
        <v>1005.3000000000011</v>
      </c>
      <c r="N53" s="27">
        <v>3351</v>
      </c>
      <c r="O53" s="26">
        <v>164</v>
      </c>
      <c r="P53" s="26">
        <v>6</v>
      </c>
      <c r="Q53" s="26">
        <v>391</v>
      </c>
      <c r="R53" s="26">
        <v>960</v>
      </c>
      <c r="S53" s="26">
        <v>268</v>
      </c>
      <c r="T53" s="26">
        <v>268</v>
      </c>
      <c r="U53" s="26">
        <v>182</v>
      </c>
      <c r="V53" s="26">
        <v>477</v>
      </c>
      <c r="W53" s="26">
        <v>571</v>
      </c>
      <c r="X53" s="26">
        <v>64</v>
      </c>
    </row>
    <row r="54" spans="1:24">
      <c r="A54" s="22">
        <v>46133</v>
      </c>
      <c r="B54" s="23" t="s">
        <v>33</v>
      </c>
      <c r="C54" s="26">
        <v>262.88517337566748</v>
      </c>
      <c r="D54" s="26">
        <v>258.03062103371843</v>
      </c>
      <c r="E54" s="26">
        <v>195.98918097147359</v>
      </c>
      <c r="F54" s="26">
        <v>492.17503508383481</v>
      </c>
      <c r="G54" s="26">
        <v>281.07395143775341</v>
      </c>
      <c r="H54" s="26">
        <v>227.51218475369842</v>
      </c>
      <c r="I54" s="26">
        <v>250.55485573308735</v>
      </c>
      <c r="J54" s="26">
        <v>141.06042700104084</v>
      </c>
      <c r="K54" s="26">
        <v>277.44883040150961</v>
      </c>
      <c r="L54" s="26">
        <v>94.769740208215069</v>
      </c>
      <c r="M54" s="24">
        <v>1063.5000000000014</v>
      </c>
      <c r="N54" s="27">
        <v>3545</v>
      </c>
      <c r="O54" s="26">
        <v>164</v>
      </c>
      <c r="P54" s="26">
        <v>7</v>
      </c>
      <c r="Q54" s="26">
        <v>391</v>
      </c>
      <c r="R54" s="26">
        <v>1136</v>
      </c>
      <c r="S54" s="26">
        <v>268</v>
      </c>
      <c r="T54" s="26">
        <v>268</v>
      </c>
      <c r="U54" s="26">
        <v>182</v>
      </c>
      <c r="V54" s="26">
        <v>477</v>
      </c>
      <c r="W54" s="26">
        <v>588</v>
      </c>
      <c r="X54" s="26">
        <v>64</v>
      </c>
    </row>
    <row r="55" spans="1:24">
      <c r="A55" s="22">
        <v>46134</v>
      </c>
      <c r="B55" s="23" t="s">
        <v>33</v>
      </c>
      <c r="C55" s="26">
        <v>265.1098715988748</v>
      </c>
      <c r="D55" s="26">
        <v>260.2142370086159</v>
      </c>
      <c r="E55" s="26">
        <v>197.64776360310805</v>
      </c>
      <c r="F55" s="26">
        <v>496.34012705915643</v>
      </c>
      <c r="G55" s="26">
        <v>283.4525744400475</v>
      </c>
      <c r="H55" s="26">
        <v>229.43753469519658</v>
      </c>
      <c r="I55" s="26">
        <v>252.67520712151966</v>
      </c>
      <c r="J55" s="26">
        <v>142.25416827326404</v>
      </c>
      <c r="K55" s="26">
        <v>279.79677536964653</v>
      </c>
      <c r="L55" s="26">
        <v>95.571740830569496</v>
      </c>
      <c r="M55" s="24">
        <v>1072.5000000000009</v>
      </c>
      <c r="N55" s="27">
        <v>3575</v>
      </c>
      <c r="O55" s="26">
        <v>164</v>
      </c>
      <c r="P55" s="26">
        <v>7</v>
      </c>
      <c r="Q55" s="26">
        <v>391</v>
      </c>
      <c r="R55" s="26">
        <v>1136</v>
      </c>
      <c r="S55" s="26">
        <v>268</v>
      </c>
      <c r="T55" s="26">
        <v>268</v>
      </c>
      <c r="U55" s="26">
        <v>182</v>
      </c>
      <c r="V55" s="26">
        <v>477</v>
      </c>
      <c r="W55" s="26">
        <v>618</v>
      </c>
      <c r="X55" s="26">
        <v>64</v>
      </c>
    </row>
    <row r="56" spans="1:24">
      <c r="A56" s="22">
        <v>46135</v>
      </c>
      <c r="B56" s="23" t="s">
        <v>33</v>
      </c>
      <c r="C56" s="26">
        <v>265.92559428071746</v>
      </c>
      <c r="D56" s="26">
        <v>261.01489619941162</v>
      </c>
      <c r="E56" s="26">
        <v>198.25591056804069</v>
      </c>
      <c r="F56" s="26">
        <v>497.86732745010761</v>
      </c>
      <c r="G56" s="26">
        <v>284.3247362075553</v>
      </c>
      <c r="H56" s="26">
        <v>230.14349634041255</v>
      </c>
      <c r="I56" s="26">
        <v>253.45266929727816</v>
      </c>
      <c r="J56" s="26">
        <v>142.69187340641253</v>
      </c>
      <c r="K56" s="26">
        <v>280.65768852463003</v>
      </c>
      <c r="L56" s="26">
        <v>95.865807725432788</v>
      </c>
      <c r="M56" s="24">
        <v>1075.8000000000015</v>
      </c>
      <c r="N56" s="27">
        <v>3586</v>
      </c>
      <c r="O56" s="26">
        <v>164</v>
      </c>
      <c r="P56" s="26">
        <v>7</v>
      </c>
      <c r="Q56" s="26">
        <v>391</v>
      </c>
      <c r="R56" s="26">
        <v>1136</v>
      </c>
      <c r="S56" s="26">
        <v>268</v>
      </c>
      <c r="T56" s="26">
        <v>268</v>
      </c>
      <c r="U56" s="26">
        <v>182</v>
      </c>
      <c r="V56" s="26">
        <v>477</v>
      </c>
      <c r="W56" s="26">
        <v>629</v>
      </c>
      <c r="X56" s="26">
        <v>64</v>
      </c>
    </row>
    <row r="57" spans="1:24">
      <c r="A57" s="22">
        <v>46136</v>
      </c>
      <c r="B57" s="23" t="s">
        <v>33</v>
      </c>
      <c r="C57" s="26">
        <v>266.6671603551199</v>
      </c>
      <c r="D57" s="26">
        <v>261.74276819104409</v>
      </c>
      <c r="E57" s="26">
        <v>198.80877144525218</v>
      </c>
      <c r="F57" s="26">
        <v>499.25569144188148</v>
      </c>
      <c r="G57" s="26">
        <v>285.11761054165339</v>
      </c>
      <c r="H57" s="26">
        <v>230.78527965424527</v>
      </c>
      <c r="I57" s="26">
        <v>254.15945309342229</v>
      </c>
      <c r="J57" s="26">
        <v>143.08978716382026</v>
      </c>
      <c r="K57" s="26">
        <v>281.44033684734234</v>
      </c>
      <c r="L57" s="26">
        <v>96.133141266217592</v>
      </c>
      <c r="M57" s="24">
        <v>1078.8000000000015</v>
      </c>
      <c r="N57" s="27">
        <v>3596</v>
      </c>
      <c r="O57" s="26">
        <v>164</v>
      </c>
      <c r="P57" s="26">
        <v>7</v>
      </c>
      <c r="Q57" s="26">
        <v>391</v>
      </c>
      <c r="R57" s="26">
        <v>1136</v>
      </c>
      <c r="S57" s="26">
        <v>268</v>
      </c>
      <c r="T57" s="26">
        <v>268</v>
      </c>
      <c r="U57" s="26">
        <v>182</v>
      </c>
      <c r="V57" s="26">
        <v>477</v>
      </c>
      <c r="W57" s="26">
        <v>639</v>
      </c>
      <c r="X57" s="26">
        <v>64</v>
      </c>
    </row>
    <row r="58" spans="1:24">
      <c r="A58" s="22">
        <v>46137</v>
      </c>
      <c r="B58" s="23" t="s">
        <v>33</v>
      </c>
      <c r="C58" s="26">
        <v>287.43101043838845</v>
      </c>
      <c r="D58" s="26">
        <v>282.12318395675391</v>
      </c>
      <c r="E58" s="26">
        <v>214.28887600717394</v>
      </c>
      <c r="F58" s="26">
        <v>538.12988321154967</v>
      </c>
      <c r="G58" s="26">
        <v>307.31809189639836</v>
      </c>
      <c r="H58" s="26">
        <v>248.75521244156135</v>
      </c>
      <c r="I58" s="26">
        <v>273.94939938545741</v>
      </c>
      <c r="J58" s="26">
        <v>154.23137237123674</v>
      </c>
      <c r="K58" s="26">
        <v>303.35448988328665</v>
      </c>
      <c r="L58" s="26">
        <v>103.61848040819227</v>
      </c>
      <c r="M58" s="24">
        <v>1162.8000000000015</v>
      </c>
      <c r="N58" s="27">
        <v>3876</v>
      </c>
      <c r="O58" s="26">
        <v>188</v>
      </c>
      <c r="P58" s="26">
        <v>7</v>
      </c>
      <c r="Q58" s="26">
        <v>450</v>
      </c>
      <c r="R58" s="26">
        <v>1136</v>
      </c>
      <c r="S58" s="26">
        <v>308</v>
      </c>
      <c r="T58" s="26">
        <v>308</v>
      </c>
      <c r="U58" s="26">
        <v>209</v>
      </c>
      <c r="V58" s="26">
        <v>549</v>
      </c>
      <c r="W58" s="26">
        <v>721</v>
      </c>
      <c r="X58" s="26">
        <v>0</v>
      </c>
    </row>
    <row r="59" spans="1:24">
      <c r="A59" s="22">
        <v>46138</v>
      </c>
      <c r="B59" s="23" t="s">
        <v>33</v>
      </c>
      <c r="C59" s="26">
        <v>278.82884397532007</v>
      </c>
      <c r="D59" s="26">
        <v>273.67986885381703</v>
      </c>
      <c r="E59" s="26">
        <v>207.87568983152065</v>
      </c>
      <c r="F59" s="26">
        <v>522.02486090697289</v>
      </c>
      <c r="G59" s="26">
        <v>298.12074962086115</v>
      </c>
      <c r="H59" s="26">
        <v>241.31052600110183</v>
      </c>
      <c r="I59" s="26">
        <v>265.75070735018573</v>
      </c>
      <c r="J59" s="26">
        <v>149.61557278530708</v>
      </c>
      <c r="K59" s="26">
        <v>294.27576933982402</v>
      </c>
      <c r="L59" s="26">
        <v>100.51741133508848</v>
      </c>
      <c r="M59" s="24">
        <v>1128.0000000000009</v>
      </c>
      <c r="N59" s="27">
        <v>3760</v>
      </c>
      <c r="O59" s="26">
        <v>188</v>
      </c>
      <c r="P59" s="26">
        <v>7</v>
      </c>
      <c r="Q59" s="26">
        <v>450</v>
      </c>
      <c r="R59" s="26">
        <v>1136</v>
      </c>
      <c r="S59" s="26">
        <v>308</v>
      </c>
      <c r="T59" s="26">
        <v>308</v>
      </c>
      <c r="U59" s="26">
        <v>209</v>
      </c>
      <c r="V59" s="26">
        <v>549</v>
      </c>
      <c r="W59" s="26">
        <v>605</v>
      </c>
      <c r="X59" s="26">
        <v>0</v>
      </c>
    </row>
    <row r="60" spans="1:24">
      <c r="A60" s="22">
        <v>46139</v>
      </c>
      <c r="B60" s="23" t="s">
        <v>33</v>
      </c>
      <c r="C60" s="26">
        <v>276.38167592979192</v>
      </c>
      <c r="D60" s="26">
        <v>271.27789128142973</v>
      </c>
      <c r="E60" s="26">
        <v>206.05124893672269</v>
      </c>
      <c r="F60" s="26">
        <v>517.44325973411912</v>
      </c>
      <c r="G60" s="26">
        <v>295.50426431833762</v>
      </c>
      <c r="H60" s="26">
        <v>239.19264106545384</v>
      </c>
      <c r="I60" s="26">
        <v>263.41832082291012</v>
      </c>
      <c r="J60" s="26">
        <v>148.30245738586154</v>
      </c>
      <c r="K60" s="26">
        <v>291.69302987487339</v>
      </c>
      <c r="L60" s="26">
        <v>99.635210650498593</v>
      </c>
      <c r="M60" s="24">
        <v>1118.1000000000013</v>
      </c>
      <c r="N60" s="27">
        <v>3727</v>
      </c>
      <c r="O60" s="26">
        <v>164</v>
      </c>
      <c r="P60" s="26">
        <v>6</v>
      </c>
      <c r="Q60" s="26">
        <v>391</v>
      </c>
      <c r="R60" s="26">
        <v>1136</v>
      </c>
      <c r="S60" s="26">
        <v>268</v>
      </c>
      <c r="T60" s="26">
        <v>436</v>
      </c>
      <c r="U60" s="26">
        <v>182</v>
      </c>
      <c r="V60" s="26">
        <v>477</v>
      </c>
      <c r="W60" s="26">
        <v>603</v>
      </c>
      <c r="X60" s="26">
        <v>64</v>
      </c>
    </row>
    <row r="61" spans="1:24">
      <c r="A61" s="22">
        <v>46140</v>
      </c>
      <c r="B61" s="23" t="s">
        <v>33</v>
      </c>
      <c r="C61" s="26">
        <v>264.88740177655404</v>
      </c>
      <c r="D61" s="26">
        <v>259.99587541112612</v>
      </c>
      <c r="E61" s="26">
        <v>197.48190533994457</v>
      </c>
      <c r="F61" s="26">
        <v>495.92361786162417</v>
      </c>
      <c r="G61" s="26">
        <v>283.21471213981806</v>
      </c>
      <c r="H61" s="26">
        <v>229.24499970104671</v>
      </c>
      <c r="I61" s="26">
        <v>252.46317198267641</v>
      </c>
      <c r="J61" s="26">
        <v>142.13479414604168</v>
      </c>
      <c r="K61" s="26">
        <v>279.56198087283281</v>
      </c>
      <c r="L61" s="26">
        <v>95.491540768334048</v>
      </c>
      <c r="M61" s="24">
        <v>1071.6000000000017</v>
      </c>
      <c r="N61" s="27">
        <v>3572</v>
      </c>
      <c r="O61" s="26">
        <v>164</v>
      </c>
      <c r="P61" s="26">
        <v>6</v>
      </c>
      <c r="Q61" s="26">
        <v>391</v>
      </c>
      <c r="R61" s="26">
        <v>1136</v>
      </c>
      <c r="S61" s="26">
        <v>268</v>
      </c>
      <c r="T61" s="26">
        <v>268</v>
      </c>
      <c r="U61" s="26">
        <v>182</v>
      </c>
      <c r="V61" s="26">
        <v>477</v>
      </c>
      <c r="W61" s="26">
        <v>616</v>
      </c>
      <c r="X61" s="26">
        <v>64</v>
      </c>
    </row>
    <row r="62" spans="1:24">
      <c r="A62" s="22">
        <v>46141</v>
      </c>
      <c r="B62" s="23" t="s">
        <v>33</v>
      </c>
      <c r="C62" s="26">
        <v>264.73908856167355</v>
      </c>
      <c r="D62" s="26">
        <v>259.85030101279966</v>
      </c>
      <c r="E62" s="26">
        <v>197.37133316450232</v>
      </c>
      <c r="F62" s="26">
        <v>495.64594506326949</v>
      </c>
      <c r="G62" s="26">
        <v>283.05613727299851</v>
      </c>
      <c r="H62" s="26">
        <v>229.11664303828022</v>
      </c>
      <c r="I62" s="26">
        <v>252.3218152234476</v>
      </c>
      <c r="J62" s="26">
        <v>142.05521139456016</v>
      </c>
      <c r="K62" s="26">
        <v>279.4054512082904</v>
      </c>
      <c r="L62" s="26">
        <v>95.438074060177101</v>
      </c>
      <c r="M62" s="24">
        <v>1071.0000000000009</v>
      </c>
      <c r="N62" s="27">
        <v>3570</v>
      </c>
      <c r="O62" s="26">
        <v>164</v>
      </c>
      <c r="P62" s="26">
        <v>6</v>
      </c>
      <c r="Q62" s="26">
        <v>391</v>
      </c>
      <c r="R62" s="26">
        <v>1136</v>
      </c>
      <c r="S62" s="26">
        <v>268</v>
      </c>
      <c r="T62" s="26">
        <v>268</v>
      </c>
      <c r="U62" s="26">
        <v>182</v>
      </c>
      <c r="V62" s="26">
        <v>477</v>
      </c>
      <c r="W62" s="26">
        <v>614</v>
      </c>
      <c r="X62" s="26">
        <v>64</v>
      </c>
    </row>
    <row r="63" spans="1:24">
      <c r="A63" s="22">
        <v>46142</v>
      </c>
      <c r="B63" s="23" t="s">
        <v>33</v>
      </c>
      <c r="C63" s="26">
        <v>267.70535285928338</v>
      </c>
      <c r="D63" s="26">
        <v>262.76178897932959</v>
      </c>
      <c r="E63" s="26">
        <v>199.58277667334829</v>
      </c>
      <c r="F63" s="26">
        <v>501.19940103036492</v>
      </c>
      <c r="G63" s="26">
        <v>286.22763460939063</v>
      </c>
      <c r="H63" s="26">
        <v>231.68377629361109</v>
      </c>
      <c r="I63" s="26">
        <v>255.14895040802406</v>
      </c>
      <c r="J63" s="26">
        <v>143.6468664241911</v>
      </c>
      <c r="K63" s="26">
        <v>282.53604449913956</v>
      </c>
      <c r="L63" s="26">
        <v>96.507408223316332</v>
      </c>
      <c r="M63" s="24">
        <v>1083.0000000000009</v>
      </c>
      <c r="N63" s="27">
        <v>3610</v>
      </c>
      <c r="O63" s="26">
        <v>164</v>
      </c>
      <c r="P63" s="26">
        <v>6</v>
      </c>
      <c r="Q63" s="26">
        <v>400</v>
      </c>
      <c r="R63" s="26">
        <v>1136</v>
      </c>
      <c r="S63" s="26">
        <v>268</v>
      </c>
      <c r="T63" s="26">
        <v>268</v>
      </c>
      <c r="U63" s="26">
        <v>190</v>
      </c>
      <c r="V63" s="26">
        <v>482</v>
      </c>
      <c r="W63" s="26">
        <v>629</v>
      </c>
      <c r="X63" s="26">
        <v>67</v>
      </c>
    </row>
    <row r="64" spans="1:24">
      <c r="A64" s="22">
        <v>46143</v>
      </c>
      <c r="B64" s="23" t="s">
        <v>33</v>
      </c>
      <c r="C64" s="26">
        <v>354.14373913043477</v>
      </c>
      <c r="D64" s="26">
        <v>401.06021739130432</v>
      </c>
      <c r="E64" s="26">
        <v>286.03917391304344</v>
      </c>
      <c r="F64" s="26">
        <v>632.61573913043469</v>
      </c>
      <c r="G64" s="26">
        <v>354.14373913043477</v>
      </c>
      <c r="H64" s="26">
        <v>308.74069565217388</v>
      </c>
      <c r="I64" s="26">
        <v>348.09</v>
      </c>
      <c r="J64" s="26">
        <v>217.93460869565217</v>
      </c>
      <c r="K64" s="26">
        <v>422.24830434782604</v>
      </c>
      <c r="L64" s="26">
        <v>155.88378260869564</v>
      </c>
      <c r="M64" s="24">
        <v>764.10000000000036</v>
      </c>
      <c r="N64" s="27">
        <v>4245</v>
      </c>
      <c r="O64" s="26">
        <v>204</v>
      </c>
      <c r="P64" s="26">
        <v>15</v>
      </c>
      <c r="Q64" s="26">
        <v>645</v>
      </c>
      <c r="R64" s="26">
        <v>62</v>
      </c>
      <c r="S64" s="26">
        <v>350</v>
      </c>
      <c r="T64" s="26">
        <v>150</v>
      </c>
      <c r="U64" s="26">
        <v>1162</v>
      </c>
      <c r="V64" s="26">
        <v>553</v>
      </c>
      <c r="W64" s="26">
        <v>1104</v>
      </c>
      <c r="X64" s="26">
        <v>0</v>
      </c>
    </row>
    <row r="65" spans="1:24">
      <c r="A65" s="22">
        <v>46144</v>
      </c>
      <c r="B65" s="23" t="s">
        <v>33</v>
      </c>
      <c r="C65" s="26">
        <v>353.55975652173913</v>
      </c>
      <c r="D65" s="26">
        <v>400.39886956521735</v>
      </c>
      <c r="E65" s="26">
        <v>285.56749565217393</v>
      </c>
      <c r="F65" s="26">
        <v>631.5725565217391</v>
      </c>
      <c r="G65" s="26">
        <v>353.55975652173913</v>
      </c>
      <c r="H65" s="26">
        <v>308.23158260869559</v>
      </c>
      <c r="I65" s="26">
        <v>347.51600000000002</v>
      </c>
      <c r="J65" s="26">
        <v>217.5752347826087</v>
      </c>
      <c r="K65" s="26">
        <v>421.55201739130433</v>
      </c>
      <c r="L65" s="26">
        <v>155.62673043478262</v>
      </c>
      <c r="M65" s="24">
        <v>762.8400000000006</v>
      </c>
      <c r="N65" s="27">
        <v>4238</v>
      </c>
      <c r="O65" s="26">
        <v>204</v>
      </c>
      <c r="P65" s="26">
        <v>15</v>
      </c>
      <c r="Q65" s="26">
        <v>645</v>
      </c>
      <c r="R65" s="26">
        <v>102</v>
      </c>
      <c r="S65" s="26">
        <v>350</v>
      </c>
      <c r="T65" s="26">
        <v>150</v>
      </c>
      <c r="U65" s="26">
        <v>1160</v>
      </c>
      <c r="V65" s="26">
        <v>553</v>
      </c>
      <c r="W65" s="26">
        <v>1059</v>
      </c>
      <c r="X65" s="26">
        <v>0</v>
      </c>
    </row>
    <row r="66" spans="1:24">
      <c r="A66" s="22">
        <v>46145</v>
      </c>
      <c r="B66" s="23" t="s">
        <v>33</v>
      </c>
      <c r="C66" s="26">
        <v>364.07144347826085</v>
      </c>
      <c r="D66" s="26">
        <v>412.30313043478259</v>
      </c>
      <c r="E66" s="26">
        <v>294.05770434782607</v>
      </c>
      <c r="F66" s="26">
        <v>650.34984347826071</v>
      </c>
      <c r="G66" s="26">
        <v>364.07144347826085</v>
      </c>
      <c r="H66" s="26">
        <v>317.39561739130426</v>
      </c>
      <c r="I66" s="26">
        <v>357.84799999999996</v>
      </c>
      <c r="J66" s="26">
        <v>224.0439652173913</v>
      </c>
      <c r="K66" s="26">
        <v>434.08518260869562</v>
      </c>
      <c r="L66" s="26">
        <v>160.25366956521739</v>
      </c>
      <c r="M66" s="24">
        <v>785.52000000000044</v>
      </c>
      <c r="N66" s="27">
        <v>4364</v>
      </c>
      <c r="O66" s="26">
        <v>204</v>
      </c>
      <c r="P66" s="26">
        <v>15</v>
      </c>
      <c r="Q66" s="26">
        <v>645</v>
      </c>
      <c r="R66" s="26">
        <v>223</v>
      </c>
      <c r="S66" s="26">
        <v>350</v>
      </c>
      <c r="T66" s="26">
        <v>150</v>
      </c>
      <c r="U66" s="26">
        <v>1149</v>
      </c>
      <c r="V66" s="26">
        <v>553</v>
      </c>
      <c r="W66" s="26">
        <v>1075</v>
      </c>
      <c r="X66" s="26">
        <v>0</v>
      </c>
    </row>
    <row r="67" spans="1:24">
      <c r="A67" s="22">
        <v>46146</v>
      </c>
      <c r="B67" s="23" t="s">
        <v>33</v>
      </c>
      <c r="C67" s="26">
        <v>353.14262608695651</v>
      </c>
      <c r="D67" s="26">
        <v>399.92647826086954</v>
      </c>
      <c r="E67" s="26">
        <v>285.23058260869567</v>
      </c>
      <c r="F67" s="26">
        <v>630.82742608695651</v>
      </c>
      <c r="G67" s="26">
        <v>353.14262608695651</v>
      </c>
      <c r="H67" s="26">
        <v>307.86793043478258</v>
      </c>
      <c r="I67" s="26">
        <v>347.10599999999999</v>
      </c>
      <c r="J67" s="26">
        <v>217.3185391304348</v>
      </c>
      <c r="K67" s="26">
        <v>421.05466956521741</v>
      </c>
      <c r="L67" s="26">
        <v>155.44312173913045</v>
      </c>
      <c r="M67" s="24">
        <v>761.9399999999996</v>
      </c>
      <c r="N67" s="27">
        <v>4233</v>
      </c>
      <c r="O67" s="26">
        <v>204</v>
      </c>
      <c r="P67" s="26">
        <v>15</v>
      </c>
      <c r="Q67" s="26">
        <v>645</v>
      </c>
      <c r="R67" s="26">
        <v>300</v>
      </c>
      <c r="S67" s="26">
        <v>350</v>
      </c>
      <c r="T67" s="26">
        <v>150</v>
      </c>
      <c r="U67" s="26">
        <v>966</v>
      </c>
      <c r="V67" s="26">
        <v>553</v>
      </c>
      <c r="W67" s="26">
        <v>1050</v>
      </c>
      <c r="X67" s="26">
        <v>0</v>
      </c>
    </row>
    <row r="68" spans="1:24">
      <c r="A68" s="22">
        <v>46147</v>
      </c>
      <c r="B68" s="23" t="s">
        <v>33</v>
      </c>
      <c r="C68" s="26">
        <v>315.76773913043479</v>
      </c>
      <c r="D68" s="26">
        <v>357.60021739130434</v>
      </c>
      <c r="E68" s="26">
        <v>255.04317391304346</v>
      </c>
      <c r="F68" s="26">
        <v>564.06373913043467</v>
      </c>
      <c r="G68" s="26">
        <v>315.76773913043479</v>
      </c>
      <c r="H68" s="26">
        <v>275.28469565217387</v>
      </c>
      <c r="I68" s="26">
        <v>310.37</v>
      </c>
      <c r="J68" s="26">
        <v>194.31860869565219</v>
      </c>
      <c r="K68" s="26">
        <v>376.49230434782606</v>
      </c>
      <c r="L68" s="26">
        <v>138.99178260869564</v>
      </c>
      <c r="M68" s="24">
        <v>681.30000000000018</v>
      </c>
      <c r="N68" s="27">
        <v>3785</v>
      </c>
      <c r="O68" s="26">
        <v>204</v>
      </c>
      <c r="P68" s="26">
        <v>15</v>
      </c>
      <c r="Q68" s="26">
        <v>645</v>
      </c>
      <c r="R68" s="26">
        <v>300</v>
      </c>
      <c r="S68" s="26">
        <v>350</v>
      </c>
      <c r="T68" s="26">
        <v>150</v>
      </c>
      <c r="U68" s="26">
        <v>588</v>
      </c>
      <c r="V68" s="26">
        <v>553</v>
      </c>
      <c r="W68" s="26">
        <v>980</v>
      </c>
      <c r="X68" s="26">
        <v>0</v>
      </c>
    </row>
    <row r="69" spans="1:24">
      <c r="A69" s="22">
        <v>46148</v>
      </c>
      <c r="B69" s="23" t="s">
        <v>33</v>
      </c>
      <c r="C69" s="26">
        <v>234.09360000000001</v>
      </c>
      <c r="D69" s="26">
        <v>265.10599999999999</v>
      </c>
      <c r="E69" s="26">
        <v>189.07560000000001</v>
      </c>
      <c r="F69" s="26">
        <v>418.16719999999998</v>
      </c>
      <c r="G69" s="26">
        <v>234.09360000000001</v>
      </c>
      <c r="H69" s="26">
        <v>204.08159999999998</v>
      </c>
      <c r="I69" s="26">
        <v>230.09200000000001</v>
      </c>
      <c r="J69" s="26">
        <v>144.05760000000001</v>
      </c>
      <c r="K69" s="26">
        <v>279.11160000000001</v>
      </c>
      <c r="L69" s="26">
        <v>103.0412</v>
      </c>
      <c r="M69" s="24">
        <v>505.07999999999993</v>
      </c>
      <c r="N69" s="27">
        <v>2806</v>
      </c>
      <c r="O69" s="26">
        <v>106</v>
      </c>
      <c r="P69" s="26">
        <v>9</v>
      </c>
      <c r="Q69" s="26">
        <v>430</v>
      </c>
      <c r="R69" s="26">
        <v>300</v>
      </c>
      <c r="S69" s="26">
        <v>200</v>
      </c>
      <c r="T69" s="26">
        <v>160</v>
      </c>
      <c r="U69" s="26">
        <v>35</v>
      </c>
      <c r="V69" s="26">
        <v>553</v>
      </c>
      <c r="W69" s="26">
        <v>928</v>
      </c>
      <c r="X69" s="26">
        <v>85</v>
      </c>
    </row>
    <row r="70" spans="1:24">
      <c r="A70" s="22">
        <v>46149</v>
      </c>
      <c r="B70" s="23" t="s">
        <v>33</v>
      </c>
      <c r="C70" s="26">
        <v>229.00460869565219</v>
      </c>
      <c r="D70" s="26">
        <v>259.34282608695651</v>
      </c>
      <c r="E70" s="26">
        <v>184.96526086956524</v>
      </c>
      <c r="F70" s="26">
        <v>409.07660869565217</v>
      </c>
      <c r="G70" s="26">
        <v>229.00460869565219</v>
      </c>
      <c r="H70" s="26">
        <v>199.64504347826087</v>
      </c>
      <c r="I70" s="26">
        <v>225.09000000000003</v>
      </c>
      <c r="J70" s="26">
        <v>140.92591304347829</v>
      </c>
      <c r="K70" s="26">
        <v>273.04395652173912</v>
      </c>
      <c r="L70" s="26">
        <v>100.80117391304348</v>
      </c>
      <c r="M70" s="24">
        <v>494.09999999999991</v>
      </c>
      <c r="N70" s="27">
        <v>2745</v>
      </c>
      <c r="O70" s="26">
        <v>105</v>
      </c>
      <c r="P70" s="26">
        <v>9</v>
      </c>
      <c r="Q70" s="26">
        <v>430</v>
      </c>
      <c r="R70" s="26">
        <v>300</v>
      </c>
      <c r="S70" s="26">
        <v>200</v>
      </c>
      <c r="T70" s="26">
        <v>162</v>
      </c>
      <c r="U70" s="26">
        <v>0</v>
      </c>
      <c r="V70" s="26">
        <v>553</v>
      </c>
      <c r="W70" s="26">
        <v>901</v>
      </c>
      <c r="X70" s="26">
        <v>85</v>
      </c>
    </row>
    <row r="71" spans="1:24">
      <c r="A71" s="22">
        <v>46150</v>
      </c>
      <c r="B71" s="23" t="s">
        <v>33</v>
      </c>
      <c r="C71" s="26">
        <v>233.92674782608694</v>
      </c>
      <c r="D71" s="26">
        <v>264.91704347826084</v>
      </c>
      <c r="E71" s="26">
        <v>188.94083478260868</v>
      </c>
      <c r="F71" s="26">
        <v>417.86914782608687</v>
      </c>
      <c r="G71" s="26">
        <v>233.92674782608694</v>
      </c>
      <c r="H71" s="26">
        <v>203.93613913043475</v>
      </c>
      <c r="I71" s="26">
        <v>229.928</v>
      </c>
      <c r="J71" s="26">
        <v>143.95492173913044</v>
      </c>
      <c r="K71" s="26">
        <v>278.91266086956517</v>
      </c>
      <c r="L71" s="26">
        <v>102.96775652173912</v>
      </c>
      <c r="M71" s="24">
        <v>504.72000000000071</v>
      </c>
      <c r="N71" s="27">
        <v>2804</v>
      </c>
      <c r="O71" s="26">
        <v>105</v>
      </c>
      <c r="P71" s="26">
        <v>7</v>
      </c>
      <c r="Q71" s="26">
        <v>430</v>
      </c>
      <c r="R71" s="26">
        <v>300</v>
      </c>
      <c r="S71" s="26">
        <v>241</v>
      </c>
      <c r="T71" s="26">
        <v>200</v>
      </c>
      <c r="U71" s="26">
        <v>0</v>
      </c>
      <c r="V71" s="26">
        <v>553</v>
      </c>
      <c r="W71" s="26">
        <v>883</v>
      </c>
      <c r="X71" s="26">
        <v>85</v>
      </c>
    </row>
    <row r="72" spans="1:24">
      <c r="A72" s="22">
        <v>46151</v>
      </c>
      <c r="B72" s="23" t="s">
        <v>33</v>
      </c>
      <c r="C72" s="26">
        <v>242.51963478260868</v>
      </c>
      <c r="D72" s="26">
        <v>274.64830434782607</v>
      </c>
      <c r="E72" s="26">
        <v>195.88124347826087</v>
      </c>
      <c r="F72" s="26">
        <v>433.21883478260861</v>
      </c>
      <c r="G72" s="26">
        <v>242.51963478260868</v>
      </c>
      <c r="H72" s="26">
        <v>211.42737391304345</v>
      </c>
      <c r="I72" s="26">
        <v>238.374</v>
      </c>
      <c r="J72" s="26">
        <v>149.24285217391304</v>
      </c>
      <c r="K72" s="26">
        <v>289.15802608695651</v>
      </c>
      <c r="L72" s="26">
        <v>106.75009565217391</v>
      </c>
      <c r="M72" s="24">
        <v>523.26000000000022</v>
      </c>
      <c r="N72" s="27">
        <v>2907</v>
      </c>
      <c r="O72" s="26">
        <v>105</v>
      </c>
      <c r="P72" s="26">
        <v>7</v>
      </c>
      <c r="Q72" s="26">
        <v>430</v>
      </c>
      <c r="R72" s="26">
        <v>300</v>
      </c>
      <c r="S72" s="26">
        <v>250</v>
      </c>
      <c r="T72" s="26">
        <v>200</v>
      </c>
      <c r="U72" s="26">
        <v>37</v>
      </c>
      <c r="V72" s="26">
        <v>553</v>
      </c>
      <c r="W72" s="26">
        <v>940</v>
      </c>
      <c r="X72" s="26">
        <v>85</v>
      </c>
    </row>
    <row r="73" spans="1:24">
      <c r="A73" s="22">
        <v>46152</v>
      </c>
      <c r="B73" s="23" t="s">
        <v>33</v>
      </c>
      <c r="C73" s="26">
        <v>265.96236521739127</v>
      </c>
      <c r="D73" s="26">
        <v>301.1966956521739</v>
      </c>
      <c r="E73" s="26">
        <v>214.81575652173913</v>
      </c>
      <c r="F73" s="26">
        <v>475.09516521739124</v>
      </c>
      <c r="G73" s="26">
        <v>265.96236521739127</v>
      </c>
      <c r="H73" s="26">
        <v>231.86462608695649</v>
      </c>
      <c r="I73" s="26">
        <v>261.416</v>
      </c>
      <c r="J73" s="26">
        <v>163.66914782608697</v>
      </c>
      <c r="K73" s="26">
        <v>317.10897391304349</v>
      </c>
      <c r="L73" s="26">
        <v>117.06890434782609</v>
      </c>
      <c r="M73" s="24">
        <v>573.8400000000006</v>
      </c>
      <c r="N73" s="27">
        <v>3188</v>
      </c>
      <c r="O73" s="26">
        <v>151</v>
      </c>
      <c r="P73" s="26">
        <v>10</v>
      </c>
      <c r="Q73" s="26">
        <v>645</v>
      </c>
      <c r="R73" s="26">
        <v>300</v>
      </c>
      <c r="S73" s="26">
        <v>350</v>
      </c>
      <c r="T73" s="26">
        <v>200</v>
      </c>
      <c r="U73" s="26">
        <v>37</v>
      </c>
      <c r="V73" s="26">
        <v>553</v>
      </c>
      <c r="W73" s="26">
        <v>942</v>
      </c>
      <c r="X73" s="26">
        <v>0</v>
      </c>
    </row>
    <row r="74" spans="1:24">
      <c r="A74" s="22">
        <v>46153</v>
      </c>
      <c r="B74" s="23" t="s">
        <v>33</v>
      </c>
      <c r="C74" s="26">
        <v>241.93565217391304</v>
      </c>
      <c r="D74" s="26">
        <v>273.98695652173916</v>
      </c>
      <c r="E74" s="26">
        <v>195.4095652173913</v>
      </c>
      <c r="F74" s="26">
        <v>432.17565217391302</v>
      </c>
      <c r="G74" s="26">
        <v>241.93565217391304</v>
      </c>
      <c r="H74" s="26">
        <v>210.91826086956519</v>
      </c>
      <c r="I74" s="26">
        <v>237.8</v>
      </c>
      <c r="J74" s="26">
        <v>148.88347826086957</v>
      </c>
      <c r="K74" s="26">
        <v>288.46173913043481</v>
      </c>
      <c r="L74" s="26">
        <v>106.49304347826087</v>
      </c>
      <c r="M74" s="24">
        <v>522</v>
      </c>
      <c r="N74" s="27">
        <v>2900</v>
      </c>
      <c r="O74" s="26">
        <v>105</v>
      </c>
      <c r="P74" s="26">
        <v>7</v>
      </c>
      <c r="Q74" s="26">
        <v>430</v>
      </c>
      <c r="R74" s="26">
        <v>300</v>
      </c>
      <c r="S74" s="26">
        <v>250</v>
      </c>
      <c r="T74" s="26">
        <v>200</v>
      </c>
      <c r="U74" s="26">
        <v>26</v>
      </c>
      <c r="V74" s="26">
        <v>553</v>
      </c>
      <c r="W74" s="26">
        <v>943</v>
      </c>
      <c r="X74" s="26">
        <v>86</v>
      </c>
    </row>
    <row r="75" spans="1:24">
      <c r="A75" s="22">
        <v>46154</v>
      </c>
      <c r="B75" s="23" t="s">
        <v>33</v>
      </c>
      <c r="C75" s="26">
        <v>237.01351304347824</v>
      </c>
      <c r="D75" s="26">
        <v>268.41273913043477</v>
      </c>
      <c r="E75" s="26">
        <v>191.43399130434781</v>
      </c>
      <c r="F75" s="26">
        <v>423.3831130434782</v>
      </c>
      <c r="G75" s="26">
        <v>237.01351304347824</v>
      </c>
      <c r="H75" s="26">
        <v>206.62716521739128</v>
      </c>
      <c r="I75" s="26">
        <v>232.96199999999999</v>
      </c>
      <c r="J75" s="26">
        <v>145.85446956521739</v>
      </c>
      <c r="K75" s="26">
        <v>282.5930347826087</v>
      </c>
      <c r="L75" s="26">
        <v>104.32646086956522</v>
      </c>
      <c r="M75" s="24">
        <v>511.38000000000011</v>
      </c>
      <c r="N75" s="27">
        <v>2841</v>
      </c>
      <c r="O75" s="26">
        <v>105</v>
      </c>
      <c r="P75" s="26">
        <v>7</v>
      </c>
      <c r="Q75" s="26">
        <v>430</v>
      </c>
      <c r="R75" s="26">
        <v>308</v>
      </c>
      <c r="S75" s="26">
        <v>250</v>
      </c>
      <c r="T75" s="26">
        <v>200</v>
      </c>
      <c r="U75" s="26">
        <v>0</v>
      </c>
      <c r="V75" s="26">
        <v>553</v>
      </c>
      <c r="W75" s="26">
        <v>902</v>
      </c>
      <c r="X75" s="26">
        <v>86</v>
      </c>
    </row>
    <row r="76" spans="1:24">
      <c r="A76" s="22">
        <v>46155</v>
      </c>
      <c r="B76" s="23" t="s">
        <v>33</v>
      </c>
      <c r="C76" s="26">
        <v>238.09805217391303</v>
      </c>
      <c r="D76" s="26">
        <v>269.6409565217391</v>
      </c>
      <c r="E76" s="26">
        <v>192.30996521739129</v>
      </c>
      <c r="F76" s="26">
        <v>425.320452173913</v>
      </c>
      <c r="G76" s="26">
        <v>238.09805217391303</v>
      </c>
      <c r="H76" s="26">
        <v>207.57266086956517</v>
      </c>
      <c r="I76" s="26">
        <v>234.02799999999999</v>
      </c>
      <c r="J76" s="26">
        <v>146.52187826086956</v>
      </c>
      <c r="K76" s="26">
        <v>283.88613913043474</v>
      </c>
      <c r="L76" s="26">
        <v>104.80384347826086</v>
      </c>
      <c r="M76" s="24">
        <v>513.72000000000025</v>
      </c>
      <c r="N76" s="27">
        <v>2854</v>
      </c>
      <c r="O76" s="26">
        <v>105</v>
      </c>
      <c r="P76" s="26">
        <v>7</v>
      </c>
      <c r="Q76" s="26">
        <v>430</v>
      </c>
      <c r="R76" s="26">
        <v>319</v>
      </c>
      <c r="S76" s="26">
        <v>250</v>
      </c>
      <c r="T76" s="26">
        <v>200</v>
      </c>
      <c r="U76" s="26">
        <v>0</v>
      </c>
      <c r="V76" s="26">
        <v>553</v>
      </c>
      <c r="W76" s="26">
        <v>904</v>
      </c>
      <c r="X76" s="26">
        <v>86</v>
      </c>
    </row>
    <row r="77" spans="1:24">
      <c r="A77" s="22">
        <v>46156</v>
      </c>
      <c r="B77" s="23" t="s">
        <v>33</v>
      </c>
      <c r="C77" s="26">
        <v>249.52742608695652</v>
      </c>
      <c r="D77" s="26">
        <v>282.58447826086956</v>
      </c>
      <c r="E77" s="26">
        <v>201.54138260869564</v>
      </c>
      <c r="F77" s="26">
        <v>445.73702608695646</v>
      </c>
      <c r="G77" s="26">
        <v>249.52742608695652</v>
      </c>
      <c r="H77" s="26">
        <v>217.53673043478258</v>
      </c>
      <c r="I77" s="26">
        <v>245.262</v>
      </c>
      <c r="J77" s="26">
        <v>153.55533913043479</v>
      </c>
      <c r="K77" s="26">
        <v>297.51346956521735</v>
      </c>
      <c r="L77" s="26">
        <v>109.83472173913043</v>
      </c>
      <c r="M77" s="24">
        <v>538.38000000000011</v>
      </c>
      <c r="N77" s="27">
        <v>2991</v>
      </c>
      <c r="O77" s="26">
        <v>105</v>
      </c>
      <c r="P77" s="26">
        <v>7</v>
      </c>
      <c r="Q77" s="26">
        <v>430</v>
      </c>
      <c r="R77" s="26">
        <v>330</v>
      </c>
      <c r="S77" s="26">
        <v>250</v>
      </c>
      <c r="T77" s="26">
        <v>250</v>
      </c>
      <c r="U77" s="26">
        <v>48</v>
      </c>
      <c r="V77" s="26">
        <v>553</v>
      </c>
      <c r="W77" s="26">
        <v>933</v>
      </c>
      <c r="X77" s="26">
        <v>85</v>
      </c>
    </row>
    <row r="78" spans="1:24">
      <c r="A78" s="22">
        <v>46157</v>
      </c>
      <c r="B78" s="23" t="s">
        <v>33</v>
      </c>
      <c r="C78" s="26">
        <v>251.02909565217388</v>
      </c>
      <c r="D78" s="26">
        <v>284.2850869565217</v>
      </c>
      <c r="E78" s="26">
        <v>202.75426956521736</v>
      </c>
      <c r="F78" s="26">
        <v>448.41949565217385</v>
      </c>
      <c r="G78" s="26">
        <v>251.02909565217388</v>
      </c>
      <c r="H78" s="26">
        <v>218.84587826086951</v>
      </c>
      <c r="I78" s="26">
        <v>246.73799999999997</v>
      </c>
      <c r="J78" s="26">
        <v>154.47944347826086</v>
      </c>
      <c r="K78" s="26">
        <v>299.30392173913037</v>
      </c>
      <c r="L78" s="26">
        <v>110.49571304347825</v>
      </c>
      <c r="M78" s="24">
        <v>541.62000000000035</v>
      </c>
      <c r="N78" s="27">
        <v>3009</v>
      </c>
      <c r="O78" s="26">
        <v>105</v>
      </c>
      <c r="P78" s="26">
        <v>7</v>
      </c>
      <c r="Q78" s="26">
        <v>430</v>
      </c>
      <c r="R78" s="26">
        <v>311</v>
      </c>
      <c r="S78" s="26">
        <v>250</v>
      </c>
      <c r="T78" s="26">
        <v>250</v>
      </c>
      <c r="U78" s="26">
        <v>64</v>
      </c>
      <c r="V78" s="26">
        <v>553</v>
      </c>
      <c r="W78" s="26">
        <v>954</v>
      </c>
      <c r="X78" s="26">
        <v>85</v>
      </c>
    </row>
    <row r="79" spans="1:24">
      <c r="A79" s="22">
        <v>46158</v>
      </c>
      <c r="B79" s="23" t="s">
        <v>33</v>
      </c>
      <c r="C79" s="26">
        <v>294.24380869565215</v>
      </c>
      <c r="D79" s="26">
        <v>333.22482608695651</v>
      </c>
      <c r="E79" s="26">
        <v>237.6584608695652</v>
      </c>
      <c r="F79" s="26">
        <v>525.61500869565214</v>
      </c>
      <c r="G79" s="26">
        <v>294.24380869565215</v>
      </c>
      <c r="H79" s="26">
        <v>256.52024347826085</v>
      </c>
      <c r="I79" s="26">
        <v>289.214</v>
      </c>
      <c r="J79" s="26">
        <v>181.07311304347826</v>
      </c>
      <c r="K79" s="26">
        <v>350.82915652173909</v>
      </c>
      <c r="L79" s="26">
        <v>129.51757391304349</v>
      </c>
      <c r="M79" s="24">
        <v>634.85999999999967</v>
      </c>
      <c r="N79" s="27">
        <v>3527</v>
      </c>
      <c r="O79" s="26">
        <v>151</v>
      </c>
      <c r="P79" s="26">
        <v>10</v>
      </c>
      <c r="Q79" s="26">
        <v>645</v>
      </c>
      <c r="R79" s="26">
        <v>410</v>
      </c>
      <c r="S79" s="26">
        <v>350</v>
      </c>
      <c r="T79" s="26">
        <v>250</v>
      </c>
      <c r="U79" s="26">
        <v>97</v>
      </c>
      <c r="V79" s="26">
        <v>553</v>
      </c>
      <c r="W79" s="26">
        <v>1061</v>
      </c>
      <c r="X79" s="26">
        <v>0</v>
      </c>
    </row>
    <row r="80" spans="1:24">
      <c r="A80" s="22">
        <v>46159</v>
      </c>
      <c r="B80" s="23" t="s">
        <v>33</v>
      </c>
      <c r="C80" s="26">
        <v>299.9167826086956</v>
      </c>
      <c r="D80" s="26">
        <v>339.64934782608691</v>
      </c>
      <c r="E80" s="26">
        <v>242.24047826086954</v>
      </c>
      <c r="F80" s="26">
        <v>535.74878260869559</v>
      </c>
      <c r="G80" s="26">
        <v>299.9167826086956</v>
      </c>
      <c r="H80" s="26">
        <v>261.46591304347822</v>
      </c>
      <c r="I80" s="26">
        <v>294.78999999999996</v>
      </c>
      <c r="J80" s="26">
        <v>184.56417391304348</v>
      </c>
      <c r="K80" s="26">
        <v>357.59308695652169</v>
      </c>
      <c r="L80" s="26">
        <v>132.01465217391302</v>
      </c>
      <c r="M80" s="24">
        <v>647.10000000000082</v>
      </c>
      <c r="N80" s="27">
        <v>3595</v>
      </c>
      <c r="O80" s="26">
        <v>151</v>
      </c>
      <c r="P80" s="26">
        <v>10</v>
      </c>
      <c r="Q80" s="26">
        <v>645</v>
      </c>
      <c r="R80" s="26">
        <v>410</v>
      </c>
      <c r="S80" s="26">
        <v>350</v>
      </c>
      <c r="T80" s="26">
        <v>250</v>
      </c>
      <c r="U80" s="26">
        <v>97</v>
      </c>
      <c r="V80" s="26">
        <v>553</v>
      </c>
      <c r="W80" s="26">
        <v>1129</v>
      </c>
      <c r="X80" s="26">
        <v>0</v>
      </c>
    </row>
    <row r="81" spans="1:24">
      <c r="A81" s="22">
        <v>46160</v>
      </c>
      <c r="B81" s="23" t="s">
        <v>33</v>
      </c>
      <c r="C81" s="26">
        <v>265.04467826086955</v>
      </c>
      <c r="D81" s="26">
        <v>300.15743478260868</v>
      </c>
      <c r="E81" s="26">
        <v>214.07454782608696</v>
      </c>
      <c r="F81" s="26">
        <v>473.4558782608695</v>
      </c>
      <c r="G81" s="26">
        <v>265.04467826086955</v>
      </c>
      <c r="H81" s="26">
        <v>231.0645913043478</v>
      </c>
      <c r="I81" s="26">
        <v>260.51400000000001</v>
      </c>
      <c r="J81" s="26">
        <v>163.10441739130437</v>
      </c>
      <c r="K81" s="26">
        <v>316.01480869565216</v>
      </c>
      <c r="L81" s="26">
        <v>116.6649652173913</v>
      </c>
      <c r="M81" s="24">
        <v>571.86000000000013</v>
      </c>
      <c r="N81" s="27">
        <v>3177</v>
      </c>
      <c r="O81" s="26">
        <v>105</v>
      </c>
      <c r="P81" s="26">
        <v>7</v>
      </c>
      <c r="Q81" s="26">
        <v>430</v>
      </c>
      <c r="R81" s="26">
        <v>333</v>
      </c>
      <c r="S81" s="26">
        <v>250</v>
      </c>
      <c r="T81" s="26">
        <v>250</v>
      </c>
      <c r="U81" s="26">
        <v>58</v>
      </c>
      <c r="V81" s="26">
        <v>553</v>
      </c>
      <c r="W81" s="26">
        <v>1106</v>
      </c>
      <c r="X81" s="26">
        <v>85</v>
      </c>
    </row>
    <row r="82" spans="1:24">
      <c r="A82" s="22">
        <v>46161</v>
      </c>
      <c r="B82" s="23" t="s">
        <v>33</v>
      </c>
      <c r="C82" s="26">
        <v>267.29718260869561</v>
      </c>
      <c r="D82" s="26">
        <v>302.70834782608694</v>
      </c>
      <c r="E82" s="26">
        <v>215.89387826086954</v>
      </c>
      <c r="F82" s="26">
        <v>477.47958260869558</v>
      </c>
      <c r="G82" s="26">
        <v>267.29718260869561</v>
      </c>
      <c r="H82" s="26">
        <v>233.02831304347822</v>
      </c>
      <c r="I82" s="26">
        <v>262.72800000000001</v>
      </c>
      <c r="J82" s="26">
        <v>164.49057391304348</v>
      </c>
      <c r="K82" s="26">
        <v>318.70048695652173</v>
      </c>
      <c r="L82" s="26">
        <v>117.65645217391304</v>
      </c>
      <c r="M82" s="24">
        <v>576.72000000000025</v>
      </c>
      <c r="N82" s="27">
        <v>3204</v>
      </c>
      <c r="O82" s="26">
        <v>105</v>
      </c>
      <c r="P82" s="26">
        <v>7</v>
      </c>
      <c r="Q82" s="26">
        <v>430</v>
      </c>
      <c r="R82" s="26">
        <v>333</v>
      </c>
      <c r="S82" s="26">
        <v>250</v>
      </c>
      <c r="T82" s="26">
        <v>300</v>
      </c>
      <c r="U82" s="26">
        <v>15</v>
      </c>
      <c r="V82" s="26">
        <v>553</v>
      </c>
      <c r="W82" s="26">
        <v>1126</v>
      </c>
      <c r="X82" s="26">
        <v>85</v>
      </c>
    </row>
    <row r="83" spans="1:24">
      <c r="A83" s="22">
        <v>46162</v>
      </c>
      <c r="B83" s="23" t="s">
        <v>33</v>
      </c>
      <c r="C83" s="26">
        <v>267.38060869565214</v>
      </c>
      <c r="D83" s="26">
        <v>302.80282608695649</v>
      </c>
      <c r="E83" s="26">
        <v>215.96126086956522</v>
      </c>
      <c r="F83" s="26">
        <v>477.62860869565213</v>
      </c>
      <c r="G83" s="26">
        <v>267.38060869565214</v>
      </c>
      <c r="H83" s="26">
        <v>233.10104347826083</v>
      </c>
      <c r="I83" s="26">
        <v>262.81</v>
      </c>
      <c r="J83" s="26">
        <v>164.54191304347827</v>
      </c>
      <c r="K83" s="26">
        <v>318.79995652173909</v>
      </c>
      <c r="L83" s="26">
        <v>117.69317391304348</v>
      </c>
      <c r="M83" s="24">
        <v>576.89999999999964</v>
      </c>
      <c r="N83" s="27">
        <v>3205</v>
      </c>
      <c r="O83" s="26">
        <v>105</v>
      </c>
      <c r="P83" s="26">
        <v>7</v>
      </c>
      <c r="Q83" s="26">
        <v>430</v>
      </c>
      <c r="R83" s="26">
        <v>333</v>
      </c>
      <c r="S83" s="26">
        <v>250</v>
      </c>
      <c r="T83" s="26">
        <v>300</v>
      </c>
      <c r="U83" s="26">
        <v>0</v>
      </c>
      <c r="V83" s="26">
        <v>553</v>
      </c>
      <c r="W83" s="26">
        <v>1142</v>
      </c>
      <c r="X83" s="26">
        <v>85</v>
      </c>
    </row>
    <row r="84" spans="1:24">
      <c r="A84" s="22">
        <v>46163</v>
      </c>
      <c r="B84" s="23" t="s">
        <v>33</v>
      </c>
      <c r="C84" s="26">
        <v>270.63422608695652</v>
      </c>
      <c r="D84" s="26">
        <v>306.48747826086958</v>
      </c>
      <c r="E84" s="26">
        <v>218.58918260869567</v>
      </c>
      <c r="F84" s="26">
        <v>483.44062608695646</v>
      </c>
      <c r="G84" s="26">
        <v>270.63422608695652</v>
      </c>
      <c r="H84" s="26">
        <v>235.93753043478259</v>
      </c>
      <c r="I84" s="26">
        <v>266.00799999999998</v>
      </c>
      <c r="J84" s="26">
        <v>166.54413913043479</v>
      </c>
      <c r="K84" s="26">
        <v>322.6792695652174</v>
      </c>
      <c r="L84" s="26">
        <v>119.12532173913044</v>
      </c>
      <c r="M84" s="24">
        <v>583.92000000000007</v>
      </c>
      <c r="N84" s="27">
        <v>3244</v>
      </c>
      <c r="O84" s="26">
        <v>105</v>
      </c>
      <c r="P84" s="26">
        <v>7</v>
      </c>
      <c r="Q84" s="26">
        <v>430</v>
      </c>
      <c r="R84" s="26">
        <v>333</v>
      </c>
      <c r="S84" s="26">
        <v>250</v>
      </c>
      <c r="T84" s="26">
        <v>300</v>
      </c>
      <c r="U84" s="26">
        <v>0</v>
      </c>
      <c r="V84" s="26">
        <v>553</v>
      </c>
      <c r="W84" s="26">
        <v>1181</v>
      </c>
      <c r="X84" s="26">
        <v>85</v>
      </c>
    </row>
    <row r="85" spans="1:24">
      <c r="A85" s="22">
        <v>46164</v>
      </c>
      <c r="B85" s="23" t="s">
        <v>33</v>
      </c>
      <c r="C85" s="26">
        <v>271.38506086956522</v>
      </c>
      <c r="D85" s="26">
        <v>307.33778260869565</v>
      </c>
      <c r="E85" s="26">
        <v>219.19562608695654</v>
      </c>
      <c r="F85" s="26">
        <v>484.78186086956521</v>
      </c>
      <c r="G85" s="26">
        <v>271.38506086956522</v>
      </c>
      <c r="H85" s="26">
        <v>236.59210434782608</v>
      </c>
      <c r="I85" s="26">
        <v>266.74600000000004</v>
      </c>
      <c r="J85" s="26">
        <v>167.00619130434785</v>
      </c>
      <c r="K85" s="26">
        <v>323.57449565217394</v>
      </c>
      <c r="L85" s="26">
        <v>119.45581739130435</v>
      </c>
      <c r="M85" s="24">
        <v>585.54</v>
      </c>
      <c r="N85" s="27">
        <v>3253</v>
      </c>
      <c r="O85" s="26">
        <v>105</v>
      </c>
      <c r="P85" s="26">
        <v>7</v>
      </c>
      <c r="Q85" s="26">
        <v>430</v>
      </c>
      <c r="R85" s="26">
        <v>333</v>
      </c>
      <c r="S85" s="26">
        <v>250</v>
      </c>
      <c r="T85" s="26">
        <v>300</v>
      </c>
      <c r="U85" s="26">
        <v>8</v>
      </c>
      <c r="V85" s="26">
        <v>553</v>
      </c>
      <c r="W85" s="26">
        <v>1182</v>
      </c>
      <c r="X85" s="26">
        <v>85</v>
      </c>
    </row>
    <row r="86" spans="1:24">
      <c r="A86" s="22">
        <v>46165</v>
      </c>
      <c r="B86" s="23" t="s">
        <v>33</v>
      </c>
      <c r="C86" s="26">
        <v>312.76439999999997</v>
      </c>
      <c r="D86" s="26">
        <v>354.19900000000001</v>
      </c>
      <c r="E86" s="26">
        <v>252.6174</v>
      </c>
      <c r="F86" s="26">
        <v>558.69879999999989</v>
      </c>
      <c r="G86" s="26">
        <v>312.76439999999997</v>
      </c>
      <c r="H86" s="26">
        <v>272.66639999999995</v>
      </c>
      <c r="I86" s="26">
        <v>307.41800000000001</v>
      </c>
      <c r="J86" s="26">
        <v>192.47040000000001</v>
      </c>
      <c r="K86" s="26">
        <v>372.91139999999996</v>
      </c>
      <c r="L86" s="26">
        <v>137.66980000000001</v>
      </c>
      <c r="M86" s="24">
        <v>674.81999999999971</v>
      </c>
      <c r="N86" s="27">
        <v>3749</v>
      </c>
      <c r="O86" s="26">
        <v>151</v>
      </c>
      <c r="P86" s="26">
        <v>10</v>
      </c>
      <c r="Q86" s="26">
        <v>645</v>
      </c>
      <c r="R86" s="26">
        <v>431</v>
      </c>
      <c r="S86" s="26">
        <v>350</v>
      </c>
      <c r="T86" s="26">
        <v>300</v>
      </c>
      <c r="U86" s="26">
        <v>79</v>
      </c>
      <c r="V86" s="26">
        <v>553</v>
      </c>
      <c r="W86" s="26">
        <v>1230</v>
      </c>
      <c r="X86" s="26">
        <v>0</v>
      </c>
    </row>
    <row r="87" spans="1:24">
      <c r="A87" s="22">
        <v>46166</v>
      </c>
      <c r="B87" s="23" t="s">
        <v>33</v>
      </c>
      <c r="C87" s="26">
        <v>313.84893913043476</v>
      </c>
      <c r="D87" s="26">
        <v>355.42721739130434</v>
      </c>
      <c r="E87" s="26">
        <v>253.49337391304346</v>
      </c>
      <c r="F87" s="26">
        <v>560.63613913043469</v>
      </c>
      <c r="G87" s="26">
        <v>313.84893913043476</v>
      </c>
      <c r="H87" s="26">
        <v>273.61189565217387</v>
      </c>
      <c r="I87" s="26">
        <v>308.48399999999998</v>
      </c>
      <c r="J87" s="26">
        <v>193.13780869565218</v>
      </c>
      <c r="K87" s="26">
        <v>374.20450434782606</v>
      </c>
      <c r="L87" s="26">
        <v>138.14718260869566</v>
      </c>
      <c r="M87" s="24">
        <v>677.16000000000031</v>
      </c>
      <c r="N87" s="27">
        <v>3762</v>
      </c>
      <c r="O87" s="26">
        <v>151</v>
      </c>
      <c r="P87" s="26">
        <v>10</v>
      </c>
      <c r="Q87" s="26">
        <v>645</v>
      </c>
      <c r="R87" s="26">
        <v>431</v>
      </c>
      <c r="S87" s="26">
        <v>350</v>
      </c>
      <c r="T87" s="26">
        <v>300</v>
      </c>
      <c r="U87" s="26">
        <v>79</v>
      </c>
      <c r="V87" s="26">
        <v>553</v>
      </c>
      <c r="W87" s="26">
        <v>1243</v>
      </c>
      <c r="X87" s="26">
        <v>0</v>
      </c>
    </row>
    <row r="88" spans="1:24">
      <c r="A88" s="22">
        <v>46167</v>
      </c>
      <c r="B88" s="23" t="s">
        <v>33</v>
      </c>
      <c r="C88" s="26">
        <v>278.30942608695653</v>
      </c>
      <c r="D88" s="26">
        <v>315.17947826086959</v>
      </c>
      <c r="E88" s="26">
        <v>224.78838260869566</v>
      </c>
      <c r="F88" s="26">
        <v>497.15102608695651</v>
      </c>
      <c r="G88" s="26">
        <v>278.30942608695653</v>
      </c>
      <c r="H88" s="26">
        <v>242.6287304347826</v>
      </c>
      <c r="I88" s="26">
        <v>273.55200000000002</v>
      </c>
      <c r="J88" s="26">
        <v>171.26733913043481</v>
      </c>
      <c r="K88" s="26">
        <v>331.83046956521741</v>
      </c>
      <c r="L88" s="26">
        <v>122.50372173913044</v>
      </c>
      <c r="M88" s="24">
        <v>600.48</v>
      </c>
      <c r="N88" s="27">
        <v>3336</v>
      </c>
      <c r="O88" s="26">
        <v>105</v>
      </c>
      <c r="P88" s="26">
        <v>7</v>
      </c>
      <c r="Q88" s="26">
        <v>430</v>
      </c>
      <c r="R88" s="26">
        <v>354</v>
      </c>
      <c r="S88" s="26">
        <v>250</v>
      </c>
      <c r="T88" s="26">
        <v>350</v>
      </c>
      <c r="U88" s="26">
        <v>26</v>
      </c>
      <c r="V88" s="26">
        <v>553</v>
      </c>
      <c r="W88" s="26">
        <v>1176</v>
      </c>
      <c r="X88" s="26">
        <v>85</v>
      </c>
    </row>
    <row r="89" spans="1:24">
      <c r="A89" s="22">
        <v>46168</v>
      </c>
      <c r="B89" s="23" t="s">
        <v>33</v>
      </c>
      <c r="C89" s="26">
        <v>274.13812173913044</v>
      </c>
      <c r="D89" s="26">
        <v>310.45556521739132</v>
      </c>
      <c r="E89" s="26">
        <v>221.41925217391304</v>
      </c>
      <c r="F89" s="26">
        <v>489.69972173913038</v>
      </c>
      <c r="G89" s="26">
        <v>274.13812173913044</v>
      </c>
      <c r="H89" s="26">
        <v>238.99220869565215</v>
      </c>
      <c r="I89" s="26">
        <v>269.452</v>
      </c>
      <c r="J89" s="26">
        <v>168.70038260869566</v>
      </c>
      <c r="K89" s="26">
        <v>326.85699130434784</v>
      </c>
      <c r="L89" s="26">
        <v>120.6676347826087</v>
      </c>
      <c r="M89" s="24">
        <v>591.48</v>
      </c>
      <c r="N89" s="27">
        <v>3286</v>
      </c>
      <c r="O89" s="26">
        <v>105</v>
      </c>
      <c r="P89" s="26">
        <v>7</v>
      </c>
      <c r="Q89" s="26">
        <v>430</v>
      </c>
      <c r="R89" s="26">
        <v>343</v>
      </c>
      <c r="S89" s="26">
        <v>250</v>
      </c>
      <c r="T89" s="26">
        <v>350</v>
      </c>
      <c r="U89" s="26">
        <v>0</v>
      </c>
      <c r="V89" s="26">
        <v>553</v>
      </c>
      <c r="W89" s="26">
        <v>1163</v>
      </c>
      <c r="X89" s="26">
        <v>85</v>
      </c>
    </row>
    <row r="90" spans="1:24">
      <c r="A90" s="22">
        <v>46169</v>
      </c>
      <c r="B90" s="23" t="s">
        <v>33</v>
      </c>
      <c r="C90" s="26">
        <v>272.46960000000001</v>
      </c>
      <c r="D90" s="26">
        <v>308.56599999999997</v>
      </c>
      <c r="E90" s="26">
        <v>220.07159999999999</v>
      </c>
      <c r="F90" s="26">
        <v>486.71919999999994</v>
      </c>
      <c r="G90" s="26">
        <v>272.46960000000001</v>
      </c>
      <c r="H90" s="26">
        <v>237.53759999999997</v>
      </c>
      <c r="I90" s="26">
        <v>267.81200000000001</v>
      </c>
      <c r="J90" s="26">
        <v>167.67359999999999</v>
      </c>
      <c r="K90" s="26">
        <v>324.86759999999998</v>
      </c>
      <c r="L90" s="26">
        <v>119.9332</v>
      </c>
      <c r="M90" s="24">
        <v>587.88000000000011</v>
      </c>
      <c r="N90" s="27">
        <v>3266</v>
      </c>
      <c r="O90" s="26">
        <v>105</v>
      </c>
      <c r="P90" s="26">
        <v>7</v>
      </c>
      <c r="Q90" s="26">
        <v>430</v>
      </c>
      <c r="R90" s="26">
        <v>343</v>
      </c>
      <c r="S90" s="26">
        <v>250</v>
      </c>
      <c r="T90" s="26">
        <v>350</v>
      </c>
      <c r="U90" s="26">
        <v>0</v>
      </c>
      <c r="V90" s="26">
        <v>553</v>
      </c>
      <c r="W90" s="26">
        <v>1143</v>
      </c>
      <c r="X90" s="26">
        <v>85</v>
      </c>
    </row>
    <row r="91" spans="1:24">
      <c r="A91" s="22">
        <v>46170</v>
      </c>
      <c r="B91" s="23" t="s">
        <v>33</v>
      </c>
      <c r="C91" s="26">
        <v>275.47293913043478</v>
      </c>
      <c r="D91" s="26">
        <v>311.96721739130436</v>
      </c>
      <c r="E91" s="26">
        <v>222.49737391304348</v>
      </c>
      <c r="F91" s="26">
        <v>492.08413913043472</v>
      </c>
      <c r="G91" s="26">
        <v>275.47293913043478</v>
      </c>
      <c r="H91" s="26">
        <v>240.15589565217388</v>
      </c>
      <c r="I91" s="26">
        <v>270.76400000000001</v>
      </c>
      <c r="J91" s="26">
        <v>169.52180869565217</v>
      </c>
      <c r="K91" s="26">
        <v>328.44850434782609</v>
      </c>
      <c r="L91" s="26">
        <v>121.25518260869565</v>
      </c>
      <c r="M91" s="24">
        <v>594.36000000000013</v>
      </c>
      <c r="N91" s="27">
        <v>3302</v>
      </c>
      <c r="O91" s="26">
        <v>105</v>
      </c>
      <c r="P91" s="26">
        <v>7</v>
      </c>
      <c r="Q91" s="26">
        <v>430</v>
      </c>
      <c r="R91" s="26">
        <v>343</v>
      </c>
      <c r="S91" s="26">
        <v>250</v>
      </c>
      <c r="T91" s="26">
        <v>350</v>
      </c>
      <c r="U91" s="26">
        <v>0</v>
      </c>
      <c r="V91" s="26">
        <v>553</v>
      </c>
      <c r="W91" s="26">
        <v>1179</v>
      </c>
      <c r="X91" s="26">
        <v>85</v>
      </c>
    </row>
    <row r="92" spans="1:24">
      <c r="A92" s="22">
        <v>46171</v>
      </c>
      <c r="B92" s="23" t="s">
        <v>33</v>
      </c>
      <c r="C92" s="26">
        <v>275.97349565217394</v>
      </c>
      <c r="D92" s="26">
        <v>312.53408695652172</v>
      </c>
      <c r="E92" s="26">
        <v>222.90166956521739</v>
      </c>
      <c r="F92" s="26">
        <v>492.97829565217387</v>
      </c>
      <c r="G92" s="26">
        <v>275.97349565217394</v>
      </c>
      <c r="H92" s="26">
        <v>240.59227826086953</v>
      </c>
      <c r="I92" s="26">
        <v>271.25600000000003</v>
      </c>
      <c r="J92" s="26">
        <v>169.82984347826087</v>
      </c>
      <c r="K92" s="26">
        <v>329.04532173913043</v>
      </c>
      <c r="L92" s="26">
        <v>121.47551304347826</v>
      </c>
      <c r="M92" s="24">
        <v>595.44000000000005</v>
      </c>
      <c r="N92" s="27">
        <v>3308</v>
      </c>
      <c r="O92" s="26">
        <v>105</v>
      </c>
      <c r="P92" s="26">
        <v>7</v>
      </c>
      <c r="Q92" s="26">
        <v>430</v>
      </c>
      <c r="R92" s="26">
        <v>343</v>
      </c>
      <c r="S92" s="26">
        <v>250</v>
      </c>
      <c r="T92" s="26">
        <v>350</v>
      </c>
      <c r="U92" s="26">
        <v>0</v>
      </c>
      <c r="V92" s="26">
        <v>553</v>
      </c>
      <c r="W92" s="26">
        <v>1185</v>
      </c>
      <c r="X92" s="26">
        <v>85</v>
      </c>
    </row>
    <row r="93" spans="1:24">
      <c r="A93" s="22">
        <v>46172</v>
      </c>
      <c r="B93" s="23" t="s">
        <v>33</v>
      </c>
      <c r="C93" s="26">
        <v>309.67763478260866</v>
      </c>
      <c r="D93" s="26">
        <v>350.70330434782608</v>
      </c>
      <c r="E93" s="26">
        <v>250.12424347826087</v>
      </c>
      <c r="F93" s="26">
        <v>553.18483478260862</v>
      </c>
      <c r="G93" s="26">
        <v>309.67763478260866</v>
      </c>
      <c r="H93" s="26">
        <v>269.97537391304343</v>
      </c>
      <c r="I93" s="26">
        <v>304.38399999999996</v>
      </c>
      <c r="J93" s="26">
        <v>190.57085217391304</v>
      </c>
      <c r="K93" s="26">
        <v>369.23102608695649</v>
      </c>
      <c r="L93" s="26">
        <v>136.31109565217392</v>
      </c>
      <c r="M93" s="24">
        <v>668.15999999999985</v>
      </c>
      <c r="N93" s="27">
        <v>3712</v>
      </c>
      <c r="O93" s="26">
        <v>151</v>
      </c>
      <c r="P93" s="26">
        <v>10</v>
      </c>
      <c r="Q93" s="26">
        <v>645</v>
      </c>
      <c r="R93" s="26">
        <v>420</v>
      </c>
      <c r="S93" s="26">
        <v>350</v>
      </c>
      <c r="T93" s="26">
        <v>350</v>
      </c>
      <c r="U93" s="26">
        <v>34</v>
      </c>
      <c r="V93" s="26">
        <v>553</v>
      </c>
      <c r="W93" s="26">
        <v>1199</v>
      </c>
      <c r="X93" s="26">
        <v>0</v>
      </c>
    </row>
    <row r="94" spans="1:24">
      <c r="A94" s="22">
        <v>46173</v>
      </c>
      <c r="B94" s="23" t="s">
        <v>33</v>
      </c>
      <c r="C94" s="26">
        <v>309.42735652173911</v>
      </c>
      <c r="D94" s="26">
        <v>350.41986956521737</v>
      </c>
      <c r="E94" s="26">
        <v>249.92209565217388</v>
      </c>
      <c r="F94" s="26">
        <v>552.73775652173902</v>
      </c>
      <c r="G94" s="26">
        <v>309.42735652173911</v>
      </c>
      <c r="H94" s="26">
        <v>269.75718260869559</v>
      </c>
      <c r="I94" s="26">
        <v>304.13799999999998</v>
      </c>
      <c r="J94" s="26">
        <v>190.4168347826087</v>
      </c>
      <c r="K94" s="26">
        <v>368.93261739130429</v>
      </c>
      <c r="L94" s="26">
        <v>136.20093043478261</v>
      </c>
      <c r="M94" s="24">
        <v>667.62000000000035</v>
      </c>
      <c r="N94" s="27">
        <v>3709</v>
      </c>
      <c r="O94" s="26">
        <v>151</v>
      </c>
      <c r="P94" s="26">
        <v>10</v>
      </c>
      <c r="Q94" s="26">
        <v>655</v>
      </c>
      <c r="R94" s="26">
        <v>420</v>
      </c>
      <c r="S94" s="26">
        <v>350</v>
      </c>
      <c r="T94" s="26">
        <v>350</v>
      </c>
      <c r="U94" s="26">
        <v>34</v>
      </c>
      <c r="V94" s="26">
        <v>552</v>
      </c>
      <c r="W94" s="26">
        <v>1187</v>
      </c>
      <c r="X94" s="26">
        <v>0</v>
      </c>
    </row>
    <row r="95" spans="1:24">
      <c r="A95" s="22">
        <v>46174</v>
      </c>
      <c r="B95" s="23" t="s">
        <v>33</v>
      </c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4">
        <v>1919</v>
      </c>
      <c r="N95" s="27">
        <v>1919</v>
      </c>
      <c r="O95" s="26">
        <v>67</v>
      </c>
      <c r="P95" s="26">
        <v>4</v>
      </c>
      <c r="Q95" s="26">
        <v>232</v>
      </c>
      <c r="R95" s="26">
        <v>369</v>
      </c>
      <c r="S95" s="26">
        <v>155</v>
      </c>
      <c r="T95" s="26">
        <v>132</v>
      </c>
      <c r="U95" s="26">
        <v>193</v>
      </c>
      <c r="V95" s="26">
        <v>295</v>
      </c>
      <c r="W95" s="26">
        <v>440</v>
      </c>
      <c r="X95" s="26">
        <v>32</v>
      </c>
    </row>
    <row r="96" spans="1:24">
      <c r="A96" s="22">
        <v>46175</v>
      </c>
      <c r="B96" s="23" t="s">
        <v>33</v>
      </c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4">
        <v>1921</v>
      </c>
      <c r="N96" s="27">
        <v>1921</v>
      </c>
      <c r="O96" s="26">
        <v>63</v>
      </c>
      <c r="P96" s="26">
        <v>3</v>
      </c>
      <c r="Q96" s="26">
        <v>227</v>
      </c>
      <c r="R96" s="26">
        <v>368</v>
      </c>
      <c r="S96" s="26">
        <v>155</v>
      </c>
      <c r="T96" s="26">
        <v>135</v>
      </c>
      <c r="U96" s="26">
        <v>202</v>
      </c>
      <c r="V96" s="26">
        <v>295</v>
      </c>
      <c r="W96" s="26">
        <v>437</v>
      </c>
      <c r="X96" s="26">
        <v>36</v>
      </c>
    </row>
    <row r="97" spans="1:24">
      <c r="A97" s="22">
        <v>46176</v>
      </c>
      <c r="B97" s="23" t="s">
        <v>33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4">
        <v>1921</v>
      </c>
      <c r="N97" s="27">
        <v>1921</v>
      </c>
      <c r="O97" s="26">
        <v>63</v>
      </c>
      <c r="P97" s="26">
        <v>3</v>
      </c>
      <c r="Q97" s="26">
        <v>227</v>
      </c>
      <c r="R97" s="26">
        <v>368</v>
      </c>
      <c r="S97" s="26">
        <v>155</v>
      </c>
      <c r="T97" s="26">
        <v>135</v>
      </c>
      <c r="U97" s="26">
        <v>202</v>
      </c>
      <c r="V97" s="26">
        <v>295</v>
      </c>
      <c r="W97" s="26">
        <v>437</v>
      </c>
      <c r="X97" s="26">
        <v>36</v>
      </c>
    </row>
    <row r="98" spans="1:24">
      <c r="A98" s="22">
        <v>46177</v>
      </c>
      <c r="B98" s="23" t="s">
        <v>33</v>
      </c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4">
        <v>1921</v>
      </c>
      <c r="N98" s="27">
        <v>1921</v>
      </c>
      <c r="O98" s="26">
        <v>63</v>
      </c>
      <c r="P98" s="26">
        <v>3</v>
      </c>
      <c r="Q98" s="26">
        <v>227</v>
      </c>
      <c r="R98" s="26">
        <v>368</v>
      </c>
      <c r="S98" s="26">
        <v>155</v>
      </c>
      <c r="T98" s="26">
        <v>135</v>
      </c>
      <c r="U98" s="26">
        <v>202</v>
      </c>
      <c r="V98" s="26">
        <v>295</v>
      </c>
      <c r="W98" s="26">
        <v>437</v>
      </c>
      <c r="X98" s="26">
        <v>36</v>
      </c>
    </row>
    <row r="99" spans="1:24">
      <c r="A99" s="22">
        <v>46178</v>
      </c>
      <c r="B99" s="23" t="s">
        <v>33</v>
      </c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4">
        <v>1921</v>
      </c>
      <c r="N99" s="27">
        <v>1921</v>
      </c>
      <c r="O99" s="26">
        <v>63</v>
      </c>
      <c r="P99" s="26">
        <v>3</v>
      </c>
      <c r="Q99" s="26">
        <v>227</v>
      </c>
      <c r="R99" s="26">
        <v>368</v>
      </c>
      <c r="S99" s="26">
        <v>155</v>
      </c>
      <c r="T99" s="26">
        <v>135</v>
      </c>
      <c r="U99" s="26">
        <v>202</v>
      </c>
      <c r="V99" s="26">
        <v>295</v>
      </c>
      <c r="W99" s="26">
        <v>437</v>
      </c>
      <c r="X99" s="26">
        <v>36</v>
      </c>
    </row>
    <row r="100" spans="1:24">
      <c r="A100" s="22">
        <v>46179</v>
      </c>
      <c r="B100" s="23" t="s">
        <v>33</v>
      </c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4">
        <v>4399</v>
      </c>
      <c r="N100" s="27">
        <v>4399</v>
      </c>
      <c r="O100" s="26">
        <v>144</v>
      </c>
      <c r="P100" s="26">
        <v>8</v>
      </c>
      <c r="Q100" s="26">
        <v>521</v>
      </c>
      <c r="R100" s="26">
        <v>843</v>
      </c>
      <c r="S100" s="26">
        <v>355</v>
      </c>
      <c r="T100" s="26">
        <v>309</v>
      </c>
      <c r="U100" s="26">
        <v>462</v>
      </c>
      <c r="V100" s="26">
        <v>675</v>
      </c>
      <c r="W100" s="26">
        <v>1001</v>
      </c>
      <c r="X100" s="26">
        <v>81</v>
      </c>
    </row>
    <row r="101" spans="1:24">
      <c r="A101" s="22">
        <v>46180</v>
      </c>
      <c r="B101" s="23" t="s">
        <v>33</v>
      </c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4">
        <v>4399</v>
      </c>
      <c r="N101" s="27">
        <v>4399</v>
      </c>
      <c r="O101" s="26">
        <v>144</v>
      </c>
      <c r="P101" s="26">
        <v>8</v>
      </c>
      <c r="Q101" s="26">
        <v>521</v>
      </c>
      <c r="R101" s="26">
        <v>843</v>
      </c>
      <c r="S101" s="26">
        <v>355</v>
      </c>
      <c r="T101" s="26">
        <v>309</v>
      </c>
      <c r="U101" s="26">
        <v>462</v>
      </c>
      <c r="V101" s="26">
        <v>675</v>
      </c>
      <c r="W101" s="26">
        <v>1001</v>
      </c>
      <c r="X101" s="26">
        <v>81</v>
      </c>
    </row>
    <row r="102" spans="1:24">
      <c r="A102" s="22">
        <v>46181</v>
      </c>
      <c r="B102" s="23" t="s">
        <v>33</v>
      </c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4">
        <v>2359</v>
      </c>
      <c r="N102" s="27">
        <v>2359</v>
      </c>
      <c r="O102" s="26">
        <v>77</v>
      </c>
      <c r="P102" s="26">
        <v>4</v>
      </c>
      <c r="Q102" s="26">
        <v>279</v>
      </c>
      <c r="R102" s="26">
        <v>452</v>
      </c>
      <c r="S102" s="26">
        <v>190</v>
      </c>
      <c r="T102" s="26">
        <v>166</v>
      </c>
      <c r="U102" s="26">
        <v>248</v>
      </c>
      <c r="V102" s="26">
        <v>362</v>
      </c>
      <c r="W102" s="26">
        <v>537</v>
      </c>
      <c r="X102" s="26">
        <v>44</v>
      </c>
    </row>
    <row r="103" spans="1:24">
      <c r="A103" s="22">
        <v>46182</v>
      </c>
      <c r="B103" s="23" t="s">
        <v>33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4">
        <v>2359</v>
      </c>
      <c r="N103" s="27">
        <v>2359</v>
      </c>
      <c r="O103" s="26">
        <v>77</v>
      </c>
      <c r="P103" s="26">
        <v>4</v>
      </c>
      <c r="Q103" s="26">
        <v>279</v>
      </c>
      <c r="R103" s="26">
        <v>452</v>
      </c>
      <c r="S103" s="26">
        <v>190</v>
      </c>
      <c r="T103" s="26">
        <v>166</v>
      </c>
      <c r="U103" s="26">
        <v>248</v>
      </c>
      <c r="V103" s="26">
        <v>362</v>
      </c>
      <c r="W103" s="26">
        <v>537</v>
      </c>
      <c r="X103" s="26">
        <v>44</v>
      </c>
    </row>
    <row r="104" spans="1:24">
      <c r="A104" s="22">
        <v>46183</v>
      </c>
      <c r="B104" s="23" t="s">
        <v>33</v>
      </c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4">
        <v>2359</v>
      </c>
      <c r="N104" s="27">
        <v>2359</v>
      </c>
      <c r="O104" s="26">
        <v>77</v>
      </c>
      <c r="P104" s="26">
        <v>4</v>
      </c>
      <c r="Q104" s="26">
        <v>279</v>
      </c>
      <c r="R104" s="26">
        <v>452</v>
      </c>
      <c r="S104" s="26">
        <v>190</v>
      </c>
      <c r="T104" s="26">
        <v>166</v>
      </c>
      <c r="U104" s="26">
        <v>248</v>
      </c>
      <c r="V104" s="26">
        <v>362</v>
      </c>
      <c r="W104" s="26">
        <v>537</v>
      </c>
      <c r="X104" s="26">
        <v>44</v>
      </c>
    </row>
    <row r="105" spans="1:24">
      <c r="A105" s="22">
        <v>46184</v>
      </c>
      <c r="B105" s="23" t="s">
        <v>33</v>
      </c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4">
        <v>2359</v>
      </c>
      <c r="N105" s="27">
        <v>2359</v>
      </c>
      <c r="O105" s="26">
        <v>77</v>
      </c>
      <c r="P105" s="26">
        <v>4</v>
      </c>
      <c r="Q105" s="26">
        <v>279</v>
      </c>
      <c r="R105" s="26">
        <v>452</v>
      </c>
      <c r="S105" s="26">
        <v>190</v>
      </c>
      <c r="T105" s="26">
        <v>166</v>
      </c>
      <c r="U105" s="26">
        <v>248</v>
      </c>
      <c r="V105" s="26">
        <v>362</v>
      </c>
      <c r="W105" s="26">
        <v>537</v>
      </c>
      <c r="X105" s="26">
        <v>44</v>
      </c>
    </row>
    <row r="106" spans="1:24">
      <c r="A106" s="22">
        <v>46185</v>
      </c>
      <c r="B106" s="23" t="s">
        <v>33</v>
      </c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4">
        <v>2359</v>
      </c>
      <c r="N106" s="27">
        <v>2359</v>
      </c>
      <c r="O106" s="26">
        <v>77</v>
      </c>
      <c r="P106" s="26">
        <v>4</v>
      </c>
      <c r="Q106" s="26">
        <v>279</v>
      </c>
      <c r="R106" s="26">
        <v>452</v>
      </c>
      <c r="S106" s="26">
        <v>190</v>
      </c>
      <c r="T106" s="26">
        <v>166</v>
      </c>
      <c r="U106" s="26">
        <v>248</v>
      </c>
      <c r="V106" s="26">
        <v>362</v>
      </c>
      <c r="W106" s="26">
        <v>537</v>
      </c>
      <c r="X106" s="26">
        <v>44</v>
      </c>
    </row>
    <row r="107" spans="1:24">
      <c r="A107" s="22">
        <v>46186</v>
      </c>
      <c r="B107" s="23" t="s">
        <v>33</v>
      </c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4">
        <v>4759</v>
      </c>
      <c r="N107" s="27">
        <v>4759</v>
      </c>
      <c r="O107" s="26">
        <v>156</v>
      </c>
      <c r="P107" s="26">
        <v>8</v>
      </c>
      <c r="Q107" s="26">
        <v>563</v>
      </c>
      <c r="R107" s="26">
        <v>912</v>
      </c>
      <c r="S107" s="26">
        <v>384</v>
      </c>
      <c r="T107" s="26">
        <v>335</v>
      </c>
      <c r="U107" s="26">
        <v>500</v>
      </c>
      <c r="V107" s="26">
        <v>730</v>
      </c>
      <c r="W107" s="26">
        <v>1083</v>
      </c>
      <c r="X107" s="26">
        <v>88</v>
      </c>
    </row>
    <row r="108" spans="1:24">
      <c r="A108" s="22">
        <v>46187</v>
      </c>
      <c r="B108" s="23" t="s">
        <v>33</v>
      </c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4">
        <v>4759</v>
      </c>
      <c r="N108" s="27">
        <v>4759</v>
      </c>
      <c r="O108" s="26">
        <v>156</v>
      </c>
      <c r="P108" s="26">
        <v>8</v>
      </c>
      <c r="Q108" s="26">
        <v>563</v>
      </c>
      <c r="R108" s="26">
        <v>912</v>
      </c>
      <c r="S108" s="26">
        <v>384</v>
      </c>
      <c r="T108" s="26">
        <v>335</v>
      </c>
      <c r="U108" s="26">
        <v>500</v>
      </c>
      <c r="V108" s="26">
        <v>730</v>
      </c>
      <c r="W108" s="26">
        <v>1083</v>
      </c>
      <c r="X108" s="26">
        <v>88</v>
      </c>
    </row>
    <row r="109" spans="1:24">
      <c r="A109" s="22">
        <v>46188</v>
      </c>
      <c r="B109" s="23" t="s">
        <v>33</v>
      </c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4">
        <v>2359</v>
      </c>
      <c r="N109" s="27">
        <v>2359</v>
      </c>
      <c r="O109" s="26">
        <v>77</v>
      </c>
      <c r="P109" s="26">
        <v>4</v>
      </c>
      <c r="Q109" s="26">
        <v>279</v>
      </c>
      <c r="R109" s="26">
        <v>452</v>
      </c>
      <c r="S109" s="26">
        <v>190</v>
      </c>
      <c r="T109" s="26">
        <v>166</v>
      </c>
      <c r="U109" s="26">
        <v>248</v>
      </c>
      <c r="V109" s="26">
        <v>362</v>
      </c>
      <c r="W109" s="26">
        <v>537</v>
      </c>
      <c r="X109" s="26">
        <v>44</v>
      </c>
    </row>
    <row r="110" spans="1:24">
      <c r="A110" s="22">
        <v>46189</v>
      </c>
      <c r="B110" s="23" t="s">
        <v>33</v>
      </c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4">
        <v>5201</v>
      </c>
      <c r="N110" s="27">
        <v>5201</v>
      </c>
      <c r="O110" s="26">
        <v>171</v>
      </c>
      <c r="P110" s="26">
        <v>9</v>
      </c>
      <c r="Q110" s="26">
        <v>615</v>
      </c>
      <c r="R110" s="26">
        <v>997</v>
      </c>
      <c r="S110" s="26">
        <v>419</v>
      </c>
      <c r="T110" s="26">
        <v>366</v>
      </c>
      <c r="U110" s="26">
        <v>546</v>
      </c>
      <c r="V110" s="26">
        <v>798</v>
      </c>
      <c r="W110" s="26">
        <v>1184</v>
      </c>
      <c r="X110" s="26">
        <v>96</v>
      </c>
    </row>
    <row r="111" spans="1:24">
      <c r="A111" s="22">
        <v>46190</v>
      </c>
      <c r="B111" s="23" t="s">
        <v>33</v>
      </c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4">
        <v>2801</v>
      </c>
      <c r="N111" s="27">
        <v>2801</v>
      </c>
      <c r="O111" s="26">
        <v>92</v>
      </c>
      <c r="P111" s="26">
        <v>5</v>
      </c>
      <c r="Q111" s="26">
        <v>331</v>
      </c>
      <c r="R111" s="26">
        <v>537</v>
      </c>
      <c r="S111" s="26">
        <v>226</v>
      </c>
      <c r="T111" s="26">
        <v>197</v>
      </c>
      <c r="U111" s="26">
        <v>294</v>
      </c>
      <c r="V111" s="26">
        <v>430</v>
      </c>
      <c r="W111" s="26">
        <v>637</v>
      </c>
      <c r="X111" s="26">
        <v>52</v>
      </c>
    </row>
    <row r="112" spans="1:24">
      <c r="A112" s="22">
        <v>46191</v>
      </c>
      <c r="B112" s="23" t="s">
        <v>33</v>
      </c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4">
        <v>2801</v>
      </c>
      <c r="N112" s="27">
        <v>2801</v>
      </c>
      <c r="O112" s="26">
        <v>92</v>
      </c>
      <c r="P112" s="26">
        <v>5</v>
      </c>
      <c r="Q112" s="26">
        <v>331</v>
      </c>
      <c r="R112" s="26">
        <v>537</v>
      </c>
      <c r="S112" s="26">
        <v>226</v>
      </c>
      <c r="T112" s="26">
        <v>197</v>
      </c>
      <c r="U112" s="26">
        <v>294</v>
      </c>
      <c r="V112" s="26">
        <v>430</v>
      </c>
      <c r="W112" s="26">
        <v>637</v>
      </c>
      <c r="X112" s="26">
        <v>52</v>
      </c>
    </row>
    <row r="113" spans="1:24">
      <c r="A113" s="22">
        <v>46192</v>
      </c>
      <c r="B113" s="23" t="s">
        <v>33</v>
      </c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4">
        <v>5201</v>
      </c>
      <c r="N113" s="27">
        <v>5201</v>
      </c>
      <c r="O113" s="26">
        <v>171</v>
      </c>
      <c r="P113" s="26">
        <v>9</v>
      </c>
      <c r="Q113" s="26">
        <v>615</v>
      </c>
      <c r="R113" s="26">
        <v>997</v>
      </c>
      <c r="S113" s="26">
        <v>419</v>
      </c>
      <c r="T113" s="26">
        <v>366</v>
      </c>
      <c r="U113" s="26">
        <v>546</v>
      </c>
      <c r="V113" s="26">
        <v>798</v>
      </c>
      <c r="W113" s="26">
        <v>1184</v>
      </c>
      <c r="X113" s="26">
        <v>96</v>
      </c>
    </row>
    <row r="114" spans="1:24">
      <c r="A114" s="22">
        <v>46193</v>
      </c>
      <c r="B114" s="23" t="s">
        <v>33</v>
      </c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4">
        <v>5201</v>
      </c>
      <c r="N114" s="27">
        <v>5201</v>
      </c>
      <c r="O114" s="26">
        <v>171</v>
      </c>
      <c r="P114" s="26">
        <v>9</v>
      </c>
      <c r="Q114" s="26">
        <v>615</v>
      </c>
      <c r="R114" s="26">
        <v>997</v>
      </c>
      <c r="S114" s="26">
        <v>419</v>
      </c>
      <c r="T114" s="26">
        <v>366</v>
      </c>
      <c r="U114" s="26">
        <v>546</v>
      </c>
      <c r="V114" s="26">
        <v>798</v>
      </c>
      <c r="W114" s="26">
        <v>1184</v>
      </c>
      <c r="X114" s="26">
        <v>96</v>
      </c>
    </row>
    <row r="115" spans="1:24">
      <c r="A115" s="22">
        <v>46194</v>
      </c>
      <c r="B115" s="23" t="s">
        <v>33</v>
      </c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4">
        <v>5201</v>
      </c>
      <c r="N115" s="27">
        <v>5201</v>
      </c>
      <c r="O115" s="26">
        <v>171</v>
      </c>
      <c r="P115" s="26">
        <v>9</v>
      </c>
      <c r="Q115" s="26">
        <v>615</v>
      </c>
      <c r="R115" s="26">
        <v>997</v>
      </c>
      <c r="S115" s="26">
        <v>419</v>
      </c>
      <c r="T115" s="26">
        <v>366</v>
      </c>
      <c r="U115" s="26">
        <v>546</v>
      </c>
      <c r="V115" s="26">
        <v>798</v>
      </c>
      <c r="W115" s="26">
        <v>1184</v>
      </c>
      <c r="X115" s="26">
        <v>96</v>
      </c>
    </row>
    <row r="116" spans="1:24">
      <c r="A116" s="22">
        <v>46195</v>
      </c>
      <c r="B116" s="23" t="s">
        <v>33</v>
      </c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4">
        <v>1561</v>
      </c>
      <c r="N116" s="27">
        <v>1561</v>
      </c>
      <c r="O116" s="26">
        <v>51</v>
      </c>
      <c r="P116" s="26">
        <v>3</v>
      </c>
      <c r="Q116" s="26">
        <v>185</v>
      </c>
      <c r="R116" s="26">
        <v>299</v>
      </c>
      <c r="S116" s="26">
        <v>126</v>
      </c>
      <c r="T116" s="26">
        <v>110</v>
      </c>
      <c r="U116" s="26">
        <v>164</v>
      </c>
      <c r="V116" s="26">
        <v>239</v>
      </c>
      <c r="W116" s="26">
        <v>355</v>
      </c>
      <c r="X116" s="26">
        <v>29</v>
      </c>
    </row>
    <row r="117" spans="1:24">
      <c r="A117" s="22">
        <v>46196</v>
      </c>
      <c r="B117" s="23" t="s">
        <v>33</v>
      </c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4">
        <v>1561</v>
      </c>
      <c r="N117" s="27">
        <v>1561</v>
      </c>
      <c r="O117" s="26">
        <v>51</v>
      </c>
      <c r="P117" s="26">
        <v>3</v>
      </c>
      <c r="Q117" s="26">
        <v>185</v>
      </c>
      <c r="R117" s="26">
        <v>299</v>
      </c>
      <c r="S117" s="26">
        <v>126</v>
      </c>
      <c r="T117" s="26">
        <v>110</v>
      </c>
      <c r="U117" s="26">
        <v>164</v>
      </c>
      <c r="V117" s="26">
        <v>239</v>
      </c>
      <c r="W117" s="26">
        <v>355</v>
      </c>
      <c r="X117" s="26">
        <v>29</v>
      </c>
    </row>
    <row r="118" spans="1:24">
      <c r="A118" s="22">
        <v>46197</v>
      </c>
      <c r="B118" s="23" t="s">
        <v>33</v>
      </c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4">
        <v>1561</v>
      </c>
      <c r="N118" s="27">
        <v>1561</v>
      </c>
      <c r="O118" s="26">
        <v>51</v>
      </c>
      <c r="P118" s="26">
        <v>3</v>
      </c>
      <c r="Q118" s="26">
        <v>185</v>
      </c>
      <c r="R118" s="26">
        <v>299</v>
      </c>
      <c r="S118" s="26">
        <v>126</v>
      </c>
      <c r="T118" s="26">
        <v>110</v>
      </c>
      <c r="U118" s="26">
        <v>164</v>
      </c>
      <c r="V118" s="26">
        <v>239</v>
      </c>
      <c r="W118" s="26">
        <v>355</v>
      </c>
      <c r="X118" s="26">
        <v>29</v>
      </c>
    </row>
    <row r="119" spans="1:24">
      <c r="A119" s="22">
        <v>46198</v>
      </c>
      <c r="B119" s="23" t="s">
        <v>33</v>
      </c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4">
        <v>1921</v>
      </c>
      <c r="N119" s="27">
        <v>1921</v>
      </c>
      <c r="O119" s="26">
        <v>63</v>
      </c>
      <c r="P119" s="26">
        <v>3</v>
      </c>
      <c r="Q119" s="26">
        <v>227</v>
      </c>
      <c r="R119" s="26">
        <v>368</v>
      </c>
      <c r="S119" s="26">
        <v>155</v>
      </c>
      <c r="T119" s="26">
        <v>135</v>
      </c>
      <c r="U119" s="26">
        <v>202</v>
      </c>
      <c r="V119" s="26">
        <v>295</v>
      </c>
      <c r="W119" s="26">
        <v>437</v>
      </c>
      <c r="X119" s="26">
        <v>36</v>
      </c>
    </row>
    <row r="120" spans="1:24">
      <c r="A120" s="22">
        <v>46199</v>
      </c>
      <c r="B120" s="23" t="s">
        <v>33</v>
      </c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4">
        <v>2359</v>
      </c>
      <c r="N120" s="27">
        <v>2359</v>
      </c>
      <c r="O120" s="26">
        <v>77</v>
      </c>
      <c r="P120" s="26">
        <v>4</v>
      </c>
      <c r="Q120" s="26">
        <v>279</v>
      </c>
      <c r="R120" s="26">
        <v>452</v>
      </c>
      <c r="S120" s="26">
        <v>190</v>
      </c>
      <c r="T120" s="26">
        <v>166</v>
      </c>
      <c r="U120" s="26">
        <v>248</v>
      </c>
      <c r="V120" s="26">
        <v>362</v>
      </c>
      <c r="W120" s="26">
        <v>537</v>
      </c>
      <c r="X120" s="26">
        <v>44</v>
      </c>
    </row>
    <row r="121" spans="1:24">
      <c r="A121" s="22">
        <v>46200</v>
      </c>
      <c r="B121" s="23" t="s">
        <v>33</v>
      </c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4">
        <v>4759</v>
      </c>
      <c r="N121" s="27">
        <v>4759</v>
      </c>
      <c r="O121" s="26">
        <v>156</v>
      </c>
      <c r="P121" s="26">
        <v>8</v>
      </c>
      <c r="Q121" s="26">
        <v>563</v>
      </c>
      <c r="R121" s="26">
        <v>912</v>
      </c>
      <c r="S121" s="26">
        <v>384</v>
      </c>
      <c r="T121" s="26">
        <v>335</v>
      </c>
      <c r="U121" s="26">
        <v>500</v>
      </c>
      <c r="V121" s="26">
        <v>730</v>
      </c>
      <c r="W121" s="26">
        <v>1083</v>
      </c>
      <c r="X121" s="26">
        <v>88</v>
      </c>
    </row>
    <row r="122" spans="1:24">
      <c r="A122" s="22">
        <v>46201</v>
      </c>
      <c r="B122" s="23" t="s">
        <v>33</v>
      </c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4">
        <v>4759</v>
      </c>
      <c r="N122" s="27">
        <v>4759</v>
      </c>
      <c r="O122" s="26">
        <v>156</v>
      </c>
      <c r="P122" s="26">
        <v>8</v>
      </c>
      <c r="Q122" s="26">
        <v>563</v>
      </c>
      <c r="R122" s="26">
        <v>912</v>
      </c>
      <c r="S122" s="26">
        <v>384</v>
      </c>
      <c r="T122" s="26">
        <v>335</v>
      </c>
      <c r="U122" s="26">
        <v>500</v>
      </c>
      <c r="V122" s="26">
        <v>730</v>
      </c>
      <c r="W122" s="26">
        <v>1083</v>
      </c>
      <c r="X122" s="26">
        <v>88</v>
      </c>
    </row>
    <row r="123" spans="1:24">
      <c r="A123" s="22">
        <v>46202</v>
      </c>
      <c r="B123" s="23" t="s">
        <v>33</v>
      </c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4">
        <v>2321</v>
      </c>
      <c r="N123" s="27">
        <v>2321</v>
      </c>
      <c r="O123" s="26">
        <v>76</v>
      </c>
      <c r="P123" s="26">
        <v>4</v>
      </c>
      <c r="Q123" s="26">
        <v>275</v>
      </c>
      <c r="R123" s="26">
        <v>445</v>
      </c>
      <c r="S123" s="26">
        <v>187</v>
      </c>
      <c r="T123" s="26">
        <v>163</v>
      </c>
      <c r="U123" s="26">
        <v>244</v>
      </c>
      <c r="V123" s="26">
        <v>356</v>
      </c>
      <c r="W123" s="26">
        <v>528</v>
      </c>
      <c r="X123" s="26">
        <v>43</v>
      </c>
    </row>
    <row r="124" spans="1:24">
      <c r="A124" s="22">
        <v>46203</v>
      </c>
      <c r="B124" s="23" t="s">
        <v>33</v>
      </c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4">
        <v>2719</v>
      </c>
      <c r="N124" s="27">
        <v>2719</v>
      </c>
      <c r="O124" s="26">
        <v>89</v>
      </c>
      <c r="P124" s="26">
        <v>5</v>
      </c>
      <c r="Q124" s="26">
        <v>322</v>
      </c>
      <c r="R124" s="26">
        <v>521</v>
      </c>
      <c r="S124" s="26">
        <v>219</v>
      </c>
      <c r="T124" s="26">
        <v>191</v>
      </c>
      <c r="U124" s="26">
        <v>286</v>
      </c>
      <c r="V124" s="26">
        <v>417</v>
      </c>
      <c r="W124" s="26">
        <v>619</v>
      </c>
      <c r="X124" s="26">
        <v>50</v>
      </c>
    </row>
    <row r="125" spans="1:24">
      <c r="A125" s="22">
        <v>46204</v>
      </c>
      <c r="B125" s="23" t="s">
        <v>33</v>
      </c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4">
        <v>0</v>
      </c>
      <c r="N125" s="27"/>
      <c r="O125" s="26"/>
      <c r="P125" s="26"/>
      <c r="Q125" s="26"/>
      <c r="R125" s="26"/>
      <c r="S125" s="26"/>
      <c r="T125" s="26"/>
      <c r="U125" s="26"/>
      <c r="V125" s="26"/>
      <c r="W125" s="26"/>
      <c r="X125" s="26"/>
    </row>
    <row r="126" spans="1:24">
      <c r="A126" s="22">
        <v>46205</v>
      </c>
      <c r="B126" s="23" t="s">
        <v>33</v>
      </c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4">
        <v>0</v>
      </c>
      <c r="N126" s="27"/>
      <c r="O126" s="26"/>
      <c r="P126" s="26"/>
      <c r="Q126" s="26"/>
      <c r="R126" s="26"/>
      <c r="S126" s="26"/>
      <c r="T126" s="26"/>
      <c r="U126" s="26"/>
      <c r="V126" s="26"/>
      <c r="W126" s="26"/>
      <c r="X126" s="26"/>
    </row>
    <row r="127" spans="1:24">
      <c r="A127" s="22">
        <v>46206</v>
      </c>
      <c r="B127" s="23" t="s">
        <v>33</v>
      </c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4">
        <v>0</v>
      </c>
      <c r="N127" s="27"/>
      <c r="O127" s="26"/>
      <c r="P127" s="26"/>
      <c r="Q127" s="26"/>
      <c r="R127" s="26"/>
      <c r="S127" s="26"/>
      <c r="T127" s="26"/>
      <c r="U127" s="26"/>
      <c r="V127" s="26"/>
      <c r="W127" s="26"/>
      <c r="X127" s="26"/>
    </row>
    <row r="128" spans="1:24">
      <c r="A128" s="22">
        <v>46207</v>
      </c>
      <c r="B128" s="23" t="s">
        <v>33</v>
      </c>
      <c r="C128" s="26"/>
      <c r="D128" s="26"/>
      <c r="E128" s="26"/>
      <c r="F128" s="26"/>
      <c r="G128" s="26"/>
      <c r="H128" s="26"/>
      <c r="I128" s="26"/>
      <c r="J128" s="26"/>
      <c r="K128" s="26"/>
      <c r="L128" s="26"/>
      <c r="M128" s="24">
        <v>0</v>
      </c>
      <c r="N128" s="27"/>
      <c r="O128" s="26"/>
      <c r="P128" s="26"/>
      <c r="Q128" s="26"/>
      <c r="R128" s="26"/>
      <c r="S128" s="26"/>
      <c r="T128" s="26"/>
      <c r="U128" s="26"/>
      <c r="V128" s="26"/>
      <c r="W128" s="26"/>
      <c r="X128" s="26"/>
    </row>
    <row r="129" spans="1:24">
      <c r="A129" s="22">
        <v>46208</v>
      </c>
      <c r="B129" s="23" t="s">
        <v>33</v>
      </c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4">
        <v>0</v>
      </c>
      <c r="N129" s="27"/>
      <c r="O129" s="26"/>
      <c r="P129" s="26"/>
      <c r="Q129" s="26"/>
      <c r="R129" s="26"/>
      <c r="S129" s="26"/>
      <c r="T129" s="26"/>
      <c r="U129" s="26"/>
      <c r="V129" s="26"/>
      <c r="W129" s="26"/>
      <c r="X129" s="26"/>
    </row>
    <row r="130" spans="1:24">
      <c r="A130" s="22">
        <v>46209</v>
      </c>
      <c r="B130" s="23" t="s">
        <v>33</v>
      </c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4">
        <v>0</v>
      </c>
      <c r="N130" s="27"/>
      <c r="O130" s="26"/>
      <c r="P130" s="26"/>
      <c r="Q130" s="26"/>
      <c r="R130" s="26"/>
      <c r="S130" s="26"/>
      <c r="T130" s="26"/>
      <c r="U130" s="26"/>
      <c r="V130" s="26"/>
      <c r="W130" s="26"/>
      <c r="X130" s="26"/>
    </row>
    <row r="131" spans="1:24">
      <c r="A131" s="22">
        <v>46210</v>
      </c>
      <c r="B131" s="23" t="s">
        <v>33</v>
      </c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4">
        <v>0</v>
      </c>
      <c r="N131" s="27"/>
      <c r="O131" s="26"/>
      <c r="P131" s="26"/>
      <c r="Q131" s="26"/>
      <c r="R131" s="26"/>
      <c r="S131" s="26"/>
      <c r="T131" s="26"/>
      <c r="U131" s="26"/>
      <c r="V131" s="26"/>
      <c r="W131" s="26"/>
      <c r="X131" s="26"/>
    </row>
    <row r="132" spans="1:24">
      <c r="A132" s="22">
        <v>46211</v>
      </c>
      <c r="B132" s="23" t="s">
        <v>33</v>
      </c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4">
        <v>0</v>
      </c>
      <c r="N132" s="27"/>
      <c r="O132" s="26"/>
      <c r="P132" s="26"/>
      <c r="Q132" s="26"/>
      <c r="R132" s="26"/>
      <c r="S132" s="26"/>
      <c r="T132" s="26"/>
      <c r="U132" s="26"/>
      <c r="V132" s="26"/>
      <c r="W132" s="26"/>
      <c r="X132" s="26"/>
    </row>
    <row r="133" spans="1:24">
      <c r="A133" s="22">
        <v>46212</v>
      </c>
      <c r="B133" s="23" t="s">
        <v>33</v>
      </c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4">
        <v>0</v>
      </c>
      <c r="N133" s="27"/>
      <c r="O133" s="26"/>
      <c r="P133" s="26"/>
      <c r="Q133" s="26"/>
      <c r="R133" s="26"/>
      <c r="S133" s="26"/>
      <c r="T133" s="26"/>
      <c r="U133" s="26"/>
      <c r="V133" s="26"/>
      <c r="W133" s="26"/>
      <c r="X133" s="26"/>
    </row>
    <row r="134" spans="1:24">
      <c r="A134" s="22">
        <v>46213</v>
      </c>
      <c r="B134" s="23" t="s">
        <v>33</v>
      </c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4">
        <v>0</v>
      </c>
      <c r="N134" s="27"/>
      <c r="O134" s="26"/>
      <c r="P134" s="26"/>
      <c r="Q134" s="26"/>
      <c r="R134" s="26"/>
      <c r="S134" s="26"/>
      <c r="T134" s="26"/>
      <c r="U134" s="26"/>
      <c r="V134" s="26"/>
      <c r="W134" s="26"/>
      <c r="X134" s="26"/>
    </row>
    <row r="135" spans="1:24">
      <c r="A135" s="22">
        <v>46214</v>
      </c>
      <c r="B135" s="23" t="s">
        <v>33</v>
      </c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4">
        <v>0</v>
      </c>
      <c r="N135" s="27"/>
      <c r="O135" s="26"/>
      <c r="P135" s="26"/>
      <c r="Q135" s="26"/>
      <c r="R135" s="26"/>
      <c r="S135" s="26"/>
      <c r="T135" s="26"/>
      <c r="U135" s="26"/>
      <c r="V135" s="26"/>
      <c r="W135" s="26"/>
      <c r="X135" s="26"/>
    </row>
    <row r="136" spans="1:24">
      <c r="A136" s="22">
        <v>46215</v>
      </c>
      <c r="B136" s="23" t="s">
        <v>33</v>
      </c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4">
        <v>0</v>
      </c>
      <c r="N136" s="27"/>
      <c r="O136" s="26"/>
      <c r="P136" s="26"/>
      <c r="Q136" s="26"/>
      <c r="R136" s="26"/>
      <c r="S136" s="26"/>
      <c r="T136" s="26"/>
      <c r="U136" s="26"/>
      <c r="V136" s="26"/>
      <c r="W136" s="26"/>
      <c r="X136" s="26"/>
    </row>
    <row r="137" spans="1:24">
      <c r="A137" s="22">
        <v>46216</v>
      </c>
      <c r="B137" s="23" t="s">
        <v>33</v>
      </c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4">
        <v>0</v>
      </c>
      <c r="N137" s="27"/>
      <c r="O137" s="26"/>
      <c r="P137" s="26"/>
      <c r="Q137" s="26"/>
      <c r="R137" s="26"/>
      <c r="S137" s="26"/>
      <c r="T137" s="26"/>
      <c r="U137" s="26"/>
      <c r="V137" s="26"/>
      <c r="W137" s="26"/>
      <c r="X137" s="26"/>
    </row>
    <row r="138" spans="1:24">
      <c r="A138" s="22">
        <v>46217</v>
      </c>
      <c r="B138" s="23" t="s">
        <v>33</v>
      </c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4">
        <v>0</v>
      </c>
      <c r="N138" s="27"/>
      <c r="O138" s="26"/>
      <c r="P138" s="26"/>
      <c r="Q138" s="26"/>
      <c r="R138" s="26"/>
      <c r="S138" s="26"/>
      <c r="T138" s="26"/>
      <c r="U138" s="26"/>
      <c r="V138" s="26"/>
      <c r="W138" s="26"/>
      <c r="X138" s="26"/>
    </row>
    <row r="139" spans="1:24">
      <c r="A139" s="22">
        <v>46218</v>
      </c>
      <c r="B139" s="23" t="s">
        <v>33</v>
      </c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4">
        <v>0</v>
      </c>
      <c r="N139" s="27"/>
      <c r="O139" s="26"/>
      <c r="P139" s="26"/>
      <c r="Q139" s="26"/>
      <c r="R139" s="26"/>
      <c r="S139" s="26"/>
      <c r="T139" s="26"/>
      <c r="U139" s="26"/>
      <c r="V139" s="26"/>
      <c r="W139" s="26"/>
      <c r="X139" s="26"/>
    </row>
    <row r="140" spans="1:24">
      <c r="A140" s="22">
        <v>46219</v>
      </c>
      <c r="B140" s="23" t="s">
        <v>33</v>
      </c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4">
        <v>0</v>
      </c>
      <c r="N140" s="27"/>
      <c r="O140" s="26"/>
      <c r="P140" s="26"/>
      <c r="Q140" s="26"/>
      <c r="R140" s="26"/>
      <c r="S140" s="26"/>
      <c r="T140" s="26"/>
      <c r="U140" s="26"/>
      <c r="V140" s="26"/>
      <c r="W140" s="26"/>
      <c r="X140" s="26"/>
    </row>
    <row r="141" spans="1:24">
      <c r="A141" s="22">
        <v>46220</v>
      </c>
      <c r="B141" s="23" t="s">
        <v>33</v>
      </c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4">
        <v>0</v>
      </c>
      <c r="N141" s="27"/>
      <c r="O141" s="26"/>
      <c r="P141" s="26"/>
      <c r="Q141" s="26"/>
      <c r="R141" s="26"/>
      <c r="S141" s="26"/>
      <c r="T141" s="26"/>
      <c r="U141" s="26"/>
      <c r="V141" s="26"/>
      <c r="W141" s="26"/>
      <c r="X141" s="26"/>
    </row>
    <row r="142" spans="1:24">
      <c r="A142" s="22">
        <v>46221</v>
      </c>
      <c r="B142" s="23" t="s">
        <v>33</v>
      </c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4">
        <v>0</v>
      </c>
      <c r="N142" s="27"/>
      <c r="O142" s="26"/>
      <c r="P142" s="26"/>
      <c r="Q142" s="26"/>
      <c r="R142" s="26"/>
      <c r="S142" s="26"/>
      <c r="T142" s="26"/>
      <c r="U142" s="26"/>
      <c r="V142" s="26"/>
      <c r="W142" s="26"/>
      <c r="X142" s="26"/>
    </row>
    <row r="143" spans="1:24">
      <c r="A143" s="22">
        <v>46222</v>
      </c>
      <c r="B143" s="23" t="s">
        <v>33</v>
      </c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4">
        <v>0</v>
      </c>
      <c r="N143" s="27"/>
      <c r="O143" s="26"/>
      <c r="P143" s="26"/>
      <c r="Q143" s="26"/>
      <c r="R143" s="26"/>
      <c r="S143" s="26"/>
      <c r="T143" s="26"/>
      <c r="U143" s="26"/>
      <c r="V143" s="26"/>
      <c r="W143" s="26"/>
      <c r="X143" s="26"/>
    </row>
    <row r="144" spans="1:24">
      <c r="A144" s="22">
        <v>46223</v>
      </c>
      <c r="B144" s="23" t="s">
        <v>33</v>
      </c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4">
        <v>0</v>
      </c>
      <c r="N144" s="27"/>
      <c r="O144" s="26"/>
      <c r="P144" s="26"/>
      <c r="Q144" s="26"/>
      <c r="R144" s="26"/>
      <c r="S144" s="26"/>
      <c r="T144" s="26"/>
      <c r="U144" s="26"/>
      <c r="V144" s="26"/>
      <c r="W144" s="26"/>
      <c r="X144" s="26"/>
    </row>
    <row r="145" spans="1:24">
      <c r="A145" s="22">
        <v>46224</v>
      </c>
      <c r="B145" s="23" t="s">
        <v>33</v>
      </c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4">
        <v>0</v>
      </c>
      <c r="N145" s="27"/>
      <c r="O145" s="26"/>
      <c r="P145" s="26"/>
      <c r="Q145" s="26"/>
      <c r="R145" s="26"/>
      <c r="S145" s="26"/>
      <c r="T145" s="26"/>
      <c r="U145" s="26"/>
      <c r="V145" s="26"/>
      <c r="W145" s="26"/>
      <c r="X145" s="26"/>
    </row>
    <row r="146" spans="1:24">
      <c r="A146" s="22">
        <v>46225</v>
      </c>
      <c r="B146" s="23" t="s">
        <v>33</v>
      </c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4">
        <v>0</v>
      </c>
      <c r="N146" s="27"/>
      <c r="O146" s="26"/>
      <c r="P146" s="26"/>
      <c r="Q146" s="26"/>
      <c r="R146" s="26"/>
      <c r="S146" s="26"/>
      <c r="T146" s="26"/>
      <c r="U146" s="26"/>
      <c r="V146" s="26"/>
      <c r="W146" s="26"/>
      <c r="X146" s="26"/>
    </row>
    <row r="147" spans="1:24">
      <c r="A147" s="22">
        <v>46226</v>
      </c>
      <c r="B147" s="23" t="s">
        <v>33</v>
      </c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4">
        <v>0</v>
      </c>
      <c r="N147" s="27"/>
      <c r="O147" s="26"/>
      <c r="P147" s="26"/>
      <c r="Q147" s="26"/>
      <c r="R147" s="26"/>
      <c r="S147" s="26"/>
      <c r="T147" s="26"/>
      <c r="U147" s="26"/>
      <c r="V147" s="26"/>
      <c r="W147" s="26"/>
      <c r="X147" s="26"/>
    </row>
    <row r="148" spans="1:24">
      <c r="A148" s="22">
        <v>46227</v>
      </c>
      <c r="B148" s="23" t="s">
        <v>33</v>
      </c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4">
        <v>0</v>
      </c>
      <c r="N148" s="27"/>
      <c r="O148" s="26"/>
      <c r="P148" s="26"/>
      <c r="Q148" s="26"/>
      <c r="R148" s="26"/>
      <c r="S148" s="26"/>
      <c r="T148" s="26"/>
      <c r="U148" s="26"/>
      <c r="V148" s="26"/>
      <c r="W148" s="26"/>
      <c r="X148" s="26"/>
    </row>
    <row r="149" spans="1:24">
      <c r="A149" s="22">
        <v>46228</v>
      </c>
      <c r="B149" s="23" t="s">
        <v>33</v>
      </c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4">
        <v>0</v>
      </c>
      <c r="N149" s="27"/>
      <c r="O149" s="26"/>
      <c r="P149" s="26"/>
      <c r="Q149" s="26"/>
      <c r="R149" s="26"/>
      <c r="S149" s="26"/>
      <c r="T149" s="26"/>
      <c r="U149" s="26"/>
      <c r="V149" s="26"/>
      <c r="W149" s="26"/>
      <c r="X149" s="26"/>
    </row>
    <row r="150" spans="1:24">
      <c r="A150" s="22">
        <v>46229</v>
      </c>
      <c r="B150" s="23" t="s">
        <v>33</v>
      </c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4">
        <v>0</v>
      </c>
      <c r="N150" s="27"/>
      <c r="O150" s="26"/>
      <c r="P150" s="26"/>
      <c r="Q150" s="26"/>
      <c r="R150" s="26"/>
      <c r="S150" s="26"/>
      <c r="T150" s="26"/>
      <c r="U150" s="26"/>
      <c r="V150" s="26"/>
      <c r="W150" s="26"/>
      <c r="X150" s="26"/>
    </row>
    <row r="151" spans="1:24">
      <c r="A151" s="22">
        <v>46230</v>
      </c>
      <c r="B151" s="23" t="s">
        <v>33</v>
      </c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4">
        <v>0</v>
      </c>
      <c r="N151" s="27"/>
      <c r="O151" s="26"/>
      <c r="P151" s="26"/>
      <c r="Q151" s="26"/>
      <c r="R151" s="26"/>
      <c r="S151" s="26"/>
      <c r="T151" s="26"/>
      <c r="U151" s="26"/>
      <c r="V151" s="26"/>
      <c r="W151" s="26"/>
      <c r="X151" s="26"/>
    </row>
    <row r="152" spans="1:24">
      <c r="A152" s="22">
        <v>46231</v>
      </c>
      <c r="B152" s="23" t="s">
        <v>33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4">
        <v>0</v>
      </c>
      <c r="N152" s="27"/>
      <c r="O152" s="26"/>
      <c r="P152" s="26"/>
      <c r="Q152" s="26"/>
      <c r="R152" s="26"/>
      <c r="S152" s="26"/>
      <c r="T152" s="26"/>
      <c r="U152" s="26"/>
      <c r="V152" s="26"/>
      <c r="W152" s="26"/>
      <c r="X152" s="26"/>
    </row>
    <row r="153" spans="1:24">
      <c r="A153" s="22">
        <v>46232</v>
      </c>
      <c r="B153" s="23" t="s">
        <v>33</v>
      </c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4">
        <v>0</v>
      </c>
      <c r="N153" s="27"/>
      <c r="O153" s="26"/>
      <c r="P153" s="26"/>
      <c r="Q153" s="26"/>
      <c r="R153" s="26"/>
      <c r="S153" s="26"/>
      <c r="T153" s="26"/>
      <c r="U153" s="26"/>
      <c r="V153" s="26"/>
      <c r="W153" s="26"/>
      <c r="X153" s="26"/>
    </row>
    <row r="154" spans="1:24">
      <c r="A154" s="22">
        <v>46233</v>
      </c>
      <c r="B154" s="23" t="s">
        <v>33</v>
      </c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4">
        <v>0</v>
      </c>
      <c r="N154" s="27"/>
      <c r="O154" s="26"/>
      <c r="P154" s="26"/>
      <c r="Q154" s="26"/>
      <c r="R154" s="26"/>
      <c r="S154" s="26"/>
      <c r="T154" s="26"/>
      <c r="U154" s="26"/>
      <c r="V154" s="26"/>
      <c r="W154" s="26"/>
      <c r="X154" s="26"/>
    </row>
    <row r="155" spans="1:24">
      <c r="A155" s="22">
        <v>46234</v>
      </c>
      <c r="B155" s="23" t="s">
        <v>33</v>
      </c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4">
        <v>0</v>
      </c>
      <c r="N155" s="27"/>
      <c r="O155" s="26"/>
      <c r="P155" s="26"/>
      <c r="Q155" s="26"/>
      <c r="R155" s="26"/>
      <c r="S155" s="26"/>
      <c r="T155" s="26"/>
      <c r="U155" s="26"/>
      <c r="V155" s="26"/>
      <c r="W155" s="26"/>
      <c r="X155" s="26"/>
    </row>
    <row r="156" spans="1:24">
      <c r="A156" s="22">
        <v>46235</v>
      </c>
      <c r="B156" s="23" t="s">
        <v>33</v>
      </c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4">
        <v>0</v>
      </c>
      <c r="N156" s="27"/>
      <c r="O156" s="26"/>
      <c r="P156" s="26"/>
      <c r="Q156" s="26"/>
      <c r="R156" s="26"/>
      <c r="S156" s="26"/>
      <c r="T156" s="26"/>
      <c r="U156" s="26"/>
      <c r="V156" s="26"/>
      <c r="W156" s="26"/>
      <c r="X156" s="26"/>
    </row>
    <row r="157" spans="1:24">
      <c r="A157" s="22">
        <v>46236</v>
      </c>
      <c r="B157" s="23" t="s">
        <v>33</v>
      </c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4">
        <v>0</v>
      </c>
      <c r="N157" s="27"/>
      <c r="O157" s="26"/>
      <c r="P157" s="26"/>
      <c r="Q157" s="26"/>
      <c r="R157" s="26"/>
      <c r="S157" s="26"/>
      <c r="T157" s="26"/>
      <c r="U157" s="26"/>
      <c r="V157" s="26"/>
      <c r="W157" s="26"/>
      <c r="X157" s="26"/>
    </row>
    <row r="158" spans="1:24">
      <c r="A158" s="22">
        <v>46237</v>
      </c>
      <c r="B158" s="23" t="s">
        <v>33</v>
      </c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4">
        <v>0</v>
      </c>
      <c r="N158" s="27"/>
      <c r="O158" s="26"/>
      <c r="P158" s="26"/>
      <c r="Q158" s="26"/>
      <c r="R158" s="26"/>
      <c r="S158" s="26"/>
      <c r="T158" s="26"/>
      <c r="U158" s="26"/>
      <c r="V158" s="26"/>
      <c r="W158" s="26"/>
      <c r="X158" s="26"/>
    </row>
    <row r="159" spans="1:24">
      <c r="A159" s="22">
        <v>46238</v>
      </c>
      <c r="B159" s="23" t="s">
        <v>33</v>
      </c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4">
        <v>0</v>
      </c>
      <c r="N159" s="27"/>
      <c r="O159" s="26"/>
      <c r="P159" s="26"/>
      <c r="Q159" s="26"/>
      <c r="R159" s="26"/>
      <c r="S159" s="26"/>
      <c r="T159" s="26"/>
      <c r="U159" s="26"/>
      <c r="V159" s="26"/>
      <c r="W159" s="26"/>
      <c r="X159" s="26"/>
    </row>
    <row r="160" spans="1:24">
      <c r="A160" s="22">
        <v>46239</v>
      </c>
      <c r="B160" s="23" t="s">
        <v>33</v>
      </c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4">
        <v>0</v>
      </c>
      <c r="N160" s="27"/>
      <c r="O160" s="26"/>
      <c r="P160" s="26"/>
      <c r="Q160" s="26"/>
      <c r="R160" s="26"/>
      <c r="S160" s="26"/>
      <c r="T160" s="26"/>
      <c r="U160" s="26"/>
      <c r="V160" s="26"/>
      <c r="W160" s="26"/>
      <c r="X160" s="26"/>
    </row>
    <row r="161" spans="1:24">
      <c r="A161" s="22">
        <v>46240</v>
      </c>
      <c r="B161" s="23" t="s">
        <v>33</v>
      </c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4">
        <v>0</v>
      </c>
      <c r="N161" s="27"/>
      <c r="O161" s="26"/>
      <c r="P161" s="26"/>
      <c r="Q161" s="26"/>
      <c r="R161" s="26"/>
      <c r="S161" s="26"/>
      <c r="T161" s="26"/>
      <c r="U161" s="26"/>
      <c r="V161" s="26"/>
      <c r="W161" s="26"/>
      <c r="X161" s="26"/>
    </row>
    <row r="162" spans="1:24">
      <c r="A162" s="22">
        <v>46241</v>
      </c>
      <c r="B162" s="23" t="s">
        <v>33</v>
      </c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4">
        <v>0</v>
      </c>
      <c r="N162" s="27"/>
      <c r="O162" s="26"/>
      <c r="P162" s="26"/>
      <c r="Q162" s="26"/>
      <c r="R162" s="26"/>
      <c r="S162" s="26"/>
      <c r="T162" s="26"/>
      <c r="U162" s="26"/>
      <c r="V162" s="26"/>
      <c r="W162" s="26"/>
      <c r="X162" s="26"/>
    </row>
    <row r="163" spans="1:24">
      <c r="A163" s="22">
        <v>46242</v>
      </c>
      <c r="B163" s="23" t="s">
        <v>33</v>
      </c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4">
        <v>0</v>
      </c>
      <c r="N163" s="27"/>
      <c r="O163" s="26"/>
      <c r="P163" s="26"/>
      <c r="Q163" s="26"/>
      <c r="R163" s="26"/>
      <c r="S163" s="26"/>
      <c r="T163" s="26"/>
      <c r="U163" s="26"/>
      <c r="V163" s="26"/>
      <c r="W163" s="26"/>
      <c r="X163" s="26"/>
    </row>
    <row r="164" spans="1:24">
      <c r="A164" s="22">
        <v>46243</v>
      </c>
      <c r="B164" s="23" t="s">
        <v>33</v>
      </c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4">
        <v>0</v>
      </c>
      <c r="N164" s="27"/>
      <c r="O164" s="26"/>
      <c r="P164" s="26"/>
      <c r="Q164" s="26"/>
      <c r="R164" s="26"/>
      <c r="S164" s="26"/>
      <c r="T164" s="26"/>
      <c r="U164" s="26"/>
      <c r="V164" s="26"/>
      <c r="W164" s="26"/>
      <c r="X164" s="26"/>
    </row>
    <row r="165" spans="1:24">
      <c r="A165" s="22">
        <v>46244</v>
      </c>
      <c r="B165" s="23" t="s">
        <v>33</v>
      </c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4">
        <v>0</v>
      </c>
      <c r="N165" s="27"/>
      <c r="O165" s="26"/>
      <c r="P165" s="26"/>
      <c r="Q165" s="26"/>
      <c r="R165" s="26"/>
      <c r="S165" s="26"/>
      <c r="T165" s="26"/>
      <c r="U165" s="26"/>
      <c r="V165" s="26"/>
      <c r="W165" s="26"/>
      <c r="X165" s="26"/>
    </row>
    <row r="166" spans="1:24">
      <c r="A166" s="22">
        <v>46245</v>
      </c>
      <c r="B166" s="23" t="s">
        <v>33</v>
      </c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4">
        <v>0</v>
      </c>
      <c r="N166" s="27"/>
      <c r="O166" s="26"/>
      <c r="P166" s="26"/>
      <c r="Q166" s="26"/>
      <c r="R166" s="26"/>
      <c r="S166" s="26"/>
      <c r="T166" s="26"/>
      <c r="U166" s="26"/>
      <c r="V166" s="26"/>
      <c r="W166" s="26"/>
      <c r="X166" s="26"/>
    </row>
    <row r="167" spans="1:24">
      <c r="A167" s="22">
        <v>46246</v>
      </c>
      <c r="B167" s="23" t="s">
        <v>33</v>
      </c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4">
        <v>0</v>
      </c>
      <c r="N167" s="27"/>
      <c r="O167" s="26"/>
      <c r="P167" s="26"/>
      <c r="Q167" s="26"/>
      <c r="R167" s="26"/>
      <c r="S167" s="26"/>
      <c r="T167" s="26"/>
      <c r="U167" s="26"/>
      <c r="V167" s="26"/>
      <c r="W167" s="26"/>
      <c r="X167" s="26"/>
    </row>
    <row r="168" spans="1:24">
      <c r="A168" s="22">
        <v>46247</v>
      </c>
      <c r="B168" s="23" t="s">
        <v>33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4">
        <v>0</v>
      </c>
      <c r="N168" s="27"/>
      <c r="O168" s="26"/>
      <c r="P168" s="26"/>
      <c r="Q168" s="26"/>
      <c r="R168" s="26"/>
      <c r="S168" s="26"/>
      <c r="T168" s="26"/>
      <c r="U168" s="26"/>
      <c r="V168" s="26"/>
      <c r="W168" s="26"/>
      <c r="X168" s="26"/>
    </row>
    <row r="169" spans="1:24">
      <c r="A169" s="22">
        <v>46248</v>
      </c>
      <c r="B169" s="23" t="s">
        <v>33</v>
      </c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4">
        <v>0</v>
      </c>
      <c r="N169" s="27"/>
      <c r="O169" s="26"/>
      <c r="P169" s="26"/>
      <c r="Q169" s="26"/>
      <c r="R169" s="26"/>
      <c r="S169" s="26"/>
      <c r="T169" s="26"/>
      <c r="U169" s="26"/>
      <c r="V169" s="26"/>
      <c r="W169" s="26"/>
      <c r="X169" s="26"/>
    </row>
    <row r="170" spans="1:24">
      <c r="A170" s="22">
        <v>46249</v>
      </c>
      <c r="B170" s="23" t="s">
        <v>33</v>
      </c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4">
        <v>0</v>
      </c>
      <c r="N170" s="27"/>
      <c r="O170" s="26"/>
      <c r="P170" s="26"/>
      <c r="Q170" s="26"/>
      <c r="R170" s="26"/>
      <c r="S170" s="26"/>
      <c r="T170" s="26"/>
      <c r="U170" s="26"/>
      <c r="V170" s="26"/>
      <c r="W170" s="26"/>
      <c r="X170" s="26"/>
    </row>
    <row r="171" spans="1:24">
      <c r="A171" s="22">
        <v>46250</v>
      </c>
      <c r="B171" s="23" t="s">
        <v>33</v>
      </c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4">
        <v>0</v>
      </c>
      <c r="N171" s="27"/>
      <c r="O171" s="26"/>
      <c r="P171" s="26"/>
      <c r="Q171" s="26"/>
      <c r="R171" s="26"/>
      <c r="S171" s="26"/>
      <c r="T171" s="26"/>
      <c r="U171" s="26"/>
      <c r="V171" s="26"/>
      <c r="W171" s="26"/>
      <c r="X171" s="26"/>
    </row>
    <row r="172" spans="1:24">
      <c r="A172" s="22">
        <v>46251</v>
      </c>
      <c r="B172" s="23" t="s">
        <v>33</v>
      </c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4">
        <v>0</v>
      </c>
      <c r="N172" s="27"/>
      <c r="O172" s="26"/>
      <c r="P172" s="26"/>
      <c r="Q172" s="26"/>
      <c r="R172" s="26"/>
      <c r="S172" s="26"/>
      <c r="T172" s="26"/>
      <c r="U172" s="26"/>
      <c r="V172" s="26"/>
      <c r="W172" s="26"/>
      <c r="X172" s="26"/>
    </row>
    <row r="173" spans="1:24">
      <c r="A173" s="22">
        <v>46252</v>
      </c>
      <c r="B173" s="23" t="s">
        <v>33</v>
      </c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4">
        <v>0</v>
      </c>
      <c r="N173" s="27"/>
      <c r="O173" s="26"/>
      <c r="P173" s="26"/>
      <c r="Q173" s="26"/>
      <c r="R173" s="26"/>
      <c r="S173" s="26"/>
      <c r="T173" s="26"/>
      <c r="U173" s="26"/>
      <c r="V173" s="26"/>
      <c r="W173" s="26"/>
      <c r="X173" s="26"/>
    </row>
    <row r="174" spans="1:24">
      <c r="A174" s="22">
        <v>46253</v>
      </c>
      <c r="B174" s="23" t="s">
        <v>33</v>
      </c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4">
        <v>0</v>
      </c>
      <c r="N174" s="27"/>
      <c r="O174" s="26"/>
      <c r="P174" s="26"/>
      <c r="Q174" s="26"/>
      <c r="R174" s="26"/>
      <c r="S174" s="26"/>
      <c r="T174" s="26"/>
      <c r="U174" s="26"/>
      <c r="V174" s="26"/>
      <c r="W174" s="26"/>
      <c r="X174" s="26"/>
    </row>
    <row r="175" spans="1:24">
      <c r="A175" s="22">
        <v>46254</v>
      </c>
      <c r="B175" s="23" t="s">
        <v>33</v>
      </c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4">
        <v>0</v>
      </c>
      <c r="N175" s="27"/>
      <c r="O175" s="26"/>
      <c r="P175" s="26"/>
      <c r="Q175" s="26"/>
      <c r="R175" s="26"/>
      <c r="S175" s="26"/>
      <c r="T175" s="26"/>
      <c r="U175" s="26"/>
      <c r="V175" s="26"/>
      <c r="W175" s="26"/>
      <c r="X175" s="26"/>
    </row>
    <row r="176" spans="1:24">
      <c r="A176" s="22">
        <v>46255</v>
      </c>
      <c r="B176" s="23" t="s">
        <v>33</v>
      </c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4">
        <v>0</v>
      </c>
      <c r="N176" s="27"/>
      <c r="O176" s="26"/>
      <c r="P176" s="26"/>
      <c r="Q176" s="26"/>
      <c r="R176" s="26"/>
      <c r="S176" s="26"/>
      <c r="T176" s="26"/>
      <c r="U176" s="26"/>
      <c r="V176" s="26"/>
      <c r="W176" s="26"/>
      <c r="X176" s="26"/>
    </row>
    <row r="177" spans="1:24">
      <c r="A177" s="22">
        <v>46256</v>
      </c>
      <c r="B177" s="23" t="s">
        <v>33</v>
      </c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4">
        <v>0</v>
      </c>
      <c r="N177" s="27"/>
      <c r="O177" s="26"/>
      <c r="P177" s="26"/>
      <c r="Q177" s="26"/>
      <c r="R177" s="26"/>
      <c r="S177" s="26"/>
      <c r="T177" s="26"/>
      <c r="U177" s="26"/>
      <c r="V177" s="26"/>
      <c r="W177" s="26"/>
      <c r="X177" s="26"/>
    </row>
    <row r="178" spans="1:24">
      <c r="A178" s="22">
        <v>46257</v>
      </c>
      <c r="B178" s="23" t="s">
        <v>33</v>
      </c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4">
        <v>0</v>
      </c>
      <c r="N178" s="27"/>
      <c r="O178" s="26"/>
      <c r="P178" s="26"/>
      <c r="Q178" s="26"/>
      <c r="R178" s="26"/>
      <c r="S178" s="26"/>
      <c r="T178" s="26"/>
      <c r="U178" s="26"/>
      <c r="V178" s="26"/>
      <c r="W178" s="26"/>
      <c r="X178" s="26"/>
    </row>
    <row r="179" spans="1:24">
      <c r="A179" s="22">
        <v>46258</v>
      </c>
      <c r="B179" s="23" t="s">
        <v>33</v>
      </c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4">
        <v>0</v>
      </c>
      <c r="N179" s="27"/>
      <c r="O179" s="26"/>
      <c r="P179" s="26"/>
      <c r="Q179" s="26"/>
      <c r="R179" s="26"/>
      <c r="S179" s="26"/>
      <c r="T179" s="26"/>
      <c r="U179" s="26"/>
      <c r="V179" s="26"/>
      <c r="W179" s="26"/>
      <c r="X179" s="26"/>
    </row>
    <row r="180" spans="1:24">
      <c r="A180" s="22">
        <v>46259</v>
      </c>
      <c r="B180" s="23" t="s">
        <v>33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4">
        <v>0</v>
      </c>
      <c r="N180" s="27"/>
      <c r="O180" s="26"/>
      <c r="P180" s="26"/>
      <c r="Q180" s="26"/>
      <c r="R180" s="26"/>
      <c r="S180" s="26"/>
      <c r="T180" s="26"/>
      <c r="U180" s="26"/>
      <c r="V180" s="26"/>
      <c r="W180" s="26"/>
      <c r="X180" s="26"/>
    </row>
    <row r="181" spans="1:24">
      <c r="A181" s="22">
        <v>46260</v>
      </c>
      <c r="B181" s="23" t="s">
        <v>33</v>
      </c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4">
        <v>0</v>
      </c>
      <c r="N181" s="27"/>
      <c r="O181" s="26"/>
      <c r="P181" s="26"/>
      <c r="Q181" s="26"/>
      <c r="R181" s="26"/>
      <c r="S181" s="26"/>
      <c r="T181" s="26"/>
      <c r="U181" s="26"/>
      <c r="V181" s="26"/>
      <c r="W181" s="26"/>
      <c r="X181" s="26"/>
    </row>
    <row r="182" spans="1:24">
      <c r="A182" s="22">
        <v>46261</v>
      </c>
      <c r="B182" s="23" t="s">
        <v>33</v>
      </c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4">
        <v>0</v>
      </c>
      <c r="N182" s="27"/>
      <c r="O182" s="26"/>
      <c r="P182" s="26"/>
      <c r="Q182" s="26"/>
      <c r="R182" s="26"/>
      <c r="S182" s="26"/>
      <c r="T182" s="26"/>
      <c r="U182" s="26"/>
      <c r="V182" s="26"/>
      <c r="W182" s="26"/>
      <c r="X182" s="26"/>
    </row>
    <row r="183" spans="1:24">
      <c r="A183" s="22">
        <v>46262</v>
      </c>
      <c r="B183" s="23" t="s">
        <v>33</v>
      </c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4">
        <v>0</v>
      </c>
      <c r="N183" s="27"/>
      <c r="O183" s="26"/>
      <c r="P183" s="26"/>
      <c r="Q183" s="26"/>
      <c r="R183" s="26"/>
      <c r="S183" s="26"/>
      <c r="T183" s="26"/>
      <c r="U183" s="26"/>
      <c r="V183" s="26"/>
      <c r="W183" s="26"/>
      <c r="X183" s="26"/>
    </row>
    <row r="184" spans="1:24">
      <c r="A184" s="22">
        <v>46263</v>
      </c>
      <c r="B184" s="23" t="s">
        <v>33</v>
      </c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4">
        <v>0</v>
      </c>
      <c r="N184" s="27"/>
      <c r="O184" s="26"/>
      <c r="P184" s="26"/>
      <c r="Q184" s="26"/>
      <c r="R184" s="26"/>
      <c r="S184" s="26"/>
      <c r="T184" s="26"/>
      <c r="U184" s="26"/>
      <c r="V184" s="26"/>
      <c r="W184" s="26"/>
      <c r="X184" s="26"/>
    </row>
    <row r="185" spans="1:24">
      <c r="A185" s="22">
        <v>46264</v>
      </c>
      <c r="B185" s="23" t="s">
        <v>33</v>
      </c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4">
        <v>0</v>
      </c>
      <c r="N185" s="27"/>
      <c r="O185" s="26"/>
      <c r="P185" s="26"/>
      <c r="Q185" s="26"/>
      <c r="R185" s="26"/>
      <c r="S185" s="26"/>
      <c r="T185" s="26"/>
      <c r="U185" s="26"/>
      <c r="V185" s="26"/>
      <c r="W185" s="26"/>
      <c r="X185" s="26"/>
    </row>
    <row r="186" spans="1:24">
      <c r="A186" s="22">
        <v>46265</v>
      </c>
      <c r="B186" s="23" t="s">
        <v>33</v>
      </c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4">
        <v>0</v>
      </c>
      <c r="N186" s="27"/>
      <c r="O186" s="26"/>
      <c r="P186" s="26"/>
      <c r="Q186" s="26"/>
      <c r="R186" s="26"/>
      <c r="S186" s="26"/>
      <c r="T186" s="26"/>
      <c r="U186" s="26"/>
      <c r="V186" s="26"/>
      <c r="W186" s="26"/>
      <c r="X186" s="26"/>
    </row>
    <row r="187" spans="1:24">
      <c r="A187" s="22">
        <v>46266</v>
      </c>
      <c r="B187" s="23" t="s">
        <v>33</v>
      </c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4">
        <v>0</v>
      </c>
      <c r="N187" s="27"/>
      <c r="O187" s="26"/>
      <c r="P187" s="26"/>
      <c r="Q187" s="26"/>
      <c r="R187" s="26"/>
      <c r="S187" s="26"/>
      <c r="T187" s="26"/>
      <c r="U187" s="26"/>
      <c r="V187" s="26"/>
      <c r="W187" s="26"/>
      <c r="X187" s="26"/>
    </row>
    <row r="188" spans="1:24">
      <c r="A188" s="22">
        <v>46267</v>
      </c>
      <c r="B188" s="23" t="s">
        <v>33</v>
      </c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4">
        <v>0</v>
      </c>
      <c r="N188" s="27"/>
      <c r="O188" s="26"/>
      <c r="P188" s="26"/>
      <c r="Q188" s="26"/>
      <c r="R188" s="26"/>
      <c r="S188" s="26"/>
      <c r="T188" s="26"/>
      <c r="U188" s="26"/>
      <c r="V188" s="26"/>
      <c r="W188" s="26"/>
      <c r="X188" s="26"/>
    </row>
    <row r="189" spans="1:24">
      <c r="A189" s="22">
        <v>46268</v>
      </c>
      <c r="B189" s="23" t="s">
        <v>33</v>
      </c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4">
        <v>0</v>
      </c>
      <c r="N189" s="27"/>
      <c r="O189" s="26"/>
      <c r="P189" s="26"/>
      <c r="Q189" s="26"/>
      <c r="R189" s="26"/>
      <c r="S189" s="26"/>
      <c r="T189" s="26"/>
      <c r="U189" s="26"/>
      <c r="V189" s="26"/>
      <c r="W189" s="26"/>
      <c r="X189" s="26"/>
    </row>
    <row r="190" spans="1:24">
      <c r="A190" s="22">
        <v>46269</v>
      </c>
      <c r="B190" s="23" t="s">
        <v>33</v>
      </c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4">
        <v>0</v>
      </c>
      <c r="N190" s="27"/>
      <c r="O190" s="26"/>
      <c r="P190" s="26"/>
      <c r="Q190" s="26"/>
      <c r="R190" s="26"/>
      <c r="S190" s="26"/>
      <c r="T190" s="26"/>
      <c r="U190" s="26"/>
      <c r="V190" s="26"/>
      <c r="W190" s="26"/>
      <c r="X190" s="26"/>
    </row>
    <row r="191" spans="1:24">
      <c r="A191" s="22">
        <v>46270</v>
      </c>
      <c r="B191" s="23" t="s">
        <v>33</v>
      </c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4">
        <v>0</v>
      </c>
      <c r="N191" s="27"/>
      <c r="O191" s="26"/>
      <c r="P191" s="26"/>
      <c r="Q191" s="26"/>
      <c r="R191" s="26"/>
      <c r="S191" s="26"/>
      <c r="T191" s="26"/>
      <c r="U191" s="26"/>
      <c r="V191" s="26"/>
      <c r="W191" s="26"/>
      <c r="X191" s="26"/>
    </row>
    <row r="192" spans="1:24">
      <c r="A192" s="22">
        <v>46271</v>
      </c>
      <c r="B192" s="23" t="s">
        <v>33</v>
      </c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4">
        <v>0</v>
      </c>
      <c r="N192" s="27"/>
      <c r="O192" s="26"/>
      <c r="P192" s="26"/>
      <c r="Q192" s="26"/>
      <c r="R192" s="26"/>
      <c r="S192" s="26"/>
      <c r="T192" s="26"/>
      <c r="U192" s="26"/>
      <c r="V192" s="26"/>
      <c r="W192" s="26"/>
      <c r="X192" s="26"/>
    </row>
    <row r="193" spans="1:24">
      <c r="A193" s="22">
        <v>46272</v>
      </c>
      <c r="B193" s="23" t="s">
        <v>33</v>
      </c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4">
        <v>0</v>
      </c>
      <c r="N193" s="27"/>
      <c r="O193" s="26"/>
      <c r="P193" s="26"/>
      <c r="Q193" s="26"/>
      <c r="R193" s="26"/>
      <c r="S193" s="26"/>
      <c r="T193" s="26"/>
      <c r="U193" s="26"/>
      <c r="V193" s="26"/>
      <c r="W193" s="26"/>
      <c r="X193" s="26"/>
    </row>
    <row r="194" spans="1:24">
      <c r="A194" s="22">
        <v>46273</v>
      </c>
      <c r="B194" s="23" t="s">
        <v>33</v>
      </c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4">
        <v>0</v>
      </c>
      <c r="N194" s="27"/>
      <c r="O194" s="26"/>
      <c r="P194" s="26"/>
      <c r="Q194" s="26"/>
      <c r="R194" s="26"/>
      <c r="S194" s="26"/>
      <c r="T194" s="26"/>
      <c r="U194" s="26"/>
      <c r="V194" s="26"/>
      <c r="W194" s="26"/>
      <c r="X194" s="26"/>
    </row>
    <row r="195" spans="1:24">
      <c r="A195" s="22">
        <v>46274</v>
      </c>
      <c r="B195" s="23" t="s">
        <v>33</v>
      </c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4">
        <v>0</v>
      </c>
      <c r="N195" s="27"/>
      <c r="O195" s="26"/>
      <c r="P195" s="26"/>
      <c r="Q195" s="26"/>
      <c r="R195" s="26"/>
      <c r="S195" s="26"/>
      <c r="T195" s="26"/>
      <c r="U195" s="26"/>
      <c r="V195" s="26"/>
      <c r="W195" s="26"/>
      <c r="X195" s="26"/>
    </row>
    <row r="196" spans="1:24">
      <c r="A196" s="22">
        <v>46275</v>
      </c>
      <c r="B196" s="23" t="s">
        <v>33</v>
      </c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4">
        <v>0</v>
      </c>
      <c r="N196" s="27"/>
      <c r="O196" s="28"/>
      <c r="P196" s="28"/>
      <c r="Q196" s="28"/>
      <c r="R196" s="28"/>
      <c r="S196" s="28"/>
      <c r="T196" s="28"/>
      <c r="U196" s="28"/>
      <c r="V196" s="28"/>
      <c r="W196" s="28"/>
      <c r="X196" s="28"/>
    </row>
    <row r="197" spans="1:24">
      <c r="A197" s="22">
        <v>46276</v>
      </c>
      <c r="B197" s="23" t="s">
        <v>33</v>
      </c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4">
        <v>0</v>
      </c>
      <c r="N197" s="27"/>
      <c r="O197" s="28"/>
      <c r="P197" s="28"/>
      <c r="Q197" s="28"/>
      <c r="R197" s="28"/>
      <c r="S197" s="28"/>
      <c r="T197" s="28"/>
      <c r="U197" s="28"/>
      <c r="V197" s="28"/>
      <c r="W197" s="28"/>
      <c r="X197" s="28"/>
    </row>
    <row r="198" spans="1:24">
      <c r="A198" s="22">
        <v>46277</v>
      </c>
      <c r="B198" s="23" t="s">
        <v>33</v>
      </c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4">
        <v>0</v>
      </c>
      <c r="N198" s="27"/>
      <c r="O198" s="28"/>
      <c r="P198" s="28"/>
      <c r="Q198" s="28"/>
      <c r="R198" s="28"/>
      <c r="S198" s="28"/>
      <c r="T198" s="28"/>
      <c r="U198" s="28"/>
      <c r="V198" s="28"/>
      <c r="W198" s="28"/>
      <c r="X198" s="28"/>
    </row>
    <row r="199" spans="1:24">
      <c r="A199" s="22">
        <v>46278</v>
      </c>
      <c r="B199" s="23" t="s">
        <v>33</v>
      </c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4">
        <v>0</v>
      </c>
      <c r="N199" s="27"/>
      <c r="O199" s="28"/>
      <c r="P199" s="28"/>
      <c r="Q199" s="28"/>
      <c r="R199" s="28"/>
      <c r="S199" s="28"/>
      <c r="T199" s="28"/>
      <c r="U199" s="28"/>
      <c r="V199" s="28"/>
      <c r="W199" s="28"/>
      <c r="X199" s="28"/>
    </row>
    <row r="200" spans="1:24">
      <c r="A200" s="22">
        <v>46279</v>
      </c>
      <c r="B200" s="23" t="s">
        <v>33</v>
      </c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4">
        <v>0</v>
      </c>
      <c r="N200" s="27"/>
      <c r="O200" s="28"/>
      <c r="P200" s="28"/>
      <c r="Q200" s="28"/>
      <c r="R200" s="28"/>
      <c r="S200" s="28"/>
      <c r="T200" s="28"/>
      <c r="U200" s="28"/>
      <c r="V200" s="28"/>
      <c r="W200" s="28"/>
      <c r="X200" s="28"/>
    </row>
    <row r="201" spans="1:24">
      <c r="A201" s="22">
        <v>46280</v>
      </c>
      <c r="B201" s="23" t="s">
        <v>33</v>
      </c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4">
        <v>0</v>
      </c>
      <c r="N201" s="27"/>
      <c r="O201" s="28"/>
      <c r="P201" s="28"/>
      <c r="Q201" s="28"/>
      <c r="R201" s="28"/>
      <c r="S201" s="28"/>
      <c r="T201" s="28"/>
      <c r="U201" s="28"/>
      <c r="V201" s="28"/>
      <c r="W201" s="28"/>
      <c r="X201" s="28"/>
    </row>
    <row r="202" spans="1:24">
      <c r="A202" s="22">
        <v>46281</v>
      </c>
      <c r="B202" s="23" t="s">
        <v>33</v>
      </c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4">
        <v>0</v>
      </c>
      <c r="N202" s="27"/>
      <c r="O202" s="28"/>
      <c r="P202" s="28"/>
      <c r="Q202" s="28"/>
      <c r="R202" s="28"/>
      <c r="S202" s="28"/>
      <c r="T202" s="28"/>
      <c r="U202" s="28"/>
      <c r="V202" s="28"/>
      <c r="W202" s="28"/>
      <c r="X202" s="28"/>
    </row>
    <row r="203" spans="1:24">
      <c r="A203" s="22">
        <v>46282</v>
      </c>
      <c r="B203" s="23" t="s">
        <v>33</v>
      </c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4">
        <v>0</v>
      </c>
      <c r="N203" s="27"/>
      <c r="O203" s="28"/>
      <c r="P203" s="28"/>
      <c r="Q203" s="28"/>
      <c r="R203" s="28"/>
      <c r="S203" s="28"/>
      <c r="T203" s="28"/>
      <c r="U203" s="28"/>
      <c r="V203" s="28"/>
      <c r="W203" s="28"/>
      <c r="X203" s="28"/>
    </row>
    <row r="204" spans="1:24">
      <c r="A204" s="22">
        <v>46283</v>
      </c>
      <c r="B204" s="23" t="s">
        <v>33</v>
      </c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4">
        <v>0</v>
      </c>
      <c r="N204" s="27"/>
      <c r="O204" s="28"/>
      <c r="P204" s="28"/>
      <c r="Q204" s="28"/>
      <c r="R204" s="28"/>
      <c r="S204" s="28"/>
      <c r="T204" s="28"/>
      <c r="U204" s="28"/>
      <c r="V204" s="28"/>
      <c r="W204" s="28"/>
      <c r="X204" s="28"/>
    </row>
    <row r="205" spans="1:24">
      <c r="A205" s="22">
        <v>46284</v>
      </c>
      <c r="B205" s="23" t="s">
        <v>33</v>
      </c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4">
        <v>0</v>
      </c>
      <c r="N205" s="27"/>
      <c r="O205" s="28"/>
      <c r="P205" s="28"/>
      <c r="Q205" s="28"/>
      <c r="R205" s="28"/>
      <c r="S205" s="28"/>
      <c r="T205" s="28"/>
      <c r="U205" s="28"/>
      <c r="V205" s="28"/>
      <c r="W205" s="28"/>
      <c r="X205" s="28"/>
    </row>
    <row r="206" spans="1:24">
      <c r="A206" s="22">
        <v>46285</v>
      </c>
      <c r="B206" s="23" t="s">
        <v>33</v>
      </c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4">
        <v>0</v>
      </c>
      <c r="N206" s="27"/>
      <c r="O206" s="28"/>
      <c r="P206" s="28"/>
      <c r="Q206" s="28"/>
      <c r="R206" s="28"/>
      <c r="S206" s="28"/>
      <c r="T206" s="28"/>
      <c r="U206" s="28"/>
      <c r="V206" s="28"/>
      <c r="W206" s="28"/>
      <c r="X206" s="28"/>
    </row>
    <row r="207" spans="1:24">
      <c r="A207" s="22">
        <v>46286</v>
      </c>
      <c r="B207" s="23" t="s">
        <v>33</v>
      </c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4">
        <v>0</v>
      </c>
      <c r="N207" s="27"/>
      <c r="O207" s="28"/>
      <c r="P207" s="28"/>
      <c r="Q207" s="28"/>
      <c r="R207" s="28"/>
      <c r="S207" s="28"/>
      <c r="T207" s="28"/>
      <c r="U207" s="28"/>
      <c r="V207" s="28"/>
      <c r="W207" s="28"/>
      <c r="X207" s="28"/>
    </row>
    <row r="208" spans="1:24">
      <c r="A208" s="22">
        <v>46287</v>
      </c>
      <c r="B208" s="23" t="s">
        <v>33</v>
      </c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4">
        <v>0</v>
      </c>
      <c r="N208" s="27"/>
      <c r="O208" s="28"/>
      <c r="P208" s="28"/>
      <c r="Q208" s="28"/>
      <c r="R208" s="28"/>
      <c r="S208" s="28"/>
      <c r="T208" s="28"/>
      <c r="U208" s="28"/>
      <c r="V208" s="28"/>
      <c r="W208" s="28"/>
      <c r="X208" s="28"/>
    </row>
    <row r="209" spans="1:24">
      <c r="A209" s="22">
        <v>46288</v>
      </c>
      <c r="B209" s="23" t="s">
        <v>33</v>
      </c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4">
        <v>0</v>
      </c>
      <c r="N209" s="27"/>
      <c r="O209" s="28"/>
      <c r="P209" s="28"/>
      <c r="Q209" s="28"/>
      <c r="R209" s="28"/>
      <c r="S209" s="28"/>
      <c r="T209" s="28"/>
      <c r="U209" s="28"/>
      <c r="V209" s="28"/>
      <c r="W209" s="28"/>
      <c r="X209" s="28"/>
    </row>
    <row r="210" spans="1:24">
      <c r="A210" s="22">
        <v>46289</v>
      </c>
      <c r="B210" s="23" t="s">
        <v>33</v>
      </c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4">
        <v>0</v>
      </c>
      <c r="N210" s="27"/>
      <c r="O210" s="28"/>
      <c r="P210" s="28"/>
      <c r="Q210" s="28"/>
      <c r="R210" s="28"/>
      <c r="S210" s="28"/>
      <c r="T210" s="28"/>
      <c r="U210" s="28"/>
      <c r="V210" s="28"/>
      <c r="W210" s="28"/>
      <c r="X210" s="28"/>
    </row>
    <row r="211" spans="1:24">
      <c r="A211" s="22">
        <v>46290</v>
      </c>
      <c r="B211" s="23" t="s">
        <v>33</v>
      </c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4">
        <v>0</v>
      </c>
      <c r="N211" s="27"/>
      <c r="O211" s="28"/>
      <c r="P211" s="28"/>
      <c r="Q211" s="28"/>
      <c r="R211" s="28"/>
      <c r="S211" s="28"/>
      <c r="T211" s="28"/>
      <c r="U211" s="28"/>
      <c r="V211" s="28"/>
      <c r="W211" s="28"/>
      <c r="X211" s="28"/>
    </row>
    <row r="212" spans="1:24">
      <c r="A212" s="22">
        <v>46291</v>
      </c>
      <c r="B212" s="23" t="s">
        <v>33</v>
      </c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4">
        <v>0</v>
      </c>
      <c r="N212" s="27"/>
      <c r="O212" s="28"/>
      <c r="P212" s="28"/>
      <c r="Q212" s="28"/>
      <c r="R212" s="28"/>
      <c r="S212" s="28"/>
      <c r="T212" s="28"/>
      <c r="U212" s="28"/>
      <c r="V212" s="28"/>
      <c r="W212" s="28"/>
      <c r="X212" s="28"/>
    </row>
    <row r="213" spans="1:24">
      <c r="A213" s="22">
        <v>46292</v>
      </c>
      <c r="B213" s="23" t="s">
        <v>33</v>
      </c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4">
        <v>0</v>
      </c>
      <c r="N213" s="27"/>
      <c r="O213" s="28"/>
      <c r="P213" s="28"/>
      <c r="Q213" s="28"/>
      <c r="R213" s="28"/>
      <c r="S213" s="28"/>
      <c r="T213" s="28"/>
      <c r="U213" s="28"/>
      <c r="V213" s="28"/>
      <c r="W213" s="28"/>
      <c r="X213" s="28"/>
    </row>
    <row r="214" spans="1:24">
      <c r="A214" s="22">
        <v>46293</v>
      </c>
      <c r="B214" s="23" t="s">
        <v>33</v>
      </c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4">
        <v>0</v>
      </c>
      <c r="N214" s="27"/>
      <c r="O214" s="28"/>
      <c r="P214" s="28"/>
      <c r="Q214" s="28"/>
      <c r="R214" s="28"/>
      <c r="S214" s="28"/>
      <c r="T214" s="28"/>
      <c r="U214" s="28"/>
      <c r="V214" s="28"/>
      <c r="W214" s="28"/>
      <c r="X214" s="28"/>
    </row>
    <row r="215" spans="1:24">
      <c r="A215" s="22">
        <v>46294</v>
      </c>
      <c r="B215" s="23" t="s">
        <v>33</v>
      </c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4">
        <v>0</v>
      </c>
      <c r="N215" s="27"/>
      <c r="O215" s="28"/>
      <c r="P215" s="28"/>
      <c r="Q215" s="28"/>
      <c r="R215" s="28"/>
      <c r="S215" s="28"/>
      <c r="T215" s="28"/>
      <c r="U215" s="28"/>
      <c r="V215" s="28"/>
      <c r="W215" s="28"/>
      <c r="X215" s="28"/>
    </row>
    <row r="216" spans="1:24">
      <c r="A216" s="22">
        <v>46295</v>
      </c>
      <c r="B216" s="23" t="s">
        <v>33</v>
      </c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4">
        <v>0</v>
      </c>
      <c r="N216" s="27"/>
      <c r="O216" s="28"/>
      <c r="P216" s="28"/>
      <c r="Q216" s="28"/>
      <c r="R216" s="28"/>
      <c r="S216" s="28"/>
      <c r="T216" s="28"/>
      <c r="U216" s="28"/>
      <c r="V216" s="28"/>
      <c r="W216" s="28"/>
      <c r="X216" s="28"/>
    </row>
    <row r="217" spans="1:24">
      <c r="A217" s="22">
        <v>46296</v>
      </c>
      <c r="B217" s="23" t="s">
        <v>33</v>
      </c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4">
        <v>0</v>
      </c>
      <c r="N217" s="27"/>
      <c r="O217" s="28"/>
      <c r="P217" s="28"/>
      <c r="Q217" s="28"/>
      <c r="R217" s="28"/>
      <c r="S217" s="28"/>
      <c r="T217" s="28"/>
      <c r="U217" s="28"/>
      <c r="V217" s="28"/>
      <c r="W217" s="28"/>
      <c r="X217" s="28"/>
    </row>
    <row r="218" spans="1:24">
      <c r="A218" s="22">
        <v>46297</v>
      </c>
      <c r="B218" s="23" t="s">
        <v>33</v>
      </c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4">
        <v>0</v>
      </c>
      <c r="N218" s="27"/>
      <c r="O218" s="28"/>
      <c r="P218" s="28"/>
      <c r="Q218" s="28"/>
      <c r="R218" s="28"/>
      <c r="S218" s="28"/>
      <c r="T218" s="28"/>
      <c r="U218" s="28"/>
      <c r="V218" s="28"/>
      <c r="W218" s="28"/>
      <c r="X218" s="28"/>
    </row>
    <row r="219" spans="1:24">
      <c r="A219" s="22">
        <v>46298</v>
      </c>
      <c r="B219" s="23" t="s">
        <v>33</v>
      </c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4">
        <v>0</v>
      </c>
      <c r="N219" s="27"/>
      <c r="O219" s="28"/>
      <c r="P219" s="28"/>
      <c r="Q219" s="28"/>
      <c r="R219" s="28"/>
      <c r="S219" s="28"/>
      <c r="T219" s="28"/>
      <c r="U219" s="28"/>
      <c r="V219" s="28"/>
      <c r="W219" s="28"/>
      <c r="X219" s="28"/>
    </row>
    <row r="220" spans="1:24">
      <c r="A220" s="22">
        <v>46299</v>
      </c>
      <c r="B220" s="23" t="s">
        <v>33</v>
      </c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4">
        <v>0</v>
      </c>
      <c r="N220" s="27"/>
      <c r="O220" s="28"/>
      <c r="P220" s="28"/>
      <c r="Q220" s="28"/>
      <c r="R220" s="28"/>
      <c r="S220" s="28"/>
      <c r="T220" s="28"/>
      <c r="U220" s="28"/>
      <c r="V220" s="28"/>
      <c r="W220" s="28"/>
      <c r="X220" s="28"/>
    </row>
    <row r="221" spans="1:24">
      <c r="A221" s="22">
        <v>46300</v>
      </c>
      <c r="B221" s="23" t="s">
        <v>33</v>
      </c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4">
        <v>0</v>
      </c>
      <c r="N221" s="27"/>
      <c r="O221" s="28"/>
      <c r="P221" s="28"/>
      <c r="Q221" s="28"/>
      <c r="R221" s="28"/>
      <c r="S221" s="28"/>
      <c r="T221" s="28"/>
      <c r="U221" s="28"/>
      <c r="V221" s="28"/>
      <c r="W221" s="28"/>
      <c r="X221" s="28"/>
    </row>
    <row r="222" spans="1:24">
      <c r="A222" s="22">
        <v>46301</v>
      </c>
      <c r="B222" s="23" t="s">
        <v>33</v>
      </c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4">
        <v>0</v>
      </c>
      <c r="N222" s="27"/>
      <c r="O222" s="28"/>
      <c r="P222" s="28"/>
      <c r="Q222" s="28"/>
      <c r="R222" s="28"/>
      <c r="S222" s="28"/>
      <c r="T222" s="28"/>
      <c r="U222" s="28"/>
      <c r="V222" s="28"/>
      <c r="W222" s="28"/>
      <c r="X222" s="28"/>
    </row>
    <row r="223" spans="1:24">
      <c r="A223" s="22">
        <v>46302</v>
      </c>
      <c r="B223" s="23" t="s">
        <v>33</v>
      </c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4">
        <v>0</v>
      </c>
      <c r="N223" s="27"/>
      <c r="O223" s="28"/>
      <c r="P223" s="28"/>
      <c r="Q223" s="28"/>
      <c r="R223" s="28"/>
      <c r="S223" s="28"/>
      <c r="T223" s="28"/>
      <c r="U223" s="28"/>
      <c r="V223" s="28"/>
      <c r="W223" s="28"/>
      <c r="X223" s="28"/>
    </row>
    <row r="224" spans="1:24">
      <c r="A224" s="22">
        <v>46303</v>
      </c>
      <c r="B224" s="23" t="s">
        <v>33</v>
      </c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4">
        <v>0</v>
      </c>
      <c r="N224" s="27"/>
      <c r="O224" s="28"/>
      <c r="P224" s="28"/>
      <c r="Q224" s="28"/>
      <c r="R224" s="28"/>
      <c r="S224" s="28"/>
      <c r="T224" s="28"/>
      <c r="U224" s="28"/>
      <c r="V224" s="28"/>
      <c r="W224" s="28"/>
      <c r="X224" s="28"/>
    </row>
    <row r="225" spans="1:24">
      <c r="A225" s="22">
        <v>46304</v>
      </c>
      <c r="B225" s="23" t="s">
        <v>33</v>
      </c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4">
        <v>0</v>
      </c>
      <c r="N225" s="27"/>
      <c r="O225" s="28"/>
      <c r="P225" s="28"/>
      <c r="Q225" s="28"/>
      <c r="R225" s="28"/>
      <c r="S225" s="28"/>
      <c r="T225" s="28"/>
      <c r="U225" s="28"/>
      <c r="V225" s="28"/>
      <c r="W225" s="28"/>
      <c r="X225" s="28"/>
    </row>
    <row r="226" spans="1:24">
      <c r="A226" s="22">
        <v>46305</v>
      </c>
      <c r="B226" s="23" t="s">
        <v>33</v>
      </c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4">
        <v>0</v>
      </c>
      <c r="N226" s="27"/>
      <c r="O226" s="28"/>
      <c r="P226" s="28"/>
      <c r="Q226" s="28"/>
      <c r="R226" s="28"/>
      <c r="S226" s="28"/>
      <c r="T226" s="28"/>
      <c r="U226" s="28"/>
      <c r="V226" s="28"/>
      <c r="W226" s="28"/>
      <c r="X226" s="28"/>
    </row>
    <row r="227" spans="1:24">
      <c r="A227" s="22">
        <v>46306</v>
      </c>
      <c r="B227" s="23" t="s">
        <v>33</v>
      </c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4">
        <v>0</v>
      </c>
      <c r="N227" s="27"/>
      <c r="O227" s="28"/>
      <c r="P227" s="28"/>
      <c r="Q227" s="28"/>
      <c r="R227" s="28"/>
      <c r="S227" s="28"/>
      <c r="T227" s="28"/>
      <c r="U227" s="28"/>
      <c r="V227" s="28"/>
      <c r="W227" s="28"/>
      <c r="X227" s="28"/>
    </row>
    <row r="228" spans="1:24">
      <c r="A228" s="22">
        <v>46307</v>
      </c>
      <c r="B228" s="23" t="s">
        <v>33</v>
      </c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4">
        <v>0</v>
      </c>
      <c r="N228" s="27"/>
      <c r="O228" s="28"/>
      <c r="P228" s="28"/>
      <c r="Q228" s="28"/>
      <c r="R228" s="28"/>
      <c r="S228" s="28"/>
      <c r="T228" s="28"/>
      <c r="U228" s="28"/>
      <c r="V228" s="28"/>
      <c r="W228" s="28"/>
      <c r="X228" s="28"/>
    </row>
    <row r="229" spans="1:24">
      <c r="A229" s="22">
        <v>46308</v>
      </c>
      <c r="B229" s="23" t="s">
        <v>33</v>
      </c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4">
        <v>0</v>
      </c>
      <c r="N229" s="27"/>
      <c r="O229" s="28"/>
      <c r="P229" s="28"/>
      <c r="Q229" s="28"/>
      <c r="R229" s="28"/>
      <c r="S229" s="28"/>
      <c r="T229" s="28"/>
      <c r="U229" s="28"/>
      <c r="V229" s="28"/>
      <c r="W229" s="28"/>
      <c r="X229" s="28"/>
    </row>
    <row r="230" spans="1:24">
      <c r="A230" s="22">
        <v>46309</v>
      </c>
      <c r="B230" s="23" t="s">
        <v>33</v>
      </c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4">
        <v>0</v>
      </c>
      <c r="N230" s="27"/>
      <c r="O230" s="28"/>
      <c r="P230" s="28"/>
      <c r="Q230" s="28"/>
      <c r="R230" s="28"/>
      <c r="S230" s="28"/>
      <c r="T230" s="28"/>
      <c r="U230" s="28"/>
      <c r="V230" s="28"/>
      <c r="W230" s="28"/>
      <c r="X230" s="28"/>
    </row>
    <row r="231" spans="1:24">
      <c r="A231" s="22">
        <v>46310</v>
      </c>
      <c r="B231" s="23" t="s">
        <v>33</v>
      </c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4">
        <v>0</v>
      </c>
      <c r="N231" s="27"/>
      <c r="O231" s="28"/>
      <c r="P231" s="28"/>
      <c r="Q231" s="28"/>
      <c r="R231" s="28"/>
      <c r="S231" s="28"/>
      <c r="T231" s="28"/>
      <c r="U231" s="28"/>
      <c r="V231" s="28"/>
      <c r="W231" s="28"/>
      <c r="X231" s="28"/>
    </row>
    <row r="232" spans="1:24">
      <c r="A232" s="22">
        <v>46311</v>
      </c>
      <c r="B232" s="23" t="s">
        <v>33</v>
      </c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4">
        <v>0</v>
      </c>
      <c r="N232" s="27"/>
      <c r="O232" s="28"/>
      <c r="P232" s="28"/>
      <c r="Q232" s="28"/>
      <c r="R232" s="28"/>
      <c r="S232" s="28"/>
      <c r="T232" s="28"/>
      <c r="U232" s="28"/>
      <c r="V232" s="28"/>
      <c r="W232" s="28"/>
      <c r="X232" s="28"/>
    </row>
    <row r="233" spans="1:24">
      <c r="A233" s="22">
        <v>46312</v>
      </c>
      <c r="B233" s="23" t="s">
        <v>33</v>
      </c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4">
        <v>0</v>
      </c>
      <c r="N233" s="27"/>
      <c r="O233" s="28"/>
      <c r="P233" s="28"/>
      <c r="Q233" s="28"/>
      <c r="R233" s="28"/>
      <c r="S233" s="28"/>
      <c r="T233" s="28"/>
      <c r="U233" s="28"/>
      <c r="V233" s="28"/>
      <c r="W233" s="28"/>
      <c r="X233" s="28"/>
    </row>
    <row r="234" spans="1:24">
      <c r="A234" s="22">
        <v>46313</v>
      </c>
      <c r="B234" s="23" t="s">
        <v>33</v>
      </c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4">
        <v>0</v>
      </c>
      <c r="N234" s="27"/>
      <c r="O234" s="28"/>
      <c r="P234" s="28"/>
      <c r="Q234" s="28"/>
      <c r="R234" s="28"/>
      <c r="S234" s="28"/>
      <c r="T234" s="28"/>
      <c r="U234" s="28"/>
      <c r="V234" s="28"/>
      <c r="W234" s="28"/>
      <c r="X234" s="28"/>
    </row>
    <row r="235" spans="1:24">
      <c r="A235" s="22">
        <v>46314</v>
      </c>
      <c r="B235" s="23" t="s">
        <v>33</v>
      </c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4">
        <v>0</v>
      </c>
      <c r="N235" s="27"/>
      <c r="O235" s="28"/>
      <c r="P235" s="28"/>
      <c r="Q235" s="28"/>
      <c r="R235" s="28"/>
      <c r="S235" s="28"/>
      <c r="T235" s="28"/>
      <c r="U235" s="28"/>
      <c r="V235" s="28"/>
      <c r="W235" s="28"/>
      <c r="X235" s="28"/>
    </row>
    <row r="236" spans="1:24">
      <c r="A236" s="22">
        <v>46315</v>
      </c>
      <c r="B236" s="23" t="s">
        <v>33</v>
      </c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4">
        <v>0</v>
      </c>
      <c r="N236" s="27"/>
      <c r="O236" s="28"/>
      <c r="P236" s="28"/>
      <c r="Q236" s="28"/>
      <c r="R236" s="28"/>
      <c r="S236" s="28"/>
      <c r="T236" s="28"/>
      <c r="U236" s="28"/>
      <c r="V236" s="28"/>
      <c r="W236" s="28"/>
      <c r="X236" s="28"/>
    </row>
    <row r="237" spans="1:24">
      <c r="A237" s="22">
        <v>46316</v>
      </c>
      <c r="B237" s="23" t="s">
        <v>33</v>
      </c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4">
        <v>0</v>
      </c>
      <c r="N237" s="27"/>
      <c r="O237" s="28"/>
      <c r="P237" s="28"/>
      <c r="Q237" s="28"/>
      <c r="R237" s="28"/>
      <c r="S237" s="28"/>
      <c r="T237" s="28"/>
      <c r="U237" s="28"/>
      <c r="V237" s="28"/>
      <c r="W237" s="28"/>
      <c r="X237" s="28"/>
    </row>
    <row r="238" spans="1:24">
      <c r="A238" s="22">
        <v>46317</v>
      </c>
      <c r="B238" s="23" t="s">
        <v>33</v>
      </c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4">
        <v>0</v>
      </c>
      <c r="N238" s="27"/>
      <c r="O238" s="28"/>
      <c r="P238" s="28"/>
      <c r="Q238" s="28"/>
      <c r="R238" s="28"/>
      <c r="S238" s="28"/>
      <c r="T238" s="28"/>
      <c r="U238" s="28"/>
      <c r="V238" s="28"/>
      <c r="W238" s="28"/>
      <c r="X238" s="28"/>
    </row>
    <row r="239" spans="1:24">
      <c r="A239" s="22">
        <v>46318</v>
      </c>
      <c r="B239" s="23" t="s">
        <v>33</v>
      </c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4">
        <v>0</v>
      </c>
      <c r="N239" s="27"/>
      <c r="O239" s="28"/>
      <c r="P239" s="28"/>
      <c r="Q239" s="28"/>
      <c r="R239" s="28"/>
      <c r="S239" s="28"/>
      <c r="T239" s="28"/>
      <c r="U239" s="28"/>
      <c r="V239" s="28"/>
      <c r="W239" s="28"/>
      <c r="X239" s="28"/>
    </row>
    <row r="240" spans="1:24">
      <c r="A240" s="22">
        <v>46319</v>
      </c>
      <c r="B240" s="23" t="s">
        <v>33</v>
      </c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4">
        <v>0</v>
      </c>
      <c r="N240" s="27"/>
      <c r="O240" s="28"/>
      <c r="P240" s="28"/>
      <c r="Q240" s="28"/>
      <c r="R240" s="28"/>
      <c r="S240" s="28"/>
      <c r="T240" s="28"/>
      <c r="U240" s="28"/>
      <c r="V240" s="28"/>
      <c r="W240" s="28"/>
      <c r="X240" s="28"/>
    </row>
    <row r="241" spans="1:24">
      <c r="A241" s="22">
        <v>46320</v>
      </c>
      <c r="B241" s="23" t="s">
        <v>33</v>
      </c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4">
        <v>0</v>
      </c>
      <c r="N241" s="27"/>
      <c r="O241" s="28"/>
      <c r="P241" s="28"/>
      <c r="Q241" s="28"/>
      <c r="R241" s="28"/>
      <c r="S241" s="28"/>
      <c r="T241" s="28"/>
      <c r="U241" s="28"/>
      <c r="V241" s="28"/>
      <c r="W241" s="28"/>
      <c r="X241" s="28"/>
    </row>
    <row r="242" spans="1:24">
      <c r="A242" s="22">
        <v>46321</v>
      </c>
      <c r="B242" s="23" t="s">
        <v>33</v>
      </c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4">
        <v>0</v>
      </c>
      <c r="N242" s="27"/>
      <c r="O242" s="28"/>
      <c r="P242" s="28"/>
      <c r="Q242" s="28"/>
      <c r="R242" s="28"/>
      <c r="S242" s="28"/>
      <c r="T242" s="28"/>
      <c r="U242" s="28"/>
      <c r="V242" s="28"/>
      <c r="W242" s="28"/>
      <c r="X242" s="28"/>
    </row>
    <row r="243" spans="1:24">
      <c r="A243" s="22">
        <v>46322</v>
      </c>
      <c r="B243" s="23" t="s">
        <v>33</v>
      </c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4">
        <v>0</v>
      </c>
      <c r="N243" s="27"/>
      <c r="O243" s="28"/>
      <c r="P243" s="28"/>
      <c r="Q243" s="28"/>
      <c r="R243" s="28"/>
      <c r="S243" s="28"/>
      <c r="T243" s="28"/>
      <c r="U243" s="28"/>
      <c r="V243" s="28"/>
      <c r="W243" s="28"/>
      <c r="X243" s="28"/>
    </row>
    <row r="244" spans="1:24">
      <c r="A244" s="22">
        <v>46323</v>
      </c>
      <c r="B244" s="23" t="s">
        <v>33</v>
      </c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4">
        <v>0</v>
      </c>
      <c r="N244" s="27"/>
      <c r="O244" s="28"/>
      <c r="P244" s="28"/>
      <c r="Q244" s="28"/>
      <c r="R244" s="28"/>
      <c r="S244" s="28"/>
      <c r="T244" s="28"/>
      <c r="U244" s="28"/>
      <c r="V244" s="28"/>
      <c r="W244" s="28"/>
      <c r="X244" s="28"/>
    </row>
    <row r="245" spans="1:24">
      <c r="A245" s="22">
        <v>46324</v>
      </c>
      <c r="B245" s="23" t="s">
        <v>33</v>
      </c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4">
        <v>0</v>
      </c>
      <c r="N245" s="27"/>
      <c r="O245" s="28"/>
      <c r="P245" s="28"/>
      <c r="Q245" s="28"/>
      <c r="R245" s="28"/>
      <c r="S245" s="28"/>
      <c r="T245" s="28"/>
      <c r="U245" s="28"/>
      <c r="V245" s="28"/>
      <c r="W245" s="28"/>
      <c r="X245" s="28"/>
    </row>
    <row r="246" spans="1:24">
      <c r="A246" s="22">
        <v>46325</v>
      </c>
      <c r="B246" s="23" t="s">
        <v>33</v>
      </c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4">
        <v>0</v>
      </c>
      <c r="N246" s="27"/>
      <c r="O246" s="28"/>
      <c r="P246" s="28"/>
      <c r="Q246" s="28"/>
      <c r="R246" s="28"/>
      <c r="S246" s="28"/>
      <c r="T246" s="28"/>
      <c r="U246" s="28"/>
      <c r="V246" s="28"/>
      <c r="W246" s="28"/>
      <c r="X246" s="28"/>
    </row>
    <row r="247" spans="1:24">
      <c r="A247" s="22">
        <v>46326</v>
      </c>
      <c r="B247" s="23" t="s">
        <v>33</v>
      </c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4">
        <v>0</v>
      </c>
      <c r="N247" s="27"/>
      <c r="O247" s="28"/>
      <c r="P247" s="28"/>
      <c r="Q247" s="28"/>
      <c r="R247" s="28"/>
      <c r="S247" s="28"/>
      <c r="T247" s="28"/>
      <c r="U247" s="28"/>
      <c r="V247" s="28"/>
      <c r="W247" s="28"/>
      <c r="X247" s="28"/>
    </row>
    <row r="248" spans="1:24">
      <c r="A248" s="22">
        <v>46327</v>
      </c>
      <c r="B248" s="23" t="s">
        <v>33</v>
      </c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4">
        <v>0</v>
      </c>
      <c r="N248" s="27"/>
      <c r="O248" s="28"/>
      <c r="P248" s="28"/>
      <c r="Q248" s="28"/>
      <c r="R248" s="28"/>
      <c r="S248" s="28"/>
      <c r="T248" s="28"/>
      <c r="U248" s="28"/>
      <c r="V248" s="28"/>
      <c r="W248" s="28"/>
      <c r="X248" s="28"/>
    </row>
    <row r="249" spans="1:24">
      <c r="A249" s="22">
        <v>46328</v>
      </c>
      <c r="B249" s="23" t="s">
        <v>33</v>
      </c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4">
        <v>0</v>
      </c>
      <c r="N249" s="27"/>
      <c r="O249" s="28"/>
      <c r="P249" s="28"/>
      <c r="Q249" s="28"/>
      <c r="R249" s="28"/>
      <c r="S249" s="28"/>
      <c r="T249" s="28"/>
      <c r="U249" s="28"/>
      <c r="V249" s="28"/>
      <c r="W249" s="28"/>
      <c r="X249" s="28"/>
    </row>
    <row r="250" spans="1:24">
      <c r="A250" s="22">
        <v>46329</v>
      </c>
      <c r="B250" s="23" t="s">
        <v>33</v>
      </c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4">
        <v>0</v>
      </c>
      <c r="N250" s="27"/>
      <c r="O250" s="28"/>
      <c r="P250" s="28"/>
      <c r="Q250" s="28"/>
      <c r="R250" s="28"/>
      <c r="S250" s="28"/>
      <c r="T250" s="28"/>
      <c r="U250" s="28"/>
      <c r="V250" s="28"/>
      <c r="W250" s="28"/>
      <c r="X250" s="28"/>
    </row>
    <row r="251" spans="1:24">
      <c r="A251" s="22">
        <v>46330</v>
      </c>
      <c r="B251" s="23" t="s">
        <v>33</v>
      </c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4">
        <v>0</v>
      </c>
      <c r="N251" s="27"/>
      <c r="O251" s="28"/>
      <c r="P251" s="28"/>
      <c r="Q251" s="28"/>
      <c r="R251" s="28"/>
      <c r="S251" s="28"/>
      <c r="T251" s="28"/>
      <c r="U251" s="28"/>
      <c r="V251" s="28"/>
      <c r="W251" s="28"/>
      <c r="X251" s="28"/>
    </row>
    <row r="252" spans="1:24">
      <c r="A252" s="22">
        <v>46331</v>
      </c>
      <c r="B252" s="23" t="s">
        <v>33</v>
      </c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4">
        <v>0</v>
      </c>
      <c r="N252" s="27"/>
      <c r="O252" s="28"/>
      <c r="P252" s="28"/>
      <c r="Q252" s="28"/>
      <c r="R252" s="28"/>
      <c r="S252" s="28"/>
      <c r="T252" s="28"/>
      <c r="U252" s="28"/>
      <c r="V252" s="28"/>
      <c r="W252" s="28"/>
      <c r="X252" s="28"/>
    </row>
    <row r="253" spans="1:24">
      <c r="A253" s="22">
        <v>46332</v>
      </c>
      <c r="B253" s="23" t="s">
        <v>33</v>
      </c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4">
        <v>0</v>
      </c>
      <c r="N253" s="27"/>
      <c r="O253" s="28"/>
      <c r="P253" s="28"/>
      <c r="Q253" s="28"/>
      <c r="R253" s="28"/>
      <c r="S253" s="28"/>
      <c r="T253" s="28"/>
      <c r="U253" s="28"/>
      <c r="V253" s="28"/>
      <c r="W253" s="28"/>
      <c r="X253" s="28"/>
    </row>
    <row r="254" spans="1:24">
      <c r="A254" s="22">
        <v>46333</v>
      </c>
      <c r="B254" s="23" t="s">
        <v>33</v>
      </c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4">
        <v>0</v>
      </c>
      <c r="N254" s="27"/>
      <c r="O254" s="28"/>
      <c r="P254" s="28"/>
      <c r="Q254" s="28"/>
      <c r="R254" s="28"/>
      <c r="S254" s="28"/>
      <c r="T254" s="28"/>
      <c r="U254" s="28"/>
      <c r="V254" s="28"/>
      <c r="W254" s="28"/>
      <c r="X254" s="28"/>
    </row>
    <row r="255" spans="1:24">
      <c r="A255" s="22">
        <v>46334</v>
      </c>
      <c r="B255" s="23" t="s">
        <v>33</v>
      </c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4">
        <v>0</v>
      </c>
      <c r="N255" s="27"/>
      <c r="O255" s="28"/>
      <c r="P255" s="28"/>
      <c r="Q255" s="28"/>
      <c r="R255" s="28"/>
      <c r="S255" s="28"/>
      <c r="T255" s="28"/>
      <c r="U255" s="28"/>
      <c r="V255" s="28"/>
      <c r="W255" s="28"/>
      <c r="X255" s="28"/>
    </row>
    <row r="256" spans="1:24">
      <c r="A256" s="22">
        <v>46335</v>
      </c>
      <c r="B256" s="23" t="s">
        <v>33</v>
      </c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4">
        <v>0</v>
      </c>
      <c r="N256" s="27"/>
      <c r="O256" s="28"/>
      <c r="P256" s="28"/>
      <c r="Q256" s="28"/>
      <c r="R256" s="28"/>
      <c r="S256" s="28"/>
      <c r="T256" s="28"/>
      <c r="U256" s="28"/>
      <c r="V256" s="28"/>
      <c r="W256" s="28"/>
      <c r="X256" s="28"/>
    </row>
    <row r="257" spans="1:24">
      <c r="A257" s="22">
        <v>46336</v>
      </c>
      <c r="B257" s="23" t="s">
        <v>33</v>
      </c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4">
        <v>0</v>
      </c>
      <c r="N257" s="27"/>
      <c r="O257" s="28"/>
      <c r="P257" s="28"/>
      <c r="Q257" s="28"/>
      <c r="R257" s="28"/>
      <c r="S257" s="28"/>
      <c r="T257" s="28"/>
      <c r="U257" s="28"/>
      <c r="V257" s="28"/>
      <c r="W257" s="28"/>
      <c r="X257" s="28"/>
    </row>
    <row r="258" spans="1:24">
      <c r="A258" s="22">
        <v>46337</v>
      </c>
      <c r="B258" s="23" t="s">
        <v>33</v>
      </c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4">
        <v>0</v>
      </c>
      <c r="N258" s="27"/>
      <c r="O258" s="28"/>
      <c r="P258" s="28"/>
      <c r="Q258" s="28"/>
      <c r="R258" s="28"/>
      <c r="S258" s="28"/>
      <c r="T258" s="28"/>
      <c r="U258" s="28"/>
      <c r="V258" s="28"/>
      <c r="W258" s="28"/>
      <c r="X258" s="28"/>
    </row>
    <row r="259" spans="1:24">
      <c r="A259" s="22">
        <v>46338</v>
      </c>
      <c r="B259" s="23" t="s">
        <v>33</v>
      </c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4">
        <v>0</v>
      </c>
      <c r="N259" s="27"/>
      <c r="O259" s="28"/>
      <c r="P259" s="28"/>
      <c r="Q259" s="28"/>
      <c r="R259" s="28"/>
      <c r="S259" s="28"/>
      <c r="T259" s="28"/>
      <c r="U259" s="28"/>
      <c r="V259" s="28"/>
      <c r="W259" s="28"/>
      <c r="X259" s="28"/>
    </row>
    <row r="260" spans="1:24">
      <c r="A260" s="22">
        <v>46339</v>
      </c>
      <c r="B260" s="23" t="s">
        <v>33</v>
      </c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4">
        <v>0</v>
      </c>
      <c r="N260" s="27"/>
      <c r="O260" s="28"/>
      <c r="P260" s="28"/>
      <c r="Q260" s="28"/>
      <c r="R260" s="28"/>
      <c r="S260" s="28"/>
      <c r="T260" s="28"/>
      <c r="U260" s="28"/>
      <c r="V260" s="28"/>
      <c r="W260" s="28"/>
      <c r="X260" s="28"/>
    </row>
    <row r="261" spans="1:24">
      <c r="A261" s="22">
        <v>46340</v>
      </c>
      <c r="B261" s="23" t="s">
        <v>33</v>
      </c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4">
        <v>0</v>
      </c>
      <c r="N261" s="27"/>
      <c r="O261" s="28"/>
      <c r="P261" s="28"/>
      <c r="Q261" s="28"/>
      <c r="R261" s="28"/>
      <c r="S261" s="28"/>
      <c r="T261" s="28"/>
      <c r="U261" s="28"/>
      <c r="V261" s="28"/>
      <c r="W261" s="28"/>
      <c r="X261" s="28"/>
    </row>
    <row r="262" spans="1:24">
      <c r="A262" s="22">
        <v>46341</v>
      </c>
      <c r="B262" s="23" t="s">
        <v>33</v>
      </c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4">
        <v>0</v>
      </c>
      <c r="N262" s="27"/>
      <c r="O262" s="28"/>
      <c r="P262" s="28"/>
      <c r="Q262" s="28"/>
      <c r="R262" s="28"/>
      <c r="S262" s="28"/>
      <c r="T262" s="28"/>
      <c r="U262" s="28"/>
      <c r="V262" s="28"/>
      <c r="W262" s="28"/>
      <c r="X262" s="28"/>
    </row>
    <row r="263" spans="1:24">
      <c r="A263" s="22">
        <v>46342</v>
      </c>
      <c r="B263" s="23" t="s">
        <v>33</v>
      </c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4">
        <v>0</v>
      </c>
      <c r="N263" s="27"/>
      <c r="O263" s="28"/>
      <c r="P263" s="28"/>
      <c r="Q263" s="28"/>
      <c r="R263" s="28"/>
      <c r="S263" s="28"/>
      <c r="T263" s="28"/>
      <c r="U263" s="28"/>
      <c r="V263" s="28"/>
      <c r="W263" s="28"/>
      <c r="X263" s="28"/>
    </row>
    <row r="264" spans="1:24">
      <c r="A264" s="22">
        <v>46343</v>
      </c>
      <c r="B264" s="23" t="s">
        <v>33</v>
      </c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4">
        <v>0</v>
      </c>
      <c r="N264" s="27"/>
      <c r="O264" s="28"/>
      <c r="P264" s="28"/>
      <c r="Q264" s="28"/>
      <c r="R264" s="28"/>
      <c r="S264" s="28"/>
      <c r="T264" s="28"/>
      <c r="U264" s="28"/>
      <c r="V264" s="28"/>
      <c r="W264" s="28"/>
      <c r="X264" s="28"/>
    </row>
    <row r="265" spans="1:24">
      <c r="A265" s="22">
        <v>46344</v>
      </c>
      <c r="B265" s="23" t="s">
        <v>33</v>
      </c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4">
        <v>0</v>
      </c>
      <c r="N265" s="27"/>
      <c r="O265" s="28"/>
      <c r="P265" s="28"/>
      <c r="Q265" s="28"/>
      <c r="R265" s="28"/>
      <c r="S265" s="28"/>
      <c r="T265" s="28"/>
      <c r="U265" s="28"/>
      <c r="V265" s="28"/>
      <c r="W265" s="28"/>
      <c r="X265" s="28"/>
    </row>
    <row r="266" spans="1:24">
      <c r="A266" s="22">
        <v>46345</v>
      </c>
      <c r="B266" s="23" t="s">
        <v>33</v>
      </c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4">
        <v>0</v>
      </c>
      <c r="N266" s="27"/>
      <c r="O266" s="28"/>
      <c r="P266" s="28"/>
      <c r="Q266" s="28"/>
      <c r="R266" s="28"/>
      <c r="S266" s="28"/>
      <c r="T266" s="28"/>
      <c r="U266" s="28"/>
      <c r="V266" s="28"/>
      <c r="W266" s="28"/>
      <c r="X266" s="28"/>
    </row>
    <row r="267" spans="1:24">
      <c r="A267" s="22">
        <v>46346</v>
      </c>
      <c r="B267" s="23" t="s">
        <v>33</v>
      </c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4">
        <v>0</v>
      </c>
      <c r="N267" s="27"/>
      <c r="O267" s="28"/>
      <c r="P267" s="28"/>
      <c r="Q267" s="28"/>
      <c r="R267" s="28"/>
      <c r="S267" s="28"/>
      <c r="T267" s="28"/>
      <c r="U267" s="28"/>
      <c r="V267" s="28"/>
      <c r="W267" s="28"/>
      <c r="X267" s="28"/>
    </row>
    <row r="268" spans="1:24">
      <c r="A268" s="22">
        <v>46347</v>
      </c>
      <c r="B268" s="23" t="s">
        <v>33</v>
      </c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4">
        <v>0</v>
      </c>
      <c r="N268" s="27"/>
      <c r="O268" s="28"/>
      <c r="P268" s="28"/>
      <c r="Q268" s="28"/>
      <c r="R268" s="28"/>
      <c r="S268" s="28"/>
      <c r="T268" s="28"/>
      <c r="U268" s="28"/>
      <c r="V268" s="28"/>
      <c r="W268" s="28"/>
      <c r="X268" s="28"/>
    </row>
    <row r="269" spans="1:24">
      <c r="A269" s="22">
        <v>46348</v>
      </c>
      <c r="B269" s="23" t="s">
        <v>33</v>
      </c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4">
        <v>0</v>
      </c>
      <c r="N269" s="27"/>
      <c r="O269" s="28"/>
      <c r="P269" s="28"/>
      <c r="Q269" s="28"/>
      <c r="R269" s="28"/>
      <c r="S269" s="28"/>
      <c r="T269" s="28"/>
      <c r="U269" s="28"/>
      <c r="V269" s="28"/>
      <c r="W269" s="28"/>
      <c r="X269" s="28"/>
    </row>
    <row r="270" spans="1:24">
      <c r="A270" s="22">
        <v>46349</v>
      </c>
      <c r="B270" s="23" t="s">
        <v>33</v>
      </c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4">
        <v>0</v>
      </c>
      <c r="N270" s="27"/>
      <c r="O270" s="28"/>
      <c r="P270" s="28"/>
      <c r="Q270" s="28"/>
      <c r="R270" s="28"/>
      <c r="S270" s="28"/>
      <c r="T270" s="28"/>
      <c r="U270" s="28"/>
      <c r="V270" s="28"/>
      <c r="W270" s="28"/>
      <c r="X270" s="28"/>
    </row>
    <row r="271" spans="1:24">
      <c r="A271" s="22">
        <v>46350</v>
      </c>
      <c r="B271" s="23" t="s">
        <v>33</v>
      </c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4">
        <v>0</v>
      </c>
      <c r="N271" s="27"/>
      <c r="O271" s="28"/>
      <c r="P271" s="28"/>
      <c r="Q271" s="28"/>
      <c r="R271" s="28"/>
      <c r="S271" s="28"/>
      <c r="T271" s="28"/>
      <c r="U271" s="28"/>
      <c r="V271" s="28"/>
      <c r="W271" s="28"/>
      <c r="X271" s="28"/>
    </row>
    <row r="272" spans="1:24">
      <c r="A272" s="22">
        <v>46351</v>
      </c>
      <c r="B272" s="23" t="s">
        <v>33</v>
      </c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4">
        <v>0</v>
      </c>
      <c r="N272" s="27"/>
      <c r="O272" s="28"/>
      <c r="P272" s="28"/>
      <c r="Q272" s="28"/>
      <c r="R272" s="28"/>
      <c r="S272" s="28"/>
      <c r="T272" s="28"/>
      <c r="U272" s="28"/>
      <c r="V272" s="28"/>
      <c r="W272" s="28"/>
      <c r="X272" s="28"/>
    </row>
    <row r="273" spans="1:24">
      <c r="A273" s="22">
        <v>46352</v>
      </c>
      <c r="B273" s="23" t="s">
        <v>33</v>
      </c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4">
        <v>0</v>
      </c>
      <c r="N273" s="27"/>
      <c r="O273" s="28"/>
      <c r="P273" s="28"/>
      <c r="Q273" s="28"/>
      <c r="R273" s="28"/>
      <c r="S273" s="28"/>
      <c r="T273" s="28"/>
      <c r="U273" s="28"/>
      <c r="V273" s="28"/>
      <c r="W273" s="28"/>
      <c r="X273" s="28"/>
    </row>
    <row r="274" spans="1:24">
      <c r="A274" s="22">
        <v>46353</v>
      </c>
      <c r="B274" s="23" t="s">
        <v>33</v>
      </c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4">
        <v>0</v>
      </c>
      <c r="N274" s="27"/>
      <c r="O274" s="28"/>
      <c r="P274" s="28"/>
      <c r="Q274" s="28"/>
      <c r="R274" s="28"/>
      <c r="S274" s="28"/>
      <c r="T274" s="28"/>
      <c r="U274" s="28"/>
      <c r="V274" s="28"/>
      <c r="W274" s="28"/>
      <c r="X274" s="28"/>
    </row>
    <row r="275" spans="1:24">
      <c r="A275" s="22">
        <v>46354</v>
      </c>
      <c r="B275" s="23" t="s">
        <v>33</v>
      </c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4">
        <v>0</v>
      </c>
      <c r="N275" s="27"/>
      <c r="O275" s="28"/>
      <c r="P275" s="28"/>
      <c r="Q275" s="28"/>
      <c r="R275" s="28"/>
      <c r="S275" s="28"/>
      <c r="T275" s="28"/>
      <c r="U275" s="28"/>
      <c r="V275" s="28"/>
      <c r="W275" s="28"/>
      <c r="X275" s="28"/>
    </row>
    <row r="276" spans="1:24">
      <c r="A276" s="22">
        <v>46355</v>
      </c>
      <c r="B276" s="23" t="s">
        <v>33</v>
      </c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4">
        <v>0</v>
      </c>
      <c r="N276" s="27"/>
      <c r="O276" s="28"/>
      <c r="P276" s="28"/>
      <c r="Q276" s="28"/>
      <c r="R276" s="28"/>
      <c r="S276" s="28"/>
      <c r="T276" s="28"/>
      <c r="U276" s="28"/>
      <c r="V276" s="28"/>
      <c r="W276" s="28"/>
      <c r="X276" s="28"/>
    </row>
    <row r="277" spans="1:24">
      <c r="A277" s="22">
        <v>46356</v>
      </c>
      <c r="B277" s="23" t="s">
        <v>33</v>
      </c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4">
        <v>0</v>
      </c>
      <c r="N277" s="27"/>
      <c r="O277" s="28"/>
      <c r="P277" s="28"/>
      <c r="Q277" s="28"/>
      <c r="R277" s="28"/>
      <c r="S277" s="28"/>
      <c r="T277" s="28"/>
      <c r="U277" s="28"/>
      <c r="V277" s="28"/>
      <c r="W277" s="28"/>
      <c r="X277" s="28"/>
    </row>
    <row r="278" spans="1:24">
      <c r="A278" s="22">
        <v>46357</v>
      </c>
      <c r="B278" s="23" t="s">
        <v>33</v>
      </c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4">
        <v>0</v>
      </c>
      <c r="N278" s="27"/>
      <c r="O278" s="28"/>
      <c r="P278" s="28"/>
      <c r="Q278" s="28"/>
      <c r="R278" s="28"/>
      <c r="S278" s="28"/>
      <c r="T278" s="28"/>
      <c r="U278" s="28"/>
      <c r="V278" s="28"/>
      <c r="W278" s="28"/>
      <c r="X278" s="28"/>
    </row>
    <row r="279" spans="1:24">
      <c r="A279" s="22">
        <v>46358</v>
      </c>
      <c r="B279" s="23" t="s">
        <v>33</v>
      </c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4">
        <v>0</v>
      </c>
      <c r="N279" s="27"/>
      <c r="O279" s="28"/>
      <c r="P279" s="28"/>
      <c r="Q279" s="28"/>
      <c r="R279" s="28"/>
      <c r="S279" s="28"/>
      <c r="T279" s="28"/>
      <c r="U279" s="28"/>
      <c r="V279" s="28"/>
      <c r="W279" s="28"/>
      <c r="X279" s="28"/>
    </row>
    <row r="280" spans="1:24">
      <c r="A280" s="22">
        <v>46359</v>
      </c>
      <c r="B280" s="23" t="s">
        <v>33</v>
      </c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4">
        <v>0</v>
      </c>
      <c r="N280" s="27"/>
      <c r="O280" s="28"/>
      <c r="P280" s="28"/>
      <c r="Q280" s="28"/>
      <c r="R280" s="28"/>
      <c r="S280" s="28"/>
      <c r="T280" s="28"/>
      <c r="U280" s="28"/>
      <c r="V280" s="28"/>
      <c r="W280" s="28"/>
      <c r="X280" s="28"/>
    </row>
    <row r="281" spans="1:24">
      <c r="A281" s="22">
        <v>46360</v>
      </c>
      <c r="B281" s="23" t="s">
        <v>33</v>
      </c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4">
        <v>0</v>
      </c>
      <c r="N281" s="27"/>
      <c r="O281" s="28"/>
      <c r="P281" s="28"/>
      <c r="Q281" s="28"/>
      <c r="R281" s="28"/>
      <c r="S281" s="28"/>
      <c r="T281" s="28"/>
      <c r="U281" s="28"/>
      <c r="V281" s="28"/>
      <c r="W281" s="28"/>
      <c r="X281" s="28"/>
    </row>
    <row r="282" spans="1:24">
      <c r="A282" s="22">
        <v>46361</v>
      </c>
      <c r="B282" s="23" t="s">
        <v>33</v>
      </c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4">
        <v>0</v>
      </c>
      <c r="N282" s="27"/>
      <c r="O282" s="28"/>
      <c r="P282" s="28"/>
      <c r="Q282" s="28"/>
      <c r="R282" s="28"/>
      <c r="S282" s="28"/>
      <c r="T282" s="28"/>
      <c r="U282" s="28"/>
      <c r="V282" s="28"/>
      <c r="W282" s="28"/>
      <c r="X282" s="28"/>
    </row>
    <row r="283" spans="1:24">
      <c r="A283" s="22">
        <v>46362</v>
      </c>
      <c r="B283" s="23" t="s">
        <v>33</v>
      </c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4">
        <v>0</v>
      </c>
      <c r="N283" s="27"/>
      <c r="O283" s="28"/>
      <c r="P283" s="28"/>
      <c r="Q283" s="28"/>
      <c r="R283" s="28"/>
      <c r="S283" s="28"/>
      <c r="T283" s="28"/>
      <c r="U283" s="28"/>
      <c r="V283" s="28"/>
      <c r="W283" s="28"/>
      <c r="X283" s="28"/>
    </row>
    <row r="284" spans="1:24">
      <c r="A284" s="22">
        <v>46363</v>
      </c>
      <c r="B284" s="23" t="s">
        <v>33</v>
      </c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4">
        <v>0</v>
      </c>
      <c r="N284" s="27"/>
      <c r="O284" s="28"/>
      <c r="P284" s="28"/>
      <c r="Q284" s="28"/>
      <c r="R284" s="28"/>
      <c r="S284" s="28"/>
      <c r="T284" s="28"/>
      <c r="U284" s="28"/>
      <c r="V284" s="28"/>
      <c r="W284" s="28"/>
      <c r="X284" s="28"/>
    </row>
    <row r="285" spans="1:24">
      <c r="A285" s="22">
        <v>46364</v>
      </c>
      <c r="B285" s="23" t="s">
        <v>33</v>
      </c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4">
        <v>0</v>
      </c>
      <c r="N285" s="27"/>
      <c r="O285" s="28"/>
      <c r="P285" s="28"/>
      <c r="Q285" s="28"/>
      <c r="R285" s="28"/>
      <c r="S285" s="28"/>
      <c r="T285" s="28"/>
      <c r="U285" s="28"/>
      <c r="V285" s="28"/>
      <c r="W285" s="28"/>
      <c r="X285" s="28"/>
    </row>
    <row r="286" spans="1:24">
      <c r="A286" s="22">
        <v>46365</v>
      </c>
      <c r="B286" s="23" t="s">
        <v>33</v>
      </c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4">
        <v>0</v>
      </c>
      <c r="N286" s="27"/>
      <c r="O286" s="28"/>
      <c r="P286" s="28"/>
      <c r="Q286" s="28"/>
      <c r="R286" s="28"/>
      <c r="S286" s="28"/>
      <c r="T286" s="28"/>
      <c r="U286" s="28"/>
      <c r="V286" s="28"/>
      <c r="W286" s="28"/>
      <c r="X286" s="28"/>
    </row>
    <row r="287" spans="1:24">
      <c r="A287" s="22">
        <v>46366</v>
      </c>
      <c r="B287" s="23" t="s">
        <v>33</v>
      </c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4">
        <v>0</v>
      </c>
      <c r="N287" s="27"/>
      <c r="O287" s="28"/>
      <c r="P287" s="28"/>
      <c r="Q287" s="28"/>
      <c r="R287" s="28"/>
      <c r="S287" s="28"/>
      <c r="T287" s="28"/>
      <c r="U287" s="28"/>
      <c r="V287" s="28"/>
      <c r="W287" s="28"/>
      <c r="X287" s="28"/>
    </row>
    <row r="288" spans="1:24">
      <c r="A288" s="22">
        <v>46367</v>
      </c>
      <c r="B288" s="23" t="s">
        <v>33</v>
      </c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4">
        <v>0</v>
      </c>
      <c r="N288" s="27"/>
      <c r="O288" s="28"/>
      <c r="P288" s="28"/>
      <c r="Q288" s="28"/>
      <c r="R288" s="28"/>
      <c r="S288" s="28"/>
      <c r="T288" s="28"/>
      <c r="U288" s="28"/>
      <c r="V288" s="28"/>
      <c r="W288" s="28"/>
      <c r="X288" s="28"/>
    </row>
    <row r="289" spans="1:24">
      <c r="A289" s="22">
        <v>46368</v>
      </c>
      <c r="B289" s="23" t="s">
        <v>33</v>
      </c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4">
        <v>0</v>
      </c>
      <c r="N289" s="27"/>
      <c r="O289" s="28"/>
      <c r="P289" s="28"/>
      <c r="Q289" s="28"/>
      <c r="R289" s="28"/>
      <c r="S289" s="28"/>
      <c r="T289" s="28"/>
      <c r="U289" s="28"/>
      <c r="V289" s="28"/>
      <c r="W289" s="28"/>
      <c r="X289" s="28"/>
    </row>
    <row r="290" spans="1:24">
      <c r="A290" s="22">
        <v>46369</v>
      </c>
      <c r="B290" s="23" t="s">
        <v>33</v>
      </c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4">
        <v>0</v>
      </c>
      <c r="N290" s="27"/>
      <c r="O290" s="28"/>
      <c r="P290" s="28"/>
      <c r="Q290" s="28"/>
      <c r="R290" s="28"/>
      <c r="S290" s="28"/>
      <c r="T290" s="28"/>
      <c r="U290" s="28"/>
      <c r="V290" s="28"/>
      <c r="W290" s="28"/>
      <c r="X290" s="28"/>
    </row>
    <row r="291" spans="1:24">
      <c r="A291" s="22">
        <v>46370</v>
      </c>
      <c r="B291" s="23" t="s">
        <v>33</v>
      </c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4">
        <v>0</v>
      </c>
      <c r="N291" s="27"/>
      <c r="O291" s="28"/>
      <c r="P291" s="28"/>
      <c r="Q291" s="28"/>
      <c r="R291" s="28"/>
      <c r="S291" s="28"/>
      <c r="T291" s="28"/>
      <c r="U291" s="28"/>
      <c r="V291" s="28"/>
      <c r="W291" s="28"/>
      <c r="X291" s="28"/>
    </row>
    <row r="292" spans="1:24">
      <c r="A292" s="22">
        <v>46371</v>
      </c>
      <c r="B292" s="23" t="s">
        <v>33</v>
      </c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4">
        <v>0</v>
      </c>
      <c r="N292" s="27"/>
      <c r="O292" s="28"/>
      <c r="P292" s="28"/>
      <c r="Q292" s="28"/>
      <c r="R292" s="28"/>
      <c r="S292" s="28"/>
      <c r="T292" s="28"/>
      <c r="U292" s="28"/>
      <c r="V292" s="28"/>
      <c r="W292" s="28"/>
      <c r="X292" s="28"/>
    </row>
    <row r="293" spans="1:24">
      <c r="A293" s="22">
        <v>46372</v>
      </c>
      <c r="B293" s="23" t="s">
        <v>33</v>
      </c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4">
        <v>0</v>
      </c>
      <c r="N293" s="27"/>
      <c r="O293" s="28"/>
      <c r="P293" s="28"/>
      <c r="Q293" s="28"/>
      <c r="R293" s="28"/>
      <c r="S293" s="28"/>
      <c r="T293" s="28"/>
      <c r="U293" s="28"/>
      <c r="V293" s="28"/>
      <c r="W293" s="28"/>
      <c r="X293" s="28"/>
    </row>
    <row r="294" spans="1:24">
      <c r="A294" s="22">
        <v>46373</v>
      </c>
      <c r="B294" s="23" t="s">
        <v>33</v>
      </c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4">
        <v>0</v>
      </c>
      <c r="N294" s="27"/>
      <c r="O294" s="28"/>
      <c r="P294" s="28"/>
      <c r="Q294" s="28"/>
      <c r="R294" s="28"/>
      <c r="S294" s="28"/>
      <c r="T294" s="28"/>
      <c r="U294" s="28"/>
      <c r="V294" s="28"/>
      <c r="W294" s="28"/>
      <c r="X294" s="28"/>
    </row>
    <row r="295" spans="1:24">
      <c r="A295" s="22">
        <v>46374</v>
      </c>
      <c r="B295" s="23" t="s">
        <v>33</v>
      </c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4">
        <v>0</v>
      </c>
      <c r="N295" s="27"/>
      <c r="O295" s="28"/>
      <c r="P295" s="28"/>
      <c r="Q295" s="28"/>
      <c r="R295" s="28"/>
      <c r="S295" s="28"/>
      <c r="T295" s="28"/>
      <c r="U295" s="28"/>
      <c r="V295" s="28"/>
      <c r="W295" s="28"/>
      <c r="X295" s="28"/>
    </row>
    <row r="296" spans="1:24">
      <c r="A296" s="22">
        <v>46375</v>
      </c>
      <c r="B296" s="23" t="s">
        <v>33</v>
      </c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4">
        <v>0</v>
      </c>
      <c r="N296" s="27"/>
      <c r="O296" s="28"/>
      <c r="P296" s="28"/>
      <c r="Q296" s="28"/>
      <c r="R296" s="28"/>
      <c r="S296" s="28"/>
      <c r="T296" s="28"/>
      <c r="U296" s="28"/>
      <c r="V296" s="28"/>
      <c r="W296" s="28"/>
      <c r="X296" s="28"/>
    </row>
    <row r="297" spans="1:24">
      <c r="A297" s="22">
        <v>46376</v>
      </c>
      <c r="B297" s="23" t="s">
        <v>33</v>
      </c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4">
        <v>0</v>
      </c>
      <c r="N297" s="27"/>
      <c r="O297" s="28"/>
      <c r="P297" s="28"/>
      <c r="Q297" s="28"/>
      <c r="R297" s="28"/>
      <c r="S297" s="28"/>
      <c r="T297" s="28"/>
      <c r="U297" s="28"/>
      <c r="V297" s="28"/>
      <c r="W297" s="28"/>
      <c r="X297" s="28"/>
    </row>
    <row r="298" spans="1:24">
      <c r="A298" s="22">
        <v>46377</v>
      </c>
      <c r="B298" s="23" t="s">
        <v>33</v>
      </c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4">
        <v>0</v>
      </c>
      <c r="N298" s="27"/>
      <c r="O298" s="28"/>
      <c r="P298" s="28"/>
      <c r="Q298" s="28"/>
      <c r="R298" s="28"/>
      <c r="S298" s="28"/>
      <c r="T298" s="28"/>
      <c r="U298" s="28"/>
      <c r="V298" s="28"/>
      <c r="W298" s="28"/>
      <c r="X298" s="28"/>
    </row>
    <row r="299" spans="1:24">
      <c r="A299" s="22">
        <v>46378</v>
      </c>
      <c r="B299" s="23" t="s">
        <v>33</v>
      </c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4">
        <v>0</v>
      </c>
      <c r="N299" s="27"/>
      <c r="O299" s="28"/>
      <c r="P299" s="28"/>
      <c r="Q299" s="28"/>
      <c r="R299" s="28"/>
      <c r="S299" s="28"/>
      <c r="T299" s="28"/>
      <c r="U299" s="28"/>
      <c r="V299" s="28"/>
      <c r="W299" s="28"/>
      <c r="X299" s="28"/>
    </row>
    <row r="300" spans="1:24">
      <c r="A300" s="22">
        <v>46379</v>
      </c>
      <c r="B300" s="23" t="s">
        <v>33</v>
      </c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4">
        <v>0</v>
      </c>
      <c r="N300" s="27"/>
      <c r="O300" s="28"/>
      <c r="P300" s="28"/>
      <c r="Q300" s="28"/>
      <c r="R300" s="28"/>
      <c r="S300" s="28"/>
      <c r="T300" s="28"/>
      <c r="U300" s="28"/>
      <c r="V300" s="28"/>
      <c r="W300" s="28"/>
      <c r="X300" s="28"/>
    </row>
    <row r="301" spans="1:24">
      <c r="A301" s="22">
        <v>46380</v>
      </c>
      <c r="B301" s="23" t="s">
        <v>33</v>
      </c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4">
        <v>0</v>
      </c>
      <c r="N301" s="27"/>
      <c r="O301" s="28"/>
      <c r="P301" s="28"/>
      <c r="Q301" s="28"/>
      <c r="R301" s="28"/>
      <c r="S301" s="28"/>
      <c r="T301" s="28"/>
      <c r="U301" s="28"/>
      <c r="V301" s="28"/>
      <c r="W301" s="28"/>
      <c r="X301" s="28"/>
    </row>
    <row r="302" spans="1:24">
      <c r="A302" s="22">
        <v>46381</v>
      </c>
      <c r="B302" s="23" t="s">
        <v>33</v>
      </c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4">
        <v>0</v>
      </c>
      <c r="N302" s="27"/>
      <c r="O302" s="28"/>
      <c r="P302" s="28"/>
      <c r="Q302" s="28"/>
      <c r="R302" s="28"/>
      <c r="S302" s="28"/>
      <c r="T302" s="28"/>
      <c r="U302" s="28"/>
      <c r="V302" s="28"/>
      <c r="W302" s="28"/>
      <c r="X302" s="28"/>
    </row>
    <row r="303" spans="1:24">
      <c r="A303" s="22">
        <v>46382</v>
      </c>
      <c r="B303" s="23" t="s">
        <v>33</v>
      </c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4">
        <v>0</v>
      </c>
      <c r="N303" s="27"/>
      <c r="O303" s="28"/>
      <c r="P303" s="28"/>
      <c r="Q303" s="28"/>
      <c r="R303" s="28"/>
      <c r="S303" s="28"/>
      <c r="T303" s="28"/>
      <c r="U303" s="28"/>
      <c r="V303" s="28"/>
      <c r="W303" s="28"/>
      <c r="X303" s="28"/>
    </row>
    <row r="304" spans="1:24">
      <c r="A304" s="22">
        <v>46383</v>
      </c>
      <c r="B304" s="23" t="s">
        <v>33</v>
      </c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4">
        <v>0</v>
      </c>
      <c r="N304" s="27"/>
      <c r="O304" s="28"/>
      <c r="P304" s="28"/>
      <c r="Q304" s="28"/>
      <c r="R304" s="28"/>
      <c r="S304" s="28"/>
      <c r="T304" s="28"/>
      <c r="U304" s="28"/>
      <c r="V304" s="28"/>
      <c r="W304" s="28"/>
      <c r="X304" s="28"/>
    </row>
    <row r="305" spans="1:24">
      <c r="A305" s="22">
        <v>46384</v>
      </c>
      <c r="B305" s="23" t="s">
        <v>33</v>
      </c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4">
        <v>0</v>
      </c>
      <c r="N305" s="27"/>
      <c r="O305" s="28"/>
      <c r="P305" s="28"/>
      <c r="Q305" s="28"/>
      <c r="R305" s="28"/>
      <c r="S305" s="28"/>
      <c r="T305" s="28"/>
      <c r="U305" s="28"/>
      <c r="V305" s="28"/>
      <c r="W305" s="28"/>
      <c r="X305" s="28"/>
    </row>
    <row r="306" spans="1:24">
      <c r="A306" s="22">
        <v>46385</v>
      </c>
      <c r="B306" s="23" t="s">
        <v>33</v>
      </c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4">
        <v>0</v>
      </c>
      <c r="N306" s="27"/>
      <c r="O306" s="28"/>
      <c r="P306" s="28"/>
      <c r="Q306" s="28"/>
      <c r="R306" s="28"/>
      <c r="S306" s="28"/>
      <c r="T306" s="28"/>
      <c r="U306" s="28"/>
      <c r="V306" s="28"/>
      <c r="W306" s="28"/>
      <c r="X306" s="28"/>
    </row>
    <row r="307" spans="1:24">
      <c r="A307" s="22">
        <v>46386</v>
      </c>
      <c r="B307" s="23" t="s">
        <v>33</v>
      </c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4">
        <v>0</v>
      </c>
      <c r="N307" s="27"/>
      <c r="O307" s="28"/>
      <c r="P307" s="28"/>
      <c r="Q307" s="28"/>
      <c r="R307" s="28"/>
      <c r="S307" s="28"/>
      <c r="T307" s="28"/>
      <c r="U307" s="28"/>
      <c r="V307" s="28"/>
      <c r="W307" s="28"/>
      <c r="X307" s="28"/>
    </row>
    <row r="308" spans="1:24">
      <c r="A308" s="22">
        <v>46387</v>
      </c>
      <c r="B308" s="23" t="s">
        <v>33</v>
      </c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4">
        <v>0</v>
      </c>
      <c r="N308" s="27"/>
      <c r="O308" s="28"/>
      <c r="P308" s="28"/>
      <c r="Q308" s="28"/>
      <c r="R308" s="28"/>
      <c r="S308" s="28"/>
      <c r="T308" s="28"/>
      <c r="U308" s="28"/>
      <c r="V308" s="28"/>
      <c r="W308" s="28"/>
      <c r="X308" s="28"/>
    </row>
    <row r="309" spans="1:24">
      <c r="A309" s="22">
        <v>46082</v>
      </c>
      <c r="B309" s="23" t="s">
        <v>34</v>
      </c>
      <c r="C309" s="24">
        <v>111</v>
      </c>
      <c r="D309" s="24">
        <v>142</v>
      </c>
      <c r="E309" s="24">
        <v>126</v>
      </c>
      <c r="F309" s="24">
        <v>253</v>
      </c>
      <c r="G309" s="24">
        <v>174</v>
      </c>
      <c r="H309" s="24">
        <v>190</v>
      </c>
      <c r="I309" s="24">
        <v>142</v>
      </c>
      <c r="J309" s="24">
        <v>126</v>
      </c>
      <c r="K309" s="24">
        <v>205</v>
      </c>
      <c r="L309" s="24">
        <v>142</v>
      </c>
      <c r="M309" s="24">
        <v>596</v>
      </c>
      <c r="N309" s="25">
        <v>2207</v>
      </c>
      <c r="O309" s="24">
        <v>81</v>
      </c>
      <c r="P309" s="24">
        <v>1</v>
      </c>
      <c r="Q309" s="24">
        <v>333</v>
      </c>
      <c r="R309" s="24">
        <v>500</v>
      </c>
      <c r="S309" s="24">
        <v>350</v>
      </c>
      <c r="T309" s="24">
        <v>350</v>
      </c>
      <c r="U309" s="24">
        <v>0</v>
      </c>
      <c r="V309" s="24">
        <v>220</v>
      </c>
      <c r="W309" s="24">
        <v>372</v>
      </c>
      <c r="X309" s="24">
        <v>0</v>
      </c>
    </row>
    <row r="310" spans="1:24">
      <c r="A310" s="22">
        <v>46083</v>
      </c>
      <c r="B310" s="23" t="s">
        <v>34</v>
      </c>
      <c r="C310" s="24">
        <v>109</v>
      </c>
      <c r="D310" s="24">
        <v>140</v>
      </c>
      <c r="E310" s="24">
        <v>124</v>
      </c>
      <c r="F310" s="24">
        <v>249</v>
      </c>
      <c r="G310" s="24">
        <v>171</v>
      </c>
      <c r="H310" s="24">
        <v>187</v>
      </c>
      <c r="I310" s="24">
        <v>140</v>
      </c>
      <c r="J310" s="24">
        <v>124</v>
      </c>
      <c r="K310" s="24">
        <v>202</v>
      </c>
      <c r="L310" s="24">
        <v>140</v>
      </c>
      <c r="M310" s="24">
        <v>588</v>
      </c>
      <c r="N310" s="25">
        <v>2174</v>
      </c>
      <c r="O310" s="24">
        <v>81</v>
      </c>
      <c r="P310" s="24">
        <v>1</v>
      </c>
      <c r="Q310" s="24">
        <v>262</v>
      </c>
      <c r="R310" s="24">
        <v>500</v>
      </c>
      <c r="S310" s="24">
        <v>250</v>
      </c>
      <c r="T310" s="24">
        <v>350</v>
      </c>
      <c r="U310" s="24">
        <v>0</v>
      </c>
      <c r="V310" s="24">
        <v>220</v>
      </c>
      <c r="W310" s="24">
        <v>443</v>
      </c>
      <c r="X310" s="24">
        <v>67</v>
      </c>
    </row>
    <row r="311" spans="1:24">
      <c r="A311" s="22">
        <v>46084</v>
      </c>
      <c r="B311" s="23" t="s">
        <v>34</v>
      </c>
      <c r="C311" s="24">
        <v>110</v>
      </c>
      <c r="D311" s="24">
        <v>141</v>
      </c>
      <c r="E311" s="24">
        <v>126</v>
      </c>
      <c r="F311" s="24">
        <v>251</v>
      </c>
      <c r="G311" s="24">
        <v>173</v>
      </c>
      <c r="H311" s="24">
        <v>188</v>
      </c>
      <c r="I311" s="24">
        <v>141</v>
      </c>
      <c r="J311" s="24">
        <v>126</v>
      </c>
      <c r="K311" s="24">
        <v>204</v>
      </c>
      <c r="L311" s="24">
        <v>141</v>
      </c>
      <c r="M311" s="24">
        <v>593</v>
      </c>
      <c r="N311" s="25">
        <v>2194</v>
      </c>
      <c r="O311" s="24">
        <v>81</v>
      </c>
      <c r="P311" s="24">
        <v>1</v>
      </c>
      <c r="Q311" s="24">
        <v>262</v>
      </c>
      <c r="R311" s="24">
        <v>500</v>
      </c>
      <c r="S311" s="24">
        <v>250</v>
      </c>
      <c r="T311" s="24">
        <v>350</v>
      </c>
      <c r="U311" s="24">
        <v>0</v>
      </c>
      <c r="V311" s="24">
        <v>220</v>
      </c>
      <c r="W311" s="24">
        <v>463</v>
      </c>
      <c r="X311" s="24">
        <v>67</v>
      </c>
    </row>
    <row r="312" spans="1:24">
      <c r="A312" s="22">
        <v>46085</v>
      </c>
      <c r="B312" s="23" t="s">
        <v>34</v>
      </c>
      <c r="C312" s="24">
        <v>109</v>
      </c>
      <c r="D312" s="24">
        <v>141</v>
      </c>
      <c r="E312" s="24">
        <v>125</v>
      </c>
      <c r="F312" s="24">
        <v>250</v>
      </c>
      <c r="G312" s="24">
        <v>172</v>
      </c>
      <c r="H312" s="24">
        <v>188</v>
      </c>
      <c r="I312" s="24">
        <v>141</v>
      </c>
      <c r="J312" s="24">
        <v>125</v>
      </c>
      <c r="K312" s="24">
        <v>203</v>
      </c>
      <c r="L312" s="24">
        <v>141</v>
      </c>
      <c r="M312" s="24">
        <v>590</v>
      </c>
      <c r="N312" s="25">
        <v>2185</v>
      </c>
      <c r="O312" s="24">
        <v>81</v>
      </c>
      <c r="P312" s="24">
        <v>1</v>
      </c>
      <c r="Q312" s="24">
        <v>262</v>
      </c>
      <c r="R312" s="24">
        <v>500</v>
      </c>
      <c r="S312" s="24">
        <v>250</v>
      </c>
      <c r="T312" s="24">
        <v>350</v>
      </c>
      <c r="U312" s="24">
        <v>0</v>
      </c>
      <c r="V312" s="24">
        <v>220</v>
      </c>
      <c r="W312" s="24">
        <v>454</v>
      </c>
      <c r="X312" s="24">
        <v>67</v>
      </c>
    </row>
    <row r="313" spans="1:24">
      <c r="A313" s="22">
        <v>46086</v>
      </c>
      <c r="B313" s="23" t="s">
        <v>34</v>
      </c>
      <c r="C313" s="24">
        <v>112</v>
      </c>
      <c r="D313" s="24">
        <v>144</v>
      </c>
      <c r="E313" s="24">
        <v>128</v>
      </c>
      <c r="F313" s="24">
        <v>256</v>
      </c>
      <c r="G313" s="24">
        <v>176</v>
      </c>
      <c r="H313" s="24">
        <v>192</v>
      </c>
      <c r="I313" s="24">
        <v>144</v>
      </c>
      <c r="J313" s="24">
        <v>128</v>
      </c>
      <c r="K313" s="24">
        <v>208</v>
      </c>
      <c r="L313" s="24">
        <v>144</v>
      </c>
      <c r="M313" s="24">
        <v>603</v>
      </c>
      <c r="N313" s="25">
        <v>2235</v>
      </c>
      <c r="O313" s="24">
        <v>81</v>
      </c>
      <c r="P313" s="24">
        <v>1</v>
      </c>
      <c r="Q313" s="24">
        <v>262</v>
      </c>
      <c r="R313" s="24">
        <v>500</v>
      </c>
      <c r="S313" s="24">
        <v>250</v>
      </c>
      <c r="T313" s="24">
        <v>350</v>
      </c>
      <c r="U313" s="24">
        <v>0</v>
      </c>
      <c r="V313" s="24">
        <v>220</v>
      </c>
      <c r="W313" s="24">
        <v>504</v>
      </c>
      <c r="X313" s="24">
        <v>67</v>
      </c>
    </row>
    <row r="314" spans="1:24">
      <c r="A314" s="22">
        <v>46087</v>
      </c>
      <c r="B314" s="23" t="s">
        <v>34</v>
      </c>
      <c r="C314" s="24">
        <v>128</v>
      </c>
      <c r="D314" s="24">
        <v>164</v>
      </c>
      <c r="E314" s="24">
        <v>146</v>
      </c>
      <c r="F314" s="24">
        <v>292</v>
      </c>
      <c r="G314" s="24">
        <v>201</v>
      </c>
      <c r="H314" s="24">
        <v>219</v>
      </c>
      <c r="I314" s="24">
        <v>164</v>
      </c>
      <c r="J314" s="24">
        <v>146</v>
      </c>
      <c r="K314" s="24">
        <v>237</v>
      </c>
      <c r="L314" s="24">
        <v>164</v>
      </c>
      <c r="M314" s="24">
        <v>691</v>
      </c>
      <c r="N314" s="25">
        <v>2552</v>
      </c>
      <c r="O314" s="24">
        <v>81</v>
      </c>
      <c r="P314" s="24">
        <v>1</v>
      </c>
      <c r="Q314" s="24">
        <v>262</v>
      </c>
      <c r="R314" s="24">
        <v>500</v>
      </c>
      <c r="S314" s="24">
        <v>250</v>
      </c>
      <c r="T314" s="24">
        <v>350</v>
      </c>
      <c r="U314" s="24">
        <v>330</v>
      </c>
      <c r="V314" s="24">
        <v>220</v>
      </c>
      <c r="W314" s="24">
        <v>491</v>
      </c>
      <c r="X314" s="24">
        <v>67</v>
      </c>
    </row>
    <row r="315" spans="1:24">
      <c r="A315" s="22">
        <v>46088</v>
      </c>
      <c r="B315" s="23" t="s">
        <v>34</v>
      </c>
      <c r="C315" s="24">
        <v>138</v>
      </c>
      <c r="D315" s="24">
        <v>177</v>
      </c>
      <c r="E315" s="24">
        <v>158</v>
      </c>
      <c r="F315" s="24">
        <v>315</v>
      </c>
      <c r="G315" s="24">
        <v>217</v>
      </c>
      <c r="H315" s="24">
        <v>237</v>
      </c>
      <c r="I315" s="24">
        <v>177</v>
      </c>
      <c r="J315" s="24">
        <v>158</v>
      </c>
      <c r="K315" s="24">
        <v>256</v>
      </c>
      <c r="L315" s="24">
        <v>177</v>
      </c>
      <c r="M315" s="24">
        <v>745</v>
      </c>
      <c r="N315" s="25">
        <v>2755</v>
      </c>
      <c r="O315" s="24">
        <v>81</v>
      </c>
      <c r="P315" s="24">
        <v>1</v>
      </c>
      <c r="Q315" s="24">
        <v>340</v>
      </c>
      <c r="R315" s="24">
        <v>500</v>
      </c>
      <c r="S315" s="24">
        <v>350</v>
      </c>
      <c r="T315" s="24">
        <v>400</v>
      </c>
      <c r="U315" s="24">
        <v>330</v>
      </c>
      <c r="V315" s="24">
        <v>220</v>
      </c>
      <c r="W315" s="24">
        <v>533</v>
      </c>
      <c r="X315" s="24">
        <v>0</v>
      </c>
    </row>
    <row r="316" spans="1:24">
      <c r="A316" s="22">
        <v>46089</v>
      </c>
      <c r="B316" s="23" t="s">
        <v>34</v>
      </c>
      <c r="C316" s="24">
        <v>155</v>
      </c>
      <c r="D316" s="24">
        <v>199</v>
      </c>
      <c r="E316" s="24">
        <v>177</v>
      </c>
      <c r="F316" s="24">
        <v>354</v>
      </c>
      <c r="G316" s="24">
        <v>244</v>
      </c>
      <c r="H316" s="24">
        <v>266</v>
      </c>
      <c r="I316" s="24">
        <v>199</v>
      </c>
      <c r="J316" s="24">
        <v>177</v>
      </c>
      <c r="K316" s="24">
        <v>288</v>
      </c>
      <c r="L316" s="24">
        <v>199</v>
      </c>
      <c r="M316" s="24">
        <v>837</v>
      </c>
      <c r="N316" s="25">
        <v>3095</v>
      </c>
      <c r="O316" s="24">
        <v>81</v>
      </c>
      <c r="P316" s="24">
        <v>1</v>
      </c>
      <c r="Q316" s="24">
        <v>340</v>
      </c>
      <c r="R316" s="24">
        <v>816</v>
      </c>
      <c r="S316" s="24">
        <v>350</v>
      </c>
      <c r="T316" s="24">
        <v>400</v>
      </c>
      <c r="U316" s="24">
        <v>330</v>
      </c>
      <c r="V316" s="24">
        <v>220</v>
      </c>
      <c r="W316" s="24">
        <v>557</v>
      </c>
      <c r="X316" s="24">
        <v>0</v>
      </c>
    </row>
    <row r="317" spans="1:24">
      <c r="A317" s="22">
        <v>46090</v>
      </c>
      <c r="B317" s="23" t="s">
        <v>34</v>
      </c>
      <c r="C317" s="24">
        <v>199</v>
      </c>
      <c r="D317" s="24">
        <v>256</v>
      </c>
      <c r="E317" s="24">
        <v>227</v>
      </c>
      <c r="F317" s="24">
        <v>455</v>
      </c>
      <c r="G317" s="24">
        <v>313</v>
      </c>
      <c r="H317" s="24">
        <v>341</v>
      </c>
      <c r="I317" s="24">
        <v>256</v>
      </c>
      <c r="J317" s="24">
        <v>227</v>
      </c>
      <c r="K317" s="24">
        <v>369</v>
      </c>
      <c r="L317" s="24">
        <v>256</v>
      </c>
      <c r="M317" s="24">
        <v>1072</v>
      </c>
      <c r="N317" s="25">
        <v>3971</v>
      </c>
      <c r="O317" s="24">
        <v>81</v>
      </c>
      <c r="P317" s="24">
        <v>1</v>
      </c>
      <c r="Q317" s="24">
        <v>262</v>
      </c>
      <c r="R317" s="24">
        <v>1849</v>
      </c>
      <c r="S317" s="24">
        <v>250</v>
      </c>
      <c r="T317" s="24">
        <v>350</v>
      </c>
      <c r="U317" s="24">
        <v>330</v>
      </c>
      <c r="V317" s="24">
        <v>220</v>
      </c>
      <c r="W317" s="24">
        <v>561</v>
      </c>
      <c r="X317" s="24">
        <v>67</v>
      </c>
    </row>
    <row r="318" spans="1:24">
      <c r="A318" s="22">
        <v>46091</v>
      </c>
      <c r="B318" s="23" t="s">
        <v>34</v>
      </c>
      <c r="C318" s="24">
        <v>147</v>
      </c>
      <c r="D318" s="24">
        <v>189</v>
      </c>
      <c r="E318" s="24">
        <v>168</v>
      </c>
      <c r="F318" s="24">
        <v>336</v>
      </c>
      <c r="G318" s="24">
        <v>231</v>
      </c>
      <c r="H318" s="24">
        <v>252</v>
      </c>
      <c r="I318" s="24">
        <v>189</v>
      </c>
      <c r="J318" s="24">
        <v>168</v>
      </c>
      <c r="K318" s="24">
        <v>273</v>
      </c>
      <c r="L318" s="24">
        <v>189</v>
      </c>
      <c r="M318" s="24">
        <v>791</v>
      </c>
      <c r="N318" s="25">
        <v>2933</v>
      </c>
      <c r="O318" s="24">
        <v>81</v>
      </c>
      <c r="P318" s="24">
        <v>1</v>
      </c>
      <c r="Q318" s="24">
        <v>262</v>
      </c>
      <c r="R318" s="24">
        <v>1000</v>
      </c>
      <c r="S318" s="24">
        <v>250</v>
      </c>
      <c r="T318" s="24">
        <v>500</v>
      </c>
      <c r="U318" s="24">
        <v>0</v>
      </c>
      <c r="V318" s="24">
        <v>220</v>
      </c>
      <c r="W318" s="24">
        <v>552</v>
      </c>
      <c r="X318" s="24">
        <v>67</v>
      </c>
    </row>
    <row r="319" spans="1:24">
      <c r="A319" s="22">
        <v>46092</v>
      </c>
      <c r="B319" s="23" t="s">
        <v>34</v>
      </c>
      <c r="C319" s="24">
        <v>178</v>
      </c>
      <c r="D319" s="24">
        <v>229</v>
      </c>
      <c r="E319" s="24">
        <v>203</v>
      </c>
      <c r="F319" s="24">
        <v>406</v>
      </c>
      <c r="G319" s="24">
        <v>279</v>
      </c>
      <c r="H319" s="24">
        <v>305</v>
      </c>
      <c r="I319" s="24">
        <v>229</v>
      </c>
      <c r="J319" s="24">
        <v>203</v>
      </c>
      <c r="K319" s="24">
        <v>330</v>
      </c>
      <c r="L319" s="24">
        <v>229</v>
      </c>
      <c r="M319" s="24">
        <v>958</v>
      </c>
      <c r="N319" s="25">
        <v>3549</v>
      </c>
      <c r="O319" s="24">
        <v>81</v>
      </c>
      <c r="P319" s="24">
        <v>1</v>
      </c>
      <c r="Q319" s="24">
        <v>288</v>
      </c>
      <c r="R319" s="24">
        <v>1000</v>
      </c>
      <c r="S319" s="24">
        <v>250</v>
      </c>
      <c r="T319" s="24">
        <v>500</v>
      </c>
      <c r="U319" s="24">
        <v>633</v>
      </c>
      <c r="V319" s="24">
        <v>220</v>
      </c>
      <c r="W319" s="24">
        <v>509</v>
      </c>
      <c r="X319" s="24">
        <v>67</v>
      </c>
    </row>
    <row r="320" spans="1:24">
      <c r="A320" s="22">
        <v>46093</v>
      </c>
      <c r="B320" s="23" t="s">
        <v>34</v>
      </c>
      <c r="C320" s="24">
        <v>177</v>
      </c>
      <c r="D320" s="24">
        <v>227</v>
      </c>
      <c r="E320" s="24">
        <v>202</v>
      </c>
      <c r="F320" s="24">
        <v>404</v>
      </c>
      <c r="G320" s="24">
        <v>278</v>
      </c>
      <c r="H320" s="24">
        <v>303</v>
      </c>
      <c r="I320" s="24">
        <v>227</v>
      </c>
      <c r="J320" s="24">
        <v>202</v>
      </c>
      <c r="K320" s="24">
        <v>328</v>
      </c>
      <c r="L320" s="24">
        <v>227</v>
      </c>
      <c r="M320" s="24">
        <v>955</v>
      </c>
      <c r="N320" s="25">
        <v>3530</v>
      </c>
      <c r="O320" s="24">
        <v>81</v>
      </c>
      <c r="P320" s="24">
        <v>1</v>
      </c>
      <c r="Q320" s="24">
        <v>288</v>
      </c>
      <c r="R320" s="24">
        <v>1000</v>
      </c>
      <c r="S320" s="24">
        <v>250</v>
      </c>
      <c r="T320" s="24">
        <v>500</v>
      </c>
      <c r="U320" s="24">
        <v>633</v>
      </c>
      <c r="V320" s="24">
        <v>220</v>
      </c>
      <c r="W320" s="24">
        <v>491</v>
      </c>
      <c r="X320" s="24">
        <v>66</v>
      </c>
    </row>
    <row r="321" spans="1:24">
      <c r="A321" s="22">
        <v>46094</v>
      </c>
      <c r="B321" s="23" t="s">
        <v>34</v>
      </c>
      <c r="C321" s="24">
        <v>180</v>
      </c>
      <c r="D321" s="24">
        <v>232</v>
      </c>
      <c r="E321" s="24">
        <v>206</v>
      </c>
      <c r="F321" s="24">
        <v>412</v>
      </c>
      <c r="G321" s="24">
        <v>283</v>
      </c>
      <c r="H321" s="24">
        <v>309</v>
      </c>
      <c r="I321" s="24">
        <v>232</v>
      </c>
      <c r="J321" s="24">
        <v>206</v>
      </c>
      <c r="K321" s="24">
        <v>335</v>
      </c>
      <c r="L321" s="24">
        <v>232</v>
      </c>
      <c r="M321" s="24">
        <v>970</v>
      </c>
      <c r="N321" s="25">
        <v>3597</v>
      </c>
      <c r="O321" s="24">
        <v>81</v>
      </c>
      <c r="P321" s="24">
        <v>1</v>
      </c>
      <c r="Q321" s="24">
        <v>288</v>
      </c>
      <c r="R321" s="24">
        <v>1000</v>
      </c>
      <c r="S321" s="24">
        <v>250</v>
      </c>
      <c r="T321" s="24">
        <v>500</v>
      </c>
      <c r="U321" s="24">
        <v>633</v>
      </c>
      <c r="V321" s="24">
        <v>220</v>
      </c>
      <c r="W321" s="24">
        <v>558</v>
      </c>
      <c r="X321" s="24">
        <v>66</v>
      </c>
    </row>
    <row r="322" spans="1:24">
      <c r="A322" s="22">
        <v>46095</v>
      </c>
      <c r="B322" s="23" t="s">
        <v>34</v>
      </c>
      <c r="C322" s="24">
        <v>188</v>
      </c>
      <c r="D322" s="24">
        <v>241</v>
      </c>
      <c r="E322" s="24">
        <v>214</v>
      </c>
      <c r="F322" s="24">
        <v>429</v>
      </c>
      <c r="G322" s="24">
        <v>295</v>
      </c>
      <c r="H322" s="24">
        <v>322</v>
      </c>
      <c r="I322" s="24">
        <v>241</v>
      </c>
      <c r="J322" s="24">
        <v>214</v>
      </c>
      <c r="K322" s="24">
        <v>349</v>
      </c>
      <c r="L322" s="24">
        <v>241</v>
      </c>
      <c r="M322" s="24">
        <v>1012</v>
      </c>
      <c r="N322" s="25">
        <v>3746</v>
      </c>
      <c r="O322" s="24">
        <v>82</v>
      </c>
      <c r="P322" s="24">
        <v>2</v>
      </c>
      <c r="Q322" s="24">
        <v>374</v>
      </c>
      <c r="R322" s="24">
        <v>1000</v>
      </c>
      <c r="S322" s="24">
        <v>350</v>
      </c>
      <c r="T322" s="24">
        <v>500</v>
      </c>
      <c r="U322" s="24">
        <v>633</v>
      </c>
      <c r="V322" s="24">
        <v>220</v>
      </c>
      <c r="W322" s="24">
        <v>585</v>
      </c>
      <c r="X322" s="24">
        <v>0</v>
      </c>
    </row>
    <row r="323" spans="1:24">
      <c r="A323" s="22">
        <v>46096</v>
      </c>
      <c r="B323" s="23" t="s">
        <v>34</v>
      </c>
      <c r="C323" s="24">
        <v>202</v>
      </c>
      <c r="D323" s="24">
        <v>259</v>
      </c>
      <c r="E323" s="24">
        <v>230</v>
      </c>
      <c r="F323" s="24">
        <v>461</v>
      </c>
      <c r="G323" s="24">
        <v>317</v>
      </c>
      <c r="H323" s="24">
        <v>346</v>
      </c>
      <c r="I323" s="24">
        <v>259</v>
      </c>
      <c r="J323" s="24">
        <v>230</v>
      </c>
      <c r="K323" s="24">
        <v>374</v>
      </c>
      <c r="L323" s="24">
        <v>259</v>
      </c>
      <c r="M323" s="24">
        <v>1088</v>
      </c>
      <c r="N323" s="25">
        <v>4025</v>
      </c>
      <c r="O323" s="24">
        <v>82</v>
      </c>
      <c r="P323" s="24">
        <v>2</v>
      </c>
      <c r="Q323" s="24">
        <v>374</v>
      </c>
      <c r="R323" s="24">
        <v>1000</v>
      </c>
      <c r="S323" s="24">
        <v>350</v>
      </c>
      <c r="T323" s="24">
        <v>700</v>
      </c>
      <c r="U323" s="24">
        <v>633</v>
      </c>
      <c r="V323" s="24">
        <v>220</v>
      </c>
      <c r="W323" s="24">
        <v>664</v>
      </c>
      <c r="X323" s="24">
        <v>0</v>
      </c>
    </row>
    <row r="324" spans="1:24">
      <c r="A324" s="22">
        <v>46097</v>
      </c>
      <c r="B324" s="23" t="s">
        <v>34</v>
      </c>
      <c r="C324" s="24">
        <v>197</v>
      </c>
      <c r="D324" s="24">
        <v>253</v>
      </c>
      <c r="E324" s="24">
        <v>225</v>
      </c>
      <c r="F324" s="24">
        <v>450</v>
      </c>
      <c r="G324" s="24">
        <v>309</v>
      </c>
      <c r="H324" s="24">
        <v>337</v>
      </c>
      <c r="I324" s="24">
        <v>253</v>
      </c>
      <c r="J324" s="24">
        <v>225</v>
      </c>
      <c r="K324" s="24">
        <v>366</v>
      </c>
      <c r="L324" s="24">
        <v>253</v>
      </c>
      <c r="M324" s="24">
        <v>1061</v>
      </c>
      <c r="N324" s="25">
        <v>3929</v>
      </c>
      <c r="O324" s="24">
        <v>82</v>
      </c>
      <c r="P324" s="24">
        <v>2</v>
      </c>
      <c r="Q324" s="24">
        <v>288</v>
      </c>
      <c r="R324" s="24">
        <v>1000</v>
      </c>
      <c r="S324" s="24">
        <v>250</v>
      </c>
      <c r="T324" s="24">
        <v>700</v>
      </c>
      <c r="U324" s="24">
        <v>633</v>
      </c>
      <c r="V324" s="24">
        <v>220</v>
      </c>
      <c r="W324" s="24">
        <v>688</v>
      </c>
      <c r="X324" s="24">
        <v>66</v>
      </c>
    </row>
    <row r="325" spans="1:24">
      <c r="A325" s="22">
        <v>46098</v>
      </c>
      <c r="B325" s="23" t="s">
        <v>34</v>
      </c>
      <c r="C325" s="24">
        <v>162</v>
      </c>
      <c r="D325" s="24">
        <v>209</v>
      </c>
      <c r="E325" s="24">
        <v>186</v>
      </c>
      <c r="F325" s="24">
        <v>371</v>
      </c>
      <c r="G325" s="24">
        <v>255</v>
      </c>
      <c r="H325" s="24">
        <v>279</v>
      </c>
      <c r="I325" s="24">
        <v>209</v>
      </c>
      <c r="J325" s="24">
        <v>186</v>
      </c>
      <c r="K325" s="24">
        <v>302</v>
      </c>
      <c r="L325" s="24">
        <v>209</v>
      </c>
      <c r="M325" s="24">
        <v>875</v>
      </c>
      <c r="N325" s="25">
        <v>3243</v>
      </c>
      <c r="O325" s="24">
        <v>82</v>
      </c>
      <c r="P325" s="24">
        <v>2</v>
      </c>
      <c r="Q325" s="24">
        <v>288</v>
      </c>
      <c r="R325" s="24">
        <v>1000</v>
      </c>
      <c r="S325" s="24">
        <v>250</v>
      </c>
      <c r="T325" s="24">
        <v>700</v>
      </c>
      <c r="U325" s="24">
        <v>0</v>
      </c>
      <c r="V325" s="24">
        <v>220</v>
      </c>
      <c r="W325" s="24">
        <v>635</v>
      </c>
      <c r="X325" s="24">
        <v>66</v>
      </c>
    </row>
    <row r="326" spans="1:24">
      <c r="A326" s="22">
        <v>46099</v>
      </c>
      <c r="B326" s="23" t="s">
        <v>34</v>
      </c>
      <c r="C326" s="24">
        <v>162</v>
      </c>
      <c r="D326" s="24">
        <v>209</v>
      </c>
      <c r="E326" s="24">
        <v>186</v>
      </c>
      <c r="F326" s="24">
        <v>371</v>
      </c>
      <c r="G326" s="24">
        <v>255</v>
      </c>
      <c r="H326" s="24">
        <v>278</v>
      </c>
      <c r="I326" s="24">
        <v>209</v>
      </c>
      <c r="J326" s="24">
        <v>186</v>
      </c>
      <c r="K326" s="24">
        <v>302</v>
      </c>
      <c r="L326" s="24">
        <v>209</v>
      </c>
      <c r="M326" s="24">
        <v>875</v>
      </c>
      <c r="N326" s="25">
        <v>3242</v>
      </c>
      <c r="O326" s="24">
        <v>82</v>
      </c>
      <c r="P326" s="24">
        <v>2</v>
      </c>
      <c r="Q326" s="24">
        <v>288</v>
      </c>
      <c r="R326" s="24">
        <v>1000</v>
      </c>
      <c r="S326" s="24">
        <v>250</v>
      </c>
      <c r="T326" s="24">
        <v>700</v>
      </c>
      <c r="U326" s="24">
        <v>0</v>
      </c>
      <c r="V326" s="24">
        <v>220</v>
      </c>
      <c r="W326" s="24">
        <v>634</v>
      </c>
      <c r="X326" s="24">
        <v>66</v>
      </c>
    </row>
    <row r="327" spans="1:24">
      <c r="A327" s="22">
        <v>46100</v>
      </c>
      <c r="B327" s="23" t="s">
        <v>34</v>
      </c>
      <c r="C327" s="24">
        <v>164</v>
      </c>
      <c r="D327" s="24">
        <v>211</v>
      </c>
      <c r="E327" s="24">
        <v>188</v>
      </c>
      <c r="F327" s="24">
        <v>375</v>
      </c>
      <c r="G327" s="24">
        <v>258</v>
      </c>
      <c r="H327" s="24">
        <v>281</v>
      </c>
      <c r="I327" s="24">
        <v>211</v>
      </c>
      <c r="J327" s="24">
        <v>188</v>
      </c>
      <c r="K327" s="24">
        <v>305</v>
      </c>
      <c r="L327" s="24">
        <v>211</v>
      </c>
      <c r="M327" s="24">
        <v>883</v>
      </c>
      <c r="N327" s="25">
        <v>3275</v>
      </c>
      <c r="O327" s="24">
        <v>82</v>
      </c>
      <c r="P327" s="24">
        <v>2</v>
      </c>
      <c r="Q327" s="24">
        <v>288</v>
      </c>
      <c r="R327" s="24">
        <v>1000</v>
      </c>
      <c r="S327" s="24">
        <v>250</v>
      </c>
      <c r="T327" s="24">
        <v>700</v>
      </c>
      <c r="U327" s="24">
        <v>0</v>
      </c>
      <c r="V327" s="24">
        <v>220</v>
      </c>
      <c r="W327" s="24">
        <v>667</v>
      </c>
      <c r="X327" s="24">
        <v>66</v>
      </c>
    </row>
    <row r="328" spans="1:24">
      <c r="A328" s="22">
        <v>46101</v>
      </c>
      <c r="B328" s="23" t="s">
        <v>34</v>
      </c>
      <c r="C328" s="24">
        <v>137</v>
      </c>
      <c r="D328" s="24">
        <v>177</v>
      </c>
      <c r="E328" s="24">
        <v>157</v>
      </c>
      <c r="F328" s="24">
        <v>314</v>
      </c>
      <c r="G328" s="24">
        <v>216</v>
      </c>
      <c r="H328" s="24">
        <v>236</v>
      </c>
      <c r="I328" s="24">
        <v>177</v>
      </c>
      <c r="J328" s="24">
        <v>157</v>
      </c>
      <c r="K328" s="24">
        <v>255</v>
      </c>
      <c r="L328" s="24">
        <v>177</v>
      </c>
      <c r="M328" s="24">
        <v>740</v>
      </c>
      <c r="N328" s="25">
        <v>2743</v>
      </c>
      <c r="O328" s="24">
        <v>82</v>
      </c>
      <c r="P328" s="24">
        <v>2</v>
      </c>
      <c r="Q328" s="24">
        <v>288</v>
      </c>
      <c r="R328" s="24">
        <v>1000</v>
      </c>
      <c r="S328" s="24">
        <v>250</v>
      </c>
      <c r="T328" s="24">
        <v>200</v>
      </c>
      <c r="U328" s="24">
        <v>0</v>
      </c>
      <c r="V328" s="24">
        <v>220</v>
      </c>
      <c r="W328" s="24">
        <v>635</v>
      </c>
      <c r="X328" s="24">
        <v>66</v>
      </c>
    </row>
    <row r="329" spans="1:24">
      <c r="A329" s="22">
        <v>46102</v>
      </c>
      <c r="B329" s="23" t="s">
        <v>34</v>
      </c>
      <c r="C329" s="24">
        <v>150</v>
      </c>
      <c r="D329" s="24">
        <v>193</v>
      </c>
      <c r="E329" s="24">
        <v>172</v>
      </c>
      <c r="F329" s="24">
        <v>344</v>
      </c>
      <c r="G329" s="24">
        <v>236</v>
      </c>
      <c r="H329" s="24">
        <v>258</v>
      </c>
      <c r="I329" s="24">
        <v>193</v>
      </c>
      <c r="J329" s="24">
        <v>172</v>
      </c>
      <c r="K329" s="24">
        <v>279</v>
      </c>
      <c r="L329" s="24">
        <v>193</v>
      </c>
      <c r="M329" s="24">
        <v>812</v>
      </c>
      <c r="N329" s="25">
        <v>3002</v>
      </c>
      <c r="O329" s="24">
        <v>82</v>
      </c>
      <c r="P329" s="24">
        <v>2</v>
      </c>
      <c r="Q329" s="24">
        <v>408</v>
      </c>
      <c r="R329" s="24">
        <v>1000</v>
      </c>
      <c r="S329" s="24">
        <v>350</v>
      </c>
      <c r="T329" s="24">
        <v>300</v>
      </c>
      <c r="U329" s="24">
        <v>0</v>
      </c>
      <c r="V329" s="24">
        <v>220</v>
      </c>
      <c r="W329" s="24">
        <v>640</v>
      </c>
      <c r="X329" s="24">
        <v>0</v>
      </c>
    </row>
    <row r="330" spans="1:24">
      <c r="A330" s="22">
        <v>46103</v>
      </c>
      <c r="B330" s="23" t="s">
        <v>34</v>
      </c>
      <c r="C330" s="24">
        <v>163</v>
      </c>
      <c r="D330" s="24">
        <v>209</v>
      </c>
      <c r="E330" s="24">
        <v>186</v>
      </c>
      <c r="F330" s="24">
        <v>372</v>
      </c>
      <c r="G330" s="24">
        <v>256</v>
      </c>
      <c r="H330" s="24">
        <v>279</v>
      </c>
      <c r="I330" s="24">
        <v>209</v>
      </c>
      <c r="J330" s="24">
        <v>186</v>
      </c>
      <c r="K330" s="24">
        <v>303</v>
      </c>
      <c r="L330" s="24">
        <v>209</v>
      </c>
      <c r="M330" s="24">
        <v>880</v>
      </c>
      <c r="N330" s="25">
        <v>3252</v>
      </c>
      <c r="O330" s="24">
        <v>82</v>
      </c>
      <c r="P330" s="24">
        <v>2</v>
      </c>
      <c r="Q330" s="24">
        <v>408</v>
      </c>
      <c r="R330" s="24">
        <v>1000</v>
      </c>
      <c r="S330" s="24">
        <v>350</v>
      </c>
      <c r="T330" s="24">
        <v>500</v>
      </c>
      <c r="U330" s="24">
        <v>0</v>
      </c>
      <c r="V330" s="24">
        <v>220</v>
      </c>
      <c r="W330" s="24">
        <v>690</v>
      </c>
      <c r="X330" s="24">
        <v>0</v>
      </c>
    </row>
    <row r="331" spans="1:24">
      <c r="A331" s="22">
        <v>46104</v>
      </c>
      <c r="B331" s="23" t="s">
        <v>34</v>
      </c>
      <c r="C331" s="24">
        <v>158</v>
      </c>
      <c r="D331" s="24">
        <v>203</v>
      </c>
      <c r="E331" s="24">
        <v>180</v>
      </c>
      <c r="F331" s="24">
        <v>360</v>
      </c>
      <c r="G331" s="24">
        <v>248</v>
      </c>
      <c r="H331" s="24">
        <v>270</v>
      </c>
      <c r="I331" s="24">
        <v>203</v>
      </c>
      <c r="J331" s="24">
        <v>180</v>
      </c>
      <c r="K331" s="24">
        <v>293</v>
      </c>
      <c r="L331" s="24">
        <v>203</v>
      </c>
      <c r="M331" s="24">
        <v>848</v>
      </c>
      <c r="N331" s="25">
        <v>3146</v>
      </c>
      <c r="O331" s="24">
        <v>82</v>
      </c>
      <c r="P331" s="24">
        <v>2</v>
      </c>
      <c r="Q331" s="24">
        <v>314</v>
      </c>
      <c r="R331" s="24">
        <v>1000</v>
      </c>
      <c r="S331" s="24">
        <v>250</v>
      </c>
      <c r="T331" s="24">
        <v>500</v>
      </c>
      <c r="U331" s="24">
        <v>0</v>
      </c>
      <c r="V331" s="24">
        <v>220</v>
      </c>
      <c r="W331" s="24">
        <v>712</v>
      </c>
      <c r="X331" s="24">
        <v>66</v>
      </c>
    </row>
    <row r="332" spans="1:24">
      <c r="A332" s="22">
        <v>46105</v>
      </c>
      <c r="B332" s="23" t="s">
        <v>34</v>
      </c>
      <c r="C332" s="24">
        <v>154</v>
      </c>
      <c r="D332" s="24">
        <v>199</v>
      </c>
      <c r="E332" s="24">
        <v>177</v>
      </c>
      <c r="F332" s="24">
        <v>353</v>
      </c>
      <c r="G332" s="24">
        <v>243</v>
      </c>
      <c r="H332" s="24">
        <v>265</v>
      </c>
      <c r="I332" s="24">
        <v>199</v>
      </c>
      <c r="J332" s="24">
        <v>177</v>
      </c>
      <c r="K332" s="24">
        <v>287</v>
      </c>
      <c r="L332" s="24">
        <v>199</v>
      </c>
      <c r="M332" s="24">
        <v>830</v>
      </c>
      <c r="N332" s="25">
        <v>3083</v>
      </c>
      <c r="O332" s="24">
        <v>82</v>
      </c>
      <c r="P332" s="24">
        <v>2</v>
      </c>
      <c r="Q332" s="24">
        <v>314</v>
      </c>
      <c r="R332" s="24">
        <v>1000</v>
      </c>
      <c r="S332" s="24">
        <v>250</v>
      </c>
      <c r="T332" s="24">
        <v>500</v>
      </c>
      <c r="U332" s="24">
        <v>0</v>
      </c>
      <c r="V332" s="24">
        <v>220</v>
      </c>
      <c r="W332" s="24">
        <v>649</v>
      </c>
      <c r="X332" s="24">
        <v>66</v>
      </c>
    </row>
    <row r="333" spans="1:24">
      <c r="A333" s="22">
        <v>46106</v>
      </c>
      <c r="B333" s="23" t="s">
        <v>34</v>
      </c>
      <c r="C333" s="24">
        <v>145</v>
      </c>
      <c r="D333" s="24">
        <v>187</v>
      </c>
      <c r="E333" s="24">
        <v>166</v>
      </c>
      <c r="F333" s="24">
        <v>332</v>
      </c>
      <c r="G333" s="24">
        <v>228</v>
      </c>
      <c r="H333" s="24">
        <v>249</v>
      </c>
      <c r="I333" s="24">
        <v>187</v>
      </c>
      <c r="J333" s="24">
        <v>166</v>
      </c>
      <c r="K333" s="24">
        <v>270</v>
      </c>
      <c r="L333" s="24">
        <v>187</v>
      </c>
      <c r="M333" s="24">
        <v>782</v>
      </c>
      <c r="N333" s="25">
        <v>2899</v>
      </c>
      <c r="O333" s="24">
        <v>82</v>
      </c>
      <c r="P333" s="24">
        <v>2</v>
      </c>
      <c r="Q333" s="24">
        <v>314</v>
      </c>
      <c r="R333" s="24">
        <v>816</v>
      </c>
      <c r="S333" s="24">
        <v>250</v>
      </c>
      <c r="T333" s="24">
        <v>500</v>
      </c>
      <c r="U333" s="24">
        <v>0</v>
      </c>
      <c r="V333" s="24">
        <v>220</v>
      </c>
      <c r="W333" s="24">
        <v>649</v>
      </c>
      <c r="X333" s="24">
        <v>66</v>
      </c>
    </row>
    <row r="334" spans="1:24">
      <c r="A334" s="22">
        <v>46107</v>
      </c>
      <c r="B334" s="23" t="s">
        <v>34</v>
      </c>
      <c r="C334" s="24">
        <v>179</v>
      </c>
      <c r="D334" s="24">
        <v>230</v>
      </c>
      <c r="E334" s="24">
        <v>205</v>
      </c>
      <c r="F334" s="24">
        <v>409</v>
      </c>
      <c r="G334" s="24">
        <v>281</v>
      </c>
      <c r="H334" s="24">
        <v>307</v>
      </c>
      <c r="I334" s="24">
        <v>230</v>
      </c>
      <c r="J334" s="24">
        <v>205</v>
      </c>
      <c r="K334" s="24">
        <v>332</v>
      </c>
      <c r="L334" s="24">
        <v>230</v>
      </c>
      <c r="M334" s="24">
        <v>964</v>
      </c>
      <c r="N334" s="25">
        <v>3572</v>
      </c>
      <c r="O334" s="24">
        <v>82</v>
      </c>
      <c r="P334" s="24">
        <v>2</v>
      </c>
      <c r="Q334" s="24">
        <v>314</v>
      </c>
      <c r="R334" s="24">
        <v>816</v>
      </c>
      <c r="S334" s="24">
        <v>250</v>
      </c>
      <c r="T334" s="24">
        <v>500</v>
      </c>
      <c r="U334" s="24">
        <v>673</v>
      </c>
      <c r="V334" s="24">
        <v>220</v>
      </c>
      <c r="W334" s="24">
        <v>649</v>
      </c>
      <c r="X334" s="24">
        <v>66</v>
      </c>
    </row>
    <row r="335" spans="1:24">
      <c r="A335" s="22">
        <v>46108</v>
      </c>
      <c r="B335" s="23" t="s">
        <v>34</v>
      </c>
      <c r="C335" s="24">
        <v>184</v>
      </c>
      <c r="D335" s="24">
        <v>237</v>
      </c>
      <c r="E335" s="24">
        <v>211</v>
      </c>
      <c r="F335" s="24">
        <v>421</v>
      </c>
      <c r="G335" s="24">
        <v>290</v>
      </c>
      <c r="H335" s="24">
        <v>316</v>
      </c>
      <c r="I335" s="24">
        <v>237</v>
      </c>
      <c r="J335" s="24">
        <v>211</v>
      </c>
      <c r="K335" s="24">
        <v>342</v>
      </c>
      <c r="L335" s="24">
        <v>237</v>
      </c>
      <c r="M335" s="24">
        <v>994</v>
      </c>
      <c r="N335" s="25">
        <v>3680</v>
      </c>
      <c r="O335" s="24">
        <v>82</v>
      </c>
      <c r="P335" s="24">
        <v>2</v>
      </c>
      <c r="Q335" s="24">
        <v>314</v>
      </c>
      <c r="R335" s="24">
        <v>500</v>
      </c>
      <c r="S335" s="24">
        <v>250</v>
      </c>
      <c r="T335" s="24">
        <v>600</v>
      </c>
      <c r="U335" s="24">
        <v>989</v>
      </c>
      <c r="V335" s="24">
        <v>220</v>
      </c>
      <c r="W335" s="24">
        <v>657</v>
      </c>
      <c r="X335" s="24">
        <v>66</v>
      </c>
    </row>
    <row r="336" spans="1:24">
      <c r="A336" s="22">
        <v>46109</v>
      </c>
      <c r="B336" s="23" t="s">
        <v>34</v>
      </c>
      <c r="C336" s="24">
        <v>199</v>
      </c>
      <c r="D336" s="24">
        <v>256</v>
      </c>
      <c r="E336" s="24">
        <v>227</v>
      </c>
      <c r="F336" s="24">
        <v>455</v>
      </c>
      <c r="G336" s="24">
        <v>313</v>
      </c>
      <c r="H336" s="24">
        <v>341</v>
      </c>
      <c r="I336" s="24">
        <v>256</v>
      </c>
      <c r="J336" s="24">
        <v>227</v>
      </c>
      <c r="K336" s="24">
        <v>370</v>
      </c>
      <c r="L336" s="24">
        <v>256</v>
      </c>
      <c r="M336" s="24">
        <v>1073</v>
      </c>
      <c r="N336" s="25">
        <v>3973</v>
      </c>
      <c r="O336" s="24">
        <v>82</v>
      </c>
      <c r="P336" s="24">
        <v>2</v>
      </c>
      <c r="Q336" s="24">
        <v>408</v>
      </c>
      <c r="R336" s="24">
        <v>500</v>
      </c>
      <c r="S336" s="24">
        <v>370</v>
      </c>
      <c r="T336" s="24">
        <v>700</v>
      </c>
      <c r="U336" s="24">
        <v>989</v>
      </c>
      <c r="V336" s="24">
        <v>220</v>
      </c>
      <c r="W336" s="24">
        <v>702</v>
      </c>
      <c r="X336" s="24">
        <v>0</v>
      </c>
    </row>
    <row r="337" spans="1:24">
      <c r="A337" s="22">
        <v>46110</v>
      </c>
      <c r="B337" s="23" t="s">
        <v>34</v>
      </c>
      <c r="C337" s="24">
        <v>200</v>
      </c>
      <c r="D337" s="24">
        <v>257</v>
      </c>
      <c r="E337" s="24">
        <v>229</v>
      </c>
      <c r="F337" s="24">
        <v>458</v>
      </c>
      <c r="G337" s="24">
        <v>315</v>
      </c>
      <c r="H337" s="24">
        <v>343</v>
      </c>
      <c r="I337" s="24">
        <v>257</v>
      </c>
      <c r="J337" s="24">
        <v>229</v>
      </c>
      <c r="K337" s="24">
        <v>372</v>
      </c>
      <c r="L337" s="24">
        <v>257</v>
      </c>
      <c r="M337" s="24">
        <v>1080</v>
      </c>
      <c r="N337" s="25">
        <v>3997</v>
      </c>
      <c r="O337" s="24">
        <v>82</v>
      </c>
      <c r="P337" s="24">
        <v>2</v>
      </c>
      <c r="Q337" s="24">
        <v>408</v>
      </c>
      <c r="R337" s="24">
        <v>500</v>
      </c>
      <c r="S337" s="24">
        <v>373</v>
      </c>
      <c r="T337" s="24">
        <v>700</v>
      </c>
      <c r="U337" s="24">
        <v>988</v>
      </c>
      <c r="V337" s="24">
        <v>220</v>
      </c>
      <c r="W337" s="24">
        <v>724</v>
      </c>
      <c r="X337" s="24">
        <v>0</v>
      </c>
    </row>
    <row r="338" spans="1:24">
      <c r="A338" s="22">
        <v>46111</v>
      </c>
      <c r="B338" s="23" t="s">
        <v>34</v>
      </c>
      <c r="C338" s="24">
        <v>141</v>
      </c>
      <c r="D338" s="24">
        <v>182</v>
      </c>
      <c r="E338" s="24">
        <v>162</v>
      </c>
      <c r="F338" s="24">
        <v>323</v>
      </c>
      <c r="G338" s="24">
        <v>222</v>
      </c>
      <c r="H338" s="24">
        <v>242</v>
      </c>
      <c r="I338" s="24">
        <v>182</v>
      </c>
      <c r="J338" s="24">
        <v>162</v>
      </c>
      <c r="K338" s="24">
        <v>263</v>
      </c>
      <c r="L338" s="24">
        <v>182</v>
      </c>
      <c r="M338" s="24">
        <v>761</v>
      </c>
      <c r="N338" s="25">
        <v>2822</v>
      </c>
      <c r="O338" s="24">
        <v>82</v>
      </c>
      <c r="P338" s="24">
        <v>2</v>
      </c>
      <c r="Q338" s="24">
        <v>314</v>
      </c>
      <c r="R338" s="24">
        <v>500</v>
      </c>
      <c r="S338" s="24">
        <v>282</v>
      </c>
      <c r="T338" s="24">
        <v>700</v>
      </c>
      <c r="U338" s="24">
        <v>0</v>
      </c>
      <c r="V338" s="24">
        <v>220</v>
      </c>
      <c r="W338" s="24">
        <v>656</v>
      </c>
      <c r="X338" s="24">
        <v>66</v>
      </c>
    </row>
    <row r="339" spans="1:24">
      <c r="A339" s="22">
        <v>46112</v>
      </c>
      <c r="B339" s="23" t="s">
        <v>34</v>
      </c>
      <c r="C339" s="24">
        <v>135</v>
      </c>
      <c r="D339" s="24">
        <v>173</v>
      </c>
      <c r="E339" s="24">
        <v>154</v>
      </c>
      <c r="F339" s="24">
        <v>308</v>
      </c>
      <c r="G339" s="24">
        <v>212</v>
      </c>
      <c r="H339" s="24">
        <v>231</v>
      </c>
      <c r="I339" s="24">
        <v>173</v>
      </c>
      <c r="J339" s="24">
        <v>154</v>
      </c>
      <c r="K339" s="24">
        <v>250</v>
      </c>
      <c r="L339" s="24">
        <v>173</v>
      </c>
      <c r="M339" s="24">
        <v>728</v>
      </c>
      <c r="N339" s="25">
        <v>2691</v>
      </c>
      <c r="O339" s="24">
        <v>82</v>
      </c>
      <c r="P339" s="24">
        <v>2</v>
      </c>
      <c r="Q339" s="24">
        <v>314</v>
      </c>
      <c r="R339" s="24">
        <v>500</v>
      </c>
      <c r="S339" s="24">
        <v>282</v>
      </c>
      <c r="T339" s="24">
        <v>618</v>
      </c>
      <c r="U339" s="24">
        <v>0</v>
      </c>
      <c r="V339" s="24">
        <v>210</v>
      </c>
      <c r="W339" s="24">
        <v>617</v>
      </c>
      <c r="X339" s="24">
        <v>66</v>
      </c>
    </row>
    <row r="340" spans="1:24">
      <c r="A340" s="22">
        <v>46113</v>
      </c>
      <c r="B340" s="23" t="s">
        <v>34</v>
      </c>
      <c r="C340" s="24">
        <v>145.9308540921397</v>
      </c>
      <c r="D340" s="24">
        <v>188.00621904770591</v>
      </c>
      <c r="E340" s="24">
        <v>194.1983532099182</v>
      </c>
      <c r="F340" s="24">
        <v>409.0908519769128</v>
      </c>
      <c r="G340" s="24">
        <v>247.11340992465864</v>
      </c>
      <c r="H340" s="24">
        <v>274.90403438313598</v>
      </c>
      <c r="I340" s="24">
        <v>190.05015569543261</v>
      </c>
      <c r="J340" s="24">
        <v>235.79682842247567</v>
      </c>
      <c r="K340" s="24">
        <v>372.01634749424539</v>
      </c>
      <c r="L340" s="24">
        <v>206.64294575337507</v>
      </c>
      <c r="M340" s="24">
        <v>911.25</v>
      </c>
      <c r="N340" s="25">
        <v>3375</v>
      </c>
      <c r="O340" s="24">
        <v>135</v>
      </c>
      <c r="P340" s="24">
        <v>0</v>
      </c>
      <c r="Q340" s="24">
        <v>481</v>
      </c>
      <c r="R340" s="24">
        <v>520</v>
      </c>
      <c r="S340" s="24">
        <v>288</v>
      </c>
      <c r="T340" s="24">
        <v>692</v>
      </c>
      <c r="U340" s="24">
        <v>84</v>
      </c>
      <c r="V340" s="24">
        <v>300</v>
      </c>
      <c r="W340" s="24">
        <v>801</v>
      </c>
      <c r="X340" s="24">
        <v>74</v>
      </c>
    </row>
    <row r="341" spans="1:24">
      <c r="A341" s="22">
        <v>46114</v>
      </c>
      <c r="B341" s="23" t="s">
        <v>34</v>
      </c>
      <c r="C341" s="24">
        <v>146.3200030363854</v>
      </c>
      <c r="D341" s="24">
        <v>188.50756896516646</v>
      </c>
      <c r="E341" s="24">
        <v>194.71621548514466</v>
      </c>
      <c r="F341" s="24">
        <v>410.18176091551794</v>
      </c>
      <c r="G341" s="24">
        <v>247.77237901779108</v>
      </c>
      <c r="H341" s="24">
        <v>275.63711180815767</v>
      </c>
      <c r="I341" s="24">
        <v>190.55695611062043</v>
      </c>
      <c r="J341" s="24">
        <v>236.42561996493563</v>
      </c>
      <c r="K341" s="24">
        <v>373.00839108756344</v>
      </c>
      <c r="L341" s="24">
        <v>207.19399360871742</v>
      </c>
      <c r="M341" s="24">
        <v>913.68000000000029</v>
      </c>
      <c r="N341" s="25">
        <v>3384</v>
      </c>
      <c r="O341" s="24">
        <v>135</v>
      </c>
      <c r="P341" s="24">
        <v>0</v>
      </c>
      <c r="Q341" s="24">
        <v>486</v>
      </c>
      <c r="R341" s="24">
        <v>520</v>
      </c>
      <c r="S341" s="24">
        <v>288</v>
      </c>
      <c r="T341" s="24">
        <v>693</v>
      </c>
      <c r="U341" s="24">
        <v>84</v>
      </c>
      <c r="V341" s="24">
        <v>306</v>
      </c>
      <c r="W341" s="24">
        <v>798</v>
      </c>
      <c r="X341" s="24">
        <v>74</v>
      </c>
    </row>
    <row r="342" spans="1:24">
      <c r="A342" s="22">
        <v>46115</v>
      </c>
      <c r="B342" s="23" t="s">
        <v>34</v>
      </c>
      <c r="C342" s="24">
        <v>146.19028672163685</v>
      </c>
      <c r="D342" s="24">
        <v>188.34045232601295</v>
      </c>
      <c r="E342" s="24">
        <v>194.54359472673585</v>
      </c>
      <c r="F342" s="24">
        <v>409.81812460264956</v>
      </c>
      <c r="G342" s="24">
        <v>247.55272265341361</v>
      </c>
      <c r="H342" s="24">
        <v>275.39275266648377</v>
      </c>
      <c r="I342" s="24">
        <v>190.38802263889116</v>
      </c>
      <c r="J342" s="24">
        <v>236.21602278411564</v>
      </c>
      <c r="K342" s="24">
        <v>372.67770988979072</v>
      </c>
      <c r="L342" s="24">
        <v>207.01031099026997</v>
      </c>
      <c r="M342" s="24">
        <v>912.86999999999989</v>
      </c>
      <c r="N342" s="25">
        <v>3381</v>
      </c>
      <c r="O342" s="24">
        <v>135</v>
      </c>
      <c r="P342" s="24">
        <v>0</v>
      </c>
      <c r="Q342" s="24">
        <v>486</v>
      </c>
      <c r="R342" s="24">
        <v>520</v>
      </c>
      <c r="S342" s="24">
        <v>288</v>
      </c>
      <c r="T342" s="24">
        <v>693</v>
      </c>
      <c r="U342" s="24">
        <v>84</v>
      </c>
      <c r="V342" s="24">
        <v>306</v>
      </c>
      <c r="W342" s="24">
        <v>795</v>
      </c>
      <c r="X342" s="24">
        <v>74</v>
      </c>
    </row>
    <row r="343" spans="1:24">
      <c r="A343" s="22">
        <v>46116</v>
      </c>
      <c r="B343" s="23" t="s">
        <v>34</v>
      </c>
      <c r="C343" s="24">
        <v>156.95674084576802</v>
      </c>
      <c r="D343" s="24">
        <v>202.2111333757548</v>
      </c>
      <c r="E343" s="24">
        <v>208.87111767466757</v>
      </c>
      <c r="F343" s="24">
        <v>439.999938570724</v>
      </c>
      <c r="G343" s="24">
        <v>265.78420089674398</v>
      </c>
      <c r="H343" s="24">
        <v>295.67456142541738</v>
      </c>
      <c r="I343" s="24">
        <v>204.40950079242086</v>
      </c>
      <c r="J343" s="24">
        <v>253.61258879217385</v>
      </c>
      <c r="K343" s="24">
        <v>400.12424930492176</v>
      </c>
      <c r="L343" s="24">
        <v>222.25596832140789</v>
      </c>
      <c r="M343" s="24">
        <v>980.09999999999945</v>
      </c>
      <c r="N343" s="25">
        <v>3630</v>
      </c>
      <c r="O343" s="24">
        <v>156</v>
      </c>
      <c r="P343" s="24">
        <v>2</v>
      </c>
      <c r="Q343" s="24">
        <v>558</v>
      </c>
      <c r="R343" s="24">
        <v>520</v>
      </c>
      <c r="S343" s="24">
        <v>331</v>
      </c>
      <c r="T343" s="24">
        <v>797</v>
      </c>
      <c r="U343" s="24">
        <v>97</v>
      </c>
      <c r="V343" s="24">
        <v>351</v>
      </c>
      <c r="W343" s="24">
        <v>818</v>
      </c>
      <c r="X343" s="24">
        <v>0</v>
      </c>
    </row>
    <row r="344" spans="1:24">
      <c r="A344" s="22">
        <v>46117</v>
      </c>
      <c r="B344" s="23" t="s">
        <v>34</v>
      </c>
      <c r="C344" s="24">
        <v>156.87026330260232</v>
      </c>
      <c r="D344" s="24">
        <v>202.09972228298579</v>
      </c>
      <c r="E344" s="24">
        <v>208.7560371690617</v>
      </c>
      <c r="F344" s="24">
        <v>439.75751436214506</v>
      </c>
      <c r="G344" s="24">
        <v>265.63776332049235</v>
      </c>
      <c r="H344" s="24">
        <v>295.5116553309681</v>
      </c>
      <c r="I344" s="24">
        <v>204.29687847793468</v>
      </c>
      <c r="J344" s="24">
        <v>253.47285733829386</v>
      </c>
      <c r="K344" s="24">
        <v>399.90379517307326</v>
      </c>
      <c r="L344" s="24">
        <v>222.13351324244292</v>
      </c>
      <c r="M344" s="24">
        <v>979.5600000000004</v>
      </c>
      <c r="N344" s="25">
        <v>3628</v>
      </c>
      <c r="O344" s="24">
        <v>156</v>
      </c>
      <c r="P344" s="24">
        <v>2</v>
      </c>
      <c r="Q344" s="24">
        <v>558</v>
      </c>
      <c r="R344" s="24">
        <v>520</v>
      </c>
      <c r="S344" s="24">
        <v>331</v>
      </c>
      <c r="T344" s="24">
        <v>797</v>
      </c>
      <c r="U344" s="24">
        <v>97</v>
      </c>
      <c r="V344" s="24">
        <v>351</v>
      </c>
      <c r="W344" s="24">
        <v>816</v>
      </c>
      <c r="X344" s="24">
        <v>0</v>
      </c>
    </row>
    <row r="345" spans="1:24">
      <c r="A345" s="22">
        <v>46118</v>
      </c>
      <c r="B345" s="23" t="s">
        <v>34</v>
      </c>
      <c r="C345" s="24">
        <v>155.22718998245378</v>
      </c>
      <c r="D345" s="24">
        <v>199.98291152037456</v>
      </c>
      <c r="E345" s="24">
        <v>206.56950756255</v>
      </c>
      <c r="F345" s="24">
        <v>435.15145439914573</v>
      </c>
      <c r="G345" s="24">
        <v>262.85544937171096</v>
      </c>
      <c r="H345" s="24">
        <v>292.41643953643205</v>
      </c>
      <c r="I345" s="24">
        <v>202.15705450269718</v>
      </c>
      <c r="J345" s="24">
        <v>250.8179597145741</v>
      </c>
      <c r="K345" s="24">
        <v>395.71516666795287</v>
      </c>
      <c r="L345" s="24">
        <v>219.80686674210858</v>
      </c>
      <c r="M345" s="24">
        <v>969.30000000000018</v>
      </c>
      <c r="N345" s="25">
        <v>3590</v>
      </c>
      <c r="O345" s="24">
        <v>156</v>
      </c>
      <c r="P345" s="24">
        <v>2</v>
      </c>
      <c r="Q345" s="24">
        <v>558</v>
      </c>
      <c r="R345" s="24">
        <v>520</v>
      </c>
      <c r="S345" s="24">
        <v>331</v>
      </c>
      <c r="T345" s="24">
        <v>797</v>
      </c>
      <c r="U345" s="24">
        <v>97</v>
      </c>
      <c r="V345" s="24">
        <v>351</v>
      </c>
      <c r="W345" s="24">
        <v>778</v>
      </c>
      <c r="X345" s="24">
        <v>0</v>
      </c>
    </row>
    <row r="346" spans="1:24">
      <c r="A346" s="22">
        <v>46119</v>
      </c>
      <c r="B346" s="23" t="s">
        <v>34</v>
      </c>
      <c r="C346" s="24">
        <v>144.63369094465401</v>
      </c>
      <c r="D346" s="24">
        <v>186.33505265617075</v>
      </c>
      <c r="E346" s="24">
        <v>192.47214562583002</v>
      </c>
      <c r="F346" s="24">
        <v>405.45448884822912</v>
      </c>
      <c r="G346" s="24">
        <v>244.9168462808839</v>
      </c>
      <c r="H346" s="24">
        <v>272.46044296639701</v>
      </c>
      <c r="I346" s="24">
        <v>188.36082097813986</v>
      </c>
      <c r="J346" s="24">
        <v>233.70085661427589</v>
      </c>
      <c r="K346" s="24">
        <v>368.70953551651877</v>
      </c>
      <c r="L346" s="24">
        <v>204.80611956890064</v>
      </c>
      <c r="M346" s="24">
        <v>903.15000000000009</v>
      </c>
      <c r="N346" s="25">
        <v>3345</v>
      </c>
      <c r="O346" s="24">
        <v>135</v>
      </c>
      <c r="P346" s="24">
        <v>1</v>
      </c>
      <c r="Q346" s="24">
        <v>486</v>
      </c>
      <c r="R346" s="24">
        <v>520</v>
      </c>
      <c r="S346" s="24">
        <v>288</v>
      </c>
      <c r="T346" s="24">
        <v>693</v>
      </c>
      <c r="U346" s="24">
        <v>84</v>
      </c>
      <c r="V346" s="24">
        <v>306</v>
      </c>
      <c r="W346" s="24">
        <v>758</v>
      </c>
      <c r="X346" s="24">
        <v>74</v>
      </c>
    </row>
    <row r="347" spans="1:24">
      <c r="A347" s="22">
        <v>46120</v>
      </c>
      <c r="B347" s="23" t="s">
        <v>34</v>
      </c>
      <c r="C347" s="24">
        <v>116.44201187263175</v>
      </c>
      <c r="D347" s="24">
        <v>150.01503641347318</v>
      </c>
      <c r="E347" s="24">
        <v>154.95590079831396</v>
      </c>
      <c r="F347" s="24">
        <v>326.42419685150401</v>
      </c>
      <c r="G347" s="24">
        <v>197.17819642284613</v>
      </c>
      <c r="H347" s="24">
        <v>219.35305617593633</v>
      </c>
      <c r="I347" s="24">
        <v>151.64594645564443</v>
      </c>
      <c r="J347" s="24">
        <v>188.14840264940059</v>
      </c>
      <c r="K347" s="24">
        <v>296.84148853392674</v>
      </c>
      <c r="L347" s="24">
        <v>164.88576382632269</v>
      </c>
      <c r="M347" s="24">
        <v>727.1099999999999</v>
      </c>
      <c r="N347" s="25">
        <v>2693</v>
      </c>
      <c r="O347" s="24">
        <v>135</v>
      </c>
      <c r="P347" s="24">
        <v>1</v>
      </c>
      <c r="Q347" s="24">
        <v>486</v>
      </c>
      <c r="R347" s="24">
        <v>520</v>
      </c>
      <c r="S347" s="24">
        <v>288</v>
      </c>
      <c r="T347" s="24">
        <v>100</v>
      </c>
      <c r="U347" s="24">
        <v>84</v>
      </c>
      <c r="V347" s="24">
        <v>306</v>
      </c>
      <c r="W347" s="24">
        <v>699</v>
      </c>
      <c r="X347" s="24">
        <v>74</v>
      </c>
    </row>
    <row r="348" spans="1:24">
      <c r="A348" s="22">
        <v>46121</v>
      </c>
      <c r="B348" s="23" t="s">
        <v>34</v>
      </c>
      <c r="C348" s="24">
        <v>143.55272165508259</v>
      </c>
      <c r="D348" s="24">
        <v>184.94241399655809</v>
      </c>
      <c r="E348" s="24">
        <v>191.03363930575657</v>
      </c>
      <c r="F348" s="24">
        <v>402.4241862409927</v>
      </c>
      <c r="G348" s="24">
        <v>243.08637657773829</v>
      </c>
      <c r="H348" s="24">
        <v>270.42411678578117</v>
      </c>
      <c r="I348" s="24">
        <v>186.95304204706258</v>
      </c>
      <c r="J348" s="24">
        <v>231.95421344077607</v>
      </c>
      <c r="K348" s="24">
        <v>365.95385886841325</v>
      </c>
      <c r="L348" s="24">
        <v>203.2754310818386</v>
      </c>
      <c r="M348" s="24">
        <v>896.40000000000009</v>
      </c>
      <c r="N348" s="25">
        <v>3320</v>
      </c>
      <c r="O348" s="24">
        <v>135</v>
      </c>
      <c r="P348" s="24">
        <v>1</v>
      </c>
      <c r="Q348" s="24">
        <v>486</v>
      </c>
      <c r="R348" s="24">
        <v>520</v>
      </c>
      <c r="S348" s="24">
        <v>288</v>
      </c>
      <c r="T348" s="24">
        <v>693</v>
      </c>
      <c r="U348" s="24">
        <v>84</v>
      </c>
      <c r="V348" s="24">
        <v>306</v>
      </c>
      <c r="W348" s="24">
        <v>733</v>
      </c>
      <c r="X348" s="24">
        <v>74</v>
      </c>
    </row>
    <row r="349" spans="1:24">
      <c r="A349" s="22">
        <v>46122</v>
      </c>
      <c r="B349" s="23" t="s">
        <v>34</v>
      </c>
      <c r="C349" s="24">
        <v>143.89863182774545</v>
      </c>
      <c r="D349" s="24">
        <v>185.38805836763416</v>
      </c>
      <c r="E349" s="24">
        <v>191.49396132818006</v>
      </c>
      <c r="F349" s="24">
        <v>403.39388307530839</v>
      </c>
      <c r="G349" s="24">
        <v>243.67212688274489</v>
      </c>
      <c r="H349" s="24">
        <v>271.07574116357824</v>
      </c>
      <c r="I349" s="24">
        <v>187.40353130500733</v>
      </c>
      <c r="J349" s="24">
        <v>232.51313925629603</v>
      </c>
      <c r="K349" s="24">
        <v>366.83567539580702</v>
      </c>
      <c r="L349" s="24">
        <v>203.76525139769845</v>
      </c>
      <c r="M349" s="24">
        <v>898.56</v>
      </c>
      <c r="N349" s="25">
        <v>3328</v>
      </c>
      <c r="O349" s="24">
        <v>135</v>
      </c>
      <c r="P349" s="24">
        <v>1</v>
      </c>
      <c r="Q349" s="24">
        <v>486</v>
      </c>
      <c r="R349" s="24">
        <v>520</v>
      </c>
      <c r="S349" s="24">
        <v>288</v>
      </c>
      <c r="T349" s="24">
        <v>693</v>
      </c>
      <c r="U349" s="24">
        <v>84</v>
      </c>
      <c r="V349" s="24">
        <v>306</v>
      </c>
      <c r="W349" s="24">
        <v>741</v>
      </c>
      <c r="X349" s="24">
        <v>74</v>
      </c>
    </row>
    <row r="350" spans="1:24">
      <c r="A350" s="22">
        <v>46123</v>
      </c>
      <c r="B350" s="23" t="s">
        <v>34</v>
      </c>
      <c r="C350" s="24">
        <v>158.29714276483656</v>
      </c>
      <c r="D350" s="24">
        <v>203.93800531367444</v>
      </c>
      <c r="E350" s="24">
        <v>210.65486551155865</v>
      </c>
      <c r="F350" s="24">
        <v>443.75751380369707</v>
      </c>
      <c r="G350" s="24">
        <v>268.05398332864451</v>
      </c>
      <c r="H350" s="24">
        <v>298.19960588938096</v>
      </c>
      <c r="I350" s="24">
        <v>206.15514666695665</v>
      </c>
      <c r="J350" s="24">
        <v>255.77842632731358</v>
      </c>
      <c r="K350" s="24">
        <v>403.54128834857255</v>
      </c>
      <c r="L350" s="24">
        <v>224.15402204536477</v>
      </c>
      <c r="M350" s="24">
        <v>988.47000000000025</v>
      </c>
      <c r="N350" s="25">
        <v>3661</v>
      </c>
      <c r="O350" s="24">
        <v>156</v>
      </c>
      <c r="P350" s="24">
        <v>2</v>
      </c>
      <c r="Q350" s="24">
        <v>558</v>
      </c>
      <c r="R350" s="24">
        <v>600</v>
      </c>
      <c r="S350" s="24">
        <v>331</v>
      </c>
      <c r="T350" s="24">
        <v>797</v>
      </c>
      <c r="U350" s="24">
        <v>97</v>
      </c>
      <c r="V350" s="24">
        <v>351</v>
      </c>
      <c r="W350" s="24">
        <v>769</v>
      </c>
      <c r="X350" s="24">
        <v>0</v>
      </c>
    </row>
    <row r="351" spans="1:24">
      <c r="A351" s="22">
        <v>46124</v>
      </c>
      <c r="B351" s="23" t="s">
        <v>34</v>
      </c>
      <c r="C351" s="24">
        <v>158.772769252248</v>
      </c>
      <c r="D351" s="24">
        <v>204.55076632390401</v>
      </c>
      <c r="E351" s="24">
        <v>211.28780829239099</v>
      </c>
      <c r="F351" s="24">
        <v>445.09084695088109</v>
      </c>
      <c r="G351" s="24">
        <v>268.85938999802863</v>
      </c>
      <c r="H351" s="24">
        <v>299.09558940885194</v>
      </c>
      <c r="I351" s="24">
        <v>206.77456939663068</v>
      </c>
      <c r="J351" s="24">
        <v>256.54694932365351</v>
      </c>
      <c r="K351" s="24">
        <v>404.75378607373898</v>
      </c>
      <c r="L351" s="24">
        <v>224.82752497967209</v>
      </c>
      <c r="M351" s="24">
        <v>991.44000000000051</v>
      </c>
      <c r="N351" s="25">
        <v>3672</v>
      </c>
      <c r="O351" s="24">
        <v>156</v>
      </c>
      <c r="P351" s="24">
        <v>2</v>
      </c>
      <c r="Q351" s="24">
        <v>558</v>
      </c>
      <c r="R351" s="24">
        <v>600</v>
      </c>
      <c r="S351" s="24">
        <v>331</v>
      </c>
      <c r="T351" s="24">
        <v>797</v>
      </c>
      <c r="U351" s="24">
        <v>97</v>
      </c>
      <c r="V351" s="24">
        <v>351</v>
      </c>
      <c r="W351" s="24">
        <v>780</v>
      </c>
      <c r="X351" s="24">
        <v>0</v>
      </c>
    </row>
    <row r="352" spans="1:24">
      <c r="A352" s="22">
        <v>46125</v>
      </c>
      <c r="B352" s="23" t="s">
        <v>34</v>
      </c>
      <c r="C352" s="24">
        <v>147.57392741228821</v>
      </c>
      <c r="D352" s="24">
        <v>190.12302981031709</v>
      </c>
      <c r="E352" s="24">
        <v>196.38488281642984</v>
      </c>
      <c r="F352" s="24">
        <v>413.69691193991207</v>
      </c>
      <c r="G352" s="24">
        <v>249.89572387343998</v>
      </c>
      <c r="H352" s="24">
        <v>277.99925017767202</v>
      </c>
      <c r="I352" s="24">
        <v>192.18997967067006</v>
      </c>
      <c r="J352" s="24">
        <v>238.45172604619538</v>
      </c>
      <c r="K352" s="24">
        <v>376.20497599936579</v>
      </c>
      <c r="L352" s="24">
        <v>208.96959225370938</v>
      </c>
      <c r="M352" s="24">
        <v>921.51000000000022</v>
      </c>
      <c r="N352" s="25">
        <v>3413</v>
      </c>
      <c r="O352" s="24">
        <v>135</v>
      </c>
      <c r="P352" s="24">
        <v>1</v>
      </c>
      <c r="Q352" s="24">
        <v>486</v>
      </c>
      <c r="R352" s="24">
        <v>600</v>
      </c>
      <c r="S352" s="24">
        <v>288</v>
      </c>
      <c r="T352" s="24">
        <v>693</v>
      </c>
      <c r="U352" s="24">
        <v>84</v>
      </c>
      <c r="V352" s="24">
        <v>306</v>
      </c>
      <c r="W352" s="24">
        <v>746</v>
      </c>
      <c r="X352" s="24">
        <v>74</v>
      </c>
    </row>
    <row r="353" spans="1:24">
      <c r="A353" s="22">
        <v>46126</v>
      </c>
      <c r="B353" s="23" t="s">
        <v>34</v>
      </c>
      <c r="C353" s="24">
        <v>148.26574775761392</v>
      </c>
      <c r="D353" s="24">
        <v>191.01431855246921</v>
      </c>
      <c r="E353" s="24">
        <v>197.30552686127689</v>
      </c>
      <c r="F353" s="24">
        <v>415.63630560854341</v>
      </c>
      <c r="G353" s="24">
        <v>251.0672244834532</v>
      </c>
      <c r="H353" s="24">
        <v>279.30249893326618</v>
      </c>
      <c r="I353" s="24">
        <v>193.09095818655953</v>
      </c>
      <c r="J353" s="24">
        <v>239.56957767723529</v>
      </c>
      <c r="K353" s="24">
        <v>377.96860905415332</v>
      </c>
      <c r="L353" s="24">
        <v>209.9492328854291</v>
      </c>
      <c r="M353" s="24">
        <v>925.82999999999993</v>
      </c>
      <c r="N353" s="25">
        <v>3429</v>
      </c>
      <c r="O353" s="24">
        <v>135</v>
      </c>
      <c r="P353" s="24">
        <v>1</v>
      </c>
      <c r="Q353" s="24">
        <v>486</v>
      </c>
      <c r="R353" s="24">
        <v>600</v>
      </c>
      <c r="S353" s="24">
        <v>288</v>
      </c>
      <c r="T353" s="24">
        <v>693</v>
      </c>
      <c r="U353" s="24">
        <v>84</v>
      </c>
      <c r="V353" s="24">
        <v>306</v>
      </c>
      <c r="W353" s="24">
        <v>762</v>
      </c>
      <c r="X353" s="24">
        <v>74</v>
      </c>
    </row>
    <row r="354" spans="1:24">
      <c r="A354" s="22">
        <v>46127</v>
      </c>
      <c r="B354" s="23" t="s">
        <v>34</v>
      </c>
      <c r="C354" s="24">
        <v>148.43870284394538</v>
      </c>
      <c r="D354" s="24">
        <v>191.23714073800724</v>
      </c>
      <c r="E354" s="24">
        <v>197.53568787248864</v>
      </c>
      <c r="F354" s="24">
        <v>416.12115402570123</v>
      </c>
      <c r="G354" s="24">
        <v>251.36009963595652</v>
      </c>
      <c r="H354" s="24">
        <v>279.62831112216469</v>
      </c>
      <c r="I354" s="24">
        <v>193.31620281553191</v>
      </c>
      <c r="J354" s="24">
        <v>239.84904058499527</v>
      </c>
      <c r="K354" s="24">
        <v>378.40951731785026</v>
      </c>
      <c r="L354" s="24">
        <v>210.19414304335902</v>
      </c>
      <c r="M354" s="24">
        <v>926.90999999999985</v>
      </c>
      <c r="N354" s="25">
        <v>3433</v>
      </c>
      <c r="O354" s="24">
        <v>135</v>
      </c>
      <c r="P354" s="24">
        <v>1</v>
      </c>
      <c r="Q354" s="24">
        <v>486</v>
      </c>
      <c r="R354" s="24">
        <v>600</v>
      </c>
      <c r="S354" s="24">
        <v>288</v>
      </c>
      <c r="T354" s="24">
        <v>693</v>
      </c>
      <c r="U354" s="24">
        <v>84</v>
      </c>
      <c r="V354" s="24">
        <v>306</v>
      </c>
      <c r="W354" s="24">
        <v>766</v>
      </c>
      <c r="X354" s="24">
        <v>74</v>
      </c>
    </row>
    <row r="355" spans="1:24">
      <c r="A355" s="22">
        <v>46128</v>
      </c>
      <c r="B355" s="23" t="s">
        <v>34</v>
      </c>
      <c r="C355" s="24">
        <v>148.3089865291968</v>
      </c>
      <c r="D355" s="24">
        <v>191.07002409885371</v>
      </c>
      <c r="E355" s="24">
        <v>197.36306711407983</v>
      </c>
      <c r="F355" s="24">
        <v>415.75751771283285</v>
      </c>
      <c r="G355" s="24">
        <v>251.14044327157902</v>
      </c>
      <c r="H355" s="24">
        <v>279.38395198049079</v>
      </c>
      <c r="I355" s="24">
        <v>193.14726934380263</v>
      </c>
      <c r="J355" s="24">
        <v>239.6394434041753</v>
      </c>
      <c r="K355" s="24">
        <v>378.07883612007754</v>
      </c>
      <c r="L355" s="24">
        <v>210.01046042491157</v>
      </c>
      <c r="M355" s="24">
        <v>926.09999999999945</v>
      </c>
      <c r="N355" s="25">
        <v>3430</v>
      </c>
      <c r="O355" s="24">
        <v>135</v>
      </c>
      <c r="P355" s="24">
        <v>1</v>
      </c>
      <c r="Q355" s="24">
        <v>486</v>
      </c>
      <c r="R355" s="24">
        <v>600</v>
      </c>
      <c r="S355" s="24">
        <v>288</v>
      </c>
      <c r="T355" s="24">
        <v>693</v>
      </c>
      <c r="U355" s="24">
        <v>84</v>
      </c>
      <c r="V355" s="24">
        <v>306</v>
      </c>
      <c r="W355" s="24">
        <v>763</v>
      </c>
      <c r="X355" s="24">
        <v>74</v>
      </c>
    </row>
    <row r="356" spans="1:24">
      <c r="A356" s="22">
        <v>46129</v>
      </c>
      <c r="B356" s="23" t="s">
        <v>34</v>
      </c>
      <c r="C356" s="24">
        <v>149.34671704718534</v>
      </c>
      <c r="D356" s="24">
        <v>192.40695721208183</v>
      </c>
      <c r="E356" s="24">
        <v>198.74403318135035</v>
      </c>
      <c r="F356" s="24">
        <v>418.66660821577983</v>
      </c>
      <c r="G356" s="24">
        <v>252.89769418659881</v>
      </c>
      <c r="H356" s="24">
        <v>281.33882511388197</v>
      </c>
      <c r="I356" s="24">
        <v>194.49873711763681</v>
      </c>
      <c r="J356" s="24">
        <v>241.31622085073511</v>
      </c>
      <c r="K356" s="24">
        <v>380.72428570225884</v>
      </c>
      <c r="L356" s="24">
        <v>211.47992137249113</v>
      </c>
      <c r="M356" s="24">
        <v>932.57999999999993</v>
      </c>
      <c r="N356" s="25">
        <v>3454</v>
      </c>
      <c r="O356" s="24">
        <v>135</v>
      </c>
      <c r="P356" s="24">
        <v>1</v>
      </c>
      <c r="Q356" s="24">
        <v>486</v>
      </c>
      <c r="R356" s="24">
        <v>600</v>
      </c>
      <c r="S356" s="24">
        <v>288</v>
      </c>
      <c r="T356" s="24">
        <v>693</v>
      </c>
      <c r="U356" s="24">
        <v>84</v>
      </c>
      <c r="V356" s="24">
        <v>306</v>
      </c>
      <c r="W356" s="24">
        <v>787</v>
      </c>
      <c r="X356" s="24">
        <v>74</v>
      </c>
    </row>
    <row r="357" spans="1:24">
      <c r="A357" s="22">
        <v>46130</v>
      </c>
      <c r="B357" s="23" t="s">
        <v>34</v>
      </c>
      <c r="C357" s="24">
        <v>161.06442414613937</v>
      </c>
      <c r="D357" s="24">
        <v>207.50316028228281</v>
      </c>
      <c r="E357" s="24">
        <v>214.33744169094675</v>
      </c>
      <c r="F357" s="24">
        <v>451.51508847822225</v>
      </c>
      <c r="G357" s="24">
        <v>272.73998576869735</v>
      </c>
      <c r="H357" s="24">
        <v>303.41260091175747</v>
      </c>
      <c r="I357" s="24">
        <v>209.75906073051451</v>
      </c>
      <c r="J357" s="24">
        <v>260.24983285147317</v>
      </c>
      <c r="K357" s="24">
        <v>410.59582056772268</v>
      </c>
      <c r="L357" s="24">
        <v>228.07258457224361</v>
      </c>
      <c r="M357" s="24">
        <v>1005.7500000000005</v>
      </c>
      <c r="N357" s="25">
        <v>3725</v>
      </c>
      <c r="O357" s="24">
        <v>156</v>
      </c>
      <c r="P357" s="24">
        <v>2</v>
      </c>
      <c r="Q357" s="24">
        <v>558</v>
      </c>
      <c r="R357" s="24">
        <v>600</v>
      </c>
      <c r="S357" s="24">
        <v>331</v>
      </c>
      <c r="T357" s="24">
        <v>797</v>
      </c>
      <c r="U357" s="24">
        <v>97</v>
      </c>
      <c r="V357" s="24">
        <v>351</v>
      </c>
      <c r="W357" s="24">
        <v>833</v>
      </c>
      <c r="X357" s="24">
        <v>0</v>
      </c>
    </row>
    <row r="358" spans="1:24">
      <c r="A358" s="22">
        <v>46131</v>
      </c>
      <c r="B358" s="23" t="s">
        <v>34</v>
      </c>
      <c r="C358" s="24">
        <v>161.3238567756365</v>
      </c>
      <c r="D358" s="24">
        <v>207.83739356058985</v>
      </c>
      <c r="E358" s="24">
        <v>214.6826832077644</v>
      </c>
      <c r="F358" s="24">
        <v>452.24236110395901</v>
      </c>
      <c r="G358" s="24">
        <v>273.17929849745229</v>
      </c>
      <c r="H358" s="24">
        <v>303.90131919510532</v>
      </c>
      <c r="I358" s="24">
        <v>210.09692767397306</v>
      </c>
      <c r="J358" s="24">
        <v>260.66902721311311</v>
      </c>
      <c r="K358" s="24">
        <v>411.25718296326806</v>
      </c>
      <c r="L358" s="24">
        <v>228.43994980913851</v>
      </c>
      <c r="M358" s="24">
        <v>1007.3700000000003</v>
      </c>
      <c r="N358" s="25">
        <v>3731</v>
      </c>
      <c r="O358" s="24">
        <v>156</v>
      </c>
      <c r="P358" s="24">
        <v>2</v>
      </c>
      <c r="Q358" s="24">
        <v>558</v>
      </c>
      <c r="R358" s="24">
        <v>600</v>
      </c>
      <c r="S358" s="24">
        <v>331</v>
      </c>
      <c r="T358" s="24">
        <v>797</v>
      </c>
      <c r="U358" s="24">
        <v>97</v>
      </c>
      <c r="V358" s="24">
        <v>351</v>
      </c>
      <c r="W358" s="24">
        <v>839</v>
      </c>
      <c r="X358" s="24">
        <v>0</v>
      </c>
    </row>
    <row r="359" spans="1:24">
      <c r="A359" s="22">
        <v>46132</v>
      </c>
      <c r="B359" s="23" t="s">
        <v>34</v>
      </c>
      <c r="C359" s="24">
        <v>151.37893931157959</v>
      </c>
      <c r="D359" s="24">
        <v>195.02511789215359</v>
      </c>
      <c r="E359" s="24">
        <v>201.44842506308848</v>
      </c>
      <c r="F359" s="24">
        <v>424.36357711738424</v>
      </c>
      <c r="G359" s="24">
        <v>256.33897722851259</v>
      </c>
      <c r="H359" s="24">
        <v>285.1671183334397</v>
      </c>
      <c r="I359" s="24">
        <v>197.14536150806208</v>
      </c>
      <c r="J359" s="24">
        <v>244.59991001691478</v>
      </c>
      <c r="K359" s="24">
        <v>385.90495780069722</v>
      </c>
      <c r="L359" s="24">
        <v>214.35761572816776</v>
      </c>
      <c r="M359" s="24">
        <v>945.27</v>
      </c>
      <c r="N359" s="25">
        <v>3501</v>
      </c>
      <c r="O359" s="24">
        <v>135</v>
      </c>
      <c r="P359" s="24">
        <v>1</v>
      </c>
      <c r="Q359" s="24">
        <v>486</v>
      </c>
      <c r="R359" s="24">
        <v>600</v>
      </c>
      <c r="S359" s="24">
        <v>288</v>
      </c>
      <c r="T359" s="24">
        <v>693</v>
      </c>
      <c r="U359" s="24">
        <v>84</v>
      </c>
      <c r="V359" s="24">
        <v>306</v>
      </c>
      <c r="W359" s="24">
        <v>834</v>
      </c>
      <c r="X359" s="24">
        <v>74</v>
      </c>
    </row>
    <row r="360" spans="1:24">
      <c r="A360" s="22">
        <v>46133</v>
      </c>
      <c r="B360" s="23" t="s">
        <v>34</v>
      </c>
      <c r="C360" s="24">
        <v>156.09196541411089</v>
      </c>
      <c r="D360" s="24">
        <v>201.09702244806468</v>
      </c>
      <c r="E360" s="24">
        <v>207.72031261860877</v>
      </c>
      <c r="F360" s="24">
        <v>437.57569648493484</v>
      </c>
      <c r="G360" s="24">
        <v>264.31982513422747</v>
      </c>
      <c r="H360" s="24">
        <v>294.04550048092466</v>
      </c>
      <c r="I360" s="24">
        <v>203.283277647559</v>
      </c>
      <c r="J360" s="24">
        <v>252.21527425337396</v>
      </c>
      <c r="K360" s="24">
        <v>397.91970798643729</v>
      </c>
      <c r="L360" s="24">
        <v>221.03141753175822</v>
      </c>
      <c r="M360" s="24">
        <v>974.70000000000027</v>
      </c>
      <c r="N360" s="25">
        <v>3610</v>
      </c>
      <c r="O360" s="24">
        <v>135</v>
      </c>
      <c r="P360" s="24">
        <v>2</v>
      </c>
      <c r="Q360" s="24">
        <v>486</v>
      </c>
      <c r="R360" s="24">
        <v>683</v>
      </c>
      <c r="S360" s="24">
        <v>288</v>
      </c>
      <c r="T360" s="24">
        <v>693</v>
      </c>
      <c r="U360" s="24">
        <v>84</v>
      </c>
      <c r="V360" s="24">
        <v>306</v>
      </c>
      <c r="W360" s="24">
        <v>859</v>
      </c>
      <c r="X360" s="24">
        <v>74</v>
      </c>
    </row>
    <row r="361" spans="1:24">
      <c r="A361" s="22">
        <v>46134</v>
      </c>
      <c r="B361" s="23" t="s">
        <v>34</v>
      </c>
      <c r="C361" s="24">
        <v>157.95123259217374</v>
      </c>
      <c r="D361" s="24">
        <v>203.49236094259842</v>
      </c>
      <c r="E361" s="24">
        <v>210.19454348913516</v>
      </c>
      <c r="F361" s="24">
        <v>442.78781696938148</v>
      </c>
      <c r="G361" s="24">
        <v>267.46823302363794</v>
      </c>
      <c r="H361" s="24">
        <v>297.54798151158394</v>
      </c>
      <c r="I361" s="24">
        <v>205.70465740901196</v>
      </c>
      <c r="J361" s="24">
        <v>255.21950051179368</v>
      </c>
      <c r="K361" s="24">
        <v>402.65947182117878</v>
      </c>
      <c r="L361" s="24">
        <v>223.66420172950495</v>
      </c>
      <c r="M361" s="24">
        <v>986.31</v>
      </c>
      <c r="N361" s="25">
        <v>3653</v>
      </c>
      <c r="O361" s="24">
        <v>135</v>
      </c>
      <c r="P361" s="24">
        <v>2</v>
      </c>
      <c r="Q361" s="24">
        <v>486</v>
      </c>
      <c r="R361" s="24">
        <v>683</v>
      </c>
      <c r="S361" s="24">
        <v>288</v>
      </c>
      <c r="T361" s="24">
        <v>693</v>
      </c>
      <c r="U361" s="24">
        <v>84</v>
      </c>
      <c r="V361" s="24">
        <v>306</v>
      </c>
      <c r="W361" s="24">
        <v>902</v>
      </c>
      <c r="X361" s="24">
        <v>74</v>
      </c>
    </row>
    <row r="362" spans="1:24">
      <c r="A362" s="22">
        <v>46135</v>
      </c>
      <c r="B362" s="23" t="s">
        <v>34</v>
      </c>
      <c r="C362" s="24">
        <v>158.64305293749942</v>
      </c>
      <c r="D362" s="24">
        <v>204.38364968475051</v>
      </c>
      <c r="E362" s="24">
        <v>211.11518753398218</v>
      </c>
      <c r="F362" s="24">
        <v>444.72721063801276</v>
      </c>
      <c r="G362" s="24">
        <v>268.63973363365113</v>
      </c>
      <c r="H362" s="24">
        <v>298.85123026717804</v>
      </c>
      <c r="I362" s="24">
        <v>206.60563592490141</v>
      </c>
      <c r="J362" s="24">
        <v>256.33735214283354</v>
      </c>
      <c r="K362" s="24">
        <v>404.42310487596632</v>
      </c>
      <c r="L362" s="24">
        <v>224.64384236122464</v>
      </c>
      <c r="M362" s="24">
        <v>990.63000000000011</v>
      </c>
      <c r="N362" s="25">
        <v>3669</v>
      </c>
      <c r="O362" s="24">
        <v>135</v>
      </c>
      <c r="P362" s="24">
        <v>2</v>
      </c>
      <c r="Q362" s="24">
        <v>486</v>
      </c>
      <c r="R362" s="24">
        <v>683</v>
      </c>
      <c r="S362" s="24">
        <v>288</v>
      </c>
      <c r="T362" s="24">
        <v>693</v>
      </c>
      <c r="U362" s="24">
        <v>84</v>
      </c>
      <c r="V362" s="24">
        <v>306</v>
      </c>
      <c r="W362" s="24">
        <v>918</v>
      </c>
      <c r="X362" s="24">
        <v>74</v>
      </c>
    </row>
    <row r="363" spans="1:24">
      <c r="A363" s="22">
        <v>46136</v>
      </c>
      <c r="B363" s="23" t="s">
        <v>34</v>
      </c>
      <c r="C363" s="24">
        <v>159.29163451124225</v>
      </c>
      <c r="D363" s="24">
        <v>205.21923288051806</v>
      </c>
      <c r="E363" s="24">
        <v>211.97829132602624</v>
      </c>
      <c r="F363" s="24">
        <v>446.54539220235455</v>
      </c>
      <c r="G363" s="24">
        <v>269.73801545553846</v>
      </c>
      <c r="H363" s="24">
        <v>300.07302597554752</v>
      </c>
      <c r="I363" s="24">
        <v>207.45030328354775</v>
      </c>
      <c r="J363" s="24">
        <v>257.38533804693344</v>
      </c>
      <c r="K363" s="24">
        <v>406.07651086482963</v>
      </c>
      <c r="L363" s="24">
        <v>225.56225545346186</v>
      </c>
      <c r="M363" s="24">
        <v>994.67999999999984</v>
      </c>
      <c r="N363" s="25">
        <v>3684</v>
      </c>
      <c r="O363" s="24">
        <v>135</v>
      </c>
      <c r="P363" s="24">
        <v>2</v>
      </c>
      <c r="Q363" s="24">
        <v>486</v>
      </c>
      <c r="R363" s="24">
        <v>683</v>
      </c>
      <c r="S363" s="24">
        <v>288</v>
      </c>
      <c r="T363" s="24">
        <v>693</v>
      </c>
      <c r="U363" s="24">
        <v>84</v>
      </c>
      <c r="V363" s="24">
        <v>306</v>
      </c>
      <c r="W363" s="24">
        <v>933</v>
      </c>
      <c r="X363" s="24">
        <v>74</v>
      </c>
    </row>
    <row r="364" spans="1:24">
      <c r="A364" s="22">
        <v>46137</v>
      </c>
      <c r="B364" s="23" t="s">
        <v>34</v>
      </c>
      <c r="C364" s="24">
        <v>174.1657719357448</v>
      </c>
      <c r="D364" s="24">
        <v>224.38194083678798</v>
      </c>
      <c r="E364" s="24">
        <v>231.77213829023719</v>
      </c>
      <c r="F364" s="24">
        <v>488.24235607792735</v>
      </c>
      <c r="G364" s="24">
        <v>294.92527857082223</v>
      </c>
      <c r="H364" s="24">
        <v>328.09287422082127</v>
      </c>
      <c r="I364" s="24">
        <v>226.82134137517113</v>
      </c>
      <c r="J364" s="24">
        <v>281.41914811429098</v>
      </c>
      <c r="K364" s="24">
        <v>443.99462154276165</v>
      </c>
      <c r="L364" s="24">
        <v>246.62452903543553</v>
      </c>
      <c r="M364" s="24">
        <v>1087.56</v>
      </c>
      <c r="N364" s="25">
        <v>4028</v>
      </c>
      <c r="O364" s="24">
        <v>156</v>
      </c>
      <c r="P364" s="24">
        <v>2</v>
      </c>
      <c r="Q364" s="24">
        <v>558</v>
      </c>
      <c r="R364" s="24">
        <v>683</v>
      </c>
      <c r="S364" s="24">
        <v>331</v>
      </c>
      <c r="T364" s="24">
        <v>797</v>
      </c>
      <c r="U364" s="24">
        <v>97</v>
      </c>
      <c r="V364" s="24">
        <v>351</v>
      </c>
      <c r="W364" s="24">
        <v>1053</v>
      </c>
      <c r="X364" s="24">
        <v>0</v>
      </c>
    </row>
    <row r="365" spans="1:24">
      <c r="A365" s="22">
        <v>46138</v>
      </c>
      <c r="B365" s="23" t="s">
        <v>34</v>
      </c>
      <c r="C365" s="24">
        <v>166.81518076665927</v>
      </c>
      <c r="D365" s="24">
        <v>214.91199795142205</v>
      </c>
      <c r="E365" s="24">
        <v>221.99029531373762</v>
      </c>
      <c r="F365" s="24">
        <v>467.63629834871989</v>
      </c>
      <c r="G365" s="24">
        <v>282.47808458943206</v>
      </c>
      <c r="H365" s="24">
        <v>314.24585619263371</v>
      </c>
      <c r="I365" s="24">
        <v>217.24844464384563</v>
      </c>
      <c r="J365" s="24">
        <v>269.54197453449223</v>
      </c>
      <c r="K365" s="24">
        <v>425.25602033564411</v>
      </c>
      <c r="L365" s="24">
        <v>236.21584732341367</v>
      </c>
      <c r="M365" s="24">
        <v>1041.6599999999999</v>
      </c>
      <c r="N365" s="25">
        <v>3858</v>
      </c>
      <c r="O365" s="24">
        <v>156</v>
      </c>
      <c r="P365" s="24">
        <v>2</v>
      </c>
      <c r="Q365" s="24">
        <v>558</v>
      </c>
      <c r="R365" s="24">
        <v>683</v>
      </c>
      <c r="S365" s="24">
        <v>331</v>
      </c>
      <c r="T365" s="24">
        <v>797</v>
      </c>
      <c r="U365" s="24">
        <v>97</v>
      </c>
      <c r="V365" s="24">
        <v>351</v>
      </c>
      <c r="W365" s="24">
        <v>883</v>
      </c>
      <c r="X365" s="24">
        <v>0</v>
      </c>
    </row>
    <row r="366" spans="1:24">
      <c r="A366" s="22">
        <v>46139</v>
      </c>
      <c r="B366" s="23" t="s">
        <v>34</v>
      </c>
      <c r="C366" s="24">
        <v>169.97161109220775</v>
      </c>
      <c r="D366" s="24">
        <v>218.97850283749094</v>
      </c>
      <c r="E366" s="24">
        <v>226.19073376835212</v>
      </c>
      <c r="F366" s="24">
        <v>476.48478196185016</v>
      </c>
      <c r="G366" s="24">
        <v>287.82305612261723</v>
      </c>
      <c r="H366" s="24">
        <v>320.1919286400319</v>
      </c>
      <c r="I366" s="24">
        <v>221.35915912259128</v>
      </c>
      <c r="J366" s="24">
        <v>274.64217260111167</v>
      </c>
      <c r="K366" s="24">
        <v>433.30259614811223</v>
      </c>
      <c r="L366" s="24">
        <v>240.6854577056348</v>
      </c>
      <c r="M366" s="24">
        <v>1061.3700000000003</v>
      </c>
      <c r="N366" s="25">
        <v>3931</v>
      </c>
      <c r="O366" s="24">
        <v>135</v>
      </c>
      <c r="P366" s="24">
        <v>2</v>
      </c>
      <c r="Q366" s="24">
        <v>486</v>
      </c>
      <c r="R366" s="24">
        <v>683</v>
      </c>
      <c r="S366" s="24">
        <v>288</v>
      </c>
      <c r="T366" s="24">
        <v>993</v>
      </c>
      <c r="U366" s="24">
        <v>84</v>
      </c>
      <c r="V366" s="24">
        <v>306</v>
      </c>
      <c r="W366" s="24">
        <v>880</v>
      </c>
      <c r="X366" s="24">
        <v>74</v>
      </c>
    </row>
    <row r="367" spans="1:24">
      <c r="A367" s="22">
        <v>46140</v>
      </c>
      <c r="B367" s="23" t="s">
        <v>34</v>
      </c>
      <c r="C367" s="24">
        <v>170.53371512278488</v>
      </c>
      <c r="D367" s="24">
        <v>219.70267494048949</v>
      </c>
      <c r="E367" s="24">
        <v>226.93875705479033</v>
      </c>
      <c r="F367" s="24">
        <v>478.06053931761306</v>
      </c>
      <c r="G367" s="24">
        <v>288.77490036825293</v>
      </c>
      <c r="H367" s="24">
        <v>321.2508182539521</v>
      </c>
      <c r="I367" s="24">
        <v>222.09120416675145</v>
      </c>
      <c r="J367" s="24">
        <v>275.55042705133155</v>
      </c>
      <c r="K367" s="24">
        <v>434.73554800512704</v>
      </c>
      <c r="L367" s="24">
        <v>241.48141571890704</v>
      </c>
      <c r="M367" s="24">
        <v>1064.8800000000001</v>
      </c>
      <c r="N367" s="25">
        <v>3944</v>
      </c>
      <c r="O367" s="24">
        <v>135</v>
      </c>
      <c r="P367" s="24">
        <v>2</v>
      </c>
      <c r="Q367" s="24">
        <v>486</v>
      </c>
      <c r="R367" s="24">
        <v>683</v>
      </c>
      <c r="S367" s="24">
        <v>288</v>
      </c>
      <c r="T367" s="24">
        <v>986</v>
      </c>
      <c r="U367" s="24">
        <v>84</v>
      </c>
      <c r="V367" s="24">
        <v>306</v>
      </c>
      <c r="W367" s="24">
        <v>900</v>
      </c>
      <c r="X367" s="24">
        <v>74</v>
      </c>
    </row>
    <row r="368" spans="1:24">
      <c r="A368" s="22">
        <v>46141</v>
      </c>
      <c r="B368" s="23" t="s">
        <v>34</v>
      </c>
      <c r="C368" s="24">
        <v>157.73503873425943</v>
      </c>
      <c r="D368" s="24">
        <v>203.21383321067589</v>
      </c>
      <c r="E368" s="24">
        <v>209.90684222512047</v>
      </c>
      <c r="F368" s="24">
        <v>442.18175644793416</v>
      </c>
      <c r="G368" s="24">
        <v>267.10213908300881</v>
      </c>
      <c r="H368" s="24">
        <v>297.14071627546076</v>
      </c>
      <c r="I368" s="24">
        <v>205.42310162279648</v>
      </c>
      <c r="J368" s="24">
        <v>254.8701718770937</v>
      </c>
      <c r="K368" s="24">
        <v>402.10833649155768</v>
      </c>
      <c r="L368" s="24">
        <v>223.35806403209253</v>
      </c>
      <c r="M368" s="24">
        <v>984.96</v>
      </c>
      <c r="N368" s="25">
        <v>3648</v>
      </c>
      <c r="O368" s="24">
        <v>135</v>
      </c>
      <c r="P368" s="24">
        <v>2</v>
      </c>
      <c r="Q368" s="24">
        <v>486</v>
      </c>
      <c r="R368" s="24">
        <v>683</v>
      </c>
      <c r="S368" s="24">
        <v>288</v>
      </c>
      <c r="T368" s="24">
        <v>693</v>
      </c>
      <c r="U368" s="24">
        <v>84</v>
      </c>
      <c r="V368" s="24">
        <v>306</v>
      </c>
      <c r="W368" s="24">
        <v>897</v>
      </c>
      <c r="X368" s="24">
        <v>74</v>
      </c>
    </row>
    <row r="369" spans="1:24">
      <c r="A369" s="22">
        <v>46142</v>
      </c>
      <c r="B369" s="23" t="s">
        <v>34</v>
      </c>
      <c r="C369" s="24">
        <v>160.02669362815081</v>
      </c>
      <c r="D369" s="24">
        <v>206.16622716905468</v>
      </c>
      <c r="E369" s="24">
        <v>212.95647562367623</v>
      </c>
      <c r="F369" s="24">
        <v>448.60599797527533</v>
      </c>
      <c r="G369" s="24">
        <v>270.98273485367753</v>
      </c>
      <c r="H369" s="24">
        <v>301.45772777836629</v>
      </c>
      <c r="I369" s="24">
        <v>208.40759295668033</v>
      </c>
      <c r="J369" s="24">
        <v>258.5730554049133</v>
      </c>
      <c r="K369" s="24">
        <v>407.95037098554138</v>
      </c>
      <c r="L369" s="24">
        <v>226.60312362466405</v>
      </c>
      <c r="M369" s="24">
        <v>999.27000000000044</v>
      </c>
      <c r="N369" s="25">
        <v>3701</v>
      </c>
      <c r="O369" s="24">
        <v>143</v>
      </c>
      <c r="P369" s="24">
        <v>2</v>
      </c>
      <c r="Q369" s="24">
        <v>486</v>
      </c>
      <c r="R369" s="24">
        <v>685</v>
      </c>
      <c r="S369" s="24">
        <v>295</v>
      </c>
      <c r="T369" s="24">
        <v>693</v>
      </c>
      <c r="U369" s="24">
        <v>89</v>
      </c>
      <c r="V369" s="24">
        <v>306</v>
      </c>
      <c r="W369" s="24">
        <v>919</v>
      </c>
      <c r="X369" s="24">
        <v>83</v>
      </c>
    </row>
    <row r="370" spans="1:24">
      <c r="A370" s="22">
        <v>46143</v>
      </c>
      <c r="B370" s="23" t="s">
        <v>34</v>
      </c>
      <c r="C370" s="24">
        <v>273.21812999999997</v>
      </c>
      <c r="D370" s="24">
        <v>347.09255999999993</v>
      </c>
      <c r="E370" s="24">
        <v>325.98558000000003</v>
      </c>
      <c r="F370" s="24">
        <v>816.13655999999992</v>
      </c>
      <c r="G370" s="24">
        <v>566.37062999999989</v>
      </c>
      <c r="H370" s="24">
        <v>590.99543999999992</v>
      </c>
      <c r="I370" s="24">
        <v>344.74733999999995</v>
      </c>
      <c r="J370" s="24">
        <v>425.65742999999998</v>
      </c>
      <c r="K370" s="24">
        <v>593.34065999999996</v>
      </c>
      <c r="L370" s="24">
        <v>406.89566999999994</v>
      </c>
      <c r="M370" s="24">
        <v>763.5600000000004</v>
      </c>
      <c r="N370" s="25">
        <v>5454</v>
      </c>
      <c r="O370" s="29">
        <v>306</v>
      </c>
      <c r="P370" s="29">
        <v>2</v>
      </c>
      <c r="Q370" s="29">
        <v>796</v>
      </c>
      <c r="R370" s="29">
        <v>769</v>
      </c>
      <c r="S370" s="29">
        <v>550</v>
      </c>
      <c r="T370" s="29">
        <v>600</v>
      </c>
      <c r="U370" s="29">
        <v>688</v>
      </c>
      <c r="V370" s="29">
        <v>644</v>
      </c>
      <c r="W370" s="29">
        <v>1099</v>
      </c>
      <c r="X370" s="29">
        <v>0</v>
      </c>
    </row>
    <row r="371" spans="1:24">
      <c r="A371" s="22">
        <v>46144</v>
      </c>
      <c r="B371" s="23" t="s">
        <v>34</v>
      </c>
      <c r="C371" s="24">
        <v>268.35891499999997</v>
      </c>
      <c r="D371" s="24">
        <v>340.91947999999996</v>
      </c>
      <c r="E371" s="24">
        <v>320.18788999999998</v>
      </c>
      <c r="F371" s="24">
        <v>801.62147999999991</v>
      </c>
      <c r="G371" s="24">
        <v>556.29766499999994</v>
      </c>
      <c r="H371" s="24">
        <v>580.48451999999997</v>
      </c>
      <c r="I371" s="24">
        <v>338.61596999999995</v>
      </c>
      <c r="J371" s="24">
        <v>418.08706499999994</v>
      </c>
      <c r="K371" s="24">
        <v>582.78802999999994</v>
      </c>
      <c r="L371" s="24">
        <v>399.65898499999992</v>
      </c>
      <c r="M371" s="24">
        <v>749.98000000000047</v>
      </c>
      <c r="N371" s="25">
        <v>5357</v>
      </c>
      <c r="O371" s="29">
        <v>306</v>
      </c>
      <c r="P371" s="29">
        <v>2</v>
      </c>
      <c r="Q371" s="29">
        <v>796</v>
      </c>
      <c r="R371" s="29">
        <v>769</v>
      </c>
      <c r="S371" s="29">
        <v>500</v>
      </c>
      <c r="T371" s="29">
        <v>600</v>
      </c>
      <c r="U371" s="29">
        <v>687</v>
      </c>
      <c r="V371" s="29">
        <v>644</v>
      </c>
      <c r="W371" s="29">
        <v>1053</v>
      </c>
      <c r="X371" s="29">
        <v>0</v>
      </c>
    </row>
    <row r="372" spans="1:24">
      <c r="A372" s="22">
        <v>46145</v>
      </c>
      <c r="B372" s="23" t="s">
        <v>34</v>
      </c>
      <c r="C372" s="24">
        <v>268.85986500000001</v>
      </c>
      <c r="D372" s="24">
        <v>341.55588</v>
      </c>
      <c r="E372" s="24">
        <v>320.78559000000001</v>
      </c>
      <c r="F372" s="24">
        <v>803.1178799999999</v>
      </c>
      <c r="G372" s="24">
        <v>557.33611499999995</v>
      </c>
      <c r="H372" s="24">
        <v>581.56812000000002</v>
      </c>
      <c r="I372" s="24">
        <v>339.24806999999998</v>
      </c>
      <c r="J372" s="24">
        <v>418.86751499999997</v>
      </c>
      <c r="K372" s="24">
        <v>583.87593000000004</v>
      </c>
      <c r="L372" s="24">
        <v>400.40503499999994</v>
      </c>
      <c r="M372" s="24">
        <v>751.38000000000011</v>
      </c>
      <c r="N372" s="25">
        <v>5367</v>
      </c>
      <c r="O372" s="29">
        <v>306</v>
      </c>
      <c r="P372" s="29">
        <v>2</v>
      </c>
      <c r="Q372" s="29">
        <v>796</v>
      </c>
      <c r="R372" s="29">
        <v>769</v>
      </c>
      <c r="S372" s="29">
        <v>500</v>
      </c>
      <c r="T372" s="29">
        <v>600</v>
      </c>
      <c r="U372" s="29">
        <v>680</v>
      </c>
      <c r="V372" s="29">
        <v>644</v>
      </c>
      <c r="W372" s="29">
        <v>1070</v>
      </c>
      <c r="X372" s="29">
        <v>0</v>
      </c>
    </row>
    <row r="373" spans="1:24">
      <c r="A373" s="22">
        <v>46146</v>
      </c>
      <c r="B373" s="23" t="s">
        <v>34</v>
      </c>
      <c r="C373" s="24">
        <v>262.24732500000005</v>
      </c>
      <c r="D373" s="24">
        <v>333.15539999999999</v>
      </c>
      <c r="E373" s="24">
        <v>312.89595000000003</v>
      </c>
      <c r="F373" s="24">
        <v>783.36540000000002</v>
      </c>
      <c r="G373" s="24">
        <v>543.62857500000007</v>
      </c>
      <c r="H373" s="24">
        <v>567.26460000000009</v>
      </c>
      <c r="I373" s="24">
        <v>330.90435000000002</v>
      </c>
      <c r="J373" s="24">
        <v>408.56557500000002</v>
      </c>
      <c r="K373" s="24">
        <v>569.51565000000005</v>
      </c>
      <c r="L373" s="24">
        <v>390.55717500000003</v>
      </c>
      <c r="M373" s="24">
        <v>732.89999999999964</v>
      </c>
      <c r="N373" s="25">
        <v>5235</v>
      </c>
      <c r="O373" s="29">
        <v>306</v>
      </c>
      <c r="P373" s="29">
        <v>2</v>
      </c>
      <c r="Q373" s="29">
        <v>796</v>
      </c>
      <c r="R373" s="29">
        <v>769</v>
      </c>
      <c r="S373" s="29">
        <v>500</v>
      </c>
      <c r="T373" s="29">
        <v>600</v>
      </c>
      <c r="U373" s="29">
        <v>572</v>
      </c>
      <c r="V373" s="29">
        <v>644</v>
      </c>
      <c r="W373" s="29">
        <v>1046</v>
      </c>
      <c r="X373" s="29">
        <v>0</v>
      </c>
    </row>
    <row r="374" spans="1:24">
      <c r="A374" s="22">
        <v>46147</v>
      </c>
      <c r="B374" s="23" t="s">
        <v>34</v>
      </c>
      <c r="C374" s="24">
        <v>247.51939500000003</v>
      </c>
      <c r="D374" s="24">
        <v>314.44524000000001</v>
      </c>
      <c r="E374" s="24">
        <v>295.32357000000002</v>
      </c>
      <c r="F374" s="24">
        <v>739.37123999999994</v>
      </c>
      <c r="G374" s="24">
        <v>513.09814500000005</v>
      </c>
      <c r="H374" s="24">
        <v>535.40676000000008</v>
      </c>
      <c r="I374" s="24">
        <v>312.32060999999999</v>
      </c>
      <c r="J374" s="24">
        <v>385.62034499999999</v>
      </c>
      <c r="K374" s="24">
        <v>537.53138999999999</v>
      </c>
      <c r="L374" s="24">
        <v>368.62330500000002</v>
      </c>
      <c r="M374" s="24">
        <v>691.74000000000069</v>
      </c>
      <c r="N374" s="25">
        <v>4941</v>
      </c>
      <c r="O374" s="29">
        <v>306</v>
      </c>
      <c r="P374" s="29">
        <v>2</v>
      </c>
      <c r="Q374" s="29">
        <v>796</v>
      </c>
      <c r="R374" s="29">
        <v>769</v>
      </c>
      <c r="S374" s="29">
        <v>500</v>
      </c>
      <c r="T374" s="29">
        <v>600</v>
      </c>
      <c r="U374" s="29">
        <v>348</v>
      </c>
      <c r="V374" s="29">
        <v>644</v>
      </c>
      <c r="W374" s="29">
        <v>976</v>
      </c>
      <c r="X374" s="29">
        <v>0</v>
      </c>
    </row>
    <row r="375" spans="1:24">
      <c r="A375" s="22">
        <v>46148</v>
      </c>
      <c r="B375" s="23" t="s">
        <v>34</v>
      </c>
      <c r="C375" s="24">
        <v>204.33750500000002</v>
      </c>
      <c r="D375" s="24">
        <v>259.58756</v>
      </c>
      <c r="E375" s="24">
        <v>243.80183000000002</v>
      </c>
      <c r="F375" s="24">
        <v>610.38155999999992</v>
      </c>
      <c r="G375" s="24">
        <v>423.583755</v>
      </c>
      <c r="H375" s="24">
        <v>442.00044000000003</v>
      </c>
      <c r="I375" s="24">
        <v>257.83359000000002</v>
      </c>
      <c r="J375" s="24">
        <v>318.34555499999999</v>
      </c>
      <c r="K375" s="24">
        <v>443.75441000000001</v>
      </c>
      <c r="L375" s="24">
        <v>304.31379499999997</v>
      </c>
      <c r="M375" s="24">
        <v>571.05999999999995</v>
      </c>
      <c r="N375" s="25">
        <v>4079</v>
      </c>
      <c r="O375" s="29">
        <v>156</v>
      </c>
      <c r="P375" s="29">
        <v>1</v>
      </c>
      <c r="Q375" s="29">
        <v>530</v>
      </c>
      <c r="R375" s="29">
        <v>769</v>
      </c>
      <c r="S375" s="29">
        <v>350</v>
      </c>
      <c r="T375" s="29">
        <v>600</v>
      </c>
      <c r="U375" s="29">
        <v>21</v>
      </c>
      <c r="V375" s="29">
        <v>644</v>
      </c>
      <c r="W375" s="29">
        <v>924</v>
      </c>
      <c r="X375" s="29">
        <v>84</v>
      </c>
    </row>
    <row r="376" spans="1:24">
      <c r="A376" s="22">
        <v>46149</v>
      </c>
      <c r="B376" s="23" t="s">
        <v>34</v>
      </c>
      <c r="C376" s="24">
        <v>204.48779000000002</v>
      </c>
      <c r="D376" s="24">
        <v>259.77848</v>
      </c>
      <c r="E376" s="24">
        <v>243.98114000000001</v>
      </c>
      <c r="F376" s="24">
        <v>610.83047999999997</v>
      </c>
      <c r="G376" s="24">
        <v>423.89528999999999</v>
      </c>
      <c r="H376" s="24">
        <v>442.32551999999998</v>
      </c>
      <c r="I376" s="24">
        <v>258.02321999999998</v>
      </c>
      <c r="J376" s="24">
        <v>318.57968999999997</v>
      </c>
      <c r="K376" s="24">
        <v>444.08078</v>
      </c>
      <c r="L376" s="24">
        <v>304.53760999999997</v>
      </c>
      <c r="M376" s="24">
        <v>571.48</v>
      </c>
      <c r="N376" s="25">
        <v>4082</v>
      </c>
      <c r="O376" s="29">
        <v>156</v>
      </c>
      <c r="P376" s="29">
        <v>1</v>
      </c>
      <c r="Q376" s="29">
        <v>530</v>
      </c>
      <c r="R376" s="29">
        <v>769</v>
      </c>
      <c r="S376" s="29">
        <v>350</v>
      </c>
      <c r="T376" s="29">
        <v>650</v>
      </c>
      <c r="U376" s="29">
        <v>0</v>
      </c>
      <c r="V376" s="29">
        <v>644</v>
      </c>
      <c r="W376" s="29">
        <v>898</v>
      </c>
      <c r="X376" s="29">
        <v>84</v>
      </c>
    </row>
    <row r="377" spans="1:24">
      <c r="A377" s="22">
        <v>46150</v>
      </c>
      <c r="B377" s="23" t="s">
        <v>34</v>
      </c>
      <c r="C377" s="24">
        <v>206.641875</v>
      </c>
      <c r="D377" s="24">
        <v>262.51499999999999</v>
      </c>
      <c r="E377" s="24">
        <v>246.55125000000001</v>
      </c>
      <c r="F377" s="24">
        <v>617.26499999999999</v>
      </c>
      <c r="G377" s="24">
        <v>428.36062499999997</v>
      </c>
      <c r="H377" s="24">
        <v>446.98500000000001</v>
      </c>
      <c r="I377" s="24">
        <v>260.74124999999998</v>
      </c>
      <c r="J377" s="24">
        <v>321.93562500000002</v>
      </c>
      <c r="K377" s="24">
        <v>448.75875000000002</v>
      </c>
      <c r="L377" s="24">
        <v>307.74562499999996</v>
      </c>
      <c r="M377" s="24">
        <v>577.5</v>
      </c>
      <c r="N377" s="25">
        <v>4125</v>
      </c>
      <c r="O377" s="29">
        <v>156</v>
      </c>
      <c r="P377" s="29">
        <v>1</v>
      </c>
      <c r="Q377" s="29">
        <v>530</v>
      </c>
      <c r="R377" s="29">
        <v>769</v>
      </c>
      <c r="S377" s="29">
        <v>412</v>
      </c>
      <c r="T377" s="29">
        <v>650</v>
      </c>
      <c r="U377" s="29">
        <v>0</v>
      </c>
      <c r="V377" s="29">
        <v>644</v>
      </c>
      <c r="W377" s="29">
        <v>879</v>
      </c>
      <c r="X377" s="29">
        <v>84</v>
      </c>
    </row>
    <row r="378" spans="1:24">
      <c r="A378" s="22">
        <v>46151</v>
      </c>
      <c r="B378" s="23" t="s">
        <v>34</v>
      </c>
      <c r="C378" s="24">
        <v>212.80356</v>
      </c>
      <c r="D378" s="24">
        <v>270.34271999999999</v>
      </c>
      <c r="E378" s="24">
        <v>253.90296000000001</v>
      </c>
      <c r="F378" s="24">
        <v>635.67071999999996</v>
      </c>
      <c r="G378" s="24">
        <v>441.13355999999993</v>
      </c>
      <c r="H378" s="24">
        <v>460.31327999999996</v>
      </c>
      <c r="I378" s="24">
        <v>268.51607999999999</v>
      </c>
      <c r="J378" s="24">
        <v>331.53515999999996</v>
      </c>
      <c r="K378" s="24">
        <v>462.13991999999996</v>
      </c>
      <c r="L378" s="24">
        <v>316.92203999999998</v>
      </c>
      <c r="M378" s="24">
        <v>594.72000000000025</v>
      </c>
      <c r="N378" s="25">
        <v>4248</v>
      </c>
      <c r="O378" s="29">
        <v>156</v>
      </c>
      <c r="P378" s="29">
        <v>1</v>
      </c>
      <c r="Q378" s="29">
        <v>530</v>
      </c>
      <c r="R378" s="29">
        <v>769</v>
      </c>
      <c r="S378" s="29">
        <v>456</v>
      </c>
      <c r="T378" s="29">
        <v>650</v>
      </c>
      <c r="U378" s="29">
        <v>22</v>
      </c>
      <c r="V378" s="29">
        <v>644</v>
      </c>
      <c r="W378" s="29">
        <v>936</v>
      </c>
      <c r="X378" s="29">
        <v>84</v>
      </c>
    </row>
    <row r="379" spans="1:24">
      <c r="A379" s="22">
        <v>46152</v>
      </c>
      <c r="B379" s="23" t="s">
        <v>34</v>
      </c>
      <c r="C379" s="24">
        <v>225.47759500000001</v>
      </c>
      <c r="D379" s="24">
        <v>286.44364000000002</v>
      </c>
      <c r="E379" s="24">
        <v>269.02477000000005</v>
      </c>
      <c r="F379" s="24">
        <v>673.52963999999997</v>
      </c>
      <c r="G379" s="24">
        <v>467.40634499999999</v>
      </c>
      <c r="H379" s="24">
        <v>487.72836000000001</v>
      </c>
      <c r="I379" s="24">
        <v>284.50821000000002</v>
      </c>
      <c r="J379" s="24">
        <v>351.28054500000002</v>
      </c>
      <c r="K379" s="24">
        <v>489.66379000000001</v>
      </c>
      <c r="L379" s="24">
        <v>335.79710499999999</v>
      </c>
      <c r="M379" s="24">
        <v>630.13999999999987</v>
      </c>
      <c r="N379" s="25">
        <v>4501</v>
      </c>
      <c r="O379" s="29">
        <v>225</v>
      </c>
      <c r="P379" s="29">
        <v>1</v>
      </c>
      <c r="Q379" s="29">
        <v>796</v>
      </c>
      <c r="R379" s="29">
        <v>769</v>
      </c>
      <c r="S379" s="29">
        <v>456</v>
      </c>
      <c r="T379" s="29">
        <v>650</v>
      </c>
      <c r="U379" s="29">
        <v>22</v>
      </c>
      <c r="V379" s="29">
        <v>644</v>
      </c>
      <c r="W379" s="29">
        <v>938</v>
      </c>
      <c r="X379" s="29">
        <v>0</v>
      </c>
    </row>
    <row r="380" spans="1:24">
      <c r="A380" s="22">
        <v>46153</v>
      </c>
      <c r="B380" s="23" t="s">
        <v>34</v>
      </c>
      <c r="C380" s="24">
        <v>212.55308500000001</v>
      </c>
      <c r="D380" s="24">
        <v>270.02452</v>
      </c>
      <c r="E380" s="24">
        <v>253.60411000000002</v>
      </c>
      <c r="F380" s="24">
        <v>634.92251999999996</v>
      </c>
      <c r="G380" s="24">
        <v>440.61433499999998</v>
      </c>
      <c r="H380" s="24">
        <v>459.77148</v>
      </c>
      <c r="I380" s="24">
        <v>268.20002999999997</v>
      </c>
      <c r="J380" s="24">
        <v>331.14493499999998</v>
      </c>
      <c r="K380" s="24">
        <v>461.59597000000002</v>
      </c>
      <c r="L380" s="24">
        <v>316.549015</v>
      </c>
      <c r="M380" s="24">
        <v>594.02000000000044</v>
      </c>
      <c r="N380" s="25">
        <v>4243</v>
      </c>
      <c r="O380" s="29">
        <v>155</v>
      </c>
      <c r="P380" s="29">
        <v>1</v>
      </c>
      <c r="Q380" s="29">
        <v>530</v>
      </c>
      <c r="R380" s="29">
        <v>769</v>
      </c>
      <c r="S380" s="29">
        <v>456</v>
      </c>
      <c r="T380" s="29">
        <v>650</v>
      </c>
      <c r="U380" s="29">
        <v>15</v>
      </c>
      <c r="V380" s="29">
        <v>644</v>
      </c>
      <c r="W380" s="29">
        <v>939</v>
      </c>
      <c r="X380" s="29">
        <v>84</v>
      </c>
    </row>
    <row r="381" spans="1:24">
      <c r="A381" s="22">
        <v>46154</v>
      </c>
      <c r="B381" s="23" t="s">
        <v>34</v>
      </c>
      <c r="C381" s="24">
        <v>209.74776500000002</v>
      </c>
      <c r="D381" s="24">
        <v>266.46068000000002</v>
      </c>
      <c r="E381" s="24">
        <v>250.25699000000003</v>
      </c>
      <c r="F381" s="24">
        <v>626.54268000000002</v>
      </c>
      <c r="G381" s="24">
        <v>434.799015</v>
      </c>
      <c r="H381" s="24">
        <v>453.70332000000002</v>
      </c>
      <c r="I381" s="24">
        <v>264.66027000000003</v>
      </c>
      <c r="J381" s="24">
        <v>326.77441500000003</v>
      </c>
      <c r="K381" s="24">
        <v>455.50373000000002</v>
      </c>
      <c r="L381" s="24">
        <v>312.37113499999998</v>
      </c>
      <c r="M381" s="24">
        <v>586.18000000000029</v>
      </c>
      <c r="N381" s="25">
        <v>4187</v>
      </c>
      <c r="O381" s="29">
        <v>155</v>
      </c>
      <c r="P381" s="29">
        <v>1</v>
      </c>
      <c r="Q381" s="29">
        <v>530</v>
      </c>
      <c r="R381" s="29">
        <v>769</v>
      </c>
      <c r="S381" s="29">
        <v>456</v>
      </c>
      <c r="T381" s="29">
        <v>650</v>
      </c>
      <c r="U381" s="29">
        <v>0</v>
      </c>
      <c r="V381" s="29">
        <v>644</v>
      </c>
      <c r="W381" s="29">
        <v>898</v>
      </c>
      <c r="X381" s="29">
        <v>84</v>
      </c>
    </row>
    <row r="382" spans="1:24">
      <c r="A382" s="22">
        <v>46155</v>
      </c>
      <c r="B382" s="23" t="s">
        <v>34</v>
      </c>
      <c r="C382" s="24">
        <v>214.85745500000002</v>
      </c>
      <c r="D382" s="24">
        <v>272.95195999999999</v>
      </c>
      <c r="E382" s="24">
        <v>256.35353000000003</v>
      </c>
      <c r="F382" s="24">
        <v>641.80595999999991</v>
      </c>
      <c r="G382" s="24">
        <v>445.39120499999996</v>
      </c>
      <c r="H382" s="24">
        <v>464.75603999999998</v>
      </c>
      <c r="I382" s="24">
        <v>271.10768999999999</v>
      </c>
      <c r="J382" s="24">
        <v>334.735005</v>
      </c>
      <c r="K382" s="24">
        <v>466.60030999999998</v>
      </c>
      <c r="L382" s="24">
        <v>319.98084499999999</v>
      </c>
      <c r="M382" s="24">
        <v>600.46000000000049</v>
      </c>
      <c r="N382" s="25">
        <v>4289</v>
      </c>
      <c r="O382" s="29">
        <v>155</v>
      </c>
      <c r="P382" s="29">
        <v>1</v>
      </c>
      <c r="Q382" s="29">
        <v>530</v>
      </c>
      <c r="R382" s="29">
        <v>769</v>
      </c>
      <c r="S382" s="29">
        <v>456</v>
      </c>
      <c r="T382" s="29">
        <v>750</v>
      </c>
      <c r="U382" s="29">
        <v>0</v>
      </c>
      <c r="V382" s="29">
        <v>644</v>
      </c>
      <c r="W382" s="29">
        <v>900</v>
      </c>
      <c r="X382" s="29">
        <v>84</v>
      </c>
    </row>
    <row r="383" spans="1:24">
      <c r="A383" s="22">
        <v>46156</v>
      </c>
      <c r="B383" s="23" t="s">
        <v>34</v>
      </c>
      <c r="C383" s="24">
        <v>217.71287000000001</v>
      </c>
      <c r="D383" s="24">
        <v>276.57943999999998</v>
      </c>
      <c r="E383" s="24">
        <v>259.76042000000001</v>
      </c>
      <c r="F383" s="24">
        <v>650.33543999999995</v>
      </c>
      <c r="G383" s="24">
        <v>451.31036999999998</v>
      </c>
      <c r="H383" s="24">
        <v>470.93256000000002</v>
      </c>
      <c r="I383" s="24">
        <v>274.71065999999996</v>
      </c>
      <c r="J383" s="24">
        <v>339.18356999999997</v>
      </c>
      <c r="K383" s="24">
        <v>472.80133999999998</v>
      </c>
      <c r="L383" s="24">
        <v>324.23332999999997</v>
      </c>
      <c r="M383" s="24">
        <v>608.4399999999996</v>
      </c>
      <c r="N383" s="25">
        <v>4346</v>
      </c>
      <c r="O383" s="29">
        <v>155</v>
      </c>
      <c r="P383" s="29">
        <v>1</v>
      </c>
      <c r="Q383" s="29">
        <v>530</v>
      </c>
      <c r="R383" s="29">
        <v>769</v>
      </c>
      <c r="S383" s="29">
        <v>456</v>
      </c>
      <c r="T383" s="29">
        <v>750</v>
      </c>
      <c r="U383" s="29">
        <v>29</v>
      </c>
      <c r="V383" s="29">
        <v>644</v>
      </c>
      <c r="W383" s="29">
        <v>929</v>
      </c>
      <c r="X383" s="29">
        <v>83</v>
      </c>
    </row>
    <row r="384" spans="1:24">
      <c r="A384" s="22">
        <v>46157</v>
      </c>
      <c r="B384" s="23" t="s">
        <v>34</v>
      </c>
      <c r="C384" s="24">
        <v>219.21572000000003</v>
      </c>
      <c r="D384" s="24">
        <v>278.48863999999998</v>
      </c>
      <c r="E384" s="24">
        <v>261.55352000000005</v>
      </c>
      <c r="F384" s="24">
        <v>654.82463999999993</v>
      </c>
      <c r="G384" s="24">
        <v>454.42572000000001</v>
      </c>
      <c r="H384" s="24">
        <v>474.18335999999999</v>
      </c>
      <c r="I384" s="24">
        <v>276.60696000000002</v>
      </c>
      <c r="J384" s="24">
        <v>341.52492000000001</v>
      </c>
      <c r="K384" s="24">
        <v>476.06504000000001</v>
      </c>
      <c r="L384" s="24">
        <v>326.47147999999999</v>
      </c>
      <c r="M384" s="24">
        <v>612.63999999999987</v>
      </c>
      <c r="N384" s="25">
        <v>4376</v>
      </c>
      <c r="O384" s="29">
        <v>155</v>
      </c>
      <c r="P384" s="29">
        <v>1</v>
      </c>
      <c r="Q384" s="29">
        <v>530</v>
      </c>
      <c r="R384" s="29">
        <v>769</v>
      </c>
      <c r="S384" s="29">
        <v>456</v>
      </c>
      <c r="T384" s="29">
        <v>750</v>
      </c>
      <c r="U384" s="29">
        <v>38</v>
      </c>
      <c r="V384" s="29">
        <v>644</v>
      </c>
      <c r="W384" s="29">
        <v>950</v>
      </c>
      <c r="X384" s="29">
        <v>83</v>
      </c>
    </row>
    <row r="385" spans="1:24">
      <c r="A385" s="22">
        <v>46158</v>
      </c>
      <c r="B385" s="23" t="s">
        <v>34</v>
      </c>
      <c r="C385" s="24">
        <v>238.25182000000001</v>
      </c>
      <c r="D385" s="24">
        <v>302.67183999999997</v>
      </c>
      <c r="E385" s="24">
        <v>284.26612</v>
      </c>
      <c r="F385" s="24">
        <v>711.68783999999994</v>
      </c>
      <c r="G385" s="24">
        <v>493.88681999999994</v>
      </c>
      <c r="H385" s="24">
        <v>515.36015999999995</v>
      </c>
      <c r="I385" s="24">
        <v>300.62675999999999</v>
      </c>
      <c r="J385" s="24">
        <v>371.18201999999997</v>
      </c>
      <c r="K385" s="24">
        <v>517.40523999999994</v>
      </c>
      <c r="L385" s="24">
        <v>354.82137999999998</v>
      </c>
      <c r="M385" s="24">
        <v>665.8400000000006</v>
      </c>
      <c r="N385" s="25">
        <v>4756</v>
      </c>
      <c r="O385" s="29">
        <v>225</v>
      </c>
      <c r="P385" s="29">
        <v>1</v>
      </c>
      <c r="Q385" s="29">
        <v>796</v>
      </c>
      <c r="R385" s="29">
        <v>769</v>
      </c>
      <c r="S385" s="29">
        <v>456</v>
      </c>
      <c r="T385" s="29">
        <v>750</v>
      </c>
      <c r="U385" s="29">
        <v>58</v>
      </c>
      <c r="V385" s="29">
        <v>644</v>
      </c>
      <c r="W385" s="29">
        <v>1057</v>
      </c>
      <c r="X385" s="29">
        <v>0</v>
      </c>
    </row>
    <row r="386" spans="1:24">
      <c r="A386" s="22">
        <v>46159</v>
      </c>
      <c r="B386" s="23" t="s">
        <v>34</v>
      </c>
      <c r="C386" s="24">
        <v>241.65828000000002</v>
      </c>
      <c r="D386" s="24">
        <v>306.99936000000002</v>
      </c>
      <c r="E386" s="24">
        <v>288.33048000000002</v>
      </c>
      <c r="F386" s="24">
        <v>721.86336000000006</v>
      </c>
      <c r="G386" s="24">
        <v>500.94828000000001</v>
      </c>
      <c r="H386" s="24">
        <v>522.72864000000004</v>
      </c>
      <c r="I386" s="24">
        <v>304.92504000000002</v>
      </c>
      <c r="J386" s="24">
        <v>376.48908</v>
      </c>
      <c r="K386" s="24">
        <v>524.8029600000001</v>
      </c>
      <c r="L386" s="24">
        <v>359.89452</v>
      </c>
      <c r="M386" s="24">
        <v>675.35999999999967</v>
      </c>
      <c r="N386" s="25">
        <v>4824</v>
      </c>
      <c r="O386" s="29">
        <v>225</v>
      </c>
      <c r="P386" s="29">
        <v>1</v>
      </c>
      <c r="Q386" s="29">
        <v>796</v>
      </c>
      <c r="R386" s="29">
        <v>769</v>
      </c>
      <c r="S386" s="29">
        <v>456</v>
      </c>
      <c r="T386" s="29">
        <v>750</v>
      </c>
      <c r="U386" s="29">
        <v>58</v>
      </c>
      <c r="V386" s="29">
        <v>644</v>
      </c>
      <c r="W386" s="29">
        <v>1125</v>
      </c>
      <c r="X386" s="29">
        <v>0</v>
      </c>
    </row>
    <row r="387" spans="1:24">
      <c r="A387" s="22">
        <v>46160</v>
      </c>
      <c r="B387" s="23" t="s">
        <v>34</v>
      </c>
      <c r="C387" s="24">
        <v>226.67987500000001</v>
      </c>
      <c r="D387" s="24">
        <v>287.971</v>
      </c>
      <c r="E387" s="24">
        <v>270.45925</v>
      </c>
      <c r="F387" s="24">
        <v>677.12099999999998</v>
      </c>
      <c r="G387" s="24">
        <v>469.89862499999998</v>
      </c>
      <c r="H387" s="24">
        <v>490.32900000000001</v>
      </c>
      <c r="I387" s="24">
        <v>286.02524999999997</v>
      </c>
      <c r="J387" s="24">
        <v>353.15362499999998</v>
      </c>
      <c r="K387" s="24">
        <v>492.27474999999998</v>
      </c>
      <c r="L387" s="24">
        <v>337.587625</v>
      </c>
      <c r="M387" s="24">
        <v>633.49999999999955</v>
      </c>
      <c r="N387" s="25">
        <v>4525</v>
      </c>
      <c r="O387" s="29">
        <v>155</v>
      </c>
      <c r="P387" s="29">
        <v>1</v>
      </c>
      <c r="Q387" s="29">
        <v>530</v>
      </c>
      <c r="R387" s="29">
        <v>769</v>
      </c>
      <c r="S387" s="29">
        <v>456</v>
      </c>
      <c r="T387" s="29">
        <v>750</v>
      </c>
      <c r="U387" s="29">
        <v>35</v>
      </c>
      <c r="V387" s="29">
        <v>644</v>
      </c>
      <c r="W387" s="29">
        <v>1102</v>
      </c>
      <c r="X387" s="29">
        <v>83</v>
      </c>
    </row>
    <row r="388" spans="1:24">
      <c r="A388" s="22">
        <v>46161</v>
      </c>
      <c r="B388" s="23" t="s">
        <v>34</v>
      </c>
      <c r="C388" s="24">
        <v>231.38880500000002</v>
      </c>
      <c r="D388" s="24">
        <v>293.95315999999997</v>
      </c>
      <c r="E388" s="24">
        <v>276.07763000000006</v>
      </c>
      <c r="F388" s="24">
        <v>691.18715999999995</v>
      </c>
      <c r="G388" s="24">
        <v>479.660055</v>
      </c>
      <c r="H388" s="24">
        <v>500.51484000000005</v>
      </c>
      <c r="I388" s="24">
        <v>291.96699000000001</v>
      </c>
      <c r="J388" s="24">
        <v>360.48985499999998</v>
      </c>
      <c r="K388" s="24">
        <v>502.50101000000001</v>
      </c>
      <c r="L388" s="24">
        <v>344.60049499999997</v>
      </c>
      <c r="M388" s="24">
        <v>646.66000000000031</v>
      </c>
      <c r="N388" s="25">
        <v>4619</v>
      </c>
      <c r="O388" s="29">
        <v>155</v>
      </c>
      <c r="P388" s="29">
        <v>1</v>
      </c>
      <c r="Q388" s="29">
        <v>530</v>
      </c>
      <c r="R388" s="29">
        <v>769</v>
      </c>
      <c r="S388" s="29">
        <v>456</v>
      </c>
      <c r="T388" s="29">
        <v>850</v>
      </c>
      <c r="U388" s="29">
        <v>9</v>
      </c>
      <c r="V388" s="29">
        <v>644</v>
      </c>
      <c r="W388" s="29">
        <v>1122</v>
      </c>
      <c r="X388" s="29">
        <v>83</v>
      </c>
    </row>
    <row r="389" spans="1:24">
      <c r="A389" s="22">
        <v>46162</v>
      </c>
      <c r="B389" s="23" t="s">
        <v>34</v>
      </c>
      <c r="C389" s="24">
        <v>231.68937500000001</v>
      </c>
      <c r="D389" s="24">
        <v>294.33499999999998</v>
      </c>
      <c r="E389" s="24">
        <v>276.43625000000003</v>
      </c>
      <c r="F389" s="24">
        <v>692.08499999999992</v>
      </c>
      <c r="G389" s="24">
        <v>480.28312499999998</v>
      </c>
      <c r="H389" s="24">
        <v>501.16500000000002</v>
      </c>
      <c r="I389" s="24">
        <v>292.34625</v>
      </c>
      <c r="J389" s="24">
        <v>360.958125</v>
      </c>
      <c r="K389" s="24">
        <v>503.15375</v>
      </c>
      <c r="L389" s="24">
        <v>345.04812499999997</v>
      </c>
      <c r="M389" s="24">
        <v>647.50000000000045</v>
      </c>
      <c r="N389" s="25">
        <v>4625</v>
      </c>
      <c r="O389" s="29">
        <v>155</v>
      </c>
      <c r="P389" s="29">
        <v>1</v>
      </c>
      <c r="Q389" s="29">
        <v>530</v>
      </c>
      <c r="R389" s="29">
        <v>769</v>
      </c>
      <c r="S389" s="29">
        <v>456</v>
      </c>
      <c r="T389" s="29">
        <v>850</v>
      </c>
      <c r="U389" s="29">
        <v>0</v>
      </c>
      <c r="V389" s="29">
        <v>644</v>
      </c>
      <c r="W389" s="29">
        <v>1137</v>
      </c>
      <c r="X389" s="29">
        <v>83</v>
      </c>
    </row>
    <row r="390" spans="1:24">
      <c r="A390" s="22">
        <v>46163</v>
      </c>
      <c r="B390" s="23" t="s">
        <v>34</v>
      </c>
      <c r="C390" s="24">
        <v>233.64308</v>
      </c>
      <c r="D390" s="24">
        <v>296.81695999999999</v>
      </c>
      <c r="E390" s="24">
        <v>278.76728000000003</v>
      </c>
      <c r="F390" s="24">
        <v>697.92095999999992</v>
      </c>
      <c r="G390" s="24">
        <v>484.33308</v>
      </c>
      <c r="H390" s="24">
        <v>505.39103999999998</v>
      </c>
      <c r="I390" s="24">
        <v>294.81144</v>
      </c>
      <c r="J390" s="24">
        <v>364.00187999999997</v>
      </c>
      <c r="K390" s="24">
        <v>507.39656000000002</v>
      </c>
      <c r="L390" s="24">
        <v>347.95771999999999</v>
      </c>
      <c r="M390" s="24">
        <v>652.96000000000049</v>
      </c>
      <c r="N390" s="25">
        <v>4664</v>
      </c>
      <c r="O390" s="29">
        <v>155</v>
      </c>
      <c r="P390" s="29">
        <v>1</v>
      </c>
      <c r="Q390" s="29">
        <v>530</v>
      </c>
      <c r="R390" s="29">
        <v>769</v>
      </c>
      <c r="S390" s="29">
        <v>456</v>
      </c>
      <c r="T390" s="29">
        <v>850</v>
      </c>
      <c r="U390" s="29">
        <v>0</v>
      </c>
      <c r="V390" s="29">
        <v>644</v>
      </c>
      <c r="W390" s="29">
        <v>1176</v>
      </c>
      <c r="X390" s="29">
        <v>83</v>
      </c>
    </row>
    <row r="391" spans="1:24">
      <c r="A391" s="22">
        <v>46164</v>
      </c>
      <c r="B391" s="23" t="s">
        <v>34</v>
      </c>
      <c r="C391" s="24">
        <v>233.94364999999999</v>
      </c>
      <c r="D391" s="24">
        <v>297.19879999999995</v>
      </c>
      <c r="E391" s="24">
        <v>279.1259</v>
      </c>
      <c r="F391" s="24">
        <v>698.8187999999999</v>
      </c>
      <c r="G391" s="24">
        <v>484.95614999999998</v>
      </c>
      <c r="H391" s="24">
        <v>506.0412</v>
      </c>
      <c r="I391" s="24">
        <v>295.19069999999999</v>
      </c>
      <c r="J391" s="24">
        <v>364.47014999999999</v>
      </c>
      <c r="K391" s="24">
        <v>508.04929999999996</v>
      </c>
      <c r="L391" s="24">
        <v>348.40534999999994</v>
      </c>
      <c r="M391" s="24">
        <v>653.79999999999973</v>
      </c>
      <c r="N391" s="25">
        <v>4670</v>
      </c>
      <c r="O391" s="29">
        <v>155</v>
      </c>
      <c r="P391" s="29">
        <v>1</v>
      </c>
      <c r="Q391" s="29">
        <v>530</v>
      </c>
      <c r="R391" s="29">
        <v>769</v>
      </c>
      <c r="S391" s="29">
        <v>456</v>
      </c>
      <c r="T391" s="29">
        <v>850</v>
      </c>
      <c r="U391" s="29">
        <v>5</v>
      </c>
      <c r="V391" s="29">
        <v>644</v>
      </c>
      <c r="W391" s="29">
        <v>1177</v>
      </c>
      <c r="X391" s="29">
        <v>83</v>
      </c>
    </row>
    <row r="392" spans="1:24">
      <c r="A392" s="22">
        <v>46165</v>
      </c>
      <c r="B392" s="23" t="s">
        <v>34</v>
      </c>
      <c r="C392" s="24">
        <v>251.07614000000001</v>
      </c>
      <c r="D392" s="24">
        <v>318.96367999999995</v>
      </c>
      <c r="E392" s="24">
        <v>299.56724000000003</v>
      </c>
      <c r="F392" s="24">
        <v>749.99567999999988</v>
      </c>
      <c r="G392" s="24">
        <v>520.47113999999999</v>
      </c>
      <c r="H392" s="24">
        <v>543.10032000000001</v>
      </c>
      <c r="I392" s="24">
        <v>316.80851999999999</v>
      </c>
      <c r="J392" s="24">
        <v>391.16153999999995</v>
      </c>
      <c r="K392" s="24">
        <v>545.25547999999992</v>
      </c>
      <c r="L392" s="24">
        <v>373.92025999999993</v>
      </c>
      <c r="M392" s="24">
        <v>701.68000000000029</v>
      </c>
      <c r="N392" s="25">
        <v>5012</v>
      </c>
      <c r="O392" s="29">
        <v>225</v>
      </c>
      <c r="P392" s="29">
        <v>1</v>
      </c>
      <c r="Q392" s="29">
        <v>796</v>
      </c>
      <c r="R392" s="29">
        <v>769</v>
      </c>
      <c r="S392" s="29">
        <v>456</v>
      </c>
      <c r="T392" s="29">
        <v>850</v>
      </c>
      <c r="U392" s="29">
        <v>46</v>
      </c>
      <c r="V392" s="29">
        <v>644</v>
      </c>
      <c r="W392" s="29">
        <v>1225</v>
      </c>
      <c r="X392" s="29">
        <v>0</v>
      </c>
    </row>
    <row r="393" spans="1:24">
      <c r="A393" s="22">
        <v>46166</v>
      </c>
      <c r="B393" s="23" t="s">
        <v>34</v>
      </c>
      <c r="C393" s="24">
        <v>251.67728000000002</v>
      </c>
      <c r="D393" s="24">
        <v>319.72736000000003</v>
      </c>
      <c r="E393" s="24">
        <v>300.28448000000003</v>
      </c>
      <c r="F393" s="24">
        <v>751.79136000000005</v>
      </c>
      <c r="G393" s="24">
        <v>521.71728000000007</v>
      </c>
      <c r="H393" s="24">
        <v>544.40064000000007</v>
      </c>
      <c r="I393" s="24">
        <v>317.56704000000002</v>
      </c>
      <c r="J393" s="24">
        <v>392.09808000000004</v>
      </c>
      <c r="K393" s="24">
        <v>546.56096000000002</v>
      </c>
      <c r="L393" s="24">
        <v>374.81551999999999</v>
      </c>
      <c r="M393" s="24">
        <v>703.35999999999967</v>
      </c>
      <c r="N393" s="25">
        <v>5024</v>
      </c>
      <c r="O393" s="29">
        <v>225</v>
      </c>
      <c r="P393" s="29">
        <v>1</v>
      </c>
      <c r="Q393" s="29">
        <v>796</v>
      </c>
      <c r="R393" s="29">
        <v>769</v>
      </c>
      <c r="S393" s="29">
        <v>456</v>
      </c>
      <c r="T393" s="29">
        <v>850</v>
      </c>
      <c r="U393" s="29">
        <v>46</v>
      </c>
      <c r="V393" s="29">
        <v>644</v>
      </c>
      <c r="W393" s="29">
        <v>1237</v>
      </c>
      <c r="X393" s="29">
        <v>0</v>
      </c>
    </row>
    <row r="394" spans="1:24">
      <c r="A394" s="22">
        <v>46167</v>
      </c>
      <c r="B394" s="23" t="s">
        <v>34</v>
      </c>
      <c r="C394" s="24">
        <v>254.18203000000003</v>
      </c>
      <c r="D394" s="24">
        <v>322.90935999999999</v>
      </c>
      <c r="E394" s="24">
        <v>303.27298000000008</v>
      </c>
      <c r="F394" s="24">
        <v>759.27336000000003</v>
      </c>
      <c r="G394" s="24">
        <v>526.90953000000002</v>
      </c>
      <c r="H394" s="24">
        <v>549.81864000000007</v>
      </c>
      <c r="I394" s="24">
        <v>320.72754000000003</v>
      </c>
      <c r="J394" s="24">
        <v>396.00033000000002</v>
      </c>
      <c r="K394" s="24">
        <v>552.00046000000009</v>
      </c>
      <c r="L394" s="24">
        <v>378.54577</v>
      </c>
      <c r="M394" s="24">
        <v>710.35999999999967</v>
      </c>
      <c r="N394" s="25">
        <v>5074</v>
      </c>
      <c r="O394" s="29">
        <v>155</v>
      </c>
      <c r="P394" s="29">
        <v>1</v>
      </c>
      <c r="Q394" s="29">
        <v>530</v>
      </c>
      <c r="R394" s="29">
        <v>769</v>
      </c>
      <c r="S394" s="29">
        <v>456</v>
      </c>
      <c r="T394" s="29">
        <v>1250</v>
      </c>
      <c r="U394" s="29">
        <v>15</v>
      </c>
      <c r="V394" s="29">
        <v>644</v>
      </c>
      <c r="W394" s="29">
        <v>1171</v>
      </c>
      <c r="X394" s="29">
        <v>83</v>
      </c>
    </row>
    <row r="395" spans="1:24">
      <c r="A395" s="22">
        <v>46168</v>
      </c>
      <c r="B395" s="23" t="s">
        <v>34</v>
      </c>
      <c r="C395" s="24">
        <v>252.729275</v>
      </c>
      <c r="D395" s="24">
        <v>321.06379999999996</v>
      </c>
      <c r="E395" s="24">
        <v>301.53964999999999</v>
      </c>
      <c r="F395" s="24">
        <v>754.93379999999991</v>
      </c>
      <c r="G395" s="24">
        <v>523.89802499999996</v>
      </c>
      <c r="H395" s="24">
        <v>546.67619999999999</v>
      </c>
      <c r="I395" s="24">
        <v>318.89444999999995</v>
      </c>
      <c r="J395" s="24">
        <v>393.73702499999996</v>
      </c>
      <c r="K395" s="24">
        <v>548.84555</v>
      </c>
      <c r="L395" s="24">
        <v>376.38222499999995</v>
      </c>
      <c r="M395" s="24">
        <v>706.30000000000018</v>
      </c>
      <c r="N395" s="25">
        <v>5045</v>
      </c>
      <c r="O395" s="29">
        <v>155</v>
      </c>
      <c r="P395" s="29">
        <v>0</v>
      </c>
      <c r="Q395" s="29">
        <v>530</v>
      </c>
      <c r="R395" s="29">
        <v>769</v>
      </c>
      <c r="S395" s="29">
        <v>456</v>
      </c>
      <c r="T395" s="29">
        <v>1250</v>
      </c>
      <c r="U395" s="29">
        <v>0</v>
      </c>
      <c r="V395" s="29">
        <v>644</v>
      </c>
      <c r="W395" s="29">
        <v>1158</v>
      </c>
      <c r="X395" s="29">
        <v>83</v>
      </c>
    </row>
    <row r="396" spans="1:24">
      <c r="A396" s="22">
        <v>46169</v>
      </c>
      <c r="B396" s="23" t="s">
        <v>34</v>
      </c>
      <c r="C396" s="24">
        <v>251.77746999999999</v>
      </c>
      <c r="D396" s="24">
        <v>319.85463999999996</v>
      </c>
      <c r="E396" s="24">
        <v>300.40402</v>
      </c>
      <c r="F396" s="24">
        <v>752.09063999999989</v>
      </c>
      <c r="G396" s="24">
        <v>521.92496999999992</v>
      </c>
      <c r="H396" s="24">
        <v>544.61735999999996</v>
      </c>
      <c r="I396" s="24">
        <v>317.69345999999996</v>
      </c>
      <c r="J396" s="24">
        <v>392.25416999999993</v>
      </c>
      <c r="K396" s="24">
        <v>546.77854000000002</v>
      </c>
      <c r="L396" s="24">
        <v>374.96472999999992</v>
      </c>
      <c r="M396" s="24">
        <v>703.64000000000033</v>
      </c>
      <c r="N396" s="25">
        <v>5026</v>
      </c>
      <c r="O396" s="29">
        <v>155</v>
      </c>
      <c r="P396" s="29">
        <v>0</v>
      </c>
      <c r="Q396" s="29">
        <v>530</v>
      </c>
      <c r="R396" s="29">
        <v>769</v>
      </c>
      <c r="S396" s="29">
        <v>456</v>
      </c>
      <c r="T396" s="29">
        <v>1250</v>
      </c>
      <c r="U396" s="29">
        <v>0</v>
      </c>
      <c r="V396" s="29">
        <v>644</v>
      </c>
      <c r="W396" s="29">
        <v>1139</v>
      </c>
      <c r="X396" s="29">
        <v>83</v>
      </c>
    </row>
    <row r="397" spans="1:24">
      <c r="A397" s="22">
        <v>46170</v>
      </c>
      <c r="B397" s="23" t="s">
        <v>34</v>
      </c>
      <c r="C397" s="24">
        <v>253.53079500000001</v>
      </c>
      <c r="D397" s="24">
        <v>322.08204000000001</v>
      </c>
      <c r="E397" s="24">
        <v>302.49597000000006</v>
      </c>
      <c r="F397" s="24">
        <v>757.32803999999999</v>
      </c>
      <c r="G397" s="24">
        <v>525.55954499999996</v>
      </c>
      <c r="H397" s="24">
        <v>548.40995999999996</v>
      </c>
      <c r="I397" s="24">
        <v>319.90580999999997</v>
      </c>
      <c r="J397" s="24">
        <v>394.98574500000001</v>
      </c>
      <c r="K397" s="24">
        <v>550.58618999999999</v>
      </c>
      <c r="L397" s="24">
        <v>377.57590499999998</v>
      </c>
      <c r="M397" s="24">
        <v>708.54</v>
      </c>
      <c r="N397" s="25">
        <v>5061</v>
      </c>
      <c r="O397" s="29">
        <v>155</v>
      </c>
      <c r="P397" s="29">
        <v>0</v>
      </c>
      <c r="Q397" s="29">
        <v>530</v>
      </c>
      <c r="R397" s="29">
        <v>769</v>
      </c>
      <c r="S397" s="29">
        <v>456</v>
      </c>
      <c r="T397" s="29">
        <v>1250</v>
      </c>
      <c r="U397" s="29">
        <v>0</v>
      </c>
      <c r="V397" s="29">
        <v>644</v>
      </c>
      <c r="W397" s="29">
        <v>1174</v>
      </c>
      <c r="X397" s="29">
        <v>83</v>
      </c>
    </row>
    <row r="398" spans="1:24">
      <c r="A398" s="22">
        <v>46171</v>
      </c>
      <c r="B398" s="23" t="s">
        <v>34</v>
      </c>
      <c r="C398" s="24">
        <v>253.83136500000001</v>
      </c>
      <c r="D398" s="24">
        <v>322.46387999999996</v>
      </c>
      <c r="E398" s="24">
        <v>302.85459000000003</v>
      </c>
      <c r="F398" s="24">
        <v>758.22587999999996</v>
      </c>
      <c r="G398" s="24">
        <v>526.18261499999994</v>
      </c>
      <c r="H398" s="24">
        <v>549.06011999999998</v>
      </c>
      <c r="I398" s="24">
        <v>320.28506999999996</v>
      </c>
      <c r="J398" s="24">
        <v>395.45401499999997</v>
      </c>
      <c r="K398" s="24">
        <v>551.23892999999998</v>
      </c>
      <c r="L398" s="24">
        <v>378.02353499999998</v>
      </c>
      <c r="M398" s="24">
        <v>709.38000000000011</v>
      </c>
      <c r="N398" s="25">
        <v>5067</v>
      </c>
      <c r="O398" s="29">
        <v>155</v>
      </c>
      <c r="P398" s="29">
        <v>0</v>
      </c>
      <c r="Q398" s="29">
        <v>530</v>
      </c>
      <c r="R398" s="29">
        <v>769</v>
      </c>
      <c r="S398" s="29">
        <v>456</v>
      </c>
      <c r="T398" s="29">
        <v>1250</v>
      </c>
      <c r="U398" s="29">
        <v>0</v>
      </c>
      <c r="V398" s="29">
        <v>644</v>
      </c>
      <c r="W398" s="29">
        <v>1180</v>
      </c>
      <c r="X398" s="29">
        <v>83</v>
      </c>
    </row>
    <row r="399" spans="1:24">
      <c r="A399" s="22">
        <v>46172</v>
      </c>
      <c r="B399" s="23" t="s">
        <v>34</v>
      </c>
      <c r="C399" s="24">
        <v>268.25872500000003</v>
      </c>
      <c r="D399" s="24">
        <v>340.79219999999998</v>
      </c>
      <c r="E399" s="24">
        <v>320.06835000000007</v>
      </c>
      <c r="F399" s="24">
        <v>801.32219999999995</v>
      </c>
      <c r="G399" s="24">
        <v>556.08997499999998</v>
      </c>
      <c r="H399" s="24">
        <v>580.26780000000008</v>
      </c>
      <c r="I399" s="24">
        <v>338.48955000000001</v>
      </c>
      <c r="J399" s="24">
        <v>417.93097499999999</v>
      </c>
      <c r="K399" s="24">
        <v>582.57045000000005</v>
      </c>
      <c r="L399" s="24">
        <v>399.50977499999999</v>
      </c>
      <c r="M399" s="24">
        <v>749.69999999999891</v>
      </c>
      <c r="N399" s="25">
        <v>5355</v>
      </c>
      <c r="O399" s="29">
        <v>225</v>
      </c>
      <c r="P399" s="29">
        <v>1</v>
      </c>
      <c r="Q399" s="29">
        <v>796</v>
      </c>
      <c r="R399" s="29">
        <v>769</v>
      </c>
      <c r="S399" s="29">
        <v>456</v>
      </c>
      <c r="T399" s="29">
        <v>1250</v>
      </c>
      <c r="U399" s="29">
        <v>20</v>
      </c>
      <c r="V399" s="29">
        <v>643</v>
      </c>
      <c r="W399" s="29">
        <v>1195</v>
      </c>
      <c r="X399" s="29">
        <v>0</v>
      </c>
    </row>
    <row r="400" spans="1:24">
      <c r="A400" s="22">
        <v>46173</v>
      </c>
      <c r="B400" s="23" t="s">
        <v>34</v>
      </c>
      <c r="C400" s="24">
        <v>299.11724499999997</v>
      </c>
      <c r="D400" s="24">
        <v>379.99443999999994</v>
      </c>
      <c r="E400" s="24">
        <v>356.88666999999998</v>
      </c>
      <c r="F400" s="24">
        <v>893.5004399999998</v>
      </c>
      <c r="G400" s="24">
        <v>620.05849499999988</v>
      </c>
      <c r="H400" s="24">
        <v>647.01755999999989</v>
      </c>
      <c r="I400" s="24">
        <v>377.42690999999996</v>
      </c>
      <c r="J400" s="24">
        <v>466.00669499999992</v>
      </c>
      <c r="K400" s="24">
        <v>649.58508999999992</v>
      </c>
      <c r="L400" s="24">
        <v>445.46645499999994</v>
      </c>
      <c r="M400" s="24">
        <v>835.94000000000142</v>
      </c>
      <c r="N400" s="25">
        <v>5971</v>
      </c>
      <c r="O400" s="29">
        <v>225</v>
      </c>
      <c r="P400" s="29">
        <v>1</v>
      </c>
      <c r="Q400" s="29">
        <v>801</v>
      </c>
      <c r="R400" s="29">
        <v>780</v>
      </c>
      <c r="S400" s="29">
        <v>456</v>
      </c>
      <c r="T400" s="29">
        <v>1863</v>
      </c>
      <c r="U400" s="29">
        <v>20</v>
      </c>
      <c r="V400" s="29">
        <v>643</v>
      </c>
      <c r="W400" s="29">
        <v>1182</v>
      </c>
      <c r="X400" s="29">
        <v>0</v>
      </c>
    </row>
    <row r="401" spans="1:24">
      <c r="A401" s="22">
        <v>46174</v>
      </c>
      <c r="B401" s="23" t="s">
        <v>34</v>
      </c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>
        <v>4311</v>
      </c>
      <c r="N401" s="25">
        <v>4311</v>
      </c>
      <c r="O401" s="24">
        <v>80</v>
      </c>
      <c r="P401" s="24">
        <v>0</v>
      </c>
      <c r="Q401" s="24">
        <v>359</v>
      </c>
      <c r="R401" s="24">
        <v>1076</v>
      </c>
      <c r="S401" s="24">
        <v>228</v>
      </c>
      <c r="T401" s="24">
        <v>591</v>
      </c>
      <c r="U401" s="24">
        <v>668</v>
      </c>
      <c r="V401" s="24">
        <v>395</v>
      </c>
      <c r="W401" s="24">
        <v>867</v>
      </c>
      <c r="X401" s="24">
        <v>47</v>
      </c>
    </row>
    <row r="402" spans="1:24">
      <c r="A402" s="22">
        <v>46175</v>
      </c>
      <c r="B402" s="23" t="s">
        <v>34</v>
      </c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>
        <v>4333</v>
      </c>
      <c r="N402" s="25">
        <v>4333</v>
      </c>
      <c r="O402" s="24">
        <v>79</v>
      </c>
      <c r="P402" s="24">
        <v>0</v>
      </c>
      <c r="Q402" s="24">
        <v>360</v>
      </c>
      <c r="R402" s="24">
        <v>1083</v>
      </c>
      <c r="S402" s="24">
        <v>237</v>
      </c>
      <c r="T402" s="24">
        <v>596</v>
      </c>
      <c r="U402" s="24">
        <v>665</v>
      </c>
      <c r="V402" s="24">
        <v>396</v>
      </c>
      <c r="W402" s="24">
        <v>871</v>
      </c>
      <c r="X402" s="24">
        <v>46</v>
      </c>
    </row>
    <row r="403" spans="1:24">
      <c r="A403" s="22">
        <v>46176</v>
      </c>
      <c r="B403" s="23" t="s">
        <v>34</v>
      </c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>
        <v>4333</v>
      </c>
      <c r="N403" s="25">
        <v>4333</v>
      </c>
      <c r="O403" s="24">
        <v>79</v>
      </c>
      <c r="P403" s="24">
        <v>0</v>
      </c>
      <c r="Q403" s="24">
        <v>360</v>
      </c>
      <c r="R403" s="24">
        <v>1083</v>
      </c>
      <c r="S403" s="24">
        <v>237</v>
      </c>
      <c r="T403" s="24">
        <v>596</v>
      </c>
      <c r="U403" s="24">
        <v>665</v>
      </c>
      <c r="V403" s="24">
        <v>396</v>
      </c>
      <c r="W403" s="24">
        <v>871</v>
      </c>
      <c r="X403" s="24">
        <v>46</v>
      </c>
    </row>
    <row r="404" spans="1:24">
      <c r="A404" s="22">
        <v>46177</v>
      </c>
      <c r="B404" s="23" t="s">
        <v>34</v>
      </c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>
        <v>4333</v>
      </c>
      <c r="N404" s="25">
        <v>4333</v>
      </c>
      <c r="O404" s="24">
        <v>79</v>
      </c>
      <c r="P404" s="24">
        <v>0</v>
      </c>
      <c r="Q404" s="24">
        <v>360</v>
      </c>
      <c r="R404" s="24">
        <v>1083</v>
      </c>
      <c r="S404" s="24">
        <v>237</v>
      </c>
      <c r="T404" s="24">
        <v>596</v>
      </c>
      <c r="U404" s="24">
        <v>665</v>
      </c>
      <c r="V404" s="24">
        <v>396</v>
      </c>
      <c r="W404" s="24">
        <v>871</v>
      </c>
      <c r="X404" s="24">
        <v>46</v>
      </c>
    </row>
    <row r="405" spans="1:24">
      <c r="A405" s="22">
        <v>46178</v>
      </c>
      <c r="B405" s="23" t="s">
        <v>34</v>
      </c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>
        <v>4333</v>
      </c>
      <c r="N405" s="25">
        <v>4333</v>
      </c>
      <c r="O405" s="24">
        <v>79</v>
      </c>
      <c r="P405" s="24">
        <v>0</v>
      </c>
      <c r="Q405" s="24">
        <v>360</v>
      </c>
      <c r="R405" s="24">
        <v>1083</v>
      </c>
      <c r="S405" s="24">
        <v>237</v>
      </c>
      <c r="T405" s="24">
        <v>596</v>
      </c>
      <c r="U405" s="24">
        <v>665</v>
      </c>
      <c r="V405" s="24">
        <v>396</v>
      </c>
      <c r="W405" s="24">
        <v>871</v>
      </c>
      <c r="X405" s="24">
        <v>46</v>
      </c>
    </row>
    <row r="406" spans="1:24">
      <c r="A406" s="22">
        <v>46179</v>
      </c>
      <c r="B406" s="23" t="s">
        <v>34</v>
      </c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>
        <v>5557</v>
      </c>
      <c r="N406" s="25">
        <v>5557</v>
      </c>
      <c r="O406" s="24">
        <v>102</v>
      </c>
      <c r="P406" s="24">
        <v>1</v>
      </c>
      <c r="Q406" s="24">
        <v>462</v>
      </c>
      <c r="R406" s="24">
        <v>1388</v>
      </c>
      <c r="S406" s="24">
        <v>303</v>
      </c>
      <c r="T406" s="24">
        <v>764</v>
      </c>
      <c r="U406" s="24">
        <v>853</v>
      </c>
      <c r="V406" s="24">
        <v>508</v>
      </c>
      <c r="W406" s="24">
        <v>1117</v>
      </c>
      <c r="X406" s="24">
        <v>59</v>
      </c>
    </row>
    <row r="407" spans="1:24">
      <c r="A407" s="22">
        <v>46180</v>
      </c>
      <c r="B407" s="23" t="s">
        <v>34</v>
      </c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>
        <v>7335</v>
      </c>
      <c r="N407" s="25">
        <v>7335</v>
      </c>
      <c r="O407" s="24">
        <v>134</v>
      </c>
      <c r="P407" s="24">
        <v>1</v>
      </c>
      <c r="Q407" s="24">
        <v>610</v>
      </c>
      <c r="R407" s="24">
        <v>1832</v>
      </c>
      <c r="S407" s="24">
        <v>401</v>
      </c>
      <c r="T407" s="24">
        <v>1008</v>
      </c>
      <c r="U407" s="24">
        <v>1126</v>
      </c>
      <c r="V407" s="24">
        <v>671</v>
      </c>
      <c r="W407" s="24">
        <v>1474</v>
      </c>
      <c r="X407" s="24">
        <v>78</v>
      </c>
    </row>
    <row r="408" spans="1:24">
      <c r="A408" s="22">
        <v>46181</v>
      </c>
      <c r="B408" s="23" t="s">
        <v>34</v>
      </c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>
        <v>4076</v>
      </c>
      <c r="N408" s="25">
        <v>4076</v>
      </c>
      <c r="O408" s="24">
        <v>75</v>
      </c>
      <c r="P408" s="24">
        <v>1</v>
      </c>
      <c r="Q408" s="24">
        <v>339</v>
      </c>
      <c r="R408" s="24">
        <v>1018</v>
      </c>
      <c r="S408" s="24">
        <v>223</v>
      </c>
      <c r="T408" s="24">
        <v>560</v>
      </c>
      <c r="U408" s="24">
        <v>625</v>
      </c>
      <c r="V408" s="24">
        <v>373</v>
      </c>
      <c r="W408" s="24">
        <v>819</v>
      </c>
      <c r="X408" s="24">
        <v>43</v>
      </c>
    </row>
    <row r="409" spans="1:24">
      <c r="A409" s="22">
        <v>46182</v>
      </c>
      <c r="B409" s="23" t="s">
        <v>34</v>
      </c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>
        <v>4076</v>
      </c>
      <c r="N409" s="25">
        <v>4076</v>
      </c>
      <c r="O409" s="24">
        <v>75</v>
      </c>
      <c r="P409" s="24">
        <v>1</v>
      </c>
      <c r="Q409" s="24">
        <v>339</v>
      </c>
      <c r="R409" s="24">
        <v>1018</v>
      </c>
      <c r="S409" s="24">
        <v>223</v>
      </c>
      <c r="T409" s="24">
        <v>560</v>
      </c>
      <c r="U409" s="24">
        <v>625</v>
      </c>
      <c r="V409" s="24">
        <v>373</v>
      </c>
      <c r="W409" s="24">
        <v>819</v>
      </c>
      <c r="X409" s="24">
        <v>43</v>
      </c>
    </row>
    <row r="410" spans="1:24">
      <c r="A410" s="22">
        <v>46183</v>
      </c>
      <c r="B410" s="23" t="s">
        <v>34</v>
      </c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>
        <v>4076</v>
      </c>
      <c r="N410" s="25">
        <v>4076</v>
      </c>
      <c r="O410" s="24">
        <v>75</v>
      </c>
      <c r="P410" s="24">
        <v>1</v>
      </c>
      <c r="Q410" s="24">
        <v>339</v>
      </c>
      <c r="R410" s="24">
        <v>1018</v>
      </c>
      <c r="S410" s="24">
        <v>223</v>
      </c>
      <c r="T410" s="24">
        <v>560</v>
      </c>
      <c r="U410" s="24">
        <v>625</v>
      </c>
      <c r="V410" s="24">
        <v>373</v>
      </c>
      <c r="W410" s="24">
        <v>819</v>
      </c>
      <c r="X410" s="24">
        <v>43</v>
      </c>
    </row>
    <row r="411" spans="1:24">
      <c r="A411" s="22">
        <v>46184</v>
      </c>
      <c r="B411" s="23" t="s">
        <v>34</v>
      </c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>
        <v>4076</v>
      </c>
      <c r="N411" s="25">
        <v>4076</v>
      </c>
      <c r="O411" s="24">
        <v>75</v>
      </c>
      <c r="P411" s="24">
        <v>1</v>
      </c>
      <c r="Q411" s="24">
        <v>339</v>
      </c>
      <c r="R411" s="24">
        <v>1018</v>
      </c>
      <c r="S411" s="24">
        <v>223</v>
      </c>
      <c r="T411" s="24">
        <v>560</v>
      </c>
      <c r="U411" s="24">
        <v>625</v>
      </c>
      <c r="V411" s="24">
        <v>373</v>
      </c>
      <c r="W411" s="24">
        <v>819</v>
      </c>
      <c r="X411" s="24">
        <v>43</v>
      </c>
    </row>
    <row r="412" spans="1:24">
      <c r="A412" s="22">
        <v>46185</v>
      </c>
      <c r="B412" s="23" t="s">
        <v>34</v>
      </c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>
        <v>4076</v>
      </c>
      <c r="N412" s="25">
        <v>4076</v>
      </c>
      <c r="O412" s="24">
        <v>75</v>
      </c>
      <c r="P412" s="24">
        <v>1</v>
      </c>
      <c r="Q412" s="24">
        <v>339</v>
      </c>
      <c r="R412" s="24">
        <v>1018</v>
      </c>
      <c r="S412" s="24">
        <v>223</v>
      </c>
      <c r="T412" s="24">
        <v>560</v>
      </c>
      <c r="U412" s="24">
        <v>625</v>
      </c>
      <c r="V412" s="24">
        <v>373</v>
      </c>
      <c r="W412" s="24">
        <v>819</v>
      </c>
      <c r="X412" s="24">
        <v>43</v>
      </c>
    </row>
    <row r="413" spans="1:24">
      <c r="A413" s="22">
        <v>46186</v>
      </c>
      <c r="B413" s="23" t="s">
        <v>34</v>
      </c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>
        <v>7445</v>
      </c>
      <c r="N413" s="25">
        <v>7445</v>
      </c>
      <c r="O413" s="24">
        <v>136</v>
      </c>
      <c r="P413" s="24">
        <v>1</v>
      </c>
      <c r="Q413" s="24">
        <v>619</v>
      </c>
      <c r="R413" s="24">
        <v>1860</v>
      </c>
      <c r="S413" s="24">
        <v>407</v>
      </c>
      <c r="T413" s="24">
        <v>1023</v>
      </c>
      <c r="U413" s="24">
        <v>1143</v>
      </c>
      <c r="V413" s="24">
        <v>681</v>
      </c>
      <c r="W413" s="24">
        <v>1496</v>
      </c>
      <c r="X413" s="24">
        <v>79</v>
      </c>
    </row>
    <row r="414" spans="1:24">
      <c r="A414" s="22">
        <v>46187</v>
      </c>
      <c r="B414" s="23" t="s">
        <v>34</v>
      </c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>
        <v>8297</v>
      </c>
      <c r="N414" s="25">
        <v>8297</v>
      </c>
      <c r="O414" s="24">
        <v>152</v>
      </c>
      <c r="P414" s="24">
        <v>1</v>
      </c>
      <c r="Q414" s="24">
        <v>690</v>
      </c>
      <c r="R414" s="24">
        <v>2073</v>
      </c>
      <c r="S414" s="24">
        <v>453</v>
      </c>
      <c r="T414" s="24">
        <v>1140</v>
      </c>
      <c r="U414" s="24">
        <v>1273</v>
      </c>
      <c r="V414" s="24">
        <v>759</v>
      </c>
      <c r="W414" s="24">
        <v>1668</v>
      </c>
      <c r="X414" s="24">
        <v>88</v>
      </c>
    </row>
    <row r="415" spans="1:24">
      <c r="A415" s="22">
        <v>46188</v>
      </c>
      <c r="B415" s="23" t="s">
        <v>34</v>
      </c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>
        <v>4334</v>
      </c>
      <c r="N415" s="25">
        <v>4334</v>
      </c>
      <c r="O415" s="24">
        <v>79</v>
      </c>
      <c r="P415" s="24">
        <v>1</v>
      </c>
      <c r="Q415" s="24">
        <v>360</v>
      </c>
      <c r="R415" s="24">
        <v>1083</v>
      </c>
      <c r="S415" s="24">
        <v>237</v>
      </c>
      <c r="T415" s="24">
        <v>596</v>
      </c>
      <c r="U415" s="24">
        <v>665</v>
      </c>
      <c r="V415" s="24">
        <v>396</v>
      </c>
      <c r="W415" s="24">
        <v>871</v>
      </c>
      <c r="X415" s="24">
        <v>46</v>
      </c>
    </row>
    <row r="416" spans="1:24">
      <c r="A416" s="22">
        <v>46189</v>
      </c>
      <c r="B416" s="23" t="s">
        <v>34</v>
      </c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>
        <v>4334</v>
      </c>
      <c r="N416" s="25">
        <v>4334</v>
      </c>
      <c r="O416" s="24">
        <v>79</v>
      </c>
      <c r="P416" s="24">
        <v>1</v>
      </c>
      <c r="Q416" s="24">
        <v>360</v>
      </c>
      <c r="R416" s="24">
        <v>1083</v>
      </c>
      <c r="S416" s="24">
        <v>237</v>
      </c>
      <c r="T416" s="24">
        <v>596</v>
      </c>
      <c r="U416" s="24">
        <v>665</v>
      </c>
      <c r="V416" s="24">
        <v>396</v>
      </c>
      <c r="W416" s="24">
        <v>871</v>
      </c>
      <c r="X416" s="24">
        <v>46</v>
      </c>
    </row>
    <row r="417" spans="1:24">
      <c r="A417" s="22">
        <v>46190</v>
      </c>
      <c r="B417" s="23" t="s">
        <v>34</v>
      </c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>
        <v>4334</v>
      </c>
      <c r="N417" s="25">
        <v>4334</v>
      </c>
      <c r="O417" s="24">
        <v>79</v>
      </c>
      <c r="P417" s="24">
        <v>1</v>
      </c>
      <c r="Q417" s="24">
        <v>360</v>
      </c>
      <c r="R417" s="24">
        <v>1083</v>
      </c>
      <c r="S417" s="24">
        <v>237</v>
      </c>
      <c r="T417" s="24">
        <v>596</v>
      </c>
      <c r="U417" s="24">
        <v>665</v>
      </c>
      <c r="V417" s="24">
        <v>396</v>
      </c>
      <c r="W417" s="24">
        <v>871</v>
      </c>
      <c r="X417" s="24">
        <v>46</v>
      </c>
    </row>
    <row r="418" spans="1:24">
      <c r="A418" s="22">
        <v>46191</v>
      </c>
      <c r="B418" s="23" t="s">
        <v>34</v>
      </c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>
        <v>4334</v>
      </c>
      <c r="N418" s="25">
        <v>4334</v>
      </c>
      <c r="O418" s="24">
        <v>79</v>
      </c>
      <c r="P418" s="24">
        <v>1</v>
      </c>
      <c r="Q418" s="24">
        <v>360</v>
      </c>
      <c r="R418" s="24">
        <v>1083</v>
      </c>
      <c r="S418" s="24">
        <v>237</v>
      </c>
      <c r="T418" s="24">
        <v>596</v>
      </c>
      <c r="U418" s="24">
        <v>665</v>
      </c>
      <c r="V418" s="24">
        <v>396</v>
      </c>
      <c r="W418" s="24">
        <v>871</v>
      </c>
      <c r="X418" s="24">
        <v>46</v>
      </c>
    </row>
    <row r="419" spans="1:24">
      <c r="A419" s="22">
        <v>46192</v>
      </c>
      <c r="B419" s="23" t="s">
        <v>34</v>
      </c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>
        <v>7962</v>
      </c>
      <c r="N419" s="25">
        <v>7962</v>
      </c>
      <c r="O419" s="24">
        <v>146</v>
      </c>
      <c r="P419" s="24">
        <v>1</v>
      </c>
      <c r="Q419" s="24">
        <v>662</v>
      </c>
      <c r="R419" s="24">
        <v>1989</v>
      </c>
      <c r="S419" s="24">
        <v>435</v>
      </c>
      <c r="T419" s="24">
        <v>1094</v>
      </c>
      <c r="U419" s="24">
        <v>1222</v>
      </c>
      <c r="V419" s="24">
        <v>728</v>
      </c>
      <c r="W419" s="24">
        <v>1601</v>
      </c>
      <c r="X419" s="24">
        <v>84</v>
      </c>
    </row>
    <row r="420" spans="1:24">
      <c r="A420" s="22">
        <v>46193</v>
      </c>
      <c r="B420" s="23" t="s">
        <v>34</v>
      </c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>
        <v>8964</v>
      </c>
      <c r="N420" s="25">
        <v>8964</v>
      </c>
      <c r="O420" s="24">
        <v>164</v>
      </c>
      <c r="P420" s="24">
        <v>1</v>
      </c>
      <c r="Q420" s="24">
        <v>745</v>
      </c>
      <c r="R420" s="24">
        <v>2239</v>
      </c>
      <c r="S420" s="24">
        <v>490</v>
      </c>
      <c r="T420" s="24">
        <v>1232</v>
      </c>
      <c r="U420" s="24">
        <v>1376</v>
      </c>
      <c r="V420" s="24">
        <v>820</v>
      </c>
      <c r="W420" s="24">
        <v>1802</v>
      </c>
      <c r="X420" s="24">
        <v>95</v>
      </c>
    </row>
    <row r="421" spans="1:24">
      <c r="A421" s="22">
        <v>46194</v>
      </c>
      <c r="B421" s="23" t="s">
        <v>34</v>
      </c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>
        <v>9816</v>
      </c>
      <c r="N421" s="25">
        <v>9816</v>
      </c>
      <c r="O421" s="24">
        <v>180</v>
      </c>
      <c r="P421" s="24">
        <v>2</v>
      </c>
      <c r="Q421" s="24">
        <v>816</v>
      </c>
      <c r="R421" s="24">
        <v>2452</v>
      </c>
      <c r="S421" s="24">
        <v>536</v>
      </c>
      <c r="T421" s="24">
        <v>1349</v>
      </c>
      <c r="U421" s="24">
        <v>1506</v>
      </c>
      <c r="V421" s="24">
        <v>898</v>
      </c>
      <c r="W421" s="24">
        <v>1973</v>
      </c>
      <c r="X421" s="24">
        <v>104</v>
      </c>
    </row>
    <row r="422" spans="1:24">
      <c r="A422" s="22">
        <v>46195</v>
      </c>
      <c r="B422" s="23" t="s">
        <v>34</v>
      </c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>
        <v>4408</v>
      </c>
      <c r="N422" s="25">
        <v>4408</v>
      </c>
      <c r="O422" s="24">
        <v>81</v>
      </c>
      <c r="P422" s="24">
        <v>1</v>
      </c>
      <c r="Q422" s="24">
        <v>366</v>
      </c>
      <c r="R422" s="24">
        <v>1101</v>
      </c>
      <c r="S422" s="24">
        <v>241</v>
      </c>
      <c r="T422" s="24">
        <v>606</v>
      </c>
      <c r="U422" s="24">
        <v>676</v>
      </c>
      <c r="V422" s="24">
        <v>403</v>
      </c>
      <c r="W422" s="24">
        <v>886</v>
      </c>
      <c r="X422" s="24">
        <v>47</v>
      </c>
    </row>
    <row r="423" spans="1:24">
      <c r="A423" s="22">
        <v>46196</v>
      </c>
      <c r="B423" s="23" t="s">
        <v>34</v>
      </c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>
        <v>4408</v>
      </c>
      <c r="N423" s="25">
        <v>4408</v>
      </c>
      <c r="O423" s="24">
        <v>81</v>
      </c>
      <c r="P423" s="24">
        <v>1</v>
      </c>
      <c r="Q423" s="24">
        <v>366</v>
      </c>
      <c r="R423" s="24">
        <v>1101</v>
      </c>
      <c r="S423" s="24">
        <v>241</v>
      </c>
      <c r="T423" s="24">
        <v>606</v>
      </c>
      <c r="U423" s="24">
        <v>676</v>
      </c>
      <c r="V423" s="24">
        <v>403</v>
      </c>
      <c r="W423" s="24">
        <v>886</v>
      </c>
      <c r="X423" s="24">
        <v>47</v>
      </c>
    </row>
    <row r="424" spans="1:24">
      <c r="A424" s="22">
        <v>46197</v>
      </c>
      <c r="B424" s="23" t="s">
        <v>34</v>
      </c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>
        <v>4408</v>
      </c>
      <c r="N424" s="25">
        <v>4408</v>
      </c>
      <c r="O424" s="24">
        <v>81</v>
      </c>
      <c r="P424" s="24">
        <v>1</v>
      </c>
      <c r="Q424" s="24">
        <v>366</v>
      </c>
      <c r="R424" s="24">
        <v>1101</v>
      </c>
      <c r="S424" s="24">
        <v>241</v>
      </c>
      <c r="T424" s="24">
        <v>606</v>
      </c>
      <c r="U424" s="24">
        <v>676</v>
      </c>
      <c r="V424" s="24">
        <v>403</v>
      </c>
      <c r="W424" s="24">
        <v>886</v>
      </c>
      <c r="X424" s="24">
        <v>47</v>
      </c>
    </row>
    <row r="425" spans="1:24">
      <c r="A425" s="22">
        <v>46198</v>
      </c>
      <c r="B425" s="23" t="s">
        <v>34</v>
      </c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>
        <v>4408</v>
      </c>
      <c r="N425" s="25">
        <v>4408</v>
      </c>
      <c r="O425" s="24">
        <v>81</v>
      </c>
      <c r="P425" s="24">
        <v>1</v>
      </c>
      <c r="Q425" s="24">
        <v>366</v>
      </c>
      <c r="R425" s="24">
        <v>1101</v>
      </c>
      <c r="S425" s="24">
        <v>241</v>
      </c>
      <c r="T425" s="24">
        <v>606</v>
      </c>
      <c r="U425" s="24">
        <v>676</v>
      </c>
      <c r="V425" s="24">
        <v>403</v>
      </c>
      <c r="W425" s="24">
        <v>886</v>
      </c>
      <c r="X425" s="24">
        <v>47</v>
      </c>
    </row>
    <row r="426" spans="1:24">
      <c r="A426" s="22">
        <v>46199</v>
      </c>
      <c r="B426" s="23" t="s">
        <v>34</v>
      </c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>
        <v>4408</v>
      </c>
      <c r="N426" s="25">
        <v>4408</v>
      </c>
      <c r="O426" s="24">
        <v>81</v>
      </c>
      <c r="P426" s="24">
        <v>1</v>
      </c>
      <c r="Q426" s="24">
        <v>366</v>
      </c>
      <c r="R426" s="24">
        <v>1101</v>
      </c>
      <c r="S426" s="24">
        <v>241</v>
      </c>
      <c r="T426" s="24">
        <v>606</v>
      </c>
      <c r="U426" s="24">
        <v>676</v>
      </c>
      <c r="V426" s="24">
        <v>403</v>
      </c>
      <c r="W426" s="24">
        <v>886</v>
      </c>
      <c r="X426" s="24">
        <v>47</v>
      </c>
    </row>
    <row r="427" spans="1:24">
      <c r="A427" s="22">
        <v>46200</v>
      </c>
      <c r="B427" s="23" t="s">
        <v>34</v>
      </c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>
        <v>7962</v>
      </c>
      <c r="N427" s="25">
        <v>7962</v>
      </c>
      <c r="O427" s="24">
        <v>146</v>
      </c>
      <c r="P427" s="24">
        <v>1</v>
      </c>
      <c r="Q427" s="24">
        <v>662</v>
      </c>
      <c r="R427" s="24">
        <v>1989</v>
      </c>
      <c r="S427" s="24">
        <v>435</v>
      </c>
      <c r="T427" s="24">
        <v>1094</v>
      </c>
      <c r="U427" s="24">
        <v>1222</v>
      </c>
      <c r="V427" s="24">
        <v>728</v>
      </c>
      <c r="W427" s="24">
        <v>1601</v>
      </c>
      <c r="X427" s="24">
        <v>84</v>
      </c>
    </row>
    <row r="428" spans="1:24">
      <c r="A428" s="22">
        <v>46201</v>
      </c>
      <c r="B428" s="23" t="s">
        <v>34</v>
      </c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>
        <v>8964</v>
      </c>
      <c r="N428" s="25">
        <v>8964</v>
      </c>
      <c r="O428" s="24">
        <v>164</v>
      </c>
      <c r="P428" s="24">
        <v>1</v>
      </c>
      <c r="Q428" s="24">
        <v>745</v>
      </c>
      <c r="R428" s="24">
        <v>2239</v>
      </c>
      <c r="S428" s="24">
        <v>490</v>
      </c>
      <c r="T428" s="24">
        <v>1232</v>
      </c>
      <c r="U428" s="24">
        <v>1376</v>
      </c>
      <c r="V428" s="24">
        <v>820</v>
      </c>
      <c r="W428" s="24">
        <v>1802</v>
      </c>
      <c r="X428" s="24">
        <v>95</v>
      </c>
    </row>
    <row r="429" spans="1:24">
      <c r="A429" s="22">
        <v>46202</v>
      </c>
      <c r="B429" s="23" t="s">
        <v>34</v>
      </c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>
        <v>4631</v>
      </c>
      <c r="N429" s="25">
        <v>4631</v>
      </c>
      <c r="O429" s="24">
        <v>85</v>
      </c>
      <c r="P429" s="24">
        <v>1</v>
      </c>
      <c r="Q429" s="24">
        <v>385</v>
      </c>
      <c r="R429" s="24">
        <v>1157</v>
      </c>
      <c r="S429" s="24">
        <v>253</v>
      </c>
      <c r="T429" s="24">
        <v>636</v>
      </c>
      <c r="U429" s="24">
        <v>711</v>
      </c>
      <c r="V429" s="24">
        <v>423</v>
      </c>
      <c r="W429" s="24">
        <v>931</v>
      </c>
      <c r="X429" s="24">
        <v>49</v>
      </c>
    </row>
    <row r="430" spans="1:24">
      <c r="A430" s="22">
        <v>46203</v>
      </c>
      <c r="B430" s="23" t="s">
        <v>34</v>
      </c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>
        <v>4631</v>
      </c>
      <c r="N430" s="25">
        <v>4631</v>
      </c>
      <c r="O430" s="24">
        <v>85</v>
      </c>
      <c r="P430" s="24">
        <v>1</v>
      </c>
      <c r="Q430" s="24">
        <v>385</v>
      </c>
      <c r="R430" s="24">
        <v>1157</v>
      </c>
      <c r="S430" s="24">
        <v>253</v>
      </c>
      <c r="T430" s="24">
        <v>636</v>
      </c>
      <c r="U430" s="24">
        <v>711</v>
      </c>
      <c r="V430" s="24">
        <v>423</v>
      </c>
      <c r="W430" s="24">
        <v>931</v>
      </c>
      <c r="X430" s="24">
        <v>49</v>
      </c>
    </row>
    <row r="431" spans="1:24">
      <c r="A431" s="22">
        <v>46204</v>
      </c>
      <c r="B431" s="23" t="s">
        <v>34</v>
      </c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>
        <v>0</v>
      </c>
      <c r="N431" s="25"/>
      <c r="O431" s="24"/>
      <c r="P431" s="24"/>
      <c r="Q431" s="24"/>
      <c r="R431" s="24"/>
      <c r="S431" s="24"/>
      <c r="T431" s="24"/>
      <c r="U431" s="24"/>
      <c r="V431" s="24"/>
      <c r="W431" s="24"/>
      <c r="X431" s="24"/>
    </row>
    <row r="432" spans="1:24">
      <c r="A432" s="22">
        <v>46205</v>
      </c>
      <c r="B432" s="23" t="s">
        <v>34</v>
      </c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>
        <v>0</v>
      </c>
      <c r="N432" s="25"/>
      <c r="O432" s="24"/>
      <c r="P432" s="24"/>
      <c r="Q432" s="24"/>
      <c r="R432" s="24"/>
      <c r="S432" s="24"/>
      <c r="T432" s="24"/>
      <c r="U432" s="24"/>
      <c r="V432" s="24"/>
      <c r="W432" s="24"/>
      <c r="X432" s="24"/>
    </row>
    <row r="433" spans="1:24">
      <c r="A433" s="22">
        <v>46206</v>
      </c>
      <c r="B433" s="23" t="s">
        <v>34</v>
      </c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>
        <v>0</v>
      </c>
      <c r="N433" s="25"/>
      <c r="O433" s="24"/>
      <c r="P433" s="24"/>
      <c r="Q433" s="24"/>
      <c r="R433" s="24"/>
      <c r="S433" s="24"/>
      <c r="T433" s="24"/>
      <c r="U433" s="24"/>
      <c r="V433" s="24"/>
      <c r="W433" s="24"/>
      <c r="X433" s="24"/>
    </row>
    <row r="434" spans="1:24">
      <c r="A434" s="22">
        <v>46207</v>
      </c>
      <c r="B434" s="23" t="s">
        <v>34</v>
      </c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>
        <v>0</v>
      </c>
      <c r="N434" s="25"/>
      <c r="O434" s="24"/>
      <c r="P434" s="24"/>
      <c r="Q434" s="24"/>
      <c r="R434" s="24"/>
      <c r="S434" s="24"/>
      <c r="T434" s="24"/>
      <c r="U434" s="24"/>
      <c r="V434" s="24"/>
      <c r="W434" s="24"/>
      <c r="X434" s="24"/>
    </row>
    <row r="435" spans="1:24">
      <c r="A435" s="22">
        <v>46208</v>
      </c>
      <c r="B435" s="23" t="s">
        <v>34</v>
      </c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>
        <v>0</v>
      </c>
      <c r="N435" s="25"/>
      <c r="O435" s="24"/>
      <c r="P435" s="24"/>
      <c r="Q435" s="24"/>
      <c r="R435" s="24"/>
      <c r="S435" s="24"/>
      <c r="T435" s="24"/>
      <c r="U435" s="24"/>
      <c r="V435" s="24"/>
      <c r="W435" s="24"/>
      <c r="X435" s="24"/>
    </row>
    <row r="436" spans="1:24">
      <c r="A436" s="22">
        <v>46209</v>
      </c>
      <c r="B436" s="23" t="s">
        <v>34</v>
      </c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>
        <v>0</v>
      </c>
      <c r="N436" s="25"/>
      <c r="O436" s="24"/>
      <c r="P436" s="24"/>
      <c r="Q436" s="24"/>
      <c r="R436" s="24"/>
      <c r="S436" s="24"/>
      <c r="T436" s="24"/>
      <c r="U436" s="24"/>
      <c r="V436" s="24"/>
      <c r="W436" s="24"/>
      <c r="X436" s="24"/>
    </row>
    <row r="437" spans="1:24">
      <c r="A437" s="22">
        <v>46210</v>
      </c>
      <c r="B437" s="23" t="s">
        <v>34</v>
      </c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>
        <v>0</v>
      </c>
      <c r="N437" s="25"/>
      <c r="O437" s="24"/>
      <c r="P437" s="24"/>
      <c r="Q437" s="24"/>
      <c r="R437" s="24"/>
      <c r="S437" s="24"/>
      <c r="T437" s="24"/>
      <c r="U437" s="24"/>
      <c r="V437" s="24"/>
      <c r="W437" s="24"/>
      <c r="X437" s="24"/>
    </row>
    <row r="438" spans="1:24">
      <c r="A438" s="22">
        <v>46211</v>
      </c>
      <c r="B438" s="23" t="s">
        <v>34</v>
      </c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>
        <v>0</v>
      </c>
      <c r="N438" s="25"/>
      <c r="O438" s="24"/>
      <c r="P438" s="24"/>
      <c r="Q438" s="24"/>
      <c r="R438" s="24"/>
      <c r="S438" s="24"/>
      <c r="T438" s="24"/>
      <c r="U438" s="24"/>
      <c r="V438" s="24"/>
      <c r="W438" s="24"/>
      <c r="X438" s="24"/>
    </row>
    <row r="439" spans="1:24">
      <c r="A439" s="22">
        <v>46212</v>
      </c>
      <c r="B439" s="23" t="s">
        <v>34</v>
      </c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>
        <v>0</v>
      </c>
      <c r="N439" s="25"/>
      <c r="O439" s="24"/>
      <c r="P439" s="24"/>
      <c r="Q439" s="24"/>
      <c r="R439" s="24"/>
      <c r="S439" s="24"/>
      <c r="T439" s="24"/>
      <c r="U439" s="24"/>
      <c r="V439" s="24"/>
      <c r="W439" s="24"/>
      <c r="X439" s="24"/>
    </row>
    <row r="440" spans="1:24">
      <c r="A440" s="22">
        <v>46213</v>
      </c>
      <c r="B440" s="23" t="s">
        <v>34</v>
      </c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>
        <v>0</v>
      </c>
      <c r="N440" s="25"/>
      <c r="O440" s="24"/>
      <c r="P440" s="24"/>
      <c r="Q440" s="24"/>
      <c r="R440" s="24"/>
      <c r="S440" s="24"/>
      <c r="T440" s="24"/>
      <c r="U440" s="24"/>
      <c r="V440" s="24"/>
      <c r="W440" s="24"/>
      <c r="X440" s="24"/>
    </row>
    <row r="441" spans="1:24">
      <c r="A441" s="22">
        <v>46214</v>
      </c>
      <c r="B441" s="23" t="s">
        <v>34</v>
      </c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>
        <v>0</v>
      </c>
      <c r="N441" s="25"/>
      <c r="O441" s="24"/>
      <c r="P441" s="24"/>
      <c r="Q441" s="24"/>
      <c r="R441" s="24"/>
      <c r="S441" s="24"/>
      <c r="T441" s="24"/>
      <c r="U441" s="24"/>
      <c r="V441" s="24"/>
      <c r="W441" s="24"/>
      <c r="X441" s="24"/>
    </row>
    <row r="442" spans="1:24">
      <c r="A442" s="22">
        <v>46215</v>
      </c>
      <c r="B442" s="23" t="s">
        <v>34</v>
      </c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>
        <v>0</v>
      </c>
      <c r="N442" s="25"/>
      <c r="O442" s="24"/>
      <c r="P442" s="24"/>
      <c r="Q442" s="24"/>
      <c r="R442" s="24"/>
      <c r="S442" s="24"/>
      <c r="T442" s="24"/>
      <c r="U442" s="24"/>
      <c r="V442" s="24"/>
      <c r="W442" s="24"/>
      <c r="X442" s="24"/>
    </row>
    <row r="443" spans="1:24">
      <c r="A443" s="22">
        <v>46216</v>
      </c>
      <c r="B443" s="23" t="s">
        <v>34</v>
      </c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>
        <v>0</v>
      </c>
      <c r="N443" s="25"/>
      <c r="O443" s="24"/>
      <c r="P443" s="24"/>
      <c r="Q443" s="24"/>
      <c r="R443" s="24"/>
      <c r="S443" s="24"/>
      <c r="T443" s="24"/>
      <c r="U443" s="24"/>
      <c r="V443" s="24"/>
      <c r="W443" s="24"/>
      <c r="X443" s="24"/>
    </row>
    <row r="444" spans="1:24">
      <c r="A444" s="22">
        <v>46217</v>
      </c>
      <c r="B444" s="23" t="s">
        <v>34</v>
      </c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>
        <v>0</v>
      </c>
      <c r="N444" s="25"/>
      <c r="O444" s="24"/>
      <c r="P444" s="24"/>
      <c r="Q444" s="24"/>
      <c r="R444" s="24"/>
      <c r="S444" s="24"/>
      <c r="T444" s="24"/>
      <c r="U444" s="24"/>
      <c r="V444" s="24"/>
      <c r="W444" s="24"/>
      <c r="X444" s="24"/>
    </row>
    <row r="445" spans="1:24">
      <c r="A445" s="22">
        <v>46218</v>
      </c>
      <c r="B445" s="23" t="s">
        <v>34</v>
      </c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>
        <v>0</v>
      </c>
      <c r="N445" s="25"/>
      <c r="O445" s="24"/>
      <c r="P445" s="24"/>
      <c r="Q445" s="24"/>
      <c r="R445" s="24"/>
      <c r="S445" s="24"/>
      <c r="T445" s="24"/>
      <c r="U445" s="24"/>
      <c r="V445" s="24"/>
      <c r="W445" s="24"/>
      <c r="X445" s="24"/>
    </row>
    <row r="446" spans="1:24">
      <c r="A446" s="22">
        <v>46219</v>
      </c>
      <c r="B446" s="23" t="s">
        <v>34</v>
      </c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>
        <v>0</v>
      </c>
      <c r="N446" s="25"/>
      <c r="O446" s="24"/>
      <c r="P446" s="24"/>
      <c r="Q446" s="24"/>
      <c r="R446" s="24"/>
      <c r="S446" s="24"/>
      <c r="T446" s="24"/>
      <c r="U446" s="24"/>
      <c r="V446" s="24"/>
      <c r="W446" s="24"/>
      <c r="X446" s="24"/>
    </row>
    <row r="447" spans="1:24">
      <c r="A447" s="22">
        <v>46220</v>
      </c>
      <c r="B447" s="23" t="s">
        <v>34</v>
      </c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>
        <v>0</v>
      </c>
      <c r="N447" s="25"/>
      <c r="O447" s="24"/>
      <c r="P447" s="24"/>
      <c r="Q447" s="24"/>
      <c r="R447" s="24"/>
      <c r="S447" s="24"/>
      <c r="T447" s="24"/>
      <c r="U447" s="24"/>
      <c r="V447" s="24"/>
      <c r="W447" s="24"/>
      <c r="X447" s="24"/>
    </row>
    <row r="448" spans="1:24">
      <c r="A448" s="22">
        <v>46221</v>
      </c>
      <c r="B448" s="23" t="s">
        <v>34</v>
      </c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>
        <v>0</v>
      </c>
      <c r="N448" s="25"/>
      <c r="O448" s="24"/>
      <c r="P448" s="24"/>
      <c r="Q448" s="24"/>
      <c r="R448" s="24"/>
      <c r="S448" s="24"/>
      <c r="T448" s="24"/>
      <c r="U448" s="24"/>
      <c r="V448" s="24"/>
      <c r="W448" s="24"/>
      <c r="X448" s="24"/>
    </row>
    <row r="449" spans="1:24">
      <c r="A449" s="22">
        <v>46222</v>
      </c>
      <c r="B449" s="23" t="s">
        <v>34</v>
      </c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>
        <v>0</v>
      </c>
      <c r="N449" s="25"/>
      <c r="O449" s="24"/>
      <c r="P449" s="24"/>
      <c r="Q449" s="24"/>
      <c r="R449" s="24"/>
      <c r="S449" s="24"/>
      <c r="T449" s="24"/>
      <c r="U449" s="24"/>
      <c r="V449" s="24"/>
      <c r="W449" s="24"/>
      <c r="X449" s="24"/>
    </row>
    <row r="450" spans="1:24">
      <c r="A450" s="22">
        <v>46223</v>
      </c>
      <c r="B450" s="23" t="s">
        <v>34</v>
      </c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>
        <v>0</v>
      </c>
      <c r="N450" s="25"/>
      <c r="O450" s="24"/>
      <c r="P450" s="24"/>
      <c r="Q450" s="24"/>
      <c r="R450" s="24"/>
      <c r="S450" s="24"/>
      <c r="T450" s="24"/>
      <c r="U450" s="24"/>
      <c r="V450" s="24"/>
      <c r="W450" s="24"/>
      <c r="X450" s="24"/>
    </row>
    <row r="451" spans="1:24">
      <c r="A451" s="22">
        <v>46224</v>
      </c>
      <c r="B451" s="23" t="s">
        <v>34</v>
      </c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>
        <v>0</v>
      </c>
      <c r="N451" s="25"/>
      <c r="O451" s="24"/>
      <c r="P451" s="24"/>
      <c r="Q451" s="24"/>
      <c r="R451" s="24"/>
      <c r="S451" s="24"/>
      <c r="T451" s="24"/>
      <c r="U451" s="24"/>
      <c r="V451" s="24"/>
      <c r="W451" s="24"/>
      <c r="X451" s="24"/>
    </row>
    <row r="452" spans="1:24">
      <c r="A452" s="22">
        <v>46225</v>
      </c>
      <c r="B452" s="23" t="s">
        <v>34</v>
      </c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>
        <v>0</v>
      </c>
      <c r="N452" s="25"/>
      <c r="O452" s="24"/>
      <c r="P452" s="24"/>
      <c r="Q452" s="24"/>
      <c r="R452" s="24"/>
      <c r="S452" s="24"/>
      <c r="T452" s="24"/>
      <c r="U452" s="24"/>
      <c r="V452" s="24"/>
      <c r="W452" s="24"/>
      <c r="X452" s="24"/>
    </row>
    <row r="453" spans="1:24">
      <c r="A453" s="22">
        <v>46226</v>
      </c>
      <c r="B453" s="23" t="s">
        <v>34</v>
      </c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>
        <v>0</v>
      </c>
      <c r="N453" s="25"/>
      <c r="O453" s="24"/>
      <c r="P453" s="24"/>
      <c r="Q453" s="24"/>
      <c r="R453" s="24"/>
      <c r="S453" s="24"/>
      <c r="T453" s="24"/>
      <c r="U453" s="24"/>
      <c r="V453" s="24"/>
      <c r="W453" s="24"/>
      <c r="X453" s="24"/>
    </row>
    <row r="454" spans="1:24">
      <c r="A454" s="22">
        <v>46227</v>
      </c>
      <c r="B454" s="23" t="s">
        <v>34</v>
      </c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>
        <v>0</v>
      </c>
      <c r="N454" s="25"/>
      <c r="O454" s="24"/>
      <c r="P454" s="24"/>
      <c r="Q454" s="24"/>
      <c r="R454" s="24"/>
      <c r="S454" s="24"/>
      <c r="T454" s="24"/>
      <c r="U454" s="24"/>
      <c r="V454" s="24"/>
      <c r="W454" s="24"/>
      <c r="X454" s="24"/>
    </row>
    <row r="455" spans="1:24">
      <c r="A455" s="22">
        <v>46228</v>
      </c>
      <c r="B455" s="23" t="s">
        <v>34</v>
      </c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>
        <v>0</v>
      </c>
      <c r="N455" s="25"/>
      <c r="O455" s="24"/>
      <c r="P455" s="24"/>
      <c r="Q455" s="24"/>
      <c r="R455" s="24"/>
      <c r="S455" s="24"/>
      <c r="T455" s="24"/>
      <c r="U455" s="24"/>
      <c r="V455" s="24"/>
      <c r="W455" s="24"/>
      <c r="X455" s="24"/>
    </row>
    <row r="456" spans="1:24">
      <c r="A456" s="22">
        <v>46229</v>
      </c>
      <c r="B456" s="23" t="s">
        <v>34</v>
      </c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>
        <v>0</v>
      </c>
      <c r="N456" s="25"/>
      <c r="O456" s="24"/>
      <c r="P456" s="24"/>
      <c r="Q456" s="24"/>
      <c r="R456" s="24"/>
      <c r="S456" s="24"/>
      <c r="T456" s="24"/>
      <c r="U456" s="24"/>
      <c r="V456" s="24"/>
      <c r="W456" s="24"/>
      <c r="X456" s="24"/>
    </row>
    <row r="457" spans="1:24">
      <c r="A457" s="22">
        <v>46230</v>
      </c>
      <c r="B457" s="23" t="s">
        <v>34</v>
      </c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>
        <v>0</v>
      </c>
      <c r="N457" s="25"/>
      <c r="O457" s="24"/>
      <c r="P457" s="24"/>
      <c r="Q457" s="24"/>
      <c r="R457" s="24"/>
      <c r="S457" s="24"/>
      <c r="T457" s="24"/>
      <c r="U457" s="24"/>
      <c r="V457" s="24"/>
      <c r="W457" s="24"/>
      <c r="X457" s="24"/>
    </row>
    <row r="458" spans="1:24">
      <c r="A458" s="22">
        <v>46231</v>
      </c>
      <c r="B458" s="23" t="s">
        <v>34</v>
      </c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>
        <v>0</v>
      </c>
      <c r="N458" s="25"/>
      <c r="O458" s="24"/>
      <c r="P458" s="24"/>
      <c r="Q458" s="24"/>
      <c r="R458" s="24"/>
      <c r="S458" s="24"/>
      <c r="T458" s="24"/>
      <c r="U458" s="24"/>
      <c r="V458" s="24"/>
      <c r="W458" s="24"/>
      <c r="X458" s="24"/>
    </row>
    <row r="459" spans="1:24">
      <c r="A459" s="22">
        <v>46232</v>
      </c>
      <c r="B459" s="23" t="s">
        <v>34</v>
      </c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>
        <v>0</v>
      </c>
      <c r="N459" s="25"/>
      <c r="O459" s="24"/>
      <c r="P459" s="24"/>
      <c r="Q459" s="24"/>
      <c r="R459" s="24"/>
      <c r="S459" s="24"/>
      <c r="T459" s="24"/>
      <c r="U459" s="24"/>
      <c r="V459" s="24"/>
      <c r="W459" s="24"/>
      <c r="X459" s="24"/>
    </row>
    <row r="460" spans="1:24">
      <c r="A460" s="22">
        <v>46233</v>
      </c>
      <c r="B460" s="23" t="s">
        <v>34</v>
      </c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>
        <v>0</v>
      </c>
      <c r="N460" s="25"/>
      <c r="O460" s="24"/>
      <c r="P460" s="24"/>
      <c r="Q460" s="24"/>
      <c r="R460" s="24"/>
      <c r="S460" s="24"/>
      <c r="T460" s="24"/>
      <c r="U460" s="24"/>
      <c r="V460" s="24"/>
      <c r="W460" s="24"/>
      <c r="X460" s="24"/>
    </row>
    <row r="461" spans="1:24">
      <c r="A461" s="22">
        <v>46234</v>
      </c>
      <c r="B461" s="23" t="s">
        <v>34</v>
      </c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>
        <v>0</v>
      </c>
      <c r="N461" s="25"/>
      <c r="O461" s="24"/>
      <c r="P461" s="24"/>
      <c r="Q461" s="24"/>
      <c r="R461" s="24"/>
      <c r="S461" s="24"/>
      <c r="T461" s="24"/>
      <c r="U461" s="24"/>
      <c r="V461" s="24"/>
      <c r="W461" s="24"/>
      <c r="X461" s="24"/>
    </row>
    <row r="462" spans="1:24">
      <c r="A462" s="22">
        <v>46235</v>
      </c>
      <c r="B462" s="23" t="s">
        <v>34</v>
      </c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>
        <v>0</v>
      </c>
      <c r="N462" s="25"/>
      <c r="O462" s="24"/>
      <c r="P462" s="24"/>
      <c r="Q462" s="24"/>
      <c r="R462" s="24"/>
      <c r="S462" s="24"/>
      <c r="T462" s="24"/>
      <c r="U462" s="24"/>
      <c r="V462" s="24"/>
      <c r="W462" s="24"/>
      <c r="X462" s="24"/>
    </row>
    <row r="463" spans="1:24">
      <c r="A463" s="22">
        <v>46236</v>
      </c>
      <c r="B463" s="23" t="s">
        <v>34</v>
      </c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>
        <v>0</v>
      </c>
      <c r="N463" s="25"/>
      <c r="O463" s="24"/>
      <c r="P463" s="24"/>
      <c r="Q463" s="24"/>
      <c r="R463" s="24"/>
      <c r="S463" s="24"/>
      <c r="T463" s="24"/>
      <c r="U463" s="24"/>
      <c r="V463" s="24"/>
      <c r="W463" s="24"/>
      <c r="X463" s="24"/>
    </row>
    <row r="464" spans="1:24">
      <c r="A464" s="22">
        <v>46237</v>
      </c>
      <c r="B464" s="23" t="s">
        <v>34</v>
      </c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>
        <v>0</v>
      </c>
      <c r="N464" s="25"/>
      <c r="O464" s="24"/>
      <c r="P464" s="24"/>
      <c r="Q464" s="24"/>
      <c r="R464" s="24"/>
      <c r="S464" s="24"/>
      <c r="T464" s="24"/>
      <c r="U464" s="24"/>
      <c r="V464" s="24"/>
      <c r="W464" s="24"/>
      <c r="X464" s="24"/>
    </row>
    <row r="465" spans="1:24">
      <c r="A465" s="22">
        <v>46238</v>
      </c>
      <c r="B465" s="23" t="s">
        <v>34</v>
      </c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>
        <v>0</v>
      </c>
      <c r="N465" s="25"/>
      <c r="O465" s="24"/>
      <c r="P465" s="24"/>
      <c r="Q465" s="24"/>
      <c r="R465" s="24"/>
      <c r="S465" s="24"/>
      <c r="T465" s="24"/>
      <c r="U465" s="24"/>
      <c r="V465" s="24"/>
      <c r="W465" s="24"/>
      <c r="X465" s="24"/>
    </row>
    <row r="466" spans="1:24">
      <c r="A466" s="22">
        <v>46239</v>
      </c>
      <c r="B466" s="23" t="s">
        <v>34</v>
      </c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>
        <v>0</v>
      </c>
      <c r="N466" s="25"/>
      <c r="O466" s="24"/>
      <c r="P466" s="24"/>
      <c r="Q466" s="24"/>
      <c r="R466" s="24"/>
      <c r="S466" s="24"/>
      <c r="T466" s="24"/>
      <c r="U466" s="24"/>
      <c r="V466" s="24"/>
      <c r="W466" s="24"/>
      <c r="X466" s="24"/>
    </row>
    <row r="467" spans="1:24">
      <c r="A467" s="22">
        <v>46240</v>
      </c>
      <c r="B467" s="23" t="s">
        <v>34</v>
      </c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>
        <v>0</v>
      </c>
      <c r="N467" s="25"/>
      <c r="O467" s="24"/>
      <c r="P467" s="24"/>
      <c r="Q467" s="24"/>
      <c r="R467" s="24"/>
      <c r="S467" s="24"/>
      <c r="T467" s="24"/>
      <c r="U467" s="24"/>
      <c r="V467" s="24"/>
      <c r="W467" s="24"/>
      <c r="X467" s="24"/>
    </row>
    <row r="468" spans="1:24">
      <c r="A468" s="22">
        <v>46241</v>
      </c>
      <c r="B468" s="23" t="s">
        <v>34</v>
      </c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>
        <v>0</v>
      </c>
      <c r="N468" s="25"/>
      <c r="O468" s="24"/>
      <c r="P468" s="24"/>
      <c r="Q468" s="24"/>
      <c r="R468" s="24"/>
      <c r="S468" s="24"/>
      <c r="T468" s="24"/>
      <c r="U468" s="24"/>
      <c r="V468" s="24"/>
      <c r="W468" s="24"/>
      <c r="X468" s="24"/>
    </row>
    <row r="469" spans="1:24">
      <c r="A469" s="22">
        <v>46242</v>
      </c>
      <c r="B469" s="23" t="s">
        <v>34</v>
      </c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>
        <v>0</v>
      </c>
      <c r="N469" s="25"/>
      <c r="O469" s="24"/>
      <c r="P469" s="24"/>
      <c r="Q469" s="24"/>
      <c r="R469" s="24"/>
      <c r="S469" s="24"/>
      <c r="T469" s="24"/>
      <c r="U469" s="24"/>
      <c r="V469" s="24"/>
      <c r="W469" s="24"/>
      <c r="X469" s="24"/>
    </row>
    <row r="470" spans="1:24">
      <c r="A470" s="22">
        <v>46243</v>
      </c>
      <c r="B470" s="23" t="s">
        <v>34</v>
      </c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>
        <v>0</v>
      </c>
      <c r="N470" s="25"/>
      <c r="O470" s="24"/>
      <c r="P470" s="24"/>
      <c r="Q470" s="24"/>
      <c r="R470" s="24"/>
      <c r="S470" s="24"/>
      <c r="T470" s="24"/>
      <c r="U470" s="24"/>
      <c r="V470" s="24"/>
      <c r="W470" s="24"/>
      <c r="X470" s="24"/>
    </row>
    <row r="471" spans="1:24">
      <c r="A471" s="22">
        <v>46244</v>
      </c>
      <c r="B471" s="23" t="s">
        <v>34</v>
      </c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>
        <v>0</v>
      </c>
      <c r="N471" s="25"/>
      <c r="O471" s="24"/>
      <c r="P471" s="24"/>
      <c r="Q471" s="24"/>
      <c r="R471" s="24"/>
      <c r="S471" s="24"/>
      <c r="T471" s="24"/>
      <c r="U471" s="24"/>
      <c r="V471" s="24"/>
      <c r="W471" s="24"/>
      <c r="X471" s="24"/>
    </row>
    <row r="472" spans="1:24">
      <c r="A472" s="22">
        <v>46245</v>
      </c>
      <c r="B472" s="23" t="s">
        <v>34</v>
      </c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>
        <v>0</v>
      </c>
      <c r="N472" s="25"/>
      <c r="O472" s="24"/>
      <c r="P472" s="24"/>
      <c r="Q472" s="24"/>
      <c r="R472" s="24"/>
      <c r="S472" s="24"/>
      <c r="T472" s="24"/>
      <c r="U472" s="24"/>
      <c r="V472" s="24"/>
      <c r="W472" s="24"/>
      <c r="X472" s="24"/>
    </row>
    <row r="473" spans="1:24">
      <c r="A473" s="22">
        <v>46246</v>
      </c>
      <c r="B473" s="23" t="s">
        <v>34</v>
      </c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>
        <v>0</v>
      </c>
      <c r="N473" s="25"/>
      <c r="O473" s="24"/>
      <c r="P473" s="24"/>
      <c r="Q473" s="24"/>
      <c r="R473" s="24"/>
      <c r="S473" s="24"/>
      <c r="T473" s="24"/>
      <c r="U473" s="24"/>
      <c r="V473" s="24"/>
      <c r="W473" s="24"/>
      <c r="X473" s="24"/>
    </row>
    <row r="474" spans="1:24">
      <c r="A474" s="22">
        <v>46247</v>
      </c>
      <c r="B474" s="23" t="s">
        <v>34</v>
      </c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>
        <v>0</v>
      </c>
      <c r="N474" s="25"/>
      <c r="O474" s="24"/>
      <c r="P474" s="24"/>
      <c r="Q474" s="24"/>
      <c r="R474" s="24"/>
      <c r="S474" s="24"/>
      <c r="T474" s="24"/>
      <c r="U474" s="24"/>
      <c r="V474" s="24"/>
      <c r="W474" s="24"/>
      <c r="X474" s="24"/>
    </row>
    <row r="475" spans="1:24">
      <c r="A475" s="22">
        <v>46248</v>
      </c>
      <c r="B475" s="23" t="s">
        <v>34</v>
      </c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>
        <v>0</v>
      </c>
      <c r="N475" s="25"/>
      <c r="O475" s="24"/>
      <c r="P475" s="24"/>
      <c r="Q475" s="24"/>
      <c r="R475" s="24"/>
      <c r="S475" s="24"/>
      <c r="T475" s="24"/>
      <c r="U475" s="24"/>
      <c r="V475" s="24"/>
      <c r="W475" s="24"/>
      <c r="X475" s="24"/>
    </row>
    <row r="476" spans="1:24">
      <c r="A476" s="22">
        <v>46249</v>
      </c>
      <c r="B476" s="23" t="s">
        <v>34</v>
      </c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>
        <v>0</v>
      </c>
      <c r="N476" s="25"/>
      <c r="O476" s="24"/>
      <c r="P476" s="24"/>
      <c r="Q476" s="24"/>
      <c r="R476" s="24"/>
      <c r="S476" s="24"/>
      <c r="T476" s="24"/>
      <c r="U476" s="24"/>
      <c r="V476" s="24"/>
      <c r="W476" s="24"/>
      <c r="X476" s="24"/>
    </row>
    <row r="477" spans="1:24">
      <c r="A477" s="22">
        <v>46250</v>
      </c>
      <c r="B477" s="23" t="s">
        <v>34</v>
      </c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>
        <v>0</v>
      </c>
      <c r="N477" s="25"/>
      <c r="O477" s="24"/>
      <c r="P477" s="24"/>
      <c r="Q477" s="24"/>
      <c r="R477" s="24"/>
      <c r="S477" s="24"/>
      <c r="T477" s="24"/>
      <c r="U477" s="24"/>
      <c r="V477" s="24"/>
      <c r="W477" s="24"/>
      <c r="X477" s="24"/>
    </row>
    <row r="478" spans="1:24">
      <c r="A478" s="22">
        <v>46251</v>
      </c>
      <c r="B478" s="23" t="s">
        <v>34</v>
      </c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>
        <v>0</v>
      </c>
      <c r="N478" s="25"/>
      <c r="O478" s="24"/>
      <c r="P478" s="24"/>
      <c r="Q478" s="24"/>
      <c r="R478" s="24"/>
      <c r="S478" s="24"/>
      <c r="T478" s="24"/>
      <c r="U478" s="24"/>
      <c r="V478" s="24"/>
      <c r="W478" s="24"/>
      <c r="X478" s="24"/>
    </row>
    <row r="479" spans="1:24">
      <c r="A479" s="22">
        <v>46252</v>
      </c>
      <c r="B479" s="23" t="s">
        <v>34</v>
      </c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>
        <v>0</v>
      </c>
      <c r="N479" s="25"/>
      <c r="O479" s="24"/>
      <c r="P479" s="24"/>
      <c r="Q479" s="24"/>
      <c r="R479" s="24"/>
      <c r="S479" s="24"/>
      <c r="T479" s="24"/>
      <c r="U479" s="24"/>
      <c r="V479" s="24"/>
      <c r="W479" s="24"/>
      <c r="X479" s="24"/>
    </row>
    <row r="480" spans="1:24">
      <c r="A480" s="22">
        <v>46253</v>
      </c>
      <c r="B480" s="23" t="s">
        <v>34</v>
      </c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>
        <v>0</v>
      </c>
      <c r="N480" s="25"/>
      <c r="O480" s="24"/>
      <c r="P480" s="24"/>
      <c r="Q480" s="24"/>
      <c r="R480" s="24"/>
      <c r="S480" s="24"/>
      <c r="T480" s="24"/>
      <c r="U480" s="24"/>
      <c r="V480" s="24"/>
      <c r="W480" s="24"/>
      <c r="X480" s="24"/>
    </row>
    <row r="481" spans="1:24">
      <c r="A481" s="22">
        <v>46254</v>
      </c>
      <c r="B481" s="23" t="s">
        <v>34</v>
      </c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>
        <v>0</v>
      </c>
      <c r="N481" s="25"/>
      <c r="O481" s="24"/>
      <c r="P481" s="24"/>
      <c r="Q481" s="24"/>
      <c r="R481" s="24"/>
      <c r="S481" s="24"/>
      <c r="T481" s="24"/>
      <c r="U481" s="24"/>
      <c r="V481" s="24"/>
      <c r="W481" s="24"/>
      <c r="X481" s="24"/>
    </row>
    <row r="482" spans="1:24">
      <c r="A482" s="22">
        <v>46255</v>
      </c>
      <c r="B482" s="23" t="s">
        <v>34</v>
      </c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>
        <v>0</v>
      </c>
      <c r="N482" s="25"/>
      <c r="O482" s="24"/>
      <c r="P482" s="24"/>
      <c r="Q482" s="24"/>
      <c r="R482" s="24"/>
      <c r="S482" s="24"/>
      <c r="T482" s="24"/>
      <c r="U482" s="24"/>
      <c r="V482" s="24"/>
      <c r="W482" s="24"/>
      <c r="X482" s="24"/>
    </row>
    <row r="483" spans="1:24">
      <c r="A483" s="22">
        <v>46256</v>
      </c>
      <c r="B483" s="23" t="s">
        <v>34</v>
      </c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>
        <v>0</v>
      </c>
      <c r="N483" s="25"/>
      <c r="O483" s="24"/>
      <c r="P483" s="24"/>
      <c r="Q483" s="24"/>
      <c r="R483" s="24"/>
      <c r="S483" s="24"/>
      <c r="T483" s="24"/>
      <c r="U483" s="24"/>
      <c r="V483" s="24"/>
      <c r="W483" s="24"/>
      <c r="X483" s="24"/>
    </row>
    <row r="484" spans="1:24">
      <c r="A484" s="22">
        <v>46257</v>
      </c>
      <c r="B484" s="23" t="s">
        <v>34</v>
      </c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>
        <v>0</v>
      </c>
      <c r="N484" s="25"/>
      <c r="O484" s="24"/>
      <c r="P484" s="24"/>
      <c r="Q484" s="24"/>
      <c r="R484" s="24"/>
      <c r="S484" s="24"/>
      <c r="T484" s="24"/>
      <c r="U484" s="24"/>
      <c r="V484" s="24"/>
      <c r="W484" s="24"/>
      <c r="X484" s="24"/>
    </row>
    <row r="485" spans="1:24">
      <c r="A485" s="22">
        <v>46258</v>
      </c>
      <c r="B485" s="23" t="s">
        <v>34</v>
      </c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>
        <v>0</v>
      </c>
      <c r="N485" s="25"/>
      <c r="O485" s="24"/>
      <c r="P485" s="24"/>
      <c r="Q485" s="24"/>
      <c r="R485" s="24"/>
      <c r="S485" s="24"/>
      <c r="T485" s="24"/>
      <c r="U485" s="24"/>
      <c r="V485" s="24"/>
      <c r="W485" s="24"/>
      <c r="X485" s="24"/>
    </row>
    <row r="486" spans="1:24">
      <c r="A486" s="22">
        <v>46259</v>
      </c>
      <c r="B486" s="23" t="s">
        <v>34</v>
      </c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>
        <v>0</v>
      </c>
      <c r="N486" s="25"/>
      <c r="O486" s="24"/>
      <c r="P486" s="24"/>
      <c r="Q486" s="24"/>
      <c r="R486" s="24"/>
      <c r="S486" s="24"/>
      <c r="T486" s="24"/>
      <c r="U486" s="24"/>
      <c r="V486" s="24"/>
      <c r="W486" s="24"/>
      <c r="X486" s="24"/>
    </row>
    <row r="487" spans="1:24">
      <c r="A487" s="22">
        <v>46260</v>
      </c>
      <c r="B487" s="23" t="s">
        <v>34</v>
      </c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>
        <v>0</v>
      </c>
      <c r="N487" s="25"/>
      <c r="O487" s="24"/>
      <c r="P487" s="24"/>
      <c r="Q487" s="24"/>
      <c r="R487" s="24"/>
      <c r="S487" s="24"/>
      <c r="T487" s="24"/>
      <c r="U487" s="24"/>
      <c r="V487" s="24"/>
      <c r="W487" s="24"/>
      <c r="X487" s="24"/>
    </row>
    <row r="488" spans="1:24">
      <c r="A488" s="22">
        <v>46261</v>
      </c>
      <c r="B488" s="23" t="s">
        <v>34</v>
      </c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>
        <v>0</v>
      </c>
      <c r="N488" s="25"/>
      <c r="O488" s="24"/>
      <c r="P488" s="24"/>
      <c r="Q488" s="24"/>
      <c r="R488" s="24"/>
      <c r="S488" s="24"/>
      <c r="T488" s="24"/>
      <c r="U488" s="24"/>
      <c r="V488" s="24"/>
      <c r="W488" s="24"/>
      <c r="X488" s="24"/>
    </row>
    <row r="489" spans="1:24">
      <c r="A489" s="22">
        <v>46262</v>
      </c>
      <c r="B489" s="23" t="s">
        <v>34</v>
      </c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>
        <v>0</v>
      </c>
      <c r="N489" s="25"/>
      <c r="O489" s="24"/>
      <c r="P489" s="24"/>
      <c r="Q489" s="24"/>
      <c r="R489" s="24"/>
      <c r="S489" s="24"/>
      <c r="T489" s="24"/>
      <c r="U489" s="24"/>
      <c r="V489" s="24"/>
      <c r="W489" s="24"/>
      <c r="X489" s="24"/>
    </row>
    <row r="490" spans="1:24">
      <c r="A490" s="22">
        <v>46263</v>
      </c>
      <c r="B490" s="23" t="s">
        <v>34</v>
      </c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>
        <v>0</v>
      </c>
      <c r="N490" s="25"/>
      <c r="O490" s="24"/>
      <c r="P490" s="24"/>
      <c r="Q490" s="24"/>
      <c r="R490" s="24"/>
      <c r="S490" s="24"/>
      <c r="T490" s="24"/>
      <c r="U490" s="24"/>
      <c r="V490" s="24"/>
      <c r="W490" s="24"/>
      <c r="X490" s="24"/>
    </row>
    <row r="491" spans="1:24">
      <c r="A491" s="22">
        <v>46264</v>
      </c>
      <c r="B491" s="23" t="s">
        <v>34</v>
      </c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>
        <v>0</v>
      </c>
      <c r="N491" s="25"/>
      <c r="O491" s="24"/>
      <c r="P491" s="24"/>
      <c r="Q491" s="24"/>
      <c r="R491" s="24"/>
      <c r="S491" s="24"/>
      <c r="T491" s="24"/>
      <c r="U491" s="24"/>
      <c r="V491" s="24"/>
      <c r="W491" s="24"/>
      <c r="X491" s="24"/>
    </row>
    <row r="492" spans="1:24">
      <c r="A492" s="22">
        <v>46265</v>
      </c>
      <c r="B492" s="23" t="s">
        <v>34</v>
      </c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>
        <v>0</v>
      </c>
      <c r="N492" s="25"/>
      <c r="O492" s="24"/>
      <c r="P492" s="24"/>
      <c r="Q492" s="24"/>
      <c r="R492" s="24"/>
      <c r="S492" s="24"/>
      <c r="T492" s="24"/>
      <c r="U492" s="24"/>
      <c r="V492" s="24"/>
      <c r="W492" s="24"/>
      <c r="X492" s="24"/>
    </row>
    <row r="493" spans="1:24">
      <c r="A493" s="22">
        <v>46266</v>
      </c>
      <c r="B493" s="23" t="s">
        <v>34</v>
      </c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>
        <v>0</v>
      </c>
      <c r="N493" s="25"/>
      <c r="O493" s="24"/>
      <c r="P493" s="24"/>
      <c r="Q493" s="24"/>
      <c r="R493" s="24"/>
      <c r="S493" s="24"/>
      <c r="T493" s="24"/>
      <c r="U493" s="24"/>
      <c r="V493" s="24"/>
      <c r="W493" s="24"/>
      <c r="X493" s="24"/>
    </row>
    <row r="494" spans="1:24">
      <c r="A494" s="22">
        <v>46267</v>
      </c>
      <c r="B494" s="23" t="s">
        <v>34</v>
      </c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>
        <v>0</v>
      </c>
      <c r="N494" s="25"/>
      <c r="O494" s="24"/>
      <c r="P494" s="24"/>
      <c r="Q494" s="24"/>
      <c r="R494" s="24"/>
      <c r="S494" s="24"/>
      <c r="T494" s="24"/>
      <c r="U494" s="24"/>
      <c r="V494" s="24"/>
      <c r="W494" s="24"/>
      <c r="X494" s="24"/>
    </row>
    <row r="495" spans="1:24">
      <c r="A495" s="22">
        <v>46268</v>
      </c>
      <c r="B495" s="23" t="s">
        <v>34</v>
      </c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>
        <v>0</v>
      </c>
      <c r="N495" s="25"/>
      <c r="O495" s="24"/>
      <c r="P495" s="24"/>
      <c r="Q495" s="24"/>
      <c r="R495" s="24"/>
      <c r="S495" s="24"/>
      <c r="T495" s="24"/>
      <c r="U495" s="24"/>
      <c r="V495" s="24"/>
      <c r="W495" s="24"/>
      <c r="X495" s="24"/>
    </row>
    <row r="496" spans="1:24">
      <c r="A496" s="22">
        <v>46269</v>
      </c>
      <c r="B496" s="23" t="s">
        <v>34</v>
      </c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>
        <v>0</v>
      </c>
      <c r="N496" s="25"/>
      <c r="O496" s="24"/>
      <c r="P496" s="24"/>
      <c r="Q496" s="24"/>
      <c r="R496" s="24"/>
      <c r="S496" s="24"/>
      <c r="T496" s="24"/>
      <c r="U496" s="24"/>
      <c r="V496" s="24"/>
      <c r="W496" s="24"/>
      <c r="X496" s="24"/>
    </row>
    <row r="497" spans="1:24">
      <c r="A497" s="22">
        <v>46270</v>
      </c>
      <c r="B497" s="23" t="s">
        <v>34</v>
      </c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>
        <v>0</v>
      </c>
      <c r="N497" s="25"/>
      <c r="O497" s="24"/>
      <c r="P497" s="24"/>
      <c r="Q497" s="24"/>
      <c r="R497" s="24"/>
      <c r="S497" s="24"/>
      <c r="T497" s="24"/>
      <c r="U497" s="24"/>
      <c r="V497" s="24"/>
      <c r="W497" s="24"/>
      <c r="X497" s="24"/>
    </row>
    <row r="498" spans="1:24">
      <c r="A498" s="22">
        <v>46271</v>
      </c>
      <c r="B498" s="23" t="s">
        <v>34</v>
      </c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>
        <v>0</v>
      </c>
      <c r="N498" s="25"/>
      <c r="O498" s="24"/>
      <c r="P498" s="24"/>
      <c r="Q498" s="24"/>
      <c r="R498" s="24"/>
      <c r="S498" s="24"/>
      <c r="T498" s="24"/>
      <c r="U498" s="24"/>
      <c r="V498" s="24"/>
      <c r="W498" s="24"/>
      <c r="X498" s="24"/>
    </row>
    <row r="499" spans="1:24">
      <c r="A499" s="22">
        <v>46272</v>
      </c>
      <c r="B499" s="23" t="s">
        <v>34</v>
      </c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>
        <v>0</v>
      </c>
      <c r="N499" s="25"/>
      <c r="O499" s="24"/>
      <c r="P499" s="24"/>
      <c r="Q499" s="24"/>
      <c r="R499" s="24"/>
      <c r="S499" s="24"/>
      <c r="T499" s="24"/>
      <c r="U499" s="24"/>
      <c r="V499" s="24"/>
      <c r="W499" s="24"/>
      <c r="X499" s="24"/>
    </row>
    <row r="500" spans="1:24">
      <c r="A500" s="22">
        <v>46273</v>
      </c>
      <c r="B500" s="23" t="s">
        <v>34</v>
      </c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>
        <v>0</v>
      </c>
      <c r="N500" s="25"/>
      <c r="O500" s="24"/>
      <c r="P500" s="24"/>
      <c r="Q500" s="24"/>
      <c r="R500" s="24"/>
      <c r="S500" s="24"/>
      <c r="T500" s="24"/>
      <c r="U500" s="24"/>
      <c r="V500" s="24"/>
      <c r="W500" s="24"/>
      <c r="X500" s="24"/>
    </row>
    <row r="501" spans="1:24">
      <c r="A501" s="22">
        <v>46274</v>
      </c>
      <c r="B501" s="23" t="s">
        <v>34</v>
      </c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>
        <v>0</v>
      </c>
      <c r="N501" s="25"/>
      <c r="O501" s="24"/>
      <c r="P501" s="24"/>
      <c r="Q501" s="24"/>
      <c r="R501" s="24"/>
      <c r="S501" s="24"/>
      <c r="T501" s="24"/>
      <c r="U501" s="24"/>
      <c r="V501" s="24"/>
      <c r="W501" s="24"/>
      <c r="X501" s="24"/>
    </row>
    <row r="502" spans="1:24">
      <c r="A502" s="22">
        <v>46275</v>
      </c>
      <c r="B502" s="23" t="s">
        <v>34</v>
      </c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>
        <v>0</v>
      </c>
      <c r="N502" s="25"/>
      <c r="O502" s="24"/>
      <c r="P502" s="24"/>
      <c r="Q502" s="24"/>
      <c r="R502" s="24"/>
      <c r="S502" s="24"/>
      <c r="T502" s="24"/>
      <c r="U502" s="24"/>
      <c r="V502" s="24"/>
      <c r="W502" s="24"/>
      <c r="X502" s="24"/>
    </row>
    <row r="503" spans="1:24">
      <c r="A503" s="22">
        <v>46276</v>
      </c>
      <c r="B503" s="23" t="s">
        <v>34</v>
      </c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>
        <v>0</v>
      </c>
      <c r="N503" s="25"/>
      <c r="O503" s="24"/>
      <c r="P503" s="24"/>
      <c r="Q503" s="24"/>
      <c r="R503" s="24"/>
      <c r="S503" s="24"/>
      <c r="T503" s="24"/>
      <c r="U503" s="24"/>
      <c r="V503" s="24"/>
      <c r="W503" s="24"/>
      <c r="X503" s="24"/>
    </row>
    <row r="504" spans="1:24">
      <c r="A504" s="22">
        <v>46277</v>
      </c>
      <c r="B504" s="23" t="s">
        <v>34</v>
      </c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>
        <v>0</v>
      </c>
      <c r="N504" s="25"/>
      <c r="O504" s="24"/>
      <c r="P504" s="24"/>
      <c r="Q504" s="24"/>
      <c r="R504" s="24"/>
      <c r="S504" s="24"/>
      <c r="T504" s="24"/>
      <c r="U504" s="24"/>
      <c r="V504" s="24"/>
      <c r="W504" s="24"/>
      <c r="X504" s="24"/>
    </row>
    <row r="505" spans="1:24">
      <c r="A505" s="22">
        <v>46278</v>
      </c>
      <c r="B505" s="23" t="s">
        <v>34</v>
      </c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>
        <v>0</v>
      </c>
      <c r="N505" s="25"/>
      <c r="O505" s="24"/>
      <c r="P505" s="24"/>
      <c r="Q505" s="24"/>
      <c r="R505" s="24"/>
      <c r="S505" s="24"/>
      <c r="T505" s="24"/>
      <c r="U505" s="24"/>
      <c r="V505" s="24"/>
      <c r="W505" s="24"/>
      <c r="X505" s="24"/>
    </row>
    <row r="506" spans="1:24">
      <c r="A506" s="22">
        <v>46279</v>
      </c>
      <c r="B506" s="23" t="s">
        <v>34</v>
      </c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>
        <v>0</v>
      </c>
      <c r="N506" s="25"/>
      <c r="O506" s="24"/>
      <c r="P506" s="24"/>
      <c r="Q506" s="24"/>
      <c r="R506" s="24"/>
      <c r="S506" s="24"/>
      <c r="T506" s="24"/>
      <c r="U506" s="24"/>
      <c r="V506" s="24"/>
      <c r="W506" s="24"/>
      <c r="X506" s="24"/>
    </row>
    <row r="507" spans="1:24">
      <c r="A507" s="22">
        <v>46280</v>
      </c>
      <c r="B507" s="23" t="s">
        <v>34</v>
      </c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>
        <v>0</v>
      </c>
      <c r="N507" s="25"/>
      <c r="O507" s="24"/>
      <c r="P507" s="24"/>
      <c r="Q507" s="24"/>
      <c r="R507" s="24"/>
      <c r="S507" s="24"/>
      <c r="T507" s="24"/>
      <c r="U507" s="24"/>
      <c r="V507" s="24"/>
      <c r="W507" s="24"/>
      <c r="X507" s="24"/>
    </row>
    <row r="508" spans="1:24">
      <c r="A508" s="22">
        <v>46281</v>
      </c>
      <c r="B508" s="23" t="s">
        <v>34</v>
      </c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>
        <v>0</v>
      </c>
      <c r="N508" s="25"/>
      <c r="O508" s="24"/>
      <c r="P508" s="24"/>
      <c r="Q508" s="24"/>
      <c r="R508" s="24"/>
      <c r="S508" s="24"/>
      <c r="T508" s="24"/>
      <c r="U508" s="24"/>
      <c r="V508" s="24"/>
      <c r="W508" s="24"/>
      <c r="X508" s="24"/>
    </row>
    <row r="509" spans="1:24">
      <c r="A509" s="22">
        <v>46282</v>
      </c>
      <c r="B509" s="23" t="s">
        <v>34</v>
      </c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>
        <v>0</v>
      </c>
      <c r="N509" s="25"/>
      <c r="O509" s="24"/>
      <c r="P509" s="24"/>
      <c r="Q509" s="24"/>
      <c r="R509" s="24"/>
      <c r="S509" s="24"/>
      <c r="T509" s="24"/>
      <c r="U509" s="24"/>
      <c r="V509" s="24"/>
      <c r="W509" s="24"/>
      <c r="X509" s="24"/>
    </row>
    <row r="510" spans="1:24">
      <c r="A510" s="22">
        <v>46283</v>
      </c>
      <c r="B510" s="23" t="s">
        <v>34</v>
      </c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>
        <v>0</v>
      </c>
      <c r="N510" s="25"/>
      <c r="O510" s="24"/>
      <c r="P510" s="24"/>
      <c r="Q510" s="24"/>
      <c r="R510" s="24"/>
      <c r="S510" s="24"/>
      <c r="T510" s="24"/>
      <c r="U510" s="24"/>
      <c r="V510" s="24"/>
      <c r="W510" s="24"/>
      <c r="X510" s="24"/>
    </row>
    <row r="511" spans="1:24">
      <c r="A511" s="22">
        <v>46284</v>
      </c>
      <c r="B511" s="23" t="s">
        <v>34</v>
      </c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>
        <v>0</v>
      </c>
      <c r="N511" s="25"/>
      <c r="O511" s="24"/>
      <c r="P511" s="24"/>
      <c r="Q511" s="24"/>
      <c r="R511" s="24"/>
      <c r="S511" s="24"/>
      <c r="T511" s="24"/>
      <c r="U511" s="24"/>
      <c r="V511" s="24"/>
      <c r="W511" s="24"/>
      <c r="X511" s="24"/>
    </row>
    <row r="512" spans="1:24">
      <c r="A512" s="22">
        <v>46285</v>
      </c>
      <c r="B512" s="23" t="s">
        <v>34</v>
      </c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>
        <v>0</v>
      </c>
      <c r="N512" s="25"/>
      <c r="O512" s="24"/>
      <c r="P512" s="24"/>
      <c r="Q512" s="24"/>
      <c r="R512" s="24"/>
      <c r="S512" s="24"/>
      <c r="T512" s="24"/>
      <c r="U512" s="24"/>
      <c r="V512" s="24"/>
      <c r="W512" s="24"/>
      <c r="X512" s="24"/>
    </row>
    <row r="513" spans="1:24">
      <c r="A513" s="22">
        <v>46286</v>
      </c>
      <c r="B513" s="23" t="s">
        <v>34</v>
      </c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>
        <v>0</v>
      </c>
      <c r="N513" s="25"/>
      <c r="O513" s="24"/>
      <c r="P513" s="24"/>
      <c r="Q513" s="24"/>
      <c r="R513" s="24"/>
      <c r="S513" s="24"/>
      <c r="T513" s="24"/>
      <c r="U513" s="24"/>
      <c r="V513" s="24"/>
      <c r="W513" s="24"/>
      <c r="X513" s="24"/>
    </row>
    <row r="514" spans="1:24">
      <c r="A514" s="22">
        <v>46287</v>
      </c>
      <c r="B514" s="23" t="s">
        <v>34</v>
      </c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>
        <v>0</v>
      </c>
      <c r="N514" s="25"/>
      <c r="O514" s="24"/>
      <c r="P514" s="24"/>
      <c r="Q514" s="24"/>
      <c r="R514" s="24"/>
      <c r="S514" s="24"/>
      <c r="T514" s="24"/>
      <c r="U514" s="24"/>
      <c r="V514" s="24"/>
      <c r="W514" s="24"/>
      <c r="X514" s="24"/>
    </row>
    <row r="515" spans="1:24">
      <c r="A515" s="22">
        <v>46288</v>
      </c>
      <c r="B515" s="23" t="s">
        <v>34</v>
      </c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>
        <v>0</v>
      </c>
      <c r="N515" s="25"/>
      <c r="O515" s="24"/>
      <c r="P515" s="24"/>
      <c r="Q515" s="24"/>
      <c r="R515" s="24"/>
      <c r="S515" s="24"/>
      <c r="T515" s="24"/>
      <c r="U515" s="24"/>
      <c r="V515" s="24"/>
      <c r="W515" s="24"/>
      <c r="X515" s="24"/>
    </row>
    <row r="516" spans="1:24">
      <c r="A516" s="22">
        <v>46289</v>
      </c>
      <c r="B516" s="23" t="s">
        <v>34</v>
      </c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>
        <v>0</v>
      </c>
      <c r="N516" s="25"/>
      <c r="O516" s="24"/>
      <c r="P516" s="24"/>
      <c r="Q516" s="24"/>
      <c r="R516" s="24"/>
      <c r="S516" s="24"/>
      <c r="T516" s="24"/>
      <c r="U516" s="24"/>
      <c r="V516" s="24"/>
      <c r="W516" s="24"/>
      <c r="X516" s="24"/>
    </row>
    <row r="517" spans="1:24">
      <c r="A517" s="22">
        <v>46290</v>
      </c>
      <c r="B517" s="23" t="s">
        <v>34</v>
      </c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>
        <v>0</v>
      </c>
      <c r="N517" s="25"/>
      <c r="O517" s="24"/>
      <c r="P517" s="24"/>
      <c r="Q517" s="24"/>
      <c r="R517" s="24"/>
      <c r="S517" s="24"/>
      <c r="T517" s="24"/>
      <c r="U517" s="24"/>
      <c r="V517" s="24"/>
      <c r="W517" s="24"/>
      <c r="X517" s="24"/>
    </row>
    <row r="518" spans="1:24">
      <c r="A518" s="22">
        <v>46291</v>
      </c>
      <c r="B518" s="23" t="s">
        <v>34</v>
      </c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>
        <v>0</v>
      </c>
      <c r="N518" s="25"/>
      <c r="O518" s="24"/>
      <c r="P518" s="24"/>
      <c r="Q518" s="24"/>
      <c r="R518" s="24"/>
      <c r="S518" s="24"/>
      <c r="T518" s="24"/>
      <c r="U518" s="24"/>
      <c r="V518" s="24"/>
      <c r="W518" s="24"/>
      <c r="X518" s="24"/>
    </row>
    <row r="519" spans="1:24">
      <c r="A519" s="22">
        <v>46292</v>
      </c>
      <c r="B519" s="23" t="s">
        <v>34</v>
      </c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>
        <v>0</v>
      </c>
      <c r="N519" s="25"/>
      <c r="O519" s="24"/>
      <c r="P519" s="24"/>
      <c r="Q519" s="24"/>
      <c r="R519" s="24"/>
      <c r="S519" s="24"/>
      <c r="T519" s="24"/>
      <c r="U519" s="24"/>
      <c r="V519" s="24"/>
      <c r="W519" s="24"/>
      <c r="X519" s="24"/>
    </row>
    <row r="520" spans="1:24">
      <c r="A520" s="22">
        <v>46293</v>
      </c>
      <c r="B520" s="23" t="s">
        <v>34</v>
      </c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>
        <v>0</v>
      </c>
      <c r="N520" s="25"/>
      <c r="O520" s="24"/>
      <c r="P520" s="24"/>
      <c r="Q520" s="24"/>
      <c r="R520" s="24"/>
      <c r="S520" s="24"/>
      <c r="T520" s="24"/>
      <c r="U520" s="24"/>
      <c r="V520" s="24"/>
      <c r="W520" s="24"/>
      <c r="X520" s="24"/>
    </row>
    <row r="521" spans="1:24">
      <c r="A521" s="22">
        <v>46294</v>
      </c>
      <c r="B521" s="23" t="s">
        <v>34</v>
      </c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>
        <v>0</v>
      </c>
      <c r="N521" s="25"/>
      <c r="O521" s="24"/>
      <c r="P521" s="24"/>
      <c r="Q521" s="24"/>
      <c r="R521" s="24"/>
      <c r="S521" s="24"/>
      <c r="T521" s="24"/>
      <c r="U521" s="24"/>
      <c r="V521" s="24"/>
      <c r="W521" s="24"/>
      <c r="X521" s="24"/>
    </row>
    <row r="522" spans="1:24">
      <c r="A522" s="22">
        <v>46295</v>
      </c>
      <c r="B522" s="23" t="s">
        <v>34</v>
      </c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>
        <v>0</v>
      </c>
      <c r="N522" s="25"/>
      <c r="O522" s="24"/>
      <c r="P522" s="24"/>
      <c r="Q522" s="24"/>
      <c r="R522" s="24"/>
      <c r="S522" s="24"/>
      <c r="T522" s="24"/>
      <c r="U522" s="24"/>
      <c r="V522" s="24"/>
      <c r="W522" s="24"/>
      <c r="X522" s="24"/>
    </row>
    <row r="523" spans="1:24">
      <c r="A523" s="22">
        <v>46296</v>
      </c>
      <c r="B523" s="23" t="s">
        <v>34</v>
      </c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>
        <v>0</v>
      </c>
      <c r="N523" s="25"/>
      <c r="O523" s="24"/>
      <c r="P523" s="24"/>
      <c r="Q523" s="24"/>
      <c r="R523" s="24"/>
      <c r="S523" s="24"/>
      <c r="T523" s="24"/>
      <c r="U523" s="24"/>
      <c r="V523" s="24"/>
      <c r="W523" s="24"/>
      <c r="X523" s="24"/>
    </row>
    <row r="524" spans="1:24">
      <c r="A524" s="22">
        <v>46297</v>
      </c>
      <c r="B524" s="23" t="s">
        <v>34</v>
      </c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>
        <v>0</v>
      </c>
      <c r="N524" s="25"/>
      <c r="O524" s="24"/>
      <c r="P524" s="24"/>
      <c r="Q524" s="24"/>
      <c r="R524" s="24"/>
      <c r="S524" s="24"/>
      <c r="T524" s="24"/>
      <c r="U524" s="24"/>
      <c r="V524" s="24"/>
      <c r="W524" s="24"/>
      <c r="X524" s="24"/>
    </row>
    <row r="525" spans="1:24">
      <c r="A525" s="22">
        <v>46298</v>
      </c>
      <c r="B525" s="23" t="s">
        <v>34</v>
      </c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>
        <v>0</v>
      </c>
      <c r="N525" s="25"/>
      <c r="O525" s="24"/>
      <c r="P525" s="24"/>
      <c r="Q525" s="24"/>
      <c r="R525" s="24"/>
      <c r="S525" s="24"/>
      <c r="T525" s="24"/>
      <c r="U525" s="24"/>
      <c r="V525" s="24"/>
      <c r="W525" s="24"/>
      <c r="X525" s="24"/>
    </row>
    <row r="526" spans="1:24">
      <c r="A526" s="22">
        <v>46299</v>
      </c>
      <c r="B526" s="23" t="s">
        <v>34</v>
      </c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>
        <v>0</v>
      </c>
      <c r="N526" s="25"/>
      <c r="O526" s="24"/>
      <c r="P526" s="24"/>
      <c r="Q526" s="24"/>
      <c r="R526" s="24"/>
      <c r="S526" s="24"/>
      <c r="T526" s="24"/>
      <c r="U526" s="24"/>
      <c r="V526" s="24"/>
      <c r="W526" s="24"/>
      <c r="X526" s="24"/>
    </row>
    <row r="527" spans="1:24">
      <c r="A527" s="22">
        <v>46300</v>
      </c>
      <c r="B527" s="23" t="s">
        <v>34</v>
      </c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>
        <v>0</v>
      </c>
      <c r="N527" s="25"/>
      <c r="O527" s="24"/>
      <c r="P527" s="24"/>
      <c r="Q527" s="24"/>
      <c r="R527" s="24"/>
      <c r="S527" s="24"/>
      <c r="T527" s="24"/>
      <c r="U527" s="24"/>
      <c r="V527" s="24"/>
      <c r="W527" s="24"/>
      <c r="X527" s="24"/>
    </row>
    <row r="528" spans="1:24">
      <c r="A528" s="22">
        <v>46301</v>
      </c>
      <c r="B528" s="23" t="s">
        <v>34</v>
      </c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>
        <v>0</v>
      </c>
      <c r="N528" s="25"/>
      <c r="O528" s="24"/>
      <c r="P528" s="24"/>
      <c r="Q528" s="24"/>
      <c r="R528" s="24"/>
      <c r="S528" s="24"/>
      <c r="T528" s="24"/>
      <c r="U528" s="24"/>
      <c r="V528" s="24"/>
      <c r="W528" s="24"/>
      <c r="X528" s="24"/>
    </row>
    <row r="529" spans="1:24">
      <c r="A529" s="22">
        <v>46302</v>
      </c>
      <c r="B529" s="23" t="s">
        <v>34</v>
      </c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>
        <v>0</v>
      </c>
      <c r="N529" s="25"/>
      <c r="O529" s="24"/>
      <c r="P529" s="24"/>
      <c r="Q529" s="24"/>
      <c r="R529" s="24"/>
      <c r="S529" s="24"/>
      <c r="T529" s="24"/>
      <c r="U529" s="24"/>
      <c r="V529" s="24"/>
      <c r="W529" s="24"/>
      <c r="X529" s="24"/>
    </row>
    <row r="530" spans="1:24">
      <c r="A530" s="22">
        <v>46303</v>
      </c>
      <c r="B530" s="23" t="s">
        <v>34</v>
      </c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>
        <v>0</v>
      </c>
      <c r="N530" s="25"/>
      <c r="O530" s="24"/>
      <c r="P530" s="24"/>
      <c r="Q530" s="24"/>
      <c r="R530" s="24"/>
      <c r="S530" s="24"/>
      <c r="T530" s="24"/>
      <c r="U530" s="24"/>
      <c r="V530" s="24"/>
      <c r="W530" s="24"/>
      <c r="X530" s="24"/>
    </row>
    <row r="531" spans="1:24">
      <c r="A531" s="22">
        <v>46304</v>
      </c>
      <c r="B531" s="23" t="s">
        <v>34</v>
      </c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>
        <v>0</v>
      </c>
      <c r="N531" s="25"/>
      <c r="O531" s="24"/>
      <c r="P531" s="24"/>
      <c r="Q531" s="24"/>
      <c r="R531" s="24"/>
      <c r="S531" s="24"/>
      <c r="T531" s="24"/>
      <c r="U531" s="24"/>
      <c r="V531" s="24"/>
      <c r="W531" s="24"/>
      <c r="X531" s="24"/>
    </row>
    <row r="532" spans="1:24">
      <c r="A532" s="22">
        <v>46305</v>
      </c>
      <c r="B532" s="23" t="s">
        <v>34</v>
      </c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>
        <v>0</v>
      </c>
      <c r="N532" s="25"/>
      <c r="O532" s="24"/>
      <c r="P532" s="24"/>
      <c r="Q532" s="24"/>
      <c r="R532" s="24"/>
      <c r="S532" s="24"/>
      <c r="T532" s="24"/>
      <c r="U532" s="24"/>
      <c r="V532" s="24"/>
      <c r="W532" s="24"/>
      <c r="X532" s="24"/>
    </row>
    <row r="533" spans="1:24">
      <c r="A533" s="22">
        <v>46306</v>
      </c>
      <c r="B533" s="23" t="s">
        <v>34</v>
      </c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>
        <v>0</v>
      </c>
      <c r="N533" s="25"/>
      <c r="O533" s="24"/>
      <c r="P533" s="24"/>
      <c r="Q533" s="24"/>
      <c r="R533" s="24"/>
      <c r="S533" s="24"/>
      <c r="T533" s="24"/>
      <c r="U533" s="24"/>
      <c r="V533" s="24"/>
      <c r="W533" s="24"/>
      <c r="X533" s="24"/>
    </row>
    <row r="534" spans="1:24">
      <c r="A534" s="22">
        <v>46307</v>
      </c>
      <c r="B534" s="23" t="s">
        <v>34</v>
      </c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>
        <v>0</v>
      </c>
      <c r="N534" s="25"/>
      <c r="O534" s="24"/>
      <c r="P534" s="24"/>
      <c r="Q534" s="24"/>
      <c r="R534" s="24"/>
      <c r="S534" s="24"/>
      <c r="T534" s="24"/>
      <c r="U534" s="24"/>
      <c r="V534" s="24"/>
      <c r="W534" s="24"/>
      <c r="X534" s="24"/>
    </row>
    <row r="535" spans="1:24">
      <c r="A535" s="22">
        <v>46308</v>
      </c>
      <c r="B535" s="23" t="s">
        <v>34</v>
      </c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>
        <v>0</v>
      </c>
      <c r="N535" s="25"/>
      <c r="O535" s="24"/>
      <c r="P535" s="24"/>
      <c r="Q535" s="24"/>
      <c r="R535" s="24"/>
      <c r="S535" s="24"/>
      <c r="T535" s="24"/>
      <c r="U535" s="24"/>
      <c r="V535" s="24"/>
      <c r="W535" s="24"/>
      <c r="X535" s="24"/>
    </row>
    <row r="536" spans="1:24">
      <c r="A536" s="22">
        <v>46309</v>
      </c>
      <c r="B536" s="23" t="s">
        <v>34</v>
      </c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>
        <v>0</v>
      </c>
      <c r="N536" s="25"/>
      <c r="O536" s="24"/>
      <c r="P536" s="24"/>
      <c r="Q536" s="24"/>
      <c r="R536" s="24"/>
      <c r="S536" s="24"/>
      <c r="T536" s="24"/>
      <c r="U536" s="24"/>
      <c r="V536" s="24"/>
      <c r="W536" s="24"/>
      <c r="X536" s="24"/>
    </row>
    <row r="537" spans="1:24">
      <c r="A537" s="22">
        <v>46310</v>
      </c>
      <c r="B537" s="23" t="s">
        <v>34</v>
      </c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>
        <v>0</v>
      </c>
      <c r="N537" s="25"/>
      <c r="O537" s="24"/>
      <c r="P537" s="24"/>
      <c r="Q537" s="24"/>
      <c r="R537" s="24"/>
      <c r="S537" s="24"/>
      <c r="T537" s="24"/>
      <c r="U537" s="24"/>
      <c r="V537" s="24"/>
      <c r="W537" s="24"/>
      <c r="X537" s="24"/>
    </row>
    <row r="538" spans="1:24">
      <c r="A538" s="22">
        <v>46311</v>
      </c>
      <c r="B538" s="23" t="s">
        <v>34</v>
      </c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>
        <v>0</v>
      </c>
      <c r="N538" s="25"/>
      <c r="O538" s="24"/>
      <c r="P538" s="24"/>
      <c r="Q538" s="24"/>
      <c r="R538" s="24"/>
      <c r="S538" s="24"/>
      <c r="T538" s="24"/>
      <c r="U538" s="24"/>
      <c r="V538" s="24"/>
      <c r="W538" s="24"/>
      <c r="X538" s="24"/>
    </row>
    <row r="539" spans="1:24">
      <c r="A539" s="22">
        <v>46312</v>
      </c>
      <c r="B539" s="23" t="s">
        <v>34</v>
      </c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>
        <v>0</v>
      </c>
      <c r="N539" s="25"/>
      <c r="O539" s="24"/>
      <c r="P539" s="24"/>
      <c r="Q539" s="24"/>
      <c r="R539" s="24"/>
      <c r="S539" s="24"/>
      <c r="T539" s="24"/>
      <c r="U539" s="24"/>
      <c r="V539" s="24"/>
      <c r="W539" s="24"/>
      <c r="X539" s="24"/>
    </row>
    <row r="540" spans="1:24">
      <c r="A540" s="22">
        <v>46313</v>
      </c>
      <c r="B540" s="23" t="s">
        <v>34</v>
      </c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>
        <v>0</v>
      </c>
      <c r="N540" s="25"/>
      <c r="O540" s="24"/>
      <c r="P540" s="24"/>
      <c r="Q540" s="24"/>
      <c r="R540" s="24"/>
      <c r="S540" s="24"/>
      <c r="T540" s="24"/>
      <c r="U540" s="24"/>
      <c r="V540" s="24"/>
      <c r="W540" s="24"/>
      <c r="X540" s="24"/>
    </row>
    <row r="541" spans="1:24">
      <c r="A541" s="22">
        <v>46314</v>
      </c>
      <c r="B541" s="23" t="s">
        <v>34</v>
      </c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>
        <v>0</v>
      </c>
      <c r="N541" s="25"/>
      <c r="O541" s="24"/>
      <c r="P541" s="24"/>
      <c r="Q541" s="24"/>
      <c r="R541" s="24"/>
      <c r="S541" s="24"/>
      <c r="T541" s="24"/>
      <c r="U541" s="24"/>
      <c r="V541" s="24"/>
      <c r="W541" s="24"/>
      <c r="X541" s="24"/>
    </row>
    <row r="542" spans="1:24">
      <c r="A542" s="22">
        <v>46315</v>
      </c>
      <c r="B542" s="23" t="s">
        <v>34</v>
      </c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>
        <v>0</v>
      </c>
      <c r="N542" s="25"/>
      <c r="O542" s="24"/>
      <c r="P542" s="24"/>
      <c r="Q542" s="24"/>
      <c r="R542" s="24"/>
      <c r="S542" s="24"/>
      <c r="T542" s="24"/>
      <c r="U542" s="24"/>
      <c r="V542" s="24"/>
      <c r="W542" s="24"/>
      <c r="X542" s="24"/>
    </row>
    <row r="543" spans="1:24">
      <c r="A543" s="22">
        <v>46316</v>
      </c>
      <c r="B543" s="23" t="s">
        <v>34</v>
      </c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>
        <v>0</v>
      </c>
      <c r="N543" s="25"/>
      <c r="O543" s="24"/>
      <c r="P543" s="24"/>
      <c r="Q543" s="24"/>
      <c r="R543" s="24"/>
      <c r="S543" s="24"/>
      <c r="T543" s="24"/>
      <c r="U543" s="24"/>
      <c r="V543" s="24"/>
      <c r="W543" s="24"/>
      <c r="X543" s="24"/>
    </row>
    <row r="544" spans="1:24">
      <c r="A544" s="22">
        <v>46317</v>
      </c>
      <c r="B544" s="23" t="s">
        <v>34</v>
      </c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>
        <v>0</v>
      </c>
      <c r="N544" s="25"/>
      <c r="O544" s="24"/>
      <c r="P544" s="24"/>
      <c r="Q544" s="24"/>
      <c r="R544" s="24"/>
      <c r="S544" s="24"/>
      <c r="T544" s="24"/>
      <c r="U544" s="24"/>
      <c r="V544" s="24"/>
      <c r="W544" s="24"/>
      <c r="X544" s="24"/>
    </row>
    <row r="545" spans="1:24">
      <c r="A545" s="22">
        <v>46318</v>
      </c>
      <c r="B545" s="23" t="s">
        <v>34</v>
      </c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>
        <v>0</v>
      </c>
      <c r="N545" s="25"/>
      <c r="O545" s="24"/>
      <c r="P545" s="24"/>
      <c r="Q545" s="24"/>
      <c r="R545" s="24"/>
      <c r="S545" s="24"/>
      <c r="T545" s="24"/>
      <c r="U545" s="24"/>
      <c r="V545" s="24"/>
      <c r="W545" s="24"/>
      <c r="X545" s="24"/>
    </row>
    <row r="546" spans="1:24">
      <c r="A546" s="22">
        <v>46319</v>
      </c>
      <c r="B546" s="23" t="s">
        <v>34</v>
      </c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>
        <v>0</v>
      </c>
      <c r="N546" s="25"/>
      <c r="O546" s="24"/>
      <c r="P546" s="24"/>
      <c r="Q546" s="24"/>
      <c r="R546" s="24"/>
      <c r="S546" s="24"/>
      <c r="T546" s="24"/>
      <c r="U546" s="24"/>
      <c r="V546" s="24"/>
      <c r="W546" s="24"/>
      <c r="X546" s="24"/>
    </row>
    <row r="547" spans="1:24">
      <c r="A547" s="22">
        <v>46320</v>
      </c>
      <c r="B547" s="23" t="s">
        <v>34</v>
      </c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>
        <v>0</v>
      </c>
      <c r="N547" s="25"/>
      <c r="O547" s="24"/>
      <c r="P547" s="24"/>
      <c r="Q547" s="24"/>
      <c r="R547" s="24"/>
      <c r="S547" s="24"/>
      <c r="T547" s="24"/>
      <c r="U547" s="24"/>
      <c r="V547" s="24"/>
      <c r="W547" s="24"/>
      <c r="X547" s="24"/>
    </row>
    <row r="548" spans="1:24">
      <c r="A548" s="22">
        <v>46321</v>
      </c>
      <c r="B548" s="23" t="s">
        <v>34</v>
      </c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>
        <v>0</v>
      </c>
      <c r="N548" s="25"/>
      <c r="O548" s="24"/>
      <c r="P548" s="24"/>
      <c r="Q548" s="24"/>
      <c r="R548" s="24"/>
      <c r="S548" s="24"/>
      <c r="T548" s="24"/>
      <c r="U548" s="24"/>
      <c r="V548" s="24"/>
      <c r="W548" s="24"/>
      <c r="X548" s="24"/>
    </row>
    <row r="549" spans="1:24">
      <c r="A549" s="22">
        <v>46322</v>
      </c>
      <c r="B549" s="23" t="s">
        <v>34</v>
      </c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>
        <v>0</v>
      </c>
      <c r="N549" s="25"/>
      <c r="O549" s="24"/>
      <c r="P549" s="24"/>
      <c r="Q549" s="24"/>
      <c r="R549" s="24"/>
      <c r="S549" s="24"/>
      <c r="T549" s="24"/>
      <c r="U549" s="24"/>
      <c r="V549" s="24"/>
      <c r="W549" s="24"/>
      <c r="X549" s="24"/>
    </row>
    <row r="550" spans="1:24">
      <c r="A550" s="22">
        <v>46323</v>
      </c>
      <c r="B550" s="23" t="s">
        <v>34</v>
      </c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>
        <v>0</v>
      </c>
      <c r="N550" s="25"/>
      <c r="O550" s="24"/>
      <c r="P550" s="24"/>
      <c r="Q550" s="24"/>
      <c r="R550" s="24"/>
      <c r="S550" s="24"/>
      <c r="T550" s="24"/>
      <c r="U550" s="24"/>
      <c r="V550" s="24"/>
      <c r="W550" s="24"/>
      <c r="X550" s="24"/>
    </row>
    <row r="551" spans="1:24">
      <c r="A551" s="22">
        <v>46324</v>
      </c>
      <c r="B551" s="23" t="s">
        <v>34</v>
      </c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>
        <v>0</v>
      </c>
      <c r="N551" s="25"/>
      <c r="O551" s="24"/>
      <c r="P551" s="24"/>
      <c r="Q551" s="24"/>
      <c r="R551" s="24"/>
      <c r="S551" s="24"/>
      <c r="T551" s="24"/>
      <c r="U551" s="24"/>
      <c r="V551" s="24"/>
      <c r="W551" s="24"/>
      <c r="X551" s="24"/>
    </row>
    <row r="552" spans="1:24">
      <c r="A552" s="22">
        <v>46325</v>
      </c>
      <c r="B552" s="23" t="s">
        <v>34</v>
      </c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>
        <v>0</v>
      </c>
      <c r="N552" s="25"/>
      <c r="O552" s="24"/>
      <c r="P552" s="24"/>
      <c r="Q552" s="24"/>
      <c r="R552" s="24"/>
      <c r="S552" s="24"/>
      <c r="T552" s="24"/>
      <c r="U552" s="24"/>
      <c r="V552" s="24"/>
      <c r="W552" s="24"/>
      <c r="X552" s="24"/>
    </row>
    <row r="553" spans="1:24">
      <c r="A553" s="22">
        <v>46326</v>
      </c>
      <c r="B553" s="23" t="s">
        <v>34</v>
      </c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>
        <v>0</v>
      </c>
      <c r="N553" s="25"/>
      <c r="O553" s="24"/>
      <c r="P553" s="24"/>
      <c r="Q553" s="24"/>
      <c r="R553" s="24"/>
      <c r="S553" s="24"/>
      <c r="T553" s="24"/>
      <c r="U553" s="24"/>
      <c r="V553" s="24"/>
      <c r="W553" s="24"/>
      <c r="X553" s="24"/>
    </row>
    <row r="554" spans="1:24">
      <c r="A554" s="22">
        <v>46327</v>
      </c>
      <c r="B554" s="23" t="s">
        <v>34</v>
      </c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>
        <v>0</v>
      </c>
      <c r="N554" s="25"/>
      <c r="O554" s="24"/>
      <c r="P554" s="24"/>
      <c r="Q554" s="24"/>
      <c r="R554" s="24"/>
      <c r="S554" s="24"/>
      <c r="T554" s="24"/>
      <c r="U554" s="24"/>
      <c r="V554" s="24"/>
      <c r="W554" s="24"/>
      <c r="X554" s="24"/>
    </row>
    <row r="555" spans="1:24">
      <c r="A555" s="22">
        <v>46328</v>
      </c>
      <c r="B555" s="23" t="s">
        <v>34</v>
      </c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>
        <v>0</v>
      </c>
      <c r="N555" s="25"/>
      <c r="O555" s="24"/>
      <c r="P555" s="24"/>
      <c r="Q555" s="24"/>
      <c r="R555" s="24"/>
      <c r="S555" s="24"/>
      <c r="T555" s="24"/>
      <c r="U555" s="24"/>
      <c r="V555" s="24"/>
      <c r="W555" s="24"/>
      <c r="X555" s="24"/>
    </row>
    <row r="556" spans="1:24">
      <c r="A556" s="22">
        <v>46329</v>
      </c>
      <c r="B556" s="23" t="s">
        <v>34</v>
      </c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>
        <v>0</v>
      </c>
      <c r="N556" s="25"/>
      <c r="O556" s="24"/>
      <c r="P556" s="24"/>
      <c r="Q556" s="24"/>
      <c r="R556" s="24"/>
      <c r="S556" s="24"/>
      <c r="T556" s="24"/>
      <c r="U556" s="24"/>
      <c r="V556" s="24"/>
      <c r="W556" s="24"/>
      <c r="X556" s="24"/>
    </row>
    <row r="557" spans="1:24">
      <c r="A557" s="22">
        <v>46330</v>
      </c>
      <c r="B557" s="23" t="s">
        <v>34</v>
      </c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>
        <v>0</v>
      </c>
      <c r="N557" s="25"/>
      <c r="O557" s="24"/>
      <c r="P557" s="24"/>
      <c r="Q557" s="24"/>
      <c r="R557" s="24"/>
      <c r="S557" s="24"/>
      <c r="T557" s="24"/>
      <c r="U557" s="24"/>
      <c r="V557" s="24"/>
      <c r="W557" s="24"/>
      <c r="X557" s="24"/>
    </row>
    <row r="558" spans="1:24">
      <c r="A558" s="22">
        <v>46331</v>
      </c>
      <c r="B558" s="23" t="s">
        <v>34</v>
      </c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>
        <v>0</v>
      </c>
      <c r="N558" s="25"/>
      <c r="O558" s="24"/>
      <c r="P558" s="24"/>
      <c r="Q558" s="24"/>
      <c r="R558" s="24"/>
      <c r="S558" s="24"/>
      <c r="T558" s="24"/>
      <c r="U558" s="24"/>
      <c r="V558" s="24"/>
      <c r="W558" s="24"/>
      <c r="X558" s="24"/>
    </row>
    <row r="559" spans="1:24">
      <c r="A559" s="22">
        <v>46332</v>
      </c>
      <c r="B559" s="23" t="s">
        <v>34</v>
      </c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>
        <v>0</v>
      </c>
      <c r="N559" s="25"/>
      <c r="O559" s="24"/>
      <c r="P559" s="24"/>
      <c r="Q559" s="24"/>
      <c r="R559" s="24"/>
      <c r="S559" s="24"/>
      <c r="T559" s="24"/>
      <c r="U559" s="24"/>
      <c r="V559" s="24"/>
      <c r="W559" s="24"/>
      <c r="X559" s="24"/>
    </row>
    <row r="560" spans="1:24">
      <c r="A560" s="22">
        <v>46333</v>
      </c>
      <c r="B560" s="23" t="s">
        <v>34</v>
      </c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>
        <v>0</v>
      </c>
      <c r="N560" s="25"/>
      <c r="O560" s="24"/>
      <c r="P560" s="24"/>
      <c r="Q560" s="24"/>
      <c r="R560" s="24"/>
      <c r="S560" s="24"/>
      <c r="T560" s="24"/>
      <c r="U560" s="24"/>
      <c r="V560" s="24"/>
      <c r="W560" s="24"/>
      <c r="X560" s="24"/>
    </row>
    <row r="561" spans="1:24">
      <c r="A561" s="22">
        <v>46334</v>
      </c>
      <c r="B561" s="23" t="s">
        <v>34</v>
      </c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>
        <v>0</v>
      </c>
      <c r="N561" s="25"/>
      <c r="O561" s="24"/>
      <c r="P561" s="24"/>
      <c r="Q561" s="24"/>
      <c r="R561" s="24"/>
      <c r="S561" s="24"/>
      <c r="T561" s="24"/>
      <c r="U561" s="24"/>
      <c r="V561" s="24"/>
      <c r="W561" s="24"/>
      <c r="X561" s="24"/>
    </row>
    <row r="562" spans="1:24">
      <c r="A562" s="22">
        <v>46335</v>
      </c>
      <c r="B562" s="23" t="s">
        <v>34</v>
      </c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>
        <v>0</v>
      </c>
      <c r="N562" s="25"/>
      <c r="O562" s="24"/>
      <c r="P562" s="24"/>
      <c r="Q562" s="24"/>
      <c r="R562" s="24"/>
      <c r="S562" s="24"/>
      <c r="T562" s="24"/>
      <c r="U562" s="24"/>
      <c r="V562" s="24"/>
      <c r="W562" s="24"/>
      <c r="X562" s="24"/>
    </row>
    <row r="563" spans="1:24">
      <c r="A563" s="22">
        <v>46336</v>
      </c>
      <c r="B563" s="23" t="s">
        <v>34</v>
      </c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>
        <v>0</v>
      </c>
      <c r="N563" s="25"/>
      <c r="O563" s="24"/>
      <c r="P563" s="24"/>
      <c r="Q563" s="24"/>
      <c r="R563" s="24"/>
      <c r="S563" s="24"/>
      <c r="T563" s="24"/>
      <c r="U563" s="24"/>
      <c r="V563" s="24"/>
      <c r="W563" s="24"/>
      <c r="X563" s="24"/>
    </row>
    <row r="564" spans="1:24">
      <c r="A564" s="22">
        <v>46337</v>
      </c>
      <c r="B564" s="23" t="s">
        <v>34</v>
      </c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>
        <v>0</v>
      </c>
      <c r="N564" s="25"/>
      <c r="O564" s="24"/>
      <c r="P564" s="24"/>
      <c r="Q564" s="24"/>
      <c r="R564" s="24"/>
      <c r="S564" s="24"/>
      <c r="T564" s="24"/>
      <c r="U564" s="24"/>
      <c r="V564" s="24"/>
      <c r="W564" s="24"/>
      <c r="X564" s="24"/>
    </row>
    <row r="565" spans="1:24">
      <c r="A565" s="22">
        <v>46338</v>
      </c>
      <c r="B565" s="23" t="s">
        <v>34</v>
      </c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>
        <v>0</v>
      </c>
      <c r="N565" s="25"/>
      <c r="O565" s="24"/>
      <c r="P565" s="24"/>
      <c r="Q565" s="24"/>
      <c r="R565" s="24"/>
      <c r="S565" s="24"/>
      <c r="T565" s="24"/>
      <c r="U565" s="24"/>
      <c r="V565" s="24"/>
      <c r="W565" s="24"/>
      <c r="X565" s="24"/>
    </row>
    <row r="566" spans="1:24">
      <c r="A566" s="22">
        <v>46339</v>
      </c>
      <c r="B566" s="23" t="s">
        <v>34</v>
      </c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>
        <v>0</v>
      </c>
      <c r="N566" s="25"/>
      <c r="O566" s="24"/>
      <c r="P566" s="24"/>
      <c r="Q566" s="24"/>
      <c r="R566" s="24"/>
      <c r="S566" s="24"/>
      <c r="T566" s="24"/>
      <c r="U566" s="24"/>
      <c r="V566" s="24"/>
      <c r="W566" s="24"/>
      <c r="X566" s="24"/>
    </row>
    <row r="567" spans="1:24">
      <c r="A567" s="22">
        <v>46340</v>
      </c>
      <c r="B567" s="23" t="s">
        <v>34</v>
      </c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>
        <v>0</v>
      </c>
      <c r="N567" s="25"/>
      <c r="O567" s="24"/>
      <c r="P567" s="24"/>
      <c r="Q567" s="24"/>
      <c r="R567" s="24"/>
      <c r="S567" s="24"/>
      <c r="T567" s="24"/>
      <c r="U567" s="24"/>
      <c r="V567" s="24"/>
      <c r="W567" s="24"/>
      <c r="X567" s="24"/>
    </row>
    <row r="568" spans="1:24">
      <c r="A568" s="22">
        <v>46341</v>
      </c>
      <c r="B568" s="23" t="s">
        <v>34</v>
      </c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>
        <v>0</v>
      </c>
      <c r="N568" s="25"/>
      <c r="O568" s="24"/>
      <c r="P568" s="24"/>
      <c r="Q568" s="24"/>
      <c r="R568" s="24"/>
      <c r="S568" s="24"/>
      <c r="T568" s="24"/>
      <c r="U568" s="24"/>
      <c r="V568" s="24"/>
      <c r="W568" s="24"/>
      <c r="X568" s="24"/>
    </row>
    <row r="569" spans="1:24">
      <c r="A569" s="22">
        <v>46342</v>
      </c>
      <c r="B569" s="23" t="s">
        <v>34</v>
      </c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>
        <v>0</v>
      </c>
      <c r="N569" s="25"/>
      <c r="O569" s="24"/>
      <c r="P569" s="24"/>
      <c r="Q569" s="24"/>
      <c r="R569" s="24"/>
      <c r="S569" s="24"/>
      <c r="T569" s="24"/>
      <c r="U569" s="24"/>
      <c r="V569" s="24"/>
      <c r="W569" s="24"/>
      <c r="X569" s="24"/>
    </row>
    <row r="570" spans="1:24">
      <c r="A570" s="22">
        <v>46343</v>
      </c>
      <c r="B570" s="23" t="s">
        <v>34</v>
      </c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>
        <v>0</v>
      </c>
      <c r="N570" s="25"/>
      <c r="O570" s="24"/>
      <c r="P570" s="24"/>
      <c r="Q570" s="24"/>
      <c r="R570" s="24"/>
      <c r="S570" s="24"/>
      <c r="T570" s="24"/>
      <c r="U570" s="24"/>
      <c r="V570" s="24"/>
      <c r="W570" s="24"/>
      <c r="X570" s="24"/>
    </row>
    <row r="571" spans="1:24">
      <c r="A571" s="22">
        <v>46344</v>
      </c>
      <c r="B571" s="23" t="s">
        <v>34</v>
      </c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>
        <v>0</v>
      </c>
      <c r="N571" s="25"/>
      <c r="O571" s="24"/>
      <c r="P571" s="24"/>
      <c r="Q571" s="24"/>
      <c r="R571" s="24"/>
      <c r="S571" s="24"/>
      <c r="T571" s="24"/>
      <c r="U571" s="24"/>
      <c r="V571" s="24"/>
      <c r="W571" s="24"/>
      <c r="X571" s="24"/>
    </row>
    <row r="572" spans="1:24">
      <c r="A572" s="22">
        <v>46345</v>
      </c>
      <c r="B572" s="23" t="s">
        <v>34</v>
      </c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>
        <v>0</v>
      </c>
      <c r="N572" s="25"/>
      <c r="O572" s="24"/>
      <c r="P572" s="24"/>
      <c r="Q572" s="24"/>
      <c r="R572" s="24"/>
      <c r="S572" s="24"/>
      <c r="T572" s="24"/>
      <c r="U572" s="24"/>
      <c r="V572" s="24"/>
      <c r="W572" s="24"/>
      <c r="X572" s="24"/>
    </row>
    <row r="573" spans="1:24">
      <c r="A573" s="22">
        <v>46346</v>
      </c>
      <c r="B573" s="23" t="s">
        <v>34</v>
      </c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>
        <v>0</v>
      </c>
      <c r="N573" s="25"/>
      <c r="O573" s="24"/>
      <c r="P573" s="24"/>
      <c r="Q573" s="24"/>
      <c r="R573" s="24"/>
      <c r="S573" s="24"/>
      <c r="T573" s="24"/>
      <c r="U573" s="24"/>
      <c r="V573" s="24"/>
      <c r="W573" s="24"/>
      <c r="X573" s="24"/>
    </row>
    <row r="574" spans="1:24">
      <c r="A574" s="22">
        <v>46347</v>
      </c>
      <c r="B574" s="23" t="s">
        <v>34</v>
      </c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>
        <v>0</v>
      </c>
      <c r="N574" s="25"/>
      <c r="O574" s="24"/>
      <c r="P574" s="24"/>
      <c r="Q574" s="24"/>
      <c r="R574" s="24"/>
      <c r="S574" s="24"/>
      <c r="T574" s="24"/>
      <c r="U574" s="24"/>
      <c r="V574" s="24"/>
      <c r="W574" s="24"/>
      <c r="X574" s="24"/>
    </row>
    <row r="575" spans="1:24">
      <c r="A575" s="22">
        <v>46348</v>
      </c>
      <c r="B575" s="23" t="s">
        <v>34</v>
      </c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>
        <v>0</v>
      </c>
      <c r="N575" s="25"/>
      <c r="O575" s="24"/>
      <c r="P575" s="24"/>
      <c r="Q575" s="24"/>
      <c r="R575" s="24"/>
      <c r="S575" s="24"/>
      <c r="T575" s="24"/>
      <c r="U575" s="24"/>
      <c r="V575" s="24"/>
      <c r="W575" s="24"/>
      <c r="X575" s="24"/>
    </row>
    <row r="576" spans="1:24">
      <c r="A576" s="22">
        <v>46349</v>
      </c>
      <c r="B576" s="23" t="s">
        <v>34</v>
      </c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>
        <v>0</v>
      </c>
      <c r="N576" s="25"/>
      <c r="O576" s="24"/>
      <c r="P576" s="24"/>
      <c r="Q576" s="24"/>
      <c r="R576" s="24"/>
      <c r="S576" s="24"/>
      <c r="T576" s="24"/>
      <c r="U576" s="24"/>
      <c r="V576" s="24"/>
      <c r="W576" s="24"/>
      <c r="X576" s="24"/>
    </row>
    <row r="577" spans="1:24">
      <c r="A577" s="22">
        <v>46350</v>
      </c>
      <c r="B577" s="23" t="s">
        <v>34</v>
      </c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>
        <v>0</v>
      </c>
      <c r="N577" s="25"/>
      <c r="O577" s="24"/>
      <c r="P577" s="24"/>
      <c r="Q577" s="24"/>
      <c r="R577" s="24"/>
      <c r="S577" s="24"/>
      <c r="T577" s="24"/>
      <c r="U577" s="24"/>
      <c r="V577" s="24"/>
      <c r="W577" s="24"/>
      <c r="X577" s="24"/>
    </row>
    <row r="578" spans="1:24">
      <c r="A578" s="22">
        <v>46351</v>
      </c>
      <c r="B578" s="23" t="s">
        <v>34</v>
      </c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>
        <v>0</v>
      </c>
      <c r="N578" s="25"/>
      <c r="O578" s="24"/>
      <c r="P578" s="24"/>
      <c r="Q578" s="24"/>
      <c r="R578" s="24"/>
      <c r="S578" s="24"/>
      <c r="T578" s="24"/>
      <c r="U578" s="24"/>
      <c r="V578" s="24"/>
      <c r="W578" s="24"/>
      <c r="X578" s="24"/>
    </row>
    <row r="579" spans="1:24">
      <c r="A579" s="22">
        <v>46352</v>
      </c>
      <c r="B579" s="23" t="s">
        <v>34</v>
      </c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>
        <v>0</v>
      </c>
      <c r="N579" s="25"/>
      <c r="O579" s="24"/>
      <c r="P579" s="24"/>
      <c r="Q579" s="24"/>
      <c r="R579" s="24"/>
      <c r="S579" s="24"/>
      <c r="T579" s="24"/>
      <c r="U579" s="24"/>
      <c r="V579" s="24"/>
      <c r="W579" s="24"/>
      <c r="X579" s="24"/>
    </row>
    <row r="580" spans="1:24">
      <c r="A580" s="22">
        <v>46353</v>
      </c>
      <c r="B580" s="23" t="s">
        <v>34</v>
      </c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>
        <v>0</v>
      </c>
      <c r="N580" s="25"/>
      <c r="O580" s="24"/>
      <c r="P580" s="24"/>
      <c r="Q580" s="24"/>
      <c r="R580" s="24"/>
      <c r="S580" s="24"/>
      <c r="T580" s="24"/>
      <c r="U580" s="24"/>
      <c r="V580" s="24"/>
      <c r="W580" s="24"/>
      <c r="X580" s="24"/>
    </row>
    <row r="581" spans="1:24">
      <c r="A581" s="22">
        <v>46354</v>
      </c>
      <c r="B581" s="23" t="s">
        <v>34</v>
      </c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>
        <v>0</v>
      </c>
      <c r="N581" s="25"/>
      <c r="O581" s="24"/>
      <c r="P581" s="24"/>
      <c r="Q581" s="24"/>
      <c r="R581" s="24"/>
      <c r="S581" s="24"/>
      <c r="T581" s="24"/>
      <c r="U581" s="24"/>
      <c r="V581" s="24"/>
      <c r="W581" s="24"/>
      <c r="X581" s="24"/>
    </row>
    <row r="582" spans="1:24">
      <c r="A582" s="22">
        <v>46355</v>
      </c>
      <c r="B582" s="23" t="s">
        <v>34</v>
      </c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>
        <v>0</v>
      </c>
      <c r="N582" s="25"/>
      <c r="O582" s="24"/>
      <c r="P582" s="24"/>
      <c r="Q582" s="24"/>
      <c r="R582" s="24"/>
      <c r="S582" s="24"/>
      <c r="T582" s="24"/>
      <c r="U582" s="24"/>
      <c r="V582" s="24"/>
      <c r="W582" s="24"/>
      <c r="X582" s="24"/>
    </row>
    <row r="583" spans="1:24">
      <c r="A583" s="22">
        <v>46356</v>
      </c>
      <c r="B583" s="23" t="s">
        <v>34</v>
      </c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>
        <v>0</v>
      </c>
      <c r="N583" s="25"/>
      <c r="O583" s="24"/>
      <c r="P583" s="24"/>
      <c r="Q583" s="24"/>
      <c r="R583" s="24"/>
      <c r="S583" s="24"/>
      <c r="T583" s="24"/>
      <c r="U583" s="24"/>
      <c r="V583" s="24"/>
      <c r="W583" s="24"/>
      <c r="X583" s="24"/>
    </row>
    <row r="584" spans="1:24">
      <c r="A584" s="22">
        <v>46357</v>
      </c>
      <c r="B584" s="23" t="s">
        <v>34</v>
      </c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>
        <v>0</v>
      </c>
      <c r="N584" s="25"/>
      <c r="O584" s="24"/>
      <c r="P584" s="24"/>
      <c r="Q584" s="24"/>
      <c r="R584" s="24"/>
      <c r="S584" s="24"/>
      <c r="T584" s="24"/>
      <c r="U584" s="24"/>
      <c r="V584" s="24"/>
      <c r="W584" s="24"/>
      <c r="X584" s="24"/>
    </row>
    <row r="585" spans="1:24">
      <c r="A585" s="22">
        <v>46358</v>
      </c>
      <c r="B585" s="23" t="s">
        <v>34</v>
      </c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>
        <v>0</v>
      </c>
      <c r="N585" s="25"/>
      <c r="O585" s="24"/>
      <c r="P585" s="24"/>
      <c r="Q585" s="24"/>
      <c r="R585" s="24"/>
      <c r="S585" s="24"/>
      <c r="T585" s="24"/>
      <c r="U585" s="24"/>
      <c r="V585" s="24"/>
      <c r="W585" s="24"/>
      <c r="X585" s="24"/>
    </row>
    <row r="586" spans="1:24">
      <c r="A586" s="22">
        <v>46359</v>
      </c>
      <c r="B586" s="23" t="s">
        <v>34</v>
      </c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>
        <v>0</v>
      </c>
      <c r="N586" s="25"/>
      <c r="O586" s="24"/>
      <c r="P586" s="24"/>
      <c r="Q586" s="24"/>
      <c r="R586" s="24"/>
      <c r="S586" s="24"/>
      <c r="T586" s="24"/>
      <c r="U586" s="24"/>
      <c r="V586" s="24"/>
      <c r="W586" s="24"/>
      <c r="X586" s="24"/>
    </row>
    <row r="587" spans="1:24">
      <c r="A587" s="22">
        <v>46360</v>
      </c>
      <c r="B587" s="23" t="s">
        <v>34</v>
      </c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>
        <v>0</v>
      </c>
      <c r="N587" s="25"/>
      <c r="O587" s="24"/>
      <c r="P587" s="24"/>
      <c r="Q587" s="24"/>
      <c r="R587" s="24"/>
      <c r="S587" s="24"/>
      <c r="T587" s="24"/>
      <c r="U587" s="24"/>
      <c r="V587" s="24"/>
      <c r="W587" s="24"/>
      <c r="X587" s="24"/>
    </row>
    <row r="588" spans="1:24">
      <c r="A588" s="22">
        <v>46361</v>
      </c>
      <c r="B588" s="23" t="s">
        <v>34</v>
      </c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>
        <v>0</v>
      </c>
      <c r="N588" s="25"/>
      <c r="O588" s="24"/>
      <c r="P588" s="24"/>
      <c r="Q588" s="24"/>
      <c r="R588" s="24"/>
      <c r="S588" s="24"/>
      <c r="T588" s="24"/>
      <c r="U588" s="24"/>
      <c r="V588" s="24"/>
      <c r="W588" s="24"/>
      <c r="X588" s="24"/>
    </row>
    <row r="589" spans="1:24">
      <c r="A589" s="22">
        <v>46362</v>
      </c>
      <c r="B589" s="23" t="s">
        <v>34</v>
      </c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>
        <v>0</v>
      </c>
      <c r="N589" s="25"/>
      <c r="O589" s="24"/>
      <c r="P589" s="24"/>
      <c r="Q589" s="24"/>
      <c r="R589" s="24"/>
      <c r="S589" s="24"/>
      <c r="T589" s="24"/>
      <c r="U589" s="24"/>
      <c r="V589" s="24"/>
      <c r="W589" s="24"/>
      <c r="X589" s="24"/>
    </row>
    <row r="590" spans="1:24">
      <c r="A590" s="22">
        <v>46363</v>
      </c>
      <c r="B590" s="23" t="s">
        <v>34</v>
      </c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>
        <v>0</v>
      </c>
      <c r="N590" s="25"/>
      <c r="O590" s="24"/>
      <c r="P590" s="24"/>
      <c r="Q590" s="24"/>
      <c r="R590" s="24"/>
      <c r="S590" s="24"/>
      <c r="T590" s="24"/>
      <c r="U590" s="24"/>
      <c r="V590" s="24"/>
      <c r="W590" s="24"/>
      <c r="X590" s="24"/>
    </row>
    <row r="591" spans="1:24">
      <c r="A591" s="22">
        <v>46364</v>
      </c>
      <c r="B591" s="23" t="s">
        <v>34</v>
      </c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>
        <v>0</v>
      </c>
      <c r="N591" s="25"/>
      <c r="O591" s="24"/>
      <c r="P591" s="24"/>
      <c r="Q591" s="24"/>
      <c r="R591" s="24"/>
      <c r="S591" s="24"/>
      <c r="T591" s="24"/>
      <c r="U591" s="24"/>
      <c r="V591" s="24"/>
      <c r="W591" s="24"/>
      <c r="X591" s="24"/>
    </row>
    <row r="592" spans="1:24">
      <c r="A592" s="22">
        <v>46365</v>
      </c>
      <c r="B592" s="23" t="s">
        <v>34</v>
      </c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>
        <v>0</v>
      </c>
      <c r="N592" s="25"/>
      <c r="O592" s="24"/>
      <c r="P592" s="24"/>
      <c r="Q592" s="24"/>
      <c r="R592" s="24"/>
      <c r="S592" s="24"/>
      <c r="T592" s="24"/>
      <c r="U592" s="24"/>
      <c r="V592" s="24"/>
      <c r="W592" s="24"/>
      <c r="X592" s="24"/>
    </row>
    <row r="593" spans="1:24">
      <c r="A593" s="22">
        <v>46366</v>
      </c>
      <c r="B593" s="23" t="s">
        <v>34</v>
      </c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>
        <v>0</v>
      </c>
      <c r="N593" s="25"/>
      <c r="O593" s="24"/>
      <c r="P593" s="24"/>
      <c r="Q593" s="24"/>
      <c r="R593" s="24"/>
      <c r="S593" s="24"/>
      <c r="T593" s="24"/>
      <c r="U593" s="24"/>
      <c r="V593" s="24"/>
      <c r="W593" s="24"/>
      <c r="X593" s="24"/>
    </row>
    <row r="594" spans="1:24">
      <c r="A594" s="22">
        <v>46367</v>
      </c>
      <c r="B594" s="23" t="s">
        <v>34</v>
      </c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>
        <v>0</v>
      </c>
      <c r="N594" s="25"/>
      <c r="O594" s="24"/>
      <c r="P594" s="24"/>
      <c r="Q594" s="24"/>
      <c r="R594" s="24"/>
      <c r="S594" s="24"/>
      <c r="T594" s="24"/>
      <c r="U594" s="24"/>
      <c r="V594" s="24"/>
      <c r="W594" s="24"/>
      <c r="X594" s="24"/>
    </row>
    <row r="595" spans="1:24">
      <c r="A595" s="22">
        <v>46368</v>
      </c>
      <c r="B595" s="23" t="s">
        <v>34</v>
      </c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>
        <v>0</v>
      </c>
      <c r="N595" s="25"/>
      <c r="O595" s="24"/>
      <c r="P595" s="24"/>
      <c r="Q595" s="24"/>
      <c r="R595" s="24"/>
      <c r="S595" s="24"/>
      <c r="T595" s="24"/>
      <c r="U595" s="24"/>
      <c r="V595" s="24"/>
      <c r="W595" s="24"/>
      <c r="X595" s="24"/>
    </row>
    <row r="596" spans="1:24">
      <c r="A596" s="22">
        <v>46369</v>
      </c>
      <c r="B596" s="23" t="s">
        <v>34</v>
      </c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>
        <v>0</v>
      </c>
      <c r="N596" s="25"/>
      <c r="O596" s="24"/>
      <c r="P596" s="24"/>
      <c r="Q596" s="24"/>
      <c r="R596" s="24"/>
      <c r="S596" s="24"/>
      <c r="T596" s="24"/>
      <c r="U596" s="24"/>
      <c r="V596" s="24"/>
      <c r="W596" s="24"/>
      <c r="X596" s="24"/>
    </row>
    <row r="597" spans="1:24">
      <c r="A597" s="22">
        <v>46370</v>
      </c>
      <c r="B597" s="23" t="s">
        <v>34</v>
      </c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>
        <v>0</v>
      </c>
      <c r="N597" s="25"/>
      <c r="O597" s="24"/>
      <c r="P597" s="24"/>
      <c r="Q597" s="24"/>
      <c r="R597" s="24"/>
      <c r="S597" s="24"/>
      <c r="T597" s="24"/>
      <c r="U597" s="24"/>
      <c r="V597" s="24"/>
      <c r="W597" s="24"/>
      <c r="X597" s="24"/>
    </row>
    <row r="598" spans="1:24">
      <c r="A598" s="22">
        <v>46371</v>
      </c>
      <c r="B598" s="23" t="s">
        <v>34</v>
      </c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>
        <v>0</v>
      </c>
      <c r="N598" s="25"/>
      <c r="O598" s="24"/>
      <c r="P598" s="24"/>
      <c r="Q598" s="24"/>
      <c r="R598" s="24"/>
      <c r="S598" s="24"/>
      <c r="T598" s="24"/>
      <c r="U598" s="24"/>
      <c r="V598" s="24"/>
      <c r="W598" s="24"/>
      <c r="X598" s="24"/>
    </row>
    <row r="599" spans="1:24">
      <c r="A599" s="22">
        <v>46372</v>
      </c>
      <c r="B599" s="23" t="s">
        <v>34</v>
      </c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>
        <v>0</v>
      </c>
      <c r="N599" s="25"/>
      <c r="O599" s="24"/>
      <c r="P599" s="24"/>
      <c r="Q599" s="24"/>
      <c r="R599" s="24"/>
      <c r="S599" s="24"/>
      <c r="T599" s="24"/>
      <c r="U599" s="24"/>
      <c r="V599" s="24"/>
      <c r="W599" s="24"/>
      <c r="X599" s="24"/>
    </row>
    <row r="600" spans="1:24">
      <c r="A600" s="22">
        <v>46373</v>
      </c>
      <c r="B600" s="23" t="s">
        <v>34</v>
      </c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>
        <v>0</v>
      </c>
      <c r="N600" s="25"/>
      <c r="O600" s="24"/>
      <c r="P600" s="24"/>
      <c r="Q600" s="24"/>
      <c r="R600" s="24"/>
      <c r="S600" s="24"/>
      <c r="T600" s="24"/>
      <c r="U600" s="24"/>
      <c r="V600" s="24"/>
      <c r="W600" s="24"/>
      <c r="X600" s="24"/>
    </row>
    <row r="601" spans="1:24">
      <c r="A601" s="22">
        <v>46374</v>
      </c>
      <c r="B601" s="23" t="s">
        <v>34</v>
      </c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>
        <v>0</v>
      </c>
      <c r="N601" s="25"/>
      <c r="O601" s="24"/>
      <c r="P601" s="24"/>
      <c r="Q601" s="24"/>
      <c r="R601" s="24"/>
      <c r="S601" s="24"/>
      <c r="T601" s="24"/>
      <c r="U601" s="24"/>
      <c r="V601" s="24"/>
      <c r="W601" s="24"/>
      <c r="X601" s="24"/>
    </row>
    <row r="602" spans="1:24">
      <c r="A602" s="22">
        <v>46375</v>
      </c>
      <c r="B602" s="23" t="s">
        <v>34</v>
      </c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>
        <v>0</v>
      </c>
      <c r="N602" s="25"/>
      <c r="O602" s="24"/>
      <c r="P602" s="24"/>
      <c r="Q602" s="24"/>
      <c r="R602" s="24"/>
      <c r="S602" s="24"/>
      <c r="T602" s="24"/>
      <c r="U602" s="24"/>
      <c r="V602" s="24"/>
      <c r="W602" s="24"/>
      <c r="X602" s="24"/>
    </row>
    <row r="603" spans="1:24">
      <c r="A603" s="22">
        <v>46376</v>
      </c>
      <c r="B603" s="23" t="s">
        <v>34</v>
      </c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>
        <v>0</v>
      </c>
      <c r="N603" s="25"/>
      <c r="O603" s="24"/>
      <c r="P603" s="24"/>
      <c r="Q603" s="24"/>
      <c r="R603" s="24"/>
      <c r="S603" s="24"/>
      <c r="T603" s="24"/>
      <c r="U603" s="24"/>
      <c r="V603" s="24"/>
      <c r="W603" s="24"/>
      <c r="X603" s="24"/>
    </row>
    <row r="604" spans="1:24">
      <c r="A604" s="22">
        <v>46377</v>
      </c>
      <c r="B604" s="23" t="s">
        <v>34</v>
      </c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>
        <v>0</v>
      </c>
      <c r="N604" s="25"/>
      <c r="O604" s="24"/>
      <c r="P604" s="24"/>
      <c r="Q604" s="24"/>
      <c r="R604" s="24"/>
      <c r="S604" s="24"/>
      <c r="T604" s="24"/>
      <c r="U604" s="24"/>
      <c r="V604" s="24"/>
      <c r="W604" s="24"/>
      <c r="X604" s="24"/>
    </row>
    <row r="605" spans="1:24">
      <c r="A605" s="22">
        <v>46378</v>
      </c>
      <c r="B605" s="23" t="s">
        <v>34</v>
      </c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>
        <v>0</v>
      </c>
      <c r="N605" s="25"/>
      <c r="O605" s="24"/>
      <c r="P605" s="24"/>
      <c r="Q605" s="24"/>
      <c r="R605" s="24"/>
      <c r="S605" s="24"/>
      <c r="T605" s="24"/>
      <c r="U605" s="24"/>
      <c r="V605" s="24"/>
      <c r="W605" s="24"/>
      <c r="X605" s="24"/>
    </row>
    <row r="606" spans="1:24">
      <c r="A606" s="22">
        <v>46379</v>
      </c>
      <c r="B606" s="23" t="s">
        <v>34</v>
      </c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>
        <v>0</v>
      </c>
      <c r="N606" s="25"/>
      <c r="O606" s="24"/>
      <c r="P606" s="24"/>
      <c r="Q606" s="24"/>
      <c r="R606" s="24"/>
      <c r="S606" s="24"/>
      <c r="T606" s="24"/>
      <c r="U606" s="24"/>
      <c r="V606" s="24"/>
      <c r="W606" s="24"/>
      <c r="X606" s="24"/>
    </row>
    <row r="607" spans="1:24">
      <c r="A607" s="22">
        <v>46380</v>
      </c>
      <c r="B607" s="23" t="s">
        <v>34</v>
      </c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>
        <v>0</v>
      </c>
      <c r="N607" s="25"/>
      <c r="O607" s="24"/>
      <c r="P607" s="24"/>
      <c r="Q607" s="24"/>
      <c r="R607" s="24"/>
      <c r="S607" s="24"/>
      <c r="T607" s="24"/>
      <c r="U607" s="24"/>
      <c r="V607" s="24"/>
      <c r="W607" s="24"/>
      <c r="X607" s="24"/>
    </row>
    <row r="608" spans="1:24">
      <c r="A608" s="22">
        <v>46381</v>
      </c>
      <c r="B608" s="23" t="s">
        <v>34</v>
      </c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>
        <v>0</v>
      </c>
      <c r="N608" s="25"/>
      <c r="O608" s="24"/>
      <c r="P608" s="24"/>
      <c r="Q608" s="24"/>
      <c r="R608" s="24"/>
      <c r="S608" s="24"/>
      <c r="T608" s="24"/>
      <c r="U608" s="24"/>
      <c r="V608" s="24"/>
      <c r="W608" s="24"/>
      <c r="X608" s="24"/>
    </row>
    <row r="609" spans="1:24">
      <c r="A609" s="22">
        <v>46382</v>
      </c>
      <c r="B609" s="23" t="s">
        <v>34</v>
      </c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>
        <v>0</v>
      </c>
      <c r="N609" s="25"/>
      <c r="O609" s="24"/>
      <c r="P609" s="24"/>
      <c r="Q609" s="24"/>
      <c r="R609" s="24"/>
      <c r="S609" s="24"/>
      <c r="T609" s="24"/>
      <c r="U609" s="24"/>
      <c r="V609" s="24"/>
      <c r="W609" s="24"/>
      <c r="X609" s="24"/>
    </row>
    <row r="610" spans="1:24">
      <c r="A610" s="22">
        <v>46383</v>
      </c>
      <c r="B610" s="23" t="s">
        <v>34</v>
      </c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>
        <v>0</v>
      </c>
      <c r="N610" s="25"/>
      <c r="O610" s="24"/>
      <c r="P610" s="24"/>
      <c r="Q610" s="24"/>
      <c r="R610" s="24"/>
      <c r="S610" s="24"/>
      <c r="T610" s="24"/>
      <c r="U610" s="24"/>
      <c r="V610" s="24"/>
      <c r="W610" s="24"/>
      <c r="X610" s="24"/>
    </row>
    <row r="611" spans="1:24">
      <c r="A611" s="22">
        <v>46384</v>
      </c>
      <c r="B611" s="23" t="s">
        <v>34</v>
      </c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>
        <v>0</v>
      </c>
      <c r="N611" s="25"/>
      <c r="O611" s="24"/>
      <c r="P611" s="24"/>
      <c r="Q611" s="24"/>
      <c r="R611" s="24"/>
      <c r="S611" s="24"/>
      <c r="T611" s="24"/>
      <c r="U611" s="24"/>
      <c r="V611" s="24"/>
      <c r="W611" s="24"/>
      <c r="X611" s="24"/>
    </row>
    <row r="612" spans="1:24">
      <c r="A612" s="22">
        <v>46385</v>
      </c>
      <c r="B612" s="23" t="s">
        <v>34</v>
      </c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>
        <v>0</v>
      </c>
      <c r="N612" s="25"/>
      <c r="O612" s="24"/>
      <c r="P612" s="24"/>
      <c r="Q612" s="24"/>
      <c r="R612" s="24"/>
      <c r="S612" s="24"/>
      <c r="T612" s="24"/>
      <c r="U612" s="24"/>
      <c r="V612" s="24"/>
      <c r="W612" s="24"/>
      <c r="X612" s="24"/>
    </row>
    <row r="613" spans="1:24">
      <c r="A613" s="22">
        <v>46386</v>
      </c>
      <c r="B613" s="23" t="s">
        <v>34</v>
      </c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>
        <v>0</v>
      </c>
      <c r="N613" s="25"/>
      <c r="O613" s="24"/>
      <c r="P613" s="24"/>
      <c r="Q613" s="24"/>
      <c r="R613" s="24"/>
      <c r="S613" s="24"/>
      <c r="T613" s="24"/>
      <c r="U613" s="24"/>
      <c r="V613" s="24"/>
      <c r="W613" s="24"/>
      <c r="X613" s="24"/>
    </row>
    <row r="614" spans="1:24">
      <c r="A614" s="22">
        <v>46387</v>
      </c>
      <c r="B614" s="23" t="s">
        <v>34</v>
      </c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>
        <v>0</v>
      </c>
      <c r="N614" s="25"/>
      <c r="O614" s="24"/>
      <c r="P614" s="24"/>
      <c r="Q614" s="24"/>
      <c r="R614" s="24"/>
      <c r="S614" s="24"/>
      <c r="T614" s="24"/>
      <c r="U614" s="24"/>
      <c r="V614" s="24"/>
      <c r="W614" s="24"/>
      <c r="X614" s="24"/>
    </row>
    <row r="615" spans="1:24">
      <c r="A615" s="22">
        <v>46082</v>
      </c>
      <c r="B615" s="23" t="s">
        <v>35</v>
      </c>
      <c r="C615" s="24">
        <v>361.3005</v>
      </c>
      <c r="D615" s="24">
        <v>361.3005</v>
      </c>
      <c r="E615" s="24">
        <v>295.60950000000003</v>
      </c>
      <c r="F615" s="24">
        <v>624.06450000000007</v>
      </c>
      <c r="G615" s="24">
        <v>361.3005</v>
      </c>
      <c r="H615" s="24">
        <v>426.99150000000003</v>
      </c>
      <c r="I615" s="24">
        <v>262.76400000000001</v>
      </c>
      <c r="J615" s="24">
        <v>131.38200000000001</v>
      </c>
      <c r="K615" s="24">
        <v>328.45500000000004</v>
      </c>
      <c r="L615" s="24">
        <v>131.38200000000001</v>
      </c>
      <c r="M615" s="24">
        <v>770.44999999999982</v>
      </c>
      <c r="N615" s="25">
        <v>4055</v>
      </c>
      <c r="O615" s="24">
        <v>130</v>
      </c>
      <c r="P615" s="24">
        <v>2</v>
      </c>
      <c r="Q615" s="24">
        <v>955</v>
      </c>
      <c r="R615" s="24">
        <v>900</v>
      </c>
      <c r="S615" s="24">
        <v>500</v>
      </c>
      <c r="T615" s="24">
        <v>500</v>
      </c>
      <c r="U615" s="24">
        <v>0</v>
      </c>
      <c r="V615" s="24">
        <v>424</v>
      </c>
      <c r="W615" s="24">
        <v>644</v>
      </c>
      <c r="X615" s="24">
        <v>0</v>
      </c>
    </row>
    <row r="616" spans="1:24">
      <c r="A616" s="22">
        <v>46083</v>
      </c>
      <c r="B616" s="23" t="s">
        <v>35</v>
      </c>
      <c r="C616" s="24">
        <v>357.46920000000006</v>
      </c>
      <c r="D616" s="24">
        <v>357.46920000000006</v>
      </c>
      <c r="E616" s="24">
        <v>292.47480000000002</v>
      </c>
      <c r="F616" s="24">
        <v>617.44680000000005</v>
      </c>
      <c r="G616" s="24">
        <v>357.46920000000006</v>
      </c>
      <c r="H616" s="24">
        <v>422.46360000000004</v>
      </c>
      <c r="I616" s="24">
        <v>259.97760000000005</v>
      </c>
      <c r="J616" s="24">
        <v>129.98880000000003</v>
      </c>
      <c r="K616" s="24">
        <v>324.97200000000004</v>
      </c>
      <c r="L616" s="24">
        <v>129.98880000000003</v>
      </c>
      <c r="M616" s="24">
        <v>762.27999999999929</v>
      </c>
      <c r="N616" s="25">
        <v>4012</v>
      </c>
      <c r="O616" s="24">
        <v>130</v>
      </c>
      <c r="P616" s="24">
        <v>2</v>
      </c>
      <c r="Q616" s="24">
        <v>738</v>
      </c>
      <c r="R616" s="24">
        <v>900</v>
      </c>
      <c r="S616" s="24">
        <v>450</v>
      </c>
      <c r="T616" s="24">
        <v>500</v>
      </c>
      <c r="U616" s="24">
        <v>0</v>
      </c>
      <c r="V616" s="24">
        <v>424</v>
      </c>
      <c r="W616" s="24">
        <v>768</v>
      </c>
      <c r="X616" s="24">
        <v>100</v>
      </c>
    </row>
    <row r="617" spans="1:24">
      <c r="A617" s="22">
        <v>46084</v>
      </c>
      <c r="B617" s="23" t="s">
        <v>35</v>
      </c>
      <c r="C617" s="24">
        <v>360.49860000000001</v>
      </c>
      <c r="D617" s="24">
        <v>360.49860000000001</v>
      </c>
      <c r="E617" s="24">
        <v>294.95339999999999</v>
      </c>
      <c r="F617" s="24">
        <v>622.6794000000001</v>
      </c>
      <c r="G617" s="24">
        <v>360.49860000000001</v>
      </c>
      <c r="H617" s="24">
        <v>426.04380000000003</v>
      </c>
      <c r="I617" s="24">
        <v>262.18080000000003</v>
      </c>
      <c r="J617" s="24">
        <v>131.09040000000002</v>
      </c>
      <c r="K617" s="24">
        <v>327.72600000000006</v>
      </c>
      <c r="L617" s="24">
        <v>131.09040000000002</v>
      </c>
      <c r="M617" s="24">
        <v>768.73999999999978</v>
      </c>
      <c r="N617" s="25">
        <v>4046</v>
      </c>
      <c r="O617" s="24">
        <v>130</v>
      </c>
      <c r="P617" s="24">
        <v>2</v>
      </c>
      <c r="Q617" s="24">
        <v>738</v>
      </c>
      <c r="R617" s="24">
        <v>900</v>
      </c>
      <c r="S617" s="24">
        <v>450</v>
      </c>
      <c r="T617" s="24">
        <v>500</v>
      </c>
      <c r="U617" s="24">
        <v>0</v>
      </c>
      <c r="V617" s="24">
        <v>424</v>
      </c>
      <c r="W617" s="24">
        <v>802</v>
      </c>
      <c r="X617" s="24">
        <v>100</v>
      </c>
    </row>
    <row r="618" spans="1:24">
      <c r="A618" s="22">
        <v>46085</v>
      </c>
      <c r="B618" s="23" t="s">
        <v>35</v>
      </c>
      <c r="C618" s="24">
        <v>359.16210000000001</v>
      </c>
      <c r="D618" s="24">
        <v>359.16210000000001</v>
      </c>
      <c r="E618" s="24">
        <v>293.85989999999998</v>
      </c>
      <c r="F618" s="24">
        <v>620.37090000000001</v>
      </c>
      <c r="G618" s="24">
        <v>359.16210000000001</v>
      </c>
      <c r="H618" s="24">
        <v>424.46430000000004</v>
      </c>
      <c r="I618" s="24">
        <v>261.2088</v>
      </c>
      <c r="J618" s="24">
        <v>130.6044</v>
      </c>
      <c r="K618" s="24">
        <v>326.51100000000002</v>
      </c>
      <c r="L618" s="24">
        <v>130.6044</v>
      </c>
      <c r="M618" s="24">
        <v>765.88999999999987</v>
      </c>
      <c r="N618" s="25">
        <v>4031</v>
      </c>
      <c r="O618" s="24">
        <v>130</v>
      </c>
      <c r="P618" s="24">
        <v>2</v>
      </c>
      <c r="Q618" s="24">
        <v>738</v>
      </c>
      <c r="R618" s="24">
        <v>900</v>
      </c>
      <c r="S618" s="24">
        <v>450</v>
      </c>
      <c r="T618" s="24">
        <v>500</v>
      </c>
      <c r="U618" s="24">
        <v>0</v>
      </c>
      <c r="V618" s="24">
        <v>424</v>
      </c>
      <c r="W618" s="24">
        <v>787</v>
      </c>
      <c r="X618" s="24">
        <v>100</v>
      </c>
    </row>
    <row r="619" spans="1:24">
      <c r="A619" s="22">
        <v>46086</v>
      </c>
      <c r="B619" s="23" t="s">
        <v>35</v>
      </c>
      <c r="C619" s="24">
        <v>366.91380000000004</v>
      </c>
      <c r="D619" s="24">
        <v>366.91380000000004</v>
      </c>
      <c r="E619" s="24">
        <v>300.2022</v>
      </c>
      <c r="F619" s="24">
        <v>633.76020000000005</v>
      </c>
      <c r="G619" s="24">
        <v>366.91380000000004</v>
      </c>
      <c r="H619" s="24">
        <v>433.62540000000007</v>
      </c>
      <c r="I619" s="24">
        <v>266.84640000000002</v>
      </c>
      <c r="J619" s="24">
        <v>133.42320000000001</v>
      </c>
      <c r="K619" s="24">
        <v>333.55800000000005</v>
      </c>
      <c r="L619" s="24">
        <v>133.42320000000001</v>
      </c>
      <c r="M619" s="24">
        <v>782.41999999999962</v>
      </c>
      <c r="N619" s="25">
        <v>4118</v>
      </c>
      <c r="O619" s="24">
        <v>130</v>
      </c>
      <c r="P619" s="24">
        <v>2</v>
      </c>
      <c r="Q619" s="24">
        <v>738</v>
      </c>
      <c r="R619" s="24">
        <v>900</v>
      </c>
      <c r="S619" s="24">
        <v>450</v>
      </c>
      <c r="T619" s="24">
        <v>500</v>
      </c>
      <c r="U619" s="24">
        <v>0</v>
      </c>
      <c r="V619" s="24">
        <v>424</v>
      </c>
      <c r="W619" s="24">
        <v>874</v>
      </c>
      <c r="X619" s="24">
        <v>100</v>
      </c>
    </row>
    <row r="620" spans="1:24">
      <c r="A620" s="22">
        <v>46087</v>
      </c>
      <c r="B620" s="23" t="s">
        <v>35</v>
      </c>
      <c r="C620" s="24">
        <v>386.87220000000008</v>
      </c>
      <c r="D620" s="24">
        <v>386.87220000000008</v>
      </c>
      <c r="E620" s="24">
        <v>316.53180000000003</v>
      </c>
      <c r="F620" s="24">
        <v>668.23380000000009</v>
      </c>
      <c r="G620" s="24">
        <v>386.87220000000008</v>
      </c>
      <c r="H620" s="24">
        <v>457.21260000000007</v>
      </c>
      <c r="I620" s="24">
        <v>281.36160000000007</v>
      </c>
      <c r="J620" s="24">
        <v>140.68080000000003</v>
      </c>
      <c r="K620" s="24">
        <v>351.70200000000006</v>
      </c>
      <c r="L620" s="24">
        <v>140.68080000000003</v>
      </c>
      <c r="M620" s="24">
        <v>824.97999999999865</v>
      </c>
      <c r="N620" s="25">
        <v>4342</v>
      </c>
      <c r="O620" s="24">
        <v>130</v>
      </c>
      <c r="P620" s="24">
        <v>2</v>
      </c>
      <c r="Q620" s="24">
        <v>738</v>
      </c>
      <c r="R620" s="24">
        <v>900</v>
      </c>
      <c r="S620" s="24">
        <v>450</v>
      </c>
      <c r="T620" s="24">
        <v>500</v>
      </c>
      <c r="U620" s="24">
        <v>245</v>
      </c>
      <c r="V620" s="24">
        <v>424</v>
      </c>
      <c r="W620" s="24">
        <v>851</v>
      </c>
      <c r="X620" s="24">
        <v>102</v>
      </c>
    </row>
    <row r="621" spans="1:24">
      <c r="A621" s="22">
        <v>46088</v>
      </c>
      <c r="B621" s="23" t="s">
        <v>35</v>
      </c>
      <c r="C621" s="24">
        <v>417.34440000000006</v>
      </c>
      <c r="D621" s="24">
        <v>417.34440000000006</v>
      </c>
      <c r="E621" s="24">
        <v>341.46360000000004</v>
      </c>
      <c r="F621" s="24">
        <v>720.86760000000004</v>
      </c>
      <c r="G621" s="24">
        <v>417.34440000000006</v>
      </c>
      <c r="H621" s="24">
        <v>493.22520000000009</v>
      </c>
      <c r="I621" s="24">
        <v>303.52320000000003</v>
      </c>
      <c r="J621" s="24">
        <v>151.76160000000002</v>
      </c>
      <c r="K621" s="24">
        <v>379.40400000000005</v>
      </c>
      <c r="L621" s="24">
        <v>151.76160000000002</v>
      </c>
      <c r="M621" s="24">
        <v>889.96</v>
      </c>
      <c r="N621" s="25">
        <v>4684</v>
      </c>
      <c r="O621" s="24">
        <v>130</v>
      </c>
      <c r="P621" s="24">
        <v>2</v>
      </c>
      <c r="Q621" s="24">
        <v>959</v>
      </c>
      <c r="R621" s="24">
        <v>900</v>
      </c>
      <c r="S621" s="24">
        <v>500</v>
      </c>
      <c r="T621" s="24">
        <v>600</v>
      </c>
      <c r="U621" s="24">
        <v>245</v>
      </c>
      <c r="V621" s="24">
        <v>424</v>
      </c>
      <c r="W621" s="24">
        <v>924</v>
      </c>
      <c r="X621" s="24">
        <v>0</v>
      </c>
    </row>
    <row r="622" spans="1:24">
      <c r="A622" s="22">
        <v>46089</v>
      </c>
      <c r="B622" s="23" t="s">
        <v>35</v>
      </c>
      <c r="C622" s="24">
        <v>432.13500000000005</v>
      </c>
      <c r="D622" s="24">
        <v>432.13500000000005</v>
      </c>
      <c r="E622" s="24">
        <v>353.56500000000005</v>
      </c>
      <c r="F622" s="24">
        <v>746.41500000000008</v>
      </c>
      <c r="G622" s="24">
        <v>432.13500000000005</v>
      </c>
      <c r="H622" s="24">
        <v>510.7050000000001</v>
      </c>
      <c r="I622" s="24">
        <v>314.28000000000003</v>
      </c>
      <c r="J622" s="24">
        <v>157.14000000000001</v>
      </c>
      <c r="K622" s="24">
        <v>392.85000000000008</v>
      </c>
      <c r="L622" s="24">
        <v>157.14000000000001</v>
      </c>
      <c r="M622" s="24">
        <v>921.5</v>
      </c>
      <c r="N622" s="25">
        <v>4850</v>
      </c>
      <c r="O622" s="24">
        <v>130</v>
      </c>
      <c r="P622" s="24">
        <v>2</v>
      </c>
      <c r="Q622" s="24">
        <v>959</v>
      </c>
      <c r="R622" s="24">
        <v>1025</v>
      </c>
      <c r="S622" s="24">
        <v>500</v>
      </c>
      <c r="T622" s="24">
        <v>600</v>
      </c>
      <c r="U622" s="24">
        <v>245</v>
      </c>
      <c r="V622" s="24">
        <v>424</v>
      </c>
      <c r="W622" s="24">
        <v>965</v>
      </c>
      <c r="X622" s="24">
        <v>0</v>
      </c>
    </row>
    <row r="623" spans="1:24">
      <c r="A623" s="22">
        <v>46090</v>
      </c>
      <c r="B623" s="23" t="s">
        <v>35</v>
      </c>
      <c r="C623" s="24">
        <v>408.79080000000005</v>
      </c>
      <c r="D623" s="24">
        <v>408.79080000000005</v>
      </c>
      <c r="E623" s="24">
        <v>334.46519999999998</v>
      </c>
      <c r="F623" s="24">
        <v>706.09320000000002</v>
      </c>
      <c r="G623" s="24">
        <v>408.79080000000005</v>
      </c>
      <c r="H623" s="24">
        <v>483.11640000000006</v>
      </c>
      <c r="I623" s="24">
        <v>297.30240000000003</v>
      </c>
      <c r="J623" s="24">
        <v>148.65120000000002</v>
      </c>
      <c r="K623" s="24">
        <v>371.62800000000004</v>
      </c>
      <c r="L623" s="24">
        <v>148.65120000000002</v>
      </c>
      <c r="M623" s="24">
        <v>871.72000000000025</v>
      </c>
      <c r="N623" s="25">
        <v>4588</v>
      </c>
      <c r="O623" s="24">
        <v>130</v>
      </c>
      <c r="P623" s="24">
        <v>2</v>
      </c>
      <c r="Q623" s="24">
        <v>738</v>
      </c>
      <c r="R623" s="24">
        <v>1025</v>
      </c>
      <c r="S623" s="24">
        <v>450</v>
      </c>
      <c r="T623" s="24">
        <v>500</v>
      </c>
      <c r="U623" s="24">
        <v>245</v>
      </c>
      <c r="V623" s="24">
        <v>424</v>
      </c>
      <c r="W623" s="24">
        <v>972</v>
      </c>
      <c r="X623" s="24">
        <v>102</v>
      </c>
    </row>
    <row r="624" spans="1:24">
      <c r="A624" s="22">
        <v>46091</v>
      </c>
      <c r="B624" s="23" t="s">
        <v>35</v>
      </c>
      <c r="C624" s="24">
        <v>385.53570000000002</v>
      </c>
      <c r="D624" s="24">
        <v>385.53570000000002</v>
      </c>
      <c r="E624" s="24">
        <v>315.43830000000003</v>
      </c>
      <c r="F624" s="24">
        <v>665.92530000000011</v>
      </c>
      <c r="G624" s="24">
        <v>385.53570000000002</v>
      </c>
      <c r="H624" s="24">
        <v>455.63310000000007</v>
      </c>
      <c r="I624" s="24">
        <v>280.38960000000003</v>
      </c>
      <c r="J624" s="24">
        <v>140.19480000000001</v>
      </c>
      <c r="K624" s="24">
        <v>350.48700000000008</v>
      </c>
      <c r="L624" s="24">
        <v>140.19480000000001</v>
      </c>
      <c r="M624" s="24">
        <v>822.1299999999992</v>
      </c>
      <c r="N624" s="25">
        <v>4327</v>
      </c>
      <c r="O624" s="24">
        <v>130</v>
      </c>
      <c r="P624" s="24">
        <v>2</v>
      </c>
      <c r="Q624" s="24">
        <v>738</v>
      </c>
      <c r="R624" s="24">
        <v>1025</v>
      </c>
      <c r="S624" s="24">
        <v>450</v>
      </c>
      <c r="T624" s="24">
        <v>500</v>
      </c>
      <c r="U624" s="24">
        <v>0</v>
      </c>
      <c r="V624" s="24">
        <v>424</v>
      </c>
      <c r="W624" s="24">
        <v>956</v>
      </c>
      <c r="X624" s="24">
        <v>102</v>
      </c>
    </row>
    <row r="625" spans="1:24">
      <c r="A625" s="22">
        <v>46092</v>
      </c>
      <c r="B625" s="23" t="s">
        <v>35</v>
      </c>
      <c r="C625" s="24">
        <v>427.41270000000003</v>
      </c>
      <c r="D625" s="24">
        <v>427.41270000000003</v>
      </c>
      <c r="E625" s="24">
        <v>349.7013</v>
      </c>
      <c r="F625" s="24">
        <v>738.25830000000008</v>
      </c>
      <c r="G625" s="24">
        <v>427.41270000000003</v>
      </c>
      <c r="H625" s="24">
        <v>505.12410000000006</v>
      </c>
      <c r="I625" s="24">
        <v>310.84560000000005</v>
      </c>
      <c r="J625" s="24">
        <v>155.42280000000002</v>
      </c>
      <c r="K625" s="24">
        <v>388.55700000000002</v>
      </c>
      <c r="L625" s="24">
        <v>155.42280000000002</v>
      </c>
      <c r="M625" s="24">
        <v>911.42999999999984</v>
      </c>
      <c r="N625" s="25">
        <v>4797</v>
      </c>
      <c r="O625" s="24">
        <v>130</v>
      </c>
      <c r="P625" s="24">
        <v>2</v>
      </c>
      <c r="Q625" s="24">
        <v>812</v>
      </c>
      <c r="R625" s="24">
        <v>1025</v>
      </c>
      <c r="S625" s="24">
        <v>450</v>
      </c>
      <c r="T625" s="24">
        <v>500</v>
      </c>
      <c r="U625" s="24">
        <v>470</v>
      </c>
      <c r="V625" s="24">
        <v>424</v>
      </c>
      <c r="W625" s="24">
        <v>882</v>
      </c>
      <c r="X625" s="24">
        <v>102</v>
      </c>
    </row>
    <row r="626" spans="1:24">
      <c r="A626" s="22">
        <v>46093</v>
      </c>
      <c r="B626" s="23" t="s">
        <v>35</v>
      </c>
      <c r="C626" s="24">
        <v>424.6506</v>
      </c>
      <c r="D626" s="24">
        <v>424.6506</v>
      </c>
      <c r="E626" s="24">
        <v>347.44139999999999</v>
      </c>
      <c r="F626" s="24">
        <v>733.48739999999998</v>
      </c>
      <c r="G626" s="24">
        <v>424.6506</v>
      </c>
      <c r="H626" s="24">
        <v>501.85980000000001</v>
      </c>
      <c r="I626" s="24">
        <v>308.83679999999998</v>
      </c>
      <c r="J626" s="24">
        <v>154.41839999999999</v>
      </c>
      <c r="K626" s="24">
        <v>386.04600000000005</v>
      </c>
      <c r="L626" s="24">
        <v>154.41839999999999</v>
      </c>
      <c r="M626" s="24">
        <v>905.53999999999951</v>
      </c>
      <c r="N626" s="25">
        <v>4766</v>
      </c>
      <c r="O626" s="24">
        <v>130</v>
      </c>
      <c r="P626" s="24">
        <v>2</v>
      </c>
      <c r="Q626" s="24">
        <v>812</v>
      </c>
      <c r="R626" s="24">
        <v>1025</v>
      </c>
      <c r="S626" s="24">
        <v>450</v>
      </c>
      <c r="T626" s="24">
        <v>500</v>
      </c>
      <c r="U626" s="24">
        <v>470</v>
      </c>
      <c r="V626" s="24">
        <v>424</v>
      </c>
      <c r="W626" s="24">
        <v>851</v>
      </c>
      <c r="X626" s="24">
        <v>102</v>
      </c>
    </row>
    <row r="627" spans="1:24">
      <c r="A627" s="22">
        <v>46094</v>
      </c>
      <c r="B627" s="23" t="s">
        <v>35</v>
      </c>
      <c r="C627" s="24">
        <v>434.89710000000002</v>
      </c>
      <c r="D627" s="24">
        <v>434.89710000000002</v>
      </c>
      <c r="E627" s="24">
        <v>355.82490000000001</v>
      </c>
      <c r="F627" s="24">
        <v>751.18590000000006</v>
      </c>
      <c r="G627" s="24">
        <v>434.89710000000002</v>
      </c>
      <c r="H627" s="24">
        <v>513.96930000000009</v>
      </c>
      <c r="I627" s="24">
        <v>316.28880000000004</v>
      </c>
      <c r="J627" s="24">
        <v>158.14440000000002</v>
      </c>
      <c r="K627" s="24">
        <v>395.36100000000005</v>
      </c>
      <c r="L627" s="24">
        <v>158.14440000000002</v>
      </c>
      <c r="M627" s="24">
        <v>927.38999999999942</v>
      </c>
      <c r="N627" s="25">
        <v>4881</v>
      </c>
      <c r="O627" s="24">
        <v>130</v>
      </c>
      <c r="P627" s="24">
        <v>2</v>
      </c>
      <c r="Q627" s="24">
        <v>812</v>
      </c>
      <c r="R627" s="24">
        <v>1025</v>
      </c>
      <c r="S627" s="24">
        <v>450</v>
      </c>
      <c r="T627" s="24">
        <v>500</v>
      </c>
      <c r="U627" s="24">
        <v>470</v>
      </c>
      <c r="V627" s="24">
        <v>424</v>
      </c>
      <c r="W627" s="24">
        <v>966</v>
      </c>
      <c r="X627" s="24">
        <v>102</v>
      </c>
    </row>
    <row r="628" spans="1:24">
      <c r="A628" s="22">
        <v>46095</v>
      </c>
      <c r="B628" s="23" t="s">
        <v>35</v>
      </c>
      <c r="C628" s="24">
        <v>543.06450000000007</v>
      </c>
      <c r="D628" s="24">
        <v>543.06450000000007</v>
      </c>
      <c r="E628" s="24">
        <v>444.32550000000003</v>
      </c>
      <c r="F628" s="24">
        <v>938.0205000000002</v>
      </c>
      <c r="G628" s="24">
        <v>543.06450000000007</v>
      </c>
      <c r="H628" s="24">
        <v>641.8035000000001</v>
      </c>
      <c r="I628" s="24">
        <v>394.95600000000007</v>
      </c>
      <c r="J628" s="24">
        <v>197.47800000000004</v>
      </c>
      <c r="K628" s="24">
        <v>493.69500000000011</v>
      </c>
      <c r="L628" s="24">
        <v>197.47800000000004</v>
      </c>
      <c r="M628" s="24">
        <v>1158.0500000000002</v>
      </c>
      <c r="N628" s="25">
        <v>6095</v>
      </c>
      <c r="O628" s="24">
        <v>130</v>
      </c>
      <c r="P628" s="24">
        <v>2</v>
      </c>
      <c r="Q628" s="24">
        <v>1055</v>
      </c>
      <c r="R628" s="24">
        <v>1901</v>
      </c>
      <c r="S628" s="24">
        <v>500</v>
      </c>
      <c r="T628" s="24">
        <v>600</v>
      </c>
      <c r="U628" s="24">
        <v>470</v>
      </c>
      <c r="V628" s="24">
        <v>424</v>
      </c>
      <c r="W628" s="24">
        <v>1013</v>
      </c>
      <c r="X628" s="24">
        <v>0</v>
      </c>
    </row>
    <row r="629" spans="1:24">
      <c r="A629" s="22">
        <v>46096</v>
      </c>
      <c r="B629" s="23" t="s">
        <v>35</v>
      </c>
      <c r="C629" s="24">
        <v>459.48869999999999</v>
      </c>
      <c r="D629" s="24">
        <v>459.48869999999999</v>
      </c>
      <c r="E629" s="24">
        <v>375.94529999999997</v>
      </c>
      <c r="F629" s="24">
        <v>793.66230000000007</v>
      </c>
      <c r="G629" s="24">
        <v>459.48869999999999</v>
      </c>
      <c r="H629" s="24">
        <v>543.03210000000001</v>
      </c>
      <c r="I629" s="24">
        <v>334.17360000000002</v>
      </c>
      <c r="J629" s="24">
        <v>167.08680000000001</v>
      </c>
      <c r="K629" s="24">
        <v>417.71700000000004</v>
      </c>
      <c r="L629" s="24">
        <v>167.08680000000001</v>
      </c>
      <c r="M629" s="24">
        <v>979.82999999999993</v>
      </c>
      <c r="N629" s="25">
        <v>5157</v>
      </c>
      <c r="O629" s="24">
        <v>130</v>
      </c>
      <c r="P629" s="24">
        <v>2</v>
      </c>
      <c r="Q629" s="24">
        <v>1055</v>
      </c>
      <c r="R629" s="24">
        <v>1025</v>
      </c>
      <c r="S629" s="24">
        <v>500</v>
      </c>
      <c r="T629" s="24">
        <v>400</v>
      </c>
      <c r="U629" s="24">
        <v>470</v>
      </c>
      <c r="V629" s="24">
        <v>424</v>
      </c>
      <c r="W629" s="24">
        <v>1151</v>
      </c>
      <c r="X629" s="24">
        <v>0</v>
      </c>
    </row>
    <row r="630" spans="1:24">
      <c r="A630" s="22">
        <v>46097</v>
      </c>
      <c r="B630" s="23" t="s">
        <v>35</v>
      </c>
      <c r="C630" s="24">
        <v>446.21280000000007</v>
      </c>
      <c r="D630" s="24">
        <v>446.21280000000007</v>
      </c>
      <c r="E630" s="24">
        <v>365.08320000000003</v>
      </c>
      <c r="F630" s="24">
        <v>770.73120000000006</v>
      </c>
      <c r="G630" s="24">
        <v>446.21280000000007</v>
      </c>
      <c r="H630" s="24">
        <v>527.34240000000011</v>
      </c>
      <c r="I630" s="24">
        <v>324.51840000000004</v>
      </c>
      <c r="J630" s="24">
        <v>162.25920000000002</v>
      </c>
      <c r="K630" s="24">
        <v>405.64800000000008</v>
      </c>
      <c r="L630" s="24">
        <v>162.25920000000002</v>
      </c>
      <c r="M630" s="24">
        <v>951.51999999999953</v>
      </c>
      <c r="N630" s="25">
        <v>5008</v>
      </c>
      <c r="O630" s="24">
        <v>130</v>
      </c>
      <c r="P630" s="24">
        <v>2</v>
      </c>
      <c r="Q630" s="24">
        <v>812</v>
      </c>
      <c r="R630" s="24">
        <v>1025</v>
      </c>
      <c r="S630" s="24">
        <v>450</v>
      </c>
      <c r="T630" s="24">
        <v>400</v>
      </c>
      <c r="U630" s="24">
        <v>470</v>
      </c>
      <c r="V630" s="24">
        <v>424</v>
      </c>
      <c r="W630" s="24">
        <v>1193</v>
      </c>
      <c r="X630" s="24">
        <v>102</v>
      </c>
    </row>
    <row r="631" spans="1:24">
      <c r="A631" s="22">
        <v>46098</v>
      </c>
      <c r="B631" s="23" t="s">
        <v>35</v>
      </c>
      <c r="C631" s="24">
        <v>396.04950000000002</v>
      </c>
      <c r="D631" s="24">
        <v>396.04950000000002</v>
      </c>
      <c r="E631" s="24">
        <v>324.04050000000001</v>
      </c>
      <c r="F631" s="24">
        <v>684.08550000000002</v>
      </c>
      <c r="G631" s="24">
        <v>396.04950000000002</v>
      </c>
      <c r="H631" s="24">
        <v>468.05850000000004</v>
      </c>
      <c r="I631" s="24">
        <v>288.036</v>
      </c>
      <c r="J631" s="24">
        <v>144.018</v>
      </c>
      <c r="K631" s="24">
        <v>360.04500000000007</v>
      </c>
      <c r="L631" s="24">
        <v>144.018</v>
      </c>
      <c r="M631" s="24">
        <v>844.54999999999973</v>
      </c>
      <c r="N631" s="25">
        <v>4445</v>
      </c>
      <c r="O631" s="24">
        <v>130</v>
      </c>
      <c r="P631" s="24">
        <v>2</v>
      </c>
      <c r="Q631" s="24">
        <v>812</v>
      </c>
      <c r="R631" s="24">
        <v>1025</v>
      </c>
      <c r="S631" s="24">
        <v>450</v>
      </c>
      <c r="T631" s="24">
        <v>400</v>
      </c>
      <c r="U631" s="24">
        <v>0</v>
      </c>
      <c r="V631" s="24">
        <v>424</v>
      </c>
      <c r="W631" s="24">
        <v>1100</v>
      </c>
      <c r="X631" s="24">
        <v>102</v>
      </c>
    </row>
    <row r="632" spans="1:24">
      <c r="A632" s="22">
        <v>46099</v>
      </c>
      <c r="B632" s="23" t="s">
        <v>35</v>
      </c>
      <c r="C632" s="24">
        <v>395.96040000000005</v>
      </c>
      <c r="D632" s="24">
        <v>395.96040000000005</v>
      </c>
      <c r="E632" s="24">
        <v>323.9676</v>
      </c>
      <c r="F632" s="24">
        <v>683.93160000000012</v>
      </c>
      <c r="G632" s="24">
        <v>395.96040000000005</v>
      </c>
      <c r="H632" s="24">
        <v>467.95320000000004</v>
      </c>
      <c r="I632" s="24">
        <v>287.97120000000001</v>
      </c>
      <c r="J632" s="24">
        <v>143.98560000000001</v>
      </c>
      <c r="K632" s="24">
        <v>359.96400000000006</v>
      </c>
      <c r="L632" s="24">
        <v>143.98560000000001</v>
      </c>
      <c r="M632" s="24">
        <v>844.36000000000013</v>
      </c>
      <c r="N632" s="25">
        <v>4444</v>
      </c>
      <c r="O632" s="24">
        <v>131</v>
      </c>
      <c r="P632" s="24">
        <v>2</v>
      </c>
      <c r="Q632" s="24">
        <v>812</v>
      </c>
      <c r="R632" s="24">
        <v>1025</v>
      </c>
      <c r="S632" s="24">
        <v>450</v>
      </c>
      <c r="T632" s="24">
        <v>400</v>
      </c>
      <c r="U632" s="24">
        <v>0</v>
      </c>
      <c r="V632" s="24">
        <v>424</v>
      </c>
      <c r="W632" s="24">
        <v>1098</v>
      </c>
      <c r="X632" s="24">
        <v>102</v>
      </c>
    </row>
    <row r="633" spans="1:24">
      <c r="A633" s="22">
        <v>46100</v>
      </c>
      <c r="B633" s="23" t="s">
        <v>35</v>
      </c>
      <c r="C633" s="24">
        <v>401.12820000000005</v>
      </c>
      <c r="D633" s="24">
        <v>401.12820000000005</v>
      </c>
      <c r="E633" s="24">
        <v>328.19580000000002</v>
      </c>
      <c r="F633" s="24">
        <v>692.85780000000011</v>
      </c>
      <c r="G633" s="24">
        <v>401.12820000000005</v>
      </c>
      <c r="H633" s="24">
        <v>474.06060000000008</v>
      </c>
      <c r="I633" s="24">
        <v>291.72960000000006</v>
      </c>
      <c r="J633" s="24">
        <v>145.86480000000003</v>
      </c>
      <c r="K633" s="24">
        <v>364.66200000000003</v>
      </c>
      <c r="L633" s="24">
        <v>145.86480000000003</v>
      </c>
      <c r="M633" s="24">
        <v>855.37999999999965</v>
      </c>
      <c r="N633" s="25">
        <v>4502</v>
      </c>
      <c r="O633" s="24">
        <v>131</v>
      </c>
      <c r="P633" s="24">
        <v>2</v>
      </c>
      <c r="Q633" s="24">
        <v>812</v>
      </c>
      <c r="R633" s="24">
        <v>1025</v>
      </c>
      <c r="S633" s="24">
        <v>450</v>
      </c>
      <c r="T633" s="24">
        <v>400</v>
      </c>
      <c r="U633" s="24">
        <v>0</v>
      </c>
      <c r="V633" s="24">
        <v>424</v>
      </c>
      <c r="W633" s="24">
        <v>1156</v>
      </c>
      <c r="X633" s="24">
        <v>102</v>
      </c>
    </row>
    <row r="634" spans="1:24">
      <c r="A634" s="22">
        <v>46101</v>
      </c>
      <c r="B634" s="23" t="s">
        <v>35</v>
      </c>
      <c r="C634" s="24">
        <v>378.3186</v>
      </c>
      <c r="D634" s="24">
        <v>378.3186</v>
      </c>
      <c r="E634" s="24">
        <v>309.53340000000003</v>
      </c>
      <c r="F634" s="24">
        <v>653.45940000000007</v>
      </c>
      <c r="G634" s="24">
        <v>378.3186</v>
      </c>
      <c r="H634" s="24">
        <v>447.10380000000004</v>
      </c>
      <c r="I634" s="24">
        <v>275.14080000000001</v>
      </c>
      <c r="J634" s="24">
        <v>137.57040000000001</v>
      </c>
      <c r="K634" s="24">
        <v>343.92600000000004</v>
      </c>
      <c r="L634" s="24">
        <v>137.57040000000001</v>
      </c>
      <c r="M634" s="24">
        <v>806.73999999999978</v>
      </c>
      <c r="N634" s="25">
        <v>4246</v>
      </c>
      <c r="O634" s="24">
        <v>131</v>
      </c>
      <c r="P634" s="24">
        <v>2</v>
      </c>
      <c r="Q634" s="24">
        <v>812</v>
      </c>
      <c r="R634" s="24">
        <v>1025</v>
      </c>
      <c r="S634" s="24">
        <v>450</v>
      </c>
      <c r="T634" s="24">
        <v>200</v>
      </c>
      <c r="U634" s="24">
        <v>0</v>
      </c>
      <c r="V634" s="24">
        <v>424</v>
      </c>
      <c r="W634" s="24">
        <v>1100</v>
      </c>
      <c r="X634" s="24">
        <v>102</v>
      </c>
    </row>
    <row r="635" spans="1:24">
      <c r="A635" s="22">
        <v>46102</v>
      </c>
      <c r="B635" s="23" t="s">
        <v>35</v>
      </c>
      <c r="C635" s="24">
        <v>404.78130000000004</v>
      </c>
      <c r="D635" s="24">
        <v>404.78130000000004</v>
      </c>
      <c r="E635" s="24">
        <v>331.18470000000002</v>
      </c>
      <c r="F635" s="24">
        <v>699.16770000000008</v>
      </c>
      <c r="G635" s="24">
        <v>404.78130000000004</v>
      </c>
      <c r="H635" s="24">
        <v>478.37790000000007</v>
      </c>
      <c r="I635" s="24">
        <v>294.38640000000004</v>
      </c>
      <c r="J635" s="24">
        <v>147.19320000000002</v>
      </c>
      <c r="K635" s="24">
        <v>367.98300000000006</v>
      </c>
      <c r="L635" s="24">
        <v>147.19320000000002</v>
      </c>
      <c r="M635" s="24">
        <v>863.16999999999962</v>
      </c>
      <c r="N635" s="25">
        <v>4543</v>
      </c>
      <c r="O635" s="24">
        <v>131</v>
      </c>
      <c r="P635" s="24">
        <v>2</v>
      </c>
      <c r="Q635" s="24">
        <v>1151</v>
      </c>
      <c r="R635" s="24">
        <v>1025</v>
      </c>
      <c r="S635" s="24">
        <v>500</v>
      </c>
      <c r="T635" s="24">
        <v>200</v>
      </c>
      <c r="U635" s="24">
        <v>0</v>
      </c>
      <c r="V635" s="24">
        <v>424</v>
      </c>
      <c r="W635" s="24">
        <v>1110</v>
      </c>
      <c r="X635" s="24">
        <v>0</v>
      </c>
    </row>
    <row r="636" spans="1:24">
      <c r="A636" s="22">
        <v>46103</v>
      </c>
      <c r="B636" s="23" t="s">
        <v>35</v>
      </c>
      <c r="C636" s="24">
        <v>412.53300000000002</v>
      </c>
      <c r="D636" s="24">
        <v>412.53300000000002</v>
      </c>
      <c r="E636" s="24">
        <v>337.52699999999999</v>
      </c>
      <c r="F636" s="24">
        <v>712.55700000000002</v>
      </c>
      <c r="G636" s="24">
        <v>412.53300000000002</v>
      </c>
      <c r="H636" s="24">
        <v>487.53900000000004</v>
      </c>
      <c r="I636" s="24">
        <v>300.024</v>
      </c>
      <c r="J636" s="24">
        <v>150.012</v>
      </c>
      <c r="K636" s="24">
        <v>375.03000000000003</v>
      </c>
      <c r="L636" s="24">
        <v>150.012</v>
      </c>
      <c r="M636" s="24">
        <v>879.69999999999936</v>
      </c>
      <c r="N636" s="25">
        <v>4630</v>
      </c>
      <c r="O636" s="24">
        <v>131</v>
      </c>
      <c r="P636" s="24">
        <v>3</v>
      </c>
      <c r="Q636" s="24">
        <v>1151</v>
      </c>
      <c r="R636" s="24">
        <v>1025</v>
      </c>
      <c r="S636" s="24">
        <v>500</v>
      </c>
      <c r="T636" s="24">
        <v>200</v>
      </c>
      <c r="U636" s="24">
        <v>0</v>
      </c>
      <c r="V636" s="24">
        <v>424</v>
      </c>
      <c r="W636" s="24">
        <v>1196</v>
      </c>
      <c r="X636" s="24">
        <v>0</v>
      </c>
    </row>
    <row r="637" spans="1:24">
      <c r="A637" s="22">
        <v>46104</v>
      </c>
      <c r="B637" s="23" t="s">
        <v>35</v>
      </c>
      <c r="C637" s="24">
        <v>414.67140000000001</v>
      </c>
      <c r="D637" s="24">
        <v>414.67140000000001</v>
      </c>
      <c r="E637" s="24">
        <v>339.27660000000003</v>
      </c>
      <c r="F637" s="24">
        <v>716.25060000000008</v>
      </c>
      <c r="G637" s="24">
        <v>414.67140000000001</v>
      </c>
      <c r="H637" s="24">
        <v>490.06620000000004</v>
      </c>
      <c r="I637" s="24">
        <v>301.57920000000001</v>
      </c>
      <c r="J637" s="24">
        <v>150.78960000000001</v>
      </c>
      <c r="K637" s="24">
        <v>376.97400000000005</v>
      </c>
      <c r="L637" s="24">
        <v>150.78960000000001</v>
      </c>
      <c r="M637" s="24">
        <v>884.25999999999931</v>
      </c>
      <c r="N637" s="25">
        <v>4654</v>
      </c>
      <c r="O637" s="24">
        <v>131</v>
      </c>
      <c r="P637" s="24">
        <v>3</v>
      </c>
      <c r="Q637" s="24">
        <v>885</v>
      </c>
      <c r="R637" s="24">
        <v>1025</v>
      </c>
      <c r="S637" s="24">
        <v>450</v>
      </c>
      <c r="T637" s="24">
        <v>400</v>
      </c>
      <c r="U637" s="24">
        <v>0</v>
      </c>
      <c r="V637" s="24">
        <v>424</v>
      </c>
      <c r="W637" s="24">
        <v>1234</v>
      </c>
      <c r="X637" s="24">
        <v>102</v>
      </c>
    </row>
    <row r="638" spans="1:24">
      <c r="A638" s="22">
        <v>46105</v>
      </c>
      <c r="B638" s="23" t="s">
        <v>35</v>
      </c>
      <c r="C638" s="24">
        <v>404.87040000000002</v>
      </c>
      <c r="D638" s="24">
        <v>404.87040000000002</v>
      </c>
      <c r="E638" s="24">
        <v>331.25760000000002</v>
      </c>
      <c r="F638" s="24">
        <v>699.3216000000001</v>
      </c>
      <c r="G638" s="24">
        <v>404.87040000000002</v>
      </c>
      <c r="H638" s="24">
        <v>478.48320000000007</v>
      </c>
      <c r="I638" s="24">
        <v>294.45120000000003</v>
      </c>
      <c r="J638" s="24">
        <v>147.22560000000001</v>
      </c>
      <c r="K638" s="24">
        <v>368.06400000000008</v>
      </c>
      <c r="L638" s="24">
        <v>147.22560000000001</v>
      </c>
      <c r="M638" s="24">
        <v>863.35999999999922</v>
      </c>
      <c r="N638" s="25">
        <v>4544</v>
      </c>
      <c r="O638" s="24">
        <v>131</v>
      </c>
      <c r="P638" s="24">
        <v>3</v>
      </c>
      <c r="Q638" s="24">
        <v>885</v>
      </c>
      <c r="R638" s="24">
        <v>1025</v>
      </c>
      <c r="S638" s="24">
        <v>450</v>
      </c>
      <c r="T638" s="24">
        <v>400</v>
      </c>
      <c r="U638" s="24">
        <v>0</v>
      </c>
      <c r="V638" s="24">
        <v>424</v>
      </c>
      <c r="W638" s="24">
        <v>1124</v>
      </c>
      <c r="X638" s="24">
        <v>102</v>
      </c>
    </row>
    <row r="639" spans="1:24">
      <c r="A639" s="22">
        <v>46106</v>
      </c>
      <c r="B639" s="23" t="s">
        <v>35</v>
      </c>
      <c r="C639" s="24">
        <v>404.87040000000002</v>
      </c>
      <c r="D639" s="24">
        <v>404.87040000000002</v>
      </c>
      <c r="E639" s="24">
        <v>331.25760000000002</v>
      </c>
      <c r="F639" s="24">
        <v>699.3216000000001</v>
      </c>
      <c r="G639" s="24">
        <v>404.87040000000002</v>
      </c>
      <c r="H639" s="24">
        <v>478.48320000000007</v>
      </c>
      <c r="I639" s="24">
        <v>294.45120000000003</v>
      </c>
      <c r="J639" s="24">
        <v>147.22560000000001</v>
      </c>
      <c r="K639" s="24">
        <v>368.06400000000008</v>
      </c>
      <c r="L639" s="24">
        <v>147.22560000000001</v>
      </c>
      <c r="M639" s="24">
        <v>863.35999999999922</v>
      </c>
      <c r="N639" s="25">
        <v>4544</v>
      </c>
      <c r="O639" s="24">
        <v>131</v>
      </c>
      <c r="P639" s="24">
        <v>3</v>
      </c>
      <c r="Q639" s="24">
        <v>885</v>
      </c>
      <c r="R639" s="24">
        <v>1025</v>
      </c>
      <c r="S639" s="24">
        <v>450</v>
      </c>
      <c r="T639" s="24">
        <v>400</v>
      </c>
      <c r="U639" s="24">
        <v>0</v>
      </c>
      <c r="V639" s="24">
        <v>424</v>
      </c>
      <c r="W639" s="24">
        <v>1124</v>
      </c>
      <c r="X639" s="24">
        <v>102</v>
      </c>
    </row>
    <row r="640" spans="1:24">
      <c r="A640" s="22">
        <v>46107</v>
      </c>
      <c r="B640" s="23" t="s">
        <v>35</v>
      </c>
      <c r="C640" s="24">
        <v>449.33130000000006</v>
      </c>
      <c r="D640" s="24">
        <v>449.33130000000006</v>
      </c>
      <c r="E640" s="24">
        <v>367.63470000000001</v>
      </c>
      <c r="F640" s="24">
        <v>776.11770000000013</v>
      </c>
      <c r="G640" s="24">
        <v>449.33130000000006</v>
      </c>
      <c r="H640" s="24">
        <v>531.02790000000005</v>
      </c>
      <c r="I640" s="24">
        <v>326.78640000000001</v>
      </c>
      <c r="J640" s="24">
        <v>163.39320000000001</v>
      </c>
      <c r="K640" s="24">
        <v>408.48300000000006</v>
      </c>
      <c r="L640" s="24">
        <v>163.39320000000001</v>
      </c>
      <c r="M640" s="24">
        <v>958.16999999999916</v>
      </c>
      <c r="N640" s="25">
        <v>5043</v>
      </c>
      <c r="O640" s="24">
        <v>131</v>
      </c>
      <c r="P640" s="24">
        <v>3</v>
      </c>
      <c r="Q640" s="24">
        <v>885</v>
      </c>
      <c r="R640" s="24">
        <v>1025</v>
      </c>
      <c r="S640" s="24">
        <v>450</v>
      </c>
      <c r="T640" s="24">
        <v>400</v>
      </c>
      <c r="U640" s="24">
        <v>499</v>
      </c>
      <c r="V640" s="24">
        <v>424</v>
      </c>
      <c r="W640" s="24">
        <v>1124</v>
      </c>
      <c r="X640" s="24">
        <v>102</v>
      </c>
    </row>
    <row r="641" spans="1:24">
      <c r="A641" s="22">
        <v>46108</v>
      </c>
      <c r="B641" s="23" t="s">
        <v>35</v>
      </c>
      <c r="C641" s="24">
        <v>462.60720000000003</v>
      </c>
      <c r="D641" s="24">
        <v>462.60720000000003</v>
      </c>
      <c r="E641" s="24">
        <v>378.49680000000001</v>
      </c>
      <c r="F641" s="24">
        <v>799.04880000000014</v>
      </c>
      <c r="G641" s="24">
        <v>462.60720000000003</v>
      </c>
      <c r="H641" s="24">
        <v>546.71760000000006</v>
      </c>
      <c r="I641" s="24">
        <v>336.44160000000005</v>
      </c>
      <c r="J641" s="24">
        <v>168.22080000000003</v>
      </c>
      <c r="K641" s="24">
        <v>420.55200000000008</v>
      </c>
      <c r="L641" s="24">
        <v>168.22080000000003</v>
      </c>
      <c r="M641" s="24">
        <v>986.47999999999956</v>
      </c>
      <c r="N641" s="25">
        <v>5192</v>
      </c>
      <c r="O641" s="24">
        <v>131</v>
      </c>
      <c r="P641" s="24">
        <v>3</v>
      </c>
      <c r="Q641" s="24">
        <v>885</v>
      </c>
      <c r="R641" s="24">
        <v>1025</v>
      </c>
      <c r="S641" s="24">
        <v>450</v>
      </c>
      <c r="T641" s="24">
        <v>300</v>
      </c>
      <c r="U641" s="24">
        <v>734</v>
      </c>
      <c r="V641" s="24">
        <v>424</v>
      </c>
      <c r="W641" s="24">
        <v>1138</v>
      </c>
      <c r="X641" s="24">
        <v>102</v>
      </c>
    </row>
    <row r="642" spans="1:24">
      <c r="A642" s="22">
        <v>46109</v>
      </c>
      <c r="B642" s="23" t="s">
        <v>35</v>
      </c>
      <c r="C642" s="24">
        <v>490.58460000000008</v>
      </c>
      <c r="D642" s="24">
        <v>490.58460000000008</v>
      </c>
      <c r="E642" s="24">
        <v>401.38740000000001</v>
      </c>
      <c r="F642" s="24">
        <v>847.37340000000017</v>
      </c>
      <c r="G642" s="24">
        <v>490.58460000000008</v>
      </c>
      <c r="H642" s="24">
        <v>579.78180000000009</v>
      </c>
      <c r="I642" s="24">
        <v>356.78880000000004</v>
      </c>
      <c r="J642" s="24">
        <v>178.39440000000002</v>
      </c>
      <c r="K642" s="24">
        <v>445.9860000000001</v>
      </c>
      <c r="L642" s="24">
        <v>178.39440000000002</v>
      </c>
      <c r="M642" s="24">
        <v>1046.1399999999994</v>
      </c>
      <c r="N642" s="25">
        <v>5506</v>
      </c>
      <c r="O642" s="24">
        <v>131</v>
      </c>
      <c r="P642" s="24">
        <v>3</v>
      </c>
      <c r="Q642" s="24">
        <v>1151</v>
      </c>
      <c r="R642" s="24">
        <v>1025</v>
      </c>
      <c r="S642" s="24">
        <v>522</v>
      </c>
      <c r="T642" s="24">
        <v>300</v>
      </c>
      <c r="U642" s="24">
        <v>734</v>
      </c>
      <c r="V642" s="24">
        <v>424</v>
      </c>
      <c r="W642" s="24">
        <v>1216</v>
      </c>
      <c r="X642" s="24">
        <v>0</v>
      </c>
    </row>
    <row r="643" spans="1:24">
      <c r="A643" s="22">
        <v>46110</v>
      </c>
      <c r="B643" s="23" t="s">
        <v>35</v>
      </c>
      <c r="C643" s="24">
        <v>493.88130000000001</v>
      </c>
      <c r="D643" s="24">
        <v>493.88130000000001</v>
      </c>
      <c r="E643" s="24">
        <v>404.0847</v>
      </c>
      <c r="F643" s="24">
        <v>853.06769999999995</v>
      </c>
      <c r="G643" s="24">
        <v>493.88130000000001</v>
      </c>
      <c r="H643" s="24">
        <v>583.67790000000002</v>
      </c>
      <c r="I643" s="24">
        <v>359.18639999999999</v>
      </c>
      <c r="J643" s="24">
        <v>179.5932</v>
      </c>
      <c r="K643" s="24">
        <v>448.983</v>
      </c>
      <c r="L643" s="24">
        <v>179.5932</v>
      </c>
      <c r="M643" s="24">
        <v>1053.17</v>
      </c>
      <c r="N643" s="25">
        <v>5543</v>
      </c>
      <c r="O643" s="24">
        <v>131</v>
      </c>
      <c r="P643" s="24">
        <v>3</v>
      </c>
      <c r="Q643" s="24">
        <v>1151</v>
      </c>
      <c r="R643" s="24">
        <v>1025</v>
      </c>
      <c r="S643" s="24">
        <v>522</v>
      </c>
      <c r="T643" s="24">
        <v>300</v>
      </c>
      <c r="U643" s="24">
        <v>733</v>
      </c>
      <c r="V643" s="24">
        <v>424</v>
      </c>
      <c r="W643" s="24">
        <v>1254</v>
      </c>
      <c r="X643" s="24">
        <v>0</v>
      </c>
    </row>
    <row r="644" spans="1:24">
      <c r="A644" s="22">
        <v>46111</v>
      </c>
      <c r="B644" s="23" t="s">
        <v>35</v>
      </c>
      <c r="C644" s="24">
        <v>397.11869999999999</v>
      </c>
      <c r="D644" s="24">
        <v>397.11869999999999</v>
      </c>
      <c r="E644" s="24">
        <v>324.9153</v>
      </c>
      <c r="F644" s="24">
        <v>685.93230000000005</v>
      </c>
      <c r="G644" s="24">
        <v>397.11869999999999</v>
      </c>
      <c r="H644" s="24">
        <v>469.32210000000003</v>
      </c>
      <c r="I644" s="24">
        <v>288.81360000000001</v>
      </c>
      <c r="J644" s="24">
        <v>144.4068</v>
      </c>
      <c r="K644" s="24">
        <v>361.01700000000005</v>
      </c>
      <c r="L644" s="24">
        <v>144.4068</v>
      </c>
      <c r="M644" s="24">
        <v>846.82999999999947</v>
      </c>
      <c r="N644" s="25">
        <v>4457</v>
      </c>
      <c r="O644" s="24">
        <v>131</v>
      </c>
      <c r="P644" s="24">
        <v>3</v>
      </c>
      <c r="Q644" s="24">
        <v>885</v>
      </c>
      <c r="R644" s="24">
        <v>1025</v>
      </c>
      <c r="S644" s="24">
        <v>450</v>
      </c>
      <c r="T644" s="24">
        <v>300</v>
      </c>
      <c r="U644" s="24">
        <v>0</v>
      </c>
      <c r="V644" s="24">
        <v>424</v>
      </c>
      <c r="W644" s="24">
        <v>1137</v>
      </c>
      <c r="X644" s="24">
        <v>102</v>
      </c>
    </row>
    <row r="645" spans="1:24">
      <c r="A645" s="22">
        <v>46112</v>
      </c>
      <c r="B645" s="23" t="s">
        <v>35</v>
      </c>
      <c r="C645" s="24">
        <v>391.50540000000007</v>
      </c>
      <c r="D645" s="24">
        <v>391.50540000000007</v>
      </c>
      <c r="E645" s="24">
        <v>320.32260000000002</v>
      </c>
      <c r="F645" s="24">
        <v>676.23660000000007</v>
      </c>
      <c r="G645" s="24">
        <v>391.50540000000007</v>
      </c>
      <c r="H645" s="24">
        <v>462.68820000000005</v>
      </c>
      <c r="I645" s="24">
        <v>284.73120000000006</v>
      </c>
      <c r="J645" s="24">
        <v>142.36560000000003</v>
      </c>
      <c r="K645" s="24">
        <v>355.91400000000004</v>
      </c>
      <c r="L645" s="24">
        <v>142.36560000000003</v>
      </c>
      <c r="M645" s="24">
        <v>834.85999999999922</v>
      </c>
      <c r="N645" s="25">
        <v>4394</v>
      </c>
      <c r="O645" s="24">
        <v>131</v>
      </c>
      <c r="P645" s="24">
        <v>3</v>
      </c>
      <c r="Q645" s="24">
        <v>885</v>
      </c>
      <c r="R645" s="24">
        <v>1027</v>
      </c>
      <c r="S645" s="24">
        <v>450</v>
      </c>
      <c r="T645" s="24">
        <v>300</v>
      </c>
      <c r="U645" s="24">
        <v>0</v>
      </c>
      <c r="V645" s="24">
        <v>424</v>
      </c>
      <c r="W645" s="24">
        <v>1068</v>
      </c>
      <c r="X645" s="24">
        <v>106</v>
      </c>
    </row>
    <row r="646" spans="1:24">
      <c r="A646" s="22">
        <v>46113</v>
      </c>
      <c r="B646" s="23" t="s">
        <v>35</v>
      </c>
      <c r="C646" s="24">
        <v>311.56488000000002</v>
      </c>
      <c r="D646" s="24">
        <v>311.56487999999996</v>
      </c>
      <c r="E646" s="24">
        <v>283.24080000000004</v>
      </c>
      <c r="F646" s="24">
        <v>481.50936000000007</v>
      </c>
      <c r="G646" s="24">
        <v>311.56488000000002</v>
      </c>
      <c r="H646" s="24">
        <v>368.21304000000003</v>
      </c>
      <c r="I646" s="24">
        <v>254.91672000000003</v>
      </c>
      <c r="J646" s="24">
        <v>84.972239999999999</v>
      </c>
      <c r="K646" s="24">
        <v>311.56488000000002</v>
      </c>
      <c r="L646" s="24">
        <v>113.29632000000002</v>
      </c>
      <c r="M646" s="24">
        <v>662.59199999999964</v>
      </c>
      <c r="N646" s="25">
        <v>3495</v>
      </c>
      <c r="O646" s="24">
        <v>108</v>
      </c>
      <c r="P646" s="24">
        <v>0</v>
      </c>
      <c r="Q646" s="24">
        <v>770</v>
      </c>
      <c r="R646" s="24">
        <v>509</v>
      </c>
      <c r="S646" s="24">
        <v>310</v>
      </c>
      <c r="T646" s="24">
        <v>309</v>
      </c>
      <c r="U646" s="24">
        <v>112</v>
      </c>
      <c r="V646" s="24">
        <v>333</v>
      </c>
      <c r="W646" s="24">
        <v>937</v>
      </c>
      <c r="X646" s="24">
        <v>107</v>
      </c>
    </row>
    <row r="647" spans="1:24">
      <c r="A647" s="22">
        <v>46114</v>
      </c>
      <c r="B647" s="23" t="s">
        <v>35</v>
      </c>
      <c r="C647" s="24">
        <v>312.66971999999998</v>
      </c>
      <c r="D647" s="24">
        <v>312.66971999999998</v>
      </c>
      <c r="E647" s="24">
        <v>284.24520000000001</v>
      </c>
      <c r="F647" s="24">
        <v>483.2168400000001</v>
      </c>
      <c r="G647" s="24">
        <v>312.66971999999998</v>
      </c>
      <c r="H647" s="24">
        <v>369.51876000000004</v>
      </c>
      <c r="I647" s="24">
        <v>255.82067999999998</v>
      </c>
      <c r="J647" s="24">
        <v>85.273560000000003</v>
      </c>
      <c r="K647" s="24">
        <v>312.66971999999998</v>
      </c>
      <c r="L647" s="24">
        <v>113.69808</v>
      </c>
      <c r="M647" s="24">
        <v>665.54800000000023</v>
      </c>
      <c r="N647" s="25">
        <v>3508</v>
      </c>
      <c r="O647" s="24">
        <v>109</v>
      </c>
      <c r="P647" s="24">
        <v>0</v>
      </c>
      <c r="Q647" s="24">
        <v>770</v>
      </c>
      <c r="R647" s="24">
        <v>513</v>
      </c>
      <c r="S647" s="24">
        <v>313</v>
      </c>
      <c r="T647" s="24">
        <v>316</v>
      </c>
      <c r="U647" s="24">
        <v>112</v>
      </c>
      <c r="V647" s="24">
        <v>333</v>
      </c>
      <c r="W647" s="24">
        <v>935</v>
      </c>
      <c r="X647" s="24">
        <v>107</v>
      </c>
    </row>
    <row r="648" spans="1:24">
      <c r="A648" s="22">
        <v>46115</v>
      </c>
      <c r="B648" s="23" t="s">
        <v>35</v>
      </c>
      <c r="C648" s="24">
        <v>312.66971999999998</v>
      </c>
      <c r="D648" s="24">
        <v>312.66971999999998</v>
      </c>
      <c r="E648" s="24">
        <v>284.24520000000001</v>
      </c>
      <c r="F648" s="24">
        <v>483.2168400000001</v>
      </c>
      <c r="G648" s="24">
        <v>312.66971999999998</v>
      </c>
      <c r="H648" s="24">
        <v>369.51876000000004</v>
      </c>
      <c r="I648" s="24">
        <v>255.82067999999998</v>
      </c>
      <c r="J648" s="24">
        <v>85.273560000000003</v>
      </c>
      <c r="K648" s="24">
        <v>312.66971999999998</v>
      </c>
      <c r="L648" s="24">
        <v>113.69808</v>
      </c>
      <c r="M648" s="24">
        <v>665.54800000000023</v>
      </c>
      <c r="N648" s="25">
        <v>3508</v>
      </c>
      <c r="O648" s="24">
        <v>109</v>
      </c>
      <c r="P648" s="24">
        <v>0</v>
      </c>
      <c r="Q648" s="24">
        <v>770</v>
      </c>
      <c r="R648" s="24">
        <v>513</v>
      </c>
      <c r="S648" s="24">
        <v>313</v>
      </c>
      <c r="T648" s="24">
        <v>316</v>
      </c>
      <c r="U648" s="24">
        <v>112</v>
      </c>
      <c r="V648" s="24">
        <v>333</v>
      </c>
      <c r="W648" s="24">
        <v>935</v>
      </c>
      <c r="X648" s="24">
        <v>107</v>
      </c>
    </row>
    <row r="649" spans="1:24">
      <c r="A649" s="22">
        <v>46116</v>
      </c>
      <c r="B649" s="23" t="s">
        <v>35</v>
      </c>
      <c r="C649" s="24">
        <v>348.63839999999999</v>
      </c>
      <c r="D649" s="24">
        <v>348.63839999999999</v>
      </c>
      <c r="E649" s="24">
        <v>316.94400000000002</v>
      </c>
      <c r="F649" s="24">
        <v>538.8048</v>
      </c>
      <c r="G649" s="24">
        <v>348.63839999999999</v>
      </c>
      <c r="H649" s="24">
        <v>412.02720000000005</v>
      </c>
      <c r="I649" s="24">
        <v>285.24959999999999</v>
      </c>
      <c r="J649" s="24">
        <v>95.083200000000005</v>
      </c>
      <c r="K649" s="24">
        <v>348.63839999999999</v>
      </c>
      <c r="L649" s="24">
        <v>126.77760000000001</v>
      </c>
      <c r="M649" s="24">
        <v>744.56</v>
      </c>
      <c r="N649" s="25">
        <v>3914</v>
      </c>
      <c r="O649" s="24">
        <v>125</v>
      </c>
      <c r="P649" s="24">
        <v>0</v>
      </c>
      <c r="Q649" s="24">
        <v>886</v>
      </c>
      <c r="R649" s="24">
        <v>590</v>
      </c>
      <c r="S649" s="24">
        <v>360</v>
      </c>
      <c r="T649" s="24">
        <v>364</v>
      </c>
      <c r="U649" s="24">
        <v>130</v>
      </c>
      <c r="V649" s="24">
        <v>384</v>
      </c>
      <c r="W649" s="24">
        <v>1075</v>
      </c>
      <c r="X649" s="24">
        <v>0</v>
      </c>
    </row>
    <row r="650" spans="1:24">
      <c r="A650" s="22">
        <v>46117</v>
      </c>
      <c r="B650" s="23" t="s">
        <v>35</v>
      </c>
      <c r="C650" s="24">
        <v>348.63839999999999</v>
      </c>
      <c r="D650" s="24">
        <v>348.63839999999999</v>
      </c>
      <c r="E650" s="24">
        <v>316.94400000000002</v>
      </c>
      <c r="F650" s="24">
        <v>538.8048</v>
      </c>
      <c r="G650" s="24">
        <v>348.63839999999999</v>
      </c>
      <c r="H650" s="24">
        <v>412.02720000000005</v>
      </c>
      <c r="I650" s="24">
        <v>285.24959999999999</v>
      </c>
      <c r="J650" s="24">
        <v>95.083200000000005</v>
      </c>
      <c r="K650" s="24">
        <v>348.63839999999999</v>
      </c>
      <c r="L650" s="24">
        <v>126.77760000000001</v>
      </c>
      <c r="M650" s="24">
        <v>744.56</v>
      </c>
      <c r="N650" s="25">
        <v>3914</v>
      </c>
      <c r="O650" s="24">
        <v>125</v>
      </c>
      <c r="P650" s="24">
        <v>0</v>
      </c>
      <c r="Q650" s="24">
        <v>886</v>
      </c>
      <c r="R650" s="24">
        <v>590</v>
      </c>
      <c r="S650" s="24">
        <v>360</v>
      </c>
      <c r="T650" s="24">
        <v>364</v>
      </c>
      <c r="U650" s="24">
        <v>130</v>
      </c>
      <c r="V650" s="24">
        <v>384</v>
      </c>
      <c r="W650" s="24">
        <v>1075</v>
      </c>
      <c r="X650" s="24">
        <v>0</v>
      </c>
    </row>
    <row r="651" spans="1:24">
      <c r="A651" s="22">
        <v>46118</v>
      </c>
      <c r="B651" s="23" t="s">
        <v>35</v>
      </c>
      <c r="C651" s="24">
        <v>348.63839999999999</v>
      </c>
      <c r="D651" s="24">
        <v>348.63839999999999</v>
      </c>
      <c r="E651" s="24">
        <v>316.94400000000002</v>
      </c>
      <c r="F651" s="24">
        <v>538.8048</v>
      </c>
      <c r="G651" s="24">
        <v>348.63839999999999</v>
      </c>
      <c r="H651" s="24">
        <v>412.02720000000005</v>
      </c>
      <c r="I651" s="24">
        <v>285.24959999999999</v>
      </c>
      <c r="J651" s="24">
        <v>95.083200000000005</v>
      </c>
      <c r="K651" s="24">
        <v>348.63839999999999</v>
      </c>
      <c r="L651" s="24">
        <v>126.77760000000001</v>
      </c>
      <c r="M651" s="24">
        <v>744.56</v>
      </c>
      <c r="N651" s="25">
        <v>3914</v>
      </c>
      <c r="O651" s="24">
        <v>125</v>
      </c>
      <c r="P651" s="24">
        <v>0</v>
      </c>
      <c r="Q651" s="24">
        <v>886</v>
      </c>
      <c r="R651" s="24">
        <v>590</v>
      </c>
      <c r="S651" s="24">
        <v>360</v>
      </c>
      <c r="T651" s="24">
        <v>364</v>
      </c>
      <c r="U651" s="24">
        <v>130</v>
      </c>
      <c r="V651" s="24">
        <v>384</v>
      </c>
      <c r="W651" s="24">
        <v>1075</v>
      </c>
      <c r="X651" s="24">
        <v>0</v>
      </c>
    </row>
    <row r="652" spans="1:24">
      <c r="A652" s="22">
        <v>46119</v>
      </c>
      <c r="B652" s="23" t="s">
        <v>35</v>
      </c>
      <c r="C652" s="24">
        <v>312.66971999999998</v>
      </c>
      <c r="D652" s="24">
        <v>312.66971999999998</v>
      </c>
      <c r="E652" s="24">
        <v>284.24520000000001</v>
      </c>
      <c r="F652" s="24">
        <v>483.2168400000001</v>
      </c>
      <c r="G652" s="24">
        <v>312.66971999999998</v>
      </c>
      <c r="H652" s="24">
        <v>369.51876000000004</v>
      </c>
      <c r="I652" s="24">
        <v>255.82067999999998</v>
      </c>
      <c r="J652" s="24">
        <v>85.273560000000003</v>
      </c>
      <c r="K652" s="24">
        <v>312.66971999999998</v>
      </c>
      <c r="L652" s="24">
        <v>113.69808</v>
      </c>
      <c r="M652" s="24">
        <v>665.54800000000023</v>
      </c>
      <c r="N652" s="25">
        <v>3508</v>
      </c>
      <c r="O652" s="24">
        <v>109</v>
      </c>
      <c r="P652" s="24">
        <v>0</v>
      </c>
      <c r="Q652" s="24">
        <v>770</v>
      </c>
      <c r="R652" s="24">
        <v>513</v>
      </c>
      <c r="S652" s="24">
        <v>313</v>
      </c>
      <c r="T652" s="24">
        <v>316</v>
      </c>
      <c r="U652" s="24">
        <v>112</v>
      </c>
      <c r="V652" s="24">
        <v>333</v>
      </c>
      <c r="W652" s="24">
        <v>935</v>
      </c>
      <c r="X652" s="24">
        <v>107</v>
      </c>
    </row>
    <row r="653" spans="1:24">
      <c r="A653" s="22">
        <v>46120</v>
      </c>
      <c r="B653" s="23" t="s">
        <v>35</v>
      </c>
      <c r="C653" s="24">
        <v>312.66971999999998</v>
      </c>
      <c r="D653" s="24">
        <v>312.66971999999998</v>
      </c>
      <c r="E653" s="24">
        <v>284.24520000000001</v>
      </c>
      <c r="F653" s="24">
        <v>483.2168400000001</v>
      </c>
      <c r="G653" s="24">
        <v>312.66971999999998</v>
      </c>
      <c r="H653" s="24">
        <v>369.51876000000004</v>
      </c>
      <c r="I653" s="24">
        <v>255.82067999999998</v>
      </c>
      <c r="J653" s="24">
        <v>85.273560000000003</v>
      </c>
      <c r="K653" s="24">
        <v>312.66971999999998</v>
      </c>
      <c r="L653" s="24">
        <v>113.69808</v>
      </c>
      <c r="M653" s="24">
        <v>665.54800000000023</v>
      </c>
      <c r="N653" s="25">
        <v>3508</v>
      </c>
      <c r="O653" s="24">
        <v>109</v>
      </c>
      <c r="P653" s="24">
        <v>0</v>
      </c>
      <c r="Q653" s="24">
        <v>770</v>
      </c>
      <c r="R653" s="24">
        <v>513</v>
      </c>
      <c r="S653" s="24">
        <v>313</v>
      </c>
      <c r="T653" s="24">
        <v>316</v>
      </c>
      <c r="U653" s="24">
        <v>112</v>
      </c>
      <c r="V653" s="24">
        <v>333</v>
      </c>
      <c r="W653" s="24">
        <v>935</v>
      </c>
      <c r="X653" s="24">
        <v>107</v>
      </c>
    </row>
    <row r="654" spans="1:24">
      <c r="A654" s="22">
        <v>46121</v>
      </c>
      <c r="B654" s="23" t="s">
        <v>35</v>
      </c>
      <c r="C654" s="24">
        <v>312.66971999999998</v>
      </c>
      <c r="D654" s="24">
        <v>312.66971999999998</v>
      </c>
      <c r="E654" s="24">
        <v>284.24520000000001</v>
      </c>
      <c r="F654" s="24">
        <v>483.2168400000001</v>
      </c>
      <c r="G654" s="24">
        <v>312.66971999999998</v>
      </c>
      <c r="H654" s="24">
        <v>369.51876000000004</v>
      </c>
      <c r="I654" s="24">
        <v>255.82067999999998</v>
      </c>
      <c r="J654" s="24">
        <v>85.273560000000003</v>
      </c>
      <c r="K654" s="24">
        <v>312.66971999999998</v>
      </c>
      <c r="L654" s="24">
        <v>113.69808</v>
      </c>
      <c r="M654" s="24">
        <v>665.54800000000023</v>
      </c>
      <c r="N654" s="25">
        <v>3508</v>
      </c>
      <c r="O654" s="24">
        <v>109</v>
      </c>
      <c r="P654" s="24">
        <v>0</v>
      </c>
      <c r="Q654" s="24">
        <v>770</v>
      </c>
      <c r="R654" s="24">
        <v>513</v>
      </c>
      <c r="S654" s="24">
        <v>313</v>
      </c>
      <c r="T654" s="24">
        <v>316</v>
      </c>
      <c r="U654" s="24">
        <v>112</v>
      </c>
      <c r="V654" s="24">
        <v>333</v>
      </c>
      <c r="W654" s="24">
        <v>935</v>
      </c>
      <c r="X654" s="24">
        <v>107</v>
      </c>
    </row>
    <row r="655" spans="1:24">
      <c r="A655" s="22">
        <v>46122</v>
      </c>
      <c r="B655" s="23" t="s">
        <v>35</v>
      </c>
      <c r="C655" s="24">
        <v>312.66971999999998</v>
      </c>
      <c r="D655" s="24">
        <v>312.66971999999998</v>
      </c>
      <c r="E655" s="24">
        <v>284.24520000000001</v>
      </c>
      <c r="F655" s="24">
        <v>483.2168400000001</v>
      </c>
      <c r="G655" s="24">
        <v>312.66971999999998</v>
      </c>
      <c r="H655" s="24">
        <v>369.51876000000004</v>
      </c>
      <c r="I655" s="24">
        <v>255.82067999999998</v>
      </c>
      <c r="J655" s="24">
        <v>85.273560000000003</v>
      </c>
      <c r="K655" s="24">
        <v>312.66971999999998</v>
      </c>
      <c r="L655" s="24">
        <v>113.69808</v>
      </c>
      <c r="M655" s="24">
        <v>665.54800000000023</v>
      </c>
      <c r="N655" s="25">
        <v>3508</v>
      </c>
      <c r="O655" s="24">
        <v>109</v>
      </c>
      <c r="P655" s="24">
        <v>0</v>
      </c>
      <c r="Q655" s="24">
        <v>770</v>
      </c>
      <c r="R655" s="24">
        <v>513</v>
      </c>
      <c r="S655" s="24">
        <v>313</v>
      </c>
      <c r="T655" s="24">
        <v>316</v>
      </c>
      <c r="U655" s="24">
        <v>112</v>
      </c>
      <c r="V655" s="24">
        <v>333</v>
      </c>
      <c r="W655" s="24">
        <v>935</v>
      </c>
      <c r="X655" s="24">
        <v>107</v>
      </c>
    </row>
    <row r="656" spans="1:24">
      <c r="A656" s="22">
        <v>46123</v>
      </c>
      <c r="B656" s="23" t="s">
        <v>35</v>
      </c>
      <c r="C656" s="24">
        <v>348.63839999999999</v>
      </c>
      <c r="D656" s="24">
        <v>348.63839999999999</v>
      </c>
      <c r="E656" s="24">
        <v>316.94400000000002</v>
      </c>
      <c r="F656" s="24">
        <v>538.8048</v>
      </c>
      <c r="G656" s="24">
        <v>348.63839999999999</v>
      </c>
      <c r="H656" s="24">
        <v>412.02720000000005</v>
      </c>
      <c r="I656" s="24">
        <v>285.24959999999999</v>
      </c>
      <c r="J656" s="24">
        <v>95.083200000000005</v>
      </c>
      <c r="K656" s="24">
        <v>348.63839999999999</v>
      </c>
      <c r="L656" s="24">
        <v>126.77760000000001</v>
      </c>
      <c r="M656" s="24">
        <v>744.56</v>
      </c>
      <c r="N656" s="25">
        <v>3914</v>
      </c>
      <c r="O656" s="24">
        <v>125</v>
      </c>
      <c r="P656" s="24">
        <v>0</v>
      </c>
      <c r="Q656" s="24">
        <v>886</v>
      </c>
      <c r="R656" s="24">
        <v>590</v>
      </c>
      <c r="S656" s="24">
        <v>360</v>
      </c>
      <c r="T656" s="24">
        <v>364</v>
      </c>
      <c r="U656" s="24">
        <v>130</v>
      </c>
      <c r="V656" s="24">
        <v>384</v>
      </c>
      <c r="W656" s="24">
        <v>1075</v>
      </c>
      <c r="X656" s="24">
        <v>0</v>
      </c>
    </row>
    <row r="657" spans="1:24">
      <c r="A657" s="22">
        <v>46124</v>
      </c>
      <c r="B657" s="23" t="s">
        <v>35</v>
      </c>
      <c r="C657" s="24">
        <v>348.63839999999999</v>
      </c>
      <c r="D657" s="24">
        <v>348.63839999999999</v>
      </c>
      <c r="E657" s="24">
        <v>316.94400000000002</v>
      </c>
      <c r="F657" s="24">
        <v>538.8048</v>
      </c>
      <c r="G657" s="24">
        <v>348.63839999999999</v>
      </c>
      <c r="H657" s="24">
        <v>412.02720000000005</v>
      </c>
      <c r="I657" s="24">
        <v>285.24959999999999</v>
      </c>
      <c r="J657" s="24">
        <v>95.083200000000005</v>
      </c>
      <c r="K657" s="24">
        <v>348.63839999999999</v>
      </c>
      <c r="L657" s="24">
        <v>126.77760000000001</v>
      </c>
      <c r="M657" s="24">
        <v>744.56</v>
      </c>
      <c r="N657" s="25">
        <v>3914</v>
      </c>
      <c r="O657" s="24">
        <v>125</v>
      </c>
      <c r="P657" s="24">
        <v>0</v>
      </c>
      <c r="Q657" s="24">
        <v>886</v>
      </c>
      <c r="R657" s="24">
        <v>590</v>
      </c>
      <c r="S657" s="24">
        <v>360</v>
      </c>
      <c r="T657" s="24">
        <v>364</v>
      </c>
      <c r="U657" s="24">
        <v>130</v>
      </c>
      <c r="V657" s="24">
        <v>384</v>
      </c>
      <c r="W657" s="24">
        <v>1075</v>
      </c>
      <c r="X657" s="24">
        <v>0</v>
      </c>
    </row>
    <row r="658" spans="1:24">
      <c r="A658" s="22">
        <v>46125</v>
      </c>
      <c r="B658" s="23" t="s">
        <v>35</v>
      </c>
      <c r="C658" s="24">
        <v>312.66971999999998</v>
      </c>
      <c r="D658" s="24">
        <v>312.66971999999998</v>
      </c>
      <c r="E658" s="24">
        <v>284.24520000000001</v>
      </c>
      <c r="F658" s="24">
        <v>483.2168400000001</v>
      </c>
      <c r="G658" s="24">
        <v>312.66971999999998</v>
      </c>
      <c r="H658" s="24">
        <v>369.51876000000004</v>
      </c>
      <c r="I658" s="24">
        <v>255.82067999999998</v>
      </c>
      <c r="J658" s="24">
        <v>85.273560000000003</v>
      </c>
      <c r="K658" s="24">
        <v>312.66971999999998</v>
      </c>
      <c r="L658" s="24">
        <v>113.69808</v>
      </c>
      <c r="M658" s="24">
        <v>665.54800000000023</v>
      </c>
      <c r="N658" s="25">
        <v>3508</v>
      </c>
      <c r="O658" s="24">
        <v>109</v>
      </c>
      <c r="P658" s="24">
        <v>0</v>
      </c>
      <c r="Q658" s="24">
        <v>770</v>
      </c>
      <c r="R658" s="24">
        <v>513</v>
      </c>
      <c r="S658" s="24">
        <v>313</v>
      </c>
      <c r="T658" s="24">
        <v>316</v>
      </c>
      <c r="U658" s="24">
        <v>112</v>
      </c>
      <c r="V658" s="24">
        <v>333</v>
      </c>
      <c r="W658" s="24">
        <v>935</v>
      </c>
      <c r="X658" s="24">
        <v>107</v>
      </c>
    </row>
    <row r="659" spans="1:24">
      <c r="A659" s="22">
        <v>46126</v>
      </c>
      <c r="B659" s="23" t="s">
        <v>35</v>
      </c>
      <c r="C659" s="24">
        <v>312.66971999999998</v>
      </c>
      <c r="D659" s="24">
        <v>312.66971999999998</v>
      </c>
      <c r="E659" s="24">
        <v>284.24520000000001</v>
      </c>
      <c r="F659" s="24">
        <v>483.2168400000001</v>
      </c>
      <c r="G659" s="24">
        <v>312.66971999999998</v>
      </c>
      <c r="H659" s="24">
        <v>369.51876000000004</v>
      </c>
      <c r="I659" s="24">
        <v>255.82067999999998</v>
      </c>
      <c r="J659" s="24">
        <v>85.273560000000003</v>
      </c>
      <c r="K659" s="24">
        <v>312.66971999999998</v>
      </c>
      <c r="L659" s="24">
        <v>113.69808</v>
      </c>
      <c r="M659" s="24">
        <v>665.54800000000023</v>
      </c>
      <c r="N659" s="25">
        <v>3508</v>
      </c>
      <c r="O659" s="24">
        <v>109</v>
      </c>
      <c r="P659" s="24">
        <v>0</v>
      </c>
      <c r="Q659" s="24">
        <v>770</v>
      </c>
      <c r="R659" s="24">
        <v>513</v>
      </c>
      <c r="S659" s="24">
        <v>313</v>
      </c>
      <c r="T659" s="24">
        <v>316</v>
      </c>
      <c r="U659" s="24">
        <v>112</v>
      </c>
      <c r="V659" s="24">
        <v>333</v>
      </c>
      <c r="W659" s="24">
        <v>935</v>
      </c>
      <c r="X659" s="24">
        <v>107</v>
      </c>
    </row>
    <row r="660" spans="1:24">
      <c r="A660" s="22">
        <v>46127</v>
      </c>
      <c r="B660" s="23" t="s">
        <v>35</v>
      </c>
      <c r="C660" s="24">
        <v>312.66971999999998</v>
      </c>
      <c r="D660" s="24">
        <v>312.66971999999998</v>
      </c>
      <c r="E660" s="24">
        <v>284.24520000000001</v>
      </c>
      <c r="F660" s="24">
        <v>483.2168400000001</v>
      </c>
      <c r="G660" s="24">
        <v>312.66971999999998</v>
      </c>
      <c r="H660" s="24">
        <v>369.51876000000004</v>
      </c>
      <c r="I660" s="24">
        <v>255.82067999999998</v>
      </c>
      <c r="J660" s="24">
        <v>85.273560000000003</v>
      </c>
      <c r="K660" s="24">
        <v>312.66971999999998</v>
      </c>
      <c r="L660" s="24">
        <v>113.69808</v>
      </c>
      <c r="M660" s="24">
        <v>665.54800000000023</v>
      </c>
      <c r="N660" s="25">
        <v>3508</v>
      </c>
      <c r="O660" s="24">
        <v>109</v>
      </c>
      <c r="P660" s="24">
        <v>0</v>
      </c>
      <c r="Q660" s="24">
        <v>770</v>
      </c>
      <c r="R660" s="24">
        <v>513</v>
      </c>
      <c r="S660" s="24">
        <v>313</v>
      </c>
      <c r="T660" s="24">
        <v>316</v>
      </c>
      <c r="U660" s="24">
        <v>112</v>
      </c>
      <c r="V660" s="24">
        <v>333</v>
      </c>
      <c r="W660" s="24">
        <v>935</v>
      </c>
      <c r="X660" s="24">
        <v>107</v>
      </c>
    </row>
    <row r="661" spans="1:24">
      <c r="A661" s="22">
        <v>46128</v>
      </c>
      <c r="B661" s="23" t="s">
        <v>35</v>
      </c>
      <c r="C661" s="24">
        <v>312.66971999999998</v>
      </c>
      <c r="D661" s="24">
        <v>312.66971999999998</v>
      </c>
      <c r="E661" s="24">
        <v>284.24520000000001</v>
      </c>
      <c r="F661" s="24">
        <v>483.2168400000001</v>
      </c>
      <c r="G661" s="24">
        <v>312.66971999999998</v>
      </c>
      <c r="H661" s="24">
        <v>369.51876000000004</v>
      </c>
      <c r="I661" s="24">
        <v>255.82067999999998</v>
      </c>
      <c r="J661" s="24">
        <v>85.273560000000003</v>
      </c>
      <c r="K661" s="24">
        <v>312.66971999999998</v>
      </c>
      <c r="L661" s="24">
        <v>113.69808</v>
      </c>
      <c r="M661" s="24">
        <v>665.54800000000023</v>
      </c>
      <c r="N661" s="25">
        <v>3508</v>
      </c>
      <c r="O661" s="24">
        <v>109</v>
      </c>
      <c r="P661" s="24">
        <v>0</v>
      </c>
      <c r="Q661" s="24">
        <v>770</v>
      </c>
      <c r="R661" s="24">
        <v>513</v>
      </c>
      <c r="S661" s="24">
        <v>313</v>
      </c>
      <c r="T661" s="24">
        <v>316</v>
      </c>
      <c r="U661" s="24">
        <v>112</v>
      </c>
      <c r="V661" s="24">
        <v>333</v>
      </c>
      <c r="W661" s="24">
        <v>935</v>
      </c>
      <c r="X661" s="24">
        <v>107</v>
      </c>
    </row>
    <row r="662" spans="1:24">
      <c r="A662" s="22">
        <v>46129</v>
      </c>
      <c r="B662" s="23" t="s">
        <v>35</v>
      </c>
      <c r="C662" s="24">
        <v>312.66971999999998</v>
      </c>
      <c r="D662" s="24">
        <v>312.66971999999998</v>
      </c>
      <c r="E662" s="24">
        <v>284.24520000000001</v>
      </c>
      <c r="F662" s="24">
        <v>483.2168400000001</v>
      </c>
      <c r="G662" s="24">
        <v>312.66971999999998</v>
      </c>
      <c r="H662" s="24">
        <v>369.51876000000004</v>
      </c>
      <c r="I662" s="24">
        <v>255.82067999999998</v>
      </c>
      <c r="J662" s="24">
        <v>85.273560000000003</v>
      </c>
      <c r="K662" s="24">
        <v>312.66971999999998</v>
      </c>
      <c r="L662" s="24">
        <v>113.69808</v>
      </c>
      <c r="M662" s="24">
        <v>665.54800000000023</v>
      </c>
      <c r="N662" s="25">
        <v>3508</v>
      </c>
      <c r="O662" s="24">
        <v>109</v>
      </c>
      <c r="P662" s="24">
        <v>0</v>
      </c>
      <c r="Q662" s="24">
        <v>770</v>
      </c>
      <c r="R662" s="24">
        <v>513</v>
      </c>
      <c r="S662" s="24">
        <v>313</v>
      </c>
      <c r="T662" s="24">
        <v>316</v>
      </c>
      <c r="U662" s="24">
        <v>112</v>
      </c>
      <c r="V662" s="24">
        <v>333</v>
      </c>
      <c r="W662" s="24">
        <v>935</v>
      </c>
      <c r="X662" s="24">
        <v>107</v>
      </c>
    </row>
    <row r="663" spans="1:24">
      <c r="A663" s="22">
        <v>46130</v>
      </c>
      <c r="B663" s="23" t="s">
        <v>35</v>
      </c>
      <c r="C663" s="24">
        <v>348.63839999999999</v>
      </c>
      <c r="D663" s="24">
        <v>348.63839999999999</v>
      </c>
      <c r="E663" s="24">
        <v>316.94400000000002</v>
      </c>
      <c r="F663" s="24">
        <v>538.8048</v>
      </c>
      <c r="G663" s="24">
        <v>348.63839999999999</v>
      </c>
      <c r="H663" s="24">
        <v>412.02720000000005</v>
      </c>
      <c r="I663" s="24">
        <v>285.24959999999999</v>
      </c>
      <c r="J663" s="24">
        <v>95.083200000000005</v>
      </c>
      <c r="K663" s="24">
        <v>348.63839999999999</v>
      </c>
      <c r="L663" s="24">
        <v>126.77760000000001</v>
      </c>
      <c r="M663" s="24">
        <v>744.56</v>
      </c>
      <c r="N663" s="25">
        <v>3914</v>
      </c>
      <c r="O663" s="24">
        <v>125</v>
      </c>
      <c r="P663" s="24">
        <v>0</v>
      </c>
      <c r="Q663" s="24">
        <v>886</v>
      </c>
      <c r="R663" s="24">
        <v>590</v>
      </c>
      <c r="S663" s="24">
        <v>360</v>
      </c>
      <c r="T663" s="24">
        <v>364</v>
      </c>
      <c r="U663" s="24">
        <v>130</v>
      </c>
      <c r="V663" s="24">
        <v>384</v>
      </c>
      <c r="W663" s="24">
        <v>1075</v>
      </c>
      <c r="X663" s="24">
        <v>0</v>
      </c>
    </row>
    <row r="664" spans="1:24">
      <c r="A664" s="22">
        <v>46131</v>
      </c>
      <c r="B664" s="23" t="s">
        <v>35</v>
      </c>
      <c r="C664" s="24">
        <v>348.63839999999999</v>
      </c>
      <c r="D664" s="24">
        <v>348.63839999999999</v>
      </c>
      <c r="E664" s="24">
        <v>316.94400000000002</v>
      </c>
      <c r="F664" s="24">
        <v>538.8048</v>
      </c>
      <c r="G664" s="24">
        <v>348.63839999999999</v>
      </c>
      <c r="H664" s="24">
        <v>412.02720000000005</v>
      </c>
      <c r="I664" s="24">
        <v>285.24959999999999</v>
      </c>
      <c r="J664" s="24">
        <v>95.083200000000005</v>
      </c>
      <c r="K664" s="24">
        <v>348.63839999999999</v>
      </c>
      <c r="L664" s="24">
        <v>126.77760000000001</v>
      </c>
      <c r="M664" s="24">
        <v>744.56</v>
      </c>
      <c r="N664" s="25">
        <v>3914</v>
      </c>
      <c r="O664" s="24">
        <v>125</v>
      </c>
      <c r="P664" s="24">
        <v>0</v>
      </c>
      <c r="Q664" s="24">
        <v>886</v>
      </c>
      <c r="R664" s="24">
        <v>590</v>
      </c>
      <c r="S664" s="24">
        <v>360</v>
      </c>
      <c r="T664" s="24">
        <v>364</v>
      </c>
      <c r="U664" s="24">
        <v>130</v>
      </c>
      <c r="V664" s="24">
        <v>384</v>
      </c>
      <c r="W664" s="24">
        <v>1075</v>
      </c>
      <c r="X664" s="24">
        <v>0</v>
      </c>
    </row>
    <row r="665" spans="1:24">
      <c r="A665" s="22">
        <v>46132</v>
      </c>
      <c r="B665" s="23" t="s">
        <v>35</v>
      </c>
      <c r="C665" s="24">
        <v>312.66971999999998</v>
      </c>
      <c r="D665" s="24">
        <v>312.66971999999998</v>
      </c>
      <c r="E665" s="24">
        <v>284.24520000000001</v>
      </c>
      <c r="F665" s="24">
        <v>483.2168400000001</v>
      </c>
      <c r="G665" s="24">
        <v>312.66971999999998</v>
      </c>
      <c r="H665" s="24">
        <v>369.51876000000004</v>
      </c>
      <c r="I665" s="24">
        <v>255.82067999999998</v>
      </c>
      <c r="J665" s="24">
        <v>85.273560000000003</v>
      </c>
      <c r="K665" s="24">
        <v>312.66971999999998</v>
      </c>
      <c r="L665" s="24">
        <v>113.69808</v>
      </c>
      <c r="M665" s="24">
        <v>665.54800000000023</v>
      </c>
      <c r="N665" s="25">
        <v>3508</v>
      </c>
      <c r="O665" s="24">
        <v>109</v>
      </c>
      <c r="P665" s="24">
        <v>0</v>
      </c>
      <c r="Q665" s="24">
        <v>770</v>
      </c>
      <c r="R665" s="24">
        <v>513</v>
      </c>
      <c r="S665" s="24">
        <v>313</v>
      </c>
      <c r="T665" s="24">
        <v>316</v>
      </c>
      <c r="U665" s="24">
        <v>112</v>
      </c>
      <c r="V665" s="24">
        <v>333</v>
      </c>
      <c r="W665" s="24">
        <v>935</v>
      </c>
      <c r="X665" s="24">
        <v>107</v>
      </c>
    </row>
    <row r="666" spans="1:24">
      <c r="A666" s="22">
        <v>46133</v>
      </c>
      <c r="B666" s="23" t="s">
        <v>35</v>
      </c>
      <c r="C666" s="24">
        <v>312.66971999999998</v>
      </c>
      <c r="D666" s="24">
        <v>312.66971999999998</v>
      </c>
      <c r="E666" s="24">
        <v>284.24520000000001</v>
      </c>
      <c r="F666" s="24">
        <v>483.2168400000001</v>
      </c>
      <c r="G666" s="24">
        <v>312.66971999999998</v>
      </c>
      <c r="H666" s="24">
        <v>369.51876000000004</v>
      </c>
      <c r="I666" s="24">
        <v>255.82067999999998</v>
      </c>
      <c r="J666" s="24">
        <v>85.273560000000003</v>
      </c>
      <c r="K666" s="24">
        <v>312.66971999999998</v>
      </c>
      <c r="L666" s="24">
        <v>113.69808</v>
      </c>
      <c r="M666" s="24">
        <v>665.54800000000023</v>
      </c>
      <c r="N666" s="25">
        <v>3508</v>
      </c>
      <c r="O666" s="24">
        <v>109</v>
      </c>
      <c r="P666" s="24">
        <v>0</v>
      </c>
      <c r="Q666" s="24">
        <v>770</v>
      </c>
      <c r="R666" s="24">
        <v>513</v>
      </c>
      <c r="S666" s="24">
        <v>313</v>
      </c>
      <c r="T666" s="24">
        <v>316</v>
      </c>
      <c r="U666" s="24">
        <v>112</v>
      </c>
      <c r="V666" s="24">
        <v>333</v>
      </c>
      <c r="W666" s="24">
        <v>935</v>
      </c>
      <c r="X666" s="24">
        <v>107</v>
      </c>
    </row>
    <row r="667" spans="1:24">
      <c r="A667" s="22">
        <v>46134</v>
      </c>
      <c r="B667" s="23" t="s">
        <v>35</v>
      </c>
      <c r="C667" s="24">
        <v>312.66971999999998</v>
      </c>
      <c r="D667" s="24">
        <v>312.66971999999998</v>
      </c>
      <c r="E667" s="24">
        <v>284.24520000000001</v>
      </c>
      <c r="F667" s="24">
        <v>483.2168400000001</v>
      </c>
      <c r="G667" s="24">
        <v>312.66971999999998</v>
      </c>
      <c r="H667" s="24">
        <v>369.51876000000004</v>
      </c>
      <c r="I667" s="24">
        <v>255.82067999999998</v>
      </c>
      <c r="J667" s="24">
        <v>85.273560000000003</v>
      </c>
      <c r="K667" s="24">
        <v>312.66971999999998</v>
      </c>
      <c r="L667" s="24">
        <v>113.69808</v>
      </c>
      <c r="M667" s="24">
        <v>665.54800000000023</v>
      </c>
      <c r="N667" s="25">
        <v>3508</v>
      </c>
      <c r="O667" s="24">
        <v>109</v>
      </c>
      <c r="P667" s="24">
        <v>0</v>
      </c>
      <c r="Q667" s="24">
        <v>770</v>
      </c>
      <c r="R667" s="24">
        <v>513</v>
      </c>
      <c r="S667" s="24">
        <v>313</v>
      </c>
      <c r="T667" s="24">
        <v>316</v>
      </c>
      <c r="U667" s="24">
        <v>112</v>
      </c>
      <c r="V667" s="24">
        <v>333</v>
      </c>
      <c r="W667" s="24">
        <v>935</v>
      </c>
      <c r="X667" s="24">
        <v>107</v>
      </c>
    </row>
    <row r="668" spans="1:24">
      <c r="A668" s="22">
        <v>46135</v>
      </c>
      <c r="B668" s="23" t="s">
        <v>35</v>
      </c>
      <c r="C668" s="24">
        <v>312.66971999999998</v>
      </c>
      <c r="D668" s="24">
        <v>312.66971999999998</v>
      </c>
      <c r="E668" s="24">
        <v>284.24520000000001</v>
      </c>
      <c r="F668" s="24">
        <v>483.2168400000001</v>
      </c>
      <c r="G668" s="24">
        <v>312.66971999999998</v>
      </c>
      <c r="H668" s="24">
        <v>369.51876000000004</v>
      </c>
      <c r="I668" s="24">
        <v>255.82067999999998</v>
      </c>
      <c r="J668" s="24">
        <v>85.273560000000003</v>
      </c>
      <c r="K668" s="24">
        <v>312.66971999999998</v>
      </c>
      <c r="L668" s="24">
        <v>113.69808</v>
      </c>
      <c r="M668" s="24">
        <v>665.54800000000023</v>
      </c>
      <c r="N668" s="25">
        <v>3508</v>
      </c>
      <c r="O668" s="24">
        <v>109</v>
      </c>
      <c r="P668" s="24">
        <v>0</v>
      </c>
      <c r="Q668" s="24">
        <v>770</v>
      </c>
      <c r="R668" s="24">
        <v>513</v>
      </c>
      <c r="S668" s="24">
        <v>313</v>
      </c>
      <c r="T668" s="24">
        <v>316</v>
      </c>
      <c r="U668" s="24">
        <v>112</v>
      </c>
      <c r="V668" s="24">
        <v>333</v>
      </c>
      <c r="W668" s="24">
        <v>935</v>
      </c>
      <c r="X668" s="24">
        <v>107</v>
      </c>
    </row>
    <row r="669" spans="1:24">
      <c r="A669" s="22">
        <v>46136</v>
      </c>
      <c r="B669" s="23" t="s">
        <v>35</v>
      </c>
      <c r="C669" s="24">
        <v>312.66971999999998</v>
      </c>
      <c r="D669" s="24">
        <v>312.66971999999998</v>
      </c>
      <c r="E669" s="24">
        <v>284.24520000000001</v>
      </c>
      <c r="F669" s="24">
        <v>483.2168400000001</v>
      </c>
      <c r="G669" s="24">
        <v>312.66971999999998</v>
      </c>
      <c r="H669" s="24">
        <v>369.51876000000004</v>
      </c>
      <c r="I669" s="24">
        <v>255.82067999999998</v>
      </c>
      <c r="J669" s="24">
        <v>85.273560000000003</v>
      </c>
      <c r="K669" s="24">
        <v>312.66971999999998</v>
      </c>
      <c r="L669" s="24">
        <v>113.69808</v>
      </c>
      <c r="M669" s="24">
        <v>665.54800000000023</v>
      </c>
      <c r="N669" s="25">
        <v>3508</v>
      </c>
      <c r="O669" s="24">
        <v>109</v>
      </c>
      <c r="P669" s="24">
        <v>0</v>
      </c>
      <c r="Q669" s="24">
        <v>770</v>
      </c>
      <c r="R669" s="24">
        <v>513</v>
      </c>
      <c r="S669" s="24">
        <v>313</v>
      </c>
      <c r="T669" s="24">
        <v>316</v>
      </c>
      <c r="U669" s="24">
        <v>112</v>
      </c>
      <c r="V669" s="24">
        <v>333</v>
      </c>
      <c r="W669" s="24">
        <v>935</v>
      </c>
      <c r="X669" s="24">
        <v>107</v>
      </c>
    </row>
    <row r="670" spans="1:24">
      <c r="A670" s="22">
        <v>46137</v>
      </c>
      <c r="B670" s="23" t="s">
        <v>35</v>
      </c>
      <c r="C670" s="24">
        <v>348.69978000000003</v>
      </c>
      <c r="D670" s="24">
        <v>348.69978000000003</v>
      </c>
      <c r="E670" s="24">
        <v>316.99980000000005</v>
      </c>
      <c r="F670" s="24">
        <v>538.89966000000015</v>
      </c>
      <c r="G670" s="24">
        <v>348.69978000000003</v>
      </c>
      <c r="H670" s="24">
        <v>412.09974000000005</v>
      </c>
      <c r="I670" s="24">
        <v>285.29982000000007</v>
      </c>
      <c r="J670" s="24">
        <v>95.099940000000004</v>
      </c>
      <c r="K670" s="24">
        <v>348.69978000000003</v>
      </c>
      <c r="L670" s="24">
        <v>126.79992000000003</v>
      </c>
      <c r="M670" s="24">
        <v>745.0019999999995</v>
      </c>
      <c r="N670" s="25">
        <v>3915</v>
      </c>
      <c r="O670" s="24">
        <v>125</v>
      </c>
      <c r="P670" s="24">
        <v>1</v>
      </c>
      <c r="Q670" s="24">
        <v>886</v>
      </c>
      <c r="R670" s="24">
        <v>590</v>
      </c>
      <c r="S670" s="24">
        <v>360</v>
      </c>
      <c r="T670" s="24">
        <v>364</v>
      </c>
      <c r="U670" s="24">
        <v>130</v>
      </c>
      <c r="V670" s="24">
        <v>384</v>
      </c>
      <c r="W670" s="24">
        <v>1075</v>
      </c>
      <c r="X670" s="24">
        <v>0</v>
      </c>
    </row>
    <row r="671" spans="1:24">
      <c r="A671" s="22">
        <v>46138</v>
      </c>
      <c r="B671" s="23" t="s">
        <v>35</v>
      </c>
      <c r="C671" s="24">
        <v>348.69978000000003</v>
      </c>
      <c r="D671" s="24">
        <v>348.69978000000003</v>
      </c>
      <c r="E671" s="24">
        <v>316.99980000000005</v>
      </c>
      <c r="F671" s="24">
        <v>538.89966000000015</v>
      </c>
      <c r="G671" s="24">
        <v>348.69978000000003</v>
      </c>
      <c r="H671" s="24">
        <v>412.09974000000005</v>
      </c>
      <c r="I671" s="24">
        <v>285.29982000000007</v>
      </c>
      <c r="J671" s="24">
        <v>95.099940000000004</v>
      </c>
      <c r="K671" s="24">
        <v>348.69978000000003</v>
      </c>
      <c r="L671" s="24">
        <v>126.79992000000003</v>
      </c>
      <c r="M671" s="24">
        <v>745.0019999999995</v>
      </c>
      <c r="N671" s="25">
        <v>3915</v>
      </c>
      <c r="O671" s="24">
        <v>125</v>
      </c>
      <c r="P671" s="24">
        <v>1</v>
      </c>
      <c r="Q671" s="24">
        <v>886</v>
      </c>
      <c r="R671" s="24">
        <v>590</v>
      </c>
      <c r="S671" s="24">
        <v>360</v>
      </c>
      <c r="T671" s="24">
        <v>364</v>
      </c>
      <c r="U671" s="24">
        <v>130</v>
      </c>
      <c r="V671" s="24">
        <v>384</v>
      </c>
      <c r="W671" s="24">
        <v>1075</v>
      </c>
      <c r="X671" s="24">
        <v>0</v>
      </c>
    </row>
    <row r="672" spans="1:24">
      <c r="A672" s="22">
        <v>46139</v>
      </c>
      <c r="B672" s="23" t="s">
        <v>35</v>
      </c>
      <c r="C672" s="24">
        <v>312.73109999999997</v>
      </c>
      <c r="D672" s="24">
        <v>312.73109999999997</v>
      </c>
      <c r="E672" s="24">
        <v>284.30099999999999</v>
      </c>
      <c r="F672" s="24">
        <v>483.31169999999997</v>
      </c>
      <c r="G672" s="24">
        <v>312.73109999999997</v>
      </c>
      <c r="H672" s="24">
        <v>369.59130000000005</v>
      </c>
      <c r="I672" s="24">
        <v>255.87089999999995</v>
      </c>
      <c r="J672" s="24">
        <v>85.290300000000002</v>
      </c>
      <c r="K672" s="24">
        <v>312.73109999999997</v>
      </c>
      <c r="L672" s="24">
        <v>113.7204</v>
      </c>
      <c r="M672" s="24">
        <v>665.99000000000024</v>
      </c>
      <c r="N672" s="25">
        <v>3509</v>
      </c>
      <c r="O672" s="24">
        <v>109</v>
      </c>
      <c r="P672" s="24">
        <v>1</v>
      </c>
      <c r="Q672" s="24">
        <v>770</v>
      </c>
      <c r="R672" s="24">
        <v>513</v>
      </c>
      <c r="S672" s="24">
        <v>313</v>
      </c>
      <c r="T672" s="24">
        <v>316</v>
      </c>
      <c r="U672" s="24">
        <v>112</v>
      </c>
      <c r="V672" s="24">
        <v>333</v>
      </c>
      <c r="W672" s="24">
        <v>935</v>
      </c>
      <c r="X672" s="24">
        <v>107</v>
      </c>
    </row>
    <row r="673" spans="1:24">
      <c r="A673" s="22">
        <v>46140</v>
      </c>
      <c r="B673" s="23" t="s">
        <v>35</v>
      </c>
      <c r="C673" s="24">
        <v>312.73109999999997</v>
      </c>
      <c r="D673" s="24">
        <v>312.73109999999997</v>
      </c>
      <c r="E673" s="24">
        <v>284.30099999999999</v>
      </c>
      <c r="F673" s="24">
        <v>483.31169999999997</v>
      </c>
      <c r="G673" s="24">
        <v>312.73109999999997</v>
      </c>
      <c r="H673" s="24">
        <v>369.59130000000005</v>
      </c>
      <c r="I673" s="24">
        <v>255.87089999999995</v>
      </c>
      <c r="J673" s="24">
        <v>85.290300000000002</v>
      </c>
      <c r="K673" s="24">
        <v>312.73109999999997</v>
      </c>
      <c r="L673" s="24">
        <v>113.7204</v>
      </c>
      <c r="M673" s="24">
        <v>665.99000000000024</v>
      </c>
      <c r="N673" s="25">
        <v>3509</v>
      </c>
      <c r="O673" s="24">
        <v>109</v>
      </c>
      <c r="P673" s="24">
        <v>1</v>
      </c>
      <c r="Q673" s="24">
        <v>770</v>
      </c>
      <c r="R673" s="24">
        <v>513</v>
      </c>
      <c r="S673" s="24">
        <v>313</v>
      </c>
      <c r="T673" s="24">
        <v>316</v>
      </c>
      <c r="U673" s="24">
        <v>112</v>
      </c>
      <c r="V673" s="24">
        <v>333</v>
      </c>
      <c r="W673" s="24">
        <v>935</v>
      </c>
      <c r="X673" s="24">
        <v>107</v>
      </c>
    </row>
    <row r="674" spans="1:24">
      <c r="A674" s="22">
        <v>46141</v>
      </c>
      <c r="B674" s="23" t="s">
        <v>35</v>
      </c>
      <c r="C674" s="24">
        <v>312.73109999999997</v>
      </c>
      <c r="D674" s="24">
        <v>312.73109999999997</v>
      </c>
      <c r="E674" s="24">
        <v>284.30099999999999</v>
      </c>
      <c r="F674" s="24">
        <v>483.31169999999997</v>
      </c>
      <c r="G674" s="24">
        <v>312.73109999999997</v>
      </c>
      <c r="H674" s="24">
        <v>369.59130000000005</v>
      </c>
      <c r="I674" s="24">
        <v>255.87089999999995</v>
      </c>
      <c r="J674" s="24">
        <v>85.290300000000002</v>
      </c>
      <c r="K674" s="24">
        <v>312.73109999999997</v>
      </c>
      <c r="L674" s="24">
        <v>113.7204</v>
      </c>
      <c r="M674" s="24">
        <v>665.99000000000024</v>
      </c>
      <c r="N674" s="25">
        <v>3509</v>
      </c>
      <c r="O674" s="24">
        <v>109</v>
      </c>
      <c r="P674" s="24">
        <v>1</v>
      </c>
      <c r="Q674" s="24">
        <v>770</v>
      </c>
      <c r="R674" s="24">
        <v>513</v>
      </c>
      <c r="S674" s="24">
        <v>313</v>
      </c>
      <c r="T674" s="24">
        <v>316</v>
      </c>
      <c r="U674" s="24">
        <v>112</v>
      </c>
      <c r="V674" s="24">
        <v>333</v>
      </c>
      <c r="W674" s="24">
        <v>935</v>
      </c>
      <c r="X674" s="24">
        <v>107</v>
      </c>
    </row>
    <row r="675" spans="1:24">
      <c r="A675" s="22">
        <v>46142</v>
      </c>
      <c r="B675" s="23" t="s">
        <v>35</v>
      </c>
      <c r="C675" s="24">
        <v>314.32698000000005</v>
      </c>
      <c r="D675" s="24">
        <v>314.32698000000005</v>
      </c>
      <c r="E675" s="24">
        <v>285.7518</v>
      </c>
      <c r="F675" s="24">
        <v>485.7780600000001</v>
      </c>
      <c r="G675" s="24">
        <v>314.32698000000005</v>
      </c>
      <c r="H675" s="24">
        <v>371.47734000000003</v>
      </c>
      <c r="I675" s="24">
        <v>257.17662000000001</v>
      </c>
      <c r="J675" s="24">
        <v>85.725540000000009</v>
      </c>
      <c r="K675" s="24">
        <v>314.32698000000005</v>
      </c>
      <c r="L675" s="24">
        <v>114.30072</v>
      </c>
      <c r="M675" s="24">
        <v>683.48199999999906</v>
      </c>
      <c r="N675" s="25">
        <v>3541</v>
      </c>
      <c r="O675" s="24">
        <v>110</v>
      </c>
      <c r="P675" s="24">
        <v>0</v>
      </c>
      <c r="Q675" s="24">
        <v>778</v>
      </c>
      <c r="R675" s="24">
        <v>501</v>
      </c>
      <c r="S675" s="24">
        <v>324</v>
      </c>
      <c r="T675" s="24">
        <v>323</v>
      </c>
      <c r="U675" s="24">
        <v>118</v>
      </c>
      <c r="V675" s="24">
        <v>341</v>
      </c>
      <c r="W675" s="24">
        <v>929</v>
      </c>
      <c r="X675" s="24">
        <v>117</v>
      </c>
    </row>
    <row r="676" spans="1:24">
      <c r="A676" s="22">
        <v>46143</v>
      </c>
      <c r="B676" s="23" t="s">
        <v>35</v>
      </c>
      <c r="C676" s="30">
        <v>737</v>
      </c>
      <c r="D676" s="30">
        <v>769</v>
      </c>
      <c r="E676" s="30">
        <v>601</v>
      </c>
      <c r="F676" s="30">
        <v>1359</v>
      </c>
      <c r="G676" s="30">
        <v>808</v>
      </c>
      <c r="H676" s="30">
        <v>994</v>
      </c>
      <c r="I676" s="30">
        <v>593</v>
      </c>
      <c r="J676" s="30">
        <v>213</v>
      </c>
      <c r="K676" s="30">
        <v>690</v>
      </c>
      <c r="L676" s="30">
        <v>289</v>
      </c>
      <c r="M676" s="24">
        <v>1055</v>
      </c>
      <c r="N676" s="25">
        <v>8108</v>
      </c>
      <c r="O676" s="30">
        <v>165</v>
      </c>
      <c r="P676" s="30">
        <v>1</v>
      </c>
      <c r="Q676" s="30">
        <v>2096</v>
      </c>
      <c r="R676" s="30">
        <v>543</v>
      </c>
      <c r="S676" s="30">
        <v>762</v>
      </c>
      <c r="T676" s="30">
        <v>1104</v>
      </c>
      <c r="U676" s="30">
        <v>338</v>
      </c>
      <c r="V676" s="30">
        <v>1090</v>
      </c>
      <c r="W676" s="30">
        <v>1831</v>
      </c>
      <c r="X676" s="30">
        <v>178</v>
      </c>
    </row>
    <row r="677" spans="1:24">
      <c r="A677" s="22">
        <v>46144</v>
      </c>
      <c r="B677" s="23" t="s">
        <v>35</v>
      </c>
      <c r="C677" s="30">
        <v>737</v>
      </c>
      <c r="D677" s="30">
        <v>769</v>
      </c>
      <c r="E677" s="30">
        <v>601</v>
      </c>
      <c r="F677" s="30">
        <v>1359</v>
      </c>
      <c r="G677" s="30">
        <v>808</v>
      </c>
      <c r="H677" s="30">
        <v>994</v>
      </c>
      <c r="I677" s="30">
        <v>593</v>
      </c>
      <c r="J677" s="30">
        <v>213</v>
      </c>
      <c r="K677" s="30">
        <v>690</v>
      </c>
      <c r="L677" s="30">
        <v>289</v>
      </c>
      <c r="M677" s="24">
        <v>1055</v>
      </c>
      <c r="N677" s="25">
        <v>8108</v>
      </c>
      <c r="O677" s="30">
        <v>165</v>
      </c>
      <c r="P677" s="30">
        <v>1</v>
      </c>
      <c r="Q677" s="30">
        <v>2096</v>
      </c>
      <c r="R677" s="30">
        <v>543</v>
      </c>
      <c r="S677" s="30">
        <v>762</v>
      </c>
      <c r="T677" s="30">
        <v>1104</v>
      </c>
      <c r="U677" s="30">
        <v>338</v>
      </c>
      <c r="V677" s="30">
        <v>1090</v>
      </c>
      <c r="W677" s="30">
        <v>1831</v>
      </c>
      <c r="X677" s="30">
        <v>178</v>
      </c>
    </row>
    <row r="678" spans="1:24">
      <c r="A678" s="22">
        <v>46145</v>
      </c>
      <c r="B678" s="23" t="s">
        <v>35</v>
      </c>
      <c r="C678" s="30">
        <v>737</v>
      </c>
      <c r="D678" s="30">
        <v>769</v>
      </c>
      <c r="E678" s="30">
        <v>601</v>
      </c>
      <c r="F678" s="30">
        <v>1359</v>
      </c>
      <c r="G678" s="30">
        <v>808</v>
      </c>
      <c r="H678" s="30">
        <v>994</v>
      </c>
      <c r="I678" s="30">
        <v>593</v>
      </c>
      <c r="J678" s="30">
        <v>213</v>
      </c>
      <c r="K678" s="30">
        <v>690</v>
      </c>
      <c r="L678" s="30">
        <v>289</v>
      </c>
      <c r="M678" s="24">
        <v>1055</v>
      </c>
      <c r="N678" s="25">
        <v>8108</v>
      </c>
      <c r="O678" s="30">
        <v>165</v>
      </c>
      <c r="P678" s="30">
        <v>1</v>
      </c>
      <c r="Q678" s="30">
        <v>2096</v>
      </c>
      <c r="R678" s="30">
        <v>543</v>
      </c>
      <c r="S678" s="30">
        <v>762</v>
      </c>
      <c r="T678" s="30">
        <v>1104</v>
      </c>
      <c r="U678" s="30">
        <v>338</v>
      </c>
      <c r="V678" s="30">
        <v>1090</v>
      </c>
      <c r="W678" s="30">
        <v>1831</v>
      </c>
      <c r="X678" s="30">
        <v>178</v>
      </c>
    </row>
    <row r="679" spans="1:24">
      <c r="A679" s="22">
        <v>46146</v>
      </c>
      <c r="B679" s="23" t="s">
        <v>35</v>
      </c>
      <c r="C679" s="30">
        <v>737</v>
      </c>
      <c r="D679" s="30">
        <v>769</v>
      </c>
      <c r="E679" s="30">
        <v>601</v>
      </c>
      <c r="F679" s="30">
        <v>1359</v>
      </c>
      <c r="G679" s="30">
        <v>808</v>
      </c>
      <c r="H679" s="30">
        <v>994</v>
      </c>
      <c r="I679" s="30">
        <v>593</v>
      </c>
      <c r="J679" s="30">
        <v>213</v>
      </c>
      <c r="K679" s="30">
        <v>690</v>
      </c>
      <c r="L679" s="30">
        <v>289</v>
      </c>
      <c r="M679" s="24">
        <v>1055</v>
      </c>
      <c r="N679" s="25">
        <v>8108</v>
      </c>
      <c r="O679" s="30">
        <v>165</v>
      </c>
      <c r="P679" s="30">
        <v>1</v>
      </c>
      <c r="Q679" s="30">
        <v>2096</v>
      </c>
      <c r="R679" s="30">
        <v>543</v>
      </c>
      <c r="S679" s="30">
        <v>762</v>
      </c>
      <c r="T679" s="30">
        <v>1104</v>
      </c>
      <c r="U679" s="30">
        <v>338</v>
      </c>
      <c r="V679" s="30">
        <v>1090</v>
      </c>
      <c r="W679" s="30">
        <v>1831</v>
      </c>
      <c r="X679" s="30">
        <v>178</v>
      </c>
    </row>
    <row r="680" spans="1:24">
      <c r="A680" s="22">
        <v>46147</v>
      </c>
      <c r="B680" s="23" t="s">
        <v>35</v>
      </c>
      <c r="C680" s="30">
        <v>737</v>
      </c>
      <c r="D680" s="30">
        <v>769</v>
      </c>
      <c r="E680" s="30">
        <v>601</v>
      </c>
      <c r="F680" s="30">
        <v>1359</v>
      </c>
      <c r="G680" s="30">
        <v>808</v>
      </c>
      <c r="H680" s="30">
        <v>994</v>
      </c>
      <c r="I680" s="30">
        <v>593</v>
      </c>
      <c r="J680" s="30">
        <v>213</v>
      </c>
      <c r="K680" s="30">
        <v>690</v>
      </c>
      <c r="L680" s="30">
        <v>289</v>
      </c>
      <c r="M680" s="24">
        <v>1055</v>
      </c>
      <c r="N680" s="25">
        <v>8108</v>
      </c>
      <c r="O680" s="30">
        <v>165</v>
      </c>
      <c r="P680" s="30">
        <v>1</v>
      </c>
      <c r="Q680" s="30">
        <v>2096</v>
      </c>
      <c r="R680" s="30">
        <v>543</v>
      </c>
      <c r="S680" s="30">
        <v>762</v>
      </c>
      <c r="T680" s="30">
        <v>1104</v>
      </c>
      <c r="U680" s="30">
        <v>338</v>
      </c>
      <c r="V680" s="30">
        <v>1090</v>
      </c>
      <c r="W680" s="30">
        <v>1831</v>
      </c>
      <c r="X680" s="30">
        <v>178</v>
      </c>
    </row>
    <row r="681" spans="1:24">
      <c r="A681" s="22">
        <v>46148</v>
      </c>
      <c r="B681" s="23" t="s">
        <v>35</v>
      </c>
      <c r="C681" s="30">
        <v>275</v>
      </c>
      <c r="D681" s="30">
        <v>287</v>
      </c>
      <c r="E681" s="30">
        <v>224</v>
      </c>
      <c r="F681" s="30">
        <v>507</v>
      </c>
      <c r="G681" s="30">
        <v>302</v>
      </c>
      <c r="H681" s="30">
        <v>371</v>
      </c>
      <c r="I681" s="30">
        <v>221</v>
      </c>
      <c r="J681" s="30">
        <v>80</v>
      </c>
      <c r="K681" s="30">
        <v>258</v>
      </c>
      <c r="L681" s="30">
        <v>108</v>
      </c>
      <c r="M681" s="24">
        <v>394</v>
      </c>
      <c r="N681" s="25">
        <v>3027</v>
      </c>
      <c r="O681" s="30">
        <v>62</v>
      </c>
      <c r="P681" s="30">
        <v>0</v>
      </c>
      <c r="Q681" s="30">
        <v>782</v>
      </c>
      <c r="R681" s="30">
        <v>203</v>
      </c>
      <c r="S681" s="30">
        <v>284</v>
      </c>
      <c r="T681" s="30">
        <v>412</v>
      </c>
      <c r="U681" s="30">
        <v>126</v>
      </c>
      <c r="V681" s="30">
        <v>407</v>
      </c>
      <c r="W681" s="30">
        <v>684</v>
      </c>
      <c r="X681" s="30">
        <v>67</v>
      </c>
    </row>
    <row r="682" spans="1:24">
      <c r="A682" s="22">
        <v>46149</v>
      </c>
      <c r="B682" s="23" t="s">
        <v>35</v>
      </c>
      <c r="C682" s="30">
        <v>275</v>
      </c>
      <c r="D682" s="30">
        <v>287</v>
      </c>
      <c r="E682" s="30">
        <v>224</v>
      </c>
      <c r="F682" s="30">
        <v>507</v>
      </c>
      <c r="G682" s="30">
        <v>302</v>
      </c>
      <c r="H682" s="30">
        <v>371</v>
      </c>
      <c r="I682" s="30">
        <v>221</v>
      </c>
      <c r="J682" s="30">
        <v>80</v>
      </c>
      <c r="K682" s="30">
        <v>258</v>
      </c>
      <c r="L682" s="30">
        <v>108</v>
      </c>
      <c r="M682" s="24">
        <v>394</v>
      </c>
      <c r="N682" s="25">
        <v>3027</v>
      </c>
      <c r="O682" s="30">
        <v>62</v>
      </c>
      <c r="P682" s="30">
        <v>0</v>
      </c>
      <c r="Q682" s="30">
        <v>782</v>
      </c>
      <c r="R682" s="30">
        <v>203</v>
      </c>
      <c r="S682" s="30">
        <v>284</v>
      </c>
      <c r="T682" s="30">
        <v>412</v>
      </c>
      <c r="U682" s="30">
        <v>126</v>
      </c>
      <c r="V682" s="30">
        <v>407</v>
      </c>
      <c r="W682" s="30">
        <v>684</v>
      </c>
      <c r="X682" s="30">
        <v>67</v>
      </c>
    </row>
    <row r="683" spans="1:24">
      <c r="A683" s="22">
        <v>46150</v>
      </c>
      <c r="B683" s="23" t="s">
        <v>35</v>
      </c>
      <c r="C683" s="30">
        <v>275</v>
      </c>
      <c r="D683" s="30">
        <v>287</v>
      </c>
      <c r="E683" s="30">
        <v>224</v>
      </c>
      <c r="F683" s="30">
        <v>507</v>
      </c>
      <c r="G683" s="30">
        <v>302</v>
      </c>
      <c r="H683" s="30">
        <v>371</v>
      </c>
      <c r="I683" s="30">
        <v>221</v>
      </c>
      <c r="J683" s="30">
        <v>80</v>
      </c>
      <c r="K683" s="30">
        <v>258</v>
      </c>
      <c r="L683" s="30">
        <v>108</v>
      </c>
      <c r="M683" s="24">
        <v>394</v>
      </c>
      <c r="N683" s="25">
        <v>3027</v>
      </c>
      <c r="O683" s="30">
        <v>62</v>
      </c>
      <c r="P683" s="30">
        <v>0</v>
      </c>
      <c r="Q683" s="30">
        <v>782</v>
      </c>
      <c r="R683" s="30">
        <v>203</v>
      </c>
      <c r="S683" s="30">
        <v>284</v>
      </c>
      <c r="T683" s="30">
        <v>412</v>
      </c>
      <c r="U683" s="30">
        <v>126</v>
      </c>
      <c r="V683" s="30">
        <v>407</v>
      </c>
      <c r="W683" s="30">
        <v>684</v>
      </c>
      <c r="X683" s="30">
        <v>67</v>
      </c>
    </row>
    <row r="684" spans="1:24">
      <c r="A684" s="22">
        <v>46151</v>
      </c>
      <c r="B684" s="23" t="s">
        <v>35</v>
      </c>
      <c r="C684" s="30">
        <v>297</v>
      </c>
      <c r="D684" s="30">
        <v>310</v>
      </c>
      <c r="E684" s="30">
        <v>242</v>
      </c>
      <c r="F684" s="30">
        <v>548</v>
      </c>
      <c r="G684" s="30">
        <v>326</v>
      </c>
      <c r="H684" s="30">
        <v>401</v>
      </c>
      <c r="I684" s="30">
        <v>239</v>
      </c>
      <c r="J684" s="30">
        <v>86</v>
      </c>
      <c r="K684" s="30">
        <v>278</v>
      </c>
      <c r="L684" s="30">
        <v>117</v>
      </c>
      <c r="M684" s="24">
        <v>426</v>
      </c>
      <c r="N684" s="25">
        <v>3270</v>
      </c>
      <c r="O684" s="30">
        <v>67</v>
      </c>
      <c r="P684" s="30">
        <v>0</v>
      </c>
      <c r="Q684" s="30">
        <v>845</v>
      </c>
      <c r="R684" s="30">
        <v>219</v>
      </c>
      <c r="S684" s="30">
        <v>307</v>
      </c>
      <c r="T684" s="30">
        <v>445</v>
      </c>
      <c r="U684" s="30">
        <v>136</v>
      </c>
      <c r="V684" s="30">
        <v>440</v>
      </c>
      <c r="W684" s="30">
        <v>739</v>
      </c>
      <c r="X684" s="30">
        <v>72</v>
      </c>
    </row>
    <row r="685" spans="1:24">
      <c r="A685" s="22">
        <v>46152</v>
      </c>
      <c r="B685" s="23" t="s">
        <v>35</v>
      </c>
      <c r="C685" s="30">
        <v>297</v>
      </c>
      <c r="D685" s="30">
        <v>310</v>
      </c>
      <c r="E685" s="30">
        <v>242</v>
      </c>
      <c r="F685" s="30">
        <v>548</v>
      </c>
      <c r="G685" s="30">
        <v>326</v>
      </c>
      <c r="H685" s="30">
        <v>401</v>
      </c>
      <c r="I685" s="30">
        <v>239</v>
      </c>
      <c r="J685" s="30">
        <v>86</v>
      </c>
      <c r="K685" s="30">
        <v>278</v>
      </c>
      <c r="L685" s="30">
        <v>117</v>
      </c>
      <c r="M685" s="24">
        <v>426</v>
      </c>
      <c r="N685" s="25">
        <v>3270</v>
      </c>
      <c r="O685" s="30">
        <v>67</v>
      </c>
      <c r="P685" s="30">
        <v>0</v>
      </c>
      <c r="Q685" s="30">
        <v>845</v>
      </c>
      <c r="R685" s="30">
        <v>219</v>
      </c>
      <c r="S685" s="30">
        <v>307</v>
      </c>
      <c r="T685" s="30">
        <v>445</v>
      </c>
      <c r="U685" s="30">
        <v>136</v>
      </c>
      <c r="V685" s="30">
        <v>440</v>
      </c>
      <c r="W685" s="30">
        <v>739</v>
      </c>
      <c r="X685" s="30">
        <v>72</v>
      </c>
    </row>
    <row r="686" spans="1:24">
      <c r="A686" s="22">
        <v>46153</v>
      </c>
      <c r="B686" s="23" t="s">
        <v>35</v>
      </c>
      <c r="C686" s="30">
        <v>229</v>
      </c>
      <c r="D686" s="30">
        <v>239</v>
      </c>
      <c r="E686" s="30">
        <v>186</v>
      </c>
      <c r="F686" s="30">
        <v>421</v>
      </c>
      <c r="G686" s="30">
        <v>250</v>
      </c>
      <c r="H686" s="30">
        <v>308</v>
      </c>
      <c r="I686" s="30">
        <v>184</v>
      </c>
      <c r="J686" s="30">
        <v>66</v>
      </c>
      <c r="K686" s="30">
        <v>214</v>
      </c>
      <c r="L686" s="30">
        <v>90</v>
      </c>
      <c r="M686" s="24">
        <v>327</v>
      </c>
      <c r="N686" s="25">
        <v>2514</v>
      </c>
      <c r="O686" s="30">
        <v>51</v>
      </c>
      <c r="P686" s="30">
        <v>1</v>
      </c>
      <c r="Q686" s="30">
        <v>650</v>
      </c>
      <c r="R686" s="30">
        <v>168</v>
      </c>
      <c r="S686" s="30">
        <v>236</v>
      </c>
      <c r="T686" s="30">
        <v>342</v>
      </c>
      <c r="U686" s="30">
        <v>105</v>
      </c>
      <c r="V686" s="30">
        <v>338</v>
      </c>
      <c r="W686" s="30">
        <v>568</v>
      </c>
      <c r="X686" s="30">
        <v>55</v>
      </c>
    </row>
    <row r="687" spans="1:24">
      <c r="A687" s="22">
        <v>46154</v>
      </c>
      <c r="B687" s="23" t="s">
        <v>35</v>
      </c>
      <c r="C687" s="30">
        <v>229</v>
      </c>
      <c r="D687" s="30">
        <v>239</v>
      </c>
      <c r="E687" s="30">
        <v>186</v>
      </c>
      <c r="F687" s="30">
        <v>421</v>
      </c>
      <c r="G687" s="30">
        <v>250</v>
      </c>
      <c r="H687" s="30">
        <v>308</v>
      </c>
      <c r="I687" s="30">
        <v>184</v>
      </c>
      <c r="J687" s="30">
        <v>66</v>
      </c>
      <c r="K687" s="30">
        <v>214</v>
      </c>
      <c r="L687" s="30">
        <v>90</v>
      </c>
      <c r="M687" s="24">
        <v>327</v>
      </c>
      <c r="N687" s="25">
        <v>2514</v>
      </c>
      <c r="O687" s="30">
        <v>51</v>
      </c>
      <c r="P687" s="30">
        <v>1</v>
      </c>
      <c r="Q687" s="30">
        <v>650</v>
      </c>
      <c r="R687" s="30">
        <v>168</v>
      </c>
      <c r="S687" s="30">
        <v>236</v>
      </c>
      <c r="T687" s="30">
        <v>342</v>
      </c>
      <c r="U687" s="30">
        <v>105</v>
      </c>
      <c r="V687" s="30">
        <v>338</v>
      </c>
      <c r="W687" s="30">
        <v>568</v>
      </c>
      <c r="X687" s="30">
        <v>55</v>
      </c>
    </row>
    <row r="688" spans="1:24">
      <c r="A688" s="22">
        <v>46155</v>
      </c>
      <c r="B688" s="23" t="s">
        <v>35</v>
      </c>
      <c r="C688" s="30">
        <v>229</v>
      </c>
      <c r="D688" s="30">
        <v>239</v>
      </c>
      <c r="E688" s="30">
        <v>186</v>
      </c>
      <c r="F688" s="30">
        <v>421</v>
      </c>
      <c r="G688" s="30">
        <v>250</v>
      </c>
      <c r="H688" s="30">
        <v>308</v>
      </c>
      <c r="I688" s="30">
        <v>184</v>
      </c>
      <c r="J688" s="30">
        <v>66</v>
      </c>
      <c r="K688" s="30">
        <v>214</v>
      </c>
      <c r="L688" s="30">
        <v>90</v>
      </c>
      <c r="M688" s="24">
        <v>327</v>
      </c>
      <c r="N688" s="25">
        <v>2514</v>
      </c>
      <c r="O688" s="30">
        <v>51</v>
      </c>
      <c r="P688" s="30">
        <v>0</v>
      </c>
      <c r="Q688" s="30">
        <v>650</v>
      </c>
      <c r="R688" s="30">
        <v>168</v>
      </c>
      <c r="S688" s="30">
        <v>236</v>
      </c>
      <c r="T688" s="30">
        <v>342</v>
      </c>
      <c r="U688" s="30">
        <v>106</v>
      </c>
      <c r="V688" s="30">
        <v>338</v>
      </c>
      <c r="W688" s="30">
        <v>568</v>
      </c>
      <c r="X688" s="30">
        <v>55</v>
      </c>
    </row>
    <row r="689" spans="1:24">
      <c r="A689" s="22">
        <v>46156</v>
      </c>
      <c r="B689" s="23" t="s">
        <v>35</v>
      </c>
      <c r="C689" s="30">
        <v>226</v>
      </c>
      <c r="D689" s="30">
        <v>236</v>
      </c>
      <c r="E689" s="30">
        <v>184</v>
      </c>
      <c r="F689" s="30">
        <v>417</v>
      </c>
      <c r="G689" s="30">
        <v>248</v>
      </c>
      <c r="H689" s="30">
        <v>305</v>
      </c>
      <c r="I689" s="30">
        <v>182</v>
      </c>
      <c r="J689" s="30">
        <v>65</v>
      </c>
      <c r="K689" s="30">
        <v>212</v>
      </c>
      <c r="L689" s="30">
        <v>89</v>
      </c>
      <c r="M689" s="24">
        <v>322</v>
      </c>
      <c r="N689" s="25">
        <v>2486</v>
      </c>
      <c r="O689" s="30">
        <v>51</v>
      </c>
      <c r="P689" s="30">
        <v>0</v>
      </c>
      <c r="Q689" s="30">
        <v>642</v>
      </c>
      <c r="R689" s="30">
        <v>166</v>
      </c>
      <c r="S689" s="30">
        <v>234</v>
      </c>
      <c r="T689" s="30">
        <v>339</v>
      </c>
      <c r="U689" s="30">
        <v>103</v>
      </c>
      <c r="V689" s="30">
        <v>334</v>
      </c>
      <c r="W689" s="30">
        <v>562</v>
      </c>
      <c r="X689" s="30">
        <v>55</v>
      </c>
    </row>
    <row r="690" spans="1:24">
      <c r="A690" s="22">
        <v>46157</v>
      </c>
      <c r="B690" s="23" t="s">
        <v>35</v>
      </c>
      <c r="C690" s="30">
        <v>226</v>
      </c>
      <c r="D690" s="30">
        <v>236</v>
      </c>
      <c r="E690" s="30">
        <v>184</v>
      </c>
      <c r="F690" s="30">
        <v>417</v>
      </c>
      <c r="G690" s="30">
        <v>248</v>
      </c>
      <c r="H690" s="30">
        <v>305</v>
      </c>
      <c r="I690" s="30">
        <v>182</v>
      </c>
      <c r="J690" s="30">
        <v>65</v>
      </c>
      <c r="K690" s="30">
        <v>212</v>
      </c>
      <c r="L690" s="30">
        <v>89</v>
      </c>
      <c r="M690" s="24">
        <v>322</v>
      </c>
      <c r="N690" s="25">
        <v>2486</v>
      </c>
      <c r="O690" s="30">
        <v>51</v>
      </c>
      <c r="P690" s="30">
        <v>0</v>
      </c>
      <c r="Q690" s="30">
        <v>642</v>
      </c>
      <c r="R690" s="30">
        <v>166</v>
      </c>
      <c r="S690" s="30">
        <v>234</v>
      </c>
      <c r="T690" s="30">
        <v>339</v>
      </c>
      <c r="U690" s="30">
        <v>103</v>
      </c>
      <c r="V690" s="30">
        <v>334</v>
      </c>
      <c r="W690" s="30">
        <v>562</v>
      </c>
      <c r="X690" s="30">
        <v>55</v>
      </c>
    </row>
    <row r="691" spans="1:24">
      <c r="A691" s="22">
        <v>46158</v>
      </c>
      <c r="B691" s="23" t="s">
        <v>35</v>
      </c>
      <c r="C691" s="30">
        <v>248</v>
      </c>
      <c r="D691" s="30">
        <v>259</v>
      </c>
      <c r="E691" s="30">
        <v>202</v>
      </c>
      <c r="F691" s="30">
        <v>457</v>
      </c>
      <c r="G691" s="30">
        <v>272</v>
      </c>
      <c r="H691" s="30">
        <v>335</v>
      </c>
      <c r="I691" s="30">
        <v>200</v>
      </c>
      <c r="J691" s="30">
        <v>72</v>
      </c>
      <c r="K691" s="30">
        <v>232</v>
      </c>
      <c r="L691" s="30">
        <v>97</v>
      </c>
      <c r="M691" s="24">
        <v>356</v>
      </c>
      <c r="N691" s="25">
        <v>2730</v>
      </c>
      <c r="O691" s="30">
        <v>56</v>
      </c>
      <c r="P691" s="30">
        <v>0</v>
      </c>
      <c r="Q691" s="30">
        <v>704</v>
      </c>
      <c r="R691" s="30">
        <v>183</v>
      </c>
      <c r="S691" s="30">
        <v>257</v>
      </c>
      <c r="T691" s="30">
        <v>372</v>
      </c>
      <c r="U691" s="30">
        <v>114</v>
      </c>
      <c r="V691" s="30">
        <v>367</v>
      </c>
      <c r="W691" s="30">
        <v>617</v>
      </c>
      <c r="X691" s="30">
        <v>60</v>
      </c>
    </row>
    <row r="692" spans="1:24">
      <c r="A692" s="22">
        <v>46159</v>
      </c>
      <c r="B692" s="23" t="s">
        <v>35</v>
      </c>
      <c r="C692" s="30">
        <v>248</v>
      </c>
      <c r="D692" s="30">
        <v>259</v>
      </c>
      <c r="E692" s="30">
        <v>202</v>
      </c>
      <c r="F692" s="30">
        <v>457</v>
      </c>
      <c r="G692" s="30">
        <v>272</v>
      </c>
      <c r="H692" s="30">
        <v>335</v>
      </c>
      <c r="I692" s="30">
        <v>200</v>
      </c>
      <c r="J692" s="30">
        <v>72</v>
      </c>
      <c r="K692" s="30">
        <v>232</v>
      </c>
      <c r="L692" s="30">
        <v>97</v>
      </c>
      <c r="M692" s="24">
        <v>356</v>
      </c>
      <c r="N692" s="25">
        <v>2730</v>
      </c>
      <c r="O692" s="30">
        <v>56</v>
      </c>
      <c r="P692" s="30">
        <v>0</v>
      </c>
      <c r="Q692" s="30">
        <v>704</v>
      </c>
      <c r="R692" s="30">
        <v>183</v>
      </c>
      <c r="S692" s="30">
        <v>257</v>
      </c>
      <c r="T692" s="30">
        <v>372</v>
      </c>
      <c r="U692" s="30">
        <v>114</v>
      </c>
      <c r="V692" s="30">
        <v>367</v>
      </c>
      <c r="W692" s="30">
        <v>617</v>
      </c>
      <c r="X692" s="30">
        <v>60</v>
      </c>
    </row>
    <row r="693" spans="1:24">
      <c r="A693" s="22">
        <v>46160</v>
      </c>
      <c r="B693" s="23" t="s">
        <v>35</v>
      </c>
      <c r="C693" s="30">
        <v>226</v>
      </c>
      <c r="D693" s="30">
        <v>236</v>
      </c>
      <c r="E693" s="30">
        <v>184</v>
      </c>
      <c r="F693" s="30">
        <v>417</v>
      </c>
      <c r="G693" s="30">
        <v>248</v>
      </c>
      <c r="H693" s="30">
        <v>305</v>
      </c>
      <c r="I693" s="30">
        <v>182</v>
      </c>
      <c r="J693" s="30">
        <v>65</v>
      </c>
      <c r="K693" s="30">
        <v>212</v>
      </c>
      <c r="L693" s="30">
        <v>89</v>
      </c>
      <c r="M693" s="24">
        <v>322</v>
      </c>
      <c r="N693" s="25">
        <v>2486</v>
      </c>
      <c r="O693" s="30">
        <v>51</v>
      </c>
      <c r="P693" s="30">
        <v>0</v>
      </c>
      <c r="Q693" s="30">
        <v>642</v>
      </c>
      <c r="R693" s="30">
        <v>166</v>
      </c>
      <c r="S693" s="30">
        <v>234</v>
      </c>
      <c r="T693" s="30">
        <v>339</v>
      </c>
      <c r="U693" s="30">
        <v>103</v>
      </c>
      <c r="V693" s="30">
        <v>334</v>
      </c>
      <c r="W693" s="30">
        <v>562</v>
      </c>
      <c r="X693" s="30">
        <v>55</v>
      </c>
    </row>
    <row r="694" spans="1:24">
      <c r="A694" s="22">
        <v>46161</v>
      </c>
      <c r="B694" s="23" t="s">
        <v>35</v>
      </c>
      <c r="C694" s="30">
        <v>226</v>
      </c>
      <c r="D694" s="30">
        <v>236</v>
      </c>
      <c r="E694" s="30">
        <v>184</v>
      </c>
      <c r="F694" s="30">
        <v>417</v>
      </c>
      <c r="G694" s="30">
        <v>248</v>
      </c>
      <c r="H694" s="30">
        <v>305</v>
      </c>
      <c r="I694" s="30">
        <v>182</v>
      </c>
      <c r="J694" s="30">
        <v>65</v>
      </c>
      <c r="K694" s="30">
        <v>212</v>
      </c>
      <c r="L694" s="30">
        <v>89</v>
      </c>
      <c r="M694" s="24">
        <v>322</v>
      </c>
      <c r="N694" s="25">
        <v>2486</v>
      </c>
      <c r="O694" s="30">
        <v>51</v>
      </c>
      <c r="P694" s="30">
        <v>0</v>
      </c>
      <c r="Q694" s="30">
        <v>642</v>
      </c>
      <c r="R694" s="30">
        <v>166</v>
      </c>
      <c r="S694" s="30">
        <v>234</v>
      </c>
      <c r="T694" s="30">
        <v>339</v>
      </c>
      <c r="U694" s="30">
        <v>103</v>
      </c>
      <c r="V694" s="30">
        <v>334</v>
      </c>
      <c r="W694" s="30">
        <v>562</v>
      </c>
      <c r="X694" s="30">
        <v>55</v>
      </c>
    </row>
    <row r="695" spans="1:24">
      <c r="A695" s="22">
        <v>46162</v>
      </c>
      <c r="B695" s="23" t="s">
        <v>35</v>
      </c>
      <c r="C695" s="30">
        <v>226</v>
      </c>
      <c r="D695" s="30">
        <v>236</v>
      </c>
      <c r="E695" s="30">
        <v>184</v>
      </c>
      <c r="F695" s="30">
        <v>417</v>
      </c>
      <c r="G695" s="30">
        <v>248</v>
      </c>
      <c r="H695" s="30">
        <v>305</v>
      </c>
      <c r="I695" s="30">
        <v>182</v>
      </c>
      <c r="J695" s="30">
        <v>65</v>
      </c>
      <c r="K695" s="30">
        <v>212</v>
      </c>
      <c r="L695" s="30">
        <v>89</v>
      </c>
      <c r="M695" s="24">
        <v>322</v>
      </c>
      <c r="N695" s="25">
        <v>2486</v>
      </c>
      <c r="O695" s="30">
        <v>51</v>
      </c>
      <c r="P695" s="30">
        <v>0</v>
      </c>
      <c r="Q695" s="30">
        <v>642</v>
      </c>
      <c r="R695" s="30">
        <v>166</v>
      </c>
      <c r="S695" s="30">
        <v>234</v>
      </c>
      <c r="T695" s="30">
        <v>339</v>
      </c>
      <c r="U695" s="30">
        <v>103</v>
      </c>
      <c r="V695" s="30">
        <v>334</v>
      </c>
      <c r="W695" s="30">
        <v>562</v>
      </c>
      <c r="X695" s="30">
        <v>55</v>
      </c>
    </row>
    <row r="696" spans="1:24">
      <c r="A696" s="22">
        <v>46163</v>
      </c>
      <c r="B696" s="23" t="s">
        <v>35</v>
      </c>
      <c r="C696" s="30">
        <v>226</v>
      </c>
      <c r="D696" s="30">
        <v>236</v>
      </c>
      <c r="E696" s="30">
        <v>184</v>
      </c>
      <c r="F696" s="30">
        <v>417</v>
      </c>
      <c r="G696" s="30">
        <v>248</v>
      </c>
      <c r="H696" s="30">
        <v>305</v>
      </c>
      <c r="I696" s="30">
        <v>182</v>
      </c>
      <c r="J696" s="30">
        <v>65</v>
      </c>
      <c r="K696" s="30">
        <v>212</v>
      </c>
      <c r="L696" s="30">
        <v>89</v>
      </c>
      <c r="M696" s="24">
        <v>322</v>
      </c>
      <c r="N696" s="25">
        <v>2486</v>
      </c>
      <c r="O696" s="30">
        <v>51</v>
      </c>
      <c r="P696" s="30">
        <v>0</v>
      </c>
      <c r="Q696" s="30">
        <v>642</v>
      </c>
      <c r="R696" s="30">
        <v>166</v>
      </c>
      <c r="S696" s="30">
        <v>234</v>
      </c>
      <c r="T696" s="30">
        <v>339</v>
      </c>
      <c r="U696" s="30">
        <v>103</v>
      </c>
      <c r="V696" s="30">
        <v>334</v>
      </c>
      <c r="W696" s="30">
        <v>562</v>
      </c>
      <c r="X696" s="30">
        <v>55</v>
      </c>
    </row>
    <row r="697" spans="1:24">
      <c r="A697" s="22">
        <v>46164</v>
      </c>
      <c r="B697" s="23" t="s">
        <v>35</v>
      </c>
      <c r="C697" s="30">
        <v>226</v>
      </c>
      <c r="D697" s="30">
        <v>236</v>
      </c>
      <c r="E697" s="30">
        <v>184</v>
      </c>
      <c r="F697" s="30">
        <v>417</v>
      </c>
      <c r="G697" s="30">
        <v>248</v>
      </c>
      <c r="H697" s="30">
        <v>305</v>
      </c>
      <c r="I697" s="30">
        <v>182</v>
      </c>
      <c r="J697" s="30">
        <v>65</v>
      </c>
      <c r="K697" s="30">
        <v>212</v>
      </c>
      <c r="L697" s="30">
        <v>89</v>
      </c>
      <c r="M697" s="24">
        <v>322</v>
      </c>
      <c r="N697" s="25">
        <v>2486</v>
      </c>
      <c r="O697" s="30">
        <v>51</v>
      </c>
      <c r="P697" s="30">
        <v>0</v>
      </c>
      <c r="Q697" s="30">
        <v>642</v>
      </c>
      <c r="R697" s="30">
        <v>166</v>
      </c>
      <c r="S697" s="30">
        <v>234</v>
      </c>
      <c r="T697" s="30">
        <v>339</v>
      </c>
      <c r="U697" s="30">
        <v>103</v>
      </c>
      <c r="V697" s="30">
        <v>334</v>
      </c>
      <c r="W697" s="30">
        <v>562</v>
      </c>
      <c r="X697" s="30">
        <v>55</v>
      </c>
    </row>
    <row r="698" spans="1:24">
      <c r="A698" s="22">
        <v>46165</v>
      </c>
      <c r="B698" s="23" t="s">
        <v>35</v>
      </c>
      <c r="C698" s="30">
        <v>248</v>
      </c>
      <c r="D698" s="30">
        <v>259</v>
      </c>
      <c r="E698" s="30">
        <v>202</v>
      </c>
      <c r="F698" s="30">
        <v>457</v>
      </c>
      <c r="G698" s="30">
        <v>272</v>
      </c>
      <c r="H698" s="30">
        <v>335</v>
      </c>
      <c r="I698" s="30">
        <v>200</v>
      </c>
      <c r="J698" s="30">
        <v>72</v>
      </c>
      <c r="K698" s="30">
        <v>232</v>
      </c>
      <c r="L698" s="30">
        <v>97</v>
      </c>
      <c r="M698" s="24">
        <v>356</v>
      </c>
      <c r="N698" s="25">
        <v>2730</v>
      </c>
      <c r="O698" s="30">
        <v>56</v>
      </c>
      <c r="P698" s="30">
        <v>0</v>
      </c>
      <c r="Q698" s="30">
        <v>704</v>
      </c>
      <c r="R698" s="30">
        <v>183</v>
      </c>
      <c r="S698" s="30">
        <v>257</v>
      </c>
      <c r="T698" s="30">
        <v>372</v>
      </c>
      <c r="U698" s="30">
        <v>114</v>
      </c>
      <c r="V698" s="30">
        <v>367</v>
      </c>
      <c r="W698" s="30">
        <v>617</v>
      </c>
      <c r="X698" s="30">
        <v>60</v>
      </c>
    </row>
    <row r="699" spans="1:24">
      <c r="A699" s="22">
        <v>46166</v>
      </c>
      <c r="B699" s="23" t="s">
        <v>35</v>
      </c>
      <c r="C699" s="30">
        <v>248</v>
      </c>
      <c r="D699" s="30">
        <v>259</v>
      </c>
      <c r="E699" s="30">
        <v>202</v>
      </c>
      <c r="F699" s="30">
        <v>457</v>
      </c>
      <c r="G699" s="30">
        <v>272</v>
      </c>
      <c r="H699" s="30">
        <v>335</v>
      </c>
      <c r="I699" s="30">
        <v>200</v>
      </c>
      <c r="J699" s="30">
        <v>72</v>
      </c>
      <c r="K699" s="30">
        <v>232</v>
      </c>
      <c r="L699" s="30">
        <v>97</v>
      </c>
      <c r="M699" s="24">
        <v>356</v>
      </c>
      <c r="N699" s="25">
        <v>2730</v>
      </c>
      <c r="O699" s="30">
        <v>56</v>
      </c>
      <c r="P699" s="30">
        <v>0</v>
      </c>
      <c r="Q699" s="30">
        <v>704</v>
      </c>
      <c r="R699" s="30">
        <v>183</v>
      </c>
      <c r="S699" s="30">
        <v>257</v>
      </c>
      <c r="T699" s="30">
        <v>372</v>
      </c>
      <c r="U699" s="30">
        <v>114</v>
      </c>
      <c r="V699" s="30">
        <v>367</v>
      </c>
      <c r="W699" s="30">
        <v>617</v>
      </c>
      <c r="X699" s="30">
        <v>60</v>
      </c>
    </row>
    <row r="700" spans="1:24">
      <c r="A700" s="22">
        <v>46167</v>
      </c>
      <c r="B700" s="23" t="s">
        <v>35</v>
      </c>
      <c r="C700" s="30">
        <v>273</v>
      </c>
      <c r="D700" s="30">
        <v>285</v>
      </c>
      <c r="E700" s="30">
        <v>222</v>
      </c>
      <c r="F700" s="30">
        <v>503</v>
      </c>
      <c r="G700" s="30">
        <v>299</v>
      </c>
      <c r="H700" s="30">
        <v>368</v>
      </c>
      <c r="I700" s="30">
        <v>219</v>
      </c>
      <c r="J700" s="30">
        <v>79</v>
      </c>
      <c r="K700" s="30">
        <v>255</v>
      </c>
      <c r="L700" s="30">
        <v>107</v>
      </c>
      <c r="M700" s="24">
        <v>390</v>
      </c>
      <c r="N700" s="25">
        <v>3000</v>
      </c>
      <c r="O700" s="30">
        <v>61</v>
      </c>
      <c r="P700" s="30">
        <v>0</v>
      </c>
      <c r="Q700" s="30">
        <v>775</v>
      </c>
      <c r="R700" s="30">
        <v>201</v>
      </c>
      <c r="S700" s="30">
        <v>282</v>
      </c>
      <c r="T700" s="30">
        <v>409</v>
      </c>
      <c r="U700" s="30">
        <v>125</v>
      </c>
      <c r="V700" s="30">
        <v>403</v>
      </c>
      <c r="W700" s="30">
        <v>678</v>
      </c>
      <c r="X700" s="30">
        <v>66</v>
      </c>
    </row>
    <row r="701" spans="1:24">
      <c r="A701" s="22">
        <v>46168</v>
      </c>
      <c r="B701" s="23" t="s">
        <v>35</v>
      </c>
      <c r="C701" s="30">
        <v>273</v>
      </c>
      <c r="D701" s="30">
        <v>285</v>
      </c>
      <c r="E701" s="30">
        <v>222</v>
      </c>
      <c r="F701" s="30">
        <v>503</v>
      </c>
      <c r="G701" s="30">
        <v>299</v>
      </c>
      <c r="H701" s="30">
        <v>368</v>
      </c>
      <c r="I701" s="30">
        <v>219</v>
      </c>
      <c r="J701" s="30">
        <v>79</v>
      </c>
      <c r="K701" s="30">
        <v>255</v>
      </c>
      <c r="L701" s="30">
        <v>108</v>
      </c>
      <c r="M701" s="24">
        <v>389</v>
      </c>
      <c r="N701" s="25">
        <v>3000</v>
      </c>
      <c r="O701" s="30">
        <v>61</v>
      </c>
      <c r="P701" s="30">
        <v>0</v>
      </c>
      <c r="Q701" s="30">
        <v>775</v>
      </c>
      <c r="R701" s="30">
        <v>201</v>
      </c>
      <c r="S701" s="30">
        <v>282</v>
      </c>
      <c r="T701" s="30">
        <v>409</v>
      </c>
      <c r="U701" s="30">
        <v>125</v>
      </c>
      <c r="V701" s="30">
        <v>403</v>
      </c>
      <c r="W701" s="30">
        <v>678</v>
      </c>
      <c r="X701" s="30">
        <v>66</v>
      </c>
    </row>
    <row r="702" spans="1:24">
      <c r="A702" s="22">
        <v>46169</v>
      </c>
      <c r="B702" s="23" t="s">
        <v>35</v>
      </c>
      <c r="C702" s="30">
        <v>273</v>
      </c>
      <c r="D702" s="30">
        <v>285</v>
      </c>
      <c r="E702" s="30">
        <v>222</v>
      </c>
      <c r="F702" s="30">
        <v>503</v>
      </c>
      <c r="G702" s="30">
        <v>299</v>
      </c>
      <c r="H702" s="30">
        <v>368</v>
      </c>
      <c r="I702" s="30">
        <v>219</v>
      </c>
      <c r="J702" s="30">
        <v>79</v>
      </c>
      <c r="K702" s="30">
        <v>255</v>
      </c>
      <c r="L702" s="30">
        <v>108</v>
      </c>
      <c r="M702" s="24">
        <v>389</v>
      </c>
      <c r="N702" s="25">
        <v>3000</v>
      </c>
      <c r="O702" s="30">
        <v>61</v>
      </c>
      <c r="P702" s="30">
        <v>0</v>
      </c>
      <c r="Q702" s="30">
        <v>775</v>
      </c>
      <c r="R702" s="30">
        <v>201</v>
      </c>
      <c r="S702" s="30">
        <v>282</v>
      </c>
      <c r="T702" s="30">
        <v>409</v>
      </c>
      <c r="U702" s="30">
        <v>125</v>
      </c>
      <c r="V702" s="30">
        <v>403</v>
      </c>
      <c r="W702" s="30">
        <v>678</v>
      </c>
      <c r="X702" s="30">
        <v>66</v>
      </c>
    </row>
    <row r="703" spans="1:24">
      <c r="A703" s="22">
        <v>46170</v>
      </c>
      <c r="B703" s="23" t="s">
        <v>35</v>
      </c>
      <c r="C703" s="30">
        <v>273</v>
      </c>
      <c r="D703" s="30">
        <v>285</v>
      </c>
      <c r="E703" s="30">
        <v>222</v>
      </c>
      <c r="F703" s="30">
        <v>503</v>
      </c>
      <c r="G703" s="30">
        <v>299</v>
      </c>
      <c r="H703" s="30">
        <v>368</v>
      </c>
      <c r="I703" s="30">
        <v>219</v>
      </c>
      <c r="J703" s="30">
        <v>79</v>
      </c>
      <c r="K703" s="30">
        <v>255</v>
      </c>
      <c r="L703" s="30">
        <v>108</v>
      </c>
      <c r="M703" s="24">
        <v>389</v>
      </c>
      <c r="N703" s="25">
        <v>3000</v>
      </c>
      <c r="O703" s="30">
        <v>61</v>
      </c>
      <c r="P703" s="30">
        <v>0</v>
      </c>
      <c r="Q703" s="30">
        <v>775</v>
      </c>
      <c r="R703" s="30">
        <v>201</v>
      </c>
      <c r="S703" s="30">
        <v>282</v>
      </c>
      <c r="T703" s="30">
        <v>409</v>
      </c>
      <c r="U703" s="30">
        <v>125</v>
      </c>
      <c r="V703" s="30">
        <v>403</v>
      </c>
      <c r="W703" s="30">
        <v>678</v>
      </c>
      <c r="X703" s="30">
        <v>66</v>
      </c>
    </row>
    <row r="704" spans="1:24">
      <c r="A704" s="22">
        <v>46171</v>
      </c>
      <c r="B704" s="23" t="s">
        <v>35</v>
      </c>
      <c r="C704" s="30">
        <v>273</v>
      </c>
      <c r="D704" s="30">
        <v>285</v>
      </c>
      <c r="E704" s="30">
        <v>222</v>
      </c>
      <c r="F704" s="30">
        <v>503</v>
      </c>
      <c r="G704" s="30">
        <v>299</v>
      </c>
      <c r="H704" s="30">
        <v>368</v>
      </c>
      <c r="I704" s="30">
        <v>219</v>
      </c>
      <c r="J704" s="30">
        <v>79</v>
      </c>
      <c r="K704" s="30">
        <v>255</v>
      </c>
      <c r="L704" s="30">
        <v>108</v>
      </c>
      <c r="M704" s="24">
        <v>389</v>
      </c>
      <c r="N704" s="25">
        <v>3000</v>
      </c>
      <c r="O704" s="30">
        <v>61</v>
      </c>
      <c r="P704" s="30">
        <v>0</v>
      </c>
      <c r="Q704" s="30">
        <v>775</v>
      </c>
      <c r="R704" s="30">
        <v>201</v>
      </c>
      <c r="S704" s="30">
        <v>282</v>
      </c>
      <c r="T704" s="30">
        <v>409</v>
      </c>
      <c r="U704" s="30">
        <v>125</v>
      </c>
      <c r="V704" s="30">
        <v>403</v>
      </c>
      <c r="W704" s="30">
        <v>678</v>
      </c>
      <c r="X704" s="30">
        <v>66</v>
      </c>
    </row>
    <row r="705" spans="1:24">
      <c r="A705" s="22">
        <v>46172</v>
      </c>
      <c r="B705" s="23" t="s">
        <v>35</v>
      </c>
      <c r="C705" s="30">
        <v>295</v>
      </c>
      <c r="D705" s="30">
        <v>308</v>
      </c>
      <c r="E705" s="30">
        <v>240</v>
      </c>
      <c r="F705" s="30">
        <v>543</v>
      </c>
      <c r="G705" s="30">
        <v>323</v>
      </c>
      <c r="H705" s="30">
        <v>398</v>
      </c>
      <c r="I705" s="30">
        <v>237</v>
      </c>
      <c r="J705" s="30">
        <v>85</v>
      </c>
      <c r="K705" s="30">
        <v>276</v>
      </c>
      <c r="L705" s="30">
        <v>117</v>
      </c>
      <c r="M705" s="24">
        <v>421</v>
      </c>
      <c r="N705" s="25">
        <v>3243</v>
      </c>
      <c r="O705" s="30">
        <v>66</v>
      </c>
      <c r="P705" s="30">
        <v>0</v>
      </c>
      <c r="Q705" s="30">
        <v>838</v>
      </c>
      <c r="R705" s="30">
        <v>217</v>
      </c>
      <c r="S705" s="30">
        <v>305</v>
      </c>
      <c r="T705" s="30">
        <v>442</v>
      </c>
      <c r="U705" s="30">
        <v>135</v>
      </c>
      <c r="V705" s="30">
        <v>436</v>
      </c>
      <c r="W705" s="30">
        <v>733</v>
      </c>
      <c r="X705" s="30">
        <v>71</v>
      </c>
    </row>
    <row r="706" spans="1:24">
      <c r="A706" s="22">
        <v>46173</v>
      </c>
      <c r="B706" s="23" t="s">
        <v>35</v>
      </c>
      <c r="C706" s="30">
        <v>295</v>
      </c>
      <c r="D706" s="30">
        <v>308</v>
      </c>
      <c r="E706" s="30">
        <v>241</v>
      </c>
      <c r="F706" s="30">
        <v>544</v>
      </c>
      <c r="G706" s="30">
        <v>323</v>
      </c>
      <c r="H706" s="30">
        <v>398</v>
      </c>
      <c r="I706" s="30">
        <v>237</v>
      </c>
      <c r="J706" s="30">
        <v>85</v>
      </c>
      <c r="K706" s="30">
        <v>276</v>
      </c>
      <c r="L706" s="30">
        <v>117</v>
      </c>
      <c r="M706" s="24">
        <v>422</v>
      </c>
      <c r="N706" s="25">
        <v>3246</v>
      </c>
      <c r="O706" s="30">
        <v>66</v>
      </c>
      <c r="P706" s="30">
        <v>0</v>
      </c>
      <c r="Q706" s="30">
        <v>839</v>
      </c>
      <c r="R706" s="30">
        <v>217</v>
      </c>
      <c r="S706" s="30">
        <v>305</v>
      </c>
      <c r="T706" s="30">
        <v>442</v>
      </c>
      <c r="U706" s="30">
        <v>136</v>
      </c>
      <c r="V706" s="30">
        <v>437</v>
      </c>
      <c r="W706" s="30">
        <v>733</v>
      </c>
      <c r="X706" s="30">
        <v>71</v>
      </c>
    </row>
    <row r="707" spans="1:24">
      <c r="A707" s="22">
        <v>46174</v>
      </c>
      <c r="B707" s="23" t="s">
        <v>35</v>
      </c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>
        <v>3861</v>
      </c>
      <c r="N707" s="25">
        <v>3861</v>
      </c>
      <c r="O707" s="24">
        <v>81</v>
      </c>
      <c r="P707" s="24">
        <v>1</v>
      </c>
      <c r="Q707" s="24">
        <v>787</v>
      </c>
      <c r="R707" s="24">
        <v>483</v>
      </c>
      <c r="S707" s="24">
        <v>387</v>
      </c>
      <c r="T707" s="24">
        <v>413</v>
      </c>
      <c r="U707" s="24">
        <v>274</v>
      </c>
      <c r="V707" s="24">
        <v>445</v>
      </c>
      <c r="W707" s="24">
        <v>902</v>
      </c>
      <c r="X707" s="24">
        <v>88</v>
      </c>
    </row>
    <row r="708" spans="1:24">
      <c r="A708" s="22">
        <v>46175</v>
      </c>
      <c r="B708" s="23" t="s">
        <v>35</v>
      </c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>
        <v>3869</v>
      </c>
      <c r="N708" s="25">
        <v>3869</v>
      </c>
      <c r="O708" s="24">
        <v>83</v>
      </c>
      <c r="P708" s="24">
        <v>1</v>
      </c>
      <c r="Q708" s="24">
        <v>790</v>
      </c>
      <c r="R708" s="24">
        <v>483</v>
      </c>
      <c r="S708" s="24">
        <v>387</v>
      </c>
      <c r="T708" s="24">
        <v>414</v>
      </c>
      <c r="U708" s="24">
        <v>280</v>
      </c>
      <c r="V708" s="24">
        <v>440</v>
      </c>
      <c r="W708" s="24">
        <v>902</v>
      </c>
      <c r="X708" s="24">
        <v>89</v>
      </c>
    </row>
    <row r="709" spans="1:24">
      <c r="A709" s="22">
        <v>46176</v>
      </c>
      <c r="B709" s="23" t="s">
        <v>35</v>
      </c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>
        <v>3869</v>
      </c>
      <c r="N709" s="25">
        <v>3869</v>
      </c>
      <c r="O709" s="24">
        <v>83</v>
      </c>
      <c r="P709" s="24">
        <v>1</v>
      </c>
      <c r="Q709" s="24">
        <v>790</v>
      </c>
      <c r="R709" s="24">
        <v>483</v>
      </c>
      <c r="S709" s="24">
        <v>387</v>
      </c>
      <c r="T709" s="24">
        <v>414</v>
      </c>
      <c r="U709" s="24">
        <v>280</v>
      </c>
      <c r="V709" s="24">
        <v>440</v>
      </c>
      <c r="W709" s="24">
        <v>902</v>
      </c>
      <c r="X709" s="24">
        <v>89</v>
      </c>
    </row>
    <row r="710" spans="1:24">
      <c r="A710" s="22">
        <v>46177</v>
      </c>
      <c r="B710" s="23" t="s">
        <v>35</v>
      </c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>
        <v>3869</v>
      </c>
      <c r="N710" s="25">
        <v>3869</v>
      </c>
      <c r="O710" s="24">
        <v>83</v>
      </c>
      <c r="P710" s="24">
        <v>1</v>
      </c>
      <c r="Q710" s="24">
        <v>790</v>
      </c>
      <c r="R710" s="24">
        <v>483</v>
      </c>
      <c r="S710" s="24">
        <v>387</v>
      </c>
      <c r="T710" s="24">
        <v>414</v>
      </c>
      <c r="U710" s="24">
        <v>280</v>
      </c>
      <c r="V710" s="24">
        <v>440</v>
      </c>
      <c r="W710" s="24">
        <v>902</v>
      </c>
      <c r="X710" s="24">
        <v>89</v>
      </c>
    </row>
    <row r="711" spans="1:24">
      <c r="A711" s="22">
        <v>46178</v>
      </c>
      <c r="B711" s="23" t="s">
        <v>35</v>
      </c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>
        <v>3869</v>
      </c>
      <c r="N711" s="25">
        <v>3869</v>
      </c>
      <c r="O711" s="24">
        <v>83</v>
      </c>
      <c r="P711" s="24">
        <v>1</v>
      </c>
      <c r="Q711" s="24">
        <v>790</v>
      </c>
      <c r="R711" s="24">
        <v>483</v>
      </c>
      <c r="S711" s="24">
        <v>387</v>
      </c>
      <c r="T711" s="24">
        <v>414</v>
      </c>
      <c r="U711" s="24">
        <v>280</v>
      </c>
      <c r="V711" s="24">
        <v>440</v>
      </c>
      <c r="W711" s="24">
        <v>902</v>
      </c>
      <c r="X711" s="24">
        <v>89</v>
      </c>
    </row>
    <row r="712" spans="1:24">
      <c r="A712" s="22">
        <v>46179</v>
      </c>
      <c r="B712" s="23" t="s">
        <v>35</v>
      </c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>
        <v>4834</v>
      </c>
      <c r="N712" s="25">
        <v>4834</v>
      </c>
      <c r="O712" s="24">
        <v>104</v>
      </c>
      <c r="P712" s="24">
        <v>1</v>
      </c>
      <c r="Q712" s="24">
        <v>987</v>
      </c>
      <c r="R712" s="24">
        <v>603</v>
      </c>
      <c r="S712" s="24">
        <v>484</v>
      </c>
      <c r="T712" s="24">
        <v>517</v>
      </c>
      <c r="U712" s="24">
        <v>350</v>
      </c>
      <c r="V712" s="24">
        <v>550</v>
      </c>
      <c r="W712" s="24">
        <v>1127</v>
      </c>
      <c r="X712" s="24">
        <v>111</v>
      </c>
    </row>
    <row r="713" spans="1:24">
      <c r="A713" s="22">
        <v>46180</v>
      </c>
      <c r="B713" s="23" t="s">
        <v>35</v>
      </c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>
        <v>4834</v>
      </c>
      <c r="N713" s="25">
        <v>4834</v>
      </c>
      <c r="O713" s="24">
        <v>104</v>
      </c>
      <c r="P713" s="24">
        <v>1</v>
      </c>
      <c r="Q713" s="24">
        <v>987</v>
      </c>
      <c r="R713" s="24">
        <v>603</v>
      </c>
      <c r="S713" s="24">
        <v>484</v>
      </c>
      <c r="T713" s="24">
        <v>517</v>
      </c>
      <c r="U713" s="24">
        <v>350</v>
      </c>
      <c r="V713" s="24">
        <v>550</v>
      </c>
      <c r="W713" s="24">
        <v>1127</v>
      </c>
      <c r="X713" s="24">
        <v>111</v>
      </c>
    </row>
    <row r="714" spans="1:24">
      <c r="A714" s="22">
        <v>46181</v>
      </c>
      <c r="B714" s="23" t="s">
        <v>35</v>
      </c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>
        <v>4190</v>
      </c>
      <c r="N714" s="25">
        <v>4190</v>
      </c>
      <c r="O714" s="24">
        <v>90</v>
      </c>
      <c r="P714" s="24">
        <v>1</v>
      </c>
      <c r="Q714" s="24">
        <v>855</v>
      </c>
      <c r="R714" s="24">
        <v>523</v>
      </c>
      <c r="S714" s="24">
        <v>419</v>
      </c>
      <c r="T714" s="24">
        <v>448</v>
      </c>
      <c r="U714" s="24">
        <v>304</v>
      </c>
      <c r="V714" s="24">
        <v>477</v>
      </c>
      <c r="W714" s="24">
        <v>977</v>
      </c>
      <c r="X714" s="24">
        <v>96</v>
      </c>
    </row>
    <row r="715" spans="1:24">
      <c r="A715" s="22">
        <v>46182</v>
      </c>
      <c r="B715" s="23" t="s">
        <v>35</v>
      </c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>
        <v>4190</v>
      </c>
      <c r="N715" s="25">
        <v>4190</v>
      </c>
      <c r="O715" s="24">
        <v>90</v>
      </c>
      <c r="P715" s="24">
        <v>1</v>
      </c>
      <c r="Q715" s="24">
        <v>855</v>
      </c>
      <c r="R715" s="24">
        <v>523</v>
      </c>
      <c r="S715" s="24">
        <v>419</v>
      </c>
      <c r="T715" s="24">
        <v>448</v>
      </c>
      <c r="U715" s="24">
        <v>304</v>
      </c>
      <c r="V715" s="24">
        <v>477</v>
      </c>
      <c r="W715" s="24">
        <v>977</v>
      </c>
      <c r="X715" s="24">
        <v>96</v>
      </c>
    </row>
    <row r="716" spans="1:24">
      <c r="A716" s="22">
        <v>46183</v>
      </c>
      <c r="B716" s="23" t="s">
        <v>35</v>
      </c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>
        <v>4190</v>
      </c>
      <c r="N716" s="25">
        <v>4190</v>
      </c>
      <c r="O716" s="24">
        <v>90</v>
      </c>
      <c r="P716" s="24">
        <v>1</v>
      </c>
      <c r="Q716" s="24">
        <v>855</v>
      </c>
      <c r="R716" s="24">
        <v>523</v>
      </c>
      <c r="S716" s="24">
        <v>419</v>
      </c>
      <c r="T716" s="24">
        <v>448</v>
      </c>
      <c r="U716" s="24">
        <v>304</v>
      </c>
      <c r="V716" s="24">
        <v>477</v>
      </c>
      <c r="W716" s="24">
        <v>977</v>
      </c>
      <c r="X716" s="24">
        <v>96</v>
      </c>
    </row>
    <row r="717" spans="1:24">
      <c r="A717" s="22">
        <v>46184</v>
      </c>
      <c r="B717" s="23" t="s">
        <v>35</v>
      </c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>
        <v>4189</v>
      </c>
      <c r="N717" s="25">
        <v>4189</v>
      </c>
      <c r="O717" s="24">
        <v>90</v>
      </c>
      <c r="P717" s="24">
        <v>0</v>
      </c>
      <c r="Q717" s="24">
        <v>855</v>
      </c>
      <c r="R717" s="24">
        <v>523</v>
      </c>
      <c r="S717" s="24">
        <v>419</v>
      </c>
      <c r="T717" s="24">
        <v>448</v>
      </c>
      <c r="U717" s="24">
        <v>304</v>
      </c>
      <c r="V717" s="24">
        <v>477</v>
      </c>
      <c r="W717" s="24">
        <v>977</v>
      </c>
      <c r="X717" s="24">
        <v>96</v>
      </c>
    </row>
    <row r="718" spans="1:24">
      <c r="A718" s="22">
        <v>46185</v>
      </c>
      <c r="B718" s="23" t="s">
        <v>35</v>
      </c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>
        <v>4189</v>
      </c>
      <c r="N718" s="25">
        <v>4189</v>
      </c>
      <c r="O718" s="24">
        <v>90</v>
      </c>
      <c r="P718" s="24">
        <v>0</v>
      </c>
      <c r="Q718" s="24">
        <v>855</v>
      </c>
      <c r="R718" s="24">
        <v>523</v>
      </c>
      <c r="S718" s="24">
        <v>419</v>
      </c>
      <c r="T718" s="24">
        <v>448</v>
      </c>
      <c r="U718" s="24">
        <v>304</v>
      </c>
      <c r="V718" s="24">
        <v>477</v>
      </c>
      <c r="W718" s="24">
        <v>977</v>
      </c>
      <c r="X718" s="24">
        <v>96</v>
      </c>
    </row>
    <row r="719" spans="1:24">
      <c r="A719" s="22">
        <v>46186</v>
      </c>
      <c r="B719" s="23" t="s">
        <v>35</v>
      </c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>
        <v>5157</v>
      </c>
      <c r="N719" s="25">
        <v>5157</v>
      </c>
      <c r="O719" s="24">
        <v>111</v>
      </c>
      <c r="P719" s="24">
        <v>0</v>
      </c>
      <c r="Q719" s="24">
        <v>1053</v>
      </c>
      <c r="R719" s="24">
        <v>643</v>
      </c>
      <c r="S719" s="24">
        <v>516</v>
      </c>
      <c r="T719" s="24">
        <v>552</v>
      </c>
      <c r="U719" s="24">
        <v>374</v>
      </c>
      <c r="V719" s="24">
        <v>587</v>
      </c>
      <c r="W719" s="24">
        <v>1203</v>
      </c>
      <c r="X719" s="24">
        <v>118</v>
      </c>
    </row>
    <row r="720" spans="1:24">
      <c r="A720" s="22">
        <v>46187</v>
      </c>
      <c r="B720" s="23" t="s">
        <v>35</v>
      </c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>
        <v>5157</v>
      </c>
      <c r="N720" s="25">
        <v>5157</v>
      </c>
      <c r="O720" s="24">
        <v>111</v>
      </c>
      <c r="P720" s="24">
        <v>0</v>
      </c>
      <c r="Q720" s="24">
        <v>1053</v>
      </c>
      <c r="R720" s="24">
        <v>643</v>
      </c>
      <c r="S720" s="24">
        <v>516</v>
      </c>
      <c r="T720" s="24">
        <v>552</v>
      </c>
      <c r="U720" s="24">
        <v>374</v>
      </c>
      <c r="V720" s="24">
        <v>587</v>
      </c>
      <c r="W720" s="24">
        <v>1203</v>
      </c>
      <c r="X720" s="24">
        <v>118</v>
      </c>
    </row>
    <row r="721" spans="1:24">
      <c r="A721" s="22">
        <v>46188</v>
      </c>
      <c r="B721" s="23" t="s">
        <v>35</v>
      </c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>
        <v>4512</v>
      </c>
      <c r="N721" s="25">
        <v>4512</v>
      </c>
      <c r="O721" s="24">
        <v>97</v>
      </c>
      <c r="P721" s="24">
        <v>0</v>
      </c>
      <c r="Q721" s="24">
        <v>921</v>
      </c>
      <c r="R721" s="24">
        <v>563</v>
      </c>
      <c r="S721" s="24">
        <v>451</v>
      </c>
      <c r="T721" s="24">
        <v>483</v>
      </c>
      <c r="U721" s="24">
        <v>327</v>
      </c>
      <c r="V721" s="24">
        <v>514</v>
      </c>
      <c r="W721" s="24">
        <v>1052</v>
      </c>
      <c r="X721" s="24">
        <v>104</v>
      </c>
    </row>
    <row r="722" spans="1:24">
      <c r="A722" s="22">
        <v>46189</v>
      </c>
      <c r="B722" s="23" t="s">
        <v>35</v>
      </c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>
        <v>4512</v>
      </c>
      <c r="N722" s="25">
        <v>4512</v>
      </c>
      <c r="O722" s="24">
        <v>97</v>
      </c>
      <c r="P722" s="24">
        <v>0</v>
      </c>
      <c r="Q722" s="24">
        <v>921</v>
      </c>
      <c r="R722" s="24">
        <v>563</v>
      </c>
      <c r="S722" s="24">
        <v>451</v>
      </c>
      <c r="T722" s="24">
        <v>483</v>
      </c>
      <c r="U722" s="24">
        <v>327</v>
      </c>
      <c r="V722" s="24">
        <v>514</v>
      </c>
      <c r="W722" s="24">
        <v>1052</v>
      </c>
      <c r="X722" s="24">
        <v>104</v>
      </c>
    </row>
    <row r="723" spans="1:24">
      <c r="A723" s="22">
        <v>46190</v>
      </c>
      <c r="B723" s="23" t="s">
        <v>35</v>
      </c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>
        <v>4512</v>
      </c>
      <c r="N723" s="25">
        <v>4512</v>
      </c>
      <c r="O723" s="24">
        <v>97</v>
      </c>
      <c r="P723" s="24">
        <v>0</v>
      </c>
      <c r="Q723" s="24">
        <v>921</v>
      </c>
      <c r="R723" s="24">
        <v>563</v>
      </c>
      <c r="S723" s="24">
        <v>451</v>
      </c>
      <c r="T723" s="24">
        <v>483</v>
      </c>
      <c r="U723" s="24">
        <v>327</v>
      </c>
      <c r="V723" s="24">
        <v>514</v>
      </c>
      <c r="W723" s="24">
        <v>1052</v>
      </c>
      <c r="X723" s="24">
        <v>104</v>
      </c>
    </row>
    <row r="724" spans="1:24">
      <c r="A724" s="22">
        <v>46191</v>
      </c>
      <c r="B724" s="23" t="s">
        <v>35</v>
      </c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>
        <v>4512</v>
      </c>
      <c r="N724" s="25">
        <v>4512</v>
      </c>
      <c r="O724" s="24">
        <v>97</v>
      </c>
      <c r="P724" s="24">
        <v>0</v>
      </c>
      <c r="Q724" s="24">
        <v>921</v>
      </c>
      <c r="R724" s="24">
        <v>563</v>
      </c>
      <c r="S724" s="24">
        <v>451</v>
      </c>
      <c r="T724" s="24">
        <v>483</v>
      </c>
      <c r="U724" s="24">
        <v>327</v>
      </c>
      <c r="V724" s="24">
        <v>514</v>
      </c>
      <c r="W724" s="24">
        <v>1052</v>
      </c>
      <c r="X724" s="24">
        <v>104</v>
      </c>
    </row>
    <row r="725" spans="1:24">
      <c r="A725" s="22">
        <v>46192</v>
      </c>
      <c r="B725" s="23" t="s">
        <v>35</v>
      </c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>
        <v>4512</v>
      </c>
      <c r="N725" s="25">
        <v>4512</v>
      </c>
      <c r="O725" s="24">
        <v>97</v>
      </c>
      <c r="P725" s="24">
        <v>0</v>
      </c>
      <c r="Q725" s="24">
        <v>921</v>
      </c>
      <c r="R725" s="24">
        <v>563</v>
      </c>
      <c r="S725" s="24">
        <v>451</v>
      </c>
      <c r="T725" s="24">
        <v>483</v>
      </c>
      <c r="U725" s="24">
        <v>327</v>
      </c>
      <c r="V725" s="24">
        <v>514</v>
      </c>
      <c r="W725" s="24">
        <v>1052</v>
      </c>
      <c r="X725" s="24">
        <v>104</v>
      </c>
    </row>
    <row r="726" spans="1:24">
      <c r="A726" s="22">
        <v>46193</v>
      </c>
      <c r="B726" s="23" t="s">
        <v>35</v>
      </c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>
        <v>5480</v>
      </c>
      <c r="N726" s="25">
        <v>5480</v>
      </c>
      <c r="O726" s="24">
        <v>118</v>
      </c>
      <c r="P726" s="24">
        <v>0</v>
      </c>
      <c r="Q726" s="24">
        <v>1119</v>
      </c>
      <c r="R726" s="24">
        <v>684</v>
      </c>
      <c r="S726" s="24">
        <v>548</v>
      </c>
      <c r="T726" s="24">
        <v>586</v>
      </c>
      <c r="U726" s="24">
        <v>397</v>
      </c>
      <c r="V726" s="24">
        <v>624</v>
      </c>
      <c r="W726" s="24">
        <v>1278</v>
      </c>
      <c r="X726" s="24">
        <v>126</v>
      </c>
    </row>
    <row r="727" spans="1:24">
      <c r="A727" s="22">
        <v>46194</v>
      </c>
      <c r="B727" s="23" t="s">
        <v>35</v>
      </c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>
        <v>5480</v>
      </c>
      <c r="N727" s="25">
        <v>5480</v>
      </c>
      <c r="O727" s="24">
        <v>118</v>
      </c>
      <c r="P727" s="24">
        <v>0</v>
      </c>
      <c r="Q727" s="24">
        <v>1119</v>
      </c>
      <c r="R727" s="24">
        <v>684</v>
      </c>
      <c r="S727" s="24">
        <v>548</v>
      </c>
      <c r="T727" s="24">
        <v>586</v>
      </c>
      <c r="U727" s="24">
        <v>397</v>
      </c>
      <c r="V727" s="24">
        <v>624</v>
      </c>
      <c r="W727" s="24">
        <v>1278</v>
      </c>
      <c r="X727" s="24">
        <v>126</v>
      </c>
    </row>
    <row r="728" spans="1:24">
      <c r="A728" s="22">
        <v>46195</v>
      </c>
      <c r="B728" s="23" t="s">
        <v>35</v>
      </c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>
        <v>5157</v>
      </c>
      <c r="N728" s="25">
        <v>5157</v>
      </c>
      <c r="O728" s="24">
        <v>111</v>
      </c>
      <c r="P728" s="24">
        <v>0</v>
      </c>
      <c r="Q728" s="24">
        <v>1053</v>
      </c>
      <c r="R728" s="24">
        <v>643</v>
      </c>
      <c r="S728" s="24">
        <v>516</v>
      </c>
      <c r="T728" s="24">
        <v>552</v>
      </c>
      <c r="U728" s="24">
        <v>374</v>
      </c>
      <c r="V728" s="24">
        <v>587</v>
      </c>
      <c r="W728" s="24">
        <v>1203</v>
      </c>
      <c r="X728" s="24">
        <v>118</v>
      </c>
    </row>
    <row r="729" spans="1:24">
      <c r="A729" s="22">
        <v>46196</v>
      </c>
      <c r="B729" s="23" t="s">
        <v>35</v>
      </c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>
        <v>5157</v>
      </c>
      <c r="N729" s="25">
        <v>5157</v>
      </c>
      <c r="O729" s="24">
        <v>111</v>
      </c>
      <c r="P729" s="24">
        <v>0</v>
      </c>
      <c r="Q729" s="24">
        <v>1053</v>
      </c>
      <c r="R729" s="24">
        <v>643</v>
      </c>
      <c r="S729" s="24">
        <v>516</v>
      </c>
      <c r="T729" s="24">
        <v>552</v>
      </c>
      <c r="U729" s="24">
        <v>374</v>
      </c>
      <c r="V729" s="24">
        <v>587</v>
      </c>
      <c r="W729" s="24">
        <v>1203</v>
      </c>
      <c r="X729" s="24">
        <v>118</v>
      </c>
    </row>
    <row r="730" spans="1:24">
      <c r="A730" s="22">
        <v>46197</v>
      </c>
      <c r="B730" s="23" t="s">
        <v>35</v>
      </c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>
        <v>5157</v>
      </c>
      <c r="N730" s="25">
        <v>5157</v>
      </c>
      <c r="O730" s="24">
        <v>111</v>
      </c>
      <c r="P730" s="24">
        <v>0</v>
      </c>
      <c r="Q730" s="24">
        <v>1053</v>
      </c>
      <c r="R730" s="24">
        <v>643</v>
      </c>
      <c r="S730" s="24">
        <v>516</v>
      </c>
      <c r="T730" s="24">
        <v>552</v>
      </c>
      <c r="U730" s="24">
        <v>374</v>
      </c>
      <c r="V730" s="24">
        <v>587</v>
      </c>
      <c r="W730" s="24">
        <v>1203</v>
      </c>
      <c r="X730" s="24">
        <v>118</v>
      </c>
    </row>
    <row r="731" spans="1:24">
      <c r="A731" s="22">
        <v>46198</v>
      </c>
      <c r="B731" s="23" t="s">
        <v>35</v>
      </c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>
        <v>5157</v>
      </c>
      <c r="N731" s="25">
        <v>5157</v>
      </c>
      <c r="O731" s="24">
        <v>111</v>
      </c>
      <c r="P731" s="24">
        <v>0</v>
      </c>
      <c r="Q731" s="24">
        <v>1053</v>
      </c>
      <c r="R731" s="24">
        <v>643</v>
      </c>
      <c r="S731" s="24">
        <v>516</v>
      </c>
      <c r="T731" s="24">
        <v>552</v>
      </c>
      <c r="U731" s="24">
        <v>374</v>
      </c>
      <c r="V731" s="24">
        <v>587</v>
      </c>
      <c r="W731" s="24">
        <v>1203</v>
      </c>
      <c r="X731" s="24">
        <v>118</v>
      </c>
    </row>
    <row r="732" spans="1:24">
      <c r="A732" s="22">
        <v>46199</v>
      </c>
      <c r="B732" s="23" t="s">
        <v>35</v>
      </c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>
        <v>5157</v>
      </c>
      <c r="N732" s="25">
        <v>5157</v>
      </c>
      <c r="O732" s="24">
        <v>111</v>
      </c>
      <c r="P732" s="24">
        <v>0</v>
      </c>
      <c r="Q732" s="24">
        <v>1053</v>
      </c>
      <c r="R732" s="24">
        <v>643</v>
      </c>
      <c r="S732" s="24">
        <v>516</v>
      </c>
      <c r="T732" s="24">
        <v>552</v>
      </c>
      <c r="U732" s="24">
        <v>374</v>
      </c>
      <c r="V732" s="24">
        <v>587</v>
      </c>
      <c r="W732" s="24">
        <v>1203</v>
      </c>
      <c r="X732" s="24">
        <v>118</v>
      </c>
    </row>
    <row r="733" spans="1:24">
      <c r="A733" s="22">
        <v>46200</v>
      </c>
      <c r="B733" s="23" t="s">
        <v>35</v>
      </c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>
        <v>6123</v>
      </c>
      <c r="N733" s="25">
        <v>6123</v>
      </c>
      <c r="O733" s="24">
        <v>131</v>
      </c>
      <c r="P733" s="24">
        <v>0</v>
      </c>
      <c r="Q733" s="24">
        <v>1250</v>
      </c>
      <c r="R733" s="24">
        <v>764</v>
      </c>
      <c r="S733" s="24">
        <v>613</v>
      </c>
      <c r="T733" s="24">
        <v>655</v>
      </c>
      <c r="U733" s="24">
        <v>444</v>
      </c>
      <c r="V733" s="24">
        <v>697</v>
      </c>
      <c r="W733" s="24">
        <v>1428</v>
      </c>
      <c r="X733" s="24">
        <v>141</v>
      </c>
    </row>
    <row r="734" spans="1:24">
      <c r="A734" s="22">
        <v>46201</v>
      </c>
      <c r="B734" s="23" t="s">
        <v>35</v>
      </c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>
        <v>6123</v>
      </c>
      <c r="N734" s="25">
        <v>6123</v>
      </c>
      <c r="O734" s="24">
        <v>131</v>
      </c>
      <c r="P734" s="24">
        <v>0</v>
      </c>
      <c r="Q734" s="24">
        <v>1250</v>
      </c>
      <c r="R734" s="24">
        <v>764</v>
      </c>
      <c r="S734" s="24">
        <v>613</v>
      </c>
      <c r="T734" s="24">
        <v>655</v>
      </c>
      <c r="U734" s="24">
        <v>444</v>
      </c>
      <c r="V734" s="24">
        <v>697</v>
      </c>
      <c r="W734" s="24">
        <v>1428</v>
      </c>
      <c r="X734" s="24">
        <v>141</v>
      </c>
    </row>
    <row r="735" spans="1:24">
      <c r="A735" s="22">
        <v>46202</v>
      </c>
      <c r="B735" s="23" t="s">
        <v>35</v>
      </c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>
        <v>7091</v>
      </c>
      <c r="N735" s="25">
        <v>7091</v>
      </c>
      <c r="O735" s="24">
        <v>152</v>
      </c>
      <c r="P735" s="24">
        <v>0</v>
      </c>
      <c r="Q735" s="24">
        <v>1448</v>
      </c>
      <c r="R735" s="24">
        <v>885</v>
      </c>
      <c r="S735" s="24">
        <v>709</v>
      </c>
      <c r="T735" s="24">
        <v>759</v>
      </c>
      <c r="U735" s="24">
        <v>514</v>
      </c>
      <c r="V735" s="24">
        <v>807</v>
      </c>
      <c r="W735" s="24">
        <v>1654</v>
      </c>
      <c r="X735" s="24">
        <v>163</v>
      </c>
    </row>
    <row r="736" spans="1:24">
      <c r="A736" s="22">
        <v>46203</v>
      </c>
      <c r="B736" s="23" t="s">
        <v>35</v>
      </c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>
        <v>7091</v>
      </c>
      <c r="N736" s="25">
        <v>7091</v>
      </c>
      <c r="O736" s="24">
        <v>152</v>
      </c>
      <c r="P736" s="24">
        <v>0</v>
      </c>
      <c r="Q736" s="24">
        <v>1448</v>
      </c>
      <c r="R736" s="24">
        <v>885</v>
      </c>
      <c r="S736" s="24">
        <v>709</v>
      </c>
      <c r="T736" s="24">
        <v>759</v>
      </c>
      <c r="U736" s="24">
        <v>514</v>
      </c>
      <c r="V736" s="24">
        <v>807</v>
      </c>
      <c r="W736" s="24">
        <v>1654</v>
      </c>
      <c r="X736" s="24">
        <v>163</v>
      </c>
    </row>
    <row r="737" spans="1:24">
      <c r="A737" s="22">
        <v>46204</v>
      </c>
      <c r="B737" s="23" t="s">
        <v>35</v>
      </c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>
        <v>0</v>
      </c>
      <c r="N737" s="25">
        <v>0</v>
      </c>
      <c r="O737" s="24"/>
      <c r="P737" s="24"/>
      <c r="Q737" s="24"/>
      <c r="R737" s="24"/>
      <c r="S737" s="24"/>
      <c r="T737" s="24"/>
      <c r="U737" s="24"/>
      <c r="V737" s="24"/>
      <c r="W737" s="24"/>
      <c r="X737" s="24"/>
    </row>
    <row r="738" spans="1:24">
      <c r="A738" s="22">
        <v>46205</v>
      </c>
      <c r="B738" s="23" t="s">
        <v>35</v>
      </c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>
        <v>0</v>
      </c>
      <c r="N738" s="25">
        <v>0</v>
      </c>
      <c r="O738" s="24"/>
      <c r="P738" s="24"/>
      <c r="Q738" s="24"/>
      <c r="R738" s="24"/>
      <c r="S738" s="24"/>
      <c r="T738" s="24"/>
      <c r="U738" s="24"/>
      <c r="V738" s="24"/>
      <c r="W738" s="24"/>
      <c r="X738" s="24"/>
    </row>
    <row r="739" spans="1:24">
      <c r="A739" s="22">
        <v>46206</v>
      </c>
      <c r="B739" s="23" t="s">
        <v>35</v>
      </c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>
        <v>0</v>
      </c>
      <c r="N739" s="25">
        <v>0</v>
      </c>
      <c r="O739" s="24"/>
      <c r="P739" s="24"/>
      <c r="Q739" s="24"/>
      <c r="R739" s="24"/>
      <c r="S739" s="24"/>
      <c r="T739" s="24"/>
      <c r="U739" s="24"/>
      <c r="V739" s="24"/>
      <c r="W739" s="24"/>
      <c r="X739" s="24"/>
    </row>
    <row r="740" spans="1:24">
      <c r="A740" s="22">
        <v>46207</v>
      </c>
      <c r="B740" s="23" t="s">
        <v>35</v>
      </c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>
        <v>0</v>
      </c>
      <c r="N740" s="25">
        <v>0</v>
      </c>
      <c r="O740" s="24"/>
      <c r="P740" s="24"/>
      <c r="Q740" s="24"/>
      <c r="R740" s="24"/>
      <c r="S740" s="24"/>
      <c r="T740" s="24"/>
      <c r="U740" s="24"/>
      <c r="V740" s="24"/>
      <c r="W740" s="24"/>
      <c r="X740" s="24"/>
    </row>
    <row r="741" spans="1:24">
      <c r="A741" s="22">
        <v>46208</v>
      </c>
      <c r="B741" s="23" t="s">
        <v>35</v>
      </c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>
        <v>0</v>
      </c>
      <c r="N741" s="25">
        <v>0</v>
      </c>
      <c r="O741" s="24"/>
      <c r="P741" s="24"/>
      <c r="Q741" s="24"/>
      <c r="R741" s="24"/>
      <c r="S741" s="24"/>
      <c r="T741" s="24"/>
      <c r="U741" s="24"/>
      <c r="V741" s="24"/>
      <c r="W741" s="24"/>
      <c r="X741" s="24"/>
    </row>
    <row r="742" spans="1:24">
      <c r="A742" s="22">
        <v>46209</v>
      </c>
      <c r="B742" s="23" t="s">
        <v>35</v>
      </c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>
        <v>0</v>
      </c>
      <c r="N742" s="25">
        <v>0</v>
      </c>
      <c r="O742" s="24"/>
      <c r="P742" s="24"/>
      <c r="Q742" s="24"/>
      <c r="R742" s="24"/>
      <c r="S742" s="24"/>
      <c r="T742" s="24"/>
      <c r="U742" s="24"/>
      <c r="V742" s="24"/>
      <c r="W742" s="24"/>
      <c r="X742" s="24"/>
    </row>
    <row r="743" spans="1:24">
      <c r="A743" s="22">
        <v>46210</v>
      </c>
      <c r="B743" s="23" t="s">
        <v>35</v>
      </c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>
        <v>0</v>
      </c>
      <c r="N743" s="25">
        <v>0</v>
      </c>
      <c r="O743" s="24"/>
      <c r="P743" s="24"/>
      <c r="Q743" s="24"/>
      <c r="R743" s="24"/>
      <c r="S743" s="24"/>
      <c r="T743" s="24"/>
      <c r="U743" s="24"/>
      <c r="V743" s="24"/>
      <c r="W743" s="24"/>
      <c r="X743" s="24"/>
    </row>
    <row r="744" spans="1:24">
      <c r="A744" s="22">
        <v>46211</v>
      </c>
      <c r="B744" s="23" t="s">
        <v>35</v>
      </c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>
        <v>0</v>
      </c>
      <c r="N744" s="25">
        <v>0</v>
      </c>
      <c r="O744" s="24"/>
      <c r="P744" s="24"/>
      <c r="Q744" s="24"/>
      <c r="R744" s="24"/>
      <c r="S744" s="24"/>
      <c r="T744" s="24"/>
      <c r="U744" s="24"/>
      <c r="V744" s="24"/>
      <c r="W744" s="24"/>
      <c r="X744" s="24"/>
    </row>
    <row r="745" spans="1:24">
      <c r="A745" s="22">
        <v>46212</v>
      </c>
      <c r="B745" s="23" t="s">
        <v>35</v>
      </c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>
        <v>0</v>
      </c>
      <c r="N745" s="25">
        <v>0</v>
      </c>
      <c r="O745" s="24"/>
      <c r="P745" s="24"/>
      <c r="Q745" s="24"/>
      <c r="R745" s="24"/>
      <c r="S745" s="24"/>
      <c r="T745" s="24"/>
      <c r="U745" s="24"/>
      <c r="V745" s="24"/>
      <c r="W745" s="24"/>
      <c r="X745" s="24"/>
    </row>
    <row r="746" spans="1:24">
      <c r="A746" s="22">
        <v>46213</v>
      </c>
      <c r="B746" s="23" t="s">
        <v>35</v>
      </c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>
        <v>0</v>
      </c>
      <c r="N746" s="25">
        <v>0</v>
      </c>
      <c r="O746" s="24"/>
      <c r="P746" s="24"/>
      <c r="Q746" s="24"/>
      <c r="R746" s="24"/>
      <c r="S746" s="24"/>
      <c r="T746" s="24"/>
      <c r="U746" s="24"/>
      <c r="V746" s="24"/>
      <c r="W746" s="24"/>
      <c r="X746" s="24"/>
    </row>
    <row r="747" spans="1:24">
      <c r="A747" s="22">
        <v>46214</v>
      </c>
      <c r="B747" s="23" t="s">
        <v>35</v>
      </c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>
        <v>0</v>
      </c>
      <c r="N747" s="25">
        <v>0</v>
      </c>
      <c r="O747" s="24"/>
      <c r="P747" s="24"/>
      <c r="Q747" s="24"/>
      <c r="R747" s="24"/>
      <c r="S747" s="24"/>
      <c r="T747" s="24"/>
      <c r="U747" s="24"/>
      <c r="V747" s="24"/>
      <c r="W747" s="24"/>
      <c r="X747" s="24"/>
    </row>
    <row r="748" spans="1:24">
      <c r="A748" s="22">
        <v>46215</v>
      </c>
      <c r="B748" s="23" t="s">
        <v>35</v>
      </c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>
        <v>0</v>
      </c>
      <c r="N748" s="25">
        <v>0</v>
      </c>
      <c r="O748" s="24"/>
      <c r="P748" s="24"/>
      <c r="Q748" s="24"/>
      <c r="R748" s="24"/>
      <c r="S748" s="24"/>
      <c r="T748" s="24"/>
      <c r="U748" s="24"/>
      <c r="V748" s="24"/>
      <c r="W748" s="24"/>
      <c r="X748" s="24"/>
    </row>
    <row r="749" spans="1:24">
      <c r="A749" s="22">
        <v>46216</v>
      </c>
      <c r="B749" s="23" t="s">
        <v>35</v>
      </c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>
        <v>0</v>
      </c>
      <c r="N749" s="25">
        <v>0</v>
      </c>
      <c r="O749" s="24"/>
      <c r="P749" s="24"/>
      <c r="Q749" s="24"/>
      <c r="R749" s="24"/>
      <c r="S749" s="24"/>
      <c r="T749" s="24"/>
      <c r="U749" s="24"/>
      <c r="V749" s="24"/>
      <c r="W749" s="24"/>
      <c r="X749" s="24"/>
    </row>
    <row r="750" spans="1:24">
      <c r="A750" s="22">
        <v>46217</v>
      </c>
      <c r="B750" s="23" t="s">
        <v>35</v>
      </c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>
        <v>0</v>
      </c>
      <c r="N750" s="25">
        <v>0</v>
      </c>
      <c r="O750" s="24"/>
      <c r="P750" s="24"/>
      <c r="Q750" s="24"/>
      <c r="R750" s="24"/>
      <c r="S750" s="24"/>
      <c r="T750" s="24"/>
      <c r="U750" s="24"/>
      <c r="V750" s="24"/>
      <c r="W750" s="24"/>
      <c r="X750" s="24"/>
    </row>
    <row r="751" spans="1:24">
      <c r="A751" s="22">
        <v>46218</v>
      </c>
      <c r="B751" s="23" t="s">
        <v>35</v>
      </c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>
        <v>0</v>
      </c>
      <c r="N751" s="25">
        <v>0</v>
      </c>
      <c r="O751" s="24"/>
      <c r="P751" s="24"/>
      <c r="Q751" s="24"/>
      <c r="R751" s="24"/>
      <c r="S751" s="24"/>
      <c r="T751" s="24"/>
      <c r="U751" s="24"/>
      <c r="V751" s="24"/>
      <c r="W751" s="24"/>
      <c r="X751" s="24"/>
    </row>
    <row r="752" spans="1:24">
      <c r="A752" s="22">
        <v>46219</v>
      </c>
      <c r="B752" s="23" t="s">
        <v>35</v>
      </c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>
        <v>0</v>
      </c>
      <c r="N752" s="25">
        <v>0</v>
      </c>
      <c r="O752" s="24"/>
      <c r="P752" s="24"/>
      <c r="Q752" s="24"/>
      <c r="R752" s="24"/>
      <c r="S752" s="24"/>
      <c r="T752" s="24"/>
      <c r="U752" s="24"/>
      <c r="V752" s="24"/>
      <c r="W752" s="24"/>
      <c r="X752" s="24"/>
    </row>
    <row r="753" spans="1:24">
      <c r="A753" s="22">
        <v>46220</v>
      </c>
      <c r="B753" s="23" t="s">
        <v>35</v>
      </c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>
        <v>0</v>
      </c>
      <c r="N753" s="25">
        <v>0</v>
      </c>
      <c r="O753" s="24"/>
      <c r="P753" s="24"/>
      <c r="Q753" s="24"/>
      <c r="R753" s="24"/>
      <c r="S753" s="24"/>
      <c r="T753" s="24"/>
      <c r="U753" s="24"/>
      <c r="V753" s="24"/>
      <c r="W753" s="24"/>
      <c r="X753" s="24"/>
    </row>
    <row r="754" spans="1:24">
      <c r="A754" s="22">
        <v>46221</v>
      </c>
      <c r="B754" s="23" t="s">
        <v>35</v>
      </c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>
        <v>0</v>
      </c>
      <c r="N754" s="25">
        <v>0</v>
      </c>
      <c r="O754" s="24"/>
      <c r="P754" s="24"/>
      <c r="Q754" s="24"/>
      <c r="R754" s="24"/>
      <c r="S754" s="24"/>
      <c r="T754" s="24"/>
      <c r="U754" s="24"/>
      <c r="V754" s="24"/>
      <c r="W754" s="24"/>
      <c r="X754" s="24"/>
    </row>
    <row r="755" spans="1:24">
      <c r="A755" s="22">
        <v>46222</v>
      </c>
      <c r="B755" s="23" t="s">
        <v>35</v>
      </c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>
        <v>0</v>
      </c>
      <c r="N755" s="25">
        <v>0</v>
      </c>
      <c r="O755" s="24"/>
      <c r="P755" s="24"/>
      <c r="Q755" s="24"/>
      <c r="R755" s="24"/>
      <c r="S755" s="24"/>
      <c r="T755" s="24"/>
      <c r="U755" s="24"/>
      <c r="V755" s="24"/>
      <c r="W755" s="24"/>
      <c r="X755" s="24"/>
    </row>
    <row r="756" spans="1:24">
      <c r="A756" s="22">
        <v>46223</v>
      </c>
      <c r="B756" s="23" t="s">
        <v>35</v>
      </c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>
        <v>0</v>
      </c>
      <c r="N756" s="25">
        <v>0</v>
      </c>
      <c r="O756" s="24"/>
      <c r="P756" s="24"/>
      <c r="Q756" s="24"/>
      <c r="R756" s="24"/>
      <c r="S756" s="24"/>
      <c r="T756" s="24"/>
      <c r="U756" s="24"/>
      <c r="V756" s="24"/>
      <c r="W756" s="24"/>
      <c r="X756" s="24"/>
    </row>
    <row r="757" spans="1:24">
      <c r="A757" s="22">
        <v>46224</v>
      </c>
      <c r="B757" s="23" t="s">
        <v>35</v>
      </c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>
        <v>0</v>
      </c>
      <c r="N757" s="25">
        <v>0</v>
      </c>
      <c r="O757" s="24"/>
      <c r="P757" s="24"/>
      <c r="Q757" s="24"/>
      <c r="R757" s="24"/>
      <c r="S757" s="24"/>
      <c r="T757" s="24"/>
      <c r="U757" s="24"/>
      <c r="V757" s="24"/>
      <c r="W757" s="24"/>
      <c r="X757" s="24"/>
    </row>
    <row r="758" spans="1:24">
      <c r="A758" s="22">
        <v>46225</v>
      </c>
      <c r="B758" s="23" t="s">
        <v>35</v>
      </c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>
        <v>0</v>
      </c>
      <c r="N758" s="25">
        <v>0</v>
      </c>
      <c r="O758" s="24"/>
      <c r="P758" s="24"/>
      <c r="Q758" s="24"/>
      <c r="R758" s="24"/>
      <c r="S758" s="24"/>
      <c r="T758" s="24"/>
      <c r="U758" s="24"/>
      <c r="V758" s="24"/>
      <c r="W758" s="24"/>
      <c r="X758" s="24"/>
    </row>
    <row r="759" spans="1:24">
      <c r="A759" s="22">
        <v>46226</v>
      </c>
      <c r="B759" s="23" t="s">
        <v>35</v>
      </c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>
        <v>0</v>
      </c>
      <c r="N759" s="25">
        <v>0</v>
      </c>
      <c r="O759" s="24"/>
      <c r="P759" s="24"/>
      <c r="Q759" s="24"/>
      <c r="R759" s="24"/>
      <c r="S759" s="24"/>
      <c r="T759" s="24"/>
      <c r="U759" s="24"/>
      <c r="V759" s="24"/>
      <c r="W759" s="24"/>
      <c r="X759" s="24"/>
    </row>
    <row r="760" spans="1:24">
      <c r="A760" s="22">
        <v>46227</v>
      </c>
      <c r="B760" s="23" t="s">
        <v>35</v>
      </c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>
        <v>0</v>
      </c>
      <c r="N760" s="25">
        <v>0</v>
      </c>
      <c r="O760" s="24"/>
      <c r="P760" s="24"/>
      <c r="Q760" s="24"/>
      <c r="R760" s="24"/>
      <c r="S760" s="24"/>
      <c r="T760" s="24"/>
      <c r="U760" s="24"/>
      <c r="V760" s="24"/>
      <c r="W760" s="24"/>
      <c r="X760" s="24"/>
    </row>
    <row r="761" spans="1:24">
      <c r="A761" s="22">
        <v>46228</v>
      </c>
      <c r="B761" s="23" t="s">
        <v>35</v>
      </c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>
        <v>0</v>
      </c>
      <c r="N761" s="25">
        <v>0</v>
      </c>
      <c r="O761" s="24"/>
      <c r="P761" s="24"/>
      <c r="Q761" s="24"/>
      <c r="R761" s="24"/>
      <c r="S761" s="24"/>
      <c r="T761" s="24"/>
      <c r="U761" s="24"/>
      <c r="V761" s="24"/>
      <c r="W761" s="24"/>
      <c r="X761" s="24"/>
    </row>
    <row r="762" spans="1:24">
      <c r="A762" s="22">
        <v>46229</v>
      </c>
      <c r="B762" s="23" t="s">
        <v>35</v>
      </c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>
        <v>0</v>
      </c>
      <c r="N762" s="25">
        <v>0</v>
      </c>
      <c r="O762" s="24"/>
      <c r="P762" s="24"/>
      <c r="Q762" s="24"/>
      <c r="R762" s="24"/>
      <c r="S762" s="24"/>
      <c r="T762" s="24"/>
      <c r="U762" s="24"/>
      <c r="V762" s="24"/>
      <c r="W762" s="24"/>
      <c r="X762" s="24"/>
    </row>
    <row r="763" spans="1:24">
      <c r="A763" s="22">
        <v>46230</v>
      </c>
      <c r="B763" s="23" t="s">
        <v>35</v>
      </c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>
        <v>0</v>
      </c>
      <c r="N763" s="25">
        <v>0</v>
      </c>
      <c r="O763" s="24"/>
      <c r="P763" s="24"/>
      <c r="Q763" s="24"/>
      <c r="R763" s="24"/>
      <c r="S763" s="24"/>
      <c r="T763" s="24"/>
      <c r="U763" s="24"/>
      <c r="V763" s="24"/>
      <c r="W763" s="24"/>
      <c r="X763" s="24"/>
    </row>
    <row r="764" spans="1:24">
      <c r="A764" s="22">
        <v>46231</v>
      </c>
      <c r="B764" s="23" t="s">
        <v>35</v>
      </c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>
        <v>0</v>
      </c>
      <c r="N764" s="25">
        <v>0</v>
      </c>
      <c r="O764" s="24"/>
      <c r="P764" s="24"/>
      <c r="Q764" s="24"/>
      <c r="R764" s="24"/>
      <c r="S764" s="24"/>
      <c r="T764" s="24"/>
      <c r="U764" s="24"/>
      <c r="V764" s="24"/>
      <c r="W764" s="24"/>
      <c r="X764" s="24"/>
    </row>
    <row r="765" spans="1:24">
      <c r="A765" s="22">
        <v>46232</v>
      </c>
      <c r="B765" s="23" t="s">
        <v>35</v>
      </c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>
        <v>0</v>
      </c>
      <c r="N765" s="25">
        <v>0</v>
      </c>
      <c r="O765" s="24"/>
      <c r="P765" s="24"/>
      <c r="Q765" s="24"/>
      <c r="R765" s="24"/>
      <c r="S765" s="24"/>
      <c r="T765" s="24"/>
      <c r="U765" s="24"/>
      <c r="V765" s="24"/>
      <c r="W765" s="24"/>
      <c r="X765" s="24"/>
    </row>
    <row r="766" spans="1:24">
      <c r="A766" s="22">
        <v>46233</v>
      </c>
      <c r="B766" s="23" t="s">
        <v>35</v>
      </c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>
        <v>0</v>
      </c>
      <c r="N766" s="25">
        <v>0</v>
      </c>
      <c r="O766" s="24"/>
      <c r="P766" s="24"/>
      <c r="Q766" s="24"/>
      <c r="R766" s="24"/>
      <c r="S766" s="24"/>
      <c r="T766" s="24"/>
      <c r="U766" s="24"/>
      <c r="V766" s="24"/>
      <c r="W766" s="24"/>
      <c r="X766" s="24"/>
    </row>
    <row r="767" spans="1:24">
      <c r="A767" s="22">
        <v>46234</v>
      </c>
      <c r="B767" s="23" t="s">
        <v>35</v>
      </c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>
        <v>0</v>
      </c>
      <c r="N767" s="25">
        <v>0</v>
      </c>
      <c r="O767" s="24"/>
      <c r="P767" s="24"/>
      <c r="Q767" s="24"/>
      <c r="R767" s="24"/>
      <c r="S767" s="24"/>
      <c r="T767" s="24"/>
      <c r="U767" s="24"/>
      <c r="V767" s="24"/>
      <c r="W767" s="24"/>
      <c r="X767" s="24"/>
    </row>
    <row r="768" spans="1:24">
      <c r="A768" s="22">
        <v>46235</v>
      </c>
      <c r="B768" s="23" t="s">
        <v>35</v>
      </c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>
        <v>0</v>
      </c>
      <c r="N768" s="25">
        <v>0</v>
      </c>
      <c r="O768" s="24"/>
      <c r="P768" s="24"/>
      <c r="Q768" s="24"/>
      <c r="R768" s="24"/>
      <c r="S768" s="24"/>
      <c r="T768" s="24"/>
      <c r="U768" s="24"/>
      <c r="V768" s="24"/>
      <c r="W768" s="24"/>
      <c r="X768" s="24"/>
    </row>
    <row r="769" spans="1:24">
      <c r="A769" s="22">
        <v>46236</v>
      </c>
      <c r="B769" s="23" t="s">
        <v>35</v>
      </c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>
        <v>0</v>
      </c>
      <c r="N769" s="25">
        <v>0</v>
      </c>
      <c r="O769" s="24"/>
      <c r="P769" s="24"/>
      <c r="Q769" s="24"/>
      <c r="R769" s="24"/>
      <c r="S769" s="24"/>
      <c r="T769" s="24"/>
      <c r="U769" s="24"/>
      <c r="V769" s="24"/>
      <c r="W769" s="24"/>
      <c r="X769" s="24"/>
    </row>
    <row r="770" spans="1:24">
      <c r="A770" s="22">
        <v>46237</v>
      </c>
      <c r="B770" s="23" t="s">
        <v>35</v>
      </c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>
        <v>0</v>
      </c>
      <c r="N770" s="25">
        <v>0</v>
      </c>
      <c r="O770" s="24"/>
      <c r="P770" s="24"/>
      <c r="Q770" s="24"/>
      <c r="R770" s="24"/>
      <c r="S770" s="24"/>
      <c r="T770" s="24"/>
      <c r="U770" s="24"/>
      <c r="V770" s="24"/>
      <c r="W770" s="24"/>
      <c r="X770" s="24"/>
    </row>
    <row r="771" spans="1:24">
      <c r="A771" s="22">
        <v>46238</v>
      </c>
      <c r="B771" s="23" t="s">
        <v>35</v>
      </c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>
        <v>0</v>
      </c>
      <c r="N771" s="25">
        <v>0</v>
      </c>
      <c r="O771" s="24"/>
      <c r="P771" s="24"/>
      <c r="Q771" s="24"/>
      <c r="R771" s="24"/>
      <c r="S771" s="24"/>
      <c r="T771" s="24"/>
      <c r="U771" s="24"/>
      <c r="V771" s="24"/>
      <c r="W771" s="24"/>
      <c r="X771" s="24"/>
    </row>
    <row r="772" spans="1:24">
      <c r="A772" s="22">
        <v>46239</v>
      </c>
      <c r="B772" s="23" t="s">
        <v>35</v>
      </c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>
        <v>0</v>
      </c>
      <c r="N772" s="25">
        <v>0</v>
      </c>
      <c r="O772" s="24"/>
      <c r="P772" s="24"/>
      <c r="Q772" s="24"/>
      <c r="R772" s="24"/>
      <c r="S772" s="24"/>
      <c r="T772" s="24"/>
      <c r="U772" s="24"/>
      <c r="V772" s="24"/>
      <c r="W772" s="24"/>
      <c r="X772" s="24"/>
    </row>
    <row r="773" spans="1:24">
      <c r="A773" s="22">
        <v>46240</v>
      </c>
      <c r="B773" s="23" t="s">
        <v>35</v>
      </c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>
        <v>0</v>
      </c>
      <c r="N773" s="25">
        <v>0</v>
      </c>
      <c r="O773" s="24"/>
      <c r="P773" s="24"/>
      <c r="Q773" s="24"/>
      <c r="R773" s="24"/>
      <c r="S773" s="24"/>
      <c r="T773" s="24"/>
      <c r="U773" s="24"/>
      <c r="V773" s="24"/>
      <c r="W773" s="24"/>
      <c r="X773" s="24"/>
    </row>
    <row r="774" spans="1:24">
      <c r="A774" s="22">
        <v>46241</v>
      </c>
      <c r="B774" s="23" t="s">
        <v>35</v>
      </c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>
        <v>0</v>
      </c>
      <c r="N774" s="25">
        <v>0</v>
      </c>
      <c r="O774" s="24"/>
      <c r="P774" s="24"/>
      <c r="Q774" s="24"/>
      <c r="R774" s="24"/>
      <c r="S774" s="24"/>
      <c r="T774" s="24"/>
      <c r="U774" s="24"/>
      <c r="V774" s="24"/>
      <c r="W774" s="24"/>
      <c r="X774" s="24"/>
    </row>
    <row r="775" spans="1:24">
      <c r="A775" s="22">
        <v>46242</v>
      </c>
      <c r="B775" s="23" t="s">
        <v>35</v>
      </c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>
        <v>0</v>
      </c>
      <c r="N775" s="25">
        <v>0</v>
      </c>
      <c r="O775" s="24"/>
      <c r="P775" s="24"/>
      <c r="Q775" s="24"/>
      <c r="R775" s="24"/>
      <c r="S775" s="24"/>
      <c r="T775" s="24"/>
      <c r="U775" s="24"/>
      <c r="V775" s="24"/>
      <c r="W775" s="24"/>
      <c r="X775" s="24"/>
    </row>
    <row r="776" spans="1:24">
      <c r="A776" s="22">
        <v>46243</v>
      </c>
      <c r="B776" s="23" t="s">
        <v>35</v>
      </c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>
        <v>0</v>
      </c>
      <c r="N776" s="25">
        <v>0</v>
      </c>
      <c r="O776" s="24"/>
      <c r="P776" s="24"/>
      <c r="Q776" s="24"/>
      <c r="R776" s="24"/>
      <c r="S776" s="24"/>
      <c r="T776" s="24"/>
      <c r="U776" s="24"/>
      <c r="V776" s="24"/>
      <c r="W776" s="24"/>
      <c r="X776" s="24"/>
    </row>
    <row r="777" spans="1:24">
      <c r="A777" s="22">
        <v>46244</v>
      </c>
      <c r="B777" s="23" t="s">
        <v>35</v>
      </c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>
        <v>0</v>
      </c>
      <c r="N777" s="25">
        <v>0</v>
      </c>
      <c r="O777" s="24"/>
      <c r="P777" s="24"/>
      <c r="Q777" s="24"/>
      <c r="R777" s="24"/>
      <c r="S777" s="24"/>
      <c r="T777" s="24"/>
      <c r="U777" s="24"/>
      <c r="V777" s="24"/>
      <c r="W777" s="24"/>
      <c r="X777" s="24"/>
    </row>
    <row r="778" spans="1:24">
      <c r="A778" s="22">
        <v>46245</v>
      </c>
      <c r="B778" s="23" t="s">
        <v>35</v>
      </c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>
        <v>0</v>
      </c>
      <c r="N778" s="25">
        <v>0</v>
      </c>
      <c r="O778" s="24"/>
      <c r="P778" s="24"/>
      <c r="Q778" s="24"/>
      <c r="R778" s="24"/>
      <c r="S778" s="24"/>
      <c r="T778" s="24"/>
      <c r="U778" s="24"/>
      <c r="V778" s="24"/>
      <c r="W778" s="24"/>
      <c r="X778" s="24"/>
    </row>
    <row r="779" spans="1:24">
      <c r="A779" s="22">
        <v>46246</v>
      </c>
      <c r="B779" s="23" t="s">
        <v>35</v>
      </c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>
        <v>0</v>
      </c>
      <c r="N779" s="25">
        <v>0</v>
      </c>
      <c r="O779" s="24"/>
      <c r="P779" s="24"/>
      <c r="Q779" s="24"/>
      <c r="R779" s="24"/>
      <c r="S779" s="24"/>
      <c r="T779" s="24"/>
      <c r="U779" s="24"/>
      <c r="V779" s="24"/>
      <c r="W779" s="24"/>
      <c r="X779" s="24"/>
    </row>
    <row r="780" spans="1:24">
      <c r="A780" s="22">
        <v>46247</v>
      </c>
      <c r="B780" s="23" t="s">
        <v>35</v>
      </c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>
        <v>0</v>
      </c>
      <c r="N780" s="25">
        <v>0</v>
      </c>
      <c r="O780" s="24"/>
      <c r="P780" s="24"/>
      <c r="Q780" s="24"/>
      <c r="R780" s="24"/>
      <c r="S780" s="24"/>
      <c r="T780" s="24"/>
      <c r="U780" s="24"/>
      <c r="V780" s="24"/>
      <c r="W780" s="24"/>
      <c r="X780" s="24"/>
    </row>
    <row r="781" spans="1:24">
      <c r="A781" s="22">
        <v>46248</v>
      </c>
      <c r="B781" s="23" t="s">
        <v>35</v>
      </c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>
        <v>0</v>
      </c>
      <c r="N781" s="25">
        <v>0</v>
      </c>
      <c r="O781" s="24"/>
      <c r="P781" s="24"/>
      <c r="Q781" s="24"/>
      <c r="R781" s="24"/>
      <c r="S781" s="24"/>
      <c r="T781" s="24"/>
      <c r="U781" s="24"/>
      <c r="V781" s="24"/>
      <c r="W781" s="24"/>
      <c r="X781" s="24"/>
    </row>
    <row r="782" spans="1:24">
      <c r="A782" s="22">
        <v>46249</v>
      </c>
      <c r="B782" s="23" t="s">
        <v>35</v>
      </c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>
        <v>0</v>
      </c>
      <c r="N782" s="25">
        <v>0</v>
      </c>
      <c r="O782" s="24"/>
      <c r="P782" s="24"/>
      <c r="Q782" s="24"/>
      <c r="R782" s="24"/>
      <c r="S782" s="24"/>
      <c r="T782" s="24"/>
      <c r="U782" s="24"/>
      <c r="V782" s="24"/>
      <c r="W782" s="24"/>
      <c r="X782" s="24"/>
    </row>
    <row r="783" spans="1:24">
      <c r="A783" s="22">
        <v>46250</v>
      </c>
      <c r="B783" s="23" t="s">
        <v>35</v>
      </c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>
        <v>0</v>
      </c>
      <c r="N783" s="25">
        <v>0</v>
      </c>
      <c r="O783" s="24"/>
      <c r="P783" s="24"/>
      <c r="Q783" s="24"/>
      <c r="R783" s="24"/>
      <c r="S783" s="24"/>
      <c r="T783" s="24"/>
      <c r="U783" s="24"/>
      <c r="V783" s="24"/>
      <c r="W783" s="24"/>
      <c r="X783" s="24"/>
    </row>
    <row r="784" spans="1:24">
      <c r="A784" s="22">
        <v>46251</v>
      </c>
      <c r="B784" s="23" t="s">
        <v>35</v>
      </c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>
        <v>0</v>
      </c>
      <c r="N784" s="25">
        <v>0</v>
      </c>
      <c r="O784" s="24"/>
      <c r="P784" s="24"/>
      <c r="Q784" s="24"/>
      <c r="R784" s="24"/>
      <c r="S784" s="24"/>
      <c r="T784" s="24"/>
      <c r="U784" s="24"/>
      <c r="V784" s="24"/>
      <c r="W784" s="24"/>
      <c r="X784" s="24"/>
    </row>
    <row r="785" spans="1:24">
      <c r="A785" s="22">
        <v>46252</v>
      </c>
      <c r="B785" s="23" t="s">
        <v>35</v>
      </c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>
        <v>0</v>
      </c>
      <c r="N785" s="25">
        <v>0</v>
      </c>
      <c r="O785" s="24"/>
      <c r="P785" s="24"/>
      <c r="Q785" s="24"/>
      <c r="R785" s="24"/>
      <c r="S785" s="24"/>
      <c r="T785" s="24"/>
      <c r="U785" s="24"/>
      <c r="V785" s="24"/>
      <c r="W785" s="24"/>
      <c r="X785" s="24"/>
    </row>
    <row r="786" spans="1:24">
      <c r="A786" s="22">
        <v>46253</v>
      </c>
      <c r="B786" s="23" t="s">
        <v>35</v>
      </c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>
        <v>0</v>
      </c>
      <c r="N786" s="25">
        <v>0</v>
      </c>
      <c r="O786" s="24"/>
      <c r="P786" s="24"/>
      <c r="Q786" s="24"/>
      <c r="R786" s="24"/>
      <c r="S786" s="24"/>
      <c r="T786" s="24"/>
      <c r="U786" s="24"/>
      <c r="V786" s="24"/>
      <c r="W786" s="24"/>
      <c r="X786" s="24"/>
    </row>
    <row r="787" spans="1:24">
      <c r="A787" s="22">
        <v>46254</v>
      </c>
      <c r="B787" s="23" t="s">
        <v>35</v>
      </c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>
        <v>0</v>
      </c>
      <c r="N787" s="25">
        <v>0</v>
      </c>
      <c r="O787" s="24"/>
      <c r="P787" s="24"/>
      <c r="Q787" s="24"/>
      <c r="R787" s="24"/>
      <c r="S787" s="24"/>
      <c r="T787" s="24"/>
      <c r="U787" s="24"/>
      <c r="V787" s="24"/>
      <c r="W787" s="24"/>
      <c r="X787" s="24"/>
    </row>
    <row r="788" spans="1:24">
      <c r="A788" s="22">
        <v>46255</v>
      </c>
      <c r="B788" s="23" t="s">
        <v>35</v>
      </c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>
        <v>0</v>
      </c>
      <c r="N788" s="25">
        <v>0</v>
      </c>
      <c r="O788" s="24"/>
      <c r="P788" s="24"/>
      <c r="Q788" s="24"/>
      <c r="R788" s="24"/>
      <c r="S788" s="24"/>
      <c r="T788" s="24"/>
      <c r="U788" s="24"/>
      <c r="V788" s="24"/>
      <c r="W788" s="24"/>
      <c r="X788" s="24"/>
    </row>
    <row r="789" spans="1:24">
      <c r="A789" s="22">
        <v>46256</v>
      </c>
      <c r="B789" s="23" t="s">
        <v>35</v>
      </c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>
        <v>0</v>
      </c>
      <c r="N789" s="25">
        <v>0</v>
      </c>
      <c r="O789" s="24"/>
      <c r="P789" s="24"/>
      <c r="Q789" s="24"/>
      <c r="R789" s="24"/>
      <c r="S789" s="24"/>
      <c r="T789" s="24"/>
      <c r="U789" s="24"/>
      <c r="V789" s="24"/>
      <c r="W789" s="24"/>
      <c r="X789" s="24"/>
    </row>
    <row r="790" spans="1:24">
      <c r="A790" s="22">
        <v>46257</v>
      </c>
      <c r="B790" s="23" t="s">
        <v>35</v>
      </c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>
        <v>0</v>
      </c>
      <c r="N790" s="25">
        <v>0</v>
      </c>
      <c r="O790" s="24"/>
      <c r="P790" s="24"/>
      <c r="Q790" s="24"/>
      <c r="R790" s="24"/>
      <c r="S790" s="24"/>
      <c r="T790" s="24"/>
      <c r="U790" s="24"/>
      <c r="V790" s="24"/>
      <c r="W790" s="24"/>
      <c r="X790" s="24"/>
    </row>
    <row r="791" spans="1:24">
      <c r="A791" s="22">
        <v>46258</v>
      </c>
      <c r="B791" s="23" t="s">
        <v>35</v>
      </c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>
        <v>0</v>
      </c>
      <c r="N791" s="25">
        <v>0</v>
      </c>
      <c r="O791" s="24"/>
      <c r="P791" s="24"/>
      <c r="Q791" s="24"/>
      <c r="R791" s="24"/>
      <c r="S791" s="24"/>
      <c r="T791" s="24"/>
      <c r="U791" s="24"/>
      <c r="V791" s="24"/>
      <c r="W791" s="24"/>
      <c r="X791" s="24"/>
    </row>
    <row r="792" spans="1:24">
      <c r="A792" s="22">
        <v>46259</v>
      </c>
      <c r="B792" s="23" t="s">
        <v>35</v>
      </c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>
        <v>0</v>
      </c>
      <c r="N792" s="25">
        <v>0</v>
      </c>
      <c r="O792" s="24"/>
      <c r="P792" s="24"/>
      <c r="Q792" s="24"/>
      <c r="R792" s="24"/>
      <c r="S792" s="24"/>
      <c r="T792" s="24"/>
      <c r="U792" s="24"/>
      <c r="V792" s="24"/>
      <c r="W792" s="24"/>
      <c r="X792" s="24"/>
    </row>
    <row r="793" spans="1:24">
      <c r="A793" s="22">
        <v>46260</v>
      </c>
      <c r="B793" s="23" t="s">
        <v>35</v>
      </c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>
        <v>0</v>
      </c>
      <c r="N793" s="25">
        <v>0</v>
      </c>
      <c r="O793" s="24"/>
      <c r="P793" s="24"/>
      <c r="Q793" s="24"/>
      <c r="R793" s="24"/>
      <c r="S793" s="24"/>
      <c r="T793" s="24"/>
      <c r="U793" s="24"/>
      <c r="V793" s="24"/>
      <c r="W793" s="24"/>
      <c r="X793" s="24"/>
    </row>
    <row r="794" spans="1:24">
      <c r="A794" s="22">
        <v>46261</v>
      </c>
      <c r="B794" s="23" t="s">
        <v>35</v>
      </c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>
        <v>0</v>
      </c>
      <c r="N794" s="25">
        <v>0</v>
      </c>
      <c r="O794" s="24"/>
      <c r="P794" s="24"/>
      <c r="Q794" s="24"/>
      <c r="R794" s="24"/>
      <c r="S794" s="24"/>
      <c r="T794" s="24"/>
      <c r="U794" s="24"/>
      <c r="V794" s="24"/>
      <c r="W794" s="24"/>
      <c r="X794" s="24"/>
    </row>
    <row r="795" spans="1:24">
      <c r="A795" s="22">
        <v>46262</v>
      </c>
      <c r="B795" s="23" t="s">
        <v>35</v>
      </c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>
        <v>0</v>
      </c>
      <c r="N795" s="25">
        <v>0</v>
      </c>
      <c r="O795" s="24"/>
      <c r="P795" s="24"/>
      <c r="Q795" s="24"/>
      <c r="R795" s="24"/>
      <c r="S795" s="24"/>
      <c r="T795" s="24"/>
      <c r="U795" s="24"/>
      <c r="V795" s="24"/>
      <c r="W795" s="24"/>
      <c r="X795" s="24"/>
    </row>
    <row r="796" spans="1:24">
      <c r="A796" s="22">
        <v>46263</v>
      </c>
      <c r="B796" s="23" t="s">
        <v>35</v>
      </c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>
        <v>0</v>
      </c>
      <c r="N796" s="25">
        <v>0</v>
      </c>
      <c r="O796" s="24"/>
      <c r="P796" s="24"/>
      <c r="Q796" s="24"/>
      <c r="R796" s="24"/>
      <c r="S796" s="24"/>
      <c r="T796" s="24"/>
      <c r="U796" s="24"/>
      <c r="V796" s="24"/>
      <c r="W796" s="24"/>
      <c r="X796" s="24"/>
    </row>
    <row r="797" spans="1:24">
      <c r="A797" s="22">
        <v>46264</v>
      </c>
      <c r="B797" s="23" t="s">
        <v>35</v>
      </c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>
        <v>0</v>
      </c>
      <c r="N797" s="25">
        <v>0</v>
      </c>
      <c r="O797" s="24"/>
      <c r="P797" s="24"/>
      <c r="Q797" s="24"/>
      <c r="R797" s="24"/>
      <c r="S797" s="24"/>
      <c r="T797" s="24"/>
      <c r="U797" s="24"/>
      <c r="V797" s="24"/>
      <c r="W797" s="24"/>
      <c r="X797" s="24"/>
    </row>
    <row r="798" spans="1:24">
      <c r="A798" s="22">
        <v>46265</v>
      </c>
      <c r="B798" s="23" t="s">
        <v>35</v>
      </c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>
        <v>0</v>
      </c>
      <c r="N798" s="25">
        <v>0</v>
      </c>
      <c r="O798" s="24"/>
      <c r="P798" s="24"/>
      <c r="Q798" s="24"/>
      <c r="R798" s="24"/>
      <c r="S798" s="24"/>
      <c r="T798" s="24"/>
      <c r="U798" s="24"/>
      <c r="V798" s="24"/>
      <c r="W798" s="24"/>
      <c r="X798" s="24"/>
    </row>
    <row r="799" spans="1:24">
      <c r="A799" s="22">
        <v>46266</v>
      </c>
      <c r="B799" s="23" t="s">
        <v>35</v>
      </c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>
        <v>0</v>
      </c>
      <c r="N799" s="25">
        <v>0</v>
      </c>
      <c r="O799" s="24"/>
      <c r="P799" s="24"/>
      <c r="Q799" s="24"/>
      <c r="R799" s="24"/>
      <c r="S799" s="24"/>
      <c r="T799" s="24"/>
      <c r="U799" s="24"/>
      <c r="V799" s="24"/>
      <c r="W799" s="24"/>
      <c r="X799" s="24"/>
    </row>
    <row r="800" spans="1:24">
      <c r="A800" s="22">
        <v>46267</v>
      </c>
      <c r="B800" s="23" t="s">
        <v>35</v>
      </c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>
        <v>0</v>
      </c>
      <c r="N800" s="25">
        <v>0</v>
      </c>
      <c r="O800" s="24"/>
      <c r="P800" s="24"/>
      <c r="Q800" s="24"/>
      <c r="R800" s="24"/>
      <c r="S800" s="24"/>
      <c r="T800" s="24"/>
      <c r="U800" s="24"/>
      <c r="V800" s="24"/>
      <c r="W800" s="24"/>
      <c r="X800" s="24"/>
    </row>
    <row r="801" spans="1:24">
      <c r="A801" s="22">
        <v>46268</v>
      </c>
      <c r="B801" s="23" t="s">
        <v>35</v>
      </c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>
        <v>0</v>
      </c>
      <c r="N801" s="25">
        <v>0</v>
      </c>
      <c r="O801" s="24"/>
      <c r="P801" s="24"/>
      <c r="Q801" s="24"/>
      <c r="R801" s="24"/>
      <c r="S801" s="24"/>
      <c r="T801" s="24"/>
      <c r="U801" s="24"/>
      <c r="V801" s="24"/>
      <c r="W801" s="24"/>
      <c r="X801" s="24"/>
    </row>
    <row r="802" spans="1:24">
      <c r="A802" s="22">
        <v>46269</v>
      </c>
      <c r="B802" s="23" t="s">
        <v>35</v>
      </c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>
        <v>0</v>
      </c>
      <c r="N802" s="25">
        <v>0</v>
      </c>
      <c r="O802" s="24"/>
      <c r="P802" s="24"/>
      <c r="Q802" s="24"/>
      <c r="R802" s="24"/>
      <c r="S802" s="24"/>
      <c r="T802" s="24"/>
      <c r="U802" s="24"/>
      <c r="V802" s="24"/>
      <c r="W802" s="24"/>
      <c r="X802" s="24"/>
    </row>
    <row r="803" spans="1:24">
      <c r="A803" s="22">
        <v>46270</v>
      </c>
      <c r="B803" s="23" t="s">
        <v>35</v>
      </c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>
        <v>0</v>
      </c>
      <c r="N803" s="25">
        <v>0</v>
      </c>
      <c r="O803" s="24"/>
      <c r="P803" s="24"/>
      <c r="Q803" s="24"/>
      <c r="R803" s="24"/>
      <c r="S803" s="24"/>
      <c r="T803" s="24"/>
      <c r="U803" s="24"/>
      <c r="V803" s="24"/>
      <c r="W803" s="24"/>
      <c r="X803" s="24"/>
    </row>
    <row r="804" spans="1:24">
      <c r="A804" s="22">
        <v>46271</v>
      </c>
      <c r="B804" s="23" t="s">
        <v>35</v>
      </c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>
        <v>0</v>
      </c>
      <c r="N804" s="25">
        <v>0</v>
      </c>
      <c r="O804" s="24"/>
      <c r="P804" s="24"/>
      <c r="Q804" s="24"/>
      <c r="R804" s="24"/>
      <c r="S804" s="24"/>
      <c r="T804" s="24"/>
      <c r="U804" s="24"/>
      <c r="V804" s="24"/>
      <c r="W804" s="24"/>
      <c r="X804" s="24"/>
    </row>
    <row r="805" spans="1:24">
      <c r="A805" s="22">
        <v>46272</v>
      </c>
      <c r="B805" s="23" t="s">
        <v>35</v>
      </c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>
        <v>0</v>
      </c>
      <c r="N805" s="25">
        <v>0</v>
      </c>
      <c r="O805" s="24"/>
      <c r="P805" s="24"/>
      <c r="Q805" s="24"/>
      <c r="R805" s="24"/>
      <c r="S805" s="24"/>
      <c r="T805" s="24"/>
      <c r="U805" s="24"/>
      <c r="V805" s="24"/>
      <c r="W805" s="24"/>
      <c r="X805" s="24"/>
    </row>
    <row r="806" spans="1:24">
      <c r="A806" s="22">
        <v>46273</v>
      </c>
      <c r="B806" s="23" t="s">
        <v>35</v>
      </c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>
        <v>0</v>
      </c>
      <c r="N806" s="25">
        <v>0</v>
      </c>
      <c r="O806" s="24"/>
      <c r="P806" s="24"/>
      <c r="Q806" s="24"/>
      <c r="R806" s="24"/>
      <c r="S806" s="24"/>
      <c r="T806" s="24"/>
      <c r="U806" s="24"/>
      <c r="V806" s="24"/>
      <c r="W806" s="24"/>
      <c r="X806" s="24"/>
    </row>
    <row r="807" spans="1:24">
      <c r="A807" s="22">
        <v>46274</v>
      </c>
      <c r="B807" s="23" t="s">
        <v>35</v>
      </c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>
        <v>0</v>
      </c>
      <c r="N807" s="25">
        <v>0</v>
      </c>
      <c r="O807" s="24"/>
      <c r="P807" s="24"/>
      <c r="Q807" s="24"/>
      <c r="R807" s="24"/>
      <c r="S807" s="24"/>
      <c r="T807" s="24"/>
      <c r="U807" s="24"/>
      <c r="V807" s="24"/>
      <c r="W807" s="24"/>
      <c r="X807" s="24"/>
    </row>
    <row r="808" spans="1:24">
      <c r="A808" s="22">
        <v>46275</v>
      </c>
      <c r="B808" s="23" t="s">
        <v>35</v>
      </c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>
        <v>0</v>
      </c>
      <c r="N808" s="25">
        <v>0</v>
      </c>
      <c r="O808" s="24"/>
      <c r="P808" s="24"/>
      <c r="Q808" s="24"/>
      <c r="R808" s="24"/>
      <c r="S808" s="24"/>
      <c r="T808" s="24"/>
      <c r="U808" s="24"/>
      <c r="V808" s="24"/>
      <c r="W808" s="24"/>
      <c r="X808" s="24"/>
    </row>
    <row r="809" spans="1:24">
      <c r="A809" s="22">
        <v>46276</v>
      </c>
      <c r="B809" s="23" t="s">
        <v>35</v>
      </c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>
        <v>0</v>
      </c>
      <c r="N809" s="25">
        <v>0</v>
      </c>
      <c r="O809" s="24"/>
      <c r="P809" s="24"/>
      <c r="Q809" s="24"/>
      <c r="R809" s="24"/>
      <c r="S809" s="24"/>
      <c r="T809" s="24"/>
      <c r="U809" s="24"/>
      <c r="V809" s="24"/>
      <c r="W809" s="24"/>
      <c r="X809" s="24"/>
    </row>
    <row r="810" spans="1:24">
      <c r="A810" s="22">
        <v>46277</v>
      </c>
      <c r="B810" s="23" t="s">
        <v>35</v>
      </c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>
        <v>0</v>
      </c>
      <c r="N810" s="25">
        <v>0</v>
      </c>
      <c r="O810" s="24"/>
      <c r="P810" s="24"/>
      <c r="Q810" s="24"/>
      <c r="R810" s="24"/>
      <c r="S810" s="24"/>
      <c r="T810" s="24"/>
      <c r="U810" s="24"/>
      <c r="V810" s="24"/>
      <c r="W810" s="24"/>
      <c r="X810" s="24"/>
    </row>
    <row r="811" spans="1:24">
      <c r="A811" s="22">
        <v>46278</v>
      </c>
      <c r="B811" s="23" t="s">
        <v>35</v>
      </c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>
        <v>0</v>
      </c>
      <c r="N811" s="25">
        <v>0</v>
      </c>
      <c r="O811" s="24"/>
      <c r="P811" s="24"/>
      <c r="Q811" s="24"/>
      <c r="R811" s="24"/>
      <c r="S811" s="24"/>
      <c r="T811" s="24"/>
      <c r="U811" s="24"/>
      <c r="V811" s="24"/>
      <c r="W811" s="24"/>
      <c r="X811" s="24"/>
    </row>
    <row r="812" spans="1:24">
      <c r="A812" s="22">
        <v>46279</v>
      </c>
      <c r="B812" s="23" t="s">
        <v>35</v>
      </c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>
        <v>0</v>
      </c>
      <c r="N812" s="25">
        <v>0</v>
      </c>
      <c r="O812" s="24"/>
      <c r="P812" s="24"/>
      <c r="Q812" s="24"/>
      <c r="R812" s="24"/>
      <c r="S812" s="24"/>
      <c r="T812" s="24"/>
      <c r="U812" s="24"/>
      <c r="V812" s="24"/>
      <c r="W812" s="24"/>
      <c r="X812" s="24"/>
    </row>
    <row r="813" spans="1:24">
      <c r="A813" s="22">
        <v>46280</v>
      </c>
      <c r="B813" s="23" t="s">
        <v>35</v>
      </c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>
        <v>0</v>
      </c>
      <c r="N813" s="25">
        <v>0</v>
      </c>
      <c r="O813" s="24"/>
      <c r="P813" s="24"/>
      <c r="Q813" s="24"/>
      <c r="R813" s="24"/>
      <c r="S813" s="24"/>
      <c r="T813" s="24"/>
      <c r="U813" s="24"/>
      <c r="V813" s="24"/>
      <c r="W813" s="24"/>
      <c r="X813" s="24"/>
    </row>
    <row r="814" spans="1:24">
      <c r="A814" s="22">
        <v>46281</v>
      </c>
      <c r="B814" s="23" t="s">
        <v>35</v>
      </c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>
        <v>0</v>
      </c>
      <c r="N814" s="25">
        <v>0</v>
      </c>
      <c r="O814" s="24"/>
      <c r="P814" s="24"/>
      <c r="Q814" s="24"/>
      <c r="R814" s="24"/>
      <c r="S814" s="24"/>
      <c r="T814" s="24"/>
      <c r="U814" s="24"/>
      <c r="V814" s="24"/>
      <c r="W814" s="24"/>
      <c r="X814" s="24"/>
    </row>
    <row r="815" spans="1:24">
      <c r="A815" s="22">
        <v>46282</v>
      </c>
      <c r="B815" s="23" t="s">
        <v>35</v>
      </c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>
        <v>0</v>
      </c>
      <c r="N815" s="25">
        <v>0</v>
      </c>
      <c r="O815" s="24"/>
      <c r="P815" s="24"/>
      <c r="Q815" s="24"/>
      <c r="R815" s="24"/>
      <c r="S815" s="24"/>
      <c r="T815" s="24"/>
      <c r="U815" s="24"/>
      <c r="V815" s="24"/>
      <c r="W815" s="24"/>
      <c r="X815" s="24"/>
    </row>
    <row r="816" spans="1:24">
      <c r="A816" s="22">
        <v>46283</v>
      </c>
      <c r="B816" s="23" t="s">
        <v>35</v>
      </c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>
        <v>0</v>
      </c>
      <c r="N816" s="25">
        <v>0</v>
      </c>
      <c r="O816" s="24"/>
      <c r="P816" s="24"/>
      <c r="Q816" s="24"/>
      <c r="R816" s="24"/>
      <c r="S816" s="24"/>
      <c r="T816" s="24"/>
      <c r="U816" s="24"/>
      <c r="V816" s="24"/>
      <c r="W816" s="24"/>
      <c r="X816" s="24"/>
    </row>
    <row r="817" spans="1:24">
      <c r="A817" s="22">
        <v>46284</v>
      </c>
      <c r="B817" s="23" t="s">
        <v>35</v>
      </c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>
        <v>0</v>
      </c>
      <c r="N817" s="25">
        <v>0</v>
      </c>
      <c r="O817" s="24"/>
      <c r="P817" s="24"/>
      <c r="Q817" s="24"/>
      <c r="R817" s="24"/>
      <c r="S817" s="24"/>
      <c r="T817" s="24"/>
      <c r="U817" s="24"/>
      <c r="V817" s="24"/>
      <c r="W817" s="24"/>
      <c r="X817" s="24"/>
    </row>
    <row r="818" spans="1:24">
      <c r="A818" s="22">
        <v>46285</v>
      </c>
      <c r="B818" s="23" t="s">
        <v>35</v>
      </c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>
        <v>0</v>
      </c>
      <c r="N818" s="25">
        <v>0</v>
      </c>
      <c r="O818" s="24"/>
      <c r="P818" s="24"/>
      <c r="Q818" s="24"/>
      <c r="R818" s="24"/>
      <c r="S818" s="24"/>
      <c r="T818" s="24"/>
      <c r="U818" s="24"/>
      <c r="V818" s="24"/>
      <c r="W818" s="24"/>
      <c r="X818" s="24"/>
    </row>
    <row r="819" spans="1:24">
      <c r="A819" s="22">
        <v>46286</v>
      </c>
      <c r="B819" s="23" t="s">
        <v>35</v>
      </c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>
        <v>0</v>
      </c>
      <c r="N819" s="25">
        <v>0</v>
      </c>
      <c r="O819" s="24"/>
      <c r="P819" s="24"/>
      <c r="Q819" s="24"/>
      <c r="R819" s="24"/>
      <c r="S819" s="24"/>
      <c r="T819" s="24"/>
      <c r="U819" s="24"/>
      <c r="V819" s="24"/>
      <c r="W819" s="24"/>
      <c r="X819" s="24"/>
    </row>
    <row r="820" spans="1:24">
      <c r="A820" s="22">
        <v>46287</v>
      </c>
      <c r="B820" s="23" t="s">
        <v>35</v>
      </c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>
        <v>0</v>
      </c>
      <c r="N820" s="25">
        <v>0</v>
      </c>
      <c r="O820" s="24"/>
      <c r="P820" s="24"/>
      <c r="Q820" s="24"/>
      <c r="R820" s="24"/>
      <c r="S820" s="24"/>
      <c r="T820" s="24"/>
      <c r="U820" s="24"/>
      <c r="V820" s="24"/>
      <c r="W820" s="24"/>
      <c r="X820" s="24"/>
    </row>
    <row r="821" spans="1:24">
      <c r="A821" s="22">
        <v>46288</v>
      </c>
      <c r="B821" s="23" t="s">
        <v>35</v>
      </c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>
        <v>0</v>
      </c>
      <c r="N821" s="25">
        <v>0</v>
      </c>
      <c r="O821" s="24"/>
      <c r="P821" s="24"/>
      <c r="Q821" s="24"/>
      <c r="R821" s="24"/>
      <c r="S821" s="24"/>
      <c r="T821" s="24"/>
      <c r="U821" s="24"/>
      <c r="V821" s="24"/>
      <c r="W821" s="24"/>
      <c r="X821" s="24"/>
    </row>
    <row r="822" spans="1:24">
      <c r="A822" s="22">
        <v>46289</v>
      </c>
      <c r="B822" s="23" t="s">
        <v>35</v>
      </c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>
        <v>0</v>
      </c>
      <c r="N822" s="25">
        <v>0</v>
      </c>
      <c r="O822" s="24"/>
      <c r="P822" s="24"/>
      <c r="Q822" s="24"/>
      <c r="R822" s="24"/>
      <c r="S822" s="24"/>
      <c r="T822" s="24"/>
      <c r="U822" s="24"/>
      <c r="V822" s="24"/>
      <c r="W822" s="24"/>
      <c r="X822" s="24"/>
    </row>
    <row r="823" spans="1:24">
      <c r="A823" s="22">
        <v>46290</v>
      </c>
      <c r="B823" s="23" t="s">
        <v>35</v>
      </c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>
        <v>0</v>
      </c>
      <c r="N823" s="25">
        <v>0</v>
      </c>
      <c r="O823" s="24"/>
      <c r="P823" s="24"/>
      <c r="Q823" s="24"/>
      <c r="R823" s="24"/>
      <c r="S823" s="24"/>
      <c r="T823" s="24"/>
      <c r="U823" s="24"/>
      <c r="V823" s="24"/>
      <c r="W823" s="24"/>
      <c r="X823" s="24"/>
    </row>
    <row r="824" spans="1:24">
      <c r="A824" s="22">
        <v>46291</v>
      </c>
      <c r="B824" s="23" t="s">
        <v>35</v>
      </c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>
        <v>0</v>
      </c>
      <c r="N824" s="25">
        <v>0</v>
      </c>
      <c r="O824" s="24"/>
      <c r="P824" s="24"/>
      <c r="Q824" s="24"/>
      <c r="R824" s="24"/>
      <c r="S824" s="24"/>
      <c r="T824" s="24"/>
      <c r="U824" s="24"/>
      <c r="V824" s="24"/>
      <c r="W824" s="24"/>
      <c r="X824" s="24"/>
    </row>
    <row r="825" spans="1:24">
      <c r="A825" s="22">
        <v>46292</v>
      </c>
      <c r="B825" s="23" t="s">
        <v>35</v>
      </c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>
        <v>0</v>
      </c>
      <c r="N825" s="25">
        <v>0</v>
      </c>
      <c r="O825" s="24"/>
      <c r="P825" s="24"/>
      <c r="Q825" s="24"/>
      <c r="R825" s="24"/>
      <c r="S825" s="24"/>
      <c r="T825" s="24"/>
      <c r="U825" s="24"/>
      <c r="V825" s="24"/>
      <c r="W825" s="24"/>
      <c r="X825" s="24"/>
    </row>
    <row r="826" spans="1:24">
      <c r="A826" s="22">
        <v>46293</v>
      </c>
      <c r="B826" s="23" t="s">
        <v>35</v>
      </c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>
        <v>0</v>
      </c>
      <c r="N826" s="25">
        <v>0</v>
      </c>
      <c r="O826" s="24"/>
      <c r="P826" s="24"/>
      <c r="Q826" s="24"/>
      <c r="R826" s="24"/>
      <c r="S826" s="24"/>
      <c r="T826" s="24"/>
      <c r="U826" s="24"/>
      <c r="V826" s="24"/>
      <c r="W826" s="24"/>
      <c r="X826" s="24"/>
    </row>
    <row r="827" spans="1:24">
      <c r="A827" s="22">
        <v>46294</v>
      </c>
      <c r="B827" s="23" t="s">
        <v>35</v>
      </c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>
        <v>0</v>
      </c>
      <c r="N827" s="25">
        <v>0</v>
      </c>
      <c r="O827" s="24"/>
      <c r="P827" s="24"/>
      <c r="Q827" s="24"/>
      <c r="R827" s="24"/>
      <c r="S827" s="24"/>
      <c r="T827" s="24"/>
      <c r="U827" s="24"/>
      <c r="V827" s="24"/>
      <c r="W827" s="24"/>
      <c r="X827" s="24"/>
    </row>
    <row r="828" spans="1:24">
      <c r="A828" s="22">
        <v>46295</v>
      </c>
      <c r="B828" s="23" t="s">
        <v>35</v>
      </c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>
        <v>0</v>
      </c>
      <c r="N828" s="25">
        <v>0</v>
      </c>
      <c r="O828" s="24"/>
      <c r="P828" s="24"/>
      <c r="Q828" s="24"/>
      <c r="R828" s="24"/>
      <c r="S828" s="24"/>
      <c r="T828" s="24"/>
      <c r="U828" s="24"/>
      <c r="V828" s="24"/>
      <c r="W828" s="24"/>
      <c r="X828" s="24"/>
    </row>
    <row r="829" spans="1:24">
      <c r="A829" s="22">
        <v>46296</v>
      </c>
      <c r="B829" s="23" t="s">
        <v>35</v>
      </c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>
        <v>0</v>
      </c>
      <c r="N829" s="25">
        <v>0</v>
      </c>
      <c r="O829" s="24"/>
      <c r="P829" s="24"/>
      <c r="Q829" s="24"/>
      <c r="R829" s="24"/>
      <c r="S829" s="24"/>
      <c r="T829" s="24"/>
      <c r="U829" s="24"/>
      <c r="V829" s="24"/>
      <c r="W829" s="24"/>
      <c r="X829" s="24"/>
    </row>
    <row r="830" spans="1:24">
      <c r="A830" s="22">
        <v>46297</v>
      </c>
      <c r="B830" s="23" t="s">
        <v>35</v>
      </c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>
        <v>0</v>
      </c>
      <c r="N830" s="25">
        <v>0</v>
      </c>
      <c r="O830" s="24"/>
      <c r="P830" s="24"/>
      <c r="Q830" s="24"/>
      <c r="R830" s="24"/>
      <c r="S830" s="24"/>
      <c r="T830" s="24"/>
      <c r="U830" s="24"/>
      <c r="V830" s="24"/>
      <c r="W830" s="24"/>
      <c r="X830" s="24"/>
    </row>
    <row r="831" spans="1:24">
      <c r="A831" s="22">
        <v>46298</v>
      </c>
      <c r="B831" s="23" t="s">
        <v>35</v>
      </c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>
        <v>0</v>
      </c>
      <c r="N831" s="25">
        <v>0</v>
      </c>
      <c r="O831" s="24"/>
      <c r="P831" s="24"/>
      <c r="Q831" s="24"/>
      <c r="R831" s="24"/>
      <c r="S831" s="24"/>
      <c r="T831" s="24"/>
      <c r="U831" s="24"/>
      <c r="V831" s="24"/>
      <c r="W831" s="24"/>
      <c r="X831" s="24"/>
    </row>
    <row r="832" spans="1:24">
      <c r="A832" s="22">
        <v>46299</v>
      </c>
      <c r="B832" s="23" t="s">
        <v>35</v>
      </c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>
        <v>0</v>
      </c>
      <c r="N832" s="25">
        <v>0</v>
      </c>
      <c r="O832" s="24"/>
      <c r="P832" s="24"/>
      <c r="Q832" s="24"/>
      <c r="R832" s="24"/>
      <c r="S832" s="24"/>
      <c r="T832" s="24"/>
      <c r="U832" s="24"/>
      <c r="V832" s="24"/>
      <c r="W832" s="24"/>
      <c r="X832" s="24"/>
    </row>
    <row r="833" spans="1:24">
      <c r="A833" s="22">
        <v>46300</v>
      </c>
      <c r="B833" s="23" t="s">
        <v>35</v>
      </c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>
        <v>0</v>
      </c>
      <c r="N833" s="25">
        <v>0</v>
      </c>
      <c r="O833" s="24"/>
      <c r="P833" s="24"/>
      <c r="Q833" s="24"/>
      <c r="R833" s="24"/>
      <c r="S833" s="24"/>
      <c r="T833" s="24"/>
      <c r="U833" s="24"/>
      <c r="V833" s="24"/>
      <c r="W833" s="24"/>
      <c r="X833" s="24"/>
    </row>
    <row r="834" spans="1:24">
      <c r="A834" s="22">
        <v>46301</v>
      </c>
      <c r="B834" s="23" t="s">
        <v>35</v>
      </c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>
        <v>0</v>
      </c>
      <c r="N834" s="25">
        <v>0</v>
      </c>
      <c r="O834" s="24"/>
      <c r="P834" s="24"/>
      <c r="Q834" s="24"/>
      <c r="R834" s="24"/>
      <c r="S834" s="24"/>
      <c r="T834" s="24"/>
      <c r="U834" s="24"/>
      <c r="V834" s="24"/>
      <c r="W834" s="24"/>
      <c r="X834" s="24"/>
    </row>
    <row r="835" spans="1:24">
      <c r="A835" s="22">
        <v>46302</v>
      </c>
      <c r="B835" s="23" t="s">
        <v>35</v>
      </c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>
        <v>0</v>
      </c>
      <c r="N835" s="25">
        <v>0</v>
      </c>
      <c r="O835" s="24"/>
      <c r="P835" s="24"/>
      <c r="Q835" s="24"/>
      <c r="R835" s="24"/>
      <c r="S835" s="24"/>
      <c r="T835" s="24"/>
      <c r="U835" s="24"/>
      <c r="V835" s="24"/>
      <c r="W835" s="24"/>
      <c r="X835" s="24"/>
    </row>
    <row r="836" spans="1:24">
      <c r="A836" s="22">
        <v>46303</v>
      </c>
      <c r="B836" s="23" t="s">
        <v>35</v>
      </c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>
        <v>0</v>
      </c>
      <c r="N836" s="25">
        <v>0</v>
      </c>
      <c r="O836" s="24"/>
      <c r="P836" s="24"/>
      <c r="Q836" s="24"/>
      <c r="R836" s="24"/>
      <c r="S836" s="24"/>
      <c r="T836" s="24"/>
      <c r="U836" s="24"/>
      <c r="V836" s="24"/>
      <c r="W836" s="24"/>
      <c r="X836" s="24"/>
    </row>
    <row r="837" spans="1:24">
      <c r="A837" s="22">
        <v>46304</v>
      </c>
      <c r="B837" s="23" t="s">
        <v>35</v>
      </c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>
        <v>0</v>
      </c>
      <c r="N837" s="25">
        <v>0</v>
      </c>
      <c r="O837" s="24"/>
      <c r="P837" s="24"/>
      <c r="Q837" s="24"/>
      <c r="R837" s="24"/>
      <c r="S837" s="24"/>
      <c r="T837" s="24"/>
      <c r="U837" s="24"/>
      <c r="V837" s="24"/>
      <c r="W837" s="24"/>
      <c r="X837" s="24"/>
    </row>
    <row r="838" spans="1:24">
      <c r="A838" s="22">
        <v>46305</v>
      </c>
      <c r="B838" s="23" t="s">
        <v>35</v>
      </c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>
        <v>0</v>
      </c>
      <c r="N838" s="25">
        <v>0</v>
      </c>
      <c r="O838" s="24"/>
      <c r="P838" s="24"/>
      <c r="Q838" s="24"/>
      <c r="R838" s="24"/>
      <c r="S838" s="24"/>
      <c r="T838" s="24"/>
      <c r="U838" s="24"/>
      <c r="V838" s="24"/>
      <c r="W838" s="24"/>
      <c r="X838" s="24"/>
    </row>
    <row r="839" spans="1:24">
      <c r="A839" s="22">
        <v>46306</v>
      </c>
      <c r="B839" s="23" t="s">
        <v>35</v>
      </c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>
        <v>0</v>
      </c>
      <c r="N839" s="25">
        <v>0</v>
      </c>
      <c r="O839" s="24"/>
      <c r="P839" s="24"/>
      <c r="Q839" s="24"/>
      <c r="R839" s="24"/>
      <c r="S839" s="24"/>
      <c r="T839" s="24"/>
      <c r="U839" s="24"/>
      <c r="V839" s="24"/>
      <c r="W839" s="24"/>
      <c r="X839" s="24"/>
    </row>
    <row r="840" spans="1:24">
      <c r="A840" s="22">
        <v>46307</v>
      </c>
      <c r="B840" s="23" t="s">
        <v>35</v>
      </c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>
        <v>0</v>
      </c>
      <c r="N840" s="25">
        <v>0</v>
      </c>
      <c r="O840" s="24"/>
      <c r="P840" s="24"/>
      <c r="Q840" s="24"/>
      <c r="R840" s="24"/>
      <c r="S840" s="24"/>
      <c r="T840" s="24"/>
      <c r="U840" s="24"/>
      <c r="V840" s="24"/>
      <c r="W840" s="24"/>
      <c r="X840" s="24"/>
    </row>
    <row r="841" spans="1:24">
      <c r="A841" s="22">
        <v>46308</v>
      </c>
      <c r="B841" s="23" t="s">
        <v>35</v>
      </c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>
        <v>0</v>
      </c>
      <c r="N841" s="25">
        <v>0</v>
      </c>
      <c r="O841" s="24"/>
      <c r="P841" s="24"/>
      <c r="Q841" s="24"/>
      <c r="R841" s="24"/>
      <c r="S841" s="24"/>
      <c r="T841" s="24"/>
      <c r="U841" s="24"/>
      <c r="V841" s="24"/>
      <c r="W841" s="24"/>
      <c r="X841" s="24"/>
    </row>
    <row r="842" spans="1:24">
      <c r="A842" s="22">
        <v>46309</v>
      </c>
      <c r="B842" s="23" t="s">
        <v>35</v>
      </c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>
        <v>0</v>
      </c>
      <c r="N842" s="25">
        <v>0</v>
      </c>
      <c r="O842" s="24"/>
      <c r="P842" s="24"/>
      <c r="Q842" s="24"/>
      <c r="R842" s="24"/>
      <c r="S842" s="24"/>
      <c r="T842" s="24"/>
      <c r="U842" s="24"/>
      <c r="V842" s="24"/>
      <c r="W842" s="24"/>
      <c r="X842" s="24"/>
    </row>
    <row r="843" spans="1:24">
      <c r="A843" s="22">
        <v>46310</v>
      </c>
      <c r="B843" s="23" t="s">
        <v>35</v>
      </c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>
        <v>0</v>
      </c>
      <c r="N843" s="25">
        <v>0</v>
      </c>
      <c r="O843" s="24"/>
      <c r="P843" s="24"/>
      <c r="Q843" s="24"/>
      <c r="R843" s="24"/>
      <c r="S843" s="24"/>
      <c r="T843" s="24"/>
      <c r="U843" s="24"/>
      <c r="V843" s="24"/>
      <c r="W843" s="24"/>
      <c r="X843" s="24"/>
    </row>
    <row r="844" spans="1:24">
      <c r="A844" s="22">
        <v>46311</v>
      </c>
      <c r="B844" s="23" t="s">
        <v>35</v>
      </c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>
        <v>0</v>
      </c>
      <c r="N844" s="25">
        <v>0</v>
      </c>
      <c r="O844" s="24"/>
      <c r="P844" s="24"/>
      <c r="Q844" s="24"/>
      <c r="R844" s="24"/>
      <c r="S844" s="24"/>
      <c r="T844" s="24"/>
      <c r="U844" s="24"/>
      <c r="V844" s="24"/>
      <c r="W844" s="24"/>
      <c r="X844" s="24"/>
    </row>
    <row r="845" spans="1:24">
      <c r="A845" s="22">
        <v>46312</v>
      </c>
      <c r="B845" s="23" t="s">
        <v>35</v>
      </c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>
        <v>0</v>
      </c>
      <c r="N845" s="25">
        <v>0</v>
      </c>
      <c r="O845" s="24"/>
      <c r="P845" s="24"/>
      <c r="Q845" s="24"/>
      <c r="R845" s="24"/>
      <c r="S845" s="24"/>
      <c r="T845" s="24"/>
      <c r="U845" s="24"/>
      <c r="V845" s="24"/>
      <c r="W845" s="24"/>
      <c r="X845" s="24"/>
    </row>
    <row r="846" spans="1:24">
      <c r="A846" s="22">
        <v>46313</v>
      </c>
      <c r="B846" s="23" t="s">
        <v>35</v>
      </c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>
        <v>0</v>
      </c>
      <c r="N846" s="25">
        <v>0</v>
      </c>
      <c r="O846" s="24"/>
      <c r="P846" s="24"/>
      <c r="Q846" s="24"/>
      <c r="R846" s="24"/>
      <c r="S846" s="24"/>
      <c r="T846" s="24"/>
      <c r="U846" s="24"/>
      <c r="V846" s="24"/>
      <c r="W846" s="24"/>
      <c r="X846" s="24"/>
    </row>
    <row r="847" spans="1:24">
      <c r="A847" s="22">
        <v>46314</v>
      </c>
      <c r="B847" s="23" t="s">
        <v>35</v>
      </c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>
        <v>0</v>
      </c>
      <c r="N847" s="25">
        <v>0</v>
      </c>
      <c r="O847" s="24"/>
      <c r="P847" s="24"/>
      <c r="Q847" s="24"/>
      <c r="R847" s="24"/>
      <c r="S847" s="24"/>
      <c r="T847" s="24"/>
      <c r="U847" s="24"/>
      <c r="V847" s="24"/>
      <c r="W847" s="24"/>
      <c r="X847" s="24"/>
    </row>
    <row r="848" spans="1:24">
      <c r="A848" s="22">
        <v>46315</v>
      </c>
      <c r="B848" s="23" t="s">
        <v>35</v>
      </c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>
        <v>0</v>
      </c>
      <c r="N848" s="25">
        <v>0</v>
      </c>
      <c r="O848" s="24"/>
      <c r="P848" s="24"/>
      <c r="Q848" s="24"/>
      <c r="R848" s="24"/>
      <c r="S848" s="24"/>
      <c r="T848" s="24"/>
      <c r="U848" s="24"/>
      <c r="V848" s="24"/>
      <c r="W848" s="24"/>
      <c r="X848" s="24"/>
    </row>
    <row r="849" spans="1:24">
      <c r="A849" s="22">
        <v>46316</v>
      </c>
      <c r="B849" s="23" t="s">
        <v>35</v>
      </c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>
        <v>0</v>
      </c>
      <c r="N849" s="25">
        <v>0</v>
      </c>
      <c r="O849" s="24"/>
      <c r="P849" s="24"/>
      <c r="Q849" s="24"/>
      <c r="R849" s="24"/>
      <c r="S849" s="24"/>
      <c r="T849" s="24"/>
      <c r="U849" s="24"/>
      <c r="V849" s="24"/>
      <c r="W849" s="24"/>
      <c r="X849" s="24"/>
    </row>
    <row r="850" spans="1:24">
      <c r="A850" s="22">
        <v>46317</v>
      </c>
      <c r="B850" s="23" t="s">
        <v>35</v>
      </c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>
        <v>0</v>
      </c>
      <c r="N850" s="25">
        <v>0</v>
      </c>
      <c r="O850" s="24"/>
      <c r="P850" s="24"/>
      <c r="Q850" s="24"/>
      <c r="R850" s="24"/>
      <c r="S850" s="24"/>
      <c r="T850" s="24"/>
      <c r="U850" s="24"/>
      <c r="V850" s="24"/>
      <c r="W850" s="24"/>
      <c r="X850" s="24"/>
    </row>
    <row r="851" spans="1:24">
      <c r="A851" s="22">
        <v>46318</v>
      </c>
      <c r="B851" s="23" t="s">
        <v>35</v>
      </c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>
        <v>0</v>
      </c>
      <c r="N851" s="25">
        <v>0</v>
      </c>
      <c r="O851" s="24"/>
      <c r="P851" s="24"/>
      <c r="Q851" s="24"/>
      <c r="R851" s="24"/>
      <c r="S851" s="24"/>
      <c r="T851" s="24"/>
      <c r="U851" s="24"/>
      <c r="V851" s="24"/>
      <c r="W851" s="24"/>
      <c r="X851" s="24"/>
    </row>
    <row r="852" spans="1:24">
      <c r="A852" s="22">
        <v>46319</v>
      </c>
      <c r="B852" s="23" t="s">
        <v>35</v>
      </c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>
        <v>0</v>
      </c>
      <c r="N852" s="25">
        <v>0</v>
      </c>
      <c r="O852" s="24"/>
      <c r="P852" s="24"/>
      <c r="Q852" s="24"/>
      <c r="R852" s="24"/>
      <c r="S852" s="24"/>
      <c r="T852" s="24"/>
      <c r="U852" s="24"/>
      <c r="V852" s="24"/>
      <c r="W852" s="24"/>
      <c r="X852" s="24"/>
    </row>
    <row r="853" spans="1:24">
      <c r="A853" s="22">
        <v>46320</v>
      </c>
      <c r="B853" s="23" t="s">
        <v>35</v>
      </c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>
        <v>0</v>
      </c>
      <c r="N853" s="25">
        <v>0</v>
      </c>
      <c r="O853" s="24"/>
      <c r="P853" s="24"/>
      <c r="Q853" s="24"/>
      <c r="R853" s="24"/>
      <c r="S853" s="24"/>
      <c r="T853" s="24"/>
      <c r="U853" s="24"/>
      <c r="V853" s="24"/>
      <c r="W853" s="24"/>
      <c r="X853" s="24"/>
    </row>
    <row r="854" spans="1:24">
      <c r="A854" s="22">
        <v>46321</v>
      </c>
      <c r="B854" s="23" t="s">
        <v>35</v>
      </c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>
        <v>0</v>
      </c>
      <c r="N854" s="25">
        <v>0</v>
      </c>
      <c r="O854" s="24"/>
      <c r="P854" s="24"/>
      <c r="Q854" s="24"/>
      <c r="R854" s="24"/>
      <c r="S854" s="24"/>
      <c r="T854" s="24"/>
      <c r="U854" s="24"/>
      <c r="V854" s="24"/>
      <c r="W854" s="24"/>
      <c r="X854" s="24"/>
    </row>
    <row r="855" spans="1:24">
      <c r="A855" s="22">
        <v>46322</v>
      </c>
      <c r="B855" s="23" t="s">
        <v>35</v>
      </c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>
        <v>0</v>
      </c>
      <c r="N855" s="25">
        <v>0</v>
      </c>
      <c r="O855" s="24"/>
      <c r="P855" s="24"/>
      <c r="Q855" s="24"/>
      <c r="R855" s="24"/>
      <c r="S855" s="24"/>
      <c r="T855" s="24"/>
      <c r="U855" s="24"/>
      <c r="V855" s="24"/>
      <c r="W855" s="24"/>
      <c r="X855" s="24"/>
    </row>
    <row r="856" spans="1:24">
      <c r="A856" s="22">
        <v>46323</v>
      </c>
      <c r="B856" s="23" t="s">
        <v>35</v>
      </c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>
        <v>0</v>
      </c>
      <c r="N856" s="25">
        <v>0</v>
      </c>
      <c r="O856" s="24"/>
      <c r="P856" s="24"/>
      <c r="Q856" s="24"/>
      <c r="R856" s="24"/>
      <c r="S856" s="24"/>
      <c r="T856" s="24"/>
      <c r="U856" s="24"/>
      <c r="V856" s="24"/>
      <c r="W856" s="24"/>
      <c r="X856" s="24"/>
    </row>
    <row r="857" spans="1:24">
      <c r="A857" s="22">
        <v>46324</v>
      </c>
      <c r="B857" s="23" t="s">
        <v>35</v>
      </c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>
        <v>0</v>
      </c>
      <c r="N857" s="25">
        <v>0</v>
      </c>
      <c r="O857" s="24"/>
      <c r="P857" s="24"/>
      <c r="Q857" s="24"/>
      <c r="R857" s="24"/>
      <c r="S857" s="24"/>
      <c r="T857" s="24"/>
      <c r="U857" s="24"/>
      <c r="V857" s="24"/>
      <c r="W857" s="24"/>
      <c r="X857" s="24"/>
    </row>
    <row r="858" spans="1:24">
      <c r="A858" s="22">
        <v>46325</v>
      </c>
      <c r="B858" s="23" t="s">
        <v>35</v>
      </c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>
        <v>0</v>
      </c>
      <c r="N858" s="25">
        <v>0</v>
      </c>
      <c r="O858" s="24"/>
      <c r="P858" s="24"/>
      <c r="Q858" s="24"/>
      <c r="R858" s="24"/>
      <c r="S858" s="24"/>
      <c r="T858" s="24"/>
      <c r="U858" s="24"/>
      <c r="V858" s="24"/>
      <c r="W858" s="24"/>
      <c r="X858" s="24"/>
    </row>
    <row r="859" spans="1:24">
      <c r="A859" s="22">
        <v>46326</v>
      </c>
      <c r="B859" s="23" t="s">
        <v>35</v>
      </c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>
        <v>0</v>
      </c>
      <c r="N859" s="25">
        <v>0</v>
      </c>
      <c r="O859" s="24"/>
      <c r="P859" s="24"/>
      <c r="Q859" s="24"/>
      <c r="R859" s="24"/>
      <c r="S859" s="24"/>
      <c r="T859" s="24"/>
      <c r="U859" s="24"/>
      <c r="V859" s="24"/>
      <c r="W859" s="24"/>
      <c r="X859" s="24"/>
    </row>
    <row r="860" spans="1:24">
      <c r="A860" s="22">
        <v>46327</v>
      </c>
      <c r="B860" s="23" t="s">
        <v>35</v>
      </c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>
        <v>0</v>
      </c>
      <c r="N860" s="25">
        <v>0</v>
      </c>
      <c r="O860" s="24"/>
      <c r="P860" s="24"/>
      <c r="Q860" s="24"/>
      <c r="R860" s="24"/>
      <c r="S860" s="24"/>
      <c r="T860" s="24"/>
      <c r="U860" s="24"/>
      <c r="V860" s="24"/>
      <c r="W860" s="24"/>
      <c r="X860" s="24"/>
    </row>
    <row r="861" spans="1:24">
      <c r="A861" s="22">
        <v>46328</v>
      </c>
      <c r="B861" s="23" t="s">
        <v>35</v>
      </c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>
        <v>0</v>
      </c>
      <c r="N861" s="25">
        <v>0</v>
      </c>
      <c r="O861" s="24"/>
      <c r="P861" s="24"/>
      <c r="Q861" s="24"/>
      <c r="R861" s="24"/>
      <c r="S861" s="24"/>
      <c r="T861" s="24"/>
      <c r="U861" s="24"/>
      <c r="V861" s="24"/>
      <c r="W861" s="24"/>
      <c r="X861" s="24"/>
    </row>
    <row r="862" spans="1:24">
      <c r="A862" s="22">
        <v>46329</v>
      </c>
      <c r="B862" s="23" t="s">
        <v>35</v>
      </c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>
        <v>0</v>
      </c>
      <c r="N862" s="25">
        <v>0</v>
      </c>
      <c r="O862" s="24"/>
      <c r="P862" s="24"/>
      <c r="Q862" s="24"/>
      <c r="R862" s="24"/>
      <c r="S862" s="24"/>
      <c r="T862" s="24"/>
      <c r="U862" s="24"/>
      <c r="V862" s="24"/>
      <c r="W862" s="24"/>
      <c r="X862" s="24"/>
    </row>
    <row r="863" spans="1:24">
      <c r="A863" s="22">
        <v>46330</v>
      </c>
      <c r="B863" s="23" t="s">
        <v>35</v>
      </c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>
        <v>0</v>
      </c>
      <c r="N863" s="25">
        <v>0</v>
      </c>
      <c r="O863" s="24"/>
      <c r="P863" s="24"/>
      <c r="Q863" s="24"/>
      <c r="R863" s="24"/>
      <c r="S863" s="24"/>
      <c r="T863" s="24"/>
      <c r="U863" s="24"/>
      <c r="V863" s="24"/>
      <c r="W863" s="24"/>
      <c r="X863" s="24"/>
    </row>
    <row r="864" spans="1:24">
      <c r="A864" s="22">
        <v>46331</v>
      </c>
      <c r="B864" s="23" t="s">
        <v>35</v>
      </c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>
        <v>0</v>
      </c>
      <c r="N864" s="25">
        <v>0</v>
      </c>
      <c r="O864" s="24"/>
      <c r="P864" s="24"/>
      <c r="Q864" s="24"/>
      <c r="R864" s="24"/>
      <c r="S864" s="24"/>
      <c r="T864" s="24"/>
      <c r="U864" s="24"/>
      <c r="V864" s="24"/>
      <c r="W864" s="24"/>
      <c r="X864" s="24"/>
    </row>
    <row r="865" spans="1:24">
      <c r="A865" s="22">
        <v>46332</v>
      </c>
      <c r="B865" s="23" t="s">
        <v>35</v>
      </c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>
        <v>0</v>
      </c>
      <c r="N865" s="25">
        <v>0</v>
      </c>
      <c r="O865" s="24"/>
      <c r="P865" s="24"/>
      <c r="Q865" s="24"/>
      <c r="R865" s="24"/>
      <c r="S865" s="24"/>
      <c r="T865" s="24"/>
      <c r="U865" s="24"/>
      <c r="V865" s="24"/>
      <c r="W865" s="24"/>
      <c r="X865" s="24"/>
    </row>
    <row r="866" spans="1:24">
      <c r="A866" s="22">
        <v>46333</v>
      </c>
      <c r="B866" s="23" t="s">
        <v>35</v>
      </c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>
        <v>0</v>
      </c>
      <c r="N866" s="25">
        <v>0</v>
      </c>
      <c r="O866" s="24"/>
      <c r="P866" s="24"/>
      <c r="Q866" s="24"/>
      <c r="R866" s="24"/>
      <c r="S866" s="24"/>
      <c r="T866" s="24"/>
      <c r="U866" s="24"/>
      <c r="V866" s="24"/>
      <c r="W866" s="24"/>
      <c r="X866" s="24"/>
    </row>
    <row r="867" spans="1:24">
      <c r="A867" s="22">
        <v>46334</v>
      </c>
      <c r="B867" s="23" t="s">
        <v>35</v>
      </c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>
        <v>0</v>
      </c>
      <c r="N867" s="25">
        <v>0</v>
      </c>
      <c r="O867" s="24"/>
      <c r="P867" s="24"/>
      <c r="Q867" s="24"/>
      <c r="R867" s="24"/>
      <c r="S867" s="24"/>
      <c r="T867" s="24"/>
      <c r="U867" s="24"/>
      <c r="V867" s="24"/>
      <c r="W867" s="24"/>
      <c r="X867" s="24"/>
    </row>
    <row r="868" spans="1:24">
      <c r="A868" s="22">
        <v>46335</v>
      </c>
      <c r="B868" s="23" t="s">
        <v>35</v>
      </c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>
        <v>0</v>
      </c>
      <c r="N868" s="25">
        <v>0</v>
      </c>
      <c r="O868" s="24"/>
      <c r="P868" s="24"/>
      <c r="Q868" s="24"/>
      <c r="R868" s="24"/>
      <c r="S868" s="24"/>
      <c r="T868" s="24"/>
      <c r="U868" s="24"/>
      <c r="V868" s="24"/>
      <c r="W868" s="24"/>
      <c r="X868" s="24"/>
    </row>
    <row r="869" spans="1:24">
      <c r="A869" s="22">
        <v>46336</v>
      </c>
      <c r="B869" s="23" t="s">
        <v>35</v>
      </c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>
        <v>0</v>
      </c>
      <c r="N869" s="25">
        <v>0</v>
      </c>
      <c r="O869" s="24"/>
      <c r="P869" s="24"/>
      <c r="Q869" s="24"/>
      <c r="R869" s="24"/>
      <c r="S869" s="24"/>
      <c r="T869" s="24"/>
      <c r="U869" s="24"/>
      <c r="V869" s="24"/>
      <c r="W869" s="24"/>
      <c r="X869" s="24"/>
    </row>
    <row r="870" spans="1:24">
      <c r="A870" s="22">
        <v>46337</v>
      </c>
      <c r="B870" s="23" t="s">
        <v>35</v>
      </c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>
        <v>0</v>
      </c>
      <c r="N870" s="25">
        <v>0</v>
      </c>
      <c r="O870" s="24"/>
      <c r="P870" s="24"/>
      <c r="Q870" s="24"/>
      <c r="R870" s="24"/>
      <c r="S870" s="24"/>
      <c r="T870" s="24"/>
      <c r="U870" s="24"/>
      <c r="V870" s="24"/>
      <c r="W870" s="24"/>
      <c r="X870" s="24"/>
    </row>
    <row r="871" spans="1:24">
      <c r="A871" s="22">
        <v>46338</v>
      </c>
      <c r="B871" s="23" t="s">
        <v>35</v>
      </c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>
        <v>0</v>
      </c>
      <c r="N871" s="25">
        <v>0</v>
      </c>
      <c r="O871" s="24"/>
      <c r="P871" s="24"/>
      <c r="Q871" s="24"/>
      <c r="R871" s="24"/>
      <c r="S871" s="24"/>
      <c r="T871" s="24"/>
      <c r="U871" s="24"/>
      <c r="V871" s="24"/>
      <c r="W871" s="24"/>
      <c r="X871" s="24"/>
    </row>
    <row r="872" spans="1:24">
      <c r="A872" s="22">
        <v>46339</v>
      </c>
      <c r="B872" s="23" t="s">
        <v>35</v>
      </c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>
        <v>0</v>
      </c>
      <c r="N872" s="25">
        <v>0</v>
      </c>
      <c r="O872" s="24"/>
      <c r="P872" s="24"/>
      <c r="Q872" s="24"/>
      <c r="R872" s="24"/>
      <c r="S872" s="24"/>
      <c r="T872" s="24"/>
      <c r="U872" s="24"/>
      <c r="V872" s="24"/>
      <c r="W872" s="24"/>
      <c r="X872" s="24"/>
    </row>
    <row r="873" spans="1:24">
      <c r="A873" s="22">
        <v>46340</v>
      </c>
      <c r="B873" s="23" t="s">
        <v>35</v>
      </c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>
        <v>0</v>
      </c>
      <c r="N873" s="25">
        <v>0</v>
      </c>
      <c r="O873" s="24"/>
      <c r="P873" s="24"/>
      <c r="Q873" s="24"/>
      <c r="R873" s="24"/>
      <c r="S873" s="24"/>
      <c r="T873" s="24"/>
      <c r="U873" s="24"/>
      <c r="V873" s="24"/>
      <c r="W873" s="24"/>
      <c r="X873" s="24"/>
    </row>
    <row r="874" spans="1:24">
      <c r="A874" s="22">
        <v>46341</v>
      </c>
      <c r="B874" s="23" t="s">
        <v>35</v>
      </c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>
        <v>0</v>
      </c>
      <c r="N874" s="25">
        <v>0</v>
      </c>
      <c r="O874" s="24"/>
      <c r="P874" s="24"/>
      <c r="Q874" s="24"/>
      <c r="R874" s="24"/>
      <c r="S874" s="24"/>
      <c r="T874" s="24"/>
      <c r="U874" s="24"/>
      <c r="V874" s="24"/>
      <c r="W874" s="24"/>
      <c r="X874" s="24"/>
    </row>
    <row r="875" spans="1:24">
      <c r="A875" s="22">
        <v>46342</v>
      </c>
      <c r="B875" s="23" t="s">
        <v>35</v>
      </c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>
        <v>0</v>
      </c>
      <c r="N875" s="25">
        <v>0</v>
      </c>
      <c r="O875" s="24"/>
      <c r="P875" s="24"/>
      <c r="Q875" s="24"/>
      <c r="R875" s="24"/>
      <c r="S875" s="24"/>
      <c r="T875" s="24"/>
      <c r="U875" s="24"/>
      <c r="V875" s="24"/>
      <c r="W875" s="24"/>
      <c r="X875" s="24"/>
    </row>
    <row r="876" spans="1:24">
      <c r="A876" s="22">
        <v>46343</v>
      </c>
      <c r="B876" s="23" t="s">
        <v>35</v>
      </c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>
        <v>0</v>
      </c>
      <c r="N876" s="25">
        <v>0</v>
      </c>
      <c r="O876" s="24"/>
      <c r="P876" s="24"/>
      <c r="Q876" s="24"/>
      <c r="R876" s="24"/>
      <c r="S876" s="24"/>
      <c r="T876" s="24"/>
      <c r="U876" s="24"/>
      <c r="V876" s="24"/>
      <c r="W876" s="24"/>
      <c r="X876" s="24"/>
    </row>
    <row r="877" spans="1:24">
      <c r="A877" s="22">
        <v>46344</v>
      </c>
      <c r="B877" s="23" t="s">
        <v>35</v>
      </c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>
        <v>0</v>
      </c>
      <c r="N877" s="25">
        <v>0</v>
      </c>
      <c r="O877" s="24"/>
      <c r="P877" s="24"/>
      <c r="Q877" s="24"/>
      <c r="R877" s="24"/>
      <c r="S877" s="24"/>
      <c r="T877" s="24"/>
      <c r="U877" s="24"/>
      <c r="V877" s="24"/>
      <c r="W877" s="24"/>
      <c r="X877" s="24"/>
    </row>
    <row r="878" spans="1:24">
      <c r="A878" s="22">
        <v>46345</v>
      </c>
      <c r="B878" s="23" t="s">
        <v>35</v>
      </c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>
        <v>0</v>
      </c>
      <c r="N878" s="25">
        <v>0</v>
      </c>
      <c r="O878" s="24"/>
      <c r="P878" s="24"/>
      <c r="Q878" s="24"/>
      <c r="R878" s="24"/>
      <c r="S878" s="24"/>
      <c r="T878" s="24"/>
      <c r="U878" s="24"/>
      <c r="V878" s="24"/>
      <c r="W878" s="24"/>
      <c r="X878" s="24"/>
    </row>
    <row r="879" spans="1:24">
      <c r="A879" s="22">
        <v>46346</v>
      </c>
      <c r="B879" s="23" t="s">
        <v>35</v>
      </c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>
        <v>0</v>
      </c>
      <c r="N879" s="25">
        <v>0</v>
      </c>
      <c r="O879" s="24"/>
      <c r="P879" s="24"/>
      <c r="Q879" s="24"/>
      <c r="R879" s="24"/>
      <c r="S879" s="24"/>
      <c r="T879" s="24"/>
      <c r="U879" s="24"/>
      <c r="V879" s="24"/>
      <c r="W879" s="24"/>
      <c r="X879" s="24"/>
    </row>
    <row r="880" spans="1:24">
      <c r="A880" s="22">
        <v>46347</v>
      </c>
      <c r="B880" s="23" t="s">
        <v>35</v>
      </c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>
        <v>0</v>
      </c>
      <c r="N880" s="25">
        <v>0</v>
      </c>
      <c r="O880" s="24"/>
      <c r="P880" s="24"/>
      <c r="Q880" s="24"/>
      <c r="R880" s="24"/>
      <c r="S880" s="24"/>
      <c r="T880" s="24"/>
      <c r="U880" s="24"/>
      <c r="V880" s="24"/>
      <c r="W880" s="24"/>
      <c r="X880" s="24"/>
    </row>
    <row r="881" spans="1:24">
      <c r="A881" s="22">
        <v>46348</v>
      </c>
      <c r="B881" s="23" t="s">
        <v>35</v>
      </c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>
        <v>0</v>
      </c>
      <c r="N881" s="25">
        <v>0</v>
      </c>
      <c r="O881" s="24"/>
      <c r="P881" s="24"/>
      <c r="Q881" s="24"/>
      <c r="R881" s="24"/>
      <c r="S881" s="24"/>
      <c r="T881" s="24"/>
      <c r="U881" s="24"/>
      <c r="V881" s="24"/>
      <c r="W881" s="24"/>
      <c r="X881" s="24"/>
    </row>
    <row r="882" spans="1:24">
      <c r="A882" s="22">
        <v>46349</v>
      </c>
      <c r="B882" s="23" t="s">
        <v>35</v>
      </c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>
        <v>0</v>
      </c>
      <c r="N882" s="25">
        <v>0</v>
      </c>
      <c r="O882" s="24"/>
      <c r="P882" s="24"/>
      <c r="Q882" s="24"/>
      <c r="R882" s="24"/>
      <c r="S882" s="24"/>
      <c r="T882" s="24"/>
      <c r="U882" s="24"/>
      <c r="V882" s="24"/>
      <c r="W882" s="24"/>
      <c r="X882" s="24"/>
    </row>
    <row r="883" spans="1:24">
      <c r="A883" s="22">
        <v>46350</v>
      </c>
      <c r="B883" s="23" t="s">
        <v>35</v>
      </c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>
        <v>0</v>
      </c>
      <c r="N883" s="25">
        <v>0</v>
      </c>
      <c r="O883" s="24"/>
      <c r="P883" s="24"/>
      <c r="Q883" s="24"/>
      <c r="R883" s="24"/>
      <c r="S883" s="24"/>
      <c r="T883" s="24"/>
      <c r="U883" s="24"/>
      <c r="V883" s="24"/>
      <c r="W883" s="24"/>
      <c r="X883" s="24"/>
    </row>
    <row r="884" spans="1:24">
      <c r="A884" s="22">
        <v>46351</v>
      </c>
      <c r="B884" s="23" t="s">
        <v>35</v>
      </c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>
        <v>0</v>
      </c>
      <c r="N884" s="25">
        <v>0</v>
      </c>
      <c r="O884" s="24"/>
      <c r="P884" s="24"/>
      <c r="Q884" s="24"/>
      <c r="R884" s="24"/>
      <c r="S884" s="24"/>
      <c r="T884" s="24"/>
      <c r="U884" s="24"/>
      <c r="V884" s="24"/>
      <c r="W884" s="24"/>
      <c r="X884" s="24"/>
    </row>
    <row r="885" spans="1:24">
      <c r="A885" s="22">
        <v>46352</v>
      </c>
      <c r="B885" s="23" t="s">
        <v>35</v>
      </c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>
        <v>0</v>
      </c>
      <c r="N885" s="25">
        <v>0</v>
      </c>
      <c r="O885" s="24"/>
      <c r="P885" s="24"/>
      <c r="Q885" s="24"/>
      <c r="R885" s="24"/>
      <c r="S885" s="24"/>
      <c r="T885" s="24"/>
      <c r="U885" s="24"/>
      <c r="V885" s="24"/>
      <c r="W885" s="24"/>
      <c r="X885" s="24"/>
    </row>
    <row r="886" spans="1:24">
      <c r="A886" s="22">
        <v>46353</v>
      </c>
      <c r="B886" s="23" t="s">
        <v>35</v>
      </c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>
        <v>0</v>
      </c>
      <c r="N886" s="25">
        <v>0</v>
      </c>
      <c r="O886" s="24"/>
      <c r="P886" s="24"/>
      <c r="Q886" s="24"/>
      <c r="R886" s="24"/>
      <c r="S886" s="24"/>
      <c r="T886" s="24"/>
      <c r="U886" s="24"/>
      <c r="V886" s="24"/>
      <c r="W886" s="24"/>
      <c r="X886" s="24"/>
    </row>
    <row r="887" spans="1:24">
      <c r="A887" s="22">
        <v>46354</v>
      </c>
      <c r="B887" s="23" t="s">
        <v>35</v>
      </c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>
        <v>0</v>
      </c>
      <c r="N887" s="25">
        <v>0</v>
      </c>
      <c r="O887" s="24"/>
      <c r="P887" s="24"/>
      <c r="Q887" s="24"/>
      <c r="R887" s="24"/>
      <c r="S887" s="24"/>
      <c r="T887" s="24"/>
      <c r="U887" s="24"/>
      <c r="V887" s="24"/>
      <c r="W887" s="24"/>
      <c r="X887" s="24"/>
    </row>
    <row r="888" spans="1:24">
      <c r="A888" s="22">
        <v>46355</v>
      </c>
      <c r="B888" s="23" t="s">
        <v>35</v>
      </c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>
        <v>0</v>
      </c>
      <c r="N888" s="25">
        <v>0</v>
      </c>
      <c r="O888" s="24"/>
      <c r="P888" s="24"/>
      <c r="Q888" s="24"/>
      <c r="R888" s="24"/>
      <c r="S888" s="24"/>
      <c r="T888" s="24"/>
      <c r="U888" s="24"/>
      <c r="V888" s="24"/>
      <c r="W888" s="24"/>
      <c r="X888" s="24"/>
    </row>
    <row r="889" spans="1:24">
      <c r="A889" s="22">
        <v>46356</v>
      </c>
      <c r="B889" s="23" t="s">
        <v>35</v>
      </c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>
        <v>0</v>
      </c>
      <c r="N889" s="25">
        <v>0</v>
      </c>
      <c r="O889" s="24"/>
      <c r="P889" s="24"/>
      <c r="Q889" s="24"/>
      <c r="R889" s="24"/>
      <c r="S889" s="24"/>
      <c r="T889" s="24"/>
      <c r="U889" s="24"/>
      <c r="V889" s="24"/>
      <c r="W889" s="24"/>
      <c r="X889" s="24"/>
    </row>
    <row r="890" spans="1:24">
      <c r="A890" s="22">
        <v>46357</v>
      </c>
      <c r="B890" s="23" t="s">
        <v>35</v>
      </c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>
        <v>0</v>
      </c>
      <c r="N890" s="25">
        <v>0</v>
      </c>
      <c r="O890" s="24"/>
      <c r="P890" s="24"/>
      <c r="Q890" s="24"/>
      <c r="R890" s="24"/>
      <c r="S890" s="24"/>
      <c r="T890" s="24"/>
      <c r="U890" s="24"/>
      <c r="V890" s="24"/>
      <c r="W890" s="24"/>
      <c r="X890" s="24"/>
    </row>
    <row r="891" spans="1:24">
      <c r="A891" s="22">
        <v>46358</v>
      </c>
      <c r="B891" s="23" t="s">
        <v>35</v>
      </c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>
        <v>0</v>
      </c>
      <c r="N891" s="25">
        <v>0</v>
      </c>
      <c r="O891" s="24"/>
      <c r="P891" s="24"/>
      <c r="Q891" s="24"/>
      <c r="R891" s="24"/>
      <c r="S891" s="24"/>
      <c r="T891" s="24"/>
      <c r="U891" s="24"/>
      <c r="V891" s="24"/>
      <c r="W891" s="24"/>
      <c r="X891" s="24"/>
    </row>
    <row r="892" spans="1:24">
      <c r="A892" s="22">
        <v>46359</v>
      </c>
      <c r="B892" s="23" t="s">
        <v>35</v>
      </c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>
        <v>0</v>
      </c>
      <c r="N892" s="25">
        <v>0</v>
      </c>
      <c r="O892" s="24"/>
      <c r="P892" s="24"/>
      <c r="Q892" s="24"/>
      <c r="R892" s="24"/>
      <c r="S892" s="24"/>
      <c r="T892" s="24"/>
      <c r="U892" s="24"/>
      <c r="V892" s="24"/>
      <c r="W892" s="24"/>
      <c r="X892" s="24"/>
    </row>
    <row r="893" spans="1:24">
      <c r="A893" s="22">
        <v>46360</v>
      </c>
      <c r="B893" s="23" t="s">
        <v>35</v>
      </c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>
        <v>0</v>
      </c>
      <c r="N893" s="25">
        <v>0</v>
      </c>
      <c r="O893" s="24"/>
      <c r="P893" s="24"/>
      <c r="Q893" s="24"/>
      <c r="R893" s="24"/>
      <c r="S893" s="24"/>
      <c r="T893" s="24"/>
      <c r="U893" s="24"/>
      <c r="V893" s="24"/>
      <c r="W893" s="24"/>
      <c r="X893" s="24"/>
    </row>
    <row r="894" spans="1:24">
      <c r="A894" s="22">
        <v>46361</v>
      </c>
      <c r="B894" s="23" t="s">
        <v>35</v>
      </c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>
        <v>0</v>
      </c>
      <c r="N894" s="25">
        <v>0</v>
      </c>
      <c r="O894" s="24"/>
      <c r="P894" s="24"/>
      <c r="Q894" s="24"/>
      <c r="R894" s="24"/>
      <c r="S894" s="24"/>
      <c r="T894" s="24"/>
      <c r="U894" s="24"/>
      <c r="V894" s="24"/>
      <c r="W894" s="24"/>
      <c r="X894" s="24"/>
    </row>
    <row r="895" spans="1:24">
      <c r="A895" s="22">
        <v>46362</v>
      </c>
      <c r="B895" s="23" t="s">
        <v>35</v>
      </c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>
        <v>0</v>
      </c>
      <c r="N895" s="25">
        <v>0</v>
      </c>
      <c r="O895" s="24"/>
      <c r="P895" s="24"/>
      <c r="Q895" s="24"/>
      <c r="R895" s="24"/>
      <c r="S895" s="24"/>
      <c r="T895" s="24"/>
      <c r="U895" s="24"/>
      <c r="V895" s="24"/>
      <c r="W895" s="24"/>
      <c r="X895" s="24"/>
    </row>
    <row r="896" spans="1:24">
      <c r="A896" s="22">
        <v>46363</v>
      </c>
      <c r="B896" s="23" t="s">
        <v>35</v>
      </c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>
        <v>0</v>
      </c>
      <c r="N896" s="25">
        <v>0</v>
      </c>
      <c r="O896" s="24"/>
      <c r="P896" s="24"/>
      <c r="Q896" s="24"/>
      <c r="R896" s="24"/>
      <c r="S896" s="24"/>
      <c r="T896" s="24"/>
      <c r="U896" s="24"/>
      <c r="V896" s="24"/>
      <c r="W896" s="24"/>
      <c r="X896" s="24"/>
    </row>
    <row r="897" spans="1:24">
      <c r="A897" s="22">
        <v>46364</v>
      </c>
      <c r="B897" s="23" t="s">
        <v>35</v>
      </c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>
        <v>0</v>
      </c>
      <c r="N897" s="25">
        <v>0</v>
      </c>
      <c r="O897" s="24"/>
      <c r="P897" s="24"/>
      <c r="Q897" s="24"/>
      <c r="R897" s="24"/>
      <c r="S897" s="24"/>
      <c r="T897" s="24"/>
      <c r="U897" s="24"/>
      <c r="V897" s="24"/>
      <c r="W897" s="24"/>
      <c r="X897" s="24"/>
    </row>
    <row r="898" spans="1:24">
      <c r="A898" s="22">
        <v>46365</v>
      </c>
      <c r="B898" s="23" t="s">
        <v>35</v>
      </c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>
        <v>0</v>
      </c>
      <c r="N898" s="25">
        <v>0</v>
      </c>
      <c r="O898" s="24"/>
      <c r="P898" s="24"/>
      <c r="Q898" s="24"/>
      <c r="R898" s="24"/>
      <c r="S898" s="24"/>
      <c r="T898" s="24"/>
      <c r="U898" s="24"/>
      <c r="V898" s="24"/>
      <c r="W898" s="24"/>
      <c r="X898" s="24"/>
    </row>
    <row r="899" spans="1:24">
      <c r="A899" s="22">
        <v>46366</v>
      </c>
      <c r="B899" s="23" t="s">
        <v>35</v>
      </c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>
        <v>0</v>
      </c>
      <c r="N899" s="25">
        <v>0</v>
      </c>
      <c r="O899" s="24"/>
      <c r="P899" s="24"/>
      <c r="Q899" s="24"/>
      <c r="R899" s="24"/>
      <c r="S899" s="24"/>
      <c r="T899" s="24"/>
      <c r="U899" s="24"/>
      <c r="V899" s="24"/>
      <c r="W899" s="24"/>
      <c r="X899" s="24"/>
    </row>
    <row r="900" spans="1:24">
      <c r="A900" s="22">
        <v>46367</v>
      </c>
      <c r="B900" s="23" t="s">
        <v>35</v>
      </c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>
        <v>0</v>
      </c>
      <c r="N900" s="25">
        <v>0</v>
      </c>
      <c r="O900" s="24"/>
      <c r="P900" s="24"/>
      <c r="Q900" s="24"/>
      <c r="R900" s="24"/>
      <c r="S900" s="24"/>
      <c r="T900" s="24"/>
      <c r="U900" s="24"/>
      <c r="V900" s="24"/>
      <c r="W900" s="24"/>
      <c r="X900" s="24"/>
    </row>
    <row r="901" spans="1:24">
      <c r="A901" s="22">
        <v>46368</v>
      </c>
      <c r="B901" s="23" t="s">
        <v>35</v>
      </c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>
        <v>0</v>
      </c>
      <c r="N901" s="25">
        <v>0</v>
      </c>
      <c r="O901" s="24"/>
      <c r="P901" s="24"/>
      <c r="Q901" s="24"/>
      <c r="R901" s="24"/>
      <c r="S901" s="24"/>
      <c r="T901" s="24"/>
      <c r="U901" s="24"/>
      <c r="V901" s="24"/>
      <c r="W901" s="24"/>
      <c r="X901" s="24"/>
    </row>
    <row r="902" spans="1:24">
      <c r="A902" s="22">
        <v>46369</v>
      </c>
      <c r="B902" s="23" t="s">
        <v>35</v>
      </c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>
        <v>0</v>
      </c>
      <c r="N902" s="25">
        <v>0</v>
      </c>
      <c r="O902" s="24"/>
      <c r="P902" s="24"/>
      <c r="Q902" s="24"/>
      <c r="R902" s="24"/>
      <c r="S902" s="24"/>
      <c r="T902" s="24"/>
      <c r="U902" s="24"/>
      <c r="V902" s="24"/>
      <c r="W902" s="24"/>
      <c r="X902" s="24"/>
    </row>
    <row r="903" spans="1:24">
      <c r="A903" s="22">
        <v>46370</v>
      </c>
      <c r="B903" s="23" t="s">
        <v>35</v>
      </c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>
        <v>0</v>
      </c>
      <c r="N903" s="25">
        <v>0</v>
      </c>
      <c r="O903" s="24"/>
      <c r="P903" s="24"/>
      <c r="Q903" s="24"/>
      <c r="R903" s="24"/>
      <c r="S903" s="24"/>
      <c r="T903" s="24"/>
      <c r="U903" s="24"/>
      <c r="V903" s="24"/>
      <c r="W903" s="24"/>
      <c r="X903" s="24"/>
    </row>
    <row r="904" spans="1:24">
      <c r="A904" s="22">
        <v>46371</v>
      </c>
      <c r="B904" s="23" t="s">
        <v>35</v>
      </c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>
        <v>0</v>
      </c>
      <c r="N904" s="25">
        <v>0</v>
      </c>
      <c r="O904" s="24"/>
      <c r="P904" s="24"/>
      <c r="Q904" s="24"/>
      <c r="R904" s="24"/>
      <c r="S904" s="24"/>
      <c r="T904" s="24"/>
      <c r="U904" s="24"/>
      <c r="V904" s="24"/>
      <c r="W904" s="24"/>
      <c r="X904" s="24"/>
    </row>
    <row r="905" spans="1:24">
      <c r="A905" s="22">
        <v>46372</v>
      </c>
      <c r="B905" s="23" t="s">
        <v>35</v>
      </c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>
        <v>0</v>
      </c>
      <c r="N905" s="25">
        <v>0</v>
      </c>
      <c r="O905" s="24"/>
      <c r="P905" s="24"/>
      <c r="Q905" s="24"/>
      <c r="R905" s="24"/>
      <c r="S905" s="24"/>
      <c r="T905" s="24"/>
      <c r="U905" s="24"/>
      <c r="V905" s="24"/>
      <c r="W905" s="24"/>
      <c r="X905" s="24"/>
    </row>
    <row r="906" spans="1:24">
      <c r="A906" s="22">
        <v>46373</v>
      </c>
      <c r="B906" s="23" t="s">
        <v>35</v>
      </c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>
        <v>0</v>
      </c>
      <c r="N906" s="25">
        <v>0</v>
      </c>
      <c r="O906" s="24"/>
      <c r="P906" s="24"/>
      <c r="Q906" s="24"/>
      <c r="R906" s="24"/>
      <c r="S906" s="24"/>
      <c r="T906" s="24"/>
      <c r="U906" s="24"/>
      <c r="V906" s="24"/>
      <c r="W906" s="24"/>
      <c r="X906" s="24"/>
    </row>
    <row r="907" spans="1:24">
      <c r="A907" s="22">
        <v>46374</v>
      </c>
      <c r="B907" s="23" t="s">
        <v>35</v>
      </c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>
        <v>0</v>
      </c>
      <c r="N907" s="25">
        <v>0</v>
      </c>
      <c r="O907" s="24"/>
      <c r="P907" s="24"/>
      <c r="Q907" s="24"/>
      <c r="R907" s="24"/>
      <c r="S907" s="24"/>
      <c r="T907" s="24"/>
      <c r="U907" s="24"/>
      <c r="V907" s="24"/>
      <c r="W907" s="24"/>
      <c r="X907" s="24"/>
    </row>
    <row r="908" spans="1:24">
      <c r="A908" s="22">
        <v>46375</v>
      </c>
      <c r="B908" s="23" t="s">
        <v>35</v>
      </c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>
        <v>0</v>
      </c>
      <c r="N908" s="25">
        <v>0</v>
      </c>
      <c r="O908" s="24"/>
      <c r="P908" s="24"/>
      <c r="Q908" s="24"/>
      <c r="R908" s="24"/>
      <c r="S908" s="24"/>
      <c r="T908" s="24"/>
      <c r="U908" s="24"/>
      <c r="V908" s="24"/>
      <c r="W908" s="24"/>
      <c r="X908" s="24"/>
    </row>
    <row r="909" spans="1:24">
      <c r="A909" s="22">
        <v>46376</v>
      </c>
      <c r="B909" s="23" t="s">
        <v>35</v>
      </c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>
        <v>0</v>
      </c>
      <c r="N909" s="25">
        <v>0</v>
      </c>
      <c r="O909" s="24"/>
      <c r="P909" s="24"/>
      <c r="Q909" s="24"/>
      <c r="R909" s="24"/>
      <c r="S909" s="24"/>
      <c r="T909" s="24"/>
      <c r="U909" s="24"/>
      <c r="V909" s="24"/>
      <c r="W909" s="24"/>
      <c r="X909" s="24"/>
    </row>
    <row r="910" spans="1:24">
      <c r="A910" s="22">
        <v>46377</v>
      </c>
      <c r="B910" s="23" t="s">
        <v>35</v>
      </c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>
        <v>0</v>
      </c>
      <c r="N910" s="25">
        <v>0</v>
      </c>
      <c r="O910" s="24"/>
      <c r="P910" s="24"/>
      <c r="Q910" s="24"/>
      <c r="R910" s="24"/>
      <c r="S910" s="24"/>
      <c r="T910" s="24"/>
      <c r="U910" s="24"/>
      <c r="V910" s="24"/>
      <c r="W910" s="24"/>
      <c r="X910" s="24"/>
    </row>
    <row r="911" spans="1:24">
      <c r="A911" s="22">
        <v>46378</v>
      </c>
      <c r="B911" s="23" t="s">
        <v>35</v>
      </c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>
        <v>0</v>
      </c>
      <c r="N911" s="25">
        <v>0</v>
      </c>
      <c r="O911" s="24"/>
      <c r="P911" s="24"/>
      <c r="Q911" s="24"/>
      <c r="R911" s="24"/>
      <c r="S911" s="24"/>
      <c r="T911" s="24"/>
      <c r="U911" s="24"/>
      <c r="V911" s="24"/>
      <c r="W911" s="24"/>
      <c r="X911" s="24"/>
    </row>
    <row r="912" spans="1:24">
      <c r="A912" s="22">
        <v>46379</v>
      </c>
      <c r="B912" s="23" t="s">
        <v>35</v>
      </c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>
        <v>0</v>
      </c>
      <c r="N912" s="25">
        <v>0</v>
      </c>
      <c r="O912" s="24"/>
      <c r="P912" s="24"/>
      <c r="Q912" s="24"/>
      <c r="R912" s="24"/>
      <c r="S912" s="24"/>
      <c r="T912" s="24"/>
      <c r="U912" s="24"/>
      <c r="V912" s="24"/>
      <c r="W912" s="24"/>
      <c r="X912" s="24"/>
    </row>
    <row r="913" spans="1:24">
      <c r="A913" s="22">
        <v>46380</v>
      </c>
      <c r="B913" s="23" t="s">
        <v>35</v>
      </c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>
        <v>0</v>
      </c>
      <c r="N913" s="25">
        <v>0</v>
      </c>
      <c r="O913" s="24"/>
      <c r="P913" s="24"/>
      <c r="Q913" s="24"/>
      <c r="R913" s="24"/>
      <c r="S913" s="24"/>
      <c r="T913" s="24"/>
      <c r="U913" s="24"/>
      <c r="V913" s="24"/>
      <c r="W913" s="24"/>
      <c r="X913" s="24"/>
    </row>
    <row r="914" spans="1:24">
      <c r="A914" s="22">
        <v>46381</v>
      </c>
      <c r="B914" s="23" t="s">
        <v>35</v>
      </c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>
        <v>0</v>
      </c>
      <c r="N914" s="25">
        <v>0</v>
      </c>
      <c r="O914" s="24"/>
      <c r="P914" s="24"/>
      <c r="Q914" s="24"/>
      <c r="R914" s="24"/>
      <c r="S914" s="24"/>
      <c r="T914" s="24"/>
      <c r="U914" s="24"/>
      <c r="V914" s="24"/>
      <c r="W914" s="24"/>
      <c r="X914" s="24"/>
    </row>
    <row r="915" spans="1:24">
      <c r="A915" s="22">
        <v>46382</v>
      </c>
      <c r="B915" s="23" t="s">
        <v>35</v>
      </c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>
        <v>0</v>
      </c>
      <c r="N915" s="25">
        <v>0</v>
      </c>
      <c r="O915" s="24"/>
      <c r="P915" s="24"/>
      <c r="Q915" s="24"/>
      <c r="R915" s="24"/>
      <c r="S915" s="24"/>
      <c r="T915" s="24"/>
      <c r="U915" s="24"/>
      <c r="V915" s="24"/>
      <c r="W915" s="24"/>
      <c r="X915" s="24"/>
    </row>
    <row r="916" spans="1:24">
      <c r="A916" s="22">
        <v>46383</v>
      </c>
      <c r="B916" s="23" t="s">
        <v>35</v>
      </c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>
        <v>0</v>
      </c>
      <c r="N916" s="25">
        <v>0</v>
      </c>
      <c r="O916" s="24"/>
      <c r="P916" s="24"/>
      <c r="Q916" s="24"/>
      <c r="R916" s="24"/>
      <c r="S916" s="24"/>
      <c r="T916" s="24"/>
      <c r="U916" s="24"/>
      <c r="V916" s="24"/>
      <c r="W916" s="24"/>
      <c r="X916" s="24"/>
    </row>
    <row r="917" spans="1:24">
      <c r="A917" s="22">
        <v>46384</v>
      </c>
      <c r="B917" s="23" t="s">
        <v>35</v>
      </c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>
        <v>0</v>
      </c>
      <c r="N917" s="25">
        <v>0</v>
      </c>
      <c r="O917" s="24"/>
      <c r="P917" s="24"/>
      <c r="Q917" s="24"/>
      <c r="R917" s="24"/>
      <c r="S917" s="24"/>
      <c r="T917" s="24"/>
      <c r="U917" s="24"/>
      <c r="V917" s="24"/>
      <c r="W917" s="24"/>
      <c r="X917" s="24"/>
    </row>
    <row r="918" spans="1:24">
      <c r="A918" s="22">
        <v>46385</v>
      </c>
      <c r="B918" s="23" t="s">
        <v>35</v>
      </c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>
        <v>0</v>
      </c>
      <c r="N918" s="25">
        <v>0</v>
      </c>
      <c r="O918" s="24"/>
      <c r="P918" s="24"/>
      <c r="Q918" s="24"/>
      <c r="R918" s="24"/>
      <c r="S918" s="24"/>
      <c r="T918" s="24"/>
      <c r="U918" s="24"/>
      <c r="V918" s="24"/>
      <c r="W918" s="24"/>
      <c r="X918" s="24"/>
    </row>
    <row r="919" spans="1:24">
      <c r="A919" s="22">
        <v>46386</v>
      </c>
      <c r="B919" s="23" t="s">
        <v>35</v>
      </c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>
        <v>0</v>
      </c>
      <c r="N919" s="25">
        <v>0</v>
      </c>
      <c r="O919" s="24"/>
      <c r="P919" s="24"/>
      <c r="Q919" s="24"/>
      <c r="R919" s="24"/>
      <c r="S919" s="24"/>
      <c r="T919" s="24"/>
      <c r="U919" s="24"/>
      <c r="V919" s="24"/>
      <c r="W919" s="24"/>
      <c r="X919" s="24"/>
    </row>
    <row r="920" spans="1:24">
      <c r="A920" s="22">
        <v>46387</v>
      </c>
      <c r="B920" s="23" t="s">
        <v>35</v>
      </c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>
        <v>0</v>
      </c>
      <c r="N920" s="25">
        <v>0</v>
      </c>
      <c r="O920" s="24"/>
      <c r="P920" s="24"/>
      <c r="Q920" s="24"/>
      <c r="R920" s="24"/>
      <c r="S920" s="24"/>
      <c r="T920" s="24"/>
      <c r="U920" s="24"/>
      <c r="V920" s="24"/>
      <c r="W920" s="24"/>
      <c r="X920" s="24"/>
    </row>
    <row r="921" spans="1:24">
      <c r="A921" s="22">
        <v>46082</v>
      </c>
      <c r="B921" s="23" t="s">
        <v>36</v>
      </c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>
        <v>0</v>
      </c>
      <c r="N921" s="25"/>
      <c r="O921" s="24"/>
      <c r="P921" s="24"/>
      <c r="Q921" s="24"/>
      <c r="R921" s="24"/>
      <c r="S921" s="24"/>
      <c r="T921" s="24"/>
      <c r="U921" s="24"/>
      <c r="V921" s="24"/>
      <c r="W921" s="24"/>
      <c r="X921" s="24"/>
    </row>
    <row r="922" spans="1:24">
      <c r="A922" s="22">
        <v>46083</v>
      </c>
      <c r="B922" s="23" t="s">
        <v>36</v>
      </c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>
        <v>0</v>
      </c>
      <c r="N922" s="25"/>
      <c r="O922" s="24"/>
      <c r="P922" s="24"/>
      <c r="Q922" s="24"/>
      <c r="R922" s="24"/>
      <c r="S922" s="24"/>
      <c r="T922" s="24"/>
      <c r="U922" s="24"/>
      <c r="V922" s="24"/>
      <c r="W922" s="24"/>
      <c r="X922" s="24"/>
    </row>
    <row r="923" spans="1:24">
      <c r="A923" s="22">
        <v>46084</v>
      </c>
      <c r="B923" s="23" t="s">
        <v>36</v>
      </c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>
        <v>0</v>
      </c>
      <c r="N923" s="25"/>
      <c r="O923" s="24"/>
      <c r="P923" s="24"/>
      <c r="Q923" s="24"/>
      <c r="R923" s="24"/>
      <c r="S923" s="24"/>
      <c r="T923" s="24"/>
      <c r="U923" s="24"/>
      <c r="V923" s="24"/>
      <c r="W923" s="24"/>
      <c r="X923" s="24"/>
    </row>
    <row r="924" spans="1:24">
      <c r="A924" s="22">
        <v>46085</v>
      </c>
      <c r="B924" s="23" t="s">
        <v>36</v>
      </c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>
        <v>0</v>
      </c>
      <c r="N924" s="25"/>
      <c r="O924" s="24"/>
      <c r="P924" s="24"/>
      <c r="Q924" s="24"/>
      <c r="R924" s="24"/>
      <c r="S924" s="24"/>
      <c r="T924" s="24"/>
      <c r="U924" s="24"/>
      <c r="V924" s="24"/>
      <c r="W924" s="24"/>
      <c r="X924" s="24"/>
    </row>
    <row r="925" spans="1:24">
      <c r="A925" s="22">
        <v>46086</v>
      </c>
      <c r="B925" s="23" t="s">
        <v>36</v>
      </c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>
        <v>0</v>
      </c>
      <c r="N925" s="25"/>
      <c r="O925" s="24"/>
      <c r="P925" s="24"/>
      <c r="Q925" s="24"/>
      <c r="R925" s="24"/>
      <c r="S925" s="24"/>
      <c r="T925" s="24"/>
      <c r="U925" s="24"/>
      <c r="V925" s="24"/>
      <c r="W925" s="24"/>
      <c r="X925" s="24"/>
    </row>
    <row r="926" spans="1:24">
      <c r="A926" s="22">
        <v>46087</v>
      </c>
      <c r="B926" s="23" t="s">
        <v>36</v>
      </c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>
        <v>0</v>
      </c>
      <c r="N926" s="25"/>
      <c r="O926" s="24"/>
      <c r="P926" s="24"/>
      <c r="Q926" s="24"/>
      <c r="R926" s="24"/>
      <c r="S926" s="24"/>
      <c r="T926" s="24"/>
      <c r="U926" s="24"/>
      <c r="V926" s="24"/>
      <c r="W926" s="24"/>
      <c r="X926" s="24"/>
    </row>
    <row r="927" spans="1:24">
      <c r="A927" s="22">
        <v>46088</v>
      </c>
      <c r="B927" s="23" t="s">
        <v>36</v>
      </c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>
        <v>0</v>
      </c>
      <c r="N927" s="25"/>
      <c r="O927" s="24"/>
      <c r="P927" s="24"/>
      <c r="Q927" s="24"/>
      <c r="R927" s="24"/>
      <c r="S927" s="24"/>
      <c r="T927" s="24"/>
      <c r="U927" s="24"/>
      <c r="V927" s="24"/>
      <c r="W927" s="24"/>
      <c r="X927" s="24"/>
    </row>
    <row r="928" spans="1:24">
      <c r="A928" s="22">
        <v>46089</v>
      </c>
      <c r="B928" s="23" t="s">
        <v>36</v>
      </c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>
        <v>0</v>
      </c>
      <c r="N928" s="25"/>
      <c r="O928" s="24"/>
      <c r="P928" s="24"/>
      <c r="Q928" s="24"/>
      <c r="R928" s="24"/>
      <c r="S928" s="24"/>
      <c r="T928" s="24"/>
      <c r="U928" s="24"/>
      <c r="V928" s="24"/>
      <c r="W928" s="24"/>
      <c r="X928" s="24"/>
    </row>
    <row r="929" spans="1:24">
      <c r="A929" s="22">
        <v>46090</v>
      </c>
      <c r="B929" s="23" t="s">
        <v>36</v>
      </c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>
        <v>0</v>
      </c>
      <c r="N929" s="25"/>
      <c r="O929" s="24"/>
      <c r="P929" s="24"/>
      <c r="Q929" s="24"/>
      <c r="R929" s="24"/>
      <c r="S929" s="24"/>
      <c r="T929" s="24"/>
      <c r="U929" s="24"/>
      <c r="V929" s="24"/>
      <c r="W929" s="24"/>
      <c r="X929" s="24"/>
    </row>
    <row r="930" spans="1:24">
      <c r="A930" s="22">
        <v>46091</v>
      </c>
      <c r="B930" s="23" t="s">
        <v>36</v>
      </c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>
        <v>0</v>
      </c>
      <c r="N930" s="25"/>
      <c r="O930" s="24"/>
      <c r="P930" s="24"/>
      <c r="Q930" s="24"/>
      <c r="R930" s="24"/>
      <c r="S930" s="24"/>
      <c r="T930" s="24"/>
      <c r="U930" s="24"/>
      <c r="V930" s="24"/>
      <c r="W930" s="24"/>
      <c r="X930" s="24"/>
    </row>
    <row r="931" spans="1:24">
      <c r="A931" s="22">
        <v>46092</v>
      </c>
      <c r="B931" s="23" t="s">
        <v>36</v>
      </c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>
        <v>0</v>
      </c>
      <c r="N931" s="25"/>
      <c r="O931" s="24"/>
      <c r="P931" s="24"/>
      <c r="Q931" s="24"/>
      <c r="R931" s="24"/>
      <c r="S931" s="24"/>
      <c r="T931" s="24"/>
      <c r="U931" s="24"/>
      <c r="V931" s="24"/>
      <c r="W931" s="24"/>
      <c r="X931" s="24"/>
    </row>
    <row r="932" spans="1:24">
      <c r="A932" s="22">
        <v>46093</v>
      </c>
      <c r="B932" s="23" t="s">
        <v>36</v>
      </c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>
        <v>0</v>
      </c>
      <c r="N932" s="25"/>
      <c r="O932" s="24"/>
      <c r="P932" s="24"/>
      <c r="Q932" s="24"/>
      <c r="R932" s="24"/>
      <c r="S932" s="24"/>
      <c r="T932" s="24"/>
      <c r="U932" s="24"/>
      <c r="V932" s="24"/>
      <c r="W932" s="24"/>
      <c r="X932" s="24"/>
    </row>
    <row r="933" spans="1:24">
      <c r="A933" s="22">
        <v>46094</v>
      </c>
      <c r="B933" s="23" t="s">
        <v>36</v>
      </c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>
        <v>0</v>
      </c>
      <c r="N933" s="25"/>
      <c r="O933" s="24"/>
      <c r="P933" s="24"/>
      <c r="Q933" s="24"/>
      <c r="R933" s="24"/>
      <c r="S933" s="24"/>
      <c r="T933" s="24"/>
      <c r="U933" s="24"/>
      <c r="V933" s="24"/>
      <c r="W933" s="24"/>
      <c r="X933" s="24"/>
    </row>
    <row r="934" spans="1:24">
      <c r="A934" s="22">
        <v>46095</v>
      </c>
      <c r="B934" s="23" t="s">
        <v>36</v>
      </c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>
        <v>0</v>
      </c>
      <c r="N934" s="25"/>
      <c r="O934" s="24"/>
      <c r="P934" s="24"/>
      <c r="Q934" s="24"/>
      <c r="R934" s="24"/>
      <c r="S934" s="24"/>
      <c r="T934" s="24"/>
      <c r="U934" s="24"/>
      <c r="V934" s="24"/>
      <c r="W934" s="24"/>
      <c r="X934" s="24"/>
    </row>
    <row r="935" spans="1:24">
      <c r="A935" s="22">
        <v>46096</v>
      </c>
      <c r="B935" s="23" t="s">
        <v>36</v>
      </c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>
        <v>0</v>
      </c>
      <c r="N935" s="25"/>
      <c r="O935" s="24"/>
      <c r="P935" s="24"/>
      <c r="Q935" s="24"/>
      <c r="R935" s="24"/>
      <c r="S935" s="24"/>
      <c r="T935" s="24"/>
      <c r="U935" s="24"/>
      <c r="V935" s="24"/>
      <c r="W935" s="24"/>
      <c r="X935" s="24"/>
    </row>
    <row r="936" spans="1:24">
      <c r="A936" s="22">
        <v>46097</v>
      </c>
      <c r="B936" s="23" t="s">
        <v>36</v>
      </c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>
        <v>0</v>
      </c>
      <c r="N936" s="25"/>
      <c r="O936" s="24"/>
      <c r="P936" s="24"/>
      <c r="Q936" s="24"/>
      <c r="R936" s="24"/>
      <c r="S936" s="24"/>
      <c r="T936" s="24"/>
      <c r="U936" s="24"/>
      <c r="V936" s="24"/>
      <c r="W936" s="24"/>
      <c r="X936" s="24"/>
    </row>
    <row r="937" spans="1:24">
      <c r="A937" s="22">
        <v>46098</v>
      </c>
      <c r="B937" s="23" t="s">
        <v>36</v>
      </c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>
        <v>0</v>
      </c>
      <c r="N937" s="25"/>
      <c r="O937" s="24"/>
      <c r="P937" s="24"/>
      <c r="Q937" s="24"/>
      <c r="R937" s="24"/>
      <c r="S937" s="24"/>
      <c r="T937" s="24"/>
      <c r="U937" s="24"/>
      <c r="V937" s="24"/>
      <c r="W937" s="24"/>
      <c r="X937" s="24"/>
    </row>
    <row r="938" spans="1:24">
      <c r="A938" s="22">
        <v>46099</v>
      </c>
      <c r="B938" s="23" t="s">
        <v>36</v>
      </c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>
        <v>0</v>
      </c>
      <c r="N938" s="25"/>
      <c r="O938" s="24"/>
      <c r="P938" s="24"/>
      <c r="Q938" s="24"/>
      <c r="R938" s="24"/>
      <c r="S938" s="24"/>
      <c r="T938" s="24"/>
      <c r="U938" s="24"/>
      <c r="V938" s="24"/>
      <c r="W938" s="24"/>
      <c r="X938" s="24"/>
    </row>
    <row r="939" spans="1:24">
      <c r="A939" s="22">
        <v>46100</v>
      </c>
      <c r="B939" s="23" t="s">
        <v>36</v>
      </c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>
        <v>0</v>
      </c>
      <c r="N939" s="25"/>
      <c r="O939" s="24"/>
      <c r="P939" s="24"/>
      <c r="Q939" s="24"/>
      <c r="R939" s="24"/>
      <c r="S939" s="24"/>
      <c r="T939" s="24"/>
      <c r="U939" s="24"/>
      <c r="V939" s="24"/>
      <c r="W939" s="24"/>
      <c r="X939" s="24"/>
    </row>
    <row r="940" spans="1:24">
      <c r="A940" s="22">
        <v>46101</v>
      </c>
      <c r="B940" s="23" t="s">
        <v>36</v>
      </c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>
        <v>2103</v>
      </c>
      <c r="N940" s="25">
        <v>2103</v>
      </c>
      <c r="O940" s="31">
        <v>110</v>
      </c>
      <c r="P940" s="31">
        <v>1</v>
      </c>
      <c r="Q940" s="31">
        <v>120</v>
      </c>
      <c r="R940" s="31">
        <v>530</v>
      </c>
      <c r="S940" s="31">
        <v>200</v>
      </c>
      <c r="T940" s="31">
        <v>815</v>
      </c>
      <c r="U940" s="31">
        <v>0</v>
      </c>
      <c r="V940" s="31">
        <v>170</v>
      </c>
      <c r="W940" s="9">
        <v>139</v>
      </c>
      <c r="X940" s="31">
        <v>18</v>
      </c>
    </row>
    <row r="941" spans="1:24">
      <c r="A941" s="22">
        <v>46102</v>
      </c>
      <c r="B941" s="23" t="s">
        <v>36</v>
      </c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>
        <v>2156</v>
      </c>
      <c r="N941" s="25">
        <v>2156</v>
      </c>
      <c r="O941" s="31">
        <v>110</v>
      </c>
      <c r="P941" s="31">
        <v>1</v>
      </c>
      <c r="Q941" s="31">
        <v>120</v>
      </c>
      <c r="R941" s="31">
        <v>530</v>
      </c>
      <c r="S941" s="31">
        <v>300</v>
      </c>
      <c r="T941" s="31">
        <v>815</v>
      </c>
      <c r="U941" s="31">
        <v>0</v>
      </c>
      <c r="V941" s="31">
        <v>170</v>
      </c>
      <c r="W941" s="9">
        <v>110</v>
      </c>
      <c r="X941" s="31">
        <v>0</v>
      </c>
    </row>
    <row r="942" spans="1:24">
      <c r="A942" s="22">
        <v>46103</v>
      </c>
      <c r="B942" s="23" t="s">
        <v>36</v>
      </c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>
        <v>2150</v>
      </c>
      <c r="N942" s="25">
        <v>2150</v>
      </c>
      <c r="O942" s="31">
        <v>110</v>
      </c>
      <c r="P942" s="31">
        <v>1</v>
      </c>
      <c r="Q942" s="31">
        <v>120</v>
      </c>
      <c r="R942" s="31">
        <v>530</v>
      </c>
      <c r="S942" s="31">
        <v>300</v>
      </c>
      <c r="T942" s="31">
        <v>815</v>
      </c>
      <c r="U942" s="31">
        <v>0</v>
      </c>
      <c r="V942" s="31">
        <v>170</v>
      </c>
      <c r="W942" s="9">
        <v>104</v>
      </c>
      <c r="X942" s="31">
        <v>0</v>
      </c>
    </row>
    <row r="943" spans="1:24">
      <c r="A943" s="22">
        <v>46104</v>
      </c>
      <c r="B943" s="23" t="s">
        <v>36</v>
      </c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>
        <v>2020</v>
      </c>
      <c r="N943" s="25">
        <v>2020</v>
      </c>
      <c r="O943" s="31">
        <v>110</v>
      </c>
      <c r="P943" s="31">
        <v>1</v>
      </c>
      <c r="Q943" s="31">
        <v>120</v>
      </c>
      <c r="R943" s="31">
        <v>530</v>
      </c>
      <c r="S943" s="31">
        <v>150</v>
      </c>
      <c r="T943" s="31">
        <v>815</v>
      </c>
      <c r="U943" s="31">
        <v>0</v>
      </c>
      <c r="V943" s="31">
        <v>170</v>
      </c>
      <c r="W943" s="9">
        <v>106</v>
      </c>
      <c r="X943" s="31">
        <v>18</v>
      </c>
    </row>
    <row r="944" spans="1:24">
      <c r="A944" s="22">
        <v>46105</v>
      </c>
      <c r="B944" s="23" t="s">
        <v>36</v>
      </c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>
        <v>2018</v>
      </c>
      <c r="N944" s="25">
        <v>2018</v>
      </c>
      <c r="O944" s="31">
        <v>110</v>
      </c>
      <c r="P944" s="31">
        <v>1</v>
      </c>
      <c r="Q944" s="31">
        <v>120</v>
      </c>
      <c r="R944" s="31">
        <v>530</v>
      </c>
      <c r="S944" s="31">
        <v>150</v>
      </c>
      <c r="T944" s="31">
        <v>815</v>
      </c>
      <c r="U944" s="31">
        <v>0</v>
      </c>
      <c r="V944" s="31">
        <v>170</v>
      </c>
      <c r="W944" s="9">
        <v>104</v>
      </c>
      <c r="X944" s="31">
        <v>18</v>
      </c>
    </row>
    <row r="945" spans="1:24">
      <c r="A945" s="22">
        <v>46106</v>
      </c>
      <c r="B945" s="23" t="s">
        <v>36</v>
      </c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>
        <v>2016</v>
      </c>
      <c r="N945" s="25">
        <v>2016</v>
      </c>
      <c r="O945" s="31">
        <v>110</v>
      </c>
      <c r="P945" s="31">
        <v>1</v>
      </c>
      <c r="Q945" s="31">
        <v>120</v>
      </c>
      <c r="R945" s="31">
        <v>530</v>
      </c>
      <c r="S945" s="31">
        <v>150</v>
      </c>
      <c r="T945" s="31">
        <v>815</v>
      </c>
      <c r="U945" s="31">
        <v>0</v>
      </c>
      <c r="V945" s="31">
        <v>170</v>
      </c>
      <c r="W945" s="9">
        <v>102</v>
      </c>
      <c r="X945" s="31">
        <v>18</v>
      </c>
    </row>
    <row r="946" spans="1:24">
      <c r="A946" s="22">
        <v>46107</v>
      </c>
      <c r="B946" s="23" t="s">
        <v>36</v>
      </c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>
        <v>3088</v>
      </c>
      <c r="N946" s="25">
        <v>3088</v>
      </c>
      <c r="O946" s="31">
        <v>110</v>
      </c>
      <c r="P946" s="31">
        <v>1</v>
      </c>
      <c r="Q946" s="31">
        <v>120</v>
      </c>
      <c r="R946" s="31">
        <v>530</v>
      </c>
      <c r="S946" s="31">
        <v>150</v>
      </c>
      <c r="T946" s="31">
        <v>815</v>
      </c>
      <c r="U946" s="31">
        <v>1072</v>
      </c>
      <c r="V946" s="31">
        <v>170</v>
      </c>
      <c r="W946" s="9">
        <v>102</v>
      </c>
      <c r="X946" s="31">
        <v>18</v>
      </c>
    </row>
    <row r="947" spans="1:24">
      <c r="A947" s="22">
        <v>46108</v>
      </c>
      <c r="B947" s="23" t="s">
        <v>36</v>
      </c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>
        <v>3097</v>
      </c>
      <c r="N947" s="25">
        <v>3097</v>
      </c>
      <c r="O947" s="31">
        <v>110</v>
      </c>
      <c r="P947" s="31">
        <v>1</v>
      </c>
      <c r="Q947" s="31">
        <v>120</v>
      </c>
      <c r="R947" s="31">
        <v>530</v>
      </c>
      <c r="S947" s="31">
        <v>150</v>
      </c>
      <c r="T947" s="31">
        <v>815</v>
      </c>
      <c r="U947" s="31">
        <v>1072</v>
      </c>
      <c r="V947" s="31">
        <v>170</v>
      </c>
      <c r="W947" s="9">
        <v>111</v>
      </c>
      <c r="X947" s="31">
        <v>18</v>
      </c>
    </row>
    <row r="948" spans="1:24">
      <c r="A948" s="22">
        <v>46109</v>
      </c>
      <c r="B948" s="23" t="s">
        <v>36</v>
      </c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>
        <v>3237</v>
      </c>
      <c r="N948" s="25">
        <v>3237</v>
      </c>
      <c r="O948" s="31">
        <v>110</v>
      </c>
      <c r="P948" s="31">
        <v>1</v>
      </c>
      <c r="Q948" s="31">
        <v>120</v>
      </c>
      <c r="R948" s="31">
        <v>530</v>
      </c>
      <c r="S948" s="31">
        <v>300</v>
      </c>
      <c r="T948" s="31">
        <v>815</v>
      </c>
      <c r="U948" s="31">
        <v>1072</v>
      </c>
      <c r="V948" s="31">
        <v>170</v>
      </c>
      <c r="W948" s="9">
        <v>119</v>
      </c>
      <c r="X948" s="31">
        <v>0</v>
      </c>
    </row>
    <row r="949" spans="1:24">
      <c r="A949" s="22">
        <v>46110</v>
      </c>
      <c r="B949" s="23" t="s">
        <v>36</v>
      </c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>
        <v>3222</v>
      </c>
      <c r="N949" s="25">
        <v>3222</v>
      </c>
      <c r="O949" s="31">
        <v>110</v>
      </c>
      <c r="P949" s="31">
        <v>1</v>
      </c>
      <c r="Q949" s="31">
        <v>120</v>
      </c>
      <c r="R949" s="31">
        <v>530</v>
      </c>
      <c r="S949" s="31">
        <v>300</v>
      </c>
      <c r="T949" s="31">
        <v>815</v>
      </c>
      <c r="U949" s="31">
        <v>1072</v>
      </c>
      <c r="V949" s="31">
        <v>170</v>
      </c>
      <c r="W949" s="9">
        <v>104</v>
      </c>
      <c r="X949" s="31">
        <v>0</v>
      </c>
    </row>
    <row r="950" spans="1:24">
      <c r="A950" s="22">
        <v>46111</v>
      </c>
      <c r="B950" s="23" t="s">
        <v>36</v>
      </c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>
        <v>2058</v>
      </c>
      <c r="N950" s="25">
        <v>2058</v>
      </c>
      <c r="O950" s="31">
        <v>110</v>
      </c>
      <c r="P950" s="31">
        <v>1</v>
      </c>
      <c r="Q950" s="31">
        <v>120</v>
      </c>
      <c r="R950" s="31">
        <v>530</v>
      </c>
      <c r="S950" s="31">
        <v>150</v>
      </c>
      <c r="T950" s="31">
        <v>815</v>
      </c>
      <c r="U950" s="31">
        <v>0</v>
      </c>
      <c r="V950" s="31">
        <v>170</v>
      </c>
      <c r="W950" s="9">
        <v>144</v>
      </c>
      <c r="X950" s="31">
        <v>18</v>
      </c>
    </row>
    <row r="951" spans="1:24">
      <c r="A951" s="22">
        <v>46112</v>
      </c>
      <c r="B951" s="23" t="s">
        <v>36</v>
      </c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>
        <v>2054</v>
      </c>
      <c r="N951" s="25">
        <v>2054</v>
      </c>
      <c r="O951" s="31">
        <v>110</v>
      </c>
      <c r="P951" s="31">
        <v>1</v>
      </c>
      <c r="Q951" s="31">
        <v>120</v>
      </c>
      <c r="R951" s="31">
        <v>530</v>
      </c>
      <c r="S951" s="31">
        <v>150</v>
      </c>
      <c r="T951" s="31">
        <v>815</v>
      </c>
      <c r="U951" s="31">
        <v>0</v>
      </c>
      <c r="V951" s="31">
        <v>170</v>
      </c>
      <c r="W951" s="9">
        <v>138</v>
      </c>
      <c r="X951" s="31">
        <v>20</v>
      </c>
    </row>
    <row r="952" spans="1:24">
      <c r="A952" s="22">
        <v>46113</v>
      </c>
      <c r="B952" s="23" t="s">
        <v>36</v>
      </c>
      <c r="C952" s="24">
        <v>154.33684</v>
      </c>
      <c r="D952" s="24">
        <v>123.91236000000001</v>
      </c>
      <c r="E952" s="24">
        <v>91.947400000000002</v>
      </c>
      <c r="F952" s="24">
        <v>257.35644000000002</v>
      </c>
      <c r="G952" s="24">
        <v>134.11804000000001</v>
      </c>
      <c r="H952" s="24">
        <v>144.70884000000001</v>
      </c>
      <c r="I952" s="24">
        <v>133.25152</v>
      </c>
      <c r="J952" s="24">
        <v>101.96052</v>
      </c>
      <c r="K952" s="24">
        <v>163.19460000000001</v>
      </c>
      <c r="L952" s="24">
        <v>139.41344000000001</v>
      </c>
      <c r="M952" s="24">
        <v>962.79999999999973</v>
      </c>
      <c r="N952" s="25">
        <v>2407</v>
      </c>
      <c r="O952" s="24">
        <v>132</v>
      </c>
      <c r="P952" s="24">
        <v>2</v>
      </c>
      <c r="Q952" s="24">
        <v>130</v>
      </c>
      <c r="R952" s="24">
        <v>546</v>
      </c>
      <c r="S952" s="24">
        <v>150</v>
      </c>
      <c r="T952" s="24">
        <v>834</v>
      </c>
      <c r="U952" s="24">
        <v>0</v>
      </c>
      <c r="V952" s="24">
        <v>186</v>
      </c>
      <c r="W952" s="24">
        <v>407</v>
      </c>
      <c r="X952" s="24">
        <v>20</v>
      </c>
    </row>
    <row r="953" spans="1:24">
      <c r="A953" s="22">
        <v>46114</v>
      </c>
      <c r="B953" s="23" t="s">
        <v>36</v>
      </c>
      <c r="C953" s="24">
        <v>153.95211999999998</v>
      </c>
      <c r="D953" s="24">
        <v>123.60347999999999</v>
      </c>
      <c r="E953" s="24">
        <v>91.718199999999996</v>
      </c>
      <c r="F953" s="24">
        <v>256.71492000000001</v>
      </c>
      <c r="G953" s="24">
        <v>133.78371999999999</v>
      </c>
      <c r="H953" s="24">
        <v>144.34811999999999</v>
      </c>
      <c r="I953" s="24">
        <v>132.91935999999998</v>
      </c>
      <c r="J953" s="24">
        <v>101.70635999999999</v>
      </c>
      <c r="K953" s="24">
        <v>162.7878</v>
      </c>
      <c r="L953" s="24">
        <v>139.06591999999998</v>
      </c>
      <c r="M953" s="24">
        <v>960.40000000000009</v>
      </c>
      <c r="N953" s="25">
        <v>2401</v>
      </c>
      <c r="O953" s="24">
        <v>132</v>
      </c>
      <c r="P953" s="24">
        <v>2</v>
      </c>
      <c r="Q953" s="24">
        <v>130</v>
      </c>
      <c r="R953" s="24">
        <v>546</v>
      </c>
      <c r="S953" s="24">
        <v>150</v>
      </c>
      <c r="T953" s="24">
        <v>834</v>
      </c>
      <c r="U953" s="24">
        <v>0</v>
      </c>
      <c r="V953" s="24">
        <v>186</v>
      </c>
      <c r="W953" s="24">
        <v>401</v>
      </c>
      <c r="X953" s="24">
        <v>20</v>
      </c>
    </row>
    <row r="954" spans="1:24">
      <c r="A954" s="22">
        <v>46115</v>
      </c>
      <c r="B954" s="23" t="s">
        <v>36</v>
      </c>
      <c r="C954" s="24">
        <v>173.05987999999999</v>
      </c>
      <c r="D954" s="24">
        <v>138.94451999999998</v>
      </c>
      <c r="E954" s="24">
        <v>103.10179999999998</v>
      </c>
      <c r="F954" s="24">
        <v>288.57707999999997</v>
      </c>
      <c r="G954" s="24">
        <v>150.38827999999998</v>
      </c>
      <c r="H954" s="24">
        <v>162.26387999999997</v>
      </c>
      <c r="I954" s="24">
        <v>149.41663999999997</v>
      </c>
      <c r="J954" s="24">
        <v>114.32963999999998</v>
      </c>
      <c r="K954" s="24">
        <v>182.9922</v>
      </c>
      <c r="L954" s="24">
        <v>156.32607999999999</v>
      </c>
      <c r="M954" s="24">
        <v>1079.6000000000001</v>
      </c>
      <c r="N954" s="25">
        <v>2699</v>
      </c>
      <c r="O954" s="24">
        <v>132</v>
      </c>
      <c r="P954" s="24">
        <v>2</v>
      </c>
      <c r="Q954" s="24">
        <v>130</v>
      </c>
      <c r="R954" s="24">
        <v>546</v>
      </c>
      <c r="S954" s="24">
        <v>300</v>
      </c>
      <c r="T954" s="24">
        <v>834</v>
      </c>
      <c r="U954" s="24">
        <v>100</v>
      </c>
      <c r="V954" s="24">
        <v>186</v>
      </c>
      <c r="W954" s="24">
        <v>449</v>
      </c>
      <c r="X954" s="24">
        <v>20</v>
      </c>
    </row>
    <row r="955" spans="1:24">
      <c r="A955" s="22">
        <v>46116</v>
      </c>
      <c r="B955" s="23" t="s">
        <v>36</v>
      </c>
      <c r="C955" s="24">
        <v>169.46915999999999</v>
      </c>
      <c r="D955" s="24">
        <v>136.06164000000001</v>
      </c>
      <c r="E955" s="24">
        <v>100.96259999999999</v>
      </c>
      <c r="F955" s="24">
        <v>282.58956000000001</v>
      </c>
      <c r="G955" s="24">
        <v>147.26795999999999</v>
      </c>
      <c r="H955" s="24">
        <v>158.89715999999999</v>
      </c>
      <c r="I955" s="24">
        <v>146.31647999999998</v>
      </c>
      <c r="J955" s="24">
        <v>111.95747999999999</v>
      </c>
      <c r="K955" s="24">
        <v>179.19540000000001</v>
      </c>
      <c r="L955" s="24">
        <v>153.08256</v>
      </c>
      <c r="M955" s="24">
        <v>1057.1999999999998</v>
      </c>
      <c r="N955" s="25">
        <v>2643</v>
      </c>
      <c r="O955" s="24">
        <v>132</v>
      </c>
      <c r="P955" s="24">
        <v>2</v>
      </c>
      <c r="Q955" s="24">
        <v>130</v>
      </c>
      <c r="R955" s="24">
        <v>546</v>
      </c>
      <c r="S955" s="24">
        <v>300</v>
      </c>
      <c r="T955" s="24">
        <v>834</v>
      </c>
      <c r="U955" s="24">
        <v>100</v>
      </c>
      <c r="V955" s="24">
        <v>186</v>
      </c>
      <c r="W955" s="24">
        <v>413</v>
      </c>
      <c r="X955" s="24">
        <v>0</v>
      </c>
    </row>
    <row r="956" spans="1:24">
      <c r="A956" s="22">
        <v>46117</v>
      </c>
      <c r="B956" s="23" t="s">
        <v>36</v>
      </c>
      <c r="C956" s="24">
        <v>171.45687999999998</v>
      </c>
      <c r="D956" s="24">
        <v>137.65751999999998</v>
      </c>
      <c r="E956" s="24">
        <v>102.14679999999998</v>
      </c>
      <c r="F956" s="24">
        <v>285.90407999999996</v>
      </c>
      <c r="G956" s="24">
        <v>148.99527999999998</v>
      </c>
      <c r="H956" s="24">
        <v>160.76087999999999</v>
      </c>
      <c r="I956" s="24">
        <v>148.03263999999999</v>
      </c>
      <c r="J956" s="24">
        <v>113.27063999999999</v>
      </c>
      <c r="K956" s="24">
        <v>181.2972</v>
      </c>
      <c r="L956" s="24">
        <v>154.87807999999998</v>
      </c>
      <c r="M956" s="24">
        <v>1069.6000000000004</v>
      </c>
      <c r="N956" s="25">
        <v>2674</v>
      </c>
      <c r="O956" s="24">
        <v>132</v>
      </c>
      <c r="P956" s="24">
        <v>2</v>
      </c>
      <c r="Q956" s="24">
        <v>130</v>
      </c>
      <c r="R956" s="24">
        <v>546</v>
      </c>
      <c r="S956" s="24">
        <v>300</v>
      </c>
      <c r="T956" s="24">
        <v>834</v>
      </c>
      <c r="U956" s="24">
        <v>100</v>
      </c>
      <c r="V956" s="24">
        <v>186</v>
      </c>
      <c r="W956" s="24">
        <v>444</v>
      </c>
      <c r="X956" s="24">
        <v>0</v>
      </c>
    </row>
    <row r="957" spans="1:24">
      <c r="A957" s="22">
        <v>46118</v>
      </c>
      <c r="B957" s="23" t="s">
        <v>36</v>
      </c>
      <c r="C957" s="24">
        <v>162.73656</v>
      </c>
      <c r="D957" s="24">
        <v>130.65624</v>
      </c>
      <c r="E957" s="24">
        <v>96.951599999999985</v>
      </c>
      <c r="F957" s="24">
        <v>271.36295999999999</v>
      </c>
      <c r="G957" s="24">
        <v>141.41736</v>
      </c>
      <c r="H957" s="24">
        <v>152.58455999999998</v>
      </c>
      <c r="I957" s="24">
        <v>140.50368</v>
      </c>
      <c r="J957" s="24">
        <v>107.50967999999999</v>
      </c>
      <c r="K957" s="24">
        <v>172.07640000000001</v>
      </c>
      <c r="L957" s="24">
        <v>147.00095999999999</v>
      </c>
      <c r="M957" s="24">
        <v>1015.2000000000003</v>
      </c>
      <c r="N957" s="25">
        <v>2538</v>
      </c>
      <c r="O957" s="24">
        <v>132</v>
      </c>
      <c r="P957" s="24">
        <v>2</v>
      </c>
      <c r="Q957" s="24">
        <v>130</v>
      </c>
      <c r="R957" s="24">
        <v>546</v>
      </c>
      <c r="S957" s="24">
        <v>130</v>
      </c>
      <c r="T957" s="24">
        <v>834</v>
      </c>
      <c r="U957" s="24">
        <v>100</v>
      </c>
      <c r="V957" s="24">
        <v>186</v>
      </c>
      <c r="W957" s="24">
        <v>458</v>
      </c>
      <c r="X957" s="24">
        <v>20</v>
      </c>
    </row>
    <row r="958" spans="1:24">
      <c r="A958" s="22">
        <v>46119</v>
      </c>
      <c r="B958" s="23" t="s">
        <v>36</v>
      </c>
      <c r="C958" s="24">
        <v>169.59739999999999</v>
      </c>
      <c r="D958" s="24">
        <v>136.16460000000001</v>
      </c>
      <c r="E958" s="24">
        <v>101.03899999999999</v>
      </c>
      <c r="F958" s="24">
        <v>282.80340000000001</v>
      </c>
      <c r="G958" s="24">
        <v>147.3794</v>
      </c>
      <c r="H958" s="24">
        <v>159.01740000000001</v>
      </c>
      <c r="I958" s="24">
        <v>146.4272</v>
      </c>
      <c r="J958" s="24">
        <v>112.04219999999999</v>
      </c>
      <c r="K958" s="24">
        <v>179.33100000000002</v>
      </c>
      <c r="L958" s="24">
        <v>153.19839999999999</v>
      </c>
      <c r="M958" s="24">
        <v>1057.9999999999998</v>
      </c>
      <c r="N958" s="25">
        <v>2645</v>
      </c>
      <c r="O958" s="24">
        <v>133</v>
      </c>
      <c r="P958" s="24">
        <v>4</v>
      </c>
      <c r="Q958" s="24">
        <v>132</v>
      </c>
      <c r="R958" s="24">
        <v>547</v>
      </c>
      <c r="S958" s="24">
        <v>151</v>
      </c>
      <c r="T958" s="24">
        <v>837</v>
      </c>
      <c r="U958" s="24">
        <v>100</v>
      </c>
      <c r="V958" s="24">
        <v>188</v>
      </c>
      <c r="W958" s="24">
        <v>533</v>
      </c>
      <c r="X958" s="24">
        <v>20</v>
      </c>
    </row>
    <row r="959" spans="1:24">
      <c r="A959" s="22">
        <v>46120</v>
      </c>
      <c r="B959" s="23" t="s">
        <v>36</v>
      </c>
      <c r="C959" s="24">
        <v>573.93811999999991</v>
      </c>
      <c r="D959" s="24">
        <v>460.79747999999995</v>
      </c>
      <c r="E959" s="24">
        <v>341.92819999999995</v>
      </c>
      <c r="F959" s="24">
        <v>957.04091999999991</v>
      </c>
      <c r="G959" s="24">
        <v>498.74971999999997</v>
      </c>
      <c r="H959" s="24">
        <v>538.13411999999994</v>
      </c>
      <c r="I959" s="24">
        <v>495.52735999999993</v>
      </c>
      <c r="J959" s="24">
        <v>379.16435999999993</v>
      </c>
      <c r="K959" s="24">
        <v>606.87779999999998</v>
      </c>
      <c r="L959" s="24">
        <v>518.44191999999998</v>
      </c>
      <c r="M959" s="24">
        <v>3580.4000000000005</v>
      </c>
      <c r="N959" s="25">
        <v>8951</v>
      </c>
      <c r="O959" s="24">
        <v>963</v>
      </c>
      <c r="P959" s="24">
        <v>31</v>
      </c>
      <c r="Q959" s="24">
        <v>1298</v>
      </c>
      <c r="R959" s="24">
        <v>1308</v>
      </c>
      <c r="S959" s="24">
        <v>1172</v>
      </c>
      <c r="T959" s="24">
        <v>1308</v>
      </c>
      <c r="U959" s="24">
        <v>1486</v>
      </c>
      <c r="V959" s="24">
        <v>491</v>
      </c>
      <c r="W959" s="24">
        <v>852</v>
      </c>
      <c r="X959" s="24">
        <v>42</v>
      </c>
    </row>
    <row r="960" spans="1:24">
      <c r="A960" s="22">
        <v>46121</v>
      </c>
      <c r="B960" s="23" t="s">
        <v>36</v>
      </c>
      <c r="C960" s="24">
        <v>574.38696000000004</v>
      </c>
      <c r="D960" s="24">
        <v>461.15784000000002</v>
      </c>
      <c r="E960" s="24">
        <v>342.19560000000001</v>
      </c>
      <c r="F960" s="24">
        <v>957.78935999999999</v>
      </c>
      <c r="G960" s="24">
        <v>499.13976000000002</v>
      </c>
      <c r="H960" s="24">
        <v>538.55496000000005</v>
      </c>
      <c r="I960" s="24">
        <v>495.91487999999998</v>
      </c>
      <c r="J960" s="24">
        <v>379.46087999999997</v>
      </c>
      <c r="K960" s="24">
        <v>607.35239999999999</v>
      </c>
      <c r="L960" s="24">
        <v>518.84735999999998</v>
      </c>
      <c r="M960" s="24">
        <v>3583.2000000000007</v>
      </c>
      <c r="N960" s="25">
        <v>8958</v>
      </c>
      <c r="O960" s="24">
        <v>961</v>
      </c>
      <c r="P960" s="24">
        <v>27</v>
      </c>
      <c r="Q960" s="24">
        <v>1287</v>
      </c>
      <c r="R960" s="24">
        <v>1315</v>
      </c>
      <c r="S960" s="24">
        <v>1179</v>
      </c>
      <c r="T960" s="24">
        <v>1315</v>
      </c>
      <c r="U960" s="24">
        <v>1487</v>
      </c>
      <c r="V960" s="24">
        <v>499</v>
      </c>
      <c r="W960" s="24">
        <v>852</v>
      </c>
      <c r="X960" s="24">
        <v>36</v>
      </c>
    </row>
    <row r="961" spans="1:24">
      <c r="A961" s="22">
        <v>46122</v>
      </c>
      <c r="B961" s="23" t="s">
        <v>36</v>
      </c>
      <c r="C961" s="24">
        <v>573.6175199999999</v>
      </c>
      <c r="D961" s="24">
        <v>460.54007999999993</v>
      </c>
      <c r="E961" s="24">
        <v>341.73719999999997</v>
      </c>
      <c r="F961" s="24">
        <v>956.50631999999985</v>
      </c>
      <c r="G961" s="24">
        <v>498.47111999999993</v>
      </c>
      <c r="H961" s="24">
        <v>537.83351999999991</v>
      </c>
      <c r="I961" s="24">
        <v>495.25055999999995</v>
      </c>
      <c r="J961" s="24">
        <v>378.95255999999995</v>
      </c>
      <c r="K961" s="24">
        <v>606.53879999999992</v>
      </c>
      <c r="L961" s="24">
        <v>518.15231999999992</v>
      </c>
      <c r="M961" s="24">
        <v>3578.3999999999996</v>
      </c>
      <c r="N961" s="25">
        <v>8946</v>
      </c>
      <c r="O961" s="24">
        <v>961</v>
      </c>
      <c r="P961" s="24">
        <v>27</v>
      </c>
      <c r="Q961" s="24">
        <v>1287</v>
      </c>
      <c r="R961" s="24">
        <v>1315</v>
      </c>
      <c r="S961" s="24">
        <v>1179</v>
      </c>
      <c r="T961" s="24">
        <v>1315</v>
      </c>
      <c r="U961" s="24">
        <v>1487</v>
      </c>
      <c r="V961" s="24">
        <v>499</v>
      </c>
      <c r="W961" s="24">
        <v>840</v>
      </c>
      <c r="X961" s="24">
        <v>36</v>
      </c>
    </row>
    <row r="962" spans="1:24">
      <c r="A962" s="22">
        <v>46123</v>
      </c>
      <c r="B962" s="23" t="s">
        <v>36</v>
      </c>
      <c r="C962" s="24">
        <v>579.83716000000004</v>
      </c>
      <c r="D962" s="24">
        <v>465.53364000000005</v>
      </c>
      <c r="E962" s="24">
        <v>345.44259999999997</v>
      </c>
      <c r="F962" s="24">
        <v>966.87756000000002</v>
      </c>
      <c r="G962" s="24">
        <v>503.87596000000002</v>
      </c>
      <c r="H962" s="24">
        <v>543.66516000000001</v>
      </c>
      <c r="I962" s="24">
        <v>500.62047999999999</v>
      </c>
      <c r="J962" s="24">
        <v>383.06148000000002</v>
      </c>
      <c r="K962" s="24">
        <v>613.11540000000002</v>
      </c>
      <c r="L962" s="24">
        <v>523.77056000000005</v>
      </c>
      <c r="M962" s="24">
        <v>3617.2000000000007</v>
      </c>
      <c r="N962" s="25">
        <v>9043</v>
      </c>
      <c r="O962" s="24">
        <v>961</v>
      </c>
      <c r="P962" s="24">
        <v>27</v>
      </c>
      <c r="Q962" s="24">
        <v>1287</v>
      </c>
      <c r="R962" s="24">
        <v>1315</v>
      </c>
      <c r="S962" s="24">
        <v>1179</v>
      </c>
      <c r="T962" s="24">
        <v>1315</v>
      </c>
      <c r="U962" s="24">
        <v>1487</v>
      </c>
      <c r="V962" s="24">
        <v>499</v>
      </c>
      <c r="W962" s="24">
        <v>937</v>
      </c>
      <c r="X962" s="24">
        <v>36</v>
      </c>
    </row>
    <row r="963" spans="1:24">
      <c r="A963" s="22">
        <v>46124</v>
      </c>
      <c r="B963" s="23" t="s">
        <v>36</v>
      </c>
      <c r="C963" s="24">
        <v>580.79895999999997</v>
      </c>
      <c r="D963" s="24">
        <v>466.30584000000005</v>
      </c>
      <c r="E963" s="24">
        <v>346.01560000000001</v>
      </c>
      <c r="F963" s="24">
        <v>968.48136</v>
      </c>
      <c r="G963" s="24">
        <v>504.71176000000003</v>
      </c>
      <c r="H963" s="24">
        <v>544.56695999999999</v>
      </c>
      <c r="I963" s="24">
        <v>501.45087999999998</v>
      </c>
      <c r="J963" s="24">
        <v>383.69687999999996</v>
      </c>
      <c r="K963" s="24">
        <v>614.13240000000008</v>
      </c>
      <c r="L963" s="24">
        <v>524.63936000000001</v>
      </c>
      <c r="M963" s="24">
        <v>3623.2</v>
      </c>
      <c r="N963" s="25">
        <v>9058</v>
      </c>
      <c r="O963" s="24">
        <v>961</v>
      </c>
      <c r="P963" s="24">
        <v>27</v>
      </c>
      <c r="Q963" s="24">
        <v>1287</v>
      </c>
      <c r="R963" s="24">
        <v>1315</v>
      </c>
      <c r="S963" s="24">
        <v>1179</v>
      </c>
      <c r="T963" s="24">
        <v>1315</v>
      </c>
      <c r="U963" s="24">
        <v>1487</v>
      </c>
      <c r="V963" s="24">
        <v>499</v>
      </c>
      <c r="W963" s="24">
        <v>952</v>
      </c>
      <c r="X963" s="24">
        <v>36</v>
      </c>
    </row>
    <row r="964" spans="1:24">
      <c r="A964" s="22">
        <v>46125</v>
      </c>
      <c r="B964" s="23" t="s">
        <v>36</v>
      </c>
      <c r="C964" s="24">
        <v>576.63116000000002</v>
      </c>
      <c r="D964" s="24">
        <v>462.95964000000004</v>
      </c>
      <c r="E964" s="24">
        <v>343.5326</v>
      </c>
      <c r="F964" s="24">
        <v>961.53156000000001</v>
      </c>
      <c r="G964" s="24">
        <v>501.08996000000002</v>
      </c>
      <c r="H964" s="24">
        <v>540.65916000000004</v>
      </c>
      <c r="I964" s="24">
        <v>497.85248000000001</v>
      </c>
      <c r="J964" s="24">
        <v>380.94347999999997</v>
      </c>
      <c r="K964" s="24">
        <v>609.72540000000004</v>
      </c>
      <c r="L964" s="24">
        <v>520.87455999999997</v>
      </c>
      <c r="M964" s="24">
        <v>3597.1999999999989</v>
      </c>
      <c r="N964" s="25">
        <v>8993</v>
      </c>
      <c r="O964" s="24">
        <v>961</v>
      </c>
      <c r="P964" s="24">
        <v>27</v>
      </c>
      <c r="Q964" s="24">
        <v>1287</v>
      </c>
      <c r="R964" s="24">
        <v>1315</v>
      </c>
      <c r="S964" s="24">
        <v>1179</v>
      </c>
      <c r="T964" s="24">
        <v>1315</v>
      </c>
      <c r="U964" s="24">
        <v>1487</v>
      </c>
      <c r="V964" s="24">
        <v>499</v>
      </c>
      <c r="W964" s="24">
        <v>887</v>
      </c>
      <c r="X964" s="24">
        <v>36</v>
      </c>
    </row>
    <row r="965" spans="1:24">
      <c r="A965" s="22">
        <v>46126</v>
      </c>
      <c r="B965" s="23" t="s">
        <v>36</v>
      </c>
      <c r="C965" s="24">
        <v>572.27099999999996</v>
      </c>
      <c r="D965" s="24">
        <v>459.459</v>
      </c>
      <c r="E965" s="24">
        <v>340.935</v>
      </c>
      <c r="F965" s="24">
        <v>954.26099999999997</v>
      </c>
      <c r="G965" s="24">
        <v>497.30099999999999</v>
      </c>
      <c r="H965" s="24">
        <v>536.57100000000003</v>
      </c>
      <c r="I965" s="24">
        <v>494.08799999999997</v>
      </c>
      <c r="J965" s="24">
        <v>378.06299999999999</v>
      </c>
      <c r="K965" s="24">
        <v>605.11500000000001</v>
      </c>
      <c r="L965" s="24">
        <v>516.93600000000004</v>
      </c>
      <c r="M965" s="24">
        <v>3570.0000000000009</v>
      </c>
      <c r="N965" s="25">
        <v>8925</v>
      </c>
      <c r="O965" s="24">
        <v>961</v>
      </c>
      <c r="P965" s="24">
        <v>27</v>
      </c>
      <c r="Q965" s="24">
        <v>1287</v>
      </c>
      <c r="R965" s="24">
        <v>1315</v>
      </c>
      <c r="S965" s="24">
        <v>1179</v>
      </c>
      <c r="T965" s="24">
        <v>1315</v>
      </c>
      <c r="U965" s="24">
        <v>1487</v>
      </c>
      <c r="V965" s="24">
        <v>499</v>
      </c>
      <c r="W965" s="24">
        <v>819</v>
      </c>
      <c r="X965" s="24">
        <v>36</v>
      </c>
    </row>
    <row r="966" spans="1:24">
      <c r="A966" s="22">
        <v>46127</v>
      </c>
      <c r="B966" s="23" t="s">
        <v>36</v>
      </c>
      <c r="C966" s="24">
        <v>569.70619999999997</v>
      </c>
      <c r="D966" s="24">
        <v>457.39980000000003</v>
      </c>
      <c r="E966" s="24">
        <v>339.40699999999998</v>
      </c>
      <c r="F966" s="24">
        <v>949.98419999999999</v>
      </c>
      <c r="G966" s="24">
        <v>495.07220000000001</v>
      </c>
      <c r="H966" s="24">
        <v>534.1662</v>
      </c>
      <c r="I966" s="24">
        <v>491.87360000000001</v>
      </c>
      <c r="J966" s="24">
        <v>376.36859999999996</v>
      </c>
      <c r="K966" s="24">
        <v>602.40300000000002</v>
      </c>
      <c r="L966" s="24">
        <v>514.61919999999998</v>
      </c>
      <c r="M966" s="24">
        <v>3554</v>
      </c>
      <c r="N966" s="25">
        <v>8885</v>
      </c>
      <c r="O966" s="24">
        <v>961</v>
      </c>
      <c r="P966" s="24">
        <v>27</v>
      </c>
      <c r="Q966" s="24">
        <v>1287</v>
      </c>
      <c r="R966" s="24">
        <v>1315</v>
      </c>
      <c r="S966" s="24">
        <v>1179</v>
      </c>
      <c r="T966" s="24">
        <v>1315</v>
      </c>
      <c r="U966" s="24">
        <v>1487</v>
      </c>
      <c r="V966" s="24">
        <v>499</v>
      </c>
      <c r="W966" s="24">
        <v>779</v>
      </c>
      <c r="X966" s="24">
        <v>36</v>
      </c>
    </row>
    <row r="967" spans="1:24">
      <c r="A967" s="22">
        <v>46128</v>
      </c>
      <c r="B967" s="23" t="s">
        <v>36</v>
      </c>
      <c r="C967" s="24">
        <v>573.48928000000001</v>
      </c>
      <c r="D967" s="24">
        <v>460.43711999999999</v>
      </c>
      <c r="E967" s="24">
        <v>341.66079999999994</v>
      </c>
      <c r="F967" s="24">
        <v>956.29247999999995</v>
      </c>
      <c r="G967" s="24">
        <v>498.35967999999997</v>
      </c>
      <c r="H967" s="24">
        <v>537.71327999999994</v>
      </c>
      <c r="I967" s="24">
        <v>495.13983999999994</v>
      </c>
      <c r="J967" s="24">
        <v>378.86783999999994</v>
      </c>
      <c r="K967" s="24">
        <v>606.40319999999997</v>
      </c>
      <c r="L967" s="24">
        <v>518.03647999999998</v>
      </c>
      <c r="M967" s="24">
        <v>3577.6000000000004</v>
      </c>
      <c r="N967" s="25">
        <v>8944</v>
      </c>
      <c r="O967" s="24">
        <v>961</v>
      </c>
      <c r="P967" s="24">
        <v>27</v>
      </c>
      <c r="Q967" s="24">
        <v>1287</v>
      </c>
      <c r="R967" s="24">
        <v>1315</v>
      </c>
      <c r="S967" s="24">
        <v>1179</v>
      </c>
      <c r="T967" s="24">
        <v>1315</v>
      </c>
      <c r="U967" s="24">
        <v>1487</v>
      </c>
      <c r="V967" s="24">
        <v>499</v>
      </c>
      <c r="W967" s="24">
        <v>838</v>
      </c>
      <c r="X967" s="24">
        <v>36</v>
      </c>
    </row>
    <row r="968" spans="1:24">
      <c r="A968" s="22">
        <v>46129</v>
      </c>
      <c r="B968" s="23" t="s">
        <v>36</v>
      </c>
      <c r="C968" s="24">
        <v>575.47699999999998</v>
      </c>
      <c r="D968" s="24">
        <v>462.03300000000002</v>
      </c>
      <c r="E968" s="24">
        <v>342.84499999999997</v>
      </c>
      <c r="F968" s="24">
        <v>959.60699999999997</v>
      </c>
      <c r="G968" s="24">
        <v>500.08699999999999</v>
      </c>
      <c r="H968" s="24">
        <v>539.577</v>
      </c>
      <c r="I968" s="24">
        <v>496.85599999999999</v>
      </c>
      <c r="J968" s="24">
        <v>380.18099999999998</v>
      </c>
      <c r="K968" s="24">
        <v>608.505</v>
      </c>
      <c r="L968" s="24">
        <v>519.83199999999999</v>
      </c>
      <c r="M968" s="24">
        <v>3590</v>
      </c>
      <c r="N968" s="25">
        <v>8975</v>
      </c>
      <c r="O968" s="24">
        <v>961</v>
      </c>
      <c r="P968" s="24">
        <v>27</v>
      </c>
      <c r="Q968" s="24">
        <v>1287</v>
      </c>
      <c r="R968" s="24">
        <v>1315</v>
      </c>
      <c r="S968" s="24">
        <v>1179</v>
      </c>
      <c r="T968" s="24">
        <v>1315</v>
      </c>
      <c r="U968" s="24">
        <v>1487</v>
      </c>
      <c r="V968" s="24">
        <v>499</v>
      </c>
      <c r="W968" s="24">
        <v>869</v>
      </c>
      <c r="X968" s="24">
        <v>36</v>
      </c>
    </row>
    <row r="969" spans="1:24">
      <c r="A969" s="22">
        <v>46130</v>
      </c>
      <c r="B969" s="23" t="s">
        <v>36</v>
      </c>
      <c r="C969" s="24">
        <v>576.05408</v>
      </c>
      <c r="D969" s="24">
        <v>462.49631999999997</v>
      </c>
      <c r="E969" s="24">
        <v>343.18879999999996</v>
      </c>
      <c r="F969" s="24">
        <v>960.56927999999994</v>
      </c>
      <c r="G969" s="24">
        <v>500.58847999999995</v>
      </c>
      <c r="H969" s="24">
        <v>540.11807999999996</v>
      </c>
      <c r="I969" s="24">
        <v>497.35423999999995</v>
      </c>
      <c r="J969" s="24">
        <v>380.56223999999997</v>
      </c>
      <c r="K969" s="24">
        <v>609.11519999999996</v>
      </c>
      <c r="L969" s="24">
        <v>520.35327999999993</v>
      </c>
      <c r="M969" s="24">
        <v>3593.6000000000004</v>
      </c>
      <c r="N969" s="25">
        <v>8984</v>
      </c>
      <c r="O969" s="24">
        <v>961</v>
      </c>
      <c r="P969" s="24">
        <v>27</v>
      </c>
      <c r="Q969" s="24">
        <v>1287</v>
      </c>
      <c r="R969" s="24">
        <v>1315</v>
      </c>
      <c r="S969" s="24">
        <v>1179</v>
      </c>
      <c r="T969" s="24">
        <v>1315</v>
      </c>
      <c r="U969" s="24">
        <v>1487</v>
      </c>
      <c r="V969" s="24">
        <v>499</v>
      </c>
      <c r="W969" s="24">
        <v>878</v>
      </c>
      <c r="X969" s="24">
        <v>36</v>
      </c>
    </row>
    <row r="970" spans="1:24">
      <c r="A970" s="22">
        <v>46131</v>
      </c>
      <c r="B970" s="23" t="s">
        <v>36</v>
      </c>
      <c r="C970" s="24">
        <v>580.60659999999996</v>
      </c>
      <c r="D970" s="24">
        <v>466.15140000000002</v>
      </c>
      <c r="E970" s="24">
        <v>345.90099999999995</v>
      </c>
      <c r="F970" s="24">
        <v>968.16059999999993</v>
      </c>
      <c r="G970" s="24">
        <v>504.5446</v>
      </c>
      <c r="H970" s="24">
        <v>544.38659999999993</v>
      </c>
      <c r="I970" s="24">
        <v>501.28479999999996</v>
      </c>
      <c r="J970" s="24">
        <v>383.56979999999999</v>
      </c>
      <c r="K970" s="24">
        <v>613.92899999999997</v>
      </c>
      <c r="L970" s="24">
        <v>524.46559999999999</v>
      </c>
      <c r="M970" s="24">
        <v>3622</v>
      </c>
      <c r="N970" s="25">
        <v>9055</v>
      </c>
      <c r="O970" s="24">
        <v>961</v>
      </c>
      <c r="P970" s="24">
        <v>27</v>
      </c>
      <c r="Q970" s="24">
        <v>1287</v>
      </c>
      <c r="R970" s="24">
        <v>1315</v>
      </c>
      <c r="S970" s="24">
        <v>1179</v>
      </c>
      <c r="T970" s="24">
        <v>1315</v>
      </c>
      <c r="U970" s="24">
        <v>1487</v>
      </c>
      <c r="V970" s="24">
        <v>499</v>
      </c>
      <c r="W970" s="24">
        <v>949</v>
      </c>
      <c r="X970" s="24">
        <v>36</v>
      </c>
    </row>
    <row r="971" spans="1:24">
      <c r="A971" s="22">
        <v>46132</v>
      </c>
      <c r="B971" s="23" t="s">
        <v>36</v>
      </c>
      <c r="C971" s="24">
        <v>580.22187999999994</v>
      </c>
      <c r="D971" s="24">
        <v>465.84251999999998</v>
      </c>
      <c r="E971" s="24">
        <v>345.67179999999996</v>
      </c>
      <c r="F971" s="24">
        <v>967.51907999999992</v>
      </c>
      <c r="G971" s="24">
        <v>504.21027999999995</v>
      </c>
      <c r="H971" s="24">
        <v>544.02587999999992</v>
      </c>
      <c r="I971" s="24">
        <v>500.95263999999997</v>
      </c>
      <c r="J971" s="24">
        <v>383.31563999999997</v>
      </c>
      <c r="K971" s="24">
        <v>613.5222</v>
      </c>
      <c r="L971" s="24">
        <v>524.11807999999996</v>
      </c>
      <c r="M971" s="24">
        <v>3619.5999999999995</v>
      </c>
      <c r="N971" s="25">
        <v>9049</v>
      </c>
      <c r="O971" s="24">
        <v>961</v>
      </c>
      <c r="P971" s="24">
        <v>27</v>
      </c>
      <c r="Q971" s="24">
        <v>1287</v>
      </c>
      <c r="R971" s="24">
        <v>1315</v>
      </c>
      <c r="S971" s="24">
        <v>1179</v>
      </c>
      <c r="T971" s="24">
        <v>1315</v>
      </c>
      <c r="U971" s="24">
        <v>1487</v>
      </c>
      <c r="V971" s="24">
        <v>499</v>
      </c>
      <c r="W971" s="24">
        <v>943</v>
      </c>
      <c r="X971" s="24">
        <v>36</v>
      </c>
    </row>
    <row r="972" spans="1:24">
      <c r="A972" s="22">
        <v>46133</v>
      </c>
      <c r="B972" s="23" t="s">
        <v>36</v>
      </c>
      <c r="C972" s="24">
        <v>582.27371999999991</v>
      </c>
      <c r="D972" s="24">
        <v>467.48987999999997</v>
      </c>
      <c r="E972" s="24">
        <v>346.89419999999996</v>
      </c>
      <c r="F972" s="24">
        <v>970.94051999999988</v>
      </c>
      <c r="G972" s="24">
        <v>505.99331999999993</v>
      </c>
      <c r="H972" s="24">
        <v>545.94971999999996</v>
      </c>
      <c r="I972" s="24">
        <v>502.72415999999993</v>
      </c>
      <c r="J972" s="24">
        <v>384.67115999999993</v>
      </c>
      <c r="K972" s="24">
        <v>615.69179999999994</v>
      </c>
      <c r="L972" s="24">
        <v>525.97151999999994</v>
      </c>
      <c r="M972" s="24">
        <v>3632.4000000000005</v>
      </c>
      <c r="N972" s="25">
        <v>9081</v>
      </c>
      <c r="O972" s="24">
        <v>961</v>
      </c>
      <c r="P972" s="24">
        <v>27</v>
      </c>
      <c r="Q972" s="24">
        <v>1287</v>
      </c>
      <c r="R972" s="24">
        <v>1315</v>
      </c>
      <c r="S972" s="24">
        <v>1179</v>
      </c>
      <c r="T972" s="24">
        <v>1315</v>
      </c>
      <c r="U972" s="24">
        <v>1487</v>
      </c>
      <c r="V972" s="24">
        <v>499</v>
      </c>
      <c r="W972" s="24">
        <v>975</v>
      </c>
      <c r="X972" s="24">
        <v>36</v>
      </c>
    </row>
    <row r="973" spans="1:24">
      <c r="A973" s="22">
        <v>46134</v>
      </c>
      <c r="B973" s="23" t="s">
        <v>36</v>
      </c>
      <c r="C973" s="24">
        <v>579.96540000000005</v>
      </c>
      <c r="D973" s="24">
        <v>465.63659999999999</v>
      </c>
      <c r="E973" s="24">
        <v>345.51900000000001</v>
      </c>
      <c r="F973" s="24">
        <v>967.09140000000002</v>
      </c>
      <c r="G973" s="24">
        <v>503.98739999999998</v>
      </c>
      <c r="H973" s="24">
        <v>543.78539999999998</v>
      </c>
      <c r="I973" s="24">
        <v>500.7312</v>
      </c>
      <c r="J973" s="24">
        <v>383.14619999999996</v>
      </c>
      <c r="K973" s="24">
        <v>613.25099999999998</v>
      </c>
      <c r="L973" s="24">
        <v>523.88639999999998</v>
      </c>
      <c r="M973" s="24">
        <v>3617.9999999999991</v>
      </c>
      <c r="N973" s="25">
        <v>9045</v>
      </c>
      <c r="O973" s="24">
        <v>961</v>
      </c>
      <c r="P973" s="24">
        <v>27</v>
      </c>
      <c r="Q973" s="24">
        <v>1287</v>
      </c>
      <c r="R973" s="24">
        <v>1315</v>
      </c>
      <c r="S973" s="24">
        <v>1179</v>
      </c>
      <c r="T973" s="24">
        <v>1315</v>
      </c>
      <c r="U973" s="24">
        <v>1487</v>
      </c>
      <c r="V973" s="24">
        <v>499</v>
      </c>
      <c r="W973" s="24">
        <v>939</v>
      </c>
      <c r="X973" s="24">
        <v>36</v>
      </c>
    </row>
    <row r="974" spans="1:24">
      <c r="A974" s="22">
        <v>46135</v>
      </c>
      <c r="B974" s="23" t="s">
        <v>36</v>
      </c>
      <c r="C974" s="24">
        <v>579.96540000000005</v>
      </c>
      <c r="D974" s="24">
        <v>465.63659999999999</v>
      </c>
      <c r="E974" s="24">
        <v>345.51900000000001</v>
      </c>
      <c r="F974" s="24">
        <v>967.09140000000002</v>
      </c>
      <c r="G974" s="24">
        <v>503.98739999999998</v>
      </c>
      <c r="H974" s="24">
        <v>543.78539999999998</v>
      </c>
      <c r="I974" s="24">
        <v>500.7312</v>
      </c>
      <c r="J974" s="24">
        <v>383.14619999999996</v>
      </c>
      <c r="K974" s="24">
        <v>613.25099999999998</v>
      </c>
      <c r="L974" s="24">
        <v>523.88639999999998</v>
      </c>
      <c r="M974" s="24">
        <v>3617.9999999999991</v>
      </c>
      <c r="N974" s="25">
        <v>9045</v>
      </c>
      <c r="O974" s="24">
        <v>961</v>
      </c>
      <c r="P974" s="24">
        <v>27</v>
      </c>
      <c r="Q974" s="24">
        <v>1287</v>
      </c>
      <c r="R974" s="24">
        <v>1315</v>
      </c>
      <c r="S974" s="24">
        <v>1179</v>
      </c>
      <c r="T974" s="24">
        <v>1315</v>
      </c>
      <c r="U974" s="24">
        <v>1487</v>
      </c>
      <c r="V974" s="24">
        <v>499</v>
      </c>
      <c r="W974" s="24">
        <v>939</v>
      </c>
      <c r="X974" s="24">
        <v>36</v>
      </c>
    </row>
    <row r="975" spans="1:24">
      <c r="A975" s="22">
        <v>46136</v>
      </c>
      <c r="B975" s="23" t="s">
        <v>36</v>
      </c>
      <c r="C975" s="24">
        <v>582.72256000000004</v>
      </c>
      <c r="D975" s="24">
        <v>467.85024000000004</v>
      </c>
      <c r="E975" s="24">
        <v>347.16159999999996</v>
      </c>
      <c r="F975" s="24">
        <v>971.68896000000007</v>
      </c>
      <c r="G975" s="24">
        <v>506.38336000000004</v>
      </c>
      <c r="H975" s="24">
        <v>546.37055999999995</v>
      </c>
      <c r="I975" s="24">
        <v>503.11167999999998</v>
      </c>
      <c r="J975" s="24">
        <v>384.96767999999997</v>
      </c>
      <c r="K975" s="24">
        <v>616.16640000000007</v>
      </c>
      <c r="L975" s="24">
        <v>526.37696000000005</v>
      </c>
      <c r="M975" s="24">
        <v>3635.1999999999989</v>
      </c>
      <c r="N975" s="25">
        <v>9088</v>
      </c>
      <c r="O975" s="24">
        <v>961</v>
      </c>
      <c r="P975" s="24">
        <v>27</v>
      </c>
      <c r="Q975" s="24">
        <v>1287</v>
      </c>
      <c r="R975" s="24">
        <v>1315</v>
      </c>
      <c r="S975" s="24">
        <v>1179</v>
      </c>
      <c r="T975" s="24">
        <v>1315</v>
      </c>
      <c r="U975" s="24">
        <v>1487</v>
      </c>
      <c r="V975" s="24">
        <v>499</v>
      </c>
      <c r="W975" s="24">
        <v>982</v>
      </c>
      <c r="X975" s="24">
        <v>36</v>
      </c>
    </row>
    <row r="976" spans="1:24">
      <c r="A976" s="22">
        <v>46137</v>
      </c>
      <c r="B976" s="23" t="s">
        <v>36</v>
      </c>
      <c r="C976" s="24">
        <v>587.91627999999992</v>
      </c>
      <c r="D976" s="24">
        <v>472.02011999999996</v>
      </c>
      <c r="E976" s="24">
        <v>350.25579999999997</v>
      </c>
      <c r="F976" s="24">
        <v>980.34947999999997</v>
      </c>
      <c r="G976" s="24">
        <v>510.89667999999995</v>
      </c>
      <c r="H976" s="24">
        <v>551.24027999999998</v>
      </c>
      <c r="I976" s="24">
        <v>507.59583999999995</v>
      </c>
      <c r="J976" s="24">
        <v>388.39883999999995</v>
      </c>
      <c r="K976" s="24">
        <v>621.65819999999997</v>
      </c>
      <c r="L976" s="24">
        <v>531.06847999999991</v>
      </c>
      <c r="M976" s="24">
        <v>3667.6000000000004</v>
      </c>
      <c r="N976" s="25">
        <v>9169</v>
      </c>
      <c r="O976" s="24">
        <v>961</v>
      </c>
      <c r="P976" s="24">
        <v>27</v>
      </c>
      <c r="Q976" s="24">
        <v>1287</v>
      </c>
      <c r="R976" s="24">
        <v>1315</v>
      </c>
      <c r="S976" s="24">
        <v>1179</v>
      </c>
      <c r="T976" s="24">
        <v>1315</v>
      </c>
      <c r="U976" s="24">
        <v>1487</v>
      </c>
      <c r="V976" s="24">
        <v>499</v>
      </c>
      <c r="W976" s="24">
        <v>1063</v>
      </c>
      <c r="X976" s="24">
        <v>36</v>
      </c>
    </row>
    <row r="977" spans="1:24">
      <c r="A977" s="22">
        <v>46138</v>
      </c>
      <c r="B977" s="23" t="s">
        <v>36</v>
      </c>
      <c r="C977" s="24">
        <v>574.89991999999995</v>
      </c>
      <c r="D977" s="24">
        <v>461.56967999999995</v>
      </c>
      <c r="E977" s="24">
        <v>342.50119999999993</v>
      </c>
      <c r="F977" s="24">
        <v>958.64471999999989</v>
      </c>
      <c r="G977" s="24">
        <v>499.58551999999997</v>
      </c>
      <c r="H977" s="24">
        <v>539.03591999999992</v>
      </c>
      <c r="I977" s="24">
        <v>496.35775999999993</v>
      </c>
      <c r="J977" s="24">
        <v>379.79975999999994</v>
      </c>
      <c r="K977" s="24">
        <v>607.89479999999992</v>
      </c>
      <c r="L977" s="24">
        <v>519.31071999999995</v>
      </c>
      <c r="M977" s="24">
        <v>3586.3999999999996</v>
      </c>
      <c r="N977" s="25">
        <v>8966</v>
      </c>
      <c r="O977" s="24">
        <v>961</v>
      </c>
      <c r="P977" s="24">
        <v>27</v>
      </c>
      <c r="Q977" s="24">
        <v>1287</v>
      </c>
      <c r="R977" s="24">
        <v>1315</v>
      </c>
      <c r="S977" s="24">
        <v>1179</v>
      </c>
      <c r="T977" s="24">
        <v>1315</v>
      </c>
      <c r="U977" s="24">
        <v>1487</v>
      </c>
      <c r="V977" s="24">
        <v>499</v>
      </c>
      <c r="W977" s="24">
        <v>860</v>
      </c>
      <c r="X977" s="24">
        <v>36</v>
      </c>
    </row>
    <row r="978" spans="1:24">
      <c r="A978" s="22">
        <v>46139</v>
      </c>
      <c r="B978" s="23" t="s">
        <v>36</v>
      </c>
      <c r="C978" s="24">
        <v>575.15639999999996</v>
      </c>
      <c r="D978" s="24">
        <v>461.7756</v>
      </c>
      <c r="E978" s="24">
        <v>342.654</v>
      </c>
      <c r="F978" s="24">
        <v>959.07240000000002</v>
      </c>
      <c r="G978" s="24">
        <v>499.80840000000001</v>
      </c>
      <c r="H978" s="24">
        <v>539.27639999999997</v>
      </c>
      <c r="I978" s="24">
        <v>496.57919999999996</v>
      </c>
      <c r="J978" s="24">
        <v>379.9692</v>
      </c>
      <c r="K978" s="24">
        <v>608.16600000000005</v>
      </c>
      <c r="L978" s="24">
        <v>519.54240000000004</v>
      </c>
      <c r="M978" s="24">
        <v>3587.9999999999991</v>
      </c>
      <c r="N978" s="25">
        <v>8970</v>
      </c>
      <c r="O978" s="24">
        <v>961</v>
      </c>
      <c r="P978" s="24">
        <v>27</v>
      </c>
      <c r="Q978" s="24">
        <v>1287</v>
      </c>
      <c r="R978" s="24">
        <v>1315</v>
      </c>
      <c r="S978" s="24">
        <v>1179</v>
      </c>
      <c r="T978" s="24">
        <v>1315</v>
      </c>
      <c r="U978" s="24">
        <v>1487</v>
      </c>
      <c r="V978" s="24">
        <v>499</v>
      </c>
      <c r="W978" s="24">
        <v>864</v>
      </c>
      <c r="X978" s="24">
        <v>36</v>
      </c>
    </row>
    <row r="979" spans="1:24">
      <c r="A979" s="22">
        <v>46140</v>
      </c>
      <c r="B979" s="23" t="s">
        <v>36</v>
      </c>
      <c r="C979" s="24">
        <v>578.10591999999997</v>
      </c>
      <c r="D979" s="24">
        <v>464.14367999999996</v>
      </c>
      <c r="E979" s="24">
        <v>344.41119999999995</v>
      </c>
      <c r="F979" s="24">
        <v>963.9907199999999</v>
      </c>
      <c r="G979" s="24">
        <v>502.37151999999998</v>
      </c>
      <c r="H979" s="24">
        <v>542.04191999999989</v>
      </c>
      <c r="I979" s="24">
        <v>499.12575999999996</v>
      </c>
      <c r="J979" s="24">
        <v>381.91775999999993</v>
      </c>
      <c r="K979" s="24">
        <v>611.2847999999999</v>
      </c>
      <c r="L979" s="24">
        <v>522.2067199999999</v>
      </c>
      <c r="M979" s="24">
        <v>3606.3999999999996</v>
      </c>
      <c r="N979" s="25">
        <v>9016</v>
      </c>
      <c r="O979" s="24">
        <v>961</v>
      </c>
      <c r="P979" s="24">
        <v>27</v>
      </c>
      <c r="Q979" s="24">
        <v>1287</v>
      </c>
      <c r="R979" s="24">
        <v>1315</v>
      </c>
      <c r="S979" s="24">
        <v>1179</v>
      </c>
      <c r="T979" s="24">
        <v>1315</v>
      </c>
      <c r="U979" s="24">
        <v>1487</v>
      </c>
      <c r="V979" s="24">
        <v>499</v>
      </c>
      <c r="W979" s="24">
        <v>910</v>
      </c>
      <c r="X979" s="24">
        <v>36</v>
      </c>
    </row>
    <row r="980" spans="1:24">
      <c r="A980" s="22">
        <v>46141</v>
      </c>
      <c r="B980" s="23" t="s">
        <v>36</v>
      </c>
      <c r="C980" s="24">
        <v>577.84943999999996</v>
      </c>
      <c r="D980" s="24">
        <v>463.93775999999997</v>
      </c>
      <c r="E980" s="24">
        <v>344.25839999999999</v>
      </c>
      <c r="F980" s="24">
        <v>963.56304</v>
      </c>
      <c r="G980" s="24">
        <v>502.14864</v>
      </c>
      <c r="H980" s="24">
        <v>541.80143999999996</v>
      </c>
      <c r="I980" s="24">
        <v>498.90431999999998</v>
      </c>
      <c r="J980" s="24">
        <v>381.74831999999998</v>
      </c>
      <c r="K980" s="24">
        <v>611.0136</v>
      </c>
      <c r="L980" s="24">
        <v>521.97503999999992</v>
      </c>
      <c r="M980" s="24">
        <v>3604.7999999999993</v>
      </c>
      <c r="N980" s="25">
        <v>9012</v>
      </c>
      <c r="O980" s="24">
        <v>961</v>
      </c>
      <c r="P980" s="24">
        <v>27</v>
      </c>
      <c r="Q980" s="24">
        <v>1287</v>
      </c>
      <c r="R980" s="24">
        <v>1315</v>
      </c>
      <c r="S980" s="24">
        <v>1179</v>
      </c>
      <c r="T980" s="24">
        <v>1315</v>
      </c>
      <c r="U980" s="24">
        <v>1487</v>
      </c>
      <c r="V980" s="24">
        <v>499</v>
      </c>
      <c r="W980" s="24">
        <v>906</v>
      </c>
      <c r="X980" s="24">
        <v>36</v>
      </c>
    </row>
    <row r="981" spans="1:24">
      <c r="A981" s="22">
        <v>46142</v>
      </c>
      <c r="B981" s="23" t="s">
        <v>36</v>
      </c>
      <c r="C981" s="24">
        <v>579.58067999999992</v>
      </c>
      <c r="D981" s="24">
        <v>465.32772</v>
      </c>
      <c r="E981" s="24">
        <v>345.28979999999996</v>
      </c>
      <c r="F981" s="24">
        <v>966.44987999999989</v>
      </c>
      <c r="G981" s="24">
        <v>503.65307999999999</v>
      </c>
      <c r="H981" s="24">
        <v>543.42467999999997</v>
      </c>
      <c r="I981" s="24">
        <v>500.39903999999996</v>
      </c>
      <c r="J981" s="24">
        <v>382.89203999999995</v>
      </c>
      <c r="K981" s="24">
        <v>612.8442</v>
      </c>
      <c r="L981" s="24">
        <v>523.53887999999995</v>
      </c>
      <c r="M981" s="24">
        <v>3615.6000000000004</v>
      </c>
      <c r="N981" s="25">
        <v>9039</v>
      </c>
      <c r="O981" s="24">
        <v>961</v>
      </c>
      <c r="P981" s="24">
        <v>27</v>
      </c>
      <c r="Q981" s="24">
        <v>1287</v>
      </c>
      <c r="R981" s="24">
        <v>1315</v>
      </c>
      <c r="S981" s="24">
        <v>1179</v>
      </c>
      <c r="T981" s="24">
        <v>1315</v>
      </c>
      <c r="U981" s="24">
        <v>1487</v>
      </c>
      <c r="V981" s="24">
        <v>499</v>
      </c>
      <c r="W981" s="24">
        <v>933</v>
      </c>
      <c r="X981" s="24">
        <v>36</v>
      </c>
    </row>
    <row r="982" spans="1:24">
      <c r="A982" s="22">
        <v>46143</v>
      </c>
      <c r="B982" s="23" t="s">
        <v>36</v>
      </c>
      <c r="C982" s="30">
        <v>908.05735384615389</v>
      </c>
      <c r="D982" s="30">
        <v>721.10436923076929</v>
      </c>
      <c r="E982" s="30">
        <v>640.98166153846171</v>
      </c>
      <c r="F982" s="30">
        <v>1415.5011692307692</v>
      </c>
      <c r="G982" s="30">
        <v>841.28843076923079</v>
      </c>
      <c r="H982" s="30">
        <v>827.9346461538463</v>
      </c>
      <c r="I982" s="30">
        <v>747.81193846153849</v>
      </c>
      <c r="J982" s="30">
        <v>654.33544615384619</v>
      </c>
      <c r="K982" s="30">
        <v>1095.0103384615386</v>
      </c>
      <c r="L982" s="30">
        <v>827.9346461538463</v>
      </c>
      <c r="M982" s="24">
        <v>2036.0399999999991</v>
      </c>
      <c r="N982" s="25">
        <v>10716</v>
      </c>
      <c r="O982" s="29">
        <v>328</v>
      </c>
      <c r="P982" s="29">
        <v>6</v>
      </c>
      <c r="Q982" s="29">
        <v>686</v>
      </c>
      <c r="R982" s="29">
        <v>787</v>
      </c>
      <c r="S982" s="29">
        <v>820</v>
      </c>
      <c r="T982" s="29">
        <v>1500</v>
      </c>
      <c r="U982" s="29">
        <v>5174</v>
      </c>
      <c r="V982" s="29">
        <v>415</v>
      </c>
      <c r="W982" s="29">
        <v>1000</v>
      </c>
      <c r="X982" s="29">
        <v>0</v>
      </c>
    </row>
    <row r="983" spans="1:24">
      <c r="A983" s="22">
        <v>46144</v>
      </c>
      <c r="B983" s="23" t="s">
        <v>36</v>
      </c>
      <c r="C983" s="30">
        <v>903.31200000000001</v>
      </c>
      <c r="D983" s="30">
        <v>717.33600000000001</v>
      </c>
      <c r="E983" s="30">
        <v>637.63200000000006</v>
      </c>
      <c r="F983" s="30">
        <v>1408.104</v>
      </c>
      <c r="G983" s="30">
        <v>836.89199999999994</v>
      </c>
      <c r="H983" s="30">
        <v>823.60800000000006</v>
      </c>
      <c r="I983" s="30">
        <v>743.904</v>
      </c>
      <c r="J983" s="30">
        <v>650.91600000000005</v>
      </c>
      <c r="K983" s="30">
        <v>1089.288</v>
      </c>
      <c r="L983" s="30">
        <v>823.60800000000006</v>
      </c>
      <c r="M983" s="24">
        <v>2025.3999999999996</v>
      </c>
      <c r="N983" s="25">
        <v>10660</v>
      </c>
      <c r="O983" s="29">
        <v>328</v>
      </c>
      <c r="P983" s="29">
        <v>6</v>
      </c>
      <c r="Q983" s="29">
        <v>689</v>
      </c>
      <c r="R983" s="29">
        <v>787</v>
      </c>
      <c r="S983" s="29">
        <v>800</v>
      </c>
      <c r="T983" s="29">
        <v>1500</v>
      </c>
      <c r="U983" s="29">
        <v>5174</v>
      </c>
      <c r="V983" s="29">
        <v>415</v>
      </c>
      <c r="W983" s="29">
        <v>961</v>
      </c>
      <c r="X983" s="29">
        <v>0</v>
      </c>
    </row>
    <row r="984" spans="1:24">
      <c r="A984" s="22">
        <v>46145</v>
      </c>
      <c r="B984" s="23" t="s">
        <v>36</v>
      </c>
      <c r="C984" s="30">
        <v>901.6172307692309</v>
      </c>
      <c r="D984" s="30">
        <v>715.99015384615393</v>
      </c>
      <c r="E984" s="30">
        <v>636.43569230769242</v>
      </c>
      <c r="F984" s="30">
        <v>1405.462153846154</v>
      </c>
      <c r="G984" s="30">
        <v>835.3218461538462</v>
      </c>
      <c r="H984" s="30">
        <v>822.06276923076939</v>
      </c>
      <c r="I984" s="30">
        <v>742.50830769230777</v>
      </c>
      <c r="J984" s="30">
        <v>649.69476923076934</v>
      </c>
      <c r="K984" s="30">
        <v>1087.2443076923078</v>
      </c>
      <c r="L984" s="30">
        <v>822.06276923076939</v>
      </c>
      <c r="M984" s="24">
        <v>2021.5999999999985</v>
      </c>
      <c r="N984" s="25">
        <v>10640</v>
      </c>
      <c r="O984" s="29">
        <v>328</v>
      </c>
      <c r="P984" s="29">
        <v>6</v>
      </c>
      <c r="Q984" s="29">
        <v>689</v>
      </c>
      <c r="R984" s="29">
        <v>787</v>
      </c>
      <c r="S984" s="29">
        <v>800</v>
      </c>
      <c r="T984" s="29">
        <v>1500</v>
      </c>
      <c r="U984" s="29">
        <v>5141</v>
      </c>
      <c r="V984" s="29">
        <v>415</v>
      </c>
      <c r="W984" s="29">
        <v>974</v>
      </c>
      <c r="X984" s="29">
        <v>0</v>
      </c>
    </row>
    <row r="985" spans="1:24">
      <c r="A985" s="22">
        <v>46146</v>
      </c>
      <c r="B985" s="23" t="s">
        <v>36</v>
      </c>
      <c r="C985" s="30">
        <v>831.03009230769226</v>
      </c>
      <c r="D985" s="30">
        <v>659.93566153846155</v>
      </c>
      <c r="E985" s="30">
        <v>586.60947692307695</v>
      </c>
      <c r="F985" s="30">
        <v>1295.4292615384613</v>
      </c>
      <c r="G985" s="30">
        <v>769.92493846153843</v>
      </c>
      <c r="H985" s="30">
        <v>757.70390769230767</v>
      </c>
      <c r="I985" s="30">
        <v>684.37772307692308</v>
      </c>
      <c r="J985" s="30">
        <v>598.83050769230772</v>
      </c>
      <c r="K985" s="30">
        <v>1002.124523076923</v>
      </c>
      <c r="L985" s="30">
        <v>757.70390769230767</v>
      </c>
      <c r="M985" s="24">
        <v>1863.3300000000008</v>
      </c>
      <c r="N985" s="25">
        <v>9807</v>
      </c>
      <c r="O985" s="29">
        <v>328</v>
      </c>
      <c r="P985" s="29">
        <v>6</v>
      </c>
      <c r="Q985" s="29">
        <v>689</v>
      </c>
      <c r="R985" s="29">
        <v>787</v>
      </c>
      <c r="S985" s="29">
        <v>800</v>
      </c>
      <c r="T985" s="29">
        <v>1500</v>
      </c>
      <c r="U985" s="29">
        <v>4330</v>
      </c>
      <c r="V985" s="29">
        <v>415</v>
      </c>
      <c r="W985" s="29">
        <v>952</v>
      </c>
      <c r="X985" s="29">
        <v>0</v>
      </c>
    </row>
    <row r="986" spans="1:24">
      <c r="A986" s="22">
        <v>46147</v>
      </c>
      <c r="B986" s="23" t="s">
        <v>36</v>
      </c>
      <c r="C986" s="30">
        <v>730.02184615384613</v>
      </c>
      <c r="D986" s="30">
        <v>579.72323076923078</v>
      </c>
      <c r="E986" s="30">
        <v>515.30953846153852</v>
      </c>
      <c r="F986" s="30">
        <v>1137.9752307692308</v>
      </c>
      <c r="G986" s="30">
        <v>676.34376923076923</v>
      </c>
      <c r="H986" s="30">
        <v>665.60815384615387</v>
      </c>
      <c r="I986" s="30">
        <v>601.19446153846161</v>
      </c>
      <c r="J986" s="30">
        <v>526.04515384615388</v>
      </c>
      <c r="K986" s="30">
        <v>880.32046153846159</v>
      </c>
      <c r="L986" s="30">
        <v>665.60815384615387</v>
      </c>
      <c r="M986" s="24">
        <v>1636.8499999999995</v>
      </c>
      <c r="N986" s="25">
        <v>8615</v>
      </c>
      <c r="O986" s="29">
        <v>328</v>
      </c>
      <c r="P986" s="29">
        <v>6</v>
      </c>
      <c r="Q986" s="29">
        <v>689</v>
      </c>
      <c r="R986" s="29">
        <v>787</v>
      </c>
      <c r="S986" s="29">
        <v>800</v>
      </c>
      <c r="T986" s="29">
        <v>1500</v>
      </c>
      <c r="U986" s="29">
        <v>3201</v>
      </c>
      <c r="V986" s="29">
        <v>416</v>
      </c>
      <c r="W986" s="29">
        <v>888</v>
      </c>
      <c r="X986" s="29">
        <v>0</v>
      </c>
    </row>
    <row r="987" spans="1:24">
      <c r="A987" s="22">
        <v>46148</v>
      </c>
      <c r="B987" s="23" t="s">
        <v>36</v>
      </c>
      <c r="C987" s="30">
        <v>478.60283076923076</v>
      </c>
      <c r="D987" s="30">
        <v>380.06695384615387</v>
      </c>
      <c r="E987" s="30">
        <v>337.83729230769234</v>
      </c>
      <c r="F987" s="30">
        <v>746.05735384615377</v>
      </c>
      <c r="G987" s="30">
        <v>443.41144615384616</v>
      </c>
      <c r="H987" s="30">
        <v>436.37316923076924</v>
      </c>
      <c r="I987" s="30">
        <v>394.14350769230771</v>
      </c>
      <c r="J987" s="30">
        <v>344.87556923076926</v>
      </c>
      <c r="K987" s="30">
        <v>577.13870769230766</v>
      </c>
      <c r="L987" s="30">
        <v>436.37316923076924</v>
      </c>
      <c r="M987" s="24">
        <v>1073.1199999999999</v>
      </c>
      <c r="N987" s="25">
        <v>5648</v>
      </c>
      <c r="O987" s="29">
        <v>173</v>
      </c>
      <c r="P987" s="29">
        <v>4</v>
      </c>
      <c r="Q987" s="29">
        <v>460</v>
      </c>
      <c r="R987" s="29">
        <v>787</v>
      </c>
      <c r="S987" s="29">
        <v>500</v>
      </c>
      <c r="T987" s="29">
        <v>1200</v>
      </c>
      <c r="U987" s="29">
        <v>1049</v>
      </c>
      <c r="V987" s="29">
        <v>416</v>
      </c>
      <c r="W987" s="29">
        <v>841</v>
      </c>
      <c r="X987" s="29">
        <v>218</v>
      </c>
    </row>
    <row r="988" spans="1:24">
      <c r="A988" s="22">
        <v>46149</v>
      </c>
      <c r="B988" s="23" t="s">
        <v>36</v>
      </c>
      <c r="C988" s="30">
        <v>465.63784615384623</v>
      </c>
      <c r="D988" s="30">
        <v>369.77123076923084</v>
      </c>
      <c r="E988" s="30">
        <v>328.68553846153856</v>
      </c>
      <c r="F988" s="30">
        <v>725.8472307692308</v>
      </c>
      <c r="G988" s="30">
        <v>431.39976923076927</v>
      </c>
      <c r="H988" s="30">
        <v>424.55215384615394</v>
      </c>
      <c r="I988" s="30">
        <v>383.4664615384616</v>
      </c>
      <c r="J988" s="30">
        <v>335.53315384615388</v>
      </c>
      <c r="K988" s="30">
        <v>561.50446153846156</v>
      </c>
      <c r="L988" s="30">
        <v>424.55215384615394</v>
      </c>
      <c r="M988" s="24">
        <v>1044.0499999999993</v>
      </c>
      <c r="N988" s="25">
        <v>5495</v>
      </c>
      <c r="O988" s="29">
        <v>170</v>
      </c>
      <c r="P988" s="29">
        <v>4</v>
      </c>
      <c r="Q988" s="29">
        <v>460</v>
      </c>
      <c r="R988" s="29">
        <v>787</v>
      </c>
      <c r="S988" s="29">
        <v>500</v>
      </c>
      <c r="T988" s="29">
        <v>1200</v>
      </c>
      <c r="U988" s="29">
        <v>923</v>
      </c>
      <c r="V988" s="29">
        <v>416</v>
      </c>
      <c r="W988" s="29">
        <v>817</v>
      </c>
      <c r="X988" s="29">
        <v>218</v>
      </c>
    </row>
    <row r="989" spans="1:24">
      <c r="A989" s="22">
        <v>46150</v>
      </c>
      <c r="B989" s="23" t="s">
        <v>36</v>
      </c>
      <c r="C989" s="30">
        <v>452.33390769230772</v>
      </c>
      <c r="D989" s="30">
        <v>359.20633846153851</v>
      </c>
      <c r="E989" s="30">
        <v>319.29452307692316</v>
      </c>
      <c r="F989" s="30">
        <v>705.10873846153856</v>
      </c>
      <c r="G989" s="30">
        <v>419.07406153846159</v>
      </c>
      <c r="H989" s="30">
        <v>412.42209230769237</v>
      </c>
      <c r="I989" s="30">
        <v>372.51027692307696</v>
      </c>
      <c r="J989" s="30">
        <v>325.94649230769232</v>
      </c>
      <c r="K989" s="30">
        <v>545.46147692307693</v>
      </c>
      <c r="L989" s="30">
        <v>412.42209230769237</v>
      </c>
      <c r="M989" s="24">
        <v>1014.2199999999993</v>
      </c>
      <c r="N989" s="25">
        <v>5338</v>
      </c>
      <c r="O989" s="29">
        <v>170</v>
      </c>
      <c r="P989" s="29">
        <v>3</v>
      </c>
      <c r="Q989" s="29">
        <v>460</v>
      </c>
      <c r="R989" s="29">
        <v>787</v>
      </c>
      <c r="S989" s="29">
        <v>500</v>
      </c>
      <c r="T989" s="29">
        <v>1200</v>
      </c>
      <c r="U989" s="29">
        <v>783</v>
      </c>
      <c r="V989" s="29">
        <v>416</v>
      </c>
      <c r="W989" s="29">
        <v>801</v>
      </c>
      <c r="X989" s="29">
        <v>218</v>
      </c>
    </row>
    <row r="990" spans="1:24">
      <c r="A990" s="22">
        <v>46151</v>
      </c>
      <c r="B990" s="23" t="s">
        <v>36</v>
      </c>
      <c r="C990" s="30">
        <v>497.07581538461534</v>
      </c>
      <c r="D990" s="30">
        <v>394.73667692307691</v>
      </c>
      <c r="E990" s="30">
        <v>350.87704615384621</v>
      </c>
      <c r="F990" s="30">
        <v>774.85347692307687</v>
      </c>
      <c r="G990" s="30">
        <v>460.52612307692306</v>
      </c>
      <c r="H990" s="30">
        <v>453.21618461538463</v>
      </c>
      <c r="I990" s="30">
        <v>409.35655384615382</v>
      </c>
      <c r="J990" s="30">
        <v>358.18698461538463</v>
      </c>
      <c r="K990" s="30">
        <v>599.41495384615382</v>
      </c>
      <c r="L990" s="30">
        <v>453.21618461538463</v>
      </c>
      <c r="M990" s="24">
        <v>1114.54</v>
      </c>
      <c r="N990" s="25">
        <v>5866</v>
      </c>
      <c r="O990" s="29">
        <v>170</v>
      </c>
      <c r="P990" s="29">
        <v>3</v>
      </c>
      <c r="Q990" s="29">
        <v>460</v>
      </c>
      <c r="R990" s="29">
        <v>787</v>
      </c>
      <c r="S990" s="29">
        <v>500</v>
      </c>
      <c r="T990" s="29">
        <v>1200</v>
      </c>
      <c r="U990" s="29">
        <v>1260</v>
      </c>
      <c r="V990" s="29">
        <v>416</v>
      </c>
      <c r="W990" s="29">
        <v>852</v>
      </c>
      <c r="X990" s="29">
        <v>218</v>
      </c>
    </row>
    <row r="991" spans="1:24">
      <c r="A991" s="22">
        <v>46152</v>
      </c>
      <c r="B991" s="23" t="s">
        <v>36</v>
      </c>
      <c r="C991" s="30">
        <v>510.54923076923075</v>
      </c>
      <c r="D991" s="30">
        <v>405.43615384615384</v>
      </c>
      <c r="E991" s="30">
        <v>360.38769230769236</v>
      </c>
      <c r="F991" s="30">
        <v>795.8561538461538</v>
      </c>
      <c r="G991" s="30">
        <v>473.00884615384615</v>
      </c>
      <c r="H991" s="30">
        <v>465.50076923076927</v>
      </c>
      <c r="I991" s="30">
        <v>420.45230769230767</v>
      </c>
      <c r="J991" s="30">
        <v>367.89576923076925</v>
      </c>
      <c r="K991" s="30">
        <v>615.66230769230765</v>
      </c>
      <c r="L991" s="30">
        <v>465.50076923076927</v>
      </c>
      <c r="M991" s="24">
        <v>1144.75</v>
      </c>
      <c r="N991" s="25">
        <v>6025</v>
      </c>
      <c r="O991" s="29">
        <v>250</v>
      </c>
      <c r="P991" s="29">
        <v>4</v>
      </c>
      <c r="Q991" s="29">
        <v>689</v>
      </c>
      <c r="R991" s="29">
        <v>787</v>
      </c>
      <c r="S991" s="29">
        <v>565</v>
      </c>
      <c r="T991" s="29">
        <v>1200</v>
      </c>
      <c r="U991" s="29">
        <v>1260</v>
      </c>
      <c r="V991" s="29">
        <v>416</v>
      </c>
      <c r="W991" s="29">
        <v>854</v>
      </c>
      <c r="X991" s="29">
        <v>0</v>
      </c>
    </row>
    <row r="992" spans="1:24">
      <c r="A992" s="22">
        <v>46153</v>
      </c>
      <c r="B992" s="23" t="s">
        <v>36</v>
      </c>
      <c r="C992" s="30">
        <v>431.31876923076925</v>
      </c>
      <c r="D992" s="30">
        <v>342.51784615384622</v>
      </c>
      <c r="E992" s="30">
        <v>304.46030769230777</v>
      </c>
      <c r="F992" s="30">
        <v>672.34984615384622</v>
      </c>
      <c r="G992" s="30">
        <v>399.60415384615385</v>
      </c>
      <c r="H992" s="30">
        <v>393.26123076923085</v>
      </c>
      <c r="I992" s="30">
        <v>355.20369230769234</v>
      </c>
      <c r="J992" s="30">
        <v>310.80323076923082</v>
      </c>
      <c r="K992" s="30">
        <v>520.11969230769239</v>
      </c>
      <c r="L992" s="30">
        <v>393.26123076923085</v>
      </c>
      <c r="M992" s="24">
        <v>967.10000000000036</v>
      </c>
      <c r="N992" s="25">
        <v>5090</v>
      </c>
      <c r="O992" s="29">
        <v>170</v>
      </c>
      <c r="P992" s="29">
        <v>3</v>
      </c>
      <c r="Q992" s="29">
        <v>460</v>
      </c>
      <c r="R992" s="29">
        <v>787</v>
      </c>
      <c r="S992" s="29">
        <v>500</v>
      </c>
      <c r="T992" s="29">
        <v>1200</v>
      </c>
      <c r="U992" s="29">
        <v>480</v>
      </c>
      <c r="V992" s="29">
        <v>416</v>
      </c>
      <c r="W992" s="29">
        <v>855</v>
      </c>
      <c r="X992" s="29">
        <v>219</v>
      </c>
    </row>
    <row r="993" spans="1:24">
      <c r="A993" s="22">
        <v>46154</v>
      </c>
      <c r="B993" s="23" t="s">
        <v>36</v>
      </c>
      <c r="C993" s="30">
        <v>418.09956923076925</v>
      </c>
      <c r="D993" s="30">
        <v>332.02024615384619</v>
      </c>
      <c r="E993" s="30">
        <v>295.12910769230774</v>
      </c>
      <c r="F993" s="30">
        <v>651.74344615384621</v>
      </c>
      <c r="G993" s="30">
        <v>387.35695384615389</v>
      </c>
      <c r="H993" s="30">
        <v>381.2084307692308</v>
      </c>
      <c r="I993" s="30">
        <v>344.31729230769236</v>
      </c>
      <c r="J993" s="30">
        <v>301.27763076923077</v>
      </c>
      <c r="K993" s="30">
        <v>504.17889230769231</v>
      </c>
      <c r="L993" s="30">
        <v>381.2084307692308</v>
      </c>
      <c r="M993" s="24">
        <v>937.46</v>
      </c>
      <c r="N993" s="25">
        <v>4934</v>
      </c>
      <c r="O993" s="29">
        <v>170</v>
      </c>
      <c r="P993" s="29">
        <v>3</v>
      </c>
      <c r="Q993" s="29">
        <v>460</v>
      </c>
      <c r="R993" s="29">
        <v>787</v>
      </c>
      <c r="S993" s="29">
        <v>500</v>
      </c>
      <c r="T993" s="29">
        <v>1200</v>
      </c>
      <c r="U993" s="29">
        <v>361</v>
      </c>
      <c r="V993" s="29">
        <v>416</v>
      </c>
      <c r="W993" s="29">
        <v>818</v>
      </c>
      <c r="X993" s="29">
        <v>219</v>
      </c>
    </row>
    <row r="994" spans="1:24">
      <c r="A994" s="22">
        <v>46155</v>
      </c>
      <c r="B994" s="23" t="s">
        <v>36</v>
      </c>
      <c r="C994" s="30">
        <v>411.40523076923074</v>
      </c>
      <c r="D994" s="30">
        <v>326.70415384615387</v>
      </c>
      <c r="E994" s="30">
        <v>290.40369230769232</v>
      </c>
      <c r="F994" s="30">
        <v>641.3081538461538</v>
      </c>
      <c r="G994" s="30">
        <v>381.15484615384617</v>
      </c>
      <c r="H994" s="30">
        <v>375.10476923076925</v>
      </c>
      <c r="I994" s="30">
        <v>338.8043076923077</v>
      </c>
      <c r="J994" s="30">
        <v>296.45376923076924</v>
      </c>
      <c r="K994" s="30">
        <v>496.10630769230767</v>
      </c>
      <c r="L994" s="30">
        <v>375.10476923076925</v>
      </c>
      <c r="M994" s="24">
        <v>922.44999999999936</v>
      </c>
      <c r="N994" s="25">
        <v>4855</v>
      </c>
      <c r="O994" s="29">
        <v>170</v>
      </c>
      <c r="P994" s="29">
        <v>3</v>
      </c>
      <c r="Q994" s="29">
        <v>460</v>
      </c>
      <c r="R994" s="29">
        <v>787</v>
      </c>
      <c r="S994" s="29">
        <v>500</v>
      </c>
      <c r="T994" s="29">
        <v>1200</v>
      </c>
      <c r="U994" s="29">
        <v>282</v>
      </c>
      <c r="V994" s="29">
        <v>415</v>
      </c>
      <c r="W994" s="29">
        <v>819</v>
      </c>
      <c r="X994" s="29">
        <v>219</v>
      </c>
    </row>
    <row r="995" spans="1:24">
      <c r="A995" s="22">
        <v>46156</v>
      </c>
      <c r="B995" s="23" t="s">
        <v>36</v>
      </c>
      <c r="C995" s="30">
        <v>425.89550769230772</v>
      </c>
      <c r="D995" s="30">
        <v>338.2111384615385</v>
      </c>
      <c r="E995" s="30">
        <v>300.63212307692311</v>
      </c>
      <c r="F995" s="30">
        <v>663.89593846153844</v>
      </c>
      <c r="G995" s="30">
        <v>394.57966153846155</v>
      </c>
      <c r="H995" s="30">
        <v>388.31649230769233</v>
      </c>
      <c r="I995" s="30">
        <v>350.73747692307694</v>
      </c>
      <c r="J995" s="30">
        <v>306.89529230769233</v>
      </c>
      <c r="K995" s="30">
        <v>513.57987692307688</v>
      </c>
      <c r="L995" s="30">
        <v>388.31649230769233</v>
      </c>
      <c r="M995" s="24">
        <v>954.94</v>
      </c>
      <c r="N995" s="25">
        <v>5026</v>
      </c>
      <c r="O995" s="29">
        <v>170</v>
      </c>
      <c r="P995" s="29">
        <v>3</v>
      </c>
      <c r="Q995" s="29">
        <v>460</v>
      </c>
      <c r="R995" s="29">
        <v>787</v>
      </c>
      <c r="S995" s="29">
        <v>500</v>
      </c>
      <c r="T995" s="29">
        <v>1200</v>
      </c>
      <c r="U995" s="29">
        <v>426</v>
      </c>
      <c r="V995" s="29">
        <v>415</v>
      </c>
      <c r="W995" s="29">
        <v>846</v>
      </c>
      <c r="X995" s="29">
        <v>219</v>
      </c>
    </row>
    <row r="996" spans="1:24">
      <c r="A996" s="22">
        <v>46157</v>
      </c>
      <c r="B996" s="23" t="s">
        <v>36</v>
      </c>
      <c r="C996" s="30">
        <v>428.0987076923077</v>
      </c>
      <c r="D996" s="30">
        <v>339.96073846153848</v>
      </c>
      <c r="E996" s="30">
        <v>302.18732307692312</v>
      </c>
      <c r="F996" s="30">
        <v>667.33033846153842</v>
      </c>
      <c r="G996" s="30">
        <v>396.62086153846155</v>
      </c>
      <c r="H996" s="30">
        <v>390.32529230769234</v>
      </c>
      <c r="I996" s="30">
        <v>352.55187692307692</v>
      </c>
      <c r="J996" s="30">
        <v>308.48289230769234</v>
      </c>
      <c r="K996" s="30">
        <v>516.23667692307697</v>
      </c>
      <c r="L996" s="30">
        <v>390.32529230769234</v>
      </c>
      <c r="M996" s="24">
        <v>959.87999999999874</v>
      </c>
      <c r="N996" s="25">
        <v>5052</v>
      </c>
      <c r="O996" s="29">
        <v>170</v>
      </c>
      <c r="P996" s="29">
        <v>3</v>
      </c>
      <c r="Q996" s="29">
        <v>460</v>
      </c>
      <c r="R996" s="29">
        <v>787</v>
      </c>
      <c r="S996" s="29">
        <v>500</v>
      </c>
      <c r="T996" s="29">
        <v>1200</v>
      </c>
      <c r="U996" s="29">
        <v>432</v>
      </c>
      <c r="V996" s="29">
        <v>416</v>
      </c>
      <c r="W996" s="29">
        <v>865</v>
      </c>
      <c r="X996" s="29">
        <v>219</v>
      </c>
    </row>
    <row r="997" spans="1:24">
      <c r="A997" s="22">
        <v>46158</v>
      </c>
      <c r="B997" s="23" t="s">
        <v>36</v>
      </c>
      <c r="C997" s="30">
        <v>465.12941538461536</v>
      </c>
      <c r="D997" s="30">
        <v>369.36747692307694</v>
      </c>
      <c r="E997" s="30">
        <v>328.32664615384618</v>
      </c>
      <c r="F997" s="30">
        <v>725.05467692307684</v>
      </c>
      <c r="G997" s="30">
        <v>430.92872307692306</v>
      </c>
      <c r="H997" s="30">
        <v>424.08858461538466</v>
      </c>
      <c r="I997" s="30">
        <v>383.04775384615385</v>
      </c>
      <c r="J997" s="30">
        <v>335.16678461538464</v>
      </c>
      <c r="K997" s="30">
        <v>560.89135384615383</v>
      </c>
      <c r="L997" s="30">
        <v>424.08858461538466</v>
      </c>
      <c r="M997" s="24">
        <v>1042.9099999999999</v>
      </c>
      <c r="N997" s="25">
        <v>5489</v>
      </c>
      <c r="O997" s="29">
        <v>250</v>
      </c>
      <c r="P997" s="29">
        <v>4</v>
      </c>
      <c r="Q997" s="29">
        <v>689</v>
      </c>
      <c r="R997" s="29">
        <v>787</v>
      </c>
      <c r="S997" s="29">
        <v>565</v>
      </c>
      <c r="T997" s="29">
        <v>1200</v>
      </c>
      <c r="U997" s="29">
        <v>616</v>
      </c>
      <c r="V997" s="29">
        <v>416</v>
      </c>
      <c r="W997" s="29">
        <v>962</v>
      </c>
      <c r="X997" s="29">
        <v>0</v>
      </c>
    </row>
    <row r="998" spans="1:24">
      <c r="A998" s="22">
        <v>46159</v>
      </c>
      <c r="B998" s="23" t="s">
        <v>36</v>
      </c>
      <c r="C998" s="30">
        <v>465.38363076923082</v>
      </c>
      <c r="D998" s="30">
        <v>369.56935384615389</v>
      </c>
      <c r="E998" s="30">
        <v>328.50609230769237</v>
      </c>
      <c r="F998" s="30">
        <v>725.45095384615388</v>
      </c>
      <c r="G998" s="30">
        <v>431.16424615384619</v>
      </c>
      <c r="H998" s="30">
        <v>424.3203692307693</v>
      </c>
      <c r="I998" s="30">
        <v>383.25710769230773</v>
      </c>
      <c r="J998" s="30">
        <v>335.34996923076926</v>
      </c>
      <c r="K998" s="30">
        <v>561.19790769230769</v>
      </c>
      <c r="L998" s="30">
        <v>424.3203692307693</v>
      </c>
      <c r="M998" s="24">
        <v>1043.4799999999996</v>
      </c>
      <c r="N998" s="25">
        <v>5492</v>
      </c>
      <c r="O998" s="29">
        <v>250</v>
      </c>
      <c r="P998" s="29">
        <v>4</v>
      </c>
      <c r="Q998" s="29">
        <v>689</v>
      </c>
      <c r="R998" s="29">
        <v>787</v>
      </c>
      <c r="S998" s="29">
        <v>565</v>
      </c>
      <c r="T998" s="29">
        <v>1200</v>
      </c>
      <c r="U998" s="29">
        <v>557</v>
      </c>
      <c r="V998" s="29">
        <v>416</v>
      </c>
      <c r="W998" s="29">
        <v>1024</v>
      </c>
      <c r="X998" s="29">
        <v>0</v>
      </c>
    </row>
    <row r="999" spans="1:24">
      <c r="A999" s="22">
        <v>46160</v>
      </c>
      <c r="B999" s="23" t="s">
        <v>36</v>
      </c>
      <c r="C999" s="30">
        <v>423.09913846153847</v>
      </c>
      <c r="D999" s="30">
        <v>335.99049230769236</v>
      </c>
      <c r="E999" s="30">
        <v>298.65821538461546</v>
      </c>
      <c r="F999" s="30">
        <v>659.53689230769237</v>
      </c>
      <c r="G999" s="30">
        <v>391.98890769230769</v>
      </c>
      <c r="H999" s="30">
        <v>385.76686153846157</v>
      </c>
      <c r="I999" s="30">
        <v>348.43458461538461</v>
      </c>
      <c r="J999" s="30">
        <v>304.88026153846158</v>
      </c>
      <c r="K999" s="30">
        <v>510.20778461538464</v>
      </c>
      <c r="L999" s="30">
        <v>385.76686153846157</v>
      </c>
      <c r="M999" s="24">
        <v>948.67000000000007</v>
      </c>
      <c r="N999" s="25">
        <v>4993</v>
      </c>
      <c r="O999" s="29">
        <v>170</v>
      </c>
      <c r="P999" s="29">
        <v>3</v>
      </c>
      <c r="Q999" s="29">
        <v>460</v>
      </c>
      <c r="R999" s="29">
        <v>787</v>
      </c>
      <c r="S999" s="29">
        <v>500</v>
      </c>
      <c r="T999" s="29">
        <v>1200</v>
      </c>
      <c r="U999" s="29">
        <v>235</v>
      </c>
      <c r="V999" s="29">
        <v>416</v>
      </c>
      <c r="W999" s="29">
        <v>1003</v>
      </c>
      <c r="X999" s="29">
        <v>219</v>
      </c>
    </row>
    <row r="1000" spans="1:24">
      <c r="A1000" s="22">
        <v>46161</v>
      </c>
      <c r="B1000" s="23" t="s">
        <v>36</v>
      </c>
      <c r="C1000" s="30">
        <v>413.77790769230774</v>
      </c>
      <c r="D1000" s="30">
        <v>328.58833846153851</v>
      </c>
      <c r="E1000" s="30">
        <v>292.07852307692315</v>
      </c>
      <c r="F1000" s="30">
        <v>645.00673846153848</v>
      </c>
      <c r="G1000" s="30">
        <v>383.35306153846159</v>
      </c>
      <c r="H1000" s="30">
        <v>377.26809230769237</v>
      </c>
      <c r="I1000" s="30">
        <v>340.75827692307695</v>
      </c>
      <c r="J1000" s="30">
        <v>298.16349230769237</v>
      </c>
      <c r="K1000" s="30">
        <v>498.96747692307696</v>
      </c>
      <c r="L1000" s="30">
        <v>377.26809230769237</v>
      </c>
      <c r="M1000" s="24">
        <v>927.76999999999953</v>
      </c>
      <c r="N1000" s="25">
        <v>4883</v>
      </c>
      <c r="O1000" s="29">
        <v>170</v>
      </c>
      <c r="P1000" s="29">
        <v>3</v>
      </c>
      <c r="Q1000" s="29">
        <v>460</v>
      </c>
      <c r="R1000" s="29">
        <v>787</v>
      </c>
      <c r="S1000" s="29">
        <v>500</v>
      </c>
      <c r="T1000" s="29">
        <v>1200</v>
      </c>
      <c r="U1000" s="29">
        <v>107</v>
      </c>
      <c r="V1000" s="29">
        <v>416</v>
      </c>
      <c r="W1000" s="29">
        <v>1021</v>
      </c>
      <c r="X1000" s="29">
        <v>219</v>
      </c>
    </row>
    <row r="1001" spans="1:24">
      <c r="A1001" s="22">
        <v>46162</v>
      </c>
      <c r="B1001" s="23" t="s">
        <v>36</v>
      </c>
      <c r="C1001" s="30">
        <v>409.28676923076921</v>
      </c>
      <c r="D1001" s="30">
        <v>325.02184615384618</v>
      </c>
      <c r="E1001" s="30">
        <v>288.90830769230774</v>
      </c>
      <c r="F1001" s="30">
        <v>638.00584615384616</v>
      </c>
      <c r="G1001" s="30">
        <v>379.19215384615381</v>
      </c>
      <c r="H1001" s="30">
        <v>373.17323076923077</v>
      </c>
      <c r="I1001" s="30">
        <v>337.05969230769233</v>
      </c>
      <c r="J1001" s="30">
        <v>294.92723076923079</v>
      </c>
      <c r="K1001" s="30">
        <v>493.55169230769229</v>
      </c>
      <c r="L1001" s="30">
        <v>373.17323076923077</v>
      </c>
      <c r="M1001" s="24">
        <v>917.69999999999982</v>
      </c>
      <c r="N1001" s="25">
        <v>4830</v>
      </c>
      <c r="O1001" s="29">
        <v>170</v>
      </c>
      <c r="P1001" s="29">
        <v>3</v>
      </c>
      <c r="Q1001" s="29">
        <v>460</v>
      </c>
      <c r="R1001" s="29">
        <v>787</v>
      </c>
      <c r="S1001" s="29">
        <v>500</v>
      </c>
      <c r="T1001" s="29">
        <v>1200</v>
      </c>
      <c r="U1001" s="29">
        <v>40</v>
      </c>
      <c r="V1001" s="29">
        <v>416</v>
      </c>
      <c r="W1001" s="29">
        <v>1035</v>
      </c>
      <c r="X1001" s="29">
        <v>219</v>
      </c>
    </row>
    <row r="1002" spans="1:24">
      <c r="A1002" s="22">
        <v>46163</v>
      </c>
      <c r="B1002" s="23" t="s">
        <v>36</v>
      </c>
      <c r="C1002" s="30">
        <v>412.25261538461535</v>
      </c>
      <c r="D1002" s="30">
        <v>327.37707692307691</v>
      </c>
      <c r="E1002" s="30">
        <v>291.0018461538462</v>
      </c>
      <c r="F1002" s="30">
        <v>642.62907692307692</v>
      </c>
      <c r="G1002" s="30">
        <v>381.93992307692304</v>
      </c>
      <c r="H1002" s="30">
        <v>375.87738461538464</v>
      </c>
      <c r="I1002" s="30">
        <v>339.50215384615382</v>
      </c>
      <c r="J1002" s="30">
        <v>297.0643846153846</v>
      </c>
      <c r="K1002" s="30">
        <v>497.12815384615379</v>
      </c>
      <c r="L1002" s="30">
        <v>375.87738461538464</v>
      </c>
      <c r="M1002" s="24">
        <v>924.34999999999991</v>
      </c>
      <c r="N1002" s="25">
        <v>4865</v>
      </c>
      <c r="O1002" s="29">
        <v>170</v>
      </c>
      <c r="P1002" s="29">
        <v>2</v>
      </c>
      <c r="Q1002" s="29">
        <v>460</v>
      </c>
      <c r="R1002" s="29">
        <v>787</v>
      </c>
      <c r="S1002" s="29">
        <v>500</v>
      </c>
      <c r="T1002" s="29">
        <v>1200</v>
      </c>
      <c r="U1002" s="29">
        <v>40</v>
      </c>
      <c r="V1002" s="29">
        <v>416</v>
      </c>
      <c r="W1002" s="29">
        <v>1071</v>
      </c>
      <c r="X1002" s="29">
        <v>219</v>
      </c>
    </row>
    <row r="1003" spans="1:24">
      <c r="A1003" s="22">
        <v>46164</v>
      </c>
      <c r="B1003" s="23" t="s">
        <v>36</v>
      </c>
      <c r="C1003" s="30">
        <v>414.28633846153843</v>
      </c>
      <c r="D1003" s="30">
        <v>328.9920923076923</v>
      </c>
      <c r="E1003" s="30">
        <v>292.43741538461541</v>
      </c>
      <c r="F1003" s="30">
        <v>645.79929230769233</v>
      </c>
      <c r="G1003" s="30">
        <v>383.82410769230768</v>
      </c>
      <c r="H1003" s="30">
        <v>377.73166153846154</v>
      </c>
      <c r="I1003" s="30">
        <v>341.17698461538464</v>
      </c>
      <c r="J1003" s="30">
        <v>298.52986153846155</v>
      </c>
      <c r="K1003" s="30">
        <v>499.58058461538462</v>
      </c>
      <c r="L1003" s="30">
        <v>377.73166153846154</v>
      </c>
      <c r="M1003" s="24">
        <v>928.90999999999985</v>
      </c>
      <c r="N1003" s="25">
        <v>4889</v>
      </c>
      <c r="O1003" s="29">
        <v>170</v>
      </c>
      <c r="P1003" s="29">
        <v>2</v>
      </c>
      <c r="Q1003" s="29">
        <v>460</v>
      </c>
      <c r="R1003" s="29">
        <v>787</v>
      </c>
      <c r="S1003" s="29">
        <v>500</v>
      </c>
      <c r="T1003" s="29">
        <v>1200</v>
      </c>
      <c r="U1003" s="29">
        <v>63</v>
      </c>
      <c r="V1003" s="29">
        <v>416</v>
      </c>
      <c r="W1003" s="29">
        <v>1072</v>
      </c>
      <c r="X1003" s="29">
        <v>219</v>
      </c>
    </row>
    <row r="1004" spans="1:24">
      <c r="A1004" s="22">
        <v>46165</v>
      </c>
      <c r="B1004" s="23" t="s">
        <v>36</v>
      </c>
      <c r="C1004" s="30">
        <v>450.72387692307694</v>
      </c>
      <c r="D1004" s="30">
        <v>357.92778461538467</v>
      </c>
      <c r="E1004" s="30">
        <v>318.15803076923083</v>
      </c>
      <c r="F1004" s="30">
        <v>702.59898461538467</v>
      </c>
      <c r="G1004" s="30">
        <v>417.58241538461539</v>
      </c>
      <c r="H1004" s="30">
        <v>410.95412307692311</v>
      </c>
      <c r="I1004" s="30">
        <v>371.18436923076922</v>
      </c>
      <c r="J1004" s="30">
        <v>324.78632307692311</v>
      </c>
      <c r="K1004" s="30">
        <v>543.51996923076922</v>
      </c>
      <c r="L1004" s="30">
        <v>410.95412307692311</v>
      </c>
      <c r="M1004" s="24">
        <v>1010.6099999999997</v>
      </c>
      <c r="N1004" s="25">
        <v>5319</v>
      </c>
      <c r="O1004" s="29">
        <v>250</v>
      </c>
      <c r="P1004" s="29">
        <v>4</v>
      </c>
      <c r="Q1004" s="29">
        <v>689</v>
      </c>
      <c r="R1004" s="29">
        <v>787</v>
      </c>
      <c r="S1004" s="29">
        <v>565</v>
      </c>
      <c r="T1004" s="29">
        <v>1200</v>
      </c>
      <c r="U1004" s="29">
        <v>293</v>
      </c>
      <c r="V1004" s="29">
        <v>416</v>
      </c>
      <c r="W1004" s="29">
        <v>1115</v>
      </c>
      <c r="X1004" s="29">
        <v>0</v>
      </c>
    </row>
    <row r="1005" spans="1:24">
      <c r="A1005" s="22">
        <v>46166</v>
      </c>
      <c r="B1005" s="23" t="s">
        <v>36</v>
      </c>
      <c r="C1005" s="30">
        <v>451.74073846153851</v>
      </c>
      <c r="D1005" s="30">
        <v>358.73529230769236</v>
      </c>
      <c r="E1005" s="30">
        <v>318.87581538461546</v>
      </c>
      <c r="F1005" s="30">
        <v>704.18409230769237</v>
      </c>
      <c r="G1005" s="30">
        <v>418.52450769230774</v>
      </c>
      <c r="H1005" s="30">
        <v>411.88126153846162</v>
      </c>
      <c r="I1005" s="30">
        <v>372.02178461538466</v>
      </c>
      <c r="J1005" s="30">
        <v>325.51906153846159</v>
      </c>
      <c r="K1005" s="30">
        <v>544.74618461538466</v>
      </c>
      <c r="L1005" s="30">
        <v>411.88126153846162</v>
      </c>
      <c r="M1005" s="24">
        <v>1012.8899999999994</v>
      </c>
      <c r="N1005" s="25">
        <v>5331</v>
      </c>
      <c r="O1005" s="29">
        <v>250</v>
      </c>
      <c r="P1005" s="29">
        <v>4</v>
      </c>
      <c r="Q1005" s="29">
        <v>689</v>
      </c>
      <c r="R1005" s="29">
        <v>787</v>
      </c>
      <c r="S1005" s="29">
        <v>565</v>
      </c>
      <c r="T1005" s="29">
        <v>1200</v>
      </c>
      <c r="U1005" s="29">
        <v>293</v>
      </c>
      <c r="V1005" s="29">
        <v>416</v>
      </c>
      <c r="W1005" s="29">
        <v>1127</v>
      </c>
      <c r="X1005" s="29">
        <v>0</v>
      </c>
    </row>
    <row r="1006" spans="1:24">
      <c r="A1006" s="22">
        <v>46167</v>
      </c>
      <c r="B1006" s="23" t="s">
        <v>36</v>
      </c>
      <c r="C1006" s="30">
        <v>418.4385230769231</v>
      </c>
      <c r="D1006" s="30">
        <v>332.28941538461538</v>
      </c>
      <c r="E1006" s="30">
        <v>295.36836923076925</v>
      </c>
      <c r="F1006" s="30">
        <v>652.27181538461537</v>
      </c>
      <c r="G1006" s="30">
        <v>387.67098461538461</v>
      </c>
      <c r="H1006" s="30">
        <v>381.51747692307697</v>
      </c>
      <c r="I1006" s="30">
        <v>344.59643076923078</v>
      </c>
      <c r="J1006" s="30">
        <v>301.52187692307695</v>
      </c>
      <c r="K1006" s="30">
        <v>504.58763076923077</v>
      </c>
      <c r="L1006" s="30">
        <v>381.51747692307697</v>
      </c>
      <c r="M1006" s="24">
        <v>938.2199999999998</v>
      </c>
      <c r="N1006" s="25">
        <v>4938</v>
      </c>
      <c r="O1006" s="29">
        <v>170</v>
      </c>
      <c r="P1006" s="29">
        <v>2</v>
      </c>
      <c r="Q1006" s="29">
        <v>460</v>
      </c>
      <c r="R1006" s="29">
        <v>787</v>
      </c>
      <c r="S1006" s="29">
        <v>500</v>
      </c>
      <c r="T1006" s="29">
        <v>1200</v>
      </c>
      <c r="U1006" s="29">
        <v>118</v>
      </c>
      <c r="V1006" s="29">
        <v>416</v>
      </c>
      <c r="W1006" s="29">
        <v>1066</v>
      </c>
      <c r="X1006" s="29">
        <v>219</v>
      </c>
    </row>
    <row r="1007" spans="1:24">
      <c r="A1007" s="22">
        <v>46168</v>
      </c>
      <c r="B1007" s="23" t="s">
        <v>36</v>
      </c>
      <c r="C1007" s="30">
        <v>410.89679999999998</v>
      </c>
      <c r="D1007" s="30">
        <v>326.30040000000002</v>
      </c>
      <c r="E1007" s="30">
        <v>290.04480000000001</v>
      </c>
      <c r="F1007" s="30">
        <v>640.51559999999995</v>
      </c>
      <c r="G1007" s="30">
        <v>380.68379999999996</v>
      </c>
      <c r="H1007" s="30">
        <v>374.64120000000003</v>
      </c>
      <c r="I1007" s="30">
        <v>338.38560000000001</v>
      </c>
      <c r="J1007" s="30">
        <v>296.0874</v>
      </c>
      <c r="K1007" s="30">
        <v>495.49319999999994</v>
      </c>
      <c r="L1007" s="30">
        <v>374.64120000000003</v>
      </c>
      <c r="M1007" s="24">
        <v>921.31</v>
      </c>
      <c r="N1007" s="25">
        <v>4849</v>
      </c>
      <c r="O1007" s="29">
        <v>170</v>
      </c>
      <c r="P1007" s="29">
        <v>2</v>
      </c>
      <c r="Q1007" s="29">
        <v>460</v>
      </c>
      <c r="R1007" s="29">
        <v>787</v>
      </c>
      <c r="S1007" s="29">
        <v>500</v>
      </c>
      <c r="T1007" s="29">
        <v>1200</v>
      </c>
      <c r="U1007" s="29">
        <v>40</v>
      </c>
      <c r="V1007" s="29">
        <v>416</v>
      </c>
      <c r="W1007" s="29">
        <v>1055</v>
      </c>
      <c r="X1007" s="29">
        <v>219</v>
      </c>
    </row>
    <row r="1008" spans="1:24">
      <c r="A1008" s="22">
        <v>46169</v>
      </c>
      <c r="B1008" s="23" t="s">
        <v>36</v>
      </c>
      <c r="C1008" s="30">
        <v>407.76147692307694</v>
      </c>
      <c r="D1008" s="30">
        <v>323.81058461538464</v>
      </c>
      <c r="E1008" s="30">
        <v>287.8316307692308</v>
      </c>
      <c r="F1008" s="30">
        <v>635.62818461538461</v>
      </c>
      <c r="G1008" s="30">
        <v>377.77901538461538</v>
      </c>
      <c r="H1008" s="30">
        <v>371.7825230769231</v>
      </c>
      <c r="I1008" s="30">
        <v>335.80356923076926</v>
      </c>
      <c r="J1008" s="30">
        <v>293.82812307692308</v>
      </c>
      <c r="K1008" s="30">
        <v>491.71236923076924</v>
      </c>
      <c r="L1008" s="30">
        <v>371.7825230769231</v>
      </c>
      <c r="M1008" s="24">
        <v>914.27999999999975</v>
      </c>
      <c r="N1008" s="25">
        <v>4812</v>
      </c>
      <c r="O1008" s="29">
        <v>170</v>
      </c>
      <c r="P1008" s="29">
        <v>2</v>
      </c>
      <c r="Q1008" s="29">
        <v>460</v>
      </c>
      <c r="R1008" s="29">
        <v>787</v>
      </c>
      <c r="S1008" s="29">
        <v>500</v>
      </c>
      <c r="T1008" s="29">
        <v>1200</v>
      </c>
      <c r="U1008" s="29">
        <v>21</v>
      </c>
      <c r="V1008" s="29">
        <v>416</v>
      </c>
      <c r="W1008" s="29">
        <v>1037</v>
      </c>
      <c r="X1008" s="29">
        <v>219</v>
      </c>
    </row>
    <row r="1009" spans="1:24">
      <c r="A1009" s="22">
        <v>46170</v>
      </c>
      <c r="B1009" s="23" t="s">
        <v>36</v>
      </c>
      <c r="C1009" s="30">
        <v>410.47310769230768</v>
      </c>
      <c r="D1009" s="30">
        <v>325.96393846153848</v>
      </c>
      <c r="E1009" s="30">
        <v>289.74572307692313</v>
      </c>
      <c r="F1009" s="30">
        <v>639.85513846153844</v>
      </c>
      <c r="G1009" s="30">
        <v>380.29126153846153</v>
      </c>
      <c r="H1009" s="30">
        <v>374.25489230769233</v>
      </c>
      <c r="I1009" s="30">
        <v>338.03667692307693</v>
      </c>
      <c r="J1009" s="30">
        <v>295.78209230769232</v>
      </c>
      <c r="K1009" s="30">
        <v>494.98227692307694</v>
      </c>
      <c r="L1009" s="30">
        <v>374.25489230769233</v>
      </c>
      <c r="M1009" s="24">
        <v>920.35999999999967</v>
      </c>
      <c r="N1009" s="25">
        <v>4844</v>
      </c>
      <c r="O1009" s="29">
        <v>170</v>
      </c>
      <c r="P1009" s="29">
        <v>2</v>
      </c>
      <c r="Q1009" s="29">
        <v>460</v>
      </c>
      <c r="R1009" s="29">
        <v>787</v>
      </c>
      <c r="S1009" s="29">
        <v>500</v>
      </c>
      <c r="T1009" s="29">
        <v>1200</v>
      </c>
      <c r="U1009" s="29">
        <v>21</v>
      </c>
      <c r="V1009" s="29">
        <v>416</v>
      </c>
      <c r="W1009" s="29">
        <v>1069</v>
      </c>
      <c r="X1009" s="29">
        <v>219</v>
      </c>
    </row>
    <row r="1010" spans="1:24">
      <c r="A1010" s="22">
        <v>46171</v>
      </c>
      <c r="B1010" s="23" t="s">
        <v>36</v>
      </c>
      <c r="C1010" s="30">
        <v>416.40479999999997</v>
      </c>
      <c r="D1010" s="30">
        <v>330.67439999999999</v>
      </c>
      <c r="E1010" s="30">
        <v>293.93280000000004</v>
      </c>
      <c r="F1010" s="30">
        <v>649.10159999999996</v>
      </c>
      <c r="G1010" s="30">
        <v>385.78679999999997</v>
      </c>
      <c r="H1010" s="30">
        <v>379.66320000000002</v>
      </c>
      <c r="I1010" s="30">
        <v>342.92160000000001</v>
      </c>
      <c r="J1010" s="30">
        <v>300.0564</v>
      </c>
      <c r="K1010" s="30">
        <v>502.1352</v>
      </c>
      <c r="L1010" s="30">
        <v>379.66320000000002</v>
      </c>
      <c r="M1010" s="24">
        <v>933.65999999999985</v>
      </c>
      <c r="N1010" s="25">
        <v>4914</v>
      </c>
      <c r="O1010" s="29">
        <v>170</v>
      </c>
      <c r="P1010" s="29">
        <v>2</v>
      </c>
      <c r="Q1010" s="29">
        <v>460</v>
      </c>
      <c r="R1010" s="29">
        <v>787</v>
      </c>
      <c r="S1010" s="29">
        <v>565</v>
      </c>
      <c r="T1010" s="29">
        <v>1200</v>
      </c>
      <c r="U1010" s="29">
        <v>21</v>
      </c>
      <c r="V1010" s="29">
        <v>416</v>
      </c>
      <c r="W1010" s="29">
        <v>1074</v>
      </c>
      <c r="X1010" s="29">
        <v>219</v>
      </c>
    </row>
    <row r="1011" spans="1:24">
      <c r="A1011" s="22">
        <v>46172</v>
      </c>
      <c r="B1011" s="23" t="s">
        <v>36</v>
      </c>
      <c r="C1011" s="30">
        <v>439.02996923076927</v>
      </c>
      <c r="D1011" s="30">
        <v>348.64144615384618</v>
      </c>
      <c r="E1011" s="30">
        <v>309.90350769230776</v>
      </c>
      <c r="F1011" s="30">
        <v>684.37024615384621</v>
      </c>
      <c r="G1011" s="30">
        <v>406.74835384615386</v>
      </c>
      <c r="H1011" s="30">
        <v>400.29203076923085</v>
      </c>
      <c r="I1011" s="30">
        <v>361.55409230769231</v>
      </c>
      <c r="J1011" s="30">
        <v>316.35983076923083</v>
      </c>
      <c r="K1011" s="30">
        <v>529.4184923076923</v>
      </c>
      <c r="L1011" s="30">
        <v>400.29203076923085</v>
      </c>
      <c r="M1011" s="24">
        <v>984.38999999999942</v>
      </c>
      <c r="N1011" s="25">
        <v>5181</v>
      </c>
      <c r="O1011" s="29">
        <v>250</v>
      </c>
      <c r="P1011" s="29">
        <v>4</v>
      </c>
      <c r="Q1011" s="29">
        <v>689</v>
      </c>
      <c r="R1011" s="29">
        <v>787</v>
      </c>
      <c r="S1011" s="29">
        <v>565</v>
      </c>
      <c r="T1011" s="29">
        <v>1252</v>
      </c>
      <c r="U1011" s="29">
        <v>130</v>
      </c>
      <c r="V1011" s="29">
        <v>416</v>
      </c>
      <c r="W1011" s="29">
        <v>1088</v>
      </c>
      <c r="X1011" s="29">
        <v>0</v>
      </c>
    </row>
    <row r="1012" spans="1:24">
      <c r="A1012" s="22">
        <v>46173</v>
      </c>
      <c r="B1012" s="23" t="s">
        <v>36</v>
      </c>
      <c r="C1012" s="30">
        <v>535.37759999999992</v>
      </c>
      <c r="D1012" s="30">
        <v>425.15280000000001</v>
      </c>
      <c r="E1012" s="30">
        <v>377.91360000000003</v>
      </c>
      <c r="F1012" s="30">
        <v>834.55919999999992</v>
      </c>
      <c r="G1012" s="30">
        <v>496.01159999999999</v>
      </c>
      <c r="H1012" s="30">
        <v>488.13839999999999</v>
      </c>
      <c r="I1012" s="30">
        <v>440.89919999999995</v>
      </c>
      <c r="J1012" s="30">
        <v>385.78679999999997</v>
      </c>
      <c r="K1012" s="30">
        <v>645.60239999999999</v>
      </c>
      <c r="L1012" s="30">
        <v>488.13839999999999</v>
      </c>
      <c r="M1012" s="24">
        <v>1200.420000000001</v>
      </c>
      <c r="N1012" s="25">
        <v>6318</v>
      </c>
      <c r="O1012" s="29">
        <v>250</v>
      </c>
      <c r="P1012" s="29">
        <v>4</v>
      </c>
      <c r="Q1012" s="29">
        <v>689</v>
      </c>
      <c r="R1012" s="29">
        <v>788</v>
      </c>
      <c r="S1012" s="29">
        <v>565</v>
      </c>
      <c r="T1012" s="29">
        <v>2400</v>
      </c>
      <c r="U1012" s="29">
        <v>130</v>
      </c>
      <c r="V1012" s="29">
        <v>416</v>
      </c>
      <c r="W1012" s="29">
        <v>1076</v>
      </c>
      <c r="X1012" s="29">
        <v>0</v>
      </c>
    </row>
    <row r="1013" spans="1:24">
      <c r="A1013" s="22">
        <v>46174</v>
      </c>
      <c r="B1013" s="23" t="s">
        <v>36</v>
      </c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>
        <v>0</v>
      </c>
      <c r="N1013" s="25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</row>
    <row r="1014" spans="1:24">
      <c r="A1014" s="22">
        <v>46175</v>
      </c>
      <c r="B1014" s="23" t="s">
        <v>36</v>
      </c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>
        <v>0</v>
      </c>
      <c r="N1014" s="25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</row>
    <row r="1015" spans="1:24">
      <c r="A1015" s="22">
        <v>46176</v>
      </c>
      <c r="B1015" s="23" t="s">
        <v>36</v>
      </c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>
        <v>0</v>
      </c>
      <c r="N1015" s="25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</row>
    <row r="1016" spans="1:24">
      <c r="A1016" s="22">
        <v>46177</v>
      </c>
      <c r="B1016" s="23" t="s">
        <v>36</v>
      </c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>
        <v>0</v>
      </c>
      <c r="N1016" s="25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</row>
    <row r="1017" spans="1:24">
      <c r="A1017" s="22">
        <v>46178</v>
      </c>
      <c r="B1017" s="23" t="s">
        <v>36</v>
      </c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>
        <v>0</v>
      </c>
      <c r="N1017" s="25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</row>
    <row r="1018" spans="1:24">
      <c r="A1018" s="22">
        <v>46179</v>
      </c>
      <c r="B1018" s="23" t="s">
        <v>36</v>
      </c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>
        <v>0</v>
      </c>
      <c r="N1018" s="25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</row>
    <row r="1019" spans="1:24">
      <c r="A1019" s="22">
        <v>46180</v>
      </c>
      <c r="B1019" s="23" t="s">
        <v>36</v>
      </c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>
        <v>0</v>
      </c>
      <c r="N1019" s="25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</row>
    <row r="1020" spans="1:24">
      <c r="A1020" s="22">
        <v>46181</v>
      </c>
      <c r="B1020" s="23" t="s">
        <v>36</v>
      </c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>
        <v>0</v>
      </c>
      <c r="N1020" s="25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</row>
    <row r="1021" spans="1:24">
      <c r="A1021" s="22">
        <v>46182</v>
      </c>
      <c r="B1021" s="23" t="s">
        <v>36</v>
      </c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>
        <v>0</v>
      </c>
      <c r="N1021" s="25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</row>
    <row r="1022" spans="1:24">
      <c r="A1022" s="22">
        <v>46183</v>
      </c>
      <c r="B1022" s="23" t="s">
        <v>36</v>
      </c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>
        <v>0</v>
      </c>
      <c r="N1022" s="25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</row>
    <row r="1023" spans="1:24">
      <c r="A1023" s="22">
        <v>46184</v>
      </c>
      <c r="B1023" s="23" t="s">
        <v>36</v>
      </c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>
        <v>0</v>
      </c>
      <c r="N1023" s="25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</row>
    <row r="1024" spans="1:24">
      <c r="A1024" s="22">
        <v>46185</v>
      </c>
      <c r="B1024" s="23" t="s">
        <v>36</v>
      </c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>
        <v>0</v>
      </c>
      <c r="N1024" s="25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</row>
    <row r="1025" spans="1:24">
      <c r="A1025" s="22">
        <v>46186</v>
      </c>
      <c r="B1025" s="23" t="s">
        <v>36</v>
      </c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>
        <v>0</v>
      </c>
      <c r="N1025" s="25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</row>
    <row r="1026" spans="1:24">
      <c r="A1026" s="22">
        <v>46187</v>
      </c>
      <c r="B1026" s="23" t="s">
        <v>36</v>
      </c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>
        <v>0</v>
      </c>
      <c r="N1026" s="25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</row>
    <row r="1027" spans="1:24">
      <c r="A1027" s="22">
        <v>46188</v>
      </c>
      <c r="B1027" s="23" t="s">
        <v>36</v>
      </c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>
        <v>0</v>
      </c>
      <c r="N1027" s="25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</row>
    <row r="1028" spans="1:24">
      <c r="A1028" s="22">
        <v>46189</v>
      </c>
      <c r="B1028" s="23" t="s">
        <v>36</v>
      </c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>
        <v>0</v>
      </c>
      <c r="N1028" s="25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</row>
    <row r="1029" spans="1:24">
      <c r="A1029" s="22">
        <v>46190</v>
      </c>
      <c r="B1029" s="23" t="s">
        <v>36</v>
      </c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>
        <v>0</v>
      </c>
      <c r="N1029" s="25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</row>
    <row r="1030" spans="1:24">
      <c r="A1030" s="22">
        <v>46191</v>
      </c>
      <c r="B1030" s="23" t="s">
        <v>36</v>
      </c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>
        <v>0</v>
      </c>
      <c r="N1030" s="25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</row>
    <row r="1031" spans="1:24">
      <c r="A1031" s="22">
        <v>46192</v>
      </c>
      <c r="B1031" s="23" t="s">
        <v>36</v>
      </c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>
        <v>0</v>
      </c>
      <c r="N1031" s="25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</row>
    <row r="1032" spans="1:24">
      <c r="A1032" s="22">
        <v>46193</v>
      </c>
      <c r="B1032" s="23" t="s">
        <v>36</v>
      </c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>
        <v>0</v>
      </c>
      <c r="N1032" s="25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</row>
    <row r="1033" spans="1:24">
      <c r="A1033" s="22">
        <v>46194</v>
      </c>
      <c r="B1033" s="23" t="s">
        <v>36</v>
      </c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>
        <v>0</v>
      </c>
      <c r="N1033" s="25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</row>
    <row r="1034" spans="1:24">
      <c r="A1034" s="22">
        <v>46195</v>
      </c>
      <c r="B1034" s="23" t="s">
        <v>36</v>
      </c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>
        <v>0</v>
      </c>
      <c r="N1034" s="25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</row>
    <row r="1035" spans="1:24">
      <c r="A1035" s="22">
        <v>46196</v>
      </c>
      <c r="B1035" s="23" t="s">
        <v>36</v>
      </c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>
        <v>0</v>
      </c>
      <c r="N1035" s="25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</row>
    <row r="1036" spans="1:24">
      <c r="A1036" s="22">
        <v>46197</v>
      </c>
      <c r="B1036" s="23" t="s">
        <v>36</v>
      </c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>
        <v>0</v>
      </c>
      <c r="N1036" s="25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</row>
    <row r="1037" spans="1:24">
      <c r="A1037" s="22">
        <v>46198</v>
      </c>
      <c r="B1037" s="23" t="s">
        <v>36</v>
      </c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>
        <v>0</v>
      </c>
      <c r="N1037" s="25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</row>
    <row r="1038" spans="1:24">
      <c r="A1038" s="22">
        <v>46199</v>
      </c>
      <c r="B1038" s="23" t="s">
        <v>36</v>
      </c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>
        <v>0</v>
      </c>
      <c r="N1038" s="25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</row>
    <row r="1039" spans="1:24">
      <c r="A1039" s="22">
        <v>46200</v>
      </c>
      <c r="B1039" s="23" t="s">
        <v>36</v>
      </c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>
        <v>0</v>
      </c>
      <c r="N1039" s="25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</row>
    <row r="1040" spans="1:24">
      <c r="A1040" s="22">
        <v>46201</v>
      </c>
      <c r="B1040" s="23" t="s">
        <v>36</v>
      </c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>
        <v>0</v>
      </c>
      <c r="N1040" s="25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</row>
    <row r="1041" spans="1:24">
      <c r="A1041" s="22">
        <v>46202</v>
      </c>
      <c r="B1041" s="23" t="s">
        <v>36</v>
      </c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>
        <v>0</v>
      </c>
      <c r="N1041" s="25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</row>
    <row r="1042" spans="1:24">
      <c r="A1042" s="22">
        <v>46203</v>
      </c>
      <c r="B1042" s="23" t="s">
        <v>36</v>
      </c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>
        <v>0</v>
      </c>
      <c r="N1042" s="25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</row>
    <row r="1043" spans="1:24">
      <c r="A1043" s="22">
        <v>46204</v>
      </c>
      <c r="B1043" s="23" t="s">
        <v>36</v>
      </c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>
        <v>0</v>
      </c>
      <c r="N1043" s="25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</row>
    <row r="1044" spans="1:24">
      <c r="A1044" s="22">
        <v>46205</v>
      </c>
      <c r="B1044" s="23" t="s">
        <v>36</v>
      </c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>
        <v>0</v>
      </c>
      <c r="N1044" s="25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</row>
    <row r="1045" spans="1:24">
      <c r="A1045" s="22">
        <v>46206</v>
      </c>
      <c r="B1045" s="23" t="s">
        <v>36</v>
      </c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>
        <v>0</v>
      </c>
      <c r="N1045" s="25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</row>
    <row r="1046" spans="1:24">
      <c r="A1046" s="22">
        <v>46207</v>
      </c>
      <c r="B1046" s="23" t="s">
        <v>36</v>
      </c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>
        <v>0</v>
      </c>
      <c r="N1046" s="25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</row>
    <row r="1047" spans="1:24">
      <c r="A1047" s="22">
        <v>46208</v>
      </c>
      <c r="B1047" s="23" t="s">
        <v>36</v>
      </c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>
        <v>0</v>
      </c>
      <c r="N1047" s="25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</row>
    <row r="1048" spans="1:24">
      <c r="A1048" s="22">
        <v>46209</v>
      </c>
      <c r="B1048" s="23" t="s">
        <v>36</v>
      </c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>
        <v>0</v>
      </c>
      <c r="N1048" s="25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</row>
    <row r="1049" spans="1:24">
      <c r="A1049" s="22">
        <v>46210</v>
      </c>
      <c r="B1049" s="23" t="s">
        <v>36</v>
      </c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>
        <v>0</v>
      </c>
      <c r="N1049" s="25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</row>
    <row r="1050" spans="1:24">
      <c r="A1050" s="22">
        <v>46211</v>
      </c>
      <c r="B1050" s="23" t="s">
        <v>36</v>
      </c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>
        <v>0</v>
      </c>
      <c r="N1050" s="25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</row>
    <row r="1051" spans="1:24">
      <c r="A1051" s="22">
        <v>46212</v>
      </c>
      <c r="B1051" s="23" t="s">
        <v>36</v>
      </c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>
        <v>0</v>
      </c>
      <c r="N1051" s="25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</row>
    <row r="1052" spans="1:24">
      <c r="A1052" s="22">
        <v>46213</v>
      </c>
      <c r="B1052" s="23" t="s">
        <v>36</v>
      </c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>
        <v>0</v>
      </c>
      <c r="N1052" s="25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</row>
    <row r="1053" spans="1:24">
      <c r="A1053" s="22">
        <v>46214</v>
      </c>
      <c r="B1053" s="23" t="s">
        <v>36</v>
      </c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>
        <v>0</v>
      </c>
      <c r="N1053" s="25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</row>
    <row r="1054" spans="1:24">
      <c r="A1054" s="22">
        <v>46215</v>
      </c>
      <c r="B1054" s="23" t="s">
        <v>36</v>
      </c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>
        <v>0</v>
      </c>
      <c r="N1054" s="25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</row>
    <row r="1055" spans="1:24">
      <c r="A1055" s="22">
        <v>46216</v>
      </c>
      <c r="B1055" s="23" t="s">
        <v>36</v>
      </c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>
        <v>0</v>
      </c>
      <c r="N1055" s="25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</row>
    <row r="1056" spans="1:24">
      <c r="A1056" s="22">
        <v>46217</v>
      </c>
      <c r="B1056" s="23" t="s">
        <v>36</v>
      </c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>
        <v>0</v>
      </c>
      <c r="N1056" s="25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</row>
    <row r="1057" spans="1:24">
      <c r="A1057" s="22">
        <v>46218</v>
      </c>
      <c r="B1057" s="23" t="s">
        <v>36</v>
      </c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>
        <v>0</v>
      </c>
      <c r="N1057" s="25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</row>
    <row r="1058" spans="1:24">
      <c r="A1058" s="22">
        <v>46219</v>
      </c>
      <c r="B1058" s="23" t="s">
        <v>36</v>
      </c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>
        <v>0</v>
      </c>
      <c r="N1058" s="25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</row>
    <row r="1059" spans="1:24">
      <c r="A1059" s="22">
        <v>46220</v>
      </c>
      <c r="B1059" s="23" t="s">
        <v>36</v>
      </c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>
        <v>0</v>
      </c>
      <c r="N1059" s="25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</row>
    <row r="1060" spans="1:24">
      <c r="A1060" s="22">
        <v>46221</v>
      </c>
      <c r="B1060" s="23" t="s">
        <v>36</v>
      </c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>
        <v>0</v>
      </c>
      <c r="N1060" s="25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</row>
    <row r="1061" spans="1:24">
      <c r="A1061" s="22">
        <v>46222</v>
      </c>
      <c r="B1061" s="23" t="s">
        <v>36</v>
      </c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>
        <v>0</v>
      </c>
      <c r="N1061" s="25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</row>
    <row r="1062" spans="1:24">
      <c r="A1062" s="22">
        <v>46223</v>
      </c>
      <c r="B1062" s="23" t="s">
        <v>36</v>
      </c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>
        <v>0</v>
      </c>
      <c r="N1062" s="25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</row>
    <row r="1063" spans="1:24">
      <c r="A1063" s="22">
        <v>46224</v>
      </c>
      <c r="B1063" s="23" t="s">
        <v>36</v>
      </c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>
        <v>0</v>
      </c>
      <c r="N1063" s="25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</row>
    <row r="1064" spans="1:24">
      <c r="A1064" s="22">
        <v>46225</v>
      </c>
      <c r="B1064" s="23" t="s">
        <v>36</v>
      </c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>
        <v>0</v>
      </c>
      <c r="N1064" s="25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</row>
    <row r="1065" spans="1:24">
      <c r="A1065" s="22">
        <v>46226</v>
      </c>
      <c r="B1065" s="23" t="s">
        <v>36</v>
      </c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>
        <v>0</v>
      </c>
      <c r="N1065" s="25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</row>
    <row r="1066" spans="1:24">
      <c r="A1066" s="22">
        <v>46227</v>
      </c>
      <c r="B1066" s="23" t="s">
        <v>36</v>
      </c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>
        <v>0</v>
      </c>
      <c r="N1066" s="25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</row>
    <row r="1067" spans="1:24">
      <c r="A1067" s="22">
        <v>46228</v>
      </c>
      <c r="B1067" s="23" t="s">
        <v>36</v>
      </c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>
        <v>0</v>
      </c>
      <c r="N1067" s="25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</row>
    <row r="1068" spans="1:24">
      <c r="A1068" s="22">
        <v>46229</v>
      </c>
      <c r="B1068" s="23" t="s">
        <v>36</v>
      </c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>
        <v>0</v>
      </c>
      <c r="N1068" s="25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</row>
    <row r="1069" spans="1:24">
      <c r="A1069" s="22">
        <v>46230</v>
      </c>
      <c r="B1069" s="23" t="s">
        <v>36</v>
      </c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>
        <v>0</v>
      </c>
      <c r="N1069" s="25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</row>
    <row r="1070" spans="1:24">
      <c r="A1070" s="22">
        <v>46231</v>
      </c>
      <c r="B1070" s="23" t="s">
        <v>36</v>
      </c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>
        <v>0</v>
      </c>
      <c r="N1070" s="25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</row>
    <row r="1071" spans="1:24">
      <c r="A1071" s="22">
        <v>46232</v>
      </c>
      <c r="B1071" s="23" t="s">
        <v>36</v>
      </c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>
        <v>0</v>
      </c>
      <c r="N1071" s="25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</row>
    <row r="1072" spans="1:24">
      <c r="A1072" s="22">
        <v>46233</v>
      </c>
      <c r="B1072" s="23" t="s">
        <v>36</v>
      </c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>
        <v>0</v>
      </c>
      <c r="N1072" s="25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</row>
    <row r="1073" spans="1:24">
      <c r="A1073" s="22">
        <v>46234</v>
      </c>
      <c r="B1073" s="23" t="s">
        <v>36</v>
      </c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>
        <v>0</v>
      </c>
      <c r="N1073" s="25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</row>
    <row r="1074" spans="1:24">
      <c r="A1074" s="22">
        <v>46235</v>
      </c>
      <c r="B1074" s="23" t="s">
        <v>36</v>
      </c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>
        <v>0</v>
      </c>
      <c r="N1074" s="25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</row>
    <row r="1075" spans="1:24">
      <c r="A1075" s="22">
        <v>46236</v>
      </c>
      <c r="B1075" s="23" t="s">
        <v>36</v>
      </c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>
        <v>0</v>
      </c>
      <c r="N1075" s="25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</row>
    <row r="1076" spans="1:24">
      <c r="A1076" s="22">
        <v>46237</v>
      </c>
      <c r="B1076" s="23" t="s">
        <v>36</v>
      </c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>
        <v>0</v>
      </c>
      <c r="N1076" s="25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</row>
    <row r="1077" spans="1:24">
      <c r="A1077" s="22">
        <v>46238</v>
      </c>
      <c r="B1077" s="23" t="s">
        <v>36</v>
      </c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>
        <v>0</v>
      </c>
      <c r="N1077" s="25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</row>
    <row r="1078" spans="1:24">
      <c r="A1078" s="22">
        <v>46239</v>
      </c>
      <c r="B1078" s="23" t="s">
        <v>36</v>
      </c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>
        <v>0</v>
      </c>
      <c r="N1078" s="25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</row>
    <row r="1079" spans="1:24">
      <c r="A1079" s="22">
        <v>46240</v>
      </c>
      <c r="B1079" s="23" t="s">
        <v>36</v>
      </c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>
        <v>0</v>
      </c>
      <c r="N1079" s="25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</row>
    <row r="1080" spans="1:24">
      <c r="A1080" s="22">
        <v>46241</v>
      </c>
      <c r="B1080" s="23" t="s">
        <v>36</v>
      </c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>
        <v>0</v>
      </c>
      <c r="N1080" s="25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</row>
    <row r="1081" spans="1:24">
      <c r="A1081" s="22">
        <v>46242</v>
      </c>
      <c r="B1081" s="23" t="s">
        <v>36</v>
      </c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>
        <v>0</v>
      </c>
      <c r="N1081" s="25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</row>
    <row r="1082" spans="1:24">
      <c r="A1082" s="22">
        <v>46243</v>
      </c>
      <c r="B1082" s="23" t="s">
        <v>36</v>
      </c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>
        <v>0</v>
      </c>
      <c r="N1082" s="25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</row>
    <row r="1083" spans="1:24">
      <c r="A1083" s="22">
        <v>46244</v>
      </c>
      <c r="B1083" s="23" t="s">
        <v>36</v>
      </c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>
        <v>0</v>
      </c>
      <c r="N1083" s="25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</row>
    <row r="1084" spans="1:24">
      <c r="A1084" s="22">
        <v>46245</v>
      </c>
      <c r="B1084" s="23" t="s">
        <v>36</v>
      </c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>
        <v>0</v>
      </c>
      <c r="N1084" s="25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</row>
    <row r="1085" spans="1:24">
      <c r="A1085" s="22">
        <v>46246</v>
      </c>
      <c r="B1085" s="23" t="s">
        <v>36</v>
      </c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>
        <v>0</v>
      </c>
      <c r="N1085" s="25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</row>
    <row r="1086" spans="1:24">
      <c r="A1086" s="22">
        <v>46247</v>
      </c>
      <c r="B1086" s="23" t="s">
        <v>36</v>
      </c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>
        <v>0</v>
      </c>
      <c r="N1086" s="25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</row>
    <row r="1087" spans="1:24">
      <c r="A1087" s="22">
        <v>46248</v>
      </c>
      <c r="B1087" s="23" t="s">
        <v>36</v>
      </c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>
        <v>0</v>
      </c>
      <c r="N1087" s="25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</row>
    <row r="1088" spans="1:24">
      <c r="A1088" s="22">
        <v>46249</v>
      </c>
      <c r="B1088" s="23" t="s">
        <v>36</v>
      </c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>
        <v>0</v>
      </c>
      <c r="N1088" s="25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</row>
    <row r="1089" spans="1:24">
      <c r="A1089" s="22">
        <v>46250</v>
      </c>
      <c r="B1089" s="23" t="s">
        <v>36</v>
      </c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>
        <v>0</v>
      </c>
      <c r="N1089" s="25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</row>
    <row r="1090" spans="1:24">
      <c r="A1090" s="22">
        <v>46251</v>
      </c>
      <c r="B1090" s="23" t="s">
        <v>36</v>
      </c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>
        <v>0</v>
      </c>
      <c r="N1090" s="25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</row>
    <row r="1091" spans="1:24">
      <c r="A1091" s="22">
        <v>46252</v>
      </c>
      <c r="B1091" s="23" t="s">
        <v>36</v>
      </c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>
        <v>0</v>
      </c>
      <c r="N1091" s="25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</row>
    <row r="1092" spans="1:24">
      <c r="A1092" s="22">
        <v>46253</v>
      </c>
      <c r="B1092" s="23" t="s">
        <v>36</v>
      </c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>
        <v>0</v>
      </c>
      <c r="N1092" s="25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</row>
    <row r="1093" spans="1:24">
      <c r="A1093" s="22">
        <v>46254</v>
      </c>
      <c r="B1093" s="23" t="s">
        <v>36</v>
      </c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>
        <v>0</v>
      </c>
      <c r="N1093" s="25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</row>
    <row r="1094" spans="1:24">
      <c r="A1094" s="22">
        <v>46255</v>
      </c>
      <c r="B1094" s="23" t="s">
        <v>36</v>
      </c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>
        <v>0</v>
      </c>
      <c r="N1094" s="25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</row>
    <row r="1095" spans="1:24">
      <c r="A1095" s="22">
        <v>46256</v>
      </c>
      <c r="B1095" s="23" t="s">
        <v>36</v>
      </c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>
        <v>0</v>
      </c>
      <c r="N1095" s="25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</row>
    <row r="1096" spans="1:24">
      <c r="A1096" s="22">
        <v>46257</v>
      </c>
      <c r="B1096" s="23" t="s">
        <v>36</v>
      </c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>
        <v>0</v>
      </c>
      <c r="N1096" s="25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</row>
    <row r="1097" spans="1:24">
      <c r="A1097" s="22">
        <v>46258</v>
      </c>
      <c r="B1097" s="23" t="s">
        <v>36</v>
      </c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>
        <v>0</v>
      </c>
      <c r="N1097" s="25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</row>
    <row r="1098" spans="1:24">
      <c r="A1098" s="22">
        <v>46259</v>
      </c>
      <c r="B1098" s="23" t="s">
        <v>36</v>
      </c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>
        <v>0</v>
      </c>
      <c r="N1098" s="25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</row>
    <row r="1099" spans="1:24">
      <c r="A1099" s="22">
        <v>46260</v>
      </c>
      <c r="B1099" s="23" t="s">
        <v>36</v>
      </c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>
        <v>0</v>
      </c>
      <c r="N1099" s="25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</row>
    <row r="1100" spans="1:24">
      <c r="A1100" s="22">
        <v>46261</v>
      </c>
      <c r="B1100" s="23" t="s">
        <v>36</v>
      </c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>
        <v>0</v>
      </c>
      <c r="N1100" s="25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</row>
    <row r="1101" spans="1:24">
      <c r="A1101" s="22">
        <v>46262</v>
      </c>
      <c r="B1101" s="23" t="s">
        <v>36</v>
      </c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>
        <v>0</v>
      </c>
      <c r="N1101" s="25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</row>
    <row r="1102" spans="1:24">
      <c r="A1102" s="22">
        <v>46263</v>
      </c>
      <c r="B1102" s="23" t="s">
        <v>36</v>
      </c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>
        <v>0</v>
      </c>
      <c r="N1102" s="25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</row>
    <row r="1103" spans="1:24">
      <c r="A1103" s="22">
        <v>46264</v>
      </c>
      <c r="B1103" s="23" t="s">
        <v>36</v>
      </c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>
        <v>0</v>
      </c>
      <c r="N1103" s="25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</row>
    <row r="1104" spans="1:24">
      <c r="A1104" s="22">
        <v>46265</v>
      </c>
      <c r="B1104" s="23" t="s">
        <v>36</v>
      </c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>
        <v>0</v>
      </c>
      <c r="N1104" s="25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</row>
    <row r="1105" spans="1:24">
      <c r="A1105" s="22">
        <v>46266</v>
      </c>
      <c r="B1105" s="23" t="s">
        <v>36</v>
      </c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>
        <v>0</v>
      </c>
      <c r="N1105" s="25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</row>
    <row r="1106" spans="1:24">
      <c r="A1106" s="22">
        <v>46267</v>
      </c>
      <c r="B1106" s="23" t="s">
        <v>36</v>
      </c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>
        <v>0</v>
      </c>
      <c r="N1106" s="25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</row>
    <row r="1107" spans="1:24">
      <c r="A1107" s="22">
        <v>46268</v>
      </c>
      <c r="B1107" s="23" t="s">
        <v>36</v>
      </c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>
        <v>0</v>
      </c>
      <c r="N1107" s="25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</row>
    <row r="1108" spans="1:24">
      <c r="A1108" s="22">
        <v>46269</v>
      </c>
      <c r="B1108" s="23" t="s">
        <v>36</v>
      </c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>
        <v>0</v>
      </c>
      <c r="N1108" s="25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</row>
    <row r="1109" spans="1:24">
      <c r="A1109" s="22">
        <v>46270</v>
      </c>
      <c r="B1109" s="23" t="s">
        <v>36</v>
      </c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>
        <v>0</v>
      </c>
      <c r="N1109" s="25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</row>
    <row r="1110" spans="1:24">
      <c r="A1110" s="22">
        <v>46271</v>
      </c>
      <c r="B1110" s="23" t="s">
        <v>36</v>
      </c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>
        <v>0</v>
      </c>
      <c r="N1110" s="25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</row>
    <row r="1111" spans="1:24">
      <c r="A1111" s="22">
        <v>46272</v>
      </c>
      <c r="B1111" s="23" t="s">
        <v>36</v>
      </c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>
        <v>0</v>
      </c>
      <c r="N1111" s="25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</row>
    <row r="1112" spans="1:24">
      <c r="A1112" s="22">
        <v>46273</v>
      </c>
      <c r="B1112" s="23" t="s">
        <v>36</v>
      </c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>
        <v>0</v>
      </c>
      <c r="N1112" s="25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</row>
    <row r="1113" spans="1:24">
      <c r="A1113" s="22">
        <v>46274</v>
      </c>
      <c r="B1113" s="23" t="s">
        <v>36</v>
      </c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>
        <v>0</v>
      </c>
      <c r="N1113" s="25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</row>
    <row r="1114" spans="1:24">
      <c r="A1114" s="22">
        <v>46275</v>
      </c>
      <c r="B1114" s="23" t="s">
        <v>36</v>
      </c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>
        <v>0</v>
      </c>
      <c r="N1114" s="25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</row>
    <row r="1115" spans="1:24">
      <c r="A1115" s="22">
        <v>46276</v>
      </c>
      <c r="B1115" s="23" t="s">
        <v>36</v>
      </c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>
        <v>0</v>
      </c>
      <c r="N1115" s="25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</row>
    <row r="1116" spans="1:24">
      <c r="A1116" s="22">
        <v>46277</v>
      </c>
      <c r="B1116" s="23" t="s">
        <v>36</v>
      </c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>
        <v>0</v>
      </c>
      <c r="N1116" s="25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</row>
    <row r="1117" spans="1:24">
      <c r="A1117" s="22">
        <v>46278</v>
      </c>
      <c r="B1117" s="23" t="s">
        <v>36</v>
      </c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>
        <v>0</v>
      </c>
      <c r="N1117" s="25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</row>
    <row r="1118" spans="1:24">
      <c r="A1118" s="22">
        <v>46279</v>
      </c>
      <c r="B1118" s="23" t="s">
        <v>36</v>
      </c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>
        <v>0</v>
      </c>
      <c r="N1118" s="25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</row>
    <row r="1119" spans="1:24">
      <c r="A1119" s="22">
        <v>46280</v>
      </c>
      <c r="B1119" s="23" t="s">
        <v>36</v>
      </c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>
        <v>0</v>
      </c>
      <c r="N1119" s="25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</row>
    <row r="1120" spans="1:24">
      <c r="A1120" s="22">
        <v>46281</v>
      </c>
      <c r="B1120" s="23" t="s">
        <v>36</v>
      </c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>
        <v>0</v>
      </c>
      <c r="N1120" s="25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</row>
    <row r="1121" spans="1:24">
      <c r="A1121" s="22">
        <v>46282</v>
      </c>
      <c r="B1121" s="23" t="s">
        <v>36</v>
      </c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>
        <v>0</v>
      </c>
      <c r="N1121" s="25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</row>
    <row r="1122" spans="1:24">
      <c r="A1122" s="22">
        <v>46283</v>
      </c>
      <c r="B1122" s="23" t="s">
        <v>36</v>
      </c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>
        <v>0</v>
      </c>
      <c r="N1122" s="25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</row>
    <row r="1123" spans="1:24">
      <c r="A1123" s="22">
        <v>46284</v>
      </c>
      <c r="B1123" s="23" t="s">
        <v>36</v>
      </c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>
        <v>0</v>
      </c>
      <c r="N1123" s="25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</row>
    <row r="1124" spans="1:24">
      <c r="A1124" s="22">
        <v>46285</v>
      </c>
      <c r="B1124" s="23" t="s">
        <v>36</v>
      </c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>
        <v>0</v>
      </c>
      <c r="N1124" s="25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</row>
    <row r="1125" spans="1:24">
      <c r="A1125" s="22">
        <v>46286</v>
      </c>
      <c r="B1125" s="23" t="s">
        <v>36</v>
      </c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>
        <v>0</v>
      </c>
      <c r="N1125" s="25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</row>
    <row r="1126" spans="1:24">
      <c r="A1126" s="22">
        <v>46287</v>
      </c>
      <c r="B1126" s="23" t="s">
        <v>36</v>
      </c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>
        <v>0</v>
      </c>
      <c r="N1126" s="25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</row>
    <row r="1127" spans="1:24">
      <c r="A1127" s="22">
        <v>46288</v>
      </c>
      <c r="B1127" s="23" t="s">
        <v>36</v>
      </c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>
        <v>0</v>
      </c>
      <c r="N1127" s="25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</row>
    <row r="1128" spans="1:24">
      <c r="A1128" s="22">
        <v>46289</v>
      </c>
      <c r="B1128" s="23" t="s">
        <v>36</v>
      </c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>
        <v>0</v>
      </c>
      <c r="N1128" s="25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</row>
    <row r="1129" spans="1:24">
      <c r="A1129" s="22">
        <v>46290</v>
      </c>
      <c r="B1129" s="23" t="s">
        <v>36</v>
      </c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>
        <v>0</v>
      </c>
      <c r="N1129" s="25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</row>
    <row r="1130" spans="1:24">
      <c r="A1130" s="22">
        <v>46291</v>
      </c>
      <c r="B1130" s="23" t="s">
        <v>36</v>
      </c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>
        <v>0</v>
      </c>
      <c r="N1130" s="25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</row>
    <row r="1131" spans="1:24">
      <c r="A1131" s="22">
        <v>46292</v>
      </c>
      <c r="B1131" s="23" t="s">
        <v>36</v>
      </c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>
        <v>0</v>
      </c>
      <c r="N1131" s="25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</row>
    <row r="1132" spans="1:24">
      <c r="A1132" s="22">
        <v>46293</v>
      </c>
      <c r="B1132" s="23" t="s">
        <v>36</v>
      </c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>
        <v>0</v>
      </c>
      <c r="N1132" s="25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</row>
    <row r="1133" spans="1:24">
      <c r="A1133" s="22">
        <v>46294</v>
      </c>
      <c r="B1133" s="23" t="s">
        <v>36</v>
      </c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>
        <v>0</v>
      </c>
      <c r="N1133" s="25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</row>
    <row r="1134" spans="1:24">
      <c r="A1134" s="22">
        <v>46295</v>
      </c>
      <c r="B1134" s="23" t="s">
        <v>36</v>
      </c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>
        <v>0</v>
      </c>
      <c r="N1134" s="25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</row>
    <row r="1135" spans="1:24">
      <c r="A1135" s="22">
        <v>46296</v>
      </c>
      <c r="B1135" s="23" t="s">
        <v>36</v>
      </c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>
        <v>0</v>
      </c>
      <c r="N1135" s="25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</row>
    <row r="1136" spans="1:24">
      <c r="A1136" s="22">
        <v>46297</v>
      </c>
      <c r="B1136" s="23" t="s">
        <v>36</v>
      </c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>
        <v>0</v>
      </c>
      <c r="N1136" s="25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</row>
    <row r="1137" spans="1:24">
      <c r="A1137" s="22">
        <v>46298</v>
      </c>
      <c r="B1137" s="23" t="s">
        <v>36</v>
      </c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>
        <v>0</v>
      </c>
      <c r="N1137" s="25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</row>
    <row r="1138" spans="1:24">
      <c r="A1138" s="22">
        <v>46299</v>
      </c>
      <c r="B1138" s="23" t="s">
        <v>36</v>
      </c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>
        <v>0</v>
      </c>
      <c r="N1138" s="25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</row>
    <row r="1139" spans="1:24">
      <c r="A1139" s="22">
        <v>46300</v>
      </c>
      <c r="B1139" s="23" t="s">
        <v>36</v>
      </c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>
        <v>0</v>
      </c>
      <c r="N1139" s="25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</row>
    <row r="1140" spans="1:24">
      <c r="A1140" s="22">
        <v>46301</v>
      </c>
      <c r="B1140" s="23" t="s">
        <v>36</v>
      </c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>
        <v>0</v>
      </c>
      <c r="N1140" s="25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</row>
    <row r="1141" spans="1:24">
      <c r="A1141" s="22">
        <v>46302</v>
      </c>
      <c r="B1141" s="23" t="s">
        <v>36</v>
      </c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>
        <v>0</v>
      </c>
      <c r="N1141" s="25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</row>
    <row r="1142" spans="1:24">
      <c r="A1142" s="22">
        <v>46303</v>
      </c>
      <c r="B1142" s="23" t="s">
        <v>36</v>
      </c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>
        <v>0</v>
      </c>
      <c r="N1142" s="25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</row>
    <row r="1143" spans="1:24">
      <c r="A1143" s="22">
        <v>46304</v>
      </c>
      <c r="B1143" s="23" t="s">
        <v>36</v>
      </c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>
        <v>0</v>
      </c>
      <c r="N1143" s="25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</row>
    <row r="1144" spans="1:24">
      <c r="A1144" s="22">
        <v>46305</v>
      </c>
      <c r="B1144" s="23" t="s">
        <v>36</v>
      </c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>
        <v>0</v>
      </c>
      <c r="N1144" s="25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</row>
    <row r="1145" spans="1:24">
      <c r="A1145" s="22">
        <v>46306</v>
      </c>
      <c r="B1145" s="23" t="s">
        <v>36</v>
      </c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>
        <v>0</v>
      </c>
      <c r="N1145" s="25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</row>
    <row r="1146" spans="1:24">
      <c r="A1146" s="22">
        <v>46307</v>
      </c>
      <c r="B1146" s="23" t="s">
        <v>36</v>
      </c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>
        <v>0</v>
      </c>
      <c r="N1146" s="25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</row>
    <row r="1147" spans="1:24">
      <c r="A1147" s="22">
        <v>46308</v>
      </c>
      <c r="B1147" s="23" t="s">
        <v>36</v>
      </c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>
        <v>0</v>
      </c>
      <c r="N1147" s="25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</row>
    <row r="1148" spans="1:24">
      <c r="A1148" s="22">
        <v>46309</v>
      </c>
      <c r="B1148" s="23" t="s">
        <v>36</v>
      </c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>
        <v>0</v>
      </c>
      <c r="N1148" s="25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</row>
    <row r="1149" spans="1:24">
      <c r="A1149" s="22">
        <v>46310</v>
      </c>
      <c r="B1149" s="23" t="s">
        <v>36</v>
      </c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>
        <v>0</v>
      </c>
      <c r="N1149" s="25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</row>
    <row r="1150" spans="1:24">
      <c r="A1150" s="22">
        <v>46311</v>
      </c>
      <c r="B1150" s="23" t="s">
        <v>36</v>
      </c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>
        <v>0</v>
      </c>
      <c r="N1150" s="25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</row>
    <row r="1151" spans="1:24">
      <c r="A1151" s="22">
        <v>46312</v>
      </c>
      <c r="B1151" s="23" t="s">
        <v>36</v>
      </c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>
        <v>0</v>
      </c>
      <c r="N1151" s="25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</row>
    <row r="1152" spans="1:24">
      <c r="A1152" s="22">
        <v>46313</v>
      </c>
      <c r="B1152" s="23" t="s">
        <v>36</v>
      </c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>
        <v>0</v>
      </c>
      <c r="N1152" s="25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</row>
    <row r="1153" spans="1:24">
      <c r="A1153" s="22">
        <v>46314</v>
      </c>
      <c r="B1153" s="23" t="s">
        <v>36</v>
      </c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>
        <v>0</v>
      </c>
      <c r="N1153" s="25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</row>
    <row r="1154" spans="1:24">
      <c r="A1154" s="22">
        <v>46315</v>
      </c>
      <c r="B1154" s="23" t="s">
        <v>36</v>
      </c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>
        <v>0</v>
      </c>
      <c r="N1154" s="25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</row>
    <row r="1155" spans="1:24">
      <c r="A1155" s="22">
        <v>46316</v>
      </c>
      <c r="B1155" s="23" t="s">
        <v>36</v>
      </c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>
        <v>0</v>
      </c>
      <c r="N1155" s="25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</row>
    <row r="1156" spans="1:24">
      <c r="A1156" s="22">
        <v>46317</v>
      </c>
      <c r="B1156" s="23" t="s">
        <v>36</v>
      </c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>
        <v>0</v>
      </c>
      <c r="N1156" s="25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</row>
    <row r="1157" spans="1:24">
      <c r="A1157" s="22">
        <v>46318</v>
      </c>
      <c r="B1157" s="23" t="s">
        <v>36</v>
      </c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>
        <v>0</v>
      </c>
      <c r="N1157" s="25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</row>
    <row r="1158" spans="1:24">
      <c r="A1158" s="22">
        <v>46319</v>
      </c>
      <c r="B1158" s="23" t="s">
        <v>36</v>
      </c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>
        <v>0</v>
      </c>
      <c r="N1158" s="25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</row>
    <row r="1159" spans="1:24">
      <c r="A1159" s="22">
        <v>46320</v>
      </c>
      <c r="B1159" s="23" t="s">
        <v>36</v>
      </c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>
        <v>0</v>
      </c>
      <c r="N1159" s="25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</row>
    <row r="1160" spans="1:24">
      <c r="A1160" s="22">
        <v>46321</v>
      </c>
      <c r="B1160" s="23" t="s">
        <v>36</v>
      </c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>
        <v>0</v>
      </c>
      <c r="N1160" s="25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</row>
    <row r="1161" spans="1:24">
      <c r="A1161" s="22">
        <v>46322</v>
      </c>
      <c r="B1161" s="23" t="s">
        <v>36</v>
      </c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>
        <v>0</v>
      </c>
      <c r="N1161" s="25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</row>
    <row r="1162" spans="1:24">
      <c r="A1162" s="22">
        <v>46323</v>
      </c>
      <c r="B1162" s="23" t="s">
        <v>36</v>
      </c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>
        <v>0</v>
      </c>
      <c r="N1162" s="25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</row>
    <row r="1163" spans="1:24">
      <c r="A1163" s="22">
        <v>46324</v>
      </c>
      <c r="B1163" s="23" t="s">
        <v>36</v>
      </c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>
        <v>0</v>
      </c>
      <c r="N1163" s="25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</row>
    <row r="1164" spans="1:24">
      <c r="A1164" s="22">
        <v>46325</v>
      </c>
      <c r="B1164" s="23" t="s">
        <v>36</v>
      </c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>
        <v>0</v>
      </c>
      <c r="N1164" s="25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</row>
    <row r="1165" spans="1:24">
      <c r="A1165" s="22">
        <v>46326</v>
      </c>
      <c r="B1165" s="23" t="s">
        <v>36</v>
      </c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>
        <v>0</v>
      </c>
      <c r="N1165" s="25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</row>
    <row r="1166" spans="1:24">
      <c r="A1166" s="22">
        <v>46327</v>
      </c>
      <c r="B1166" s="23" t="s">
        <v>36</v>
      </c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>
        <v>0</v>
      </c>
      <c r="N1166" s="25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</row>
    <row r="1167" spans="1:24">
      <c r="A1167" s="22">
        <v>46328</v>
      </c>
      <c r="B1167" s="23" t="s">
        <v>36</v>
      </c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>
        <v>0</v>
      </c>
      <c r="N1167" s="25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</row>
    <row r="1168" spans="1:24">
      <c r="A1168" s="22">
        <v>46329</v>
      </c>
      <c r="B1168" s="23" t="s">
        <v>36</v>
      </c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>
        <v>0</v>
      </c>
      <c r="N1168" s="25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</row>
    <row r="1169" spans="1:24">
      <c r="A1169" s="22">
        <v>46330</v>
      </c>
      <c r="B1169" s="23" t="s">
        <v>36</v>
      </c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>
        <v>0</v>
      </c>
      <c r="N1169" s="25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</row>
    <row r="1170" spans="1:24">
      <c r="A1170" s="22">
        <v>46331</v>
      </c>
      <c r="B1170" s="23" t="s">
        <v>36</v>
      </c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>
        <v>0</v>
      </c>
      <c r="N1170" s="25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</row>
    <row r="1171" spans="1:24">
      <c r="A1171" s="22">
        <v>46332</v>
      </c>
      <c r="B1171" s="23" t="s">
        <v>36</v>
      </c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>
        <v>0</v>
      </c>
      <c r="N1171" s="25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</row>
    <row r="1172" spans="1:24">
      <c r="A1172" s="22">
        <v>46333</v>
      </c>
      <c r="B1172" s="23" t="s">
        <v>36</v>
      </c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>
        <v>0</v>
      </c>
      <c r="N1172" s="25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</row>
    <row r="1173" spans="1:24">
      <c r="A1173" s="22">
        <v>46334</v>
      </c>
      <c r="B1173" s="23" t="s">
        <v>36</v>
      </c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>
        <v>0</v>
      </c>
      <c r="N1173" s="25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</row>
    <row r="1174" spans="1:24">
      <c r="A1174" s="22">
        <v>46335</v>
      </c>
      <c r="B1174" s="23" t="s">
        <v>36</v>
      </c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>
        <v>0</v>
      </c>
      <c r="N1174" s="25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</row>
    <row r="1175" spans="1:24">
      <c r="A1175" s="22">
        <v>46336</v>
      </c>
      <c r="B1175" s="23" t="s">
        <v>36</v>
      </c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>
        <v>0</v>
      </c>
      <c r="N1175" s="25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</row>
    <row r="1176" spans="1:24">
      <c r="A1176" s="22">
        <v>46337</v>
      </c>
      <c r="B1176" s="23" t="s">
        <v>36</v>
      </c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>
        <v>0</v>
      </c>
      <c r="N1176" s="25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</row>
    <row r="1177" spans="1:24">
      <c r="A1177" s="22">
        <v>46338</v>
      </c>
      <c r="B1177" s="23" t="s">
        <v>36</v>
      </c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>
        <v>0</v>
      </c>
      <c r="N1177" s="25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</row>
    <row r="1178" spans="1:24">
      <c r="A1178" s="22">
        <v>46339</v>
      </c>
      <c r="B1178" s="23" t="s">
        <v>36</v>
      </c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>
        <v>0</v>
      </c>
      <c r="N1178" s="25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</row>
    <row r="1179" spans="1:24">
      <c r="A1179" s="22">
        <v>46340</v>
      </c>
      <c r="B1179" s="23" t="s">
        <v>36</v>
      </c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>
        <v>0</v>
      </c>
      <c r="N1179" s="25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</row>
    <row r="1180" spans="1:24">
      <c r="A1180" s="22">
        <v>46341</v>
      </c>
      <c r="B1180" s="23" t="s">
        <v>36</v>
      </c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>
        <v>0</v>
      </c>
      <c r="N1180" s="25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</row>
    <row r="1181" spans="1:24">
      <c r="A1181" s="22">
        <v>46342</v>
      </c>
      <c r="B1181" s="23" t="s">
        <v>36</v>
      </c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>
        <v>0</v>
      </c>
      <c r="N1181" s="25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</row>
    <row r="1182" spans="1:24">
      <c r="A1182" s="22">
        <v>46343</v>
      </c>
      <c r="B1182" s="23" t="s">
        <v>36</v>
      </c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>
        <v>0</v>
      </c>
      <c r="N1182" s="25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</row>
    <row r="1183" spans="1:24">
      <c r="A1183" s="22">
        <v>46344</v>
      </c>
      <c r="B1183" s="23" t="s">
        <v>36</v>
      </c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>
        <v>0</v>
      </c>
      <c r="N1183" s="25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</row>
    <row r="1184" spans="1:24">
      <c r="A1184" s="22">
        <v>46345</v>
      </c>
      <c r="B1184" s="23" t="s">
        <v>36</v>
      </c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>
        <v>0</v>
      </c>
      <c r="N1184" s="25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</row>
    <row r="1185" spans="1:24">
      <c r="A1185" s="22">
        <v>46346</v>
      </c>
      <c r="B1185" s="23" t="s">
        <v>36</v>
      </c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>
        <v>0</v>
      </c>
      <c r="N1185" s="25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</row>
    <row r="1186" spans="1:24">
      <c r="A1186" s="22">
        <v>46347</v>
      </c>
      <c r="B1186" s="23" t="s">
        <v>36</v>
      </c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>
        <v>0</v>
      </c>
      <c r="N1186" s="25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</row>
    <row r="1187" spans="1:24">
      <c r="A1187" s="22">
        <v>46348</v>
      </c>
      <c r="B1187" s="23" t="s">
        <v>36</v>
      </c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>
        <v>0</v>
      </c>
      <c r="N1187" s="25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</row>
    <row r="1188" spans="1:24">
      <c r="A1188" s="22">
        <v>46349</v>
      </c>
      <c r="B1188" s="23" t="s">
        <v>36</v>
      </c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>
        <v>0</v>
      </c>
      <c r="N1188" s="25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</row>
    <row r="1189" spans="1:24">
      <c r="A1189" s="22">
        <v>46350</v>
      </c>
      <c r="B1189" s="23" t="s">
        <v>36</v>
      </c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>
        <v>0</v>
      </c>
      <c r="N1189" s="25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</row>
    <row r="1190" spans="1:24">
      <c r="A1190" s="22">
        <v>46351</v>
      </c>
      <c r="B1190" s="23" t="s">
        <v>36</v>
      </c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>
        <v>0</v>
      </c>
      <c r="N1190" s="25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</row>
    <row r="1191" spans="1:24">
      <c r="A1191" s="22">
        <v>46352</v>
      </c>
      <c r="B1191" s="23" t="s">
        <v>36</v>
      </c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>
        <v>0</v>
      </c>
      <c r="N1191" s="25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</row>
    <row r="1192" spans="1:24">
      <c r="A1192" s="22">
        <v>46353</v>
      </c>
      <c r="B1192" s="23" t="s">
        <v>36</v>
      </c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>
        <v>0</v>
      </c>
      <c r="N1192" s="25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</row>
    <row r="1193" spans="1:24">
      <c r="A1193" s="22">
        <v>46354</v>
      </c>
      <c r="B1193" s="23" t="s">
        <v>36</v>
      </c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>
        <v>0</v>
      </c>
      <c r="N1193" s="25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</row>
    <row r="1194" spans="1:24">
      <c r="A1194" s="22">
        <v>46355</v>
      </c>
      <c r="B1194" s="23" t="s">
        <v>36</v>
      </c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>
        <v>0</v>
      </c>
      <c r="N1194" s="25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</row>
    <row r="1195" spans="1:24">
      <c r="A1195" s="22">
        <v>46356</v>
      </c>
      <c r="B1195" s="23" t="s">
        <v>36</v>
      </c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>
        <v>0</v>
      </c>
      <c r="N1195" s="25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</row>
    <row r="1196" spans="1:24">
      <c r="A1196" s="22">
        <v>46357</v>
      </c>
      <c r="B1196" s="23" t="s">
        <v>36</v>
      </c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>
        <v>0</v>
      </c>
      <c r="N1196" s="25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</row>
    <row r="1197" spans="1:24">
      <c r="A1197" s="22">
        <v>46358</v>
      </c>
      <c r="B1197" s="23" t="s">
        <v>36</v>
      </c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>
        <v>0</v>
      </c>
      <c r="N1197" s="25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</row>
    <row r="1198" spans="1:24">
      <c r="A1198" s="22">
        <v>46359</v>
      </c>
      <c r="B1198" s="23" t="s">
        <v>36</v>
      </c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>
        <v>0</v>
      </c>
      <c r="N1198" s="25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</row>
    <row r="1199" spans="1:24">
      <c r="A1199" s="22">
        <v>46360</v>
      </c>
      <c r="B1199" s="23" t="s">
        <v>36</v>
      </c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>
        <v>0</v>
      </c>
      <c r="N1199" s="25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</row>
    <row r="1200" spans="1:24">
      <c r="A1200" s="22">
        <v>46361</v>
      </c>
      <c r="B1200" s="23" t="s">
        <v>36</v>
      </c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>
        <v>0</v>
      </c>
      <c r="N1200" s="25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</row>
    <row r="1201" spans="1:24">
      <c r="A1201" s="22">
        <v>46362</v>
      </c>
      <c r="B1201" s="23" t="s">
        <v>36</v>
      </c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>
        <v>0</v>
      </c>
      <c r="N1201" s="25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</row>
    <row r="1202" spans="1:24">
      <c r="A1202" s="22">
        <v>46363</v>
      </c>
      <c r="B1202" s="23" t="s">
        <v>36</v>
      </c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>
        <v>0</v>
      </c>
      <c r="N1202" s="25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</row>
    <row r="1203" spans="1:24">
      <c r="A1203" s="22">
        <v>46364</v>
      </c>
      <c r="B1203" s="23" t="s">
        <v>36</v>
      </c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>
        <v>0</v>
      </c>
      <c r="N1203" s="25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</row>
    <row r="1204" spans="1:24">
      <c r="A1204" s="22">
        <v>46365</v>
      </c>
      <c r="B1204" s="23" t="s">
        <v>36</v>
      </c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>
        <v>0</v>
      </c>
      <c r="N1204" s="25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</row>
    <row r="1205" spans="1:24">
      <c r="A1205" s="22">
        <v>46366</v>
      </c>
      <c r="B1205" s="23" t="s">
        <v>36</v>
      </c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>
        <v>0</v>
      </c>
      <c r="N1205" s="25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</row>
    <row r="1206" spans="1:24">
      <c r="A1206" s="22">
        <v>46367</v>
      </c>
      <c r="B1206" s="23" t="s">
        <v>36</v>
      </c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>
        <v>0</v>
      </c>
      <c r="N1206" s="25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</row>
    <row r="1207" spans="1:24">
      <c r="A1207" s="22">
        <v>46368</v>
      </c>
      <c r="B1207" s="23" t="s">
        <v>36</v>
      </c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>
        <v>0</v>
      </c>
      <c r="N1207" s="25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</row>
    <row r="1208" spans="1:24">
      <c r="A1208" s="22">
        <v>46369</v>
      </c>
      <c r="B1208" s="23" t="s">
        <v>36</v>
      </c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>
        <v>0</v>
      </c>
      <c r="N1208" s="25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</row>
    <row r="1209" spans="1:24">
      <c r="A1209" s="22">
        <v>46370</v>
      </c>
      <c r="B1209" s="23" t="s">
        <v>36</v>
      </c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>
        <v>0</v>
      </c>
      <c r="N1209" s="25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</row>
    <row r="1210" spans="1:24">
      <c r="A1210" s="22">
        <v>46371</v>
      </c>
      <c r="B1210" s="23" t="s">
        <v>36</v>
      </c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>
        <v>0</v>
      </c>
      <c r="N1210" s="25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</row>
    <row r="1211" spans="1:24">
      <c r="A1211" s="22">
        <v>46372</v>
      </c>
      <c r="B1211" s="23" t="s">
        <v>36</v>
      </c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>
        <v>0</v>
      </c>
      <c r="N1211" s="25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</row>
    <row r="1212" spans="1:24">
      <c r="A1212" s="22">
        <v>46373</v>
      </c>
      <c r="B1212" s="23" t="s">
        <v>36</v>
      </c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>
        <v>0</v>
      </c>
      <c r="N1212" s="25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</row>
    <row r="1213" spans="1:24">
      <c r="A1213" s="22">
        <v>46374</v>
      </c>
      <c r="B1213" s="23" t="s">
        <v>36</v>
      </c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>
        <v>0</v>
      </c>
      <c r="N1213" s="25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</row>
    <row r="1214" spans="1:24">
      <c r="A1214" s="22">
        <v>46375</v>
      </c>
      <c r="B1214" s="23" t="s">
        <v>36</v>
      </c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>
        <v>0</v>
      </c>
      <c r="N1214" s="25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</row>
    <row r="1215" spans="1:24">
      <c r="A1215" s="22">
        <v>46376</v>
      </c>
      <c r="B1215" s="23" t="s">
        <v>36</v>
      </c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>
        <v>0</v>
      </c>
      <c r="N1215" s="25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</row>
    <row r="1216" spans="1:24">
      <c r="A1216" s="22">
        <v>46377</v>
      </c>
      <c r="B1216" s="23" t="s">
        <v>36</v>
      </c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>
        <v>0</v>
      </c>
      <c r="N1216" s="25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</row>
    <row r="1217" spans="1:24">
      <c r="A1217" s="22">
        <v>46378</v>
      </c>
      <c r="B1217" s="23" t="s">
        <v>36</v>
      </c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>
        <v>0</v>
      </c>
      <c r="N1217" s="25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</row>
    <row r="1218" spans="1:24">
      <c r="A1218" s="22">
        <v>46379</v>
      </c>
      <c r="B1218" s="23" t="s">
        <v>36</v>
      </c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>
        <v>0</v>
      </c>
      <c r="N1218" s="25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</row>
    <row r="1219" spans="1:24">
      <c r="A1219" s="22">
        <v>46380</v>
      </c>
      <c r="B1219" s="23" t="s">
        <v>36</v>
      </c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>
        <v>0</v>
      </c>
      <c r="N1219" s="25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</row>
    <row r="1220" spans="1:24">
      <c r="A1220" s="22">
        <v>46381</v>
      </c>
      <c r="B1220" s="23" t="s">
        <v>36</v>
      </c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>
        <v>0</v>
      </c>
      <c r="N1220" s="25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</row>
    <row r="1221" spans="1:24">
      <c r="A1221" s="22">
        <v>46382</v>
      </c>
      <c r="B1221" s="23" t="s">
        <v>36</v>
      </c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>
        <v>0</v>
      </c>
      <c r="N1221" s="25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</row>
    <row r="1222" spans="1:24">
      <c r="A1222" s="22">
        <v>46383</v>
      </c>
      <c r="B1222" s="23" t="s">
        <v>36</v>
      </c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>
        <v>0</v>
      </c>
      <c r="N1222" s="25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</row>
    <row r="1223" spans="1:24">
      <c r="A1223" s="22">
        <v>46384</v>
      </c>
      <c r="B1223" s="23" t="s">
        <v>36</v>
      </c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>
        <v>0</v>
      </c>
      <c r="N1223" s="25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</row>
    <row r="1224" spans="1:24">
      <c r="A1224" s="22">
        <v>46385</v>
      </c>
      <c r="B1224" s="23" t="s">
        <v>36</v>
      </c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>
        <v>0</v>
      </c>
      <c r="N1224" s="25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</row>
    <row r="1225" spans="1:24">
      <c r="A1225" s="22">
        <v>46386</v>
      </c>
      <c r="B1225" s="23" t="s">
        <v>36</v>
      </c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>
        <v>0</v>
      </c>
      <c r="N1225" s="25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</row>
    <row r="1226" spans="1:24">
      <c r="A1226" s="22">
        <v>46387</v>
      </c>
      <c r="B1226" s="23" t="s">
        <v>36</v>
      </c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>
        <v>0</v>
      </c>
      <c r="N1226" s="25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</row>
  </sheetData>
  <autoFilter ref="A2:BP1226" xr:uid="{00000000-0009-0000-0000-000001000000}"/>
  <phoneticPr fontId="18" type="noConversion"/>
  <conditionalFormatting sqref="B1:B1048576">
    <cfRule type="cellIs" dxfId="7" priority="1" operator="equal">
      <formula>"NX8"</formula>
    </cfRule>
    <cfRule type="cellIs" dxfId="6" priority="2" operator="equal">
      <formula>"天籁·鸿蒙座舱"</formula>
    </cfRule>
    <cfRule type="cellIs" dxfId="5" priority="3" operator="equal">
      <formula>"N6"</formula>
    </cfRule>
    <cfRule type="cellIs" dxfId="4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37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38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39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40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41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42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43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44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308"/>
  <sheetViews>
    <sheetView workbookViewId="0">
      <selection activeCell="D9" sqref="D9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7" t="s">
        <v>45</v>
      </c>
      <c r="B1" s="47" t="s">
        <v>46</v>
      </c>
      <c r="C1" s="47" t="s">
        <v>9</v>
      </c>
      <c r="D1" s="47" t="s">
        <v>47</v>
      </c>
      <c r="E1" s="47" t="s">
        <v>48</v>
      </c>
      <c r="F1" s="48"/>
      <c r="G1" s="48"/>
      <c r="H1" s="48"/>
      <c r="I1" s="49"/>
      <c r="J1" s="47" t="s">
        <v>49</v>
      </c>
      <c r="K1" s="48"/>
      <c r="L1" s="48"/>
      <c r="M1" s="48"/>
      <c r="N1" s="48"/>
      <c r="O1" s="48"/>
      <c r="P1" s="48"/>
      <c r="Q1" s="49"/>
      <c r="R1" s="47" t="s">
        <v>50</v>
      </c>
      <c r="S1" s="48"/>
      <c r="T1" s="48"/>
      <c r="U1" s="48"/>
      <c r="V1" s="49"/>
      <c r="W1" s="47" t="s">
        <v>51</v>
      </c>
      <c r="X1" s="48"/>
      <c r="Y1" s="48"/>
      <c r="Z1" s="48"/>
      <c r="AA1" s="48"/>
      <c r="AB1" s="49"/>
      <c r="AC1" s="47" t="s">
        <v>52</v>
      </c>
      <c r="AD1" s="48"/>
      <c r="AE1" s="48"/>
      <c r="AF1" s="48"/>
      <c r="AG1" s="48"/>
      <c r="AH1" s="49"/>
      <c r="AI1" s="47" t="s">
        <v>53</v>
      </c>
      <c r="AJ1" s="48"/>
      <c r="AK1" s="48"/>
      <c r="AL1" s="48"/>
      <c r="AM1" s="48"/>
      <c r="AN1" s="48"/>
      <c r="AO1" s="48"/>
      <c r="AP1" s="48"/>
      <c r="AQ1" s="49"/>
      <c r="AR1" s="47" t="s">
        <v>54</v>
      </c>
      <c r="AS1" s="48"/>
      <c r="AT1" s="48"/>
      <c r="AU1" s="48"/>
      <c r="AV1" s="48"/>
      <c r="AW1" s="48"/>
      <c r="AX1" s="48"/>
      <c r="AY1" s="48"/>
      <c r="AZ1" s="48"/>
      <c r="BA1" s="49"/>
      <c r="BB1" s="47" t="s">
        <v>55</v>
      </c>
      <c r="BC1" s="48"/>
      <c r="BD1" s="48"/>
      <c r="BE1" s="48"/>
      <c r="BF1" s="49"/>
    </row>
    <row r="2" spans="1:58" ht="28.7" customHeight="1">
      <c r="A2" s="51"/>
      <c r="B2" s="51"/>
      <c r="C2" s="51"/>
      <c r="D2" s="51"/>
      <c r="E2" s="33" t="s">
        <v>56</v>
      </c>
      <c r="F2" s="33" t="s">
        <v>57</v>
      </c>
      <c r="G2" s="33" t="s">
        <v>58</v>
      </c>
      <c r="H2" s="33" t="s">
        <v>59</v>
      </c>
      <c r="I2" s="33" t="s">
        <v>60</v>
      </c>
      <c r="J2" s="33" t="s">
        <v>61</v>
      </c>
      <c r="K2" s="34" t="s">
        <v>62</v>
      </c>
      <c r="L2" s="33" t="s">
        <v>63</v>
      </c>
      <c r="M2" s="33" t="s">
        <v>64</v>
      </c>
      <c r="N2" s="33" t="s">
        <v>65</v>
      </c>
      <c r="O2" s="33" t="s">
        <v>66</v>
      </c>
      <c r="P2" s="33" t="s">
        <v>67</v>
      </c>
      <c r="Q2" s="33" t="s">
        <v>68</v>
      </c>
      <c r="R2" s="33" t="s">
        <v>69</v>
      </c>
      <c r="S2" s="33" t="s">
        <v>70</v>
      </c>
      <c r="T2" s="33" t="s">
        <v>71</v>
      </c>
      <c r="U2" s="33" t="s">
        <v>72</v>
      </c>
      <c r="V2" s="33" t="s">
        <v>73</v>
      </c>
      <c r="W2" s="33" t="s">
        <v>74</v>
      </c>
      <c r="X2" s="33" t="s">
        <v>75</v>
      </c>
      <c r="Y2" s="33" t="s">
        <v>76</v>
      </c>
      <c r="Z2" s="33" t="s">
        <v>77</v>
      </c>
      <c r="AA2" s="33" t="s">
        <v>78</v>
      </c>
      <c r="AB2" s="33" t="s">
        <v>79</v>
      </c>
      <c r="AC2" s="33" t="s">
        <v>80</v>
      </c>
      <c r="AD2" s="33" t="s">
        <v>81</v>
      </c>
      <c r="AE2" s="33" t="s">
        <v>82</v>
      </c>
      <c r="AF2" s="33" t="s">
        <v>83</v>
      </c>
      <c r="AG2" s="33" t="s">
        <v>84</v>
      </c>
      <c r="AH2" s="33" t="s">
        <v>85</v>
      </c>
      <c r="AI2" s="33" t="s">
        <v>86</v>
      </c>
      <c r="AJ2" s="33" t="s">
        <v>87</v>
      </c>
      <c r="AK2" s="33" t="s">
        <v>88</v>
      </c>
      <c r="AL2" s="33" t="s">
        <v>89</v>
      </c>
      <c r="AM2" s="33" t="s">
        <v>90</v>
      </c>
      <c r="AN2" s="33" t="s">
        <v>91</v>
      </c>
      <c r="AO2" s="33" t="s">
        <v>92</v>
      </c>
      <c r="AP2" s="33" t="s">
        <v>93</v>
      </c>
      <c r="AQ2" s="33" t="s">
        <v>94</v>
      </c>
      <c r="AR2" s="33" t="s">
        <v>95</v>
      </c>
      <c r="AS2" s="33" t="s">
        <v>96</v>
      </c>
      <c r="AT2" s="33" t="s">
        <v>97</v>
      </c>
      <c r="AU2" s="33" t="s">
        <v>98</v>
      </c>
      <c r="AV2" s="33" t="s">
        <v>99</v>
      </c>
      <c r="AW2" s="33" t="s">
        <v>100</v>
      </c>
      <c r="AX2" s="33" t="s">
        <v>101</v>
      </c>
      <c r="AY2" s="33" t="s">
        <v>102</v>
      </c>
      <c r="AZ2" s="33" t="s">
        <v>103</v>
      </c>
      <c r="BA2" s="33" t="s">
        <v>104</v>
      </c>
      <c r="BB2" s="33" t="s">
        <v>105</v>
      </c>
      <c r="BC2" s="33" t="s">
        <v>106</v>
      </c>
      <c r="BD2" s="33" t="s">
        <v>107</v>
      </c>
      <c r="BE2" s="33" t="s">
        <v>108</v>
      </c>
      <c r="BF2" s="33" t="s">
        <v>109</v>
      </c>
    </row>
    <row r="3" spans="1:58" ht="19.5" customHeight="1">
      <c r="A3" s="50" t="s">
        <v>22</v>
      </c>
      <c r="B3" s="48"/>
      <c r="C3" s="48"/>
      <c r="D3" s="49"/>
      <c r="E3" s="35">
        <v>500494</v>
      </c>
      <c r="F3" s="35">
        <v>441271</v>
      </c>
      <c r="G3" s="36">
        <v>0.88167090914176793</v>
      </c>
      <c r="H3" s="35">
        <v>176749</v>
      </c>
      <c r="I3" s="37">
        <v>0.35314908870036399</v>
      </c>
      <c r="J3" s="35">
        <v>478427</v>
      </c>
      <c r="K3" s="35">
        <v>465374</v>
      </c>
      <c r="L3" s="36">
        <v>0.97299999999999998</v>
      </c>
      <c r="M3" s="35">
        <v>2093231</v>
      </c>
      <c r="N3" s="35">
        <v>2095254</v>
      </c>
      <c r="O3" s="35">
        <v>2063015</v>
      </c>
      <c r="P3" s="36">
        <v>0.98556489943059322</v>
      </c>
      <c r="Q3" s="35">
        <v>5957</v>
      </c>
      <c r="R3" s="35">
        <v>901190</v>
      </c>
      <c r="S3" s="35">
        <v>444543</v>
      </c>
      <c r="T3" s="36">
        <v>0.49328443502480052</v>
      </c>
      <c r="U3" s="35">
        <v>196709</v>
      </c>
      <c r="V3" s="36">
        <v>0.21827694492837249</v>
      </c>
      <c r="W3" s="35">
        <v>57961</v>
      </c>
      <c r="X3" s="36">
        <v>0.1158075821088764</v>
      </c>
      <c r="Y3" s="35">
        <v>159916</v>
      </c>
      <c r="Z3" s="38">
        <v>0.31951631787793661</v>
      </c>
      <c r="AA3" s="35">
        <v>26027</v>
      </c>
      <c r="AB3" s="36">
        <v>5.200262141004687E-2</v>
      </c>
      <c r="AC3" s="35">
        <v>61246</v>
      </c>
      <c r="AD3" s="36">
        <v>0.1223710973558125</v>
      </c>
      <c r="AE3" s="35">
        <v>11026</v>
      </c>
      <c r="AF3" s="36">
        <v>0.1800280834666754</v>
      </c>
      <c r="AG3" s="35">
        <v>57174</v>
      </c>
      <c r="AH3" s="36">
        <v>0.9335140254057408</v>
      </c>
      <c r="AI3" s="39">
        <v>62012</v>
      </c>
      <c r="AJ3" s="36">
        <v>0.123901585233789</v>
      </c>
      <c r="AK3" s="39">
        <v>3118</v>
      </c>
      <c r="AL3" s="36">
        <v>0.89390763078113911</v>
      </c>
      <c r="AM3" s="39">
        <v>61033</v>
      </c>
      <c r="AN3" s="39">
        <v>55433</v>
      </c>
      <c r="AO3" s="36">
        <v>0.1107565725063637</v>
      </c>
      <c r="AP3" s="36">
        <v>0.90508767919537603</v>
      </c>
      <c r="AQ3" s="37">
        <v>0.96826461806836861</v>
      </c>
      <c r="AR3" s="39">
        <v>0</v>
      </c>
      <c r="AS3" s="39">
        <v>0</v>
      </c>
      <c r="AT3" s="39">
        <v>10206</v>
      </c>
      <c r="AU3" s="39">
        <v>9290</v>
      </c>
      <c r="AV3" s="39">
        <v>9439</v>
      </c>
      <c r="AW3" s="39">
        <v>10049</v>
      </c>
      <c r="AX3" s="36">
        <v>1.856166107885409E-2</v>
      </c>
      <c r="AY3" s="36">
        <v>1.8859366945457891E-2</v>
      </c>
      <c r="AZ3" s="36">
        <v>2.007816277517812E-2</v>
      </c>
      <c r="BA3" s="36">
        <v>0.1702776324572006</v>
      </c>
      <c r="BB3" s="39">
        <v>0</v>
      </c>
      <c r="BC3" s="39">
        <v>25</v>
      </c>
      <c r="BD3" s="37">
        <v>0.98270659238625813</v>
      </c>
      <c r="BE3" s="37">
        <v>0.99138943248532285</v>
      </c>
      <c r="BF3" s="37">
        <v>0.98585020736765061</v>
      </c>
    </row>
    <row r="4" spans="1:58" ht="19.5" customHeight="1">
      <c r="A4" s="40">
        <v>1</v>
      </c>
      <c r="B4" s="35" t="s">
        <v>110</v>
      </c>
      <c r="C4" s="41">
        <v>46143</v>
      </c>
      <c r="D4" s="35"/>
      <c r="E4" s="35">
        <v>159</v>
      </c>
      <c r="F4" s="35">
        <v>158</v>
      </c>
      <c r="G4" s="36">
        <v>0.99371069182389937</v>
      </c>
      <c r="H4" s="35">
        <v>159</v>
      </c>
      <c r="I4" s="37">
        <v>1</v>
      </c>
      <c r="J4" s="35">
        <v>0</v>
      </c>
      <c r="K4" s="35">
        <v>0</v>
      </c>
      <c r="L4" s="36">
        <v>0</v>
      </c>
      <c r="M4" s="35">
        <v>5</v>
      </c>
      <c r="N4" s="35">
        <v>3</v>
      </c>
      <c r="O4" s="35">
        <v>3</v>
      </c>
      <c r="P4" s="36">
        <v>0.6</v>
      </c>
      <c r="Q4" s="35">
        <v>2</v>
      </c>
      <c r="R4" s="35">
        <v>0</v>
      </c>
      <c r="S4" s="35">
        <v>0</v>
      </c>
      <c r="T4" s="36">
        <v>0</v>
      </c>
      <c r="U4" s="35">
        <v>0</v>
      </c>
      <c r="V4" s="36">
        <v>0</v>
      </c>
      <c r="W4" s="35">
        <v>20</v>
      </c>
      <c r="X4" s="36">
        <v>0.12578616352201261</v>
      </c>
      <c r="Y4" s="35">
        <v>24</v>
      </c>
      <c r="Z4" s="38">
        <v>0.15094339622641509</v>
      </c>
      <c r="AA4" s="35">
        <v>0</v>
      </c>
      <c r="AB4" s="36">
        <v>0</v>
      </c>
      <c r="AC4" s="35">
        <v>0</v>
      </c>
      <c r="AD4" s="36">
        <v>0</v>
      </c>
      <c r="AE4" s="35">
        <v>0</v>
      </c>
      <c r="AF4" s="36">
        <v>0</v>
      </c>
      <c r="AG4" s="35">
        <v>0</v>
      </c>
      <c r="AH4" s="36">
        <v>0</v>
      </c>
      <c r="AI4" s="39">
        <v>0</v>
      </c>
      <c r="AJ4" s="36">
        <v>0</v>
      </c>
      <c r="AK4" s="39">
        <v>0</v>
      </c>
      <c r="AL4" s="36">
        <v>0</v>
      </c>
      <c r="AM4" s="39">
        <v>0</v>
      </c>
      <c r="AN4" s="39">
        <v>0</v>
      </c>
      <c r="AO4" s="36">
        <v>0</v>
      </c>
      <c r="AP4" s="36">
        <v>0</v>
      </c>
      <c r="AQ4" s="37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6">
        <v>0</v>
      </c>
      <c r="AY4" s="36">
        <v>0</v>
      </c>
      <c r="AZ4" s="36">
        <v>0</v>
      </c>
      <c r="BA4" s="36">
        <v>0</v>
      </c>
      <c r="BB4" s="39">
        <v>0</v>
      </c>
      <c r="BC4" s="39">
        <v>0</v>
      </c>
      <c r="BD4" s="37" t="s">
        <v>111</v>
      </c>
      <c r="BE4" s="37" t="s">
        <v>111</v>
      </c>
      <c r="BF4" s="37">
        <v>0.97222222222222221</v>
      </c>
    </row>
    <row r="5" spans="1:58" ht="19.5" customHeight="1">
      <c r="A5" s="40">
        <v>2</v>
      </c>
      <c r="B5" s="35" t="s">
        <v>110</v>
      </c>
      <c r="C5" s="41">
        <v>46143</v>
      </c>
      <c r="D5" s="35" t="s">
        <v>34</v>
      </c>
      <c r="E5" s="35">
        <v>2609</v>
      </c>
      <c r="F5" s="35">
        <v>2088</v>
      </c>
      <c r="G5" s="36">
        <v>0.80030663089306242</v>
      </c>
      <c r="H5" s="35">
        <v>572</v>
      </c>
      <c r="I5" s="37">
        <v>0.21924108853967039</v>
      </c>
      <c r="J5" s="35">
        <v>1502</v>
      </c>
      <c r="K5" s="35">
        <v>1403</v>
      </c>
      <c r="L5" s="36">
        <v>0.93400000000000005</v>
      </c>
      <c r="M5" s="35">
        <v>9826</v>
      </c>
      <c r="N5" s="35">
        <v>10291</v>
      </c>
      <c r="O5" s="35">
        <v>9579</v>
      </c>
      <c r="P5" s="36">
        <v>0.97486260940362301</v>
      </c>
      <c r="Q5" s="35">
        <v>34</v>
      </c>
      <c r="R5" s="35">
        <v>0</v>
      </c>
      <c r="S5" s="35">
        <v>0</v>
      </c>
      <c r="T5" s="36">
        <v>0</v>
      </c>
      <c r="U5" s="35">
        <v>0</v>
      </c>
      <c r="V5" s="36">
        <v>0</v>
      </c>
      <c r="W5" s="35">
        <v>251</v>
      </c>
      <c r="X5" s="36">
        <v>9.6205442698351865E-2</v>
      </c>
      <c r="Y5" s="35">
        <v>621</v>
      </c>
      <c r="Z5" s="38">
        <v>0.23802223073974699</v>
      </c>
      <c r="AA5" s="35">
        <v>41</v>
      </c>
      <c r="AB5" s="36">
        <v>1.5714833269451899E-2</v>
      </c>
      <c r="AC5" s="35">
        <v>267</v>
      </c>
      <c r="AD5" s="36">
        <v>0.1023380605596014</v>
      </c>
      <c r="AE5" s="35">
        <v>40</v>
      </c>
      <c r="AF5" s="36">
        <v>0.14981273408239701</v>
      </c>
      <c r="AG5" s="35">
        <v>249</v>
      </c>
      <c r="AH5" s="36">
        <v>0.93258426966292129</v>
      </c>
      <c r="AI5" s="39">
        <v>247</v>
      </c>
      <c r="AJ5" s="36">
        <v>9.4672288233039484E-2</v>
      </c>
      <c r="AK5" s="39">
        <v>0</v>
      </c>
      <c r="AL5" s="36">
        <v>0.82186234817813764</v>
      </c>
      <c r="AM5" s="39">
        <v>238</v>
      </c>
      <c r="AN5" s="39">
        <v>203</v>
      </c>
      <c r="AO5" s="36">
        <v>7.7807589114603296E-2</v>
      </c>
      <c r="AP5" s="36">
        <v>0.76029962546816476</v>
      </c>
      <c r="AQ5" s="37">
        <v>0.90361445783132532</v>
      </c>
      <c r="AR5" s="39">
        <v>0</v>
      </c>
      <c r="AS5" s="39">
        <v>0</v>
      </c>
      <c r="AT5" s="39">
        <v>133</v>
      </c>
      <c r="AU5" s="39">
        <v>129</v>
      </c>
      <c r="AV5" s="39">
        <v>123</v>
      </c>
      <c r="AW5" s="39">
        <v>40</v>
      </c>
      <c r="AX5" s="36">
        <v>4.9444231506324272E-2</v>
      </c>
      <c r="AY5" s="36">
        <v>4.7144499808355687E-2</v>
      </c>
      <c r="AZ5" s="36">
        <v>1.5331544653123801E-2</v>
      </c>
      <c r="BA5" s="36">
        <v>0.60591133004926112</v>
      </c>
      <c r="BB5" s="39">
        <v>0</v>
      </c>
      <c r="BC5" s="39">
        <v>0</v>
      </c>
      <c r="BD5" s="37">
        <v>1</v>
      </c>
      <c r="BE5" s="37">
        <v>1</v>
      </c>
      <c r="BF5" s="37" t="s">
        <v>111</v>
      </c>
    </row>
    <row r="6" spans="1:58" ht="19.5" customHeight="1">
      <c r="A6" s="40">
        <v>3</v>
      </c>
      <c r="B6" s="35" t="s">
        <v>110</v>
      </c>
      <c r="C6" s="41">
        <v>46143</v>
      </c>
      <c r="D6" s="35" t="s">
        <v>33</v>
      </c>
      <c r="E6" s="35">
        <v>4312</v>
      </c>
      <c r="F6" s="35">
        <v>3043</v>
      </c>
      <c r="G6" s="36">
        <v>0.70570500927643787</v>
      </c>
      <c r="H6" s="35">
        <v>618</v>
      </c>
      <c r="I6" s="37">
        <v>0.14332096474953621</v>
      </c>
      <c r="J6" s="35">
        <v>1732</v>
      </c>
      <c r="K6" s="35">
        <v>1654</v>
      </c>
      <c r="L6" s="36">
        <v>0.95499999999999996</v>
      </c>
      <c r="M6" s="35">
        <v>8694</v>
      </c>
      <c r="N6" s="35">
        <v>10888</v>
      </c>
      <c r="O6" s="35">
        <v>8481</v>
      </c>
      <c r="P6" s="36">
        <v>0.97550034506556249</v>
      </c>
      <c r="Q6" s="35">
        <v>52</v>
      </c>
      <c r="R6" s="35">
        <v>0</v>
      </c>
      <c r="S6" s="35">
        <v>0</v>
      </c>
      <c r="T6" s="36">
        <v>0</v>
      </c>
      <c r="U6" s="35">
        <v>0</v>
      </c>
      <c r="V6" s="36">
        <v>0</v>
      </c>
      <c r="W6" s="35">
        <v>345</v>
      </c>
      <c r="X6" s="36">
        <v>8.0009276437847873E-2</v>
      </c>
      <c r="Y6" s="35">
        <v>618</v>
      </c>
      <c r="Z6" s="38">
        <v>0.14332096474953621</v>
      </c>
      <c r="AA6" s="35">
        <v>20</v>
      </c>
      <c r="AB6" s="36">
        <v>4.6382189239332098E-3</v>
      </c>
      <c r="AC6" s="35">
        <v>278</v>
      </c>
      <c r="AD6" s="36">
        <v>6.4471243042671614E-2</v>
      </c>
      <c r="AE6" s="35">
        <v>40</v>
      </c>
      <c r="AF6" s="36">
        <v>0.1438848920863309</v>
      </c>
      <c r="AG6" s="35">
        <v>270</v>
      </c>
      <c r="AH6" s="36">
        <v>0.97122302158273377</v>
      </c>
      <c r="AI6" s="39">
        <v>262</v>
      </c>
      <c r="AJ6" s="36">
        <v>6.0760667903525037E-2</v>
      </c>
      <c r="AK6" s="39">
        <v>2</v>
      </c>
      <c r="AL6" s="36">
        <v>0.80534351145038163</v>
      </c>
      <c r="AM6" s="39">
        <v>258</v>
      </c>
      <c r="AN6" s="39">
        <v>211</v>
      </c>
      <c r="AO6" s="36">
        <v>4.8933209647495361E-2</v>
      </c>
      <c r="AP6" s="36">
        <v>0.75899280575539574</v>
      </c>
      <c r="AQ6" s="37">
        <v>0.90776699029126218</v>
      </c>
      <c r="AR6" s="39">
        <v>0</v>
      </c>
      <c r="AS6" s="39">
        <v>0</v>
      </c>
      <c r="AT6" s="39">
        <v>95</v>
      </c>
      <c r="AU6" s="39">
        <v>88</v>
      </c>
      <c r="AV6" s="39">
        <v>92</v>
      </c>
      <c r="AW6" s="39">
        <v>43</v>
      </c>
      <c r="AX6" s="36">
        <v>2.0408163265306121E-2</v>
      </c>
      <c r="AY6" s="36">
        <v>2.1335807050092769E-2</v>
      </c>
      <c r="AZ6" s="36">
        <v>9.9721706864564011E-3</v>
      </c>
      <c r="BA6" s="36">
        <v>0.43601895734597163</v>
      </c>
      <c r="BB6" s="39">
        <v>0</v>
      </c>
      <c r="BC6" s="39">
        <v>0</v>
      </c>
      <c r="BD6" s="37">
        <v>1</v>
      </c>
      <c r="BE6" s="37">
        <v>1</v>
      </c>
      <c r="BF6" s="37" t="s">
        <v>111</v>
      </c>
    </row>
    <row r="7" spans="1:58" ht="19.5" customHeight="1">
      <c r="A7" s="40">
        <v>4</v>
      </c>
      <c r="B7" s="35" t="s">
        <v>110</v>
      </c>
      <c r="C7" s="41">
        <v>46143</v>
      </c>
      <c r="D7" s="35" t="s">
        <v>36</v>
      </c>
      <c r="E7" s="35">
        <v>16839</v>
      </c>
      <c r="F7" s="35">
        <v>11957</v>
      </c>
      <c r="G7" s="36">
        <v>0.71007779559356254</v>
      </c>
      <c r="H7" s="35">
        <v>3187</v>
      </c>
      <c r="I7" s="37">
        <v>0.18926302036938061</v>
      </c>
      <c r="J7" s="35">
        <v>8216</v>
      </c>
      <c r="K7" s="35">
        <v>7832</v>
      </c>
      <c r="L7" s="36">
        <v>0.95299999999999996</v>
      </c>
      <c r="M7" s="35">
        <v>28750</v>
      </c>
      <c r="N7" s="35">
        <v>36324</v>
      </c>
      <c r="O7" s="35">
        <v>28021</v>
      </c>
      <c r="P7" s="36">
        <v>0.97464347826086961</v>
      </c>
      <c r="Q7" s="35">
        <v>165</v>
      </c>
      <c r="R7" s="35">
        <v>0</v>
      </c>
      <c r="S7" s="35">
        <v>0</v>
      </c>
      <c r="T7" s="36">
        <v>0</v>
      </c>
      <c r="U7" s="35">
        <v>0</v>
      </c>
      <c r="V7" s="36">
        <v>0</v>
      </c>
      <c r="W7" s="35">
        <v>1005</v>
      </c>
      <c r="X7" s="36">
        <v>5.9682879030821312E-2</v>
      </c>
      <c r="Y7" s="35">
        <v>1748</v>
      </c>
      <c r="Z7" s="38">
        <v>0.10380663934912999</v>
      </c>
      <c r="AA7" s="35">
        <v>8</v>
      </c>
      <c r="AB7" s="36">
        <v>4.750875942751945E-4</v>
      </c>
      <c r="AC7" s="35">
        <v>1262</v>
      </c>
      <c r="AD7" s="36">
        <v>7.4945067996911932E-2</v>
      </c>
      <c r="AE7" s="35">
        <v>179</v>
      </c>
      <c r="AF7" s="36">
        <v>0.14183835182250401</v>
      </c>
      <c r="AG7" s="35">
        <v>1188</v>
      </c>
      <c r="AH7" s="36">
        <v>0.94136291600633915</v>
      </c>
      <c r="AI7" s="39">
        <v>1178</v>
      </c>
      <c r="AJ7" s="36">
        <v>6.9956648257022386E-2</v>
      </c>
      <c r="AK7" s="39">
        <v>5</v>
      </c>
      <c r="AL7" s="36">
        <v>0.9117147707979627</v>
      </c>
      <c r="AM7" s="39">
        <v>1177</v>
      </c>
      <c r="AN7" s="39">
        <v>1074</v>
      </c>
      <c r="AO7" s="36">
        <v>6.3780509531444859E-2</v>
      </c>
      <c r="AP7" s="36">
        <v>0.85103011093502379</v>
      </c>
      <c r="AQ7" s="37">
        <v>0.94763343403826783</v>
      </c>
      <c r="AR7" s="39">
        <v>0</v>
      </c>
      <c r="AS7" s="39">
        <v>0</v>
      </c>
      <c r="AT7" s="39">
        <v>205</v>
      </c>
      <c r="AU7" s="39">
        <v>161</v>
      </c>
      <c r="AV7" s="39">
        <v>208</v>
      </c>
      <c r="AW7" s="39">
        <v>64</v>
      </c>
      <c r="AX7" s="36">
        <v>9.5611378347882896E-3</v>
      </c>
      <c r="AY7" s="36">
        <v>1.235227745115506E-2</v>
      </c>
      <c r="AZ7" s="36">
        <v>3.800700754201556E-3</v>
      </c>
      <c r="BA7" s="36">
        <v>0.19366852886405961</v>
      </c>
      <c r="BB7" s="39">
        <v>0</v>
      </c>
      <c r="BC7" s="39">
        <v>2</v>
      </c>
      <c r="BD7" s="37">
        <v>0.96747967479674801</v>
      </c>
      <c r="BE7" s="37">
        <v>0.95918367346938771</v>
      </c>
      <c r="BF7" s="37" t="s">
        <v>111</v>
      </c>
    </row>
    <row r="8" spans="1:58" ht="19.5" customHeight="1">
      <c r="A8" s="40">
        <v>5</v>
      </c>
      <c r="B8" s="35" t="s">
        <v>110</v>
      </c>
      <c r="C8" s="41">
        <v>46143</v>
      </c>
      <c r="D8" s="35" t="s">
        <v>35</v>
      </c>
      <c r="E8" s="35">
        <v>4623</v>
      </c>
      <c r="F8" s="35">
        <v>3616</v>
      </c>
      <c r="G8" s="36">
        <v>0.78217607614103402</v>
      </c>
      <c r="H8" s="35">
        <v>1376</v>
      </c>
      <c r="I8" s="37">
        <v>0.29764222366428728</v>
      </c>
      <c r="J8" s="35">
        <v>3009</v>
      </c>
      <c r="K8" s="35">
        <v>2882</v>
      </c>
      <c r="L8" s="36">
        <v>0.95799999999999996</v>
      </c>
      <c r="M8" s="35">
        <v>15399</v>
      </c>
      <c r="N8" s="35">
        <v>17183</v>
      </c>
      <c r="O8" s="35">
        <v>15012</v>
      </c>
      <c r="P8" s="36">
        <v>0.97486849795441266</v>
      </c>
      <c r="Q8" s="35">
        <v>97</v>
      </c>
      <c r="R8" s="35">
        <v>0</v>
      </c>
      <c r="S8" s="35">
        <v>0</v>
      </c>
      <c r="T8" s="36">
        <v>0</v>
      </c>
      <c r="U8" s="35">
        <v>0</v>
      </c>
      <c r="V8" s="36">
        <v>0</v>
      </c>
      <c r="W8" s="35">
        <v>390</v>
      </c>
      <c r="X8" s="36">
        <v>8.4360804672290721E-2</v>
      </c>
      <c r="Y8" s="35">
        <v>823</v>
      </c>
      <c r="Z8" s="38">
        <v>0.1780229288340904</v>
      </c>
      <c r="AA8" s="35">
        <v>79</v>
      </c>
      <c r="AB8" s="36">
        <v>1.7088470690028119E-2</v>
      </c>
      <c r="AC8" s="35">
        <v>531</v>
      </c>
      <c r="AD8" s="36">
        <v>0.11486048020765741</v>
      </c>
      <c r="AE8" s="35">
        <v>50</v>
      </c>
      <c r="AF8" s="36">
        <v>9.4161958568738227E-2</v>
      </c>
      <c r="AG8" s="35">
        <v>504</v>
      </c>
      <c r="AH8" s="36">
        <v>0.94915254237288138</v>
      </c>
      <c r="AI8" s="39">
        <v>481</v>
      </c>
      <c r="AJ8" s="36">
        <v>0.1040449924291586</v>
      </c>
      <c r="AK8" s="39">
        <v>1</v>
      </c>
      <c r="AL8" s="36">
        <v>0.92931392931392931</v>
      </c>
      <c r="AM8" s="39">
        <v>478</v>
      </c>
      <c r="AN8" s="39">
        <v>447</v>
      </c>
      <c r="AO8" s="36">
        <v>9.6690460739779369E-2</v>
      </c>
      <c r="AP8" s="36">
        <v>0.84180790960451979</v>
      </c>
      <c r="AQ8" s="37">
        <v>0.86486486486486491</v>
      </c>
      <c r="AR8" s="39">
        <v>0</v>
      </c>
      <c r="AS8" s="39">
        <v>0</v>
      </c>
      <c r="AT8" s="39">
        <v>194</v>
      </c>
      <c r="AU8" s="39">
        <v>187</v>
      </c>
      <c r="AV8" s="39">
        <v>190</v>
      </c>
      <c r="AW8" s="39">
        <v>56</v>
      </c>
      <c r="AX8" s="36">
        <v>4.0449924291585553E-2</v>
      </c>
      <c r="AY8" s="36">
        <v>4.1098853558295477E-2</v>
      </c>
      <c r="AZ8" s="36">
        <v>1.211334631191867E-2</v>
      </c>
      <c r="BA8" s="36">
        <v>0.42505592841163309</v>
      </c>
      <c r="BB8" s="39">
        <v>0</v>
      </c>
      <c r="BC8" s="39">
        <v>0</v>
      </c>
      <c r="BD8" s="37">
        <v>0.96296296296296291</v>
      </c>
      <c r="BE8" s="37">
        <v>1</v>
      </c>
      <c r="BF8" s="37" t="s">
        <v>111</v>
      </c>
    </row>
    <row r="9" spans="1:58" ht="19.5" customHeight="1">
      <c r="A9" s="40">
        <v>6</v>
      </c>
      <c r="B9" s="35" t="s">
        <v>110</v>
      </c>
      <c r="C9" s="41">
        <v>46144</v>
      </c>
      <c r="D9" s="35"/>
      <c r="E9" s="35">
        <v>101</v>
      </c>
      <c r="F9" s="35">
        <v>100</v>
      </c>
      <c r="G9" s="36">
        <v>0.99009900990099009</v>
      </c>
      <c r="H9" s="35">
        <v>101</v>
      </c>
      <c r="I9" s="37">
        <v>1</v>
      </c>
      <c r="J9" s="35">
        <v>0</v>
      </c>
      <c r="K9" s="35">
        <v>0</v>
      </c>
      <c r="L9" s="36">
        <v>0</v>
      </c>
      <c r="M9" s="35">
        <v>6</v>
      </c>
      <c r="N9" s="35">
        <v>4</v>
      </c>
      <c r="O9" s="35">
        <v>4</v>
      </c>
      <c r="P9" s="36">
        <v>0.66666666666666663</v>
      </c>
      <c r="Q9" s="35">
        <v>2</v>
      </c>
      <c r="R9" s="35">
        <v>0</v>
      </c>
      <c r="S9" s="35">
        <v>0</v>
      </c>
      <c r="T9" s="36">
        <v>0</v>
      </c>
      <c r="U9" s="35">
        <v>0</v>
      </c>
      <c r="V9" s="36">
        <v>0</v>
      </c>
      <c r="W9" s="35">
        <v>31</v>
      </c>
      <c r="X9" s="36">
        <v>0.30693069306930693</v>
      </c>
      <c r="Y9" s="35">
        <v>20</v>
      </c>
      <c r="Z9" s="38">
        <v>0.198019801980198</v>
      </c>
      <c r="AA9" s="35">
        <v>0</v>
      </c>
      <c r="AB9" s="36">
        <v>0</v>
      </c>
      <c r="AC9" s="35">
        <v>0</v>
      </c>
      <c r="AD9" s="36">
        <v>0</v>
      </c>
      <c r="AE9" s="35">
        <v>0</v>
      </c>
      <c r="AF9" s="36">
        <v>0</v>
      </c>
      <c r="AG9" s="35">
        <v>0</v>
      </c>
      <c r="AH9" s="36">
        <v>0</v>
      </c>
      <c r="AI9" s="39">
        <v>0</v>
      </c>
      <c r="AJ9" s="36">
        <v>0</v>
      </c>
      <c r="AK9" s="39">
        <v>0</v>
      </c>
      <c r="AL9" s="36">
        <v>0</v>
      </c>
      <c r="AM9" s="39">
        <v>0</v>
      </c>
      <c r="AN9" s="39">
        <v>0</v>
      </c>
      <c r="AO9" s="36">
        <v>0</v>
      </c>
      <c r="AP9" s="36">
        <v>0</v>
      </c>
      <c r="AQ9" s="37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6">
        <v>0</v>
      </c>
      <c r="AY9" s="36">
        <v>0</v>
      </c>
      <c r="AZ9" s="36">
        <v>0</v>
      </c>
      <c r="BA9" s="36">
        <v>0</v>
      </c>
      <c r="BB9" s="39">
        <v>0</v>
      </c>
      <c r="BC9" s="39">
        <v>0</v>
      </c>
      <c r="BD9" s="37" t="s">
        <v>111</v>
      </c>
      <c r="BE9" s="37" t="s">
        <v>111</v>
      </c>
      <c r="BF9" s="37">
        <v>0.98913043478260865</v>
      </c>
    </row>
    <row r="10" spans="1:58" ht="19.5" customHeight="1">
      <c r="A10" s="40">
        <v>7</v>
      </c>
      <c r="B10" s="35" t="s">
        <v>110</v>
      </c>
      <c r="C10" s="41">
        <v>46144</v>
      </c>
      <c r="D10" s="35" t="s">
        <v>34</v>
      </c>
      <c r="E10" s="35">
        <v>3239</v>
      </c>
      <c r="F10" s="35">
        <v>2667</v>
      </c>
      <c r="G10" s="36">
        <v>0.82340228465575793</v>
      </c>
      <c r="H10" s="35">
        <v>1014</v>
      </c>
      <c r="I10" s="37">
        <v>0.31305958629206537</v>
      </c>
      <c r="J10" s="35">
        <v>3133</v>
      </c>
      <c r="K10" s="35">
        <v>3012</v>
      </c>
      <c r="L10" s="36">
        <v>0.96099999999999997</v>
      </c>
      <c r="M10" s="35">
        <v>10896</v>
      </c>
      <c r="N10" s="35">
        <v>10763</v>
      </c>
      <c r="O10" s="35">
        <v>10675</v>
      </c>
      <c r="P10" s="36">
        <v>0.97971732745961826</v>
      </c>
      <c r="Q10" s="35">
        <v>29</v>
      </c>
      <c r="R10" s="35">
        <v>0</v>
      </c>
      <c r="S10" s="35">
        <v>0</v>
      </c>
      <c r="T10" s="36">
        <v>0</v>
      </c>
      <c r="U10" s="35">
        <v>0</v>
      </c>
      <c r="V10" s="36">
        <v>0</v>
      </c>
      <c r="W10" s="35">
        <v>452</v>
      </c>
      <c r="X10" s="36">
        <v>0.1395492435937018</v>
      </c>
      <c r="Y10" s="35">
        <v>660</v>
      </c>
      <c r="Z10" s="38">
        <v>0.20376659462797159</v>
      </c>
      <c r="AA10" s="35">
        <v>0</v>
      </c>
      <c r="AB10" s="36">
        <v>0</v>
      </c>
      <c r="AC10" s="35">
        <v>229</v>
      </c>
      <c r="AD10" s="36">
        <v>7.0700833590614381E-2</v>
      </c>
      <c r="AE10" s="35">
        <v>58</v>
      </c>
      <c r="AF10" s="36">
        <v>0.25327510917030571</v>
      </c>
      <c r="AG10" s="35">
        <v>212</v>
      </c>
      <c r="AH10" s="36">
        <v>0.92576419213973804</v>
      </c>
      <c r="AI10" s="39">
        <v>207</v>
      </c>
      <c r="AJ10" s="36">
        <v>6.3908613769682002E-2</v>
      </c>
      <c r="AK10" s="39">
        <v>4</v>
      </c>
      <c r="AL10" s="36">
        <v>0.85507246376811596</v>
      </c>
      <c r="AM10" s="39">
        <v>207</v>
      </c>
      <c r="AN10" s="39">
        <v>177</v>
      </c>
      <c r="AO10" s="36">
        <v>5.4646495832046928E-2</v>
      </c>
      <c r="AP10" s="36">
        <v>0.77292576419213976</v>
      </c>
      <c r="AQ10" s="37">
        <v>0.96995708154506433</v>
      </c>
      <c r="AR10" s="39">
        <v>0</v>
      </c>
      <c r="AS10" s="39">
        <v>0</v>
      </c>
      <c r="AT10" s="39">
        <v>119</v>
      </c>
      <c r="AU10" s="39">
        <v>113</v>
      </c>
      <c r="AV10" s="39">
        <v>120</v>
      </c>
      <c r="AW10" s="39">
        <v>50</v>
      </c>
      <c r="AX10" s="36">
        <v>3.4887310898425443E-2</v>
      </c>
      <c r="AY10" s="36">
        <v>3.7048471750540289E-2</v>
      </c>
      <c r="AZ10" s="36">
        <v>1.5436863229391791E-2</v>
      </c>
      <c r="BA10" s="36">
        <v>0.67796610169491522</v>
      </c>
      <c r="BB10" s="39">
        <v>0</v>
      </c>
      <c r="BC10" s="39">
        <v>0</v>
      </c>
      <c r="BD10" s="37">
        <v>1</v>
      </c>
      <c r="BE10" s="37">
        <v>0.96666666666666667</v>
      </c>
      <c r="BF10" s="37" t="s">
        <v>111</v>
      </c>
    </row>
    <row r="11" spans="1:58" ht="19.5" customHeight="1">
      <c r="A11" s="40">
        <v>8</v>
      </c>
      <c r="B11" s="35" t="s">
        <v>110</v>
      </c>
      <c r="C11" s="41">
        <v>46144</v>
      </c>
      <c r="D11" s="35" t="s">
        <v>33</v>
      </c>
      <c r="E11" s="35">
        <v>3628</v>
      </c>
      <c r="F11" s="35">
        <v>2546</v>
      </c>
      <c r="G11" s="36">
        <v>0.70176405733186331</v>
      </c>
      <c r="H11" s="35">
        <v>710</v>
      </c>
      <c r="I11" s="37">
        <v>0.19570011025358319</v>
      </c>
      <c r="J11" s="35">
        <v>4225</v>
      </c>
      <c r="K11" s="35">
        <v>4139</v>
      </c>
      <c r="L11" s="36">
        <v>0.98</v>
      </c>
      <c r="M11" s="35">
        <v>11275</v>
      </c>
      <c r="N11" s="35">
        <v>10525</v>
      </c>
      <c r="O11" s="35">
        <v>11085</v>
      </c>
      <c r="P11" s="36">
        <v>0.98314855875831486</v>
      </c>
      <c r="Q11" s="35">
        <v>34</v>
      </c>
      <c r="R11" s="35">
        <v>0</v>
      </c>
      <c r="S11" s="35">
        <v>0</v>
      </c>
      <c r="T11" s="36">
        <v>0</v>
      </c>
      <c r="U11" s="35">
        <v>0</v>
      </c>
      <c r="V11" s="36">
        <v>0</v>
      </c>
      <c r="W11" s="35">
        <v>507</v>
      </c>
      <c r="X11" s="36">
        <v>0.13974641675854471</v>
      </c>
      <c r="Y11" s="35">
        <v>592</v>
      </c>
      <c r="Z11" s="38">
        <v>0.1631753031973539</v>
      </c>
      <c r="AA11" s="35">
        <v>0</v>
      </c>
      <c r="AB11" s="36">
        <v>0</v>
      </c>
      <c r="AC11" s="35">
        <v>276</v>
      </c>
      <c r="AD11" s="36">
        <v>7.6074972436604188E-2</v>
      </c>
      <c r="AE11" s="35">
        <v>31</v>
      </c>
      <c r="AF11" s="36">
        <v>0.1123188405797101</v>
      </c>
      <c r="AG11" s="35">
        <v>258</v>
      </c>
      <c r="AH11" s="36">
        <v>0.93478260869565222</v>
      </c>
      <c r="AI11" s="39">
        <v>253</v>
      </c>
      <c r="AJ11" s="36">
        <v>6.9735391400220503E-2</v>
      </c>
      <c r="AK11" s="39">
        <v>2</v>
      </c>
      <c r="AL11" s="36">
        <v>0.82608695652173914</v>
      </c>
      <c r="AM11" s="39">
        <v>249</v>
      </c>
      <c r="AN11" s="39">
        <v>209</v>
      </c>
      <c r="AO11" s="36">
        <v>5.7607497243660419E-2</v>
      </c>
      <c r="AP11" s="36">
        <v>0.75724637681159424</v>
      </c>
      <c r="AQ11" s="37">
        <v>0.97154471544715448</v>
      </c>
      <c r="AR11" s="39">
        <v>0</v>
      </c>
      <c r="AS11" s="39">
        <v>0</v>
      </c>
      <c r="AT11" s="39">
        <v>66</v>
      </c>
      <c r="AU11" s="39">
        <v>61</v>
      </c>
      <c r="AV11" s="39">
        <v>64</v>
      </c>
      <c r="AW11" s="39">
        <v>36</v>
      </c>
      <c r="AX11" s="36">
        <v>1.6813671444321939E-2</v>
      </c>
      <c r="AY11" s="36">
        <v>1.7640573318632859E-2</v>
      </c>
      <c r="AZ11" s="36">
        <v>9.9228224917309819E-3</v>
      </c>
      <c r="BA11" s="36">
        <v>0.30622009569377989</v>
      </c>
      <c r="BB11" s="39">
        <v>0</v>
      </c>
      <c r="BC11" s="39">
        <v>0</v>
      </c>
      <c r="BD11" s="37">
        <v>0.96551724137931039</v>
      </c>
      <c r="BE11" s="37">
        <v>1</v>
      </c>
      <c r="BF11" s="37" t="s">
        <v>111</v>
      </c>
    </row>
    <row r="12" spans="1:58" ht="19.5" customHeight="1">
      <c r="A12" s="40">
        <v>9</v>
      </c>
      <c r="B12" s="35" t="s">
        <v>110</v>
      </c>
      <c r="C12" s="41">
        <v>46144</v>
      </c>
      <c r="D12" s="35" t="s">
        <v>36</v>
      </c>
      <c r="E12" s="35">
        <v>13850</v>
      </c>
      <c r="F12" s="35">
        <v>9839</v>
      </c>
      <c r="G12" s="36">
        <v>0.71039711191335742</v>
      </c>
      <c r="H12" s="35">
        <v>2624</v>
      </c>
      <c r="I12" s="37">
        <v>0.1894584837545126</v>
      </c>
      <c r="J12" s="35">
        <v>16899</v>
      </c>
      <c r="K12" s="35">
        <v>16385</v>
      </c>
      <c r="L12" s="36">
        <v>0.97</v>
      </c>
      <c r="M12" s="35">
        <v>39286</v>
      </c>
      <c r="N12" s="35">
        <v>36494</v>
      </c>
      <c r="O12" s="35">
        <v>38550</v>
      </c>
      <c r="P12" s="36">
        <v>0.9812655907957033</v>
      </c>
      <c r="Q12" s="35">
        <v>175</v>
      </c>
      <c r="R12" s="35">
        <v>0</v>
      </c>
      <c r="S12" s="35">
        <v>0</v>
      </c>
      <c r="T12" s="36">
        <v>0</v>
      </c>
      <c r="U12" s="35">
        <v>0</v>
      </c>
      <c r="V12" s="36">
        <v>0</v>
      </c>
      <c r="W12" s="35">
        <v>1440</v>
      </c>
      <c r="X12" s="36">
        <v>0.103971119133574</v>
      </c>
      <c r="Y12" s="35">
        <v>1616</v>
      </c>
      <c r="Z12" s="38">
        <v>0.1166787003610108</v>
      </c>
      <c r="AA12" s="35">
        <v>0</v>
      </c>
      <c r="AB12" s="36">
        <v>0</v>
      </c>
      <c r="AC12" s="35">
        <v>1274</v>
      </c>
      <c r="AD12" s="36">
        <v>9.1985559566787001E-2</v>
      </c>
      <c r="AE12" s="35">
        <v>216</v>
      </c>
      <c r="AF12" s="36">
        <v>0.1695447409733124</v>
      </c>
      <c r="AG12" s="35">
        <v>1180</v>
      </c>
      <c r="AH12" s="36">
        <v>0.92621664050235475</v>
      </c>
      <c r="AI12" s="39">
        <v>1225</v>
      </c>
      <c r="AJ12" s="36">
        <v>8.8447653429602882E-2</v>
      </c>
      <c r="AK12" s="39">
        <v>13</v>
      </c>
      <c r="AL12" s="36">
        <v>0.90448979591836731</v>
      </c>
      <c r="AM12" s="39">
        <v>1217</v>
      </c>
      <c r="AN12" s="39">
        <v>1108</v>
      </c>
      <c r="AO12" s="36">
        <v>0.08</v>
      </c>
      <c r="AP12" s="36">
        <v>0.86970172684458402</v>
      </c>
      <c r="AQ12" s="37">
        <v>0.96203623813632444</v>
      </c>
      <c r="AR12" s="39">
        <v>0</v>
      </c>
      <c r="AS12" s="39">
        <v>0</v>
      </c>
      <c r="AT12" s="39">
        <v>196</v>
      </c>
      <c r="AU12" s="39">
        <v>163</v>
      </c>
      <c r="AV12" s="39">
        <v>199</v>
      </c>
      <c r="AW12" s="39">
        <v>65</v>
      </c>
      <c r="AX12" s="36">
        <v>1.176895306859206E-2</v>
      </c>
      <c r="AY12" s="36">
        <v>1.4368231046931411E-2</v>
      </c>
      <c r="AZ12" s="36">
        <v>4.6931407942238266E-3</v>
      </c>
      <c r="BA12" s="36">
        <v>0.1796028880866426</v>
      </c>
      <c r="BB12" s="39">
        <v>0</v>
      </c>
      <c r="BC12" s="39">
        <v>0</v>
      </c>
      <c r="BD12" s="37">
        <v>0.97931034482758617</v>
      </c>
      <c r="BE12" s="37">
        <v>0.98412698412698407</v>
      </c>
      <c r="BF12" s="37" t="s">
        <v>111</v>
      </c>
    </row>
    <row r="13" spans="1:58" ht="19.5" customHeight="1">
      <c r="A13" s="40">
        <v>10</v>
      </c>
      <c r="B13" s="35" t="s">
        <v>110</v>
      </c>
      <c r="C13" s="41">
        <v>46144</v>
      </c>
      <c r="D13" s="35" t="s">
        <v>35</v>
      </c>
      <c r="E13" s="35">
        <v>4693</v>
      </c>
      <c r="F13" s="35">
        <v>3689</v>
      </c>
      <c r="G13" s="36">
        <v>0.78606435116130402</v>
      </c>
      <c r="H13" s="35">
        <v>1545</v>
      </c>
      <c r="I13" s="37">
        <v>0.32921372256552311</v>
      </c>
      <c r="J13" s="35">
        <v>4777</v>
      </c>
      <c r="K13" s="35">
        <v>4634</v>
      </c>
      <c r="L13" s="36">
        <v>0.97</v>
      </c>
      <c r="M13" s="35">
        <v>17729</v>
      </c>
      <c r="N13" s="35">
        <v>17455</v>
      </c>
      <c r="O13" s="35">
        <v>17424</v>
      </c>
      <c r="P13" s="36">
        <v>0.98279654802865357</v>
      </c>
      <c r="Q13" s="35">
        <v>46</v>
      </c>
      <c r="R13" s="35">
        <v>0</v>
      </c>
      <c r="S13" s="35">
        <v>0</v>
      </c>
      <c r="T13" s="36">
        <v>0</v>
      </c>
      <c r="U13" s="35">
        <v>0</v>
      </c>
      <c r="V13" s="36">
        <v>0</v>
      </c>
      <c r="W13" s="35">
        <v>517</v>
      </c>
      <c r="X13" s="36">
        <v>0.1101640741529938</v>
      </c>
      <c r="Y13" s="35">
        <v>803</v>
      </c>
      <c r="Z13" s="38">
        <v>0.17110590240784149</v>
      </c>
      <c r="AA13" s="35">
        <v>0</v>
      </c>
      <c r="AB13" s="36">
        <v>0</v>
      </c>
      <c r="AC13" s="35">
        <v>493</v>
      </c>
      <c r="AD13" s="36">
        <v>0.10505007457916039</v>
      </c>
      <c r="AE13" s="35">
        <v>63</v>
      </c>
      <c r="AF13" s="36">
        <v>0.127789046653144</v>
      </c>
      <c r="AG13" s="35">
        <v>452</v>
      </c>
      <c r="AH13" s="36">
        <v>0.91683569979716029</v>
      </c>
      <c r="AI13" s="39">
        <v>433</v>
      </c>
      <c r="AJ13" s="36">
        <v>9.2265075644577033E-2</v>
      </c>
      <c r="AK13" s="39">
        <v>2</v>
      </c>
      <c r="AL13" s="36">
        <v>0.93302540415704383</v>
      </c>
      <c r="AM13" s="39">
        <v>429</v>
      </c>
      <c r="AN13" s="39">
        <v>404</v>
      </c>
      <c r="AO13" s="36">
        <v>8.6085659492861705E-2</v>
      </c>
      <c r="AP13" s="36">
        <v>0.81947261663286008</v>
      </c>
      <c r="AQ13" s="37">
        <v>0.96666666666666667</v>
      </c>
      <c r="AR13" s="39">
        <v>0</v>
      </c>
      <c r="AS13" s="39">
        <v>0</v>
      </c>
      <c r="AT13" s="39">
        <v>157</v>
      </c>
      <c r="AU13" s="39">
        <v>150</v>
      </c>
      <c r="AV13" s="39">
        <v>152</v>
      </c>
      <c r="AW13" s="39">
        <v>51</v>
      </c>
      <c r="AX13" s="36">
        <v>3.1962497336458548E-2</v>
      </c>
      <c r="AY13" s="36">
        <v>3.2388663967611343E-2</v>
      </c>
      <c r="AZ13" s="36">
        <v>1.086724909439591E-2</v>
      </c>
      <c r="BA13" s="36">
        <v>0.37623762376237618</v>
      </c>
      <c r="BB13" s="39">
        <v>0</v>
      </c>
      <c r="BC13" s="39">
        <v>0</v>
      </c>
      <c r="BD13" s="37">
        <v>0.97872340425531912</v>
      </c>
      <c r="BE13" s="37">
        <v>1</v>
      </c>
      <c r="BF13" s="37" t="s">
        <v>111</v>
      </c>
    </row>
    <row r="14" spans="1:58" ht="19.5" customHeight="1">
      <c r="A14" s="40">
        <v>11</v>
      </c>
      <c r="B14" s="35" t="s">
        <v>110</v>
      </c>
      <c r="C14" s="41">
        <v>46145</v>
      </c>
      <c r="D14" s="35"/>
      <c r="E14" s="35">
        <v>146</v>
      </c>
      <c r="F14" s="35">
        <v>144</v>
      </c>
      <c r="G14" s="36">
        <v>0.98630136986301364</v>
      </c>
      <c r="H14" s="35">
        <v>146</v>
      </c>
      <c r="I14" s="37">
        <v>1</v>
      </c>
      <c r="J14" s="35">
        <v>0</v>
      </c>
      <c r="K14" s="35">
        <v>0</v>
      </c>
      <c r="L14" s="36">
        <v>0</v>
      </c>
      <c r="M14" s="35">
        <v>4</v>
      </c>
      <c r="N14" s="35">
        <v>1</v>
      </c>
      <c r="O14" s="35">
        <v>2</v>
      </c>
      <c r="P14" s="36">
        <v>0.5</v>
      </c>
      <c r="Q14" s="35">
        <v>2</v>
      </c>
      <c r="R14" s="35">
        <v>0</v>
      </c>
      <c r="S14" s="35">
        <v>0</v>
      </c>
      <c r="T14" s="36">
        <v>0</v>
      </c>
      <c r="U14" s="35">
        <v>0</v>
      </c>
      <c r="V14" s="36">
        <v>0</v>
      </c>
      <c r="W14" s="35">
        <v>15</v>
      </c>
      <c r="X14" s="36">
        <v>0.1027397260273973</v>
      </c>
      <c r="Y14" s="35">
        <v>17</v>
      </c>
      <c r="Z14" s="38">
        <v>0.1164383561643836</v>
      </c>
      <c r="AA14" s="35">
        <v>0</v>
      </c>
      <c r="AB14" s="36">
        <v>0</v>
      </c>
      <c r="AC14" s="35">
        <v>0</v>
      </c>
      <c r="AD14" s="36">
        <v>0</v>
      </c>
      <c r="AE14" s="35">
        <v>0</v>
      </c>
      <c r="AF14" s="36">
        <v>0</v>
      </c>
      <c r="AG14" s="35">
        <v>0</v>
      </c>
      <c r="AH14" s="36">
        <v>0</v>
      </c>
      <c r="AI14" s="39">
        <v>0</v>
      </c>
      <c r="AJ14" s="36">
        <v>0</v>
      </c>
      <c r="AK14" s="39">
        <v>0</v>
      </c>
      <c r="AL14" s="36">
        <v>0</v>
      </c>
      <c r="AM14" s="39">
        <v>0</v>
      </c>
      <c r="AN14" s="39">
        <v>0</v>
      </c>
      <c r="AO14" s="36">
        <v>0</v>
      </c>
      <c r="AP14" s="36">
        <v>0</v>
      </c>
      <c r="AQ14" s="37"/>
      <c r="AR14" s="39">
        <v>0</v>
      </c>
      <c r="AS14" s="39">
        <v>0</v>
      </c>
      <c r="AT14" s="39">
        <v>0</v>
      </c>
      <c r="AU14" s="39">
        <v>0</v>
      </c>
      <c r="AV14" s="39">
        <v>0</v>
      </c>
      <c r="AW14" s="39">
        <v>0</v>
      </c>
      <c r="AX14" s="36">
        <v>0</v>
      </c>
      <c r="AY14" s="36">
        <v>0</v>
      </c>
      <c r="AZ14" s="36">
        <v>0</v>
      </c>
      <c r="BA14" s="36">
        <v>0</v>
      </c>
      <c r="BB14" s="39">
        <v>0</v>
      </c>
      <c r="BC14" s="39">
        <v>0</v>
      </c>
      <c r="BD14" s="37" t="s">
        <v>111</v>
      </c>
      <c r="BE14" s="37" t="s">
        <v>111</v>
      </c>
      <c r="BF14" s="37">
        <v>0.9859154929577465</v>
      </c>
    </row>
    <row r="15" spans="1:58" ht="19.5" customHeight="1">
      <c r="A15" s="40">
        <v>12</v>
      </c>
      <c r="B15" s="35" t="s">
        <v>110</v>
      </c>
      <c r="C15" s="41">
        <v>46145</v>
      </c>
      <c r="D15" s="35" t="s">
        <v>34</v>
      </c>
      <c r="E15" s="35">
        <v>2953</v>
      </c>
      <c r="F15" s="35">
        <v>2477</v>
      </c>
      <c r="G15" s="36">
        <v>0.83880799187267185</v>
      </c>
      <c r="H15" s="35">
        <v>1110</v>
      </c>
      <c r="I15" s="37">
        <v>0.37588892651540812</v>
      </c>
      <c r="J15" s="35">
        <v>2474</v>
      </c>
      <c r="K15" s="35">
        <v>2385</v>
      </c>
      <c r="L15" s="36">
        <v>0.96399999999999997</v>
      </c>
      <c r="M15" s="35">
        <v>10407</v>
      </c>
      <c r="N15" s="35">
        <v>10104</v>
      </c>
      <c r="O15" s="35">
        <v>10240</v>
      </c>
      <c r="P15" s="36">
        <v>0.98395310848467377</v>
      </c>
      <c r="Q15" s="35">
        <v>32</v>
      </c>
      <c r="R15" s="35">
        <v>0</v>
      </c>
      <c r="S15" s="35">
        <v>0</v>
      </c>
      <c r="T15" s="36">
        <v>0</v>
      </c>
      <c r="U15" s="35">
        <v>0</v>
      </c>
      <c r="V15" s="36">
        <v>0</v>
      </c>
      <c r="W15" s="35">
        <v>231</v>
      </c>
      <c r="X15" s="36">
        <v>7.8225533355909246E-2</v>
      </c>
      <c r="Y15" s="35">
        <v>624</v>
      </c>
      <c r="Z15" s="38">
        <v>0.21131053166271591</v>
      </c>
      <c r="AA15" s="35">
        <v>64</v>
      </c>
      <c r="AB15" s="36">
        <v>2.1672875042329839E-2</v>
      </c>
      <c r="AC15" s="35">
        <v>267</v>
      </c>
      <c r="AD15" s="36">
        <v>9.0416525567219783E-2</v>
      </c>
      <c r="AE15" s="35">
        <v>43</v>
      </c>
      <c r="AF15" s="36">
        <v>0.16104868913857681</v>
      </c>
      <c r="AG15" s="35">
        <v>240</v>
      </c>
      <c r="AH15" s="36">
        <v>0.898876404494382</v>
      </c>
      <c r="AI15" s="39">
        <v>246</v>
      </c>
      <c r="AJ15" s="36">
        <v>8.3305113443955303E-2</v>
      </c>
      <c r="AK15" s="39">
        <v>5</v>
      </c>
      <c r="AL15" s="36">
        <v>0.81707317073170727</v>
      </c>
      <c r="AM15" s="39">
        <v>241</v>
      </c>
      <c r="AN15" s="39">
        <v>201</v>
      </c>
      <c r="AO15" s="36">
        <v>6.8066373179817133E-2</v>
      </c>
      <c r="AP15" s="36">
        <v>0.7528089887640449</v>
      </c>
      <c r="AQ15" s="37">
        <v>0.97894736842105268</v>
      </c>
      <c r="AR15" s="39">
        <v>0</v>
      </c>
      <c r="AS15" s="39">
        <v>0</v>
      </c>
      <c r="AT15" s="39">
        <v>104</v>
      </c>
      <c r="AU15" s="39">
        <v>101</v>
      </c>
      <c r="AV15" s="39">
        <v>96</v>
      </c>
      <c r="AW15" s="39">
        <v>40</v>
      </c>
      <c r="AX15" s="36">
        <v>3.4202505926176768E-2</v>
      </c>
      <c r="AY15" s="36">
        <v>3.2509312563494749E-2</v>
      </c>
      <c r="AZ15" s="36">
        <v>1.354554690145615E-2</v>
      </c>
      <c r="BA15" s="36">
        <v>0.47761194029850751</v>
      </c>
      <c r="BB15" s="39">
        <v>0</v>
      </c>
      <c r="BC15" s="39">
        <v>0</v>
      </c>
      <c r="BD15" s="37">
        <v>1</v>
      </c>
      <c r="BE15" s="37">
        <v>1</v>
      </c>
      <c r="BF15" s="37" t="s">
        <v>111</v>
      </c>
    </row>
    <row r="16" spans="1:58" ht="19.5" customHeight="1">
      <c r="A16" s="40">
        <v>13</v>
      </c>
      <c r="B16" s="35" t="s">
        <v>110</v>
      </c>
      <c r="C16" s="41">
        <v>46145</v>
      </c>
      <c r="D16" s="35" t="s">
        <v>33</v>
      </c>
      <c r="E16" s="35">
        <v>3515</v>
      </c>
      <c r="F16" s="35">
        <v>2606</v>
      </c>
      <c r="G16" s="36">
        <v>0.74139402560455192</v>
      </c>
      <c r="H16" s="35">
        <v>958</v>
      </c>
      <c r="I16" s="37">
        <v>0.27254623044096732</v>
      </c>
      <c r="J16" s="35">
        <v>3760</v>
      </c>
      <c r="K16" s="35">
        <v>3677</v>
      </c>
      <c r="L16" s="36">
        <v>0.97799999999999998</v>
      </c>
      <c r="M16" s="35">
        <v>10700</v>
      </c>
      <c r="N16" s="35">
        <v>10450</v>
      </c>
      <c r="O16" s="35">
        <v>10552</v>
      </c>
      <c r="P16" s="36">
        <v>0.98616822429906537</v>
      </c>
      <c r="Q16" s="35">
        <v>28</v>
      </c>
      <c r="R16" s="35">
        <v>0</v>
      </c>
      <c r="S16" s="35">
        <v>0</v>
      </c>
      <c r="T16" s="36">
        <v>0</v>
      </c>
      <c r="U16" s="35">
        <v>0</v>
      </c>
      <c r="V16" s="36">
        <v>0</v>
      </c>
      <c r="W16" s="35">
        <v>309</v>
      </c>
      <c r="X16" s="36">
        <v>8.7908961593172116E-2</v>
      </c>
      <c r="Y16" s="35">
        <v>537</v>
      </c>
      <c r="Z16" s="38">
        <v>0.152773826458037</v>
      </c>
      <c r="AA16" s="35">
        <v>39</v>
      </c>
      <c r="AB16" s="36">
        <v>1.1095305832147941E-2</v>
      </c>
      <c r="AC16" s="35">
        <v>270</v>
      </c>
      <c r="AD16" s="36">
        <v>7.6813655761024183E-2</v>
      </c>
      <c r="AE16" s="35">
        <v>27</v>
      </c>
      <c r="AF16" s="36">
        <v>0.1</v>
      </c>
      <c r="AG16" s="35">
        <v>254</v>
      </c>
      <c r="AH16" s="36">
        <v>0.94074074074074077</v>
      </c>
      <c r="AI16" s="39">
        <v>247</v>
      </c>
      <c r="AJ16" s="36">
        <v>7.0270270270270274E-2</v>
      </c>
      <c r="AK16" s="39">
        <v>5</v>
      </c>
      <c r="AL16" s="36">
        <v>0.8582995951417004</v>
      </c>
      <c r="AM16" s="39">
        <v>245</v>
      </c>
      <c r="AN16" s="39">
        <v>212</v>
      </c>
      <c r="AO16" s="36">
        <v>6.0312944523470843E-2</v>
      </c>
      <c r="AP16" s="36">
        <v>0.78518518518518521</v>
      </c>
      <c r="AQ16" s="37">
        <v>0.95454545454545459</v>
      </c>
      <c r="AR16" s="39">
        <v>0</v>
      </c>
      <c r="AS16" s="39">
        <v>0</v>
      </c>
      <c r="AT16" s="39">
        <v>89</v>
      </c>
      <c r="AU16" s="39">
        <v>82</v>
      </c>
      <c r="AV16" s="39">
        <v>77</v>
      </c>
      <c r="AW16" s="39">
        <v>23</v>
      </c>
      <c r="AX16" s="36">
        <v>2.3328591749644381E-2</v>
      </c>
      <c r="AY16" s="36">
        <v>2.1906116642958749E-2</v>
      </c>
      <c r="AZ16" s="36">
        <v>6.543385490753912E-3</v>
      </c>
      <c r="BA16" s="36">
        <v>0.3632075471698113</v>
      </c>
      <c r="BB16" s="39">
        <v>0</v>
      </c>
      <c r="BC16" s="39">
        <v>0</v>
      </c>
      <c r="BD16" s="37">
        <v>1</v>
      </c>
      <c r="BE16" s="37">
        <v>1</v>
      </c>
      <c r="BF16" s="37" t="s">
        <v>111</v>
      </c>
    </row>
    <row r="17" spans="1:58" ht="19.5" customHeight="1">
      <c r="A17" s="40">
        <v>14</v>
      </c>
      <c r="B17" s="35" t="s">
        <v>110</v>
      </c>
      <c r="C17" s="41">
        <v>46145</v>
      </c>
      <c r="D17" s="35" t="s">
        <v>36</v>
      </c>
      <c r="E17" s="35">
        <v>12471</v>
      </c>
      <c r="F17" s="35">
        <v>8938</v>
      </c>
      <c r="G17" s="36">
        <v>0.7167027503808836</v>
      </c>
      <c r="H17" s="35">
        <v>1617</v>
      </c>
      <c r="I17" s="37">
        <v>0.12966081308636029</v>
      </c>
      <c r="J17" s="35">
        <v>12891</v>
      </c>
      <c r="K17" s="35">
        <v>12421</v>
      </c>
      <c r="L17" s="36">
        <v>0.96399999999999997</v>
      </c>
      <c r="M17" s="35">
        <v>34583</v>
      </c>
      <c r="N17" s="35">
        <v>33637</v>
      </c>
      <c r="O17" s="35">
        <v>33861</v>
      </c>
      <c r="P17" s="36">
        <v>0.97912269033918398</v>
      </c>
      <c r="Q17" s="35">
        <v>187</v>
      </c>
      <c r="R17" s="35">
        <v>0</v>
      </c>
      <c r="S17" s="35">
        <v>0</v>
      </c>
      <c r="T17" s="36">
        <v>0</v>
      </c>
      <c r="U17" s="35">
        <v>0</v>
      </c>
      <c r="V17" s="36">
        <v>0</v>
      </c>
      <c r="W17" s="35">
        <v>967</v>
      </c>
      <c r="X17" s="36">
        <v>7.7539892550717665E-2</v>
      </c>
      <c r="Y17" s="35">
        <v>1597</v>
      </c>
      <c r="Z17" s="38">
        <v>0.1280570924544944</v>
      </c>
      <c r="AA17" s="35">
        <v>8</v>
      </c>
      <c r="AB17" s="36">
        <v>6.4148825274637153E-4</v>
      </c>
      <c r="AC17" s="35">
        <v>1286</v>
      </c>
      <c r="AD17" s="36">
        <v>0.10311923662897921</v>
      </c>
      <c r="AE17" s="35">
        <v>199</v>
      </c>
      <c r="AF17" s="36">
        <v>0.1547433903576983</v>
      </c>
      <c r="AG17" s="35">
        <v>1214</v>
      </c>
      <c r="AH17" s="36">
        <v>0.94401244167962672</v>
      </c>
      <c r="AI17" s="39">
        <v>1257</v>
      </c>
      <c r="AJ17" s="36">
        <v>0.1007938417127736</v>
      </c>
      <c r="AK17" s="39">
        <v>8</v>
      </c>
      <c r="AL17" s="36">
        <v>0.90214797136038183</v>
      </c>
      <c r="AM17" s="39">
        <v>1251</v>
      </c>
      <c r="AN17" s="39">
        <v>1134</v>
      </c>
      <c r="AO17" s="36">
        <v>9.0930959826798177E-2</v>
      </c>
      <c r="AP17" s="36">
        <v>0.88180404354587871</v>
      </c>
      <c r="AQ17" s="37">
        <v>0.96455696202531649</v>
      </c>
      <c r="AR17" s="39">
        <v>0</v>
      </c>
      <c r="AS17" s="39">
        <v>0</v>
      </c>
      <c r="AT17" s="39">
        <v>220</v>
      </c>
      <c r="AU17" s="39">
        <v>191</v>
      </c>
      <c r="AV17" s="39">
        <v>234</v>
      </c>
      <c r="AW17" s="39">
        <v>49</v>
      </c>
      <c r="AX17" s="36">
        <v>1.531553203431962E-2</v>
      </c>
      <c r="AY17" s="36">
        <v>1.8763531392831372E-2</v>
      </c>
      <c r="AZ17" s="36">
        <v>3.929115548071526E-3</v>
      </c>
      <c r="BA17" s="36">
        <v>0.20634920634920631</v>
      </c>
      <c r="BB17" s="39">
        <v>0</v>
      </c>
      <c r="BC17" s="39">
        <v>1</v>
      </c>
      <c r="BD17" s="37">
        <v>0.9880239520958084</v>
      </c>
      <c r="BE17" s="37">
        <v>0.95833333333333337</v>
      </c>
      <c r="BF17" s="37" t="s">
        <v>111</v>
      </c>
    </row>
    <row r="18" spans="1:58" ht="19.5" customHeight="1">
      <c r="A18" s="40">
        <v>15</v>
      </c>
      <c r="B18" s="35" t="s">
        <v>110</v>
      </c>
      <c r="C18" s="41">
        <v>46145</v>
      </c>
      <c r="D18" s="35" t="s">
        <v>35</v>
      </c>
      <c r="E18" s="35">
        <v>4653</v>
      </c>
      <c r="F18" s="35">
        <v>3765</v>
      </c>
      <c r="G18" s="36">
        <v>0.80915538362346873</v>
      </c>
      <c r="H18" s="35">
        <v>1990</v>
      </c>
      <c r="I18" s="37">
        <v>0.42768106597893829</v>
      </c>
      <c r="J18" s="35">
        <v>5647</v>
      </c>
      <c r="K18" s="35">
        <v>5515</v>
      </c>
      <c r="L18" s="36">
        <v>0.97699999999999998</v>
      </c>
      <c r="M18" s="35">
        <v>18362</v>
      </c>
      <c r="N18" s="35">
        <v>18077</v>
      </c>
      <c r="O18" s="35">
        <v>18088</v>
      </c>
      <c r="P18" s="36">
        <v>0.98507787822677273</v>
      </c>
      <c r="Q18" s="35">
        <v>47</v>
      </c>
      <c r="R18" s="35">
        <v>0</v>
      </c>
      <c r="S18" s="35">
        <v>0</v>
      </c>
      <c r="T18" s="36">
        <v>0</v>
      </c>
      <c r="U18" s="35">
        <v>0</v>
      </c>
      <c r="V18" s="36">
        <v>0</v>
      </c>
      <c r="W18" s="35">
        <v>354</v>
      </c>
      <c r="X18" s="36">
        <v>7.6079948420373952E-2</v>
      </c>
      <c r="Y18" s="35">
        <v>823</v>
      </c>
      <c r="Z18" s="38">
        <v>0.1768751343219428</v>
      </c>
      <c r="AA18" s="35">
        <v>144</v>
      </c>
      <c r="AB18" s="36">
        <v>3.0947775628626689E-2</v>
      </c>
      <c r="AC18" s="35">
        <v>517</v>
      </c>
      <c r="AD18" s="36">
        <v>0.1111111111111111</v>
      </c>
      <c r="AE18" s="35">
        <v>40</v>
      </c>
      <c r="AF18" s="36">
        <v>7.7369439071566737E-2</v>
      </c>
      <c r="AG18" s="35">
        <v>487</v>
      </c>
      <c r="AH18" s="36">
        <v>0.94197292069632499</v>
      </c>
      <c r="AI18" s="39">
        <v>474</v>
      </c>
      <c r="AJ18" s="36">
        <v>0.1018697614442295</v>
      </c>
      <c r="AK18" s="39">
        <v>4</v>
      </c>
      <c r="AL18" s="36">
        <v>0.7426160337552743</v>
      </c>
      <c r="AM18" s="39">
        <v>468</v>
      </c>
      <c r="AN18" s="39">
        <v>352</v>
      </c>
      <c r="AO18" s="36">
        <v>7.5650118203309691E-2</v>
      </c>
      <c r="AP18" s="36">
        <v>0.68085106382978722</v>
      </c>
      <c r="AQ18" s="37">
        <v>0.94852941176470584</v>
      </c>
      <c r="AR18" s="39">
        <v>0</v>
      </c>
      <c r="AS18" s="39">
        <v>0</v>
      </c>
      <c r="AT18" s="39">
        <v>188</v>
      </c>
      <c r="AU18" s="39">
        <v>184</v>
      </c>
      <c r="AV18" s="39">
        <v>179</v>
      </c>
      <c r="AW18" s="39">
        <v>59</v>
      </c>
      <c r="AX18" s="36">
        <v>3.9544379969911878E-2</v>
      </c>
      <c r="AY18" s="36">
        <v>3.8469804427251238E-2</v>
      </c>
      <c r="AZ18" s="36">
        <v>1.267999140339566E-2</v>
      </c>
      <c r="BA18" s="36">
        <v>0.50852272727272729</v>
      </c>
      <c r="BB18" s="39">
        <v>0</v>
      </c>
      <c r="BC18" s="39">
        <v>0</v>
      </c>
      <c r="BD18" s="37">
        <v>0.94</v>
      </c>
      <c r="BE18" s="37">
        <v>1</v>
      </c>
      <c r="BF18" s="37" t="s">
        <v>111</v>
      </c>
    </row>
    <row r="19" spans="1:58" ht="19.5" customHeight="1">
      <c r="A19" s="40">
        <v>16</v>
      </c>
      <c r="B19" s="35" t="s">
        <v>110</v>
      </c>
      <c r="C19" s="41">
        <v>46146</v>
      </c>
      <c r="D19" s="35"/>
      <c r="E19" s="35">
        <v>123</v>
      </c>
      <c r="F19" s="35">
        <v>122</v>
      </c>
      <c r="G19" s="36">
        <v>0.99186991869918695</v>
      </c>
      <c r="H19" s="35">
        <v>123</v>
      </c>
      <c r="I19" s="37">
        <v>1</v>
      </c>
      <c r="J19" s="35">
        <v>0</v>
      </c>
      <c r="K19" s="35">
        <v>0</v>
      </c>
      <c r="L19" s="36">
        <v>0</v>
      </c>
      <c r="M19" s="35">
        <v>2</v>
      </c>
      <c r="N19" s="35">
        <v>3</v>
      </c>
      <c r="O19" s="35">
        <v>2</v>
      </c>
      <c r="P19" s="36">
        <v>1</v>
      </c>
      <c r="Q19" s="35">
        <v>0</v>
      </c>
      <c r="R19" s="35">
        <v>0</v>
      </c>
      <c r="S19" s="35">
        <v>0</v>
      </c>
      <c r="T19" s="36">
        <v>0</v>
      </c>
      <c r="U19" s="35">
        <v>0</v>
      </c>
      <c r="V19" s="36">
        <v>0</v>
      </c>
      <c r="W19" s="35">
        <v>23</v>
      </c>
      <c r="X19" s="36">
        <v>0.18699186991869921</v>
      </c>
      <c r="Y19" s="35">
        <v>15</v>
      </c>
      <c r="Z19" s="38">
        <v>0.12195121951219511</v>
      </c>
      <c r="AA19" s="35">
        <v>0</v>
      </c>
      <c r="AB19" s="36">
        <v>0</v>
      </c>
      <c r="AC19" s="35">
        <v>0</v>
      </c>
      <c r="AD19" s="36">
        <v>0</v>
      </c>
      <c r="AE19" s="35">
        <v>0</v>
      </c>
      <c r="AF19" s="36">
        <v>0</v>
      </c>
      <c r="AG19" s="35">
        <v>0</v>
      </c>
      <c r="AH19" s="36">
        <v>0</v>
      </c>
      <c r="AI19" s="39">
        <v>0</v>
      </c>
      <c r="AJ19" s="36">
        <v>0</v>
      </c>
      <c r="AK19" s="39">
        <v>0</v>
      </c>
      <c r="AL19" s="36">
        <v>0</v>
      </c>
      <c r="AM19" s="39">
        <v>0</v>
      </c>
      <c r="AN19" s="39">
        <v>0</v>
      </c>
      <c r="AO19" s="36">
        <v>0</v>
      </c>
      <c r="AP19" s="36">
        <v>0</v>
      </c>
      <c r="AQ19" s="37"/>
      <c r="AR19" s="39">
        <v>0</v>
      </c>
      <c r="AS19" s="39">
        <v>0</v>
      </c>
      <c r="AT19" s="39">
        <v>0</v>
      </c>
      <c r="AU19" s="39">
        <v>0</v>
      </c>
      <c r="AV19" s="39">
        <v>0</v>
      </c>
      <c r="AW19" s="39">
        <v>0</v>
      </c>
      <c r="AX19" s="36">
        <v>0</v>
      </c>
      <c r="AY19" s="36">
        <v>0</v>
      </c>
      <c r="AZ19" s="36">
        <v>0</v>
      </c>
      <c r="BA19" s="36">
        <v>0</v>
      </c>
      <c r="BB19" s="39">
        <v>0</v>
      </c>
      <c r="BC19" s="39">
        <v>0</v>
      </c>
      <c r="BD19" s="37" t="s">
        <v>111</v>
      </c>
      <c r="BE19" s="37" t="s">
        <v>111</v>
      </c>
      <c r="BF19" s="37">
        <v>0.971830985915493</v>
      </c>
    </row>
    <row r="20" spans="1:58" ht="19.5" customHeight="1">
      <c r="A20" s="40">
        <v>17</v>
      </c>
      <c r="B20" s="35" t="s">
        <v>110</v>
      </c>
      <c r="C20" s="41">
        <v>46146</v>
      </c>
      <c r="D20" s="35" t="s">
        <v>34</v>
      </c>
      <c r="E20" s="35">
        <v>2838</v>
      </c>
      <c r="F20" s="35">
        <v>2447</v>
      </c>
      <c r="G20" s="36">
        <v>0.86222692036645521</v>
      </c>
      <c r="H20" s="35">
        <v>1145</v>
      </c>
      <c r="I20" s="37">
        <v>0.40345313601127553</v>
      </c>
      <c r="J20" s="35">
        <v>3323</v>
      </c>
      <c r="K20" s="35">
        <v>3227</v>
      </c>
      <c r="L20" s="36">
        <v>0.97099999999999997</v>
      </c>
      <c r="M20" s="35">
        <v>11016</v>
      </c>
      <c r="N20" s="35">
        <v>10848</v>
      </c>
      <c r="O20" s="35">
        <v>10808</v>
      </c>
      <c r="P20" s="36">
        <v>0.98111837327523599</v>
      </c>
      <c r="Q20" s="35">
        <v>35</v>
      </c>
      <c r="R20" s="35">
        <v>0</v>
      </c>
      <c r="S20" s="35">
        <v>0</v>
      </c>
      <c r="T20" s="36">
        <v>0</v>
      </c>
      <c r="U20" s="35">
        <v>0</v>
      </c>
      <c r="V20" s="36">
        <v>0</v>
      </c>
      <c r="W20" s="35">
        <v>255</v>
      </c>
      <c r="X20" s="36">
        <v>8.9852008456659624E-2</v>
      </c>
      <c r="Y20" s="35">
        <v>528</v>
      </c>
      <c r="Z20" s="38">
        <v>0.186046511627907</v>
      </c>
      <c r="AA20" s="35">
        <v>29</v>
      </c>
      <c r="AB20" s="36">
        <v>1.0218463706835801E-2</v>
      </c>
      <c r="AC20" s="35">
        <v>234</v>
      </c>
      <c r="AD20" s="36">
        <v>8.2452431289640596E-2</v>
      </c>
      <c r="AE20" s="35">
        <v>23</v>
      </c>
      <c r="AF20" s="36">
        <v>9.8290598290598288E-2</v>
      </c>
      <c r="AG20" s="35">
        <v>211</v>
      </c>
      <c r="AH20" s="36">
        <v>0.90170940170940173</v>
      </c>
      <c r="AI20" s="39">
        <v>199</v>
      </c>
      <c r="AJ20" s="36">
        <v>7.0119802677942211E-2</v>
      </c>
      <c r="AK20" s="39">
        <v>3</v>
      </c>
      <c r="AL20" s="36">
        <v>0.84924623115577891</v>
      </c>
      <c r="AM20" s="39">
        <v>198</v>
      </c>
      <c r="AN20" s="39">
        <v>169</v>
      </c>
      <c r="AO20" s="36">
        <v>5.9548978153629313E-2</v>
      </c>
      <c r="AP20" s="36">
        <v>0.72222222222222221</v>
      </c>
      <c r="AQ20" s="37">
        <v>0.97222222222222221</v>
      </c>
      <c r="AR20" s="39">
        <v>0</v>
      </c>
      <c r="AS20" s="39">
        <v>0</v>
      </c>
      <c r="AT20" s="39">
        <v>105</v>
      </c>
      <c r="AU20" s="39">
        <v>101</v>
      </c>
      <c r="AV20" s="39">
        <v>104</v>
      </c>
      <c r="AW20" s="39">
        <v>55</v>
      </c>
      <c r="AX20" s="36">
        <v>3.5588442565186749E-2</v>
      </c>
      <c r="AY20" s="36">
        <v>3.6645525017618037E-2</v>
      </c>
      <c r="AZ20" s="36">
        <v>1.937984496124031E-2</v>
      </c>
      <c r="BA20" s="36">
        <v>0.61538461538461542</v>
      </c>
      <c r="BB20" s="39">
        <v>0</v>
      </c>
      <c r="BC20" s="39">
        <v>0</v>
      </c>
      <c r="BD20" s="37">
        <v>1</v>
      </c>
      <c r="BE20" s="37">
        <v>1</v>
      </c>
      <c r="BF20" s="37" t="s">
        <v>111</v>
      </c>
    </row>
    <row r="21" spans="1:58" ht="19.5" customHeight="1">
      <c r="A21" s="40">
        <v>18</v>
      </c>
      <c r="B21" s="35" t="s">
        <v>110</v>
      </c>
      <c r="C21" s="41">
        <v>46146</v>
      </c>
      <c r="D21" s="35" t="s">
        <v>33</v>
      </c>
      <c r="E21" s="35">
        <v>2566</v>
      </c>
      <c r="F21" s="35">
        <v>2003</v>
      </c>
      <c r="G21" s="36">
        <v>0.78059236165237722</v>
      </c>
      <c r="H21" s="35">
        <v>720</v>
      </c>
      <c r="I21" s="37">
        <v>0.28059236165237722</v>
      </c>
      <c r="J21" s="35">
        <v>3363</v>
      </c>
      <c r="K21" s="35">
        <v>3246</v>
      </c>
      <c r="L21" s="36">
        <v>0.96499999999999997</v>
      </c>
      <c r="M21" s="35">
        <v>10623</v>
      </c>
      <c r="N21" s="35">
        <v>10018</v>
      </c>
      <c r="O21" s="35">
        <v>10418</v>
      </c>
      <c r="P21" s="36">
        <v>0.98070224983526311</v>
      </c>
      <c r="Q21" s="35">
        <v>49</v>
      </c>
      <c r="R21" s="35">
        <v>0</v>
      </c>
      <c r="S21" s="35">
        <v>0</v>
      </c>
      <c r="T21" s="36">
        <v>0</v>
      </c>
      <c r="U21" s="35">
        <v>0</v>
      </c>
      <c r="V21" s="36">
        <v>0</v>
      </c>
      <c r="W21" s="35">
        <v>302</v>
      </c>
      <c r="X21" s="36">
        <v>0.117692907248636</v>
      </c>
      <c r="Y21" s="35">
        <v>497</v>
      </c>
      <c r="Z21" s="38">
        <v>0.19368667186282151</v>
      </c>
      <c r="AA21" s="35">
        <v>14</v>
      </c>
      <c r="AB21" s="36">
        <v>5.4559625876851132E-3</v>
      </c>
      <c r="AC21" s="35">
        <v>253</v>
      </c>
      <c r="AD21" s="36">
        <v>9.8597038191738109E-2</v>
      </c>
      <c r="AE21" s="35">
        <v>34</v>
      </c>
      <c r="AF21" s="36">
        <v>0.1343873517786561</v>
      </c>
      <c r="AG21" s="35">
        <v>234</v>
      </c>
      <c r="AH21" s="36">
        <v>0.92490118577075098</v>
      </c>
      <c r="AI21" s="39">
        <v>240</v>
      </c>
      <c r="AJ21" s="36">
        <v>9.3530787217459083E-2</v>
      </c>
      <c r="AK21" s="39">
        <v>3</v>
      </c>
      <c r="AL21" s="36">
        <v>0.82916666666666672</v>
      </c>
      <c r="AM21" s="39">
        <v>239</v>
      </c>
      <c r="AN21" s="39">
        <v>199</v>
      </c>
      <c r="AO21" s="36">
        <v>7.7552611067809821E-2</v>
      </c>
      <c r="AP21" s="36">
        <v>0.7865612648221344</v>
      </c>
      <c r="AQ21" s="37">
        <v>0.97797356828193838</v>
      </c>
      <c r="AR21" s="39">
        <v>0</v>
      </c>
      <c r="AS21" s="39">
        <v>0</v>
      </c>
      <c r="AT21" s="39">
        <v>77</v>
      </c>
      <c r="AU21" s="39">
        <v>69</v>
      </c>
      <c r="AV21" s="39">
        <v>70</v>
      </c>
      <c r="AW21" s="39">
        <v>33</v>
      </c>
      <c r="AX21" s="36">
        <v>2.689010132501949E-2</v>
      </c>
      <c r="AY21" s="36">
        <v>2.727981293842556E-2</v>
      </c>
      <c r="AZ21" s="36">
        <v>1.2860483242400619E-2</v>
      </c>
      <c r="BA21" s="36">
        <v>0.35175879396984933</v>
      </c>
      <c r="BB21" s="39">
        <v>0</v>
      </c>
      <c r="BC21" s="39">
        <v>0</v>
      </c>
      <c r="BD21" s="37">
        <v>1</v>
      </c>
      <c r="BE21" s="37">
        <v>1</v>
      </c>
      <c r="BF21" s="37" t="s">
        <v>111</v>
      </c>
    </row>
    <row r="22" spans="1:58" ht="19.5" customHeight="1">
      <c r="A22" s="40">
        <v>19</v>
      </c>
      <c r="B22" s="35" t="s">
        <v>110</v>
      </c>
      <c r="C22" s="41">
        <v>46146</v>
      </c>
      <c r="D22" s="35" t="s">
        <v>36</v>
      </c>
      <c r="E22" s="35">
        <v>7671</v>
      </c>
      <c r="F22" s="35">
        <v>5881</v>
      </c>
      <c r="G22" s="36">
        <v>0.76665363055664193</v>
      </c>
      <c r="H22" s="35">
        <v>1634</v>
      </c>
      <c r="I22" s="37">
        <v>0.21301003780471911</v>
      </c>
      <c r="J22" s="35">
        <v>13265</v>
      </c>
      <c r="K22" s="35">
        <v>12681</v>
      </c>
      <c r="L22" s="36">
        <v>0.95599999999999996</v>
      </c>
      <c r="M22" s="35">
        <v>36213</v>
      </c>
      <c r="N22" s="35">
        <v>33011</v>
      </c>
      <c r="O22" s="35">
        <v>35375</v>
      </c>
      <c r="P22" s="36">
        <v>0.97685913898323806</v>
      </c>
      <c r="Q22" s="35">
        <v>269</v>
      </c>
      <c r="R22" s="35">
        <v>0</v>
      </c>
      <c r="S22" s="35">
        <v>0</v>
      </c>
      <c r="T22" s="36">
        <v>0</v>
      </c>
      <c r="U22" s="35">
        <v>0</v>
      </c>
      <c r="V22" s="36">
        <v>0</v>
      </c>
      <c r="W22" s="35">
        <v>792</v>
      </c>
      <c r="X22" s="36">
        <v>0.1032459913961674</v>
      </c>
      <c r="Y22" s="35">
        <v>2009</v>
      </c>
      <c r="Z22" s="38">
        <v>0.26189545039760143</v>
      </c>
      <c r="AA22" s="35">
        <v>4</v>
      </c>
      <c r="AB22" s="36">
        <v>5.2144440099074433E-4</v>
      </c>
      <c r="AC22" s="35">
        <v>1246</v>
      </c>
      <c r="AD22" s="36">
        <v>0.1624299309086169</v>
      </c>
      <c r="AE22" s="35">
        <v>187</v>
      </c>
      <c r="AF22" s="36">
        <v>0.15008025682182979</v>
      </c>
      <c r="AG22" s="35">
        <v>1179</v>
      </c>
      <c r="AH22" s="36">
        <v>0.9462279293739968</v>
      </c>
      <c r="AI22" s="39">
        <v>1231</v>
      </c>
      <c r="AJ22" s="36">
        <v>0.1604745144049016</v>
      </c>
      <c r="AK22" s="39">
        <v>9</v>
      </c>
      <c r="AL22" s="36">
        <v>0.92038992688870835</v>
      </c>
      <c r="AM22" s="39">
        <v>1227</v>
      </c>
      <c r="AN22" s="39">
        <v>1133</v>
      </c>
      <c r="AO22" s="36">
        <v>0.14769912658062831</v>
      </c>
      <c r="AP22" s="36">
        <v>0.9093097913322632</v>
      </c>
      <c r="AQ22" s="37">
        <v>0.97251414713015361</v>
      </c>
      <c r="AR22" s="39">
        <v>0</v>
      </c>
      <c r="AS22" s="39">
        <v>0</v>
      </c>
      <c r="AT22" s="39">
        <v>220</v>
      </c>
      <c r="AU22" s="39">
        <v>206</v>
      </c>
      <c r="AV22" s="39">
        <v>207</v>
      </c>
      <c r="AW22" s="39">
        <v>51</v>
      </c>
      <c r="AX22" s="36">
        <v>2.685438665102333E-2</v>
      </c>
      <c r="AY22" s="36">
        <v>2.6984747751271021E-2</v>
      </c>
      <c r="AZ22" s="36">
        <v>6.6484161126319904E-3</v>
      </c>
      <c r="BA22" s="36">
        <v>0.18270079435127981</v>
      </c>
      <c r="BB22" s="39">
        <v>0</v>
      </c>
      <c r="BC22" s="39">
        <v>0</v>
      </c>
      <c r="BD22" s="37">
        <v>0.97315436241610742</v>
      </c>
      <c r="BE22" s="37">
        <v>1</v>
      </c>
      <c r="BF22" s="37" t="s">
        <v>111</v>
      </c>
    </row>
    <row r="23" spans="1:58" ht="19.5" customHeight="1">
      <c r="A23" s="40">
        <v>20</v>
      </c>
      <c r="B23" s="35" t="s">
        <v>110</v>
      </c>
      <c r="C23" s="41">
        <v>46146</v>
      </c>
      <c r="D23" s="35" t="s">
        <v>35</v>
      </c>
      <c r="E23" s="35">
        <v>4283</v>
      </c>
      <c r="F23" s="35">
        <v>3664</v>
      </c>
      <c r="G23" s="36">
        <v>0.85547513425169275</v>
      </c>
      <c r="H23" s="35">
        <v>1900</v>
      </c>
      <c r="I23" s="37">
        <v>0.44361428904973149</v>
      </c>
      <c r="J23" s="35">
        <v>4785</v>
      </c>
      <c r="K23" s="35">
        <v>4630</v>
      </c>
      <c r="L23" s="36">
        <v>0.96799999999999997</v>
      </c>
      <c r="M23" s="35">
        <v>17521</v>
      </c>
      <c r="N23" s="35">
        <v>17404</v>
      </c>
      <c r="O23" s="35">
        <v>17192</v>
      </c>
      <c r="P23" s="36">
        <v>0.98122253296044748</v>
      </c>
      <c r="Q23" s="35">
        <v>62</v>
      </c>
      <c r="R23" s="35">
        <v>0</v>
      </c>
      <c r="S23" s="35">
        <v>0</v>
      </c>
      <c r="T23" s="36">
        <v>0</v>
      </c>
      <c r="U23" s="35">
        <v>0</v>
      </c>
      <c r="V23" s="36">
        <v>0</v>
      </c>
      <c r="W23" s="35">
        <v>392</v>
      </c>
      <c r="X23" s="36">
        <v>9.1524632267102501E-2</v>
      </c>
      <c r="Y23" s="35">
        <v>644</v>
      </c>
      <c r="Z23" s="38">
        <v>0.15036189586738269</v>
      </c>
      <c r="AA23" s="35">
        <v>73</v>
      </c>
      <c r="AB23" s="36">
        <v>1.7044127947700209E-2</v>
      </c>
      <c r="AC23" s="35">
        <v>446</v>
      </c>
      <c r="AD23" s="36">
        <v>0.1041326173243054</v>
      </c>
      <c r="AE23" s="35">
        <v>53</v>
      </c>
      <c r="AF23" s="36">
        <v>0.1188340807174888</v>
      </c>
      <c r="AG23" s="35">
        <v>422</v>
      </c>
      <c r="AH23" s="36">
        <v>0.94618834080717484</v>
      </c>
      <c r="AI23" s="39">
        <v>437</v>
      </c>
      <c r="AJ23" s="36">
        <v>0.10203128648143819</v>
      </c>
      <c r="AK23" s="39">
        <v>5</v>
      </c>
      <c r="AL23" s="36">
        <v>0.94508009153318073</v>
      </c>
      <c r="AM23" s="39">
        <v>433</v>
      </c>
      <c r="AN23" s="39">
        <v>413</v>
      </c>
      <c r="AO23" s="36">
        <v>9.6427737567125846E-2</v>
      </c>
      <c r="AP23" s="36">
        <v>0.92600896860986548</v>
      </c>
      <c r="AQ23" s="37">
        <v>0.98198198198198194</v>
      </c>
      <c r="AR23" s="39">
        <v>0</v>
      </c>
      <c r="AS23" s="39">
        <v>0</v>
      </c>
      <c r="AT23" s="39">
        <v>131</v>
      </c>
      <c r="AU23" s="39">
        <v>127</v>
      </c>
      <c r="AV23" s="39">
        <v>126</v>
      </c>
      <c r="AW23" s="39">
        <v>75</v>
      </c>
      <c r="AX23" s="36">
        <v>2.965211300490311E-2</v>
      </c>
      <c r="AY23" s="36">
        <v>2.941863180014009E-2</v>
      </c>
      <c r="AZ23" s="36">
        <v>1.7511090357226242E-2</v>
      </c>
      <c r="BA23" s="36">
        <v>0.30508474576271188</v>
      </c>
      <c r="BB23" s="39">
        <v>0</v>
      </c>
      <c r="BC23" s="39">
        <v>0</v>
      </c>
      <c r="BD23" s="37">
        <v>0.96296296296296291</v>
      </c>
      <c r="BE23" s="37">
        <v>1</v>
      </c>
      <c r="BF23" s="37" t="s">
        <v>111</v>
      </c>
    </row>
    <row r="24" spans="1:58" ht="19.5" customHeight="1">
      <c r="A24" s="40">
        <v>21</v>
      </c>
      <c r="B24" s="35" t="s">
        <v>110</v>
      </c>
      <c r="C24" s="41">
        <v>46147</v>
      </c>
      <c r="D24" s="35"/>
      <c r="E24" s="35">
        <v>89</v>
      </c>
      <c r="F24" s="35">
        <v>89</v>
      </c>
      <c r="G24" s="36">
        <v>1</v>
      </c>
      <c r="H24" s="35">
        <v>89</v>
      </c>
      <c r="I24" s="37">
        <v>1</v>
      </c>
      <c r="J24" s="35">
        <v>0</v>
      </c>
      <c r="K24" s="35">
        <v>0</v>
      </c>
      <c r="L24" s="36">
        <v>0</v>
      </c>
      <c r="M24" s="35">
        <v>4</v>
      </c>
      <c r="N24" s="35">
        <v>3</v>
      </c>
      <c r="O24" s="35">
        <v>1</v>
      </c>
      <c r="P24" s="36">
        <v>0.25</v>
      </c>
      <c r="Q24" s="35">
        <v>3</v>
      </c>
      <c r="R24" s="35">
        <v>0</v>
      </c>
      <c r="S24" s="35">
        <v>0</v>
      </c>
      <c r="T24" s="36">
        <v>0</v>
      </c>
      <c r="U24" s="35">
        <v>0</v>
      </c>
      <c r="V24" s="36">
        <v>0</v>
      </c>
      <c r="W24" s="35">
        <v>20</v>
      </c>
      <c r="X24" s="36">
        <v>0.2247191011235955</v>
      </c>
      <c r="Y24" s="35">
        <v>26</v>
      </c>
      <c r="Z24" s="38">
        <v>0.29213483146067409</v>
      </c>
      <c r="AA24" s="35">
        <v>0</v>
      </c>
      <c r="AB24" s="36">
        <v>0</v>
      </c>
      <c r="AC24" s="35">
        <v>0</v>
      </c>
      <c r="AD24" s="36">
        <v>0</v>
      </c>
      <c r="AE24" s="35">
        <v>0</v>
      </c>
      <c r="AF24" s="36">
        <v>0</v>
      </c>
      <c r="AG24" s="35">
        <v>0</v>
      </c>
      <c r="AH24" s="36">
        <v>0</v>
      </c>
      <c r="AI24" s="39">
        <v>0</v>
      </c>
      <c r="AJ24" s="36">
        <v>0</v>
      </c>
      <c r="AK24" s="39">
        <v>0</v>
      </c>
      <c r="AL24" s="36">
        <v>0</v>
      </c>
      <c r="AM24" s="39">
        <v>0</v>
      </c>
      <c r="AN24" s="39">
        <v>0</v>
      </c>
      <c r="AO24" s="36">
        <v>0</v>
      </c>
      <c r="AP24" s="36">
        <v>0</v>
      </c>
      <c r="AQ24" s="37">
        <v>0</v>
      </c>
      <c r="AR24" s="39">
        <v>0</v>
      </c>
      <c r="AS24" s="39">
        <v>0</v>
      </c>
      <c r="AT24" s="39">
        <v>0</v>
      </c>
      <c r="AU24" s="39">
        <v>0</v>
      </c>
      <c r="AV24" s="39">
        <v>0</v>
      </c>
      <c r="AW24" s="39">
        <v>0</v>
      </c>
      <c r="AX24" s="36">
        <v>0</v>
      </c>
      <c r="AY24" s="36">
        <v>0</v>
      </c>
      <c r="AZ24" s="36">
        <v>0</v>
      </c>
      <c r="BA24" s="36">
        <v>0</v>
      </c>
      <c r="BB24" s="39">
        <v>0</v>
      </c>
      <c r="BC24" s="39">
        <v>0</v>
      </c>
      <c r="BD24" s="37" t="s">
        <v>111</v>
      </c>
      <c r="BE24" s="37" t="s">
        <v>111</v>
      </c>
      <c r="BF24" s="37">
        <v>0.98958333333333337</v>
      </c>
    </row>
    <row r="25" spans="1:58" ht="19.5" customHeight="1">
      <c r="A25" s="40">
        <v>22</v>
      </c>
      <c r="B25" s="35" t="s">
        <v>110</v>
      </c>
      <c r="C25" s="41">
        <v>46147</v>
      </c>
      <c r="D25" s="35" t="s">
        <v>34</v>
      </c>
      <c r="E25" s="35">
        <v>2790</v>
      </c>
      <c r="F25" s="35">
        <v>2459</v>
      </c>
      <c r="G25" s="36">
        <v>0.88136200716845881</v>
      </c>
      <c r="H25" s="35">
        <v>842</v>
      </c>
      <c r="I25" s="37">
        <v>0.30179211469534051</v>
      </c>
      <c r="J25" s="35">
        <v>2234</v>
      </c>
      <c r="K25" s="35">
        <v>2181</v>
      </c>
      <c r="L25" s="36">
        <v>0.97599999999999998</v>
      </c>
      <c r="M25" s="35">
        <v>9681</v>
      </c>
      <c r="N25" s="35">
        <v>9470</v>
      </c>
      <c r="O25" s="35">
        <v>9520</v>
      </c>
      <c r="P25" s="36">
        <v>0.98336948662328272</v>
      </c>
      <c r="Q25" s="35">
        <v>17</v>
      </c>
      <c r="R25" s="35">
        <v>0</v>
      </c>
      <c r="S25" s="35">
        <v>0</v>
      </c>
      <c r="T25" s="36">
        <v>0</v>
      </c>
      <c r="U25" s="35">
        <v>0</v>
      </c>
      <c r="V25" s="36">
        <v>0</v>
      </c>
      <c r="W25" s="35">
        <v>312</v>
      </c>
      <c r="X25" s="36">
        <v>0.1118279569892473</v>
      </c>
      <c r="Y25" s="35">
        <v>462</v>
      </c>
      <c r="Z25" s="38">
        <v>0.16559139784946239</v>
      </c>
      <c r="AA25" s="35">
        <v>30</v>
      </c>
      <c r="AB25" s="36">
        <v>1.075268817204301E-2</v>
      </c>
      <c r="AC25" s="35">
        <v>214</v>
      </c>
      <c r="AD25" s="36">
        <v>7.6702508960573471E-2</v>
      </c>
      <c r="AE25" s="35">
        <v>29</v>
      </c>
      <c r="AF25" s="36">
        <v>0.1355140186915888</v>
      </c>
      <c r="AG25" s="35">
        <v>193</v>
      </c>
      <c r="AH25" s="36">
        <v>0.90186915887850472</v>
      </c>
      <c r="AI25" s="39">
        <v>182</v>
      </c>
      <c r="AJ25" s="36">
        <v>6.5232974910394259E-2</v>
      </c>
      <c r="AK25" s="39">
        <v>3</v>
      </c>
      <c r="AL25" s="36">
        <v>0.82417582417582413</v>
      </c>
      <c r="AM25" s="39">
        <v>180</v>
      </c>
      <c r="AN25" s="39">
        <v>150</v>
      </c>
      <c r="AO25" s="36">
        <v>5.3763440860215048E-2</v>
      </c>
      <c r="AP25" s="36">
        <v>0.7009345794392523</v>
      </c>
      <c r="AQ25" s="37">
        <v>0.96216216216216222</v>
      </c>
      <c r="AR25" s="39">
        <v>0</v>
      </c>
      <c r="AS25" s="39">
        <v>0</v>
      </c>
      <c r="AT25" s="39">
        <v>106</v>
      </c>
      <c r="AU25" s="39">
        <v>99</v>
      </c>
      <c r="AV25" s="39">
        <v>94</v>
      </c>
      <c r="AW25" s="39">
        <v>49</v>
      </c>
      <c r="AX25" s="36">
        <v>3.5483870967741943E-2</v>
      </c>
      <c r="AY25" s="36">
        <v>3.3691756272401431E-2</v>
      </c>
      <c r="AZ25" s="36">
        <v>1.7562724014336919E-2</v>
      </c>
      <c r="BA25" s="36">
        <v>0.62666666666666671</v>
      </c>
      <c r="BB25" s="39">
        <v>0</v>
      </c>
      <c r="BC25" s="39">
        <v>0</v>
      </c>
      <c r="BD25" s="37">
        <v>1</v>
      </c>
      <c r="BE25" s="37">
        <v>1</v>
      </c>
      <c r="BF25" s="37" t="s">
        <v>111</v>
      </c>
    </row>
    <row r="26" spans="1:58" ht="19.5" customHeight="1">
      <c r="A26" s="40">
        <v>23</v>
      </c>
      <c r="B26" s="35" t="s">
        <v>110</v>
      </c>
      <c r="C26" s="41">
        <v>46147</v>
      </c>
      <c r="D26" s="35" t="s">
        <v>33</v>
      </c>
      <c r="E26" s="35">
        <v>2753</v>
      </c>
      <c r="F26" s="35">
        <v>2309</v>
      </c>
      <c r="G26" s="36">
        <v>0.8387213948419906</v>
      </c>
      <c r="H26" s="35">
        <v>1178</v>
      </c>
      <c r="I26" s="37">
        <v>0.42789683981111509</v>
      </c>
      <c r="J26" s="35">
        <v>3285</v>
      </c>
      <c r="K26" s="35">
        <v>3194</v>
      </c>
      <c r="L26" s="36">
        <v>0.97199999999999998</v>
      </c>
      <c r="M26" s="35">
        <v>9970</v>
      </c>
      <c r="N26" s="35">
        <v>9634</v>
      </c>
      <c r="O26" s="35">
        <v>9763</v>
      </c>
      <c r="P26" s="36">
        <v>0.97923771313941821</v>
      </c>
      <c r="Q26" s="35">
        <v>40</v>
      </c>
      <c r="R26" s="35">
        <v>0</v>
      </c>
      <c r="S26" s="35">
        <v>0</v>
      </c>
      <c r="T26" s="36">
        <v>0</v>
      </c>
      <c r="U26" s="35">
        <v>0</v>
      </c>
      <c r="V26" s="36">
        <v>0</v>
      </c>
      <c r="W26" s="35">
        <v>287</v>
      </c>
      <c r="X26" s="36">
        <v>0.10424990918997459</v>
      </c>
      <c r="Y26" s="35">
        <v>509</v>
      </c>
      <c r="Z26" s="38">
        <v>0.18488921176897929</v>
      </c>
      <c r="AA26" s="35">
        <v>15</v>
      </c>
      <c r="AB26" s="36">
        <v>5.4486015256084274E-3</v>
      </c>
      <c r="AC26" s="35">
        <v>226</v>
      </c>
      <c r="AD26" s="36">
        <v>8.2092262985833636E-2</v>
      </c>
      <c r="AE26" s="35">
        <v>27</v>
      </c>
      <c r="AF26" s="36">
        <v>0.1194690265486726</v>
      </c>
      <c r="AG26" s="35">
        <v>211</v>
      </c>
      <c r="AH26" s="36">
        <v>0.9336283185840708</v>
      </c>
      <c r="AI26" s="39">
        <v>207</v>
      </c>
      <c r="AJ26" s="36">
        <v>7.51907010533963E-2</v>
      </c>
      <c r="AK26" s="39">
        <v>4</v>
      </c>
      <c r="AL26" s="36">
        <v>0.83091787439613529</v>
      </c>
      <c r="AM26" s="39">
        <v>205</v>
      </c>
      <c r="AN26" s="39">
        <v>172</v>
      </c>
      <c r="AO26" s="36">
        <v>6.2477297493643301E-2</v>
      </c>
      <c r="AP26" s="36">
        <v>0.76106194690265483</v>
      </c>
      <c r="AQ26" s="37">
        <v>0.96</v>
      </c>
      <c r="AR26" s="39">
        <v>0</v>
      </c>
      <c r="AS26" s="39">
        <v>0</v>
      </c>
      <c r="AT26" s="39">
        <v>82</v>
      </c>
      <c r="AU26" s="39">
        <v>78</v>
      </c>
      <c r="AV26" s="39">
        <v>76</v>
      </c>
      <c r="AW26" s="39">
        <v>26</v>
      </c>
      <c r="AX26" s="36">
        <v>2.8332727933163819E-2</v>
      </c>
      <c r="AY26" s="36">
        <v>2.7606247729749369E-2</v>
      </c>
      <c r="AZ26" s="36">
        <v>9.4442426443879408E-3</v>
      </c>
      <c r="BA26" s="36">
        <v>0.44186046511627908</v>
      </c>
      <c r="BB26" s="39">
        <v>0</v>
      </c>
      <c r="BC26" s="39">
        <v>0</v>
      </c>
      <c r="BD26" s="37">
        <v>0.95833333333333337</v>
      </c>
      <c r="BE26" s="37">
        <v>1</v>
      </c>
      <c r="BF26" s="37" t="s">
        <v>111</v>
      </c>
    </row>
    <row r="27" spans="1:58" ht="19.5" customHeight="1">
      <c r="A27" s="40">
        <v>24</v>
      </c>
      <c r="B27" s="35" t="s">
        <v>110</v>
      </c>
      <c r="C27" s="41">
        <v>46147</v>
      </c>
      <c r="D27" s="35" t="s">
        <v>36</v>
      </c>
      <c r="E27" s="35">
        <v>5373</v>
      </c>
      <c r="F27" s="35">
        <v>4552</v>
      </c>
      <c r="G27" s="36">
        <v>0.8471989577517216</v>
      </c>
      <c r="H27" s="35">
        <v>1536</v>
      </c>
      <c r="I27" s="37">
        <v>0.28587381351200453</v>
      </c>
      <c r="J27" s="35">
        <v>8438</v>
      </c>
      <c r="K27" s="35">
        <v>8267</v>
      </c>
      <c r="L27" s="36">
        <v>0.98</v>
      </c>
      <c r="M27" s="35">
        <v>29693</v>
      </c>
      <c r="N27" s="35">
        <v>27879</v>
      </c>
      <c r="O27" s="35">
        <v>29283</v>
      </c>
      <c r="P27" s="36">
        <v>0.98619203179200488</v>
      </c>
      <c r="Q27" s="35">
        <v>14</v>
      </c>
      <c r="R27" s="35">
        <v>0</v>
      </c>
      <c r="S27" s="35">
        <v>0</v>
      </c>
      <c r="T27" s="36">
        <v>0</v>
      </c>
      <c r="U27" s="35">
        <v>0</v>
      </c>
      <c r="V27" s="36">
        <v>0</v>
      </c>
      <c r="W27" s="35">
        <v>572</v>
      </c>
      <c r="X27" s="36">
        <v>0.10645821701098079</v>
      </c>
      <c r="Y27" s="35">
        <v>1553</v>
      </c>
      <c r="Z27" s="38">
        <v>0.28903778150009313</v>
      </c>
      <c r="AA27" s="35">
        <v>15</v>
      </c>
      <c r="AB27" s="36">
        <v>2.7917364600781691E-3</v>
      </c>
      <c r="AC27" s="35">
        <v>1172</v>
      </c>
      <c r="AD27" s="36">
        <v>0.2181276754141076</v>
      </c>
      <c r="AE27" s="35">
        <v>218</v>
      </c>
      <c r="AF27" s="36">
        <v>0.18600682593856649</v>
      </c>
      <c r="AG27" s="35">
        <v>1101</v>
      </c>
      <c r="AH27" s="36">
        <v>0.93941979522184305</v>
      </c>
      <c r="AI27" s="39">
        <v>1140</v>
      </c>
      <c r="AJ27" s="36">
        <v>0.21217197096594079</v>
      </c>
      <c r="AK27" s="39">
        <v>12</v>
      </c>
      <c r="AL27" s="36">
        <v>0.91315789473684206</v>
      </c>
      <c r="AM27" s="39">
        <v>1134</v>
      </c>
      <c r="AN27" s="39">
        <v>1041</v>
      </c>
      <c r="AO27" s="36">
        <v>0.19374651032942489</v>
      </c>
      <c r="AP27" s="36">
        <v>0.88822525597269619</v>
      </c>
      <c r="AQ27" s="37">
        <v>0.97911445279866327</v>
      </c>
      <c r="AR27" s="39">
        <v>0</v>
      </c>
      <c r="AS27" s="39">
        <v>0</v>
      </c>
      <c r="AT27" s="39">
        <v>313</v>
      </c>
      <c r="AU27" s="39">
        <v>299</v>
      </c>
      <c r="AV27" s="39">
        <v>263</v>
      </c>
      <c r="AW27" s="39">
        <v>77</v>
      </c>
      <c r="AX27" s="36">
        <v>5.5648613437558163E-2</v>
      </c>
      <c r="AY27" s="36">
        <v>4.8948445933370548E-2</v>
      </c>
      <c r="AZ27" s="36">
        <v>1.433091382840126E-2</v>
      </c>
      <c r="BA27" s="36">
        <v>0.25264169068203651</v>
      </c>
      <c r="BB27" s="39">
        <v>0</v>
      </c>
      <c r="BC27" s="39">
        <v>0</v>
      </c>
      <c r="BD27" s="37">
        <v>1</v>
      </c>
      <c r="BE27" s="37">
        <v>1</v>
      </c>
      <c r="BF27" s="37" t="s">
        <v>111</v>
      </c>
    </row>
    <row r="28" spans="1:58" ht="19.5" customHeight="1">
      <c r="A28" s="40">
        <v>25</v>
      </c>
      <c r="B28" s="35" t="s">
        <v>110</v>
      </c>
      <c r="C28" s="41">
        <v>46147</v>
      </c>
      <c r="D28" s="35" t="s">
        <v>35</v>
      </c>
      <c r="E28" s="35">
        <v>3581</v>
      </c>
      <c r="F28" s="35">
        <v>3127</v>
      </c>
      <c r="G28" s="36">
        <v>0.87321977101368331</v>
      </c>
      <c r="H28" s="35">
        <v>1663</v>
      </c>
      <c r="I28" s="37">
        <v>0.46439542027366659</v>
      </c>
      <c r="J28" s="35">
        <v>5240</v>
      </c>
      <c r="K28" s="35">
        <v>5128</v>
      </c>
      <c r="L28" s="36">
        <v>0.97899999999999998</v>
      </c>
      <c r="M28" s="35">
        <v>17310</v>
      </c>
      <c r="N28" s="35">
        <v>17209</v>
      </c>
      <c r="O28" s="35">
        <v>17030</v>
      </c>
      <c r="P28" s="36">
        <v>0.98382437897169261</v>
      </c>
      <c r="Q28" s="35">
        <v>34</v>
      </c>
      <c r="R28" s="35">
        <v>0</v>
      </c>
      <c r="S28" s="35">
        <v>0</v>
      </c>
      <c r="T28" s="36">
        <v>0</v>
      </c>
      <c r="U28" s="35">
        <v>0</v>
      </c>
      <c r="V28" s="36">
        <v>0</v>
      </c>
      <c r="W28" s="35">
        <v>347</v>
      </c>
      <c r="X28" s="36">
        <v>9.6900307176766273E-2</v>
      </c>
      <c r="Y28" s="35">
        <v>666</v>
      </c>
      <c r="Z28" s="38">
        <v>0.18598156939402399</v>
      </c>
      <c r="AA28" s="35">
        <v>70</v>
      </c>
      <c r="AB28" s="36">
        <v>1.9547612398771289E-2</v>
      </c>
      <c r="AC28" s="35">
        <v>387</v>
      </c>
      <c r="AD28" s="36">
        <v>0.1080703714046356</v>
      </c>
      <c r="AE28" s="35">
        <v>51</v>
      </c>
      <c r="AF28" s="36">
        <v>0.13178294573643409</v>
      </c>
      <c r="AG28" s="35">
        <v>363</v>
      </c>
      <c r="AH28" s="36">
        <v>0.93798449612403101</v>
      </c>
      <c r="AI28" s="39">
        <v>364</v>
      </c>
      <c r="AJ28" s="36">
        <v>0.10164758447361071</v>
      </c>
      <c r="AK28" s="39">
        <v>8</v>
      </c>
      <c r="AL28" s="36">
        <v>0.95329670329670335</v>
      </c>
      <c r="AM28" s="39">
        <v>364</v>
      </c>
      <c r="AN28" s="39">
        <v>347</v>
      </c>
      <c r="AO28" s="36">
        <v>9.6900307176766273E-2</v>
      </c>
      <c r="AP28" s="36">
        <v>0.89664082687338498</v>
      </c>
      <c r="AQ28" s="37">
        <v>0.94789081885856075</v>
      </c>
      <c r="AR28" s="39">
        <v>0</v>
      </c>
      <c r="AS28" s="39">
        <v>0</v>
      </c>
      <c r="AT28" s="39">
        <v>117</v>
      </c>
      <c r="AU28" s="39">
        <v>112</v>
      </c>
      <c r="AV28" s="39">
        <v>112</v>
      </c>
      <c r="AW28" s="39">
        <v>63</v>
      </c>
      <c r="AX28" s="36">
        <v>3.1276179838034067E-2</v>
      </c>
      <c r="AY28" s="36">
        <v>3.1276179838034067E-2</v>
      </c>
      <c r="AZ28" s="36">
        <v>1.7592851158894161E-2</v>
      </c>
      <c r="BA28" s="36">
        <v>0.32276657060518732</v>
      </c>
      <c r="BB28" s="39">
        <v>0</v>
      </c>
      <c r="BC28" s="39">
        <v>1</v>
      </c>
      <c r="BD28" s="37">
        <v>1</v>
      </c>
      <c r="BE28" s="37">
        <v>0.92592592592592593</v>
      </c>
      <c r="BF28" s="37" t="s">
        <v>111</v>
      </c>
    </row>
    <row r="29" spans="1:58" ht="19.5" customHeight="1">
      <c r="A29" s="40">
        <v>26</v>
      </c>
      <c r="B29" s="35" t="s">
        <v>110</v>
      </c>
      <c r="C29" s="41">
        <v>46148</v>
      </c>
      <c r="D29" s="35"/>
      <c r="E29" s="35">
        <v>35</v>
      </c>
      <c r="F29" s="35">
        <v>35</v>
      </c>
      <c r="G29" s="36">
        <v>1</v>
      </c>
      <c r="H29" s="35">
        <v>35</v>
      </c>
      <c r="I29" s="37">
        <v>1</v>
      </c>
      <c r="J29" s="35">
        <v>0</v>
      </c>
      <c r="K29" s="35">
        <v>0</v>
      </c>
      <c r="L29" s="36">
        <v>0</v>
      </c>
      <c r="M29" s="35">
        <v>5</v>
      </c>
      <c r="N29" s="35">
        <v>4</v>
      </c>
      <c r="O29" s="35">
        <v>4</v>
      </c>
      <c r="P29" s="36">
        <v>0.8</v>
      </c>
      <c r="Q29" s="35">
        <v>1</v>
      </c>
      <c r="R29" s="35">
        <v>0</v>
      </c>
      <c r="S29" s="35">
        <v>0</v>
      </c>
      <c r="T29" s="36">
        <v>0</v>
      </c>
      <c r="U29" s="35">
        <v>0</v>
      </c>
      <c r="V29" s="36">
        <v>0</v>
      </c>
      <c r="W29" s="35">
        <v>11</v>
      </c>
      <c r="X29" s="36">
        <v>0.31428571428571428</v>
      </c>
      <c r="Y29" s="35">
        <v>9</v>
      </c>
      <c r="Z29" s="38">
        <v>0.25714285714285712</v>
      </c>
      <c r="AA29" s="35">
        <v>0</v>
      </c>
      <c r="AB29" s="36">
        <v>0</v>
      </c>
      <c r="AC29" s="35">
        <v>0</v>
      </c>
      <c r="AD29" s="36">
        <v>0</v>
      </c>
      <c r="AE29" s="35">
        <v>0</v>
      </c>
      <c r="AF29" s="36">
        <v>0</v>
      </c>
      <c r="AG29" s="35">
        <v>0</v>
      </c>
      <c r="AH29" s="36">
        <v>0</v>
      </c>
      <c r="AI29" s="39">
        <v>0</v>
      </c>
      <c r="AJ29" s="36">
        <v>0</v>
      </c>
      <c r="AK29" s="39">
        <v>0</v>
      </c>
      <c r="AL29" s="36">
        <v>0</v>
      </c>
      <c r="AM29" s="39">
        <v>0</v>
      </c>
      <c r="AN29" s="39">
        <v>0</v>
      </c>
      <c r="AO29" s="36">
        <v>0</v>
      </c>
      <c r="AP29" s="36">
        <v>0</v>
      </c>
      <c r="AQ29" s="37"/>
      <c r="AR29" s="39">
        <v>0</v>
      </c>
      <c r="AS29" s="39">
        <v>0</v>
      </c>
      <c r="AT29" s="39">
        <v>0</v>
      </c>
      <c r="AU29" s="39">
        <v>0</v>
      </c>
      <c r="AV29" s="39">
        <v>0</v>
      </c>
      <c r="AW29" s="39">
        <v>0</v>
      </c>
      <c r="AX29" s="36">
        <v>0</v>
      </c>
      <c r="AY29" s="36">
        <v>0</v>
      </c>
      <c r="AZ29" s="36">
        <v>0</v>
      </c>
      <c r="BA29" s="36">
        <v>0</v>
      </c>
      <c r="BB29" s="39">
        <v>0</v>
      </c>
      <c r="BC29" s="39">
        <v>0</v>
      </c>
      <c r="BD29" s="37" t="s">
        <v>111</v>
      </c>
      <c r="BE29" s="37" t="s">
        <v>111</v>
      </c>
      <c r="BF29" s="37">
        <v>1</v>
      </c>
    </row>
    <row r="30" spans="1:58" ht="19.5" customHeight="1">
      <c r="A30" s="40">
        <v>27</v>
      </c>
      <c r="B30" s="35" t="s">
        <v>110</v>
      </c>
      <c r="C30" s="41">
        <v>46148</v>
      </c>
      <c r="D30" s="35" t="s">
        <v>34</v>
      </c>
      <c r="E30" s="35">
        <v>2567</v>
      </c>
      <c r="F30" s="35">
        <v>2276</v>
      </c>
      <c r="G30" s="36">
        <v>0.88663809894818857</v>
      </c>
      <c r="H30" s="35">
        <v>992</v>
      </c>
      <c r="I30" s="37">
        <v>0.3864433190494741</v>
      </c>
      <c r="J30" s="35">
        <v>3527</v>
      </c>
      <c r="K30" s="35">
        <v>3409</v>
      </c>
      <c r="L30" s="36">
        <v>0.96699999999999997</v>
      </c>
      <c r="M30" s="35">
        <v>10729</v>
      </c>
      <c r="N30" s="35">
        <v>10710</v>
      </c>
      <c r="O30" s="35">
        <v>10525</v>
      </c>
      <c r="P30" s="36">
        <v>0.98098611240562961</v>
      </c>
      <c r="Q30" s="35">
        <v>26</v>
      </c>
      <c r="R30" s="35">
        <v>0</v>
      </c>
      <c r="S30" s="35">
        <v>0</v>
      </c>
      <c r="T30" s="36">
        <v>0</v>
      </c>
      <c r="U30" s="35">
        <v>0</v>
      </c>
      <c r="V30" s="36">
        <v>0</v>
      </c>
      <c r="W30" s="35">
        <v>184</v>
      </c>
      <c r="X30" s="36">
        <v>7.1679002726918586E-2</v>
      </c>
      <c r="Y30" s="35">
        <v>513</v>
      </c>
      <c r="Z30" s="38">
        <v>0.19984417608102839</v>
      </c>
      <c r="AA30" s="35">
        <v>30</v>
      </c>
      <c r="AB30" s="36">
        <v>1.168679392286716E-2</v>
      </c>
      <c r="AC30" s="35">
        <v>128</v>
      </c>
      <c r="AD30" s="36">
        <v>4.9863654070899877E-2</v>
      </c>
      <c r="AE30" s="35">
        <v>21</v>
      </c>
      <c r="AF30" s="36">
        <v>0.1640625</v>
      </c>
      <c r="AG30" s="35">
        <v>116</v>
      </c>
      <c r="AH30" s="36">
        <v>0.90625</v>
      </c>
      <c r="AI30" s="39">
        <v>113</v>
      </c>
      <c r="AJ30" s="36">
        <v>4.4020257109466297E-2</v>
      </c>
      <c r="AK30" s="39">
        <v>4</v>
      </c>
      <c r="AL30" s="36">
        <v>0.86725663716814161</v>
      </c>
      <c r="AM30" s="39">
        <v>113</v>
      </c>
      <c r="AN30" s="39">
        <v>98</v>
      </c>
      <c r="AO30" s="36">
        <v>3.8176860148032718E-2</v>
      </c>
      <c r="AP30" s="36">
        <v>0.765625</v>
      </c>
      <c r="AQ30" s="37">
        <v>0.9882352941176471</v>
      </c>
      <c r="AR30" s="39">
        <v>0</v>
      </c>
      <c r="AS30" s="39">
        <v>0</v>
      </c>
      <c r="AT30" s="39">
        <v>43</v>
      </c>
      <c r="AU30" s="39">
        <v>37</v>
      </c>
      <c r="AV30" s="39">
        <v>42</v>
      </c>
      <c r="AW30" s="39">
        <v>65</v>
      </c>
      <c r="AX30" s="36">
        <v>1.4413712504869501E-2</v>
      </c>
      <c r="AY30" s="36">
        <v>1.6361511492014029E-2</v>
      </c>
      <c r="AZ30" s="36">
        <v>2.5321386832878851E-2</v>
      </c>
      <c r="BA30" s="36">
        <v>0.42857142857142849</v>
      </c>
      <c r="BB30" s="39">
        <v>0</v>
      </c>
      <c r="BC30" s="39">
        <v>0</v>
      </c>
      <c r="BD30" s="37">
        <v>1</v>
      </c>
      <c r="BE30" s="37">
        <v>1</v>
      </c>
      <c r="BF30" s="37" t="s">
        <v>111</v>
      </c>
    </row>
    <row r="31" spans="1:58" ht="19.5" customHeight="1">
      <c r="A31" s="40">
        <v>28</v>
      </c>
      <c r="B31" s="35" t="s">
        <v>110</v>
      </c>
      <c r="C31" s="41">
        <v>46148</v>
      </c>
      <c r="D31" s="35" t="s">
        <v>33</v>
      </c>
      <c r="E31" s="35">
        <v>1937</v>
      </c>
      <c r="F31" s="35">
        <v>1702</v>
      </c>
      <c r="G31" s="36">
        <v>0.87867836861125448</v>
      </c>
      <c r="H31" s="35">
        <v>603</v>
      </c>
      <c r="I31" s="37">
        <v>0.31130614352090857</v>
      </c>
      <c r="J31" s="35">
        <v>2888</v>
      </c>
      <c r="K31" s="35">
        <v>2742</v>
      </c>
      <c r="L31" s="36">
        <v>0.94899999999999995</v>
      </c>
      <c r="M31" s="35">
        <v>9742</v>
      </c>
      <c r="N31" s="35">
        <v>9216</v>
      </c>
      <c r="O31" s="35">
        <v>9516</v>
      </c>
      <c r="P31" s="36">
        <v>0.97680147813590634</v>
      </c>
      <c r="Q31" s="35">
        <v>44</v>
      </c>
      <c r="R31" s="35">
        <v>0</v>
      </c>
      <c r="S31" s="35">
        <v>0</v>
      </c>
      <c r="T31" s="36">
        <v>0</v>
      </c>
      <c r="U31" s="35">
        <v>0</v>
      </c>
      <c r="V31" s="36">
        <v>0</v>
      </c>
      <c r="W31" s="35">
        <v>210</v>
      </c>
      <c r="X31" s="36">
        <v>0.1084150748580279</v>
      </c>
      <c r="Y31" s="35">
        <v>434</v>
      </c>
      <c r="Z31" s="38">
        <v>0.22405782137325761</v>
      </c>
      <c r="AA31" s="35">
        <v>9</v>
      </c>
      <c r="AB31" s="36">
        <v>4.6463603510583373E-3</v>
      </c>
      <c r="AC31" s="35">
        <v>153</v>
      </c>
      <c r="AD31" s="36">
        <v>7.8988125967991735E-2</v>
      </c>
      <c r="AE31" s="35">
        <v>19</v>
      </c>
      <c r="AF31" s="36">
        <v>0.1241830065359477</v>
      </c>
      <c r="AG31" s="35">
        <v>140</v>
      </c>
      <c r="AH31" s="36">
        <v>0.91503267973856206</v>
      </c>
      <c r="AI31" s="39">
        <v>127</v>
      </c>
      <c r="AJ31" s="36">
        <v>6.5565307176045431E-2</v>
      </c>
      <c r="AK31" s="39">
        <v>1</v>
      </c>
      <c r="AL31" s="36">
        <v>0.87401574803149606</v>
      </c>
      <c r="AM31" s="39">
        <v>128</v>
      </c>
      <c r="AN31" s="39">
        <v>111</v>
      </c>
      <c r="AO31" s="36">
        <v>5.7305110996386167E-2</v>
      </c>
      <c r="AP31" s="36">
        <v>0.72549019607843135</v>
      </c>
      <c r="AQ31" s="37">
        <v>0.97354497354497349</v>
      </c>
      <c r="AR31" s="39">
        <v>0</v>
      </c>
      <c r="AS31" s="39">
        <v>0</v>
      </c>
      <c r="AT31" s="39">
        <v>44</v>
      </c>
      <c r="AU31" s="39">
        <v>39</v>
      </c>
      <c r="AV31" s="39">
        <v>43</v>
      </c>
      <c r="AW31" s="39">
        <v>57</v>
      </c>
      <c r="AX31" s="36">
        <v>2.0134228187919458E-2</v>
      </c>
      <c r="AY31" s="36">
        <v>2.219927723283428E-2</v>
      </c>
      <c r="AZ31" s="36">
        <v>2.942694889003614E-2</v>
      </c>
      <c r="BA31" s="36">
        <v>0.38738738738738743</v>
      </c>
      <c r="BB31" s="39">
        <v>0</v>
      </c>
      <c r="BC31" s="39">
        <v>0</v>
      </c>
      <c r="BD31" s="37">
        <v>1</v>
      </c>
      <c r="BE31" s="37">
        <v>0.9285714285714286</v>
      </c>
      <c r="BF31" s="37" t="s">
        <v>111</v>
      </c>
    </row>
    <row r="32" spans="1:58" ht="19.5" customHeight="1">
      <c r="A32" s="40">
        <v>29</v>
      </c>
      <c r="B32" s="35" t="s">
        <v>110</v>
      </c>
      <c r="C32" s="41">
        <v>46148</v>
      </c>
      <c r="D32" s="35" t="s">
        <v>36</v>
      </c>
      <c r="E32" s="35">
        <v>4115</v>
      </c>
      <c r="F32" s="35">
        <v>3682</v>
      </c>
      <c r="G32" s="36">
        <v>0.89477521263669502</v>
      </c>
      <c r="H32" s="35">
        <v>1072</v>
      </c>
      <c r="I32" s="37">
        <v>0.26051032806804381</v>
      </c>
      <c r="J32" s="35">
        <v>6778</v>
      </c>
      <c r="K32" s="35">
        <v>6579</v>
      </c>
      <c r="L32" s="36">
        <v>0.97099999999999997</v>
      </c>
      <c r="M32" s="35">
        <v>27111</v>
      </c>
      <c r="N32" s="35">
        <v>26335</v>
      </c>
      <c r="O32" s="35">
        <v>26691</v>
      </c>
      <c r="P32" s="36">
        <v>0.98450813323005426</v>
      </c>
      <c r="Q32" s="35">
        <v>19</v>
      </c>
      <c r="R32" s="35">
        <v>0</v>
      </c>
      <c r="S32" s="35">
        <v>0</v>
      </c>
      <c r="T32" s="36">
        <v>0</v>
      </c>
      <c r="U32" s="35">
        <v>0</v>
      </c>
      <c r="V32" s="36">
        <v>0</v>
      </c>
      <c r="W32" s="35">
        <v>516</v>
      </c>
      <c r="X32" s="36">
        <v>0.12539489671931961</v>
      </c>
      <c r="Y32" s="35">
        <v>1299</v>
      </c>
      <c r="Z32" s="38">
        <v>0.31567436208991501</v>
      </c>
      <c r="AA32" s="35">
        <v>14</v>
      </c>
      <c r="AB32" s="36">
        <v>3.4021871202916162E-3</v>
      </c>
      <c r="AC32" s="35">
        <v>679</v>
      </c>
      <c r="AD32" s="36">
        <v>0.16500607533414341</v>
      </c>
      <c r="AE32" s="35">
        <v>170</v>
      </c>
      <c r="AF32" s="36">
        <v>0.25036818851251841</v>
      </c>
      <c r="AG32" s="35">
        <v>631</v>
      </c>
      <c r="AH32" s="36">
        <v>0.92930780559646542</v>
      </c>
      <c r="AI32" s="39">
        <v>719</v>
      </c>
      <c r="AJ32" s="36">
        <v>0.174726609963548</v>
      </c>
      <c r="AK32" s="39">
        <v>7</v>
      </c>
      <c r="AL32" s="36">
        <v>0.89847009735744088</v>
      </c>
      <c r="AM32" s="39">
        <v>716</v>
      </c>
      <c r="AN32" s="39">
        <v>646</v>
      </c>
      <c r="AO32" s="36">
        <v>0.1569866342648846</v>
      </c>
      <c r="AP32" s="36">
        <v>0.95139911634756991</v>
      </c>
      <c r="AQ32" s="37">
        <v>0.98457350272232302</v>
      </c>
      <c r="AR32" s="39">
        <v>0</v>
      </c>
      <c r="AS32" s="39">
        <v>0</v>
      </c>
      <c r="AT32" s="39">
        <v>103</v>
      </c>
      <c r="AU32" s="39">
        <v>89</v>
      </c>
      <c r="AV32" s="39">
        <v>101</v>
      </c>
      <c r="AW32" s="39">
        <v>155</v>
      </c>
      <c r="AX32" s="36">
        <v>2.162818955042527E-2</v>
      </c>
      <c r="AY32" s="36">
        <v>2.454434993924666E-2</v>
      </c>
      <c r="AZ32" s="36">
        <v>3.7667071688942892E-2</v>
      </c>
      <c r="BA32" s="36">
        <v>0.15634674922600619</v>
      </c>
      <c r="BB32" s="39">
        <v>0</v>
      </c>
      <c r="BC32" s="39">
        <v>0</v>
      </c>
      <c r="BD32" s="37">
        <v>0.95652173913043481</v>
      </c>
      <c r="BE32" s="37">
        <v>1</v>
      </c>
      <c r="BF32" s="37" t="s">
        <v>111</v>
      </c>
    </row>
    <row r="33" spans="1:58" ht="19.5" customHeight="1">
      <c r="A33" s="40">
        <v>30</v>
      </c>
      <c r="B33" s="35" t="s">
        <v>110</v>
      </c>
      <c r="C33" s="41">
        <v>46148</v>
      </c>
      <c r="D33" s="35" t="s">
        <v>35</v>
      </c>
      <c r="E33" s="35">
        <v>3141</v>
      </c>
      <c r="F33" s="35">
        <v>2793</v>
      </c>
      <c r="G33" s="36">
        <v>0.88920725883476603</v>
      </c>
      <c r="H33" s="35">
        <v>1433</v>
      </c>
      <c r="I33" s="37">
        <v>0.45622413244189752</v>
      </c>
      <c r="J33" s="35">
        <v>4790</v>
      </c>
      <c r="K33" s="35">
        <v>4599</v>
      </c>
      <c r="L33" s="36">
        <v>0.96</v>
      </c>
      <c r="M33" s="35">
        <v>16772</v>
      </c>
      <c r="N33" s="35">
        <v>16142</v>
      </c>
      <c r="O33" s="35">
        <v>16458</v>
      </c>
      <c r="P33" s="36">
        <v>0.98127832101120915</v>
      </c>
      <c r="Q33" s="35">
        <v>51</v>
      </c>
      <c r="R33" s="35">
        <v>0</v>
      </c>
      <c r="S33" s="35">
        <v>0</v>
      </c>
      <c r="T33" s="36">
        <v>0</v>
      </c>
      <c r="U33" s="35">
        <v>0</v>
      </c>
      <c r="V33" s="36">
        <v>0</v>
      </c>
      <c r="W33" s="35">
        <v>292</v>
      </c>
      <c r="X33" s="36">
        <v>9.296402419611588E-2</v>
      </c>
      <c r="Y33" s="35">
        <v>658</v>
      </c>
      <c r="Z33" s="38">
        <v>0.20948742438713791</v>
      </c>
      <c r="AA33" s="35">
        <v>87</v>
      </c>
      <c r="AB33" s="36">
        <v>2.7698185291308498E-2</v>
      </c>
      <c r="AC33" s="35">
        <v>282</v>
      </c>
      <c r="AD33" s="36">
        <v>8.9780324737344791E-2</v>
      </c>
      <c r="AE33" s="35">
        <v>56</v>
      </c>
      <c r="AF33" s="36">
        <v>0.19858156028368801</v>
      </c>
      <c r="AG33" s="35">
        <v>265</v>
      </c>
      <c r="AH33" s="36">
        <v>0.93971631205673756</v>
      </c>
      <c r="AI33" s="39">
        <v>285</v>
      </c>
      <c r="AJ33" s="36">
        <v>9.0735434574976126E-2</v>
      </c>
      <c r="AK33" s="39">
        <v>6</v>
      </c>
      <c r="AL33" s="36">
        <v>0.90877192982456145</v>
      </c>
      <c r="AM33" s="39">
        <v>285</v>
      </c>
      <c r="AN33" s="39">
        <v>259</v>
      </c>
      <c r="AO33" s="36">
        <v>8.2457815982171279E-2</v>
      </c>
      <c r="AP33" s="36">
        <v>0.91843971631205679</v>
      </c>
      <c r="AQ33" s="37">
        <v>0.95965417867435154</v>
      </c>
      <c r="AR33" s="39">
        <v>0</v>
      </c>
      <c r="AS33" s="39">
        <v>0</v>
      </c>
      <c r="AT33" s="39">
        <v>67</v>
      </c>
      <c r="AU33" s="39">
        <v>60</v>
      </c>
      <c r="AV33" s="39">
        <v>70</v>
      </c>
      <c r="AW33" s="39">
        <v>91</v>
      </c>
      <c r="AX33" s="36">
        <v>1.910219675262655E-2</v>
      </c>
      <c r="AY33" s="36">
        <v>2.2285896211397649E-2</v>
      </c>
      <c r="AZ33" s="36">
        <v>2.8971665074816941E-2</v>
      </c>
      <c r="BA33" s="36">
        <v>0.27027027027027029</v>
      </c>
      <c r="BB33" s="39">
        <v>0</v>
      </c>
      <c r="BC33" s="39">
        <v>0</v>
      </c>
      <c r="BD33" s="37">
        <v>0.97222222222222221</v>
      </c>
      <c r="BE33" s="37">
        <v>1</v>
      </c>
      <c r="BF33" s="37" t="s">
        <v>111</v>
      </c>
    </row>
    <row r="34" spans="1:58" ht="19.5" customHeight="1">
      <c r="A34" s="40">
        <v>31</v>
      </c>
      <c r="B34" s="35" t="s">
        <v>110</v>
      </c>
      <c r="C34" s="41">
        <v>46149</v>
      </c>
      <c r="D34" s="35"/>
      <c r="E34" s="35">
        <v>27</v>
      </c>
      <c r="F34" s="35">
        <v>27</v>
      </c>
      <c r="G34" s="36">
        <v>1</v>
      </c>
      <c r="H34" s="35">
        <v>27</v>
      </c>
      <c r="I34" s="37">
        <v>1</v>
      </c>
      <c r="J34" s="35">
        <v>0</v>
      </c>
      <c r="K34" s="35">
        <v>0</v>
      </c>
      <c r="L34" s="36">
        <v>0</v>
      </c>
      <c r="M34" s="35">
        <v>3</v>
      </c>
      <c r="N34" s="35">
        <v>1</v>
      </c>
      <c r="O34" s="35">
        <v>3</v>
      </c>
      <c r="P34" s="36">
        <v>1</v>
      </c>
      <c r="Q34" s="35">
        <v>0</v>
      </c>
      <c r="R34" s="35">
        <v>0</v>
      </c>
      <c r="S34" s="35">
        <v>0</v>
      </c>
      <c r="T34" s="36">
        <v>0</v>
      </c>
      <c r="U34" s="35">
        <v>0</v>
      </c>
      <c r="V34" s="36">
        <v>0</v>
      </c>
      <c r="W34" s="35">
        <v>18</v>
      </c>
      <c r="X34" s="36">
        <v>0.66666666666666663</v>
      </c>
      <c r="Y34" s="35">
        <v>11</v>
      </c>
      <c r="Z34" s="38">
        <v>0.40740740740740738</v>
      </c>
      <c r="AA34" s="35">
        <v>0</v>
      </c>
      <c r="AB34" s="36">
        <v>0</v>
      </c>
      <c r="AC34" s="35">
        <v>0</v>
      </c>
      <c r="AD34" s="36">
        <v>0</v>
      </c>
      <c r="AE34" s="35">
        <v>0</v>
      </c>
      <c r="AF34" s="36">
        <v>0</v>
      </c>
      <c r="AG34" s="35">
        <v>0</v>
      </c>
      <c r="AH34" s="36">
        <v>0</v>
      </c>
      <c r="AI34" s="39">
        <v>0</v>
      </c>
      <c r="AJ34" s="36">
        <v>0</v>
      </c>
      <c r="AK34" s="39">
        <v>0</v>
      </c>
      <c r="AL34" s="36">
        <v>0</v>
      </c>
      <c r="AM34" s="39">
        <v>0</v>
      </c>
      <c r="AN34" s="39">
        <v>0</v>
      </c>
      <c r="AO34" s="36">
        <v>0</v>
      </c>
      <c r="AP34" s="36">
        <v>0</v>
      </c>
      <c r="AQ34" s="37"/>
      <c r="AR34" s="39">
        <v>0</v>
      </c>
      <c r="AS34" s="39">
        <v>0</v>
      </c>
      <c r="AT34" s="39">
        <v>0</v>
      </c>
      <c r="AU34" s="39">
        <v>0</v>
      </c>
      <c r="AV34" s="39">
        <v>0</v>
      </c>
      <c r="AW34" s="39">
        <v>0</v>
      </c>
      <c r="AX34" s="36">
        <v>0</v>
      </c>
      <c r="AY34" s="36">
        <v>0</v>
      </c>
      <c r="AZ34" s="36">
        <v>0</v>
      </c>
      <c r="BA34" s="36">
        <v>0</v>
      </c>
      <c r="BB34" s="39">
        <v>0</v>
      </c>
      <c r="BC34" s="39">
        <v>0</v>
      </c>
      <c r="BD34" s="37" t="s">
        <v>111</v>
      </c>
      <c r="BE34" s="37" t="s">
        <v>111</v>
      </c>
      <c r="BF34" s="37">
        <v>0.99082568807339455</v>
      </c>
    </row>
    <row r="35" spans="1:58" ht="19.5" customHeight="1">
      <c r="A35" s="40">
        <v>32</v>
      </c>
      <c r="B35" s="35" t="s">
        <v>110</v>
      </c>
      <c r="C35" s="41">
        <v>46149</v>
      </c>
      <c r="D35" s="35" t="s">
        <v>34</v>
      </c>
      <c r="E35" s="35">
        <v>2134</v>
      </c>
      <c r="F35" s="35">
        <v>1921</v>
      </c>
      <c r="G35" s="36">
        <v>0.90018744142455487</v>
      </c>
      <c r="H35" s="35">
        <v>652</v>
      </c>
      <c r="I35" s="37">
        <v>0.30552952202436739</v>
      </c>
      <c r="J35" s="35">
        <v>1719</v>
      </c>
      <c r="K35" s="35">
        <v>1638</v>
      </c>
      <c r="L35" s="36">
        <v>0.95299999999999996</v>
      </c>
      <c r="M35" s="35">
        <v>9246</v>
      </c>
      <c r="N35" s="35">
        <v>8863</v>
      </c>
      <c r="O35" s="35">
        <v>9102</v>
      </c>
      <c r="P35" s="36">
        <v>0.9844256975989617</v>
      </c>
      <c r="Q35" s="35">
        <v>19</v>
      </c>
      <c r="R35" s="35">
        <v>0</v>
      </c>
      <c r="S35" s="35">
        <v>0</v>
      </c>
      <c r="T35" s="36">
        <v>0</v>
      </c>
      <c r="U35" s="35">
        <v>0</v>
      </c>
      <c r="V35" s="36">
        <v>0</v>
      </c>
      <c r="W35" s="35">
        <v>447</v>
      </c>
      <c r="X35" s="36">
        <v>0.20946579194001869</v>
      </c>
      <c r="Y35" s="35">
        <v>521</v>
      </c>
      <c r="Z35" s="38">
        <v>0.2441424554826617</v>
      </c>
      <c r="AA35" s="35">
        <v>39</v>
      </c>
      <c r="AB35" s="36">
        <v>1.827553889409559E-2</v>
      </c>
      <c r="AC35" s="35">
        <v>137</v>
      </c>
      <c r="AD35" s="36">
        <v>6.4198687910028113E-2</v>
      </c>
      <c r="AE35" s="35">
        <v>27</v>
      </c>
      <c r="AF35" s="36">
        <v>0.1970802919708029</v>
      </c>
      <c r="AG35" s="35">
        <v>128</v>
      </c>
      <c r="AH35" s="36">
        <v>0.93430656934306566</v>
      </c>
      <c r="AI35" s="39">
        <v>141</v>
      </c>
      <c r="AJ35" s="36">
        <v>6.607310215557638E-2</v>
      </c>
      <c r="AK35" s="39">
        <v>4</v>
      </c>
      <c r="AL35" s="36">
        <v>0.83687943262411346</v>
      </c>
      <c r="AM35" s="39">
        <v>140</v>
      </c>
      <c r="AN35" s="39">
        <v>118</v>
      </c>
      <c r="AO35" s="36">
        <v>5.5295220243673851E-2</v>
      </c>
      <c r="AP35" s="36">
        <v>0.86131386861313863</v>
      </c>
      <c r="AQ35" s="37">
        <v>1</v>
      </c>
      <c r="AR35" s="39">
        <v>0</v>
      </c>
      <c r="AS35" s="39">
        <v>0</v>
      </c>
      <c r="AT35" s="39">
        <v>41</v>
      </c>
      <c r="AU35" s="39">
        <v>38</v>
      </c>
      <c r="AV35" s="39">
        <v>42</v>
      </c>
      <c r="AW35" s="39">
        <v>66</v>
      </c>
      <c r="AX35" s="36">
        <v>1.780693533270853E-2</v>
      </c>
      <c r="AY35" s="36">
        <v>1.968134957825679E-2</v>
      </c>
      <c r="AZ35" s="36">
        <v>3.0927835051546389E-2</v>
      </c>
      <c r="BA35" s="36">
        <v>0.3559322033898305</v>
      </c>
      <c r="BB35" s="39">
        <v>0</v>
      </c>
      <c r="BC35" s="39">
        <v>0</v>
      </c>
      <c r="BD35" s="37">
        <v>1</v>
      </c>
      <c r="BE35" s="37">
        <v>1</v>
      </c>
      <c r="BF35" s="37" t="s">
        <v>111</v>
      </c>
    </row>
    <row r="36" spans="1:58" ht="19.5" customHeight="1">
      <c r="A36" s="40">
        <v>33</v>
      </c>
      <c r="B36" s="35" t="s">
        <v>110</v>
      </c>
      <c r="C36" s="41">
        <v>46149</v>
      </c>
      <c r="D36" s="35" t="s">
        <v>33</v>
      </c>
      <c r="E36" s="35">
        <v>1550</v>
      </c>
      <c r="F36" s="35">
        <v>1392</v>
      </c>
      <c r="G36" s="36">
        <v>0.89806451612903226</v>
      </c>
      <c r="H36" s="35">
        <v>544</v>
      </c>
      <c r="I36" s="37">
        <v>0.35096774193548391</v>
      </c>
      <c r="J36" s="35">
        <v>1400</v>
      </c>
      <c r="K36" s="35">
        <v>1347</v>
      </c>
      <c r="L36" s="36">
        <v>0.96199999999999997</v>
      </c>
      <c r="M36" s="35">
        <v>7670</v>
      </c>
      <c r="N36" s="35">
        <v>7688</v>
      </c>
      <c r="O36" s="35">
        <v>7522</v>
      </c>
      <c r="P36" s="36">
        <v>0.9807040417209909</v>
      </c>
      <c r="Q36" s="35">
        <v>25</v>
      </c>
      <c r="R36" s="35">
        <v>0</v>
      </c>
      <c r="S36" s="35">
        <v>0</v>
      </c>
      <c r="T36" s="36">
        <v>0</v>
      </c>
      <c r="U36" s="35">
        <v>0</v>
      </c>
      <c r="V36" s="36">
        <v>0</v>
      </c>
      <c r="W36" s="35">
        <v>458</v>
      </c>
      <c r="X36" s="36">
        <v>0.29548387096774192</v>
      </c>
      <c r="Y36" s="35">
        <v>384</v>
      </c>
      <c r="Z36" s="38">
        <v>0.247741935483871</v>
      </c>
      <c r="AA36" s="35">
        <v>20</v>
      </c>
      <c r="AB36" s="36">
        <v>1.2903225806451609E-2</v>
      </c>
      <c r="AC36" s="35">
        <v>144</v>
      </c>
      <c r="AD36" s="36">
        <v>9.290322580645162E-2</v>
      </c>
      <c r="AE36" s="35">
        <v>11</v>
      </c>
      <c r="AF36" s="36">
        <v>7.6388888888888895E-2</v>
      </c>
      <c r="AG36" s="35">
        <v>136</v>
      </c>
      <c r="AH36" s="36">
        <v>0.94444444444444442</v>
      </c>
      <c r="AI36" s="39">
        <v>129</v>
      </c>
      <c r="AJ36" s="36">
        <v>8.3225806451612899E-2</v>
      </c>
      <c r="AK36" s="39">
        <v>3</v>
      </c>
      <c r="AL36" s="36">
        <v>0.83720930232558144</v>
      </c>
      <c r="AM36" s="39">
        <v>128</v>
      </c>
      <c r="AN36" s="39">
        <v>108</v>
      </c>
      <c r="AO36" s="36">
        <v>6.9677419354838704E-2</v>
      </c>
      <c r="AP36" s="36">
        <v>0.75</v>
      </c>
      <c r="AQ36" s="37">
        <v>0.95041322314049592</v>
      </c>
      <c r="AR36" s="39">
        <v>0</v>
      </c>
      <c r="AS36" s="39">
        <v>0</v>
      </c>
      <c r="AT36" s="39">
        <v>52</v>
      </c>
      <c r="AU36" s="39">
        <v>43</v>
      </c>
      <c r="AV36" s="39">
        <v>44</v>
      </c>
      <c r="AW36" s="39">
        <v>67</v>
      </c>
      <c r="AX36" s="36">
        <v>2.774193548387097E-2</v>
      </c>
      <c r="AY36" s="36">
        <v>2.838709677419355E-2</v>
      </c>
      <c r="AZ36" s="36">
        <v>4.3225806451612912E-2</v>
      </c>
      <c r="BA36" s="36">
        <v>0.40740740740740738</v>
      </c>
      <c r="BB36" s="39">
        <v>0</v>
      </c>
      <c r="BC36" s="39">
        <v>0</v>
      </c>
      <c r="BD36" s="37">
        <v>1</v>
      </c>
      <c r="BE36" s="37">
        <v>1</v>
      </c>
      <c r="BF36" s="37" t="s">
        <v>111</v>
      </c>
    </row>
    <row r="37" spans="1:58" ht="19.5" customHeight="1">
      <c r="A37" s="40">
        <v>34</v>
      </c>
      <c r="B37" s="35" t="s">
        <v>110</v>
      </c>
      <c r="C37" s="41">
        <v>46149</v>
      </c>
      <c r="D37" s="35" t="s">
        <v>36</v>
      </c>
      <c r="E37" s="35">
        <v>4910</v>
      </c>
      <c r="F37" s="35">
        <v>4455</v>
      </c>
      <c r="G37" s="36">
        <v>0.90733197556008149</v>
      </c>
      <c r="H37" s="35">
        <v>1358</v>
      </c>
      <c r="I37" s="37">
        <v>0.27657841140529532</v>
      </c>
      <c r="J37" s="35">
        <v>3988</v>
      </c>
      <c r="K37" s="35">
        <v>3896</v>
      </c>
      <c r="L37" s="36">
        <v>0.97699999999999998</v>
      </c>
      <c r="M37" s="35">
        <v>24090</v>
      </c>
      <c r="N37" s="35">
        <v>23478</v>
      </c>
      <c r="O37" s="35">
        <v>23787</v>
      </c>
      <c r="P37" s="36">
        <v>0.98742216687422169</v>
      </c>
      <c r="Q37" s="35">
        <v>33</v>
      </c>
      <c r="R37" s="35">
        <v>0</v>
      </c>
      <c r="S37" s="35">
        <v>0</v>
      </c>
      <c r="T37" s="36">
        <v>0</v>
      </c>
      <c r="U37" s="35">
        <v>0</v>
      </c>
      <c r="V37" s="36">
        <v>0</v>
      </c>
      <c r="W37" s="35">
        <v>1203</v>
      </c>
      <c r="X37" s="36">
        <v>0.24501018329938901</v>
      </c>
      <c r="Y37" s="35">
        <v>1039</v>
      </c>
      <c r="Z37" s="38">
        <v>0.2116089613034623</v>
      </c>
      <c r="AA37" s="35">
        <v>10</v>
      </c>
      <c r="AB37" s="36">
        <v>2.0366598778004071E-3</v>
      </c>
      <c r="AC37" s="35">
        <v>844</v>
      </c>
      <c r="AD37" s="36">
        <v>0.17189409368635439</v>
      </c>
      <c r="AE37" s="35">
        <v>142</v>
      </c>
      <c r="AF37" s="36">
        <v>0.16824644549763029</v>
      </c>
      <c r="AG37" s="35">
        <v>793</v>
      </c>
      <c r="AH37" s="36">
        <v>0.93957345971563977</v>
      </c>
      <c r="AI37" s="39">
        <v>842</v>
      </c>
      <c r="AJ37" s="36">
        <v>0.1714867617107943</v>
      </c>
      <c r="AK37" s="39">
        <v>7</v>
      </c>
      <c r="AL37" s="36">
        <v>0.90973871733966749</v>
      </c>
      <c r="AM37" s="39">
        <v>843</v>
      </c>
      <c r="AN37" s="39">
        <v>766</v>
      </c>
      <c r="AO37" s="36">
        <v>0.15600814663951121</v>
      </c>
      <c r="AP37" s="36">
        <v>0.90758293838862558</v>
      </c>
      <c r="AQ37" s="37">
        <v>0.94956772334293948</v>
      </c>
      <c r="AR37" s="39">
        <v>0</v>
      </c>
      <c r="AS37" s="39">
        <v>0</v>
      </c>
      <c r="AT37" s="39">
        <v>100</v>
      </c>
      <c r="AU37" s="39">
        <v>80</v>
      </c>
      <c r="AV37" s="39">
        <v>98</v>
      </c>
      <c r="AW37" s="39">
        <v>158</v>
      </c>
      <c r="AX37" s="36">
        <v>1.6293279022403261E-2</v>
      </c>
      <c r="AY37" s="36">
        <v>1.995926680244399E-2</v>
      </c>
      <c r="AZ37" s="36">
        <v>3.2179226069246433E-2</v>
      </c>
      <c r="BA37" s="36">
        <v>0.12793733681462141</v>
      </c>
      <c r="BB37" s="39">
        <v>0</v>
      </c>
      <c r="BC37" s="39">
        <v>1</v>
      </c>
      <c r="BD37" s="37">
        <v>0.98198198198198194</v>
      </c>
      <c r="BE37" s="37">
        <v>0.91666666666666663</v>
      </c>
      <c r="BF37" s="37" t="s">
        <v>111</v>
      </c>
    </row>
    <row r="38" spans="1:58" ht="19.5" customHeight="1">
      <c r="A38" s="40">
        <v>35</v>
      </c>
      <c r="B38" s="35" t="s">
        <v>110</v>
      </c>
      <c r="C38" s="41">
        <v>46149</v>
      </c>
      <c r="D38" s="35" t="s">
        <v>35</v>
      </c>
      <c r="E38" s="35">
        <v>2964</v>
      </c>
      <c r="F38" s="35">
        <v>2691</v>
      </c>
      <c r="G38" s="36">
        <v>0.90789473684210531</v>
      </c>
      <c r="H38" s="35">
        <v>1487</v>
      </c>
      <c r="I38" s="37">
        <v>0.50168690958164641</v>
      </c>
      <c r="J38" s="35">
        <v>3997</v>
      </c>
      <c r="K38" s="35">
        <v>3868</v>
      </c>
      <c r="L38" s="36">
        <v>0.96799999999999997</v>
      </c>
      <c r="M38" s="35">
        <v>16448</v>
      </c>
      <c r="N38" s="35">
        <v>15988</v>
      </c>
      <c r="O38" s="35">
        <v>16179</v>
      </c>
      <c r="P38" s="36">
        <v>0.9836454280155642</v>
      </c>
      <c r="Q38" s="35">
        <v>27</v>
      </c>
      <c r="R38" s="35">
        <v>0</v>
      </c>
      <c r="S38" s="35">
        <v>0</v>
      </c>
      <c r="T38" s="36">
        <v>0</v>
      </c>
      <c r="U38" s="35">
        <v>0</v>
      </c>
      <c r="V38" s="36">
        <v>0</v>
      </c>
      <c r="W38" s="35">
        <v>536</v>
      </c>
      <c r="X38" s="36">
        <v>0.18083670715249661</v>
      </c>
      <c r="Y38" s="35">
        <v>654</v>
      </c>
      <c r="Z38" s="38">
        <v>0.2206477732793522</v>
      </c>
      <c r="AA38" s="35">
        <v>79</v>
      </c>
      <c r="AB38" s="36">
        <v>2.66531713900135E-2</v>
      </c>
      <c r="AC38" s="35">
        <v>298</v>
      </c>
      <c r="AD38" s="36">
        <v>0.1005398110661269</v>
      </c>
      <c r="AE38" s="35">
        <v>40</v>
      </c>
      <c r="AF38" s="36">
        <v>0.13422818791946309</v>
      </c>
      <c r="AG38" s="35">
        <v>283</v>
      </c>
      <c r="AH38" s="36">
        <v>0.94966442953020136</v>
      </c>
      <c r="AI38" s="39">
        <v>299</v>
      </c>
      <c r="AJ38" s="36">
        <v>0.10087719298245609</v>
      </c>
      <c r="AK38" s="39">
        <v>8</v>
      </c>
      <c r="AL38" s="36">
        <v>0.94314381270903014</v>
      </c>
      <c r="AM38" s="39">
        <v>297</v>
      </c>
      <c r="AN38" s="39">
        <v>282</v>
      </c>
      <c r="AO38" s="36">
        <v>9.5141700404858295E-2</v>
      </c>
      <c r="AP38" s="36">
        <v>0.94630872483221473</v>
      </c>
      <c r="AQ38" s="37">
        <v>0.93632958801498123</v>
      </c>
      <c r="AR38" s="39">
        <v>0</v>
      </c>
      <c r="AS38" s="39">
        <v>0</v>
      </c>
      <c r="AT38" s="39">
        <v>66</v>
      </c>
      <c r="AU38" s="39">
        <v>61</v>
      </c>
      <c r="AV38" s="39">
        <v>64</v>
      </c>
      <c r="AW38" s="39">
        <v>95</v>
      </c>
      <c r="AX38" s="36">
        <v>2.058029689608637E-2</v>
      </c>
      <c r="AY38" s="36">
        <v>2.159244264507422E-2</v>
      </c>
      <c r="AZ38" s="36">
        <v>3.2051282051282048E-2</v>
      </c>
      <c r="BA38" s="36">
        <v>0.2269503546099291</v>
      </c>
      <c r="BB38" s="39">
        <v>0</v>
      </c>
      <c r="BC38" s="39">
        <v>0</v>
      </c>
      <c r="BD38" s="37">
        <v>0.97435897435897434</v>
      </c>
      <c r="BE38" s="37">
        <v>1</v>
      </c>
      <c r="BF38" s="37" t="s">
        <v>111</v>
      </c>
    </row>
    <row r="39" spans="1:58" ht="19.5" customHeight="1">
      <c r="A39" s="40">
        <v>36</v>
      </c>
      <c r="B39" s="35" t="s">
        <v>110</v>
      </c>
      <c r="C39" s="41">
        <v>46150</v>
      </c>
      <c r="D39" s="35"/>
      <c r="E39" s="35">
        <v>43</v>
      </c>
      <c r="F39" s="35">
        <v>43</v>
      </c>
      <c r="G39" s="36">
        <v>1</v>
      </c>
      <c r="H39" s="35">
        <v>43</v>
      </c>
      <c r="I39" s="37">
        <v>1</v>
      </c>
      <c r="J39" s="35">
        <v>0</v>
      </c>
      <c r="K39" s="35">
        <v>0</v>
      </c>
      <c r="L39" s="36">
        <v>0</v>
      </c>
      <c r="M39" s="35">
        <v>0</v>
      </c>
      <c r="N39" s="35">
        <v>1</v>
      </c>
      <c r="O39" s="35">
        <v>0</v>
      </c>
      <c r="P39" s="36">
        <v>0</v>
      </c>
      <c r="Q39" s="35">
        <v>0</v>
      </c>
      <c r="R39" s="35">
        <v>0</v>
      </c>
      <c r="S39" s="35">
        <v>0</v>
      </c>
      <c r="T39" s="36">
        <v>0</v>
      </c>
      <c r="U39" s="35">
        <v>0</v>
      </c>
      <c r="V39" s="36">
        <v>0</v>
      </c>
      <c r="W39" s="35">
        <v>52</v>
      </c>
      <c r="X39" s="36">
        <v>1.2093023255813951</v>
      </c>
      <c r="Y39" s="35">
        <v>23</v>
      </c>
      <c r="Z39" s="38">
        <v>0.53488372093023251</v>
      </c>
      <c r="AA39" s="35">
        <v>0</v>
      </c>
      <c r="AB39" s="36">
        <v>0</v>
      </c>
      <c r="AC39" s="35">
        <v>0</v>
      </c>
      <c r="AD39" s="36">
        <v>0</v>
      </c>
      <c r="AE39" s="35">
        <v>0</v>
      </c>
      <c r="AF39" s="36">
        <v>0</v>
      </c>
      <c r="AG39" s="35">
        <v>0</v>
      </c>
      <c r="AH39" s="36">
        <v>0</v>
      </c>
      <c r="AI39" s="39">
        <v>0</v>
      </c>
      <c r="AJ39" s="36">
        <v>0</v>
      </c>
      <c r="AK39" s="39">
        <v>0</v>
      </c>
      <c r="AL39" s="36">
        <v>0</v>
      </c>
      <c r="AM39" s="39">
        <v>0</v>
      </c>
      <c r="AN39" s="39">
        <v>0</v>
      </c>
      <c r="AO39" s="36">
        <v>0</v>
      </c>
      <c r="AP39" s="36">
        <v>0</v>
      </c>
      <c r="AQ39" s="37"/>
      <c r="AR39" s="39">
        <v>0</v>
      </c>
      <c r="AS39" s="39">
        <v>0</v>
      </c>
      <c r="AT39" s="39">
        <v>0</v>
      </c>
      <c r="AU39" s="39">
        <v>0</v>
      </c>
      <c r="AV39" s="39">
        <v>0</v>
      </c>
      <c r="AW39" s="39">
        <v>0</v>
      </c>
      <c r="AX39" s="36">
        <v>0</v>
      </c>
      <c r="AY39" s="36">
        <v>0</v>
      </c>
      <c r="AZ39" s="36">
        <v>0</v>
      </c>
      <c r="BA39" s="36">
        <v>0</v>
      </c>
      <c r="BB39" s="39">
        <v>0</v>
      </c>
      <c r="BC39" s="39">
        <v>0</v>
      </c>
      <c r="BD39" s="37" t="s">
        <v>111</v>
      </c>
      <c r="BE39" s="37" t="s">
        <v>111</v>
      </c>
      <c r="BF39" s="37">
        <v>0.97647058823529409</v>
      </c>
    </row>
    <row r="40" spans="1:58" ht="19.5" customHeight="1">
      <c r="A40" s="40">
        <v>37</v>
      </c>
      <c r="B40" s="35" t="s">
        <v>110</v>
      </c>
      <c r="C40" s="41">
        <v>46150</v>
      </c>
      <c r="D40" s="35" t="s">
        <v>34</v>
      </c>
      <c r="E40" s="35">
        <v>2602</v>
      </c>
      <c r="F40" s="35">
        <v>2370</v>
      </c>
      <c r="G40" s="36">
        <v>0.91083781706379707</v>
      </c>
      <c r="H40" s="35">
        <v>1219</v>
      </c>
      <c r="I40" s="37">
        <v>0.4684857801691007</v>
      </c>
      <c r="J40" s="35">
        <v>2535</v>
      </c>
      <c r="K40" s="35">
        <v>2467</v>
      </c>
      <c r="L40" s="36">
        <v>0.97299999999999998</v>
      </c>
      <c r="M40" s="35">
        <v>10004</v>
      </c>
      <c r="N40" s="35">
        <v>10171</v>
      </c>
      <c r="O40" s="35">
        <v>9860</v>
      </c>
      <c r="P40" s="36">
        <v>0.98560575769692127</v>
      </c>
      <c r="Q40" s="35">
        <v>22</v>
      </c>
      <c r="R40" s="35">
        <v>0</v>
      </c>
      <c r="S40" s="35">
        <v>0</v>
      </c>
      <c r="T40" s="36">
        <v>0</v>
      </c>
      <c r="U40" s="35">
        <v>0</v>
      </c>
      <c r="V40" s="36">
        <v>0</v>
      </c>
      <c r="W40" s="35">
        <v>301</v>
      </c>
      <c r="X40" s="36">
        <v>0.1156802459646426</v>
      </c>
      <c r="Y40" s="35">
        <v>740</v>
      </c>
      <c r="Z40" s="38">
        <v>0.2843966179861645</v>
      </c>
      <c r="AA40" s="35">
        <v>27</v>
      </c>
      <c r="AB40" s="36">
        <v>1.037663335895465E-2</v>
      </c>
      <c r="AC40" s="35">
        <v>140</v>
      </c>
      <c r="AD40" s="36">
        <v>5.3804765564950043E-2</v>
      </c>
      <c r="AE40" s="35">
        <v>28</v>
      </c>
      <c r="AF40" s="36">
        <v>0.2</v>
      </c>
      <c r="AG40" s="35">
        <v>134</v>
      </c>
      <c r="AH40" s="36">
        <v>0.95714285714285718</v>
      </c>
      <c r="AI40" s="39">
        <v>140</v>
      </c>
      <c r="AJ40" s="36">
        <v>5.3804765564950043E-2</v>
      </c>
      <c r="AK40" s="39">
        <v>5</v>
      </c>
      <c r="AL40" s="36">
        <v>0.87857142857142856</v>
      </c>
      <c r="AM40" s="39">
        <v>139</v>
      </c>
      <c r="AN40" s="39">
        <v>123</v>
      </c>
      <c r="AO40" s="36">
        <v>4.7271329746348963E-2</v>
      </c>
      <c r="AP40" s="36">
        <v>0.87857142857142856</v>
      </c>
      <c r="AQ40" s="37">
        <v>0.97709923664122134</v>
      </c>
      <c r="AR40" s="39">
        <v>0</v>
      </c>
      <c r="AS40" s="39">
        <v>0</v>
      </c>
      <c r="AT40" s="39">
        <v>48</v>
      </c>
      <c r="AU40" s="39">
        <v>42</v>
      </c>
      <c r="AV40" s="39">
        <v>42</v>
      </c>
      <c r="AW40" s="39">
        <v>62</v>
      </c>
      <c r="AX40" s="36">
        <v>1.6141429669485011E-2</v>
      </c>
      <c r="AY40" s="36">
        <v>1.6141429669485011E-2</v>
      </c>
      <c r="AZ40" s="36">
        <v>2.3827824750192159E-2</v>
      </c>
      <c r="BA40" s="36">
        <v>0.34146341463414642</v>
      </c>
      <c r="BB40" s="39">
        <v>0</v>
      </c>
      <c r="BC40" s="39">
        <v>0</v>
      </c>
      <c r="BD40" s="37">
        <v>1</v>
      </c>
      <c r="BE40" s="37">
        <v>1</v>
      </c>
      <c r="BF40" s="37" t="s">
        <v>111</v>
      </c>
    </row>
    <row r="41" spans="1:58" ht="19.5" customHeight="1">
      <c r="A41" s="40">
        <v>38</v>
      </c>
      <c r="B41" s="35" t="s">
        <v>110</v>
      </c>
      <c r="C41" s="41">
        <v>46150</v>
      </c>
      <c r="D41" s="35" t="s">
        <v>33</v>
      </c>
      <c r="E41" s="35">
        <v>1449</v>
      </c>
      <c r="F41" s="35">
        <v>1348</v>
      </c>
      <c r="G41" s="36">
        <v>0.9302967563837129</v>
      </c>
      <c r="H41" s="35">
        <v>460</v>
      </c>
      <c r="I41" s="37">
        <v>0.31746031746031739</v>
      </c>
      <c r="J41" s="35">
        <v>1105</v>
      </c>
      <c r="K41" s="35">
        <v>1066</v>
      </c>
      <c r="L41" s="36">
        <v>0.96499999999999997</v>
      </c>
      <c r="M41" s="35">
        <v>7971</v>
      </c>
      <c r="N41" s="35">
        <v>7730</v>
      </c>
      <c r="O41" s="35">
        <v>7863</v>
      </c>
      <c r="P41" s="36">
        <v>0.98645088445615359</v>
      </c>
      <c r="Q41" s="35">
        <v>22</v>
      </c>
      <c r="R41" s="35">
        <v>0</v>
      </c>
      <c r="S41" s="35">
        <v>0</v>
      </c>
      <c r="T41" s="36">
        <v>0</v>
      </c>
      <c r="U41" s="35">
        <v>0</v>
      </c>
      <c r="V41" s="36">
        <v>0</v>
      </c>
      <c r="W41" s="35">
        <v>385</v>
      </c>
      <c r="X41" s="36">
        <v>0.26570048309178751</v>
      </c>
      <c r="Y41" s="35">
        <v>893</v>
      </c>
      <c r="Z41" s="38">
        <v>0.61628709454796415</v>
      </c>
      <c r="AA41" s="35">
        <v>18</v>
      </c>
      <c r="AB41" s="36">
        <v>1.2422360248447201E-2</v>
      </c>
      <c r="AC41" s="35">
        <v>164</v>
      </c>
      <c r="AD41" s="36">
        <v>0.11318150448585231</v>
      </c>
      <c r="AE41" s="35">
        <v>33</v>
      </c>
      <c r="AF41" s="36">
        <v>0.20121951219512199</v>
      </c>
      <c r="AG41" s="35">
        <v>150</v>
      </c>
      <c r="AH41" s="36">
        <v>0.91463414634146345</v>
      </c>
      <c r="AI41" s="39">
        <v>167</v>
      </c>
      <c r="AJ41" s="36">
        <v>0.11525189786059351</v>
      </c>
      <c r="AK41" s="39">
        <v>6</v>
      </c>
      <c r="AL41" s="36">
        <v>0.87425149700598803</v>
      </c>
      <c r="AM41" s="39">
        <v>167</v>
      </c>
      <c r="AN41" s="39">
        <v>146</v>
      </c>
      <c r="AO41" s="36">
        <v>0.1007591442374051</v>
      </c>
      <c r="AP41" s="36">
        <v>0.8902439024390244</v>
      </c>
      <c r="AQ41" s="37">
        <v>0.99099099099099097</v>
      </c>
      <c r="AR41" s="39">
        <v>0</v>
      </c>
      <c r="AS41" s="39">
        <v>0</v>
      </c>
      <c r="AT41" s="39">
        <v>45</v>
      </c>
      <c r="AU41" s="39">
        <v>43</v>
      </c>
      <c r="AV41" s="39">
        <v>44</v>
      </c>
      <c r="AW41" s="39">
        <v>55</v>
      </c>
      <c r="AX41" s="36">
        <v>2.9675638371290541E-2</v>
      </c>
      <c r="AY41" s="36">
        <v>3.036576949620428E-2</v>
      </c>
      <c r="AZ41" s="36">
        <v>3.7957211870255352E-2</v>
      </c>
      <c r="BA41" s="36">
        <v>0.30136986301369861</v>
      </c>
      <c r="BB41" s="39">
        <v>0</v>
      </c>
      <c r="BC41" s="39">
        <v>0</v>
      </c>
      <c r="BD41" s="37">
        <v>0.967741935483871</v>
      </c>
      <c r="BE41" s="37">
        <v>1</v>
      </c>
      <c r="BF41" s="37" t="s">
        <v>111</v>
      </c>
    </row>
    <row r="42" spans="1:58" ht="19.5" customHeight="1">
      <c r="A42" s="40">
        <v>39</v>
      </c>
      <c r="B42" s="35" t="s">
        <v>110</v>
      </c>
      <c r="C42" s="41">
        <v>46150</v>
      </c>
      <c r="D42" s="35" t="s">
        <v>36</v>
      </c>
      <c r="E42" s="35">
        <v>4562</v>
      </c>
      <c r="F42" s="35">
        <v>4141</v>
      </c>
      <c r="G42" s="36">
        <v>0.90771591407277508</v>
      </c>
      <c r="H42" s="35">
        <v>1113</v>
      </c>
      <c r="I42" s="37">
        <v>0.24397194213064449</v>
      </c>
      <c r="J42" s="35">
        <v>3550</v>
      </c>
      <c r="K42" s="35">
        <v>3432</v>
      </c>
      <c r="L42" s="36">
        <v>0.96699999999999997</v>
      </c>
      <c r="M42" s="35">
        <v>24608</v>
      </c>
      <c r="N42" s="35">
        <v>25030</v>
      </c>
      <c r="O42" s="35">
        <v>24321</v>
      </c>
      <c r="P42" s="36">
        <v>0.9883371261378413</v>
      </c>
      <c r="Q42" s="35">
        <v>26</v>
      </c>
      <c r="R42" s="35">
        <v>0</v>
      </c>
      <c r="S42" s="35">
        <v>0</v>
      </c>
      <c r="T42" s="36">
        <v>0</v>
      </c>
      <c r="U42" s="35">
        <v>0</v>
      </c>
      <c r="V42" s="36">
        <v>0</v>
      </c>
      <c r="W42" s="35">
        <v>616</v>
      </c>
      <c r="X42" s="36">
        <v>0.1350284962735642</v>
      </c>
      <c r="Y42" s="35">
        <v>1287</v>
      </c>
      <c r="Z42" s="38">
        <v>0.28211310828583952</v>
      </c>
      <c r="AA42" s="35">
        <v>13</v>
      </c>
      <c r="AB42" s="36">
        <v>2.8496273564226219E-3</v>
      </c>
      <c r="AC42" s="35">
        <v>838</v>
      </c>
      <c r="AD42" s="36">
        <v>0.183691363437089</v>
      </c>
      <c r="AE42" s="35">
        <v>169</v>
      </c>
      <c r="AF42" s="36">
        <v>0.20167064439140811</v>
      </c>
      <c r="AG42" s="35">
        <v>786</v>
      </c>
      <c r="AH42" s="36">
        <v>0.93794749403341293</v>
      </c>
      <c r="AI42" s="39">
        <v>870</v>
      </c>
      <c r="AJ42" s="36">
        <v>0.19070583077597539</v>
      </c>
      <c r="AK42" s="39">
        <v>15</v>
      </c>
      <c r="AL42" s="36">
        <v>0.90689655172413797</v>
      </c>
      <c r="AM42" s="39">
        <v>866</v>
      </c>
      <c r="AN42" s="39">
        <v>789</v>
      </c>
      <c r="AO42" s="36">
        <v>0.1729504603244191</v>
      </c>
      <c r="AP42" s="36">
        <v>0.94152744630071594</v>
      </c>
      <c r="AQ42" s="37">
        <v>0.97448359659781292</v>
      </c>
      <c r="AR42" s="39">
        <v>0</v>
      </c>
      <c r="AS42" s="39">
        <v>0</v>
      </c>
      <c r="AT42" s="39">
        <v>79</v>
      </c>
      <c r="AU42" s="39">
        <v>60</v>
      </c>
      <c r="AV42" s="39">
        <v>84</v>
      </c>
      <c r="AW42" s="39">
        <v>188</v>
      </c>
      <c r="AX42" s="36">
        <v>1.31521262604121E-2</v>
      </c>
      <c r="AY42" s="36">
        <v>1.8412976764576941E-2</v>
      </c>
      <c r="AZ42" s="36">
        <v>4.1209995615957923E-2</v>
      </c>
      <c r="BA42" s="36">
        <v>0.10646387832699621</v>
      </c>
      <c r="BB42" s="39">
        <v>0</v>
      </c>
      <c r="BC42" s="39">
        <v>0</v>
      </c>
      <c r="BD42" s="37">
        <v>0.97986577181208057</v>
      </c>
      <c r="BE42" s="37">
        <v>1</v>
      </c>
      <c r="BF42" s="37" t="s">
        <v>111</v>
      </c>
    </row>
    <row r="43" spans="1:58" ht="19.5" customHeight="1">
      <c r="A43" s="40">
        <v>40</v>
      </c>
      <c r="B43" s="35" t="s">
        <v>110</v>
      </c>
      <c r="C43" s="41">
        <v>46150</v>
      </c>
      <c r="D43" s="35" t="s">
        <v>35</v>
      </c>
      <c r="E43" s="35">
        <v>3060</v>
      </c>
      <c r="F43" s="35">
        <v>2824</v>
      </c>
      <c r="G43" s="36">
        <v>0.9228758169934641</v>
      </c>
      <c r="H43" s="35">
        <v>1610</v>
      </c>
      <c r="I43" s="37">
        <v>0.52614379084967322</v>
      </c>
      <c r="J43" s="35">
        <v>2677</v>
      </c>
      <c r="K43" s="35">
        <v>2601</v>
      </c>
      <c r="L43" s="36">
        <v>0.97199999999999998</v>
      </c>
      <c r="M43" s="35">
        <v>15567</v>
      </c>
      <c r="N43" s="35">
        <v>15563</v>
      </c>
      <c r="O43" s="35">
        <v>15371</v>
      </c>
      <c r="P43" s="36">
        <v>0.98740926318494249</v>
      </c>
      <c r="Q43" s="35">
        <v>19</v>
      </c>
      <c r="R43" s="35">
        <v>0</v>
      </c>
      <c r="S43" s="35">
        <v>0</v>
      </c>
      <c r="T43" s="36">
        <v>0</v>
      </c>
      <c r="U43" s="35">
        <v>0</v>
      </c>
      <c r="V43" s="36">
        <v>0</v>
      </c>
      <c r="W43" s="35">
        <v>416</v>
      </c>
      <c r="X43" s="36">
        <v>0.13594771241830059</v>
      </c>
      <c r="Y43" s="35">
        <v>1229</v>
      </c>
      <c r="Z43" s="38">
        <v>0.40163398692810459</v>
      </c>
      <c r="AA43" s="35">
        <v>71</v>
      </c>
      <c r="AB43" s="36">
        <v>2.3202614379084972E-2</v>
      </c>
      <c r="AC43" s="35">
        <v>292</v>
      </c>
      <c r="AD43" s="36">
        <v>9.5424836601307184E-2</v>
      </c>
      <c r="AE43" s="35">
        <v>56</v>
      </c>
      <c r="AF43" s="36">
        <v>0.19178082191780821</v>
      </c>
      <c r="AG43" s="35">
        <v>271</v>
      </c>
      <c r="AH43" s="36">
        <v>0.92808219178082196</v>
      </c>
      <c r="AI43" s="39">
        <v>289</v>
      </c>
      <c r="AJ43" s="36">
        <v>9.4444444444444442E-2</v>
      </c>
      <c r="AK43" s="39">
        <v>6</v>
      </c>
      <c r="AL43" s="36">
        <v>0.97577854671280273</v>
      </c>
      <c r="AM43" s="39">
        <v>289</v>
      </c>
      <c r="AN43" s="39">
        <v>282</v>
      </c>
      <c r="AO43" s="36">
        <v>9.2156862745098045E-2</v>
      </c>
      <c r="AP43" s="36">
        <v>0.96575342465753422</v>
      </c>
      <c r="AQ43" s="37">
        <v>0.9928057553956835</v>
      </c>
      <c r="AR43" s="39">
        <v>0</v>
      </c>
      <c r="AS43" s="39">
        <v>0</v>
      </c>
      <c r="AT43" s="39">
        <v>40</v>
      </c>
      <c r="AU43" s="39">
        <v>37</v>
      </c>
      <c r="AV43" s="39">
        <v>36</v>
      </c>
      <c r="AW43" s="39">
        <v>100</v>
      </c>
      <c r="AX43" s="36">
        <v>1.209150326797386E-2</v>
      </c>
      <c r="AY43" s="36">
        <v>1.1764705882352939E-2</v>
      </c>
      <c r="AZ43" s="36">
        <v>3.2679738562091512E-2</v>
      </c>
      <c r="BA43" s="36">
        <v>0.1276595744680851</v>
      </c>
      <c r="BB43" s="39">
        <v>0</v>
      </c>
      <c r="BC43" s="39">
        <v>0</v>
      </c>
      <c r="BD43" s="37">
        <v>0.97297297297297303</v>
      </c>
      <c r="BE43" s="37">
        <v>1</v>
      </c>
      <c r="BF43" s="37" t="s">
        <v>111</v>
      </c>
    </row>
    <row r="44" spans="1:58" ht="19.5" customHeight="1">
      <c r="A44" s="40">
        <v>41</v>
      </c>
      <c r="B44" s="35" t="s">
        <v>110</v>
      </c>
      <c r="C44" s="41">
        <v>46151</v>
      </c>
      <c r="D44" s="35"/>
      <c r="E44" s="35">
        <v>54</v>
      </c>
      <c r="F44" s="35">
        <v>52</v>
      </c>
      <c r="G44" s="36">
        <v>0.96296296296296291</v>
      </c>
      <c r="H44" s="35">
        <v>54</v>
      </c>
      <c r="I44" s="37">
        <v>1</v>
      </c>
      <c r="J44" s="35">
        <v>0</v>
      </c>
      <c r="K44" s="35">
        <v>0</v>
      </c>
      <c r="L44" s="36">
        <v>0</v>
      </c>
      <c r="M44" s="35">
        <v>4</v>
      </c>
      <c r="N44" s="35">
        <v>1</v>
      </c>
      <c r="O44" s="35">
        <v>3</v>
      </c>
      <c r="P44" s="36">
        <v>0.75</v>
      </c>
      <c r="Q44" s="35">
        <v>1</v>
      </c>
      <c r="R44" s="35">
        <v>0</v>
      </c>
      <c r="S44" s="35">
        <v>0</v>
      </c>
      <c r="T44" s="36">
        <v>0</v>
      </c>
      <c r="U44" s="35">
        <v>0</v>
      </c>
      <c r="V44" s="36">
        <v>0</v>
      </c>
      <c r="W44" s="35">
        <v>25</v>
      </c>
      <c r="X44" s="36">
        <v>0.46296296296296302</v>
      </c>
      <c r="Y44" s="35">
        <v>9</v>
      </c>
      <c r="Z44" s="38">
        <v>0.16666666666666671</v>
      </c>
      <c r="AA44" s="35">
        <v>0</v>
      </c>
      <c r="AB44" s="36">
        <v>0</v>
      </c>
      <c r="AC44" s="35">
        <v>0</v>
      </c>
      <c r="AD44" s="36">
        <v>0</v>
      </c>
      <c r="AE44" s="35">
        <v>0</v>
      </c>
      <c r="AF44" s="36">
        <v>0</v>
      </c>
      <c r="AG44" s="35">
        <v>0</v>
      </c>
      <c r="AH44" s="36">
        <v>0</v>
      </c>
      <c r="AI44" s="39">
        <v>0</v>
      </c>
      <c r="AJ44" s="36">
        <v>0</v>
      </c>
      <c r="AK44" s="39">
        <v>0</v>
      </c>
      <c r="AL44" s="36">
        <v>0</v>
      </c>
      <c r="AM44" s="39">
        <v>0</v>
      </c>
      <c r="AN44" s="39">
        <v>0</v>
      </c>
      <c r="AO44" s="36">
        <v>0</v>
      </c>
      <c r="AP44" s="36">
        <v>0</v>
      </c>
      <c r="AQ44" s="37"/>
      <c r="AR44" s="39">
        <v>0</v>
      </c>
      <c r="AS44" s="39">
        <v>0</v>
      </c>
      <c r="AT44" s="39">
        <v>0</v>
      </c>
      <c r="AU44" s="39">
        <v>0</v>
      </c>
      <c r="AV44" s="39">
        <v>0</v>
      </c>
      <c r="AW44" s="39">
        <v>0</v>
      </c>
      <c r="AX44" s="36">
        <v>0</v>
      </c>
      <c r="AY44" s="36">
        <v>0</v>
      </c>
      <c r="AZ44" s="36">
        <v>0</v>
      </c>
      <c r="BA44" s="36">
        <v>0</v>
      </c>
      <c r="BB44" s="39">
        <v>0</v>
      </c>
      <c r="BC44" s="39">
        <v>0</v>
      </c>
      <c r="BD44" s="37" t="s">
        <v>111</v>
      </c>
      <c r="BE44" s="37" t="s">
        <v>111</v>
      </c>
      <c r="BF44" s="37">
        <v>0.97790055248618779</v>
      </c>
    </row>
    <row r="45" spans="1:58" ht="19.5" customHeight="1">
      <c r="A45" s="40">
        <v>42</v>
      </c>
      <c r="B45" s="35" t="s">
        <v>110</v>
      </c>
      <c r="C45" s="41">
        <v>46151</v>
      </c>
      <c r="D45" s="35" t="s">
        <v>34</v>
      </c>
      <c r="E45" s="35">
        <v>2683</v>
      </c>
      <c r="F45" s="35">
        <v>2452</v>
      </c>
      <c r="G45" s="36">
        <v>0.9139023481177786</v>
      </c>
      <c r="H45" s="35">
        <v>874</v>
      </c>
      <c r="I45" s="37">
        <v>0.32575475214312338</v>
      </c>
      <c r="J45" s="35">
        <v>1550</v>
      </c>
      <c r="K45" s="35">
        <v>1495</v>
      </c>
      <c r="L45" s="36">
        <v>0.96499999999999997</v>
      </c>
      <c r="M45" s="35">
        <v>9804</v>
      </c>
      <c r="N45" s="35">
        <v>9681</v>
      </c>
      <c r="O45" s="35">
        <v>9629</v>
      </c>
      <c r="P45" s="36">
        <v>0.98215014279885759</v>
      </c>
      <c r="Q45" s="35">
        <v>19</v>
      </c>
      <c r="R45" s="35">
        <v>0</v>
      </c>
      <c r="S45" s="35">
        <v>0</v>
      </c>
      <c r="T45" s="36">
        <v>0</v>
      </c>
      <c r="U45" s="35">
        <v>0</v>
      </c>
      <c r="V45" s="36">
        <v>0</v>
      </c>
      <c r="W45" s="35">
        <v>199</v>
      </c>
      <c r="X45" s="36">
        <v>7.4170704435333579E-2</v>
      </c>
      <c r="Y45" s="35">
        <v>460</v>
      </c>
      <c r="Z45" s="38">
        <v>0.17144986954901231</v>
      </c>
      <c r="AA45" s="35">
        <v>29</v>
      </c>
      <c r="AB45" s="36">
        <v>1.080879612374208E-2</v>
      </c>
      <c r="AC45" s="35">
        <v>163</v>
      </c>
      <c r="AD45" s="36">
        <v>6.0752888557584803E-2</v>
      </c>
      <c r="AE45" s="35">
        <v>24</v>
      </c>
      <c r="AF45" s="36">
        <v>0.14723926380368099</v>
      </c>
      <c r="AG45" s="35">
        <v>153</v>
      </c>
      <c r="AH45" s="36">
        <v>0.93865030674846628</v>
      </c>
      <c r="AI45" s="39">
        <v>176</v>
      </c>
      <c r="AJ45" s="36">
        <v>6.5598210957882971E-2</v>
      </c>
      <c r="AK45" s="39">
        <v>2</v>
      </c>
      <c r="AL45" s="36">
        <v>0.90909090909090906</v>
      </c>
      <c r="AM45" s="39">
        <v>174</v>
      </c>
      <c r="AN45" s="39">
        <v>160</v>
      </c>
      <c r="AO45" s="36">
        <v>5.9634737234439059E-2</v>
      </c>
      <c r="AP45" s="36">
        <v>0.98159509202453987</v>
      </c>
      <c r="AQ45" s="37">
        <v>0.99173553719008267</v>
      </c>
      <c r="AR45" s="39">
        <v>0</v>
      </c>
      <c r="AS45" s="39">
        <v>0</v>
      </c>
      <c r="AT45" s="39">
        <v>43</v>
      </c>
      <c r="AU45" s="39">
        <v>43</v>
      </c>
      <c r="AV45" s="39">
        <v>44</v>
      </c>
      <c r="AW45" s="39">
        <v>73</v>
      </c>
      <c r="AX45" s="36">
        <v>1.6026835631755498E-2</v>
      </c>
      <c r="AY45" s="36">
        <v>1.6399552739470739E-2</v>
      </c>
      <c r="AZ45" s="36">
        <v>2.7208348863212821E-2</v>
      </c>
      <c r="BA45" s="36">
        <v>0.27500000000000002</v>
      </c>
      <c r="BB45" s="39">
        <v>0</v>
      </c>
      <c r="BC45" s="39">
        <v>0</v>
      </c>
      <c r="BD45" s="37">
        <v>1</v>
      </c>
      <c r="BE45" s="37">
        <v>1</v>
      </c>
      <c r="BF45" s="37" t="s">
        <v>111</v>
      </c>
    </row>
    <row r="46" spans="1:58" ht="19.5" customHeight="1">
      <c r="A46" s="40">
        <v>43</v>
      </c>
      <c r="B46" s="35" t="s">
        <v>110</v>
      </c>
      <c r="C46" s="41">
        <v>46151</v>
      </c>
      <c r="D46" s="35" t="s">
        <v>33</v>
      </c>
      <c r="E46" s="35">
        <v>1762</v>
      </c>
      <c r="F46" s="35">
        <v>1617</v>
      </c>
      <c r="G46" s="36">
        <v>0.9177071509648127</v>
      </c>
      <c r="H46" s="35">
        <v>822</v>
      </c>
      <c r="I46" s="37">
        <v>0.46651532349602731</v>
      </c>
      <c r="J46" s="35">
        <v>1404</v>
      </c>
      <c r="K46" s="35">
        <v>1361</v>
      </c>
      <c r="L46" s="36">
        <v>0.96899999999999997</v>
      </c>
      <c r="M46" s="35">
        <v>8702</v>
      </c>
      <c r="N46" s="35">
        <v>8588</v>
      </c>
      <c r="O46" s="35">
        <v>8578</v>
      </c>
      <c r="P46" s="36">
        <v>0.98575040220638932</v>
      </c>
      <c r="Q46" s="35">
        <v>14</v>
      </c>
      <c r="R46" s="35">
        <v>0</v>
      </c>
      <c r="S46" s="35">
        <v>0</v>
      </c>
      <c r="T46" s="36">
        <v>0</v>
      </c>
      <c r="U46" s="35">
        <v>0</v>
      </c>
      <c r="V46" s="36">
        <v>0</v>
      </c>
      <c r="W46" s="35">
        <v>179</v>
      </c>
      <c r="X46" s="36">
        <v>0.101589103291714</v>
      </c>
      <c r="Y46" s="35">
        <v>406</v>
      </c>
      <c r="Z46" s="38">
        <v>0.2304199772985244</v>
      </c>
      <c r="AA46" s="35">
        <v>22</v>
      </c>
      <c r="AB46" s="36">
        <v>1.248581157775255E-2</v>
      </c>
      <c r="AC46" s="35">
        <v>170</v>
      </c>
      <c r="AD46" s="36">
        <v>9.6481271282633368E-2</v>
      </c>
      <c r="AE46" s="35">
        <v>20</v>
      </c>
      <c r="AF46" s="36">
        <v>0.1176470588235294</v>
      </c>
      <c r="AG46" s="35">
        <v>159</v>
      </c>
      <c r="AH46" s="36">
        <v>0.93529411764705883</v>
      </c>
      <c r="AI46" s="39">
        <v>173</v>
      </c>
      <c r="AJ46" s="36">
        <v>9.8183881952326899E-2</v>
      </c>
      <c r="AK46" s="39">
        <v>7</v>
      </c>
      <c r="AL46" s="36">
        <v>0.8497109826589595</v>
      </c>
      <c r="AM46" s="39">
        <v>172</v>
      </c>
      <c r="AN46" s="39">
        <v>147</v>
      </c>
      <c r="AO46" s="36">
        <v>8.3427922814982972E-2</v>
      </c>
      <c r="AP46" s="36">
        <v>0.86470588235294121</v>
      </c>
      <c r="AQ46" s="37">
        <v>0.98064516129032253</v>
      </c>
      <c r="AR46" s="39">
        <v>0</v>
      </c>
      <c r="AS46" s="39">
        <v>0</v>
      </c>
      <c r="AT46" s="39">
        <v>27</v>
      </c>
      <c r="AU46" s="39">
        <v>23</v>
      </c>
      <c r="AV46" s="39">
        <v>25</v>
      </c>
      <c r="AW46" s="39">
        <v>52</v>
      </c>
      <c r="AX46" s="36">
        <v>1.30533484676504E-2</v>
      </c>
      <c r="AY46" s="36">
        <v>1.418842224744608E-2</v>
      </c>
      <c r="AZ46" s="36">
        <v>2.951191827468785E-2</v>
      </c>
      <c r="BA46" s="36">
        <v>0.17006802721088429</v>
      </c>
      <c r="BB46" s="39">
        <v>0</v>
      </c>
      <c r="BC46" s="39">
        <v>0</v>
      </c>
      <c r="BD46" s="37">
        <v>0.96296296296296291</v>
      </c>
      <c r="BE46" s="37">
        <v>1</v>
      </c>
      <c r="BF46" s="37" t="s">
        <v>111</v>
      </c>
    </row>
    <row r="47" spans="1:58" ht="19.5" customHeight="1">
      <c r="A47" s="40">
        <v>44</v>
      </c>
      <c r="B47" s="35" t="s">
        <v>110</v>
      </c>
      <c r="C47" s="41">
        <v>46151</v>
      </c>
      <c r="D47" s="35" t="s">
        <v>36</v>
      </c>
      <c r="E47" s="35">
        <v>4956</v>
      </c>
      <c r="F47" s="35">
        <v>4442</v>
      </c>
      <c r="G47" s="36">
        <v>0.89628732849071835</v>
      </c>
      <c r="H47" s="35">
        <v>1244</v>
      </c>
      <c r="I47" s="37">
        <v>0.25100887812752221</v>
      </c>
      <c r="J47" s="35">
        <v>3594</v>
      </c>
      <c r="K47" s="35">
        <v>3505</v>
      </c>
      <c r="L47" s="36">
        <v>0.97499999999999998</v>
      </c>
      <c r="M47" s="35">
        <v>25771</v>
      </c>
      <c r="N47" s="35">
        <v>25545</v>
      </c>
      <c r="O47" s="35">
        <v>25422</v>
      </c>
      <c r="P47" s="36">
        <v>0.98645764619145548</v>
      </c>
      <c r="Q47" s="35">
        <v>20</v>
      </c>
      <c r="R47" s="35">
        <v>0</v>
      </c>
      <c r="S47" s="35">
        <v>0</v>
      </c>
      <c r="T47" s="36">
        <v>0</v>
      </c>
      <c r="U47" s="35">
        <v>0</v>
      </c>
      <c r="V47" s="36">
        <v>0</v>
      </c>
      <c r="W47" s="35">
        <v>644</v>
      </c>
      <c r="X47" s="36">
        <v>0.12994350282485881</v>
      </c>
      <c r="Y47" s="35">
        <v>1250</v>
      </c>
      <c r="Z47" s="38">
        <v>0.25221953188054891</v>
      </c>
      <c r="AA47" s="35">
        <v>66</v>
      </c>
      <c r="AB47" s="36">
        <v>1.331719128329298E-2</v>
      </c>
      <c r="AC47" s="35">
        <v>1042</v>
      </c>
      <c r="AD47" s="36">
        <v>0.21025020177562551</v>
      </c>
      <c r="AE47" s="35">
        <v>224</v>
      </c>
      <c r="AF47" s="36">
        <v>0.21497120921305179</v>
      </c>
      <c r="AG47" s="35">
        <v>979</v>
      </c>
      <c r="AH47" s="36">
        <v>0.93953934740882916</v>
      </c>
      <c r="AI47" s="39">
        <v>1096</v>
      </c>
      <c r="AJ47" s="36">
        <v>0.22114608555286519</v>
      </c>
      <c r="AK47" s="39">
        <v>19</v>
      </c>
      <c r="AL47" s="36">
        <v>0.9242700729927007</v>
      </c>
      <c r="AM47" s="39">
        <v>1089</v>
      </c>
      <c r="AN47" s="39">
        <v>1013</v>
      </c>
      <c r="AO47" s="36">
        <v>0.2043987086359968</v>
      </c>
      <c r="AP47" s="36">
        <v>0.97216890595009597</v>
      </c>
      <c r="AQ47" s="37">
        <v>0.97633136094674555</v>
      </c>
      <c r="AR47" s="39">
        <v>0</v>
      </c>
      <c r="AS47" s="39">
        <v>0</v>
      </c>
      <c r="AT47" s="39">
        <v>87</v>
      </c>
      <c r="AU47" s="39">
        <v>75</v>
      </c>
      <c r="AV47" s="39">
        <v>66</v>
      </c>
      <c r="AW47" s="39">
        <v>137</v>
      </c>
      <c r="AX47" s="36">
        <v>1.513317191283293E-2</v>
      </c>
      <c r="AY47" s="36">
        <v>1.331719128329298E-2</v>
      </c>
      <c r="AZ47" s="36">
        <v>2.7643260694108149E-2</v>
      </c>
      <c r="BA47" s="36">
        <v>6.5153010858835139E-2</v>
      </c>
      <c r="BB47" s="39">
        <v>0</v>
      </c>
      <c r="BC47" s="39">
        <v>1</v>
      </c>
      <c r="BD47" s="37">
        <v>0.97619047619047616</v>
      </c>
      <c r="BE47" s="37">
        <v>0.95238095238095233</v>
      </c>
      <c r="BF47" s="37" t="s">
        <v>111</v>
      </c>
    </row>
    <row r="48" spans="1:58" ht="19.5" customHeight="1">
      <c r="A48" s="40">
        <v>45</v>
      </c>
      <c r="B48" s="35" t="s">
        <v>110</v>
      </c>
      <c r="C48" s="41">
        <v>46151</v>
      </c>
      <c r="D48" s="35" t="s">
        <v>35</v>
      </c>
      <c r="E48" s="35">
        <v>3184</v>
      </c>
      <c r="F48" s="35">
        <v>2896</v>
      </c>
      <c r="G48" s="36">
        <v>0.90954773869346739</v>
      </c>
      <c r="H48" s="35">
        <v>1882</v>
      </c>
      <c r="I48" s="37">
        <v>0.5910804020100503</v>
      </c>
      <c r="J48" s="35">
        <v>4031</v>
      </c>
      <c r="K48" s="35">
        <v>3952</v>
      </c>
      <c r="L48" s="36">
        <v>0.98</v>
      </c>
      <c r="M48" s="35">
        <v>17671</v>
      </c>
      <c r="N48" s="35">
        <v>17888</v>
      </c>
      <c r="O48" s="35">
        <v>17473</v>
      </c>
      <c r="P48" s="36">
        <v>0.98879520117706976</v>
      </c>
      <c r="Q48" s="35">
        <v>24</v>
      </c>
      <c r="R48" s="35">
        <v>0</v>
      </c>
      <c r="S48" s="35">
        <v>0</v>
      </c>
      <c r="T48" s="36">
        <v>0</v>
      </c>
      <c r="U48" s="35">
        <v>0</v>
      </c>
      <c r="V48" s="36">
        <v>0</v>
      </c>
      <c r="W48" s="35">
        <v>259</v>
      </c>
      <c r="X48" s="36">
        <v>8.1344221105527637E-2</v>
      </c>
      <c r="Y48" s="35">
        <v>606</v>
      </c>
      <c r="Z48" s="38">
        <v>0.19032663316582921</v>
      </c>
      <c r="AA48" s="35">
        <v>80</v>
      </c>
      <c r="AB48" s="36">
        <v>2.5125628140703519E-2</v>
      </c>
      <c r="AC48" s="35">
        <v>391</v>
      </c>
      <c r="AD48" s="36">
        <v>0.1228015075376884</v>
      </c>
      <c r="AE48" s="35">
        <v>54</v>
      </c>
      <c r="AF48" s="36">
        <v>0.13810741687979541</v>
      </c>
      <c r="AG48" s="35">
        <v>374</v>
      </c>
      <c r="AH48" s="36">
        <v>0.95652173913043481</v>
      </c>
      <c r="AI48" s="39">
        <v>384</v>
      </c>
      <c r="AJ48" s="36">
        <v>0.12060301507537689</v>
      </c>
      <c r="AK48" s="39">
        <v>8</v>
      </c>
      <c r="AL48" s="36">
        <v>0.94791666666666663</v>
      </c>
      <c r="AM48" s="39">
        <v>382</v>
      </c>
      <c r="AN48" s="39">
        <v>364</v>
      </c>
      <c r="AO48" s="36">
        <v>0.114321608040201</v>
      </c>
      <c r="AP48" s="36">
        <v>0.93094629156010233</v>
      </c>
      <c r="AQ48" s="37">
        <v>0.98496240601503759</v>
      </c>
      <c r="AR48" s="39">
        <v>0</v>
      </c>
      <c r="AS48" s="39">
        <v>0</v>
      </c>
      <c r="AT48" s="39">
        <v>44</v>
      </c>
      <c r="AU48" s="39">
        <v>37</v>
      </c>
      <c r="AV48" s="39">
        <v>36</v>
      </c>
      <c r="AW48" s="39">
        <v>78</v>
      </c>
      <c r="AX48" s="36">
        <v>1.162060301507538E-2</v>
      </c>
      <c r="AY48" s="36">
        <v>1.130653266331658E-2</v>
      </c>
      <c r="AZ48" s="36">
        <v>2.4497487437185932E-2</v>
      </c>
      <c r="BA48" s="36">
        <v>9.8901098901098897E-2</v>
      </c>
      <c r="BB48" s="39">
        <v>0</v>
      </c>
      <c r="BC48" s="39">
        <v>0</v>
      </c>
      <c r="BD48" s="37">
        <v>0.97499999999999998</v>
      </c>
      <c r="BE48" s="37">
        <v>1</v>
      </c>
      <c r="BF48" s="37" t="s">
        <v>111</v>
      </c>
    </row>
    <row r="49" spans="1:58" ht="19.5" customHeight="1">
      <c r="A49" s="40">
        <v>46</v>
      </c>
      <c r="B49" s="35" t="s">
        <v>110</v>
      </c>
      <c r="C49" s="41">
        <v>46152</v>
      </c>
      <c r="D49" s="35"/>
      <c r="E49" s="35">
        <v>308</v>
      </c>
      <c r="F49" s="35">
        <v>308</v>
      </c>
      <c r="G49" s="36">
        <v>1</v>
      </c>
      <c r="H49" s="35">
        <v>308</v>
      </c>
      <c r="I49" s="37">
        <v>1</v>
      </c>
      <c r="J49" s="35">
        <v>0</v>
      </c>
      <c r="K49" s="35">
        <v>0</v>
      </c>
      <c r="L49" s="36">
        <v>0</v>
      </c>
      <c r="M49" s="35">
        <v>5</v>
      </c>
      <c r="N49" s="35">
        <v>1</v>
      </c>
      <c r="O49" s="35">
        <v>1</v>
      </c>
      <c r="P49" s="36">
        <v>0.2</v>
      </c>
      <c r="Q49" s="35">
        <v>4</v>
      </c>
      <c r="R49" s="35">
        <v>0</v>
      </c>
      <c r="S49" s="35">
        <v>0</v>
      </c>
      <c r="T49" s="36">
        <v>0</v>
      </c>
      <c r="U49" s="35">
        <v>0</v>
      </c>
      <c r="V49" s="36">
        <v>0</v>
      </c>
      <c r="W49" s="35">
        <v>41</v>
      </c>
      <c r="X49" s="36">
        <v>0.13311688311688311</v>
      </c>
      <c r="Y49" s="35">
        <v>12</v>
      </c>
      <c r="Z49" s="38">
        <v>3.896103896103896E-2</v>
      </c>
      <c r="AA49" s="35">
        <v>0</v>
      </c>
      <c r="AB49" s="36">
        <v>0</v>
      </c>
      <c r="AC49" s="35">
        <v>0</v>
      </c>
      <c r="AD49" s="36">
        <v>0</v>
      </c>
      <c r="AE49" s="35">
        <v>0</v>
      </c>
      <c r="AF49" s="36">
        <v>0</v>
      </c>
      <c r="AG49" s="35">
        <v>0</v>
      </c>
      <c r="AH49" s="36">
        <v>0</v>
      </c>
      <c r="AI49" s="39">
        <v>0</v>
      </c>
      <c r="AJ49" s="36">
        <v>0</v>
      </c>
      <c r="AK49" s="39">
        <v>0</v>
      </c>
      <c r="AL49" s="36">
        <v>0</v>
      </c>
      <c r="AM49" s="39">
        <v>0</v>
      </c>
      <c r="AN49" s="39">
        <v>0</v>
      </c>
      <c r="AO49" s="36">
        <v>0</v>
      </c>
      <c r="AP49" s="36">
        <v>0</v>
      </c>
      <c r="AQ49" s="37">
        <v>0</v>
      </c>
      <c r="AR49" s="39">
        <v>0</v>
      </c>
      <c r="AS49" s="39">
        <v>0</v>
      </c>
      <c r="AT49" s="39">
        <v>0</v>
      </c>
      <c r="AU49" s="39">
        <v>0</v>
      </c>
      <c r="AV49" s="39">
        <v>0</v>
      </c>
      <c r="AW49" s="39">
        <v>0</v>
      </c>
      <c r="AX49" s="36">
        <v>0</v>
      </c>
      <c r="AY49" s="36">
        <v>0</v>
      </c>
      <c r="AZ49" s="36">
        <v>0</v>
      </c>
      <c r="BA49" s="36">
        <v>0</v>
      </c>
      <c r="BB49" s="39">
        <v>0</v>
      </c>
      <c r="BC49" s="39">
        <v>0</v>
      </c>
      <c r="BD49" s="37" t="s">
        <v>111</v>
      </c>
      <c r="BE49" s="37" t="s">
        <v>111</v>
      </c>
      <c r="BF49" s="37">
        <v>0.98571428571428577</v>
      </c>
    </row>
    <row r="50" spans="1:58" ht="19.5" customHeight="1">
      <c r="A50" s="40">
        <v>47</v>
      </c>
      <c r="B50" s="35" t="s">
        <v>110</v>
      </c>
      <c r="C50" s="41">
        <v>46152</v>
      </c>
      <c r="D50" s="35" t="s">
        <v>34</v>
      </c>
      <c r="E50" s="35">
        <v>2717</v>
      </c>
      <c r="F50" s="35">
        <v>2470</v>
      </c>
      <c r="G50" s="36">
        <v>0.90909090909090906</v>
      </c>
      <c r="H50" s="35">
        <v>1201</v>
      </c>
      <c r="I50" s="37">
        <v>0.44203165255796828</v>
      </c>
      <c r="J50" s="35">
        <v>2621</v>
      </c>
      <c r="K50" s="35">
        <v>2551</v>
      </c>
      <c r="L50" s="36">
        <v>0.97299999999999998</v>
      </c>
      <c r="M50" s="35">
        <v>10123</v>
      </c>
      <c r="N50" s="35">
        <v>10482</v>
      </c>
      <c r="O50" s="35">
        <v>9960</v>
      </c>
      <c r="P50" s="36">
        <v>0.98389805393658003</v>
      </c>
      <c r="Q50" s="35">
        <v>18</v>
      </c>
      <c r="R50" s="35">
        <v>0</v>
      </c>
      <c r="S50" s="35">
        <v>0</v>
      </c>
      <c r="T50" s="36">
        <v>0</v>
      </c>
      <c r="U50" s="35">
        <v>0</v>
      </c>
      <c r="V50" s="36">
        <v>0</v>
      </c>
      <c r="W50" s="35">
        <v>296</v>
      </c>
      <c r="X50" s="36">
        <v>0.1089436878910563</v>
      </c>
      <c r="Y50" s="35">
        <v>529</v>
      </c>
      <c r="Z50" s="38">
        <v>0.19470003680529999</v>
      </c>
      <c r="AA50" s="35">
        <v>28</v>
      </c>
      <c r="AB50" s="36">
        <v>1.030548398969452E-2</v>
      </c>
      <c r="AC50" s="35">
        <v>270</v>
      </c>
      <c r="AD50" s="36">
        <v>9.9374309900625693E-2</v>
      </c>
      <c r="AE50" s="35">
        <v>43</v>
      </c>
      <c r="AF50" s="36">
        <v>0.15925925925925929</v>
      </c>
      <c r="AG50" s="35">
        <v>263</v>
      </c>
      <c r="AH50" s="36">
        <v>0.97407407407407409</v>
      </c>
      <c r="AI50" s="39">
        <v>264</v>
      </c>
      <c r="AJ50" s="36">
        <v>9.7165991902834009E-2</v>
      </c>
      <c r="AK50" s="39">
        <v>8</v>
      </c>
      <c r="AL50" s="36">
        <v>0.83333333333333337</v>
      </c>
      <c r="AM50" s="39">
        <v>262</v>
      </c>
      <c r="AN50" s="39">
        <v>220</v>
      </c>
      <c r="AO50" s="36">
        <v>8.0971659919028341E-2</v>
      </c>
      <c r="AP50" s="36">
        <v>0.81481481481481477</v>
      </c>
      <c r="AQ50" s="37">
        <v>0.99367088607594933</v>
      </c>
      <c r="AR50" s="39">
        <v>0</v>
      </c>
      <c r="AS50" s="39">
        <v>0</v>
      </c>
      <c r="AT50" s="39">
        <v>56</v>
      </c>
      <c r="AU50" s="39">
        <v>53</v>
      </c>
      <c r="AV50" s="39">
        <v>51</v>
      </c>
      <c r="AW50" s="39">
        <v>33</v>
      </c>
      <c r="AX50" s="36">
        <v>1.9506808980493191E-2</v>
      </c>
      <c r="AY50" s="36">
        <v>1.8770702981229299E-2</v>
      </c>
      <c r="AZ50" s="36">
        <v>1.2145748987854249E-2</v>
      </c>
      <c r="BA50" s="36">
        <v>0.23181818181818181</v>
      </c>
      <c r="BB50" s="39">
        <v>0</v>
      </c>
      <c r="BC50" s="39">
        <v>0</v>
      </c>
      <c r="BD50" s="37">
        <v>0.9642857142857143</v>
      </c>
      <c r="BE50" s="37">
        <v>1</v>
      </c>
      <c r="BF50" s="37" t="s">
        <v>111</v>
      </c>
    </row>
    <row r="51" spans="1:58" ht="19.5" customHeight="1">
      <c r="A51" s="40">
        <v>48</v>
      </c>
      <c r="B51" s="35" t="s">
        <v>110</v>
      </c>
      <c r="C51" s="41">
        <v>46152</v>
      </c>
      <c r="D51" s="35" t="s">
        <v>33</v>
      </c>
      <c r="E51" s="35">
        <v>2199</v>
      </c>
      <c r="F51" s="35">
        <v>2013</v>
      </c>
      <c r="G51" s="36">
        <v>0.91541609822646652</v>
      </c>
      <c r="H51" s="35">
        <v>1090</v>
      </c>
      <c r="I51" s="37">
        <v>0.49567985447930879</v>
      </c>
      <c r="J51" s="35">
        <v>1368</v>
      </c>
      <c r="K51" s="35">
        <v>1319</v>
      </c>
      <c r="L51" s="36">
        <v>0.96399999999999997</v>
      </c>
      <c r="M51" s="35">
        <v>8108</v>
      </c>
      <c r="N51" s="35">
        <v>8395</v>
      </c>
      <c r="O51" s="35">
        <v>7958</v>
      </c>
      <c r="P51" s="36">
        <v>0.98149975333004436</v>
      </c>
      <c r="Q51" s="35">
        <v>34</v>
      </c>
      <c r="R51" s="35">
        <v>0</v>
      </c>
      <c r="S51" s="35">
        <v>0</v>
      </c>
      <c r="T51" s="36">
        <v>0</v>
      </c>
      <c r="U51" s="35">
        <v>0</v>
      </c>
      <c r="V51" s="36">
        <v>0</v>
      </c>
      <c r="W51" s="35">
        <v>298</v>
      </c>
      <c r="X51" s="36">
        <v>0.13551614370168261</v>
      </c>
      <c r="Y51" s="35">
        <v>444</v>
      </c>
      <c r="Z51" s="38">
        <v>0.20190995907230561</v>
      </c>
      <c r="AA51" s="35">
        <v>28</v>
      </c>
      <c r="AB51" s="36">
        <v>1.2733060482037289E-2</v>
      </c>
      <c r="AC51" s="35">
        <v>359</v>
      </c>
      <c r="AD51" s="36">
        <v>0.163256025466121</v>
      </c>
      <c r="AE51" s="35">
        <v>36</v>
      </c>
      <c r="AF51" s="36">
        <v>0.1002785515320334</v>
      </c>
      <c r="AG51" s="35">
        <v>335</v>
      </c>
      <c r="AH51" s="36">
        <v>0.93314763231197773</v>
      </c>
      <c r="AI51" s="39">
        <v>342</v>
      </c>
      <c r="AJ51" s="36">
        <v>0.155525238744884</v>
      </c>
      <c r="AK51" s="39">
        <v>12</v>
      </c>
      <c r="AL51" s="36">
        <v>0.83918128654970758</v>
      </c>
      <c r="AM51" s="39">
        <v>342</v>
      </c>
      <c r="AN51" s="39">
        <v>287</v>
      </c>
      <c r="AO51" s="36">
        <v>0.13051386994088221</v>
      </c>
      <c r="AP51" s="36">
        <v>0.79944289693593318</v>
      </c>
      <c r="AQ51" s="37">
        <v>0.9821428571428571</v>
      </c>
      <c r="AR51" s="39">
        <v>0</v>
      </c>
      <c r="AS51" s="39">
        <v>0</v>
      </c>
      <c r="AT51" s="39">
        <v>57</v>
      </c>
      <c r="AU51" s="39">
        <v>54</v>
      </c>
      <c r="AV51" s="39">
        <v>54</v>
      </c>
      <c r="AW51" s="39">
        <v>24</v>
      </c>
      <c r="AX51" s="36">
        <v>2.4556616643929059E-2</v>
      </c>
      <c r="AY51" s="36">
        <v>2.4556616643929059E-2</v>
      </c>
      <c r="AZ51" s="36">
        <v>1.091405184174625E-2</v>
      </c>
      <c r="BA51" s="36">
        <v>0.1881533101045296</v>
      </c>
      <c r="BB51" s="39">
        <v>0</v>
      </c>
      <c r="BC51" s="39">
        <v>0</v>
      </c>
      <c r="BD51" s="37">
        <v>0.97619047619047616</v>
      </c>
      <c r="BE51" s="37">
        <v>1</v>
      </c>
      <c r="BF51" s="37" t="s">
        <v>111</v>
      </c>
    </row>
    <row r="52" spans="1:58" ht="19.5" customHeight="1">
      <c r="A52" s="40">
        <v>49</v>
      </c>
      <c r="B52" s="35" t="s">
        <v>110</v>
      </c>
      <c r="C52" s="41">
        <v>46152</v>
      </c>
      <c r="D52" s="35" t="s">
        <v>36</v>
      </c>
      <c r="E52" s="35">
        <v>6720</v>
      </c>
      <c r="F52" s="35">
        <v>5960</v>
      </c>
      <c r="G52" s="36">
        <v>0.88690476190476186</v>
      </c>
      <c r="H52" s="35">
        <v>1582</v>
      </c>
      <c r="I52" s="37">
        <v>0.23541666666666669</v>
      </c>
      <c r="J52" s="35">
        <v>3544</v>
      </c>
      <c r="K52" s="35">
        <v>3429</v>
      </c>
      <c r="L52" s="36">
        <v>0.96799999999999997</v>
      </c>
      <c r="M52" s="35">
        <v>24479</v>
      </c>
      <c r="N52" s="35">
        <v>25217</v>
      </c>
      <c r="O52" s="35">
        <v>24101</v>
      </c>
      <c r="P52" s="36">
        <v>0.98455819273663137</v>
      </c>
      <c r="Q52" s="35">
        <v>52</v>
      </c>
      <c r="R52" s="35">
        <v>0</v>
      </c>
      <c r="S52" s="35">
        <v>0</v>
      </c>
      <c r="T52" s="36">
        <v>0</v>
      </c>
      <c r="U52" s="35">
        <v>0</v>
      </c>
      <c r="V52" s="36">
        <v>0</v>
      </c>
      <c r="W52" s="35">
        <v>771</v>
      </c>
      <c r="X52" s="36">
        <v>0.11473214285714289</v>
      </c>
      <c r="Y52" s="35">
        <v>2653</v>
      </c>
      <c r="Z52" s="38">
        <v>0.39479166666666671</v>
      </c>
      <c r="AA52" s="35">
        <v>104</v>
      </c>
      <c r="AB52" s="36">
        <v>1.547619047619048E-2</v>
      </c>
      <c r="AC52" s="35">
        <v>1404</v>
      </c>
      <c r="AD52" s="36">
        <v>0.20892857142857141</v>
      </c>
      <c r="AE52" s="35">
        <v>264</v>
      </c>
      <c r="AF52" s="36">
        <v>0.188034188034188</v>
      </c>
      <c r="AG52" s="35">
        <v>1340</v>
      </c>
      <c r="AH52" s="36">
        <v>0.95441595441595439</v>
      </c>
      <c r="AI52" s="39">
        <v>1394</v>
      </c>
      <c r="AJ52" s="36">
        <v>0.2074404761904762</v>
      </c>
      <c r="AK52" s="39">
        <v>23</v>
      </c>
      <c r="AL52" s="36">
        <v>0.90315638450502156</v>
      </c>
      <c r="AM52" s="39">
        <v>1385</v>
      </c>
      <c r="AN52" s="39">
        <v>1259</v>
      </c>
      <c r="AO52" s="36">
        <v>0.1873511904761905</v>
      </c>
      <c r="AP52" s="36">
        <v>0.89672364672364668</v>
      </c>
      <c r="AQ52" s="37">
        <v>0.96355140186915889</v>
      </c>
      <c r="AR52" s="39">
        <v>0</v>
      </c>
      <c r="AS52" s="39">
        <v>0</v>
      </c>
      <c r="AT52" s="39">
        <v>200</v>
      </c>
      <c r="AU52" s="39">
        <v>187</v>
      </c>
      <c r="AV52" s="39">
        <v>185</v>
      </c>
      <c r="AW52" s="39">
        <v>100</v>
      </c>
      <c r="AX52" s="36">
        <v>2.7827380952380951E-2</v>
      </c>
      <c r="AY52" s="36">
        <v>2.7529761904761901E-2</v>
      </c>
      <c r="AZ52" s="36">
        <v>1.488095238095238E-2</v>
      </c>
      <c r="BA52" s="36">
        <v>0.14694201747418589</v>
      </c>
      <c r="BB52" s="39">
        <v>0</v>
      </c>
      <c r="BC52" s="39">
        <v>2</v>
      </c>
      <c r="BD52" s="37">
        <v>0.96170212765957441</v>
      </c>
      <c r="BE52" s="37">
        <v>1</v>
      </c>
      <c r="BF52" s="37" t="s">
        <v>111</v>
      </c>
    </row>
    <row r="53" spans="1:58" ht="19.5" customHeight="1">
      <c r="A53" s="40">
        <v>50</v>
      </c>
      <c r="B53" s="35" t="s">
        <v>110</v>
      </c>
      <c r="C53" s="41">
        <v>46152</v>
      </c>
      <c r="D53" s="35" t="s">
        <v>35</v>
      </c>
      <c r="E53" s="35">
        <v>2931</v>
      </c>
      <c r="F53" s="35">
        <v>2684</v>
      </c>
      <c r="G53" s="36">
        <v>0.91572842033435686</v>
      </c>
      <c r="H53" s="35">
        <v>1544</v>
      </c>
      <c r="I53" s="37">
        <v>0.52678266803138862</v>
      </c>
      <c r="J53" s="35">
        <v>2882</v>
      </c>
      <c r="K53" s="35">
        <v>2826</v>
      </c>
      <c r="L53" s="36">
        <v>0.98099999999999998</v>
      </c>
      <c r="M53" s="35">
        <v>16534</v>
      </c>
      <c r="N53" s="35">
        <v>16763</v>
      </c>
      <c r="O53" s="35">
        <v>16358</v>
      </c>
      <c r="P53" s="36">
        <v>0.98935526793274464</v>
      </c>
      <c r="Q53" s="35">
        <v>28</v>
      </c>
      <c r="R53" s="35">
        <v>0</v>
      </c>
      <c r="S53" s="35">
        <v>0</v>
      </c>
      <c r="T53" s="36">
        <v>0</v>
      </c>
      <c r="U53" s="35">
        <v>0</v>
      </c>
      <c r="V53" s="36">
        <v>0</v>
      </c>
      <c r="W53" s="35">
        <v>382</v>
      </c>
      <c r="X53" s="36">
        <v>0.130330945069942</v>
      </c>
      <c r="Y53" s="35">
        <v>665</v>
      </c>
      <c r="Z53" s="38">
        <v>0.22688502217673151</v>
      </c>
      <c r="AA53" s="35">
        <v>78</v>
      </c>
      <c r="AB53" s="36">
        <v>2.6612077789150462E-2</v>
      </c>
      <c r="AC53" s="35">
        <v>545</v>
      </c>
      <c r="AD53" s="36">
        <v>0.1859433640395769</v>
      </c>
      <c r="AE53" s="35">
        <v>70</v>
      </c>
      <c r="AF53" s="36">
        <v>0.1284403669724771</v>
      </c>
      <c r="AG53" s="35">
        <v>522</v>
      </c>
      <c r="AH53" s="36">
        <v>0.95779816513761473</v>
      </c>
      <c r="AI53" s="39">
        <v>575</v>
      </c>
      <c r="AJ53" s="36">
        <v>0.19617877857386559</v>
      </c>
      <c r="AK53" s="39">
        <v>12</v>
      </c>
      <c r="AL53" s="36">
        <v>0.94956521739130439</v>
      </c>
      <c r="AM53" s="39">
        <v>571</v>
      </c>
      <c r="AN53" s="39">
        <v>546</v>
      </c>
      <c r="AO53" s="36">
        <v>0.18628454452405321</v>
      </c>
      <c r="AP53" s="36">
        <v>1.001834862385321</v>
      </c>
      <c r="AQ53" s="37">
        <v>0.98097826086956519</v>
      </c>
      <c r="AR53" s="39">
        <v>0</v>
      </c>
      <c r="AS53" s="39">
        <v>0</v>
      </c>
      <c r="AT53" s="39">
        <v>74</v>
      </c>
      <c r="AU53" s="39">
        <v>74</v>
      </c>
      <c r="AV53" s="39">
        <v>72</v>
      </c>
      <c r="AW53" s="39">
        <v>44</v>
      </c>
      <c r="AX53" s="36">
        <v>2.5247355851245309E-2</v>
      </c>
      <c r="AY53" s="36">
        <v>2.4564994882292732E-2</v>
      </c>
      <c r="AZ53" s="36">
        <v>1.501194131695667E-2</v>
      </c>
      <c r="BA53" s="36">
        <v>0.1318681318681319</v>
      </c>
      <c r="BB53" s="39">
        <v>0</v>
      </c>
      <c r="BC53" s="39">
        <v>0</v>
      </c>
      <c r="BD53" s="37">
        <v>0.98717948717948723</v>
      </c>
      <c r="BE53" s="37">
        <v>1</v>
      </c>
      <c r="BF53" s="37" t="s">
        <v>111</v>
      </c>
    </row>
    <row r="54" spans="1:58" ht="19.5" customHeight="1">
      <c r="A54" s="40">
        <v>51</v>
      </c>
      <c r="B54" s="35" t="s">
        <v>110</v>
      </c>
      <c r="C54" s="41">
        <v>46153</v>
      </c>
      <c r="D54" s="35"/>
      <c r="E54" s="35">
        <v>73</v>
      </c>
      <c r="F54" s="35">
        <v>73</v>
      </c>
      <c r="G54" s="36">
        <v>1</v>
      </c>
      <c r="H54" s="35">
        <v>73</v>
      </c>
      <c r="I54" s="37">
        <v>1</v>
      </c>
      <c r="J54" s="35">
        <v>0</v>
      </c>
      <c r="K54" s="35">
        <v>0</v>
      </c>
      <c r="L54" s="36">
        <v>0</v>
      </c>
      <c r="M54" s="35">
        <v>5</v>
      </c>
      <c r="N54" s="35">
        <v>2</v>
      </c>
      <c r="O54" s="35">
        <v>2</v>
      </c>
      <c r="P54" s="36">
        <v>0.4</v>
      </c>
      <c r="Q54" s="35">
        <v>3</v>
      </c>
      <c r="R54" s="35">
        <v>0</v>
      </c>
      <c r="S54" s="35">
        <v>0</v>
      </c>
      <c r="T54" s="36">
        <v>0</v>
      </c>
      <c r="U54" s="35">
        <v>0</v>
      </c>
      <c r="V54" s="36">
        <v>0</v>
      </c>
      <c r="W54" s="35">
        <v>21</v>
      </c>
      <c r="X54" s="36">
        <v>0.28767123287671231</v>
      </c>
      <c r="Y54" s="35">
        <v>67</v>
      </c>
      <c r="Z54" s="38">
        <v>0.9178082191780822</v>
      </c>
      <c r="AA54" s="35">
        <v>0</v>
      </c>
      <c r="AB54" s="36">
        <v>0</v>
      </c>
      <c r="AC54" s="35">
        <v>0</v>
      </c>
      <c r="AD54" s="36">
        <v>0</v>
      </c>
      <c r="AE54" s="35">
        <v>0</v>
      </c>
      <c r="AF54" s="36">
        <v>0</v>
      </c>
      <c r="AG54" s="35">
        <v>0</v>
      </c>
      <c r="AH54" s="36">
        <v>0</v>
      </c>
      <c r="AI54" s="39">
        <v>0</v>
      </c>
      <c r="AJ54" s="36">
        <v>0</v>
      </c>
      <c r="AK54" s="39">
        <v>0</v>
      </c>
      <c r="AL54" s="36">
        <v>0</v>
      </c>
      <c r="AM54" s="39">
        <v>0</v>
      </c>
      <c r="AN54" s="39">
        <v>0</v>
      </c>
      <c r="AO54" s="36">
        <v>0</v>
      </c>
      <c r="AP54" s="36">
        <v>0</v>
      </c>
      <c r="AQ54" s="37">
        <v>0</v>
      </c>
      <c r="AR54" s="39">
        <v>0</v>
      </c>
      <c r="AS54" s="39">
        <v>0</v>
      </c>
      <c r="AT54" s="39">
        <v>0</v>
      </c>
      <c r="AU54" s="39">
        <v>0</v>
      </c>
      <c r="AV54" s="39">
        <v>0</v>
      </c>
      <c r="AW54" s="39">
        <v>0</v>
      </c>
      <c r="AX54" s="36">
        <v>0</v>
      </c>
      <c r="AY54" s="36">
        <v>0</v>
      </c>
      <c r="AZ54" s="36">
        <v>0</v>
      </c>
      <c r="BA54" s="36">
        <v>0</v>
      </c>
      <c r="BB54" s="39">
        <v>0</v>
      </c>
      <c r="BC54" s="39">
        <v>0</v>
      </c>
      <c r="BD54" s="37" t="s">
        <v>111</v>
      </c>
      <c r="BE54" s="37" t="s">
        <v>111</v>
      </c>
      <c r="BF54" s="37">
        <v>0.97499999999999998</v>
      </c>
    </row>
    <row r="55" spans="1:58" ht="19.5" customHeight="1">
      <c r="A55" s="40">
        <v>52</v>
      </c>
      <c r="B55" s="35" t="s">
        <v>110</v>
      </c>
      <c r="C55" s="41">
        <v>46153</v>
      </c>
      <c r="D55" s="35" t="s">
        <v>34</v>
      </c>
      <c r="E55" s="35">
        <v>2865</v>
      </c>
      <c r="F55" s="35">
        <v>2625</v>
      </c>
      <c r="G55" s="36">
        <v>0.91623036649214662</v>
      </c>
      <c r="H55" s="35">
        <v>1007</v>
      </c>
      <c r="I55" s="37">
        <v>0.35148342059336818</v>
      </c>
      <c r="J55" s="35">
        <v>1925</v>
      </c>
      <c r="K55" s="35">
        <v>1873</v>
      </c>
      <c r="L55" s="36">
        <v>0.97299999999999998</v>
      </c>
      <c r="M55" s="35">
        <v>10038</v>
      </c>
      <c r="N55" s="35">
        <v>9896</v>
      </c>
      <c r="O55" s="35">
        <v>9914</v>
      </c>
      <c r="P55" s="36">
        <v>0.98764694162183697</v>
      </c>
      <c r="Q55" s="35">
        <v>19</v>
      </c>
      <c r="R55" s="35">
        <v>0</v>
      </c>
      <c r="S55" s="35">
        <v>0</v>
      </c>
      <c r="T55" s="36">
        <v>0</v>
      </c>
      <c r="U55" s="35">
        <v>0</v>
      </c>
      <c r="V55" s="36">
        <v>0</v>
      </c>
      <c r="W55" s="35">
        <v>219</v>
      </c>
      <c r="X55" s="36">
        <v>7.6439790575916225E-2</v>
      </c>
      <c r="Y55" s="35">
        <v>749</v>
      </c>
      <c r="Z55" s="38">
        <v>0.26143106457242582</v>
      </c>
      <c r="AA55" s="35">
        <v>32</v>
      </c>
      <c r="AB55" s="36">
        <v>1.1169284467713789E-2</v>
      </c>
      <c r="AC55" s="35">
        <v>162</v>
      </c>
      <c r="AD55" s="36">
        <v>5.654450261780105E-2</v>
      </c>
      <c r="AE55" s="35">
        <v>38</v>
      </c>
      <c r="AF55" s="36">
        <v>0.23456790123456789</v>
      </c>
      <c r="AG55" s="35">
        <v>155</v>
      </c>
      <c r="AH55" s="36">
        <v>0.95679012345679015</v>
      </c>
      <c r="AI55" s="39">
        <v>159</v>
      </c>
      <c r="AJ55" s="36">
        <v>5.549738219895288E-2</v>
      </c>
      <c r="AK55" s="39">
        <v>6</v>
      </c>
      <c r="AL55" s="36">
        <v>0.84905660377358494</v>
      </c>
      <c r="AM55" s="39">
        <v>158</v>
      </c>
      <c r="AN55" s="39">
        <v>135</v>
      </c>
      <c r="AO55" s="36">
        <v>4.712041884816754E-2</v>
      </c>
      <c r="AP55" s="36">
        <v>0.83333333333333337</v>
      </c>
      <c r="AQ55" s="37">
        <v>0.98015873015873012</v>
      </c>
      <c r="AR55" s="39">
        <v>0</v>
      </c>
      <c r="AS55" s="39">
        <v>0</v>
      </c>
      <c r="AT55" s="39">
        <v>44</v>
      </c>
      <c r="AU55" s="39">
        <v>40</v>
      </c>
      <c r="AV55" s="39">
        <v>40</v>
      </c>
      <c r="AW55" s="39">
        <v>35</v>
      </c>
      <c r="AX55" s="36">
        <v>1.3961605584642231E-2</v>
      </c>
      <c r="AY55" s="36">
        <v>1.3961605584642231E-2</v>
      </c>
      <c r="AZ55" s="36">
        <v>1.2216404886561951E-2</v>
      </c>
      <c r="BA55" s="36">
        <v>0.29629629629629628</v>
      </c>
      <c r="BB55" s="39">
        <v>0</v>
      </c>
      <c r="BC55" s="39">
        <v>0</v>
      </c>
      <c r="BD55" s="37">
        <v>1</v>
      </c>
      <c r="BE55" s="37">
        <v>1</v>
      </c>
      <c r="BF55" s="37" t="s">
        <v>111</v>
      </c>
    </row>
    <row r="56" spans="1:58" ht="19.5" customHeight="1">
      <c r="A56" s="40">
        <v>53</v>
      </c>
      <c r="B56" s="35" t="s">
        <v>110</v>
      </c>
      <c r="C56" s="41">
        <v>46153</v>
      </c>
      <c r="D56" s="35" t="s">
        <v>33</v>
      </c>
      <c r="E56" s="35">
        <v>1843</v>
      </c>
      <c r="F56" s="35">
        <v>1701</v>
      </c>
      <c r="G56" s="36">
        <v>0.92295170916983182</v>
      </c>
      <c r="H56" s="35">
        <v>849</v>
      </c>
      <c r="I56" s="37">
        <v>0.46066196418882249</v>
      </c>
      <c r="J56" s="35">
        <v>1782</v>
      </c>
      <c r="K56" s="35">
        <v>1733</v>
      </c>
      <c r="L56" s="36">
        <v>0.97299999999999998</v>
      </c>
      <c r="M56" s="35">
        <v>8986</v>
      </c>
      <c r="N56" s="35">
        <v>8772</v>
      </c>
      <c r="O56" s="35">
        <v>8851</v>
      </c>
      <c r="P56" s="36">
        <v>0.98497663031382154</v>
      </c>
      <c r="Q56" s="35">
        <v>32</v>
      </c>
      <c r="R56" s="35">
        <v>0</v>
      </c>
      <c r="S56" s="35">
        <v>0</v>
      </c>
      <c r="T56" s="36">
        <v>0</v>
      </c>
      <c r="U56" s="35">
        <v>0</v>
      </c>
      <c r="V56" s="36">
        <v>0</v>
      </c>
      <c r="W56" s="35">
        <v>282</v>
      </c>
      <c r="X56" s="36">
        <v>0.15301139446554529</v>
      </c>
      <c r="Y56" s="35">
        <v>641</v>
      </c>
      <c r="Z56" s="38">
        <v>0.34780249593054802</v>
      </c>
      <c r="AA56" s="35">
        <v>18</v>
      </c>
      <c r="AB56" s="36">
        <v>9.7666847531199131E-3</v>
      </c>
      <c r="AC56" s="35">
        <v>178</v>
      </c>
      <c r="AD56" s="36">
        <v>9.6581660336408026E-2</v>
      </c>
      <c r="AE56" s="35">
        <v>39</v>
      </c>
      <c r="AF56" s="36">
        <v>0.2191011235955056</v>
      </c>
      <c r="AG56" s="35">
        <v>161</v>
      </c>
      <c r="AH56" s="36">
        <v>0.9044943820224719</v>
      </c>
      <c r="AI56" s="39">
        <v>163</v>
      </c>
      <c r="AJ56" s="36">
        <v>8.8442756375474774E-2</v>
      </c>
      <c r="AK56" s="39">
        <v>10</v>
      </c>
      <c r="AL56" s="36">
        <v>0.85276073619631898</v>
      </c>
      <c r="AM56" s="39">
        <v>163</v>
      </c>
      <c r="AN56" s="39">
        <v>139</v>
      </c>
      <c r="AO56" s="36">
        <v>7.5420510037981559E-2</v>
      </c>
      <c r="AP56" s="36">
        <v>0.7808988764044944</v>
      </c>
      <c r="AQ56" s="37">
        <v>0.9673202614379085</v>
      </c>
      <c r="AR56" s="39">
        <v>0</v>
      </c>
      <c r="AS56" s="39">
        <v>0</v>
      </c>
      <c r="AT56" s="39">
        <v>39</v>
      </c>
      <c r="AU56" s="39">
        <v>34</v>
      </c>
      <c r="AV56" s="39">
        <v>35</v>
      </c>
      <c r="AW56" s="39">
        <v>39</v>
      </c>
      <c r="AX56" s="36">
        <v>1.8448182311448721E-2</v>
      </c>
      <c r="AY56" s="36">
        <v>1.8990775908844279E-2</v>
      </c>
      <c r="AZ56" s="36">
        <v>2.1161150298426482E-2</v>
      </c>
      <c r="BA56" s="36">
        <v>0.25179856115107913</v>
      </c>
      <c r="BB56" s="39">
        <v>0</v>
      </c>
      <c r="BC56" s="39">
        <v>0</v>
      </c>
      <c r="BD56" s="37">
        <v>1</v>
      </c>
      <c r="BE56" s="37">
        <v>1</v>
      </c>
      <c r="BF56" s="37" t="s">
        <v>111</v>
      </c>
    </row>
    <row r="57" spans="1:58" ht="19.5" customHeight="1">
      <c r="A57" s="40">
        <v>54</v>
      </c>
      <c r="B57" s="35" t="s">
        <v>110</v>
      </c>
      <c r="C57" s="41">
        <v>46153</v>
      </c>
      <c r="D57" s="35" t="s">
        <v>36</v>
      </c>
      <c r="E57" s="35">
        <v>5518</v>
      </c>
      <c r="F57" s="35">
        <v>4860</v>
      </c>
      <c r="G57" s="36">
        <v>0.88075389633925338</v>
      </c>
      <c r="H57" s="35">
        <v>1484</v>
      </c>
      <c r="I57" s="37">
        <v>0.26893802102210951</v>
      </c>
      <c r="J57" s="35">
        <v>4056</v>
      </c>
      <c r="K57" s="35">
        <v>3974</v>
      </c>
      <c r="L57" s="36">
        <v>0.98</v>
      </c>
      <c r="M57" s="35">
        <v>25463</v>
      </c>
      <c r="N57" s="35">
        <v>24000</v>
      </c>
      <c r="O57" s="35">
        <v>25194</v>
      </c>
      <c r="P57" s="36">
        <v>0.98943565172996117</v>
      </c>
      <c r="Q57" s="35">
        <v>54</v>
      </c>
      <c r="R57" s="35">
        <v>0</v>
      </c>
      <c r="S57" s="35">
        <v>0</v>
      </c>
      <c r="T57" s="36">
        <v>0</v>
      </c>
      <c r="U57" s="35">
        <v>0</v>
      </c>
      <c r="V57" s="36">
        <v>0</v>
      </c>
      <c r="W57" s="35">
        <v>680</v>
      </c>
      <c r="X57" s="36">
        <v>0.12323305545487501</v>
      </c>
      <c r="Y57" s="35">
        <v>1817</v>
      </c>
      <c r="Z57" s="38">
        <v>0.32928597317868791</v>
      </c>
      <c r="AA57" s="35">
        <v>80</v>
      </c>
      <c r="AB57" s="36">
        <v>1.4498006524102941E-2</v>
      </c>
      <c r="AC57" s="35">
        <v>793</v>
      </c>
      <c r="AD57" s="36">
        <v>0.14371148967017039</v>
      </c>
      <c r="AE57" s="35">
        <v>193</v>
      </c>
      <c r="AF57" s="36">
        <v>0.24337957124842369</v>
      </c>
      <c r="AG57" s="35">
        <v>747</v>
      </c>
      <c r="AH57" s="36">
        <v>0.94199243379571251</v>
      </c>
      <c r="AI57" s="39">
        <v>826</v>
      </c>
      <c r="AJ57" s="36">
        <v>0.14969191736136281</v>
      </c>
      <c r="AK57" s="39">
        <v>15</v>
      </c>
      <c r="AL57" s="36">
        <v>0.90920096852300247</v>
      </c>
      <c r="AM57" s="39">
        <v>825</v>
      </c>
      <c r="AN57" s="39">
        <v>751</v>
      </c>
      <c r="AO57" s="36">
        <v>0.13610003624501629</v>
      </c>
      <c r="AP57" s="36">
        <v>0.94703656998738961</v>
      </c>
      <c r="AQ57" s="37">
        <v>0.97687861271676302</v>
      </c>
      <c r="AR57" s="39">
        <v>0</v>
      </c>
      <c r="AS57" s="39">
        <v>0</v>
      </c>
      <c r="AT57" s="39">
        <v>80</v>
      </c>
      <c r="AU57" s="39">
        <v>64</v>
      </c>
      <c r="AV57" s="39">
        <v>74</v>
      </c>
      <c r="AW57" s="39">
        <v>175</v>
      </c>
      <c r="AX57" s="36">
        <v>1.159840521928235E-2</v>
      </c>
      <c r="AY57" s="36">
        <v>1.341065603479522E-2</v>
      </c>
      <c r="AZ57" s="36">
        <v>3.1714389271475171E-2</v>
      </c>
      <c r="BA57" s="36">
        <v>9.8535286284953394E-2</v>
      </c>
      <c r="BB57" s="39">
        <v>0</v>
      </c>
      <c r="BC57" s="39">
        <v>0</v>
      </c>
      <c r="BD57" s="37">
        <v>0.97575757575757571</v>
      </c>
      <c r="BE57" s="37">
        <v>1</v>
      </c>
      <c r="BF57" s="37" t="s">
        <v>111</v>
      </c>
    </row>
    <row r="58" spans="1:58" ht="19.5" customHeight="1">
      <c r="A58" s="40">
        <v>55</v>
      </c>
      <c r="B58" s="35" t="s">
        <v>110</v>
      </c>
      <c r="C58" s="41">
        <v>46153</v>
      </c>
      <c r="D58" s="35" t="s">
        <v>35</v>
      </c>
      <c r="E58" s="35">
        <v>2963</v>
      </c>
      <c r="F58" s="35">
        <v>2725</v>
      </c>
      <c r="G58" s="36">
        <v>0.91967600404994942</v>
      </c>
      <c r="H58" s="35">
        <v>1539</v>
      </c>
      <c r="I58" s="37">
        <v>0.51940600742490717</v>
      </c>
      <c r="J58" s="35">
        <v>2540</v>
      </c>
      <c r="K58" s="35">
        <v>2486</v>
      </c>
      <c r="L58" s="36">
        <v>0.97899999999999998</v>
      </c>
      <c r="M58" s="35">
        <v>15392</v>
      </c>
      <c r="N58" s="35">
        <v>15519</v>
      </c>
      <c r="O58" s="35">
        <v>15177</v>
      </c>
      <c r="P58" s="36">
        <v>0.98603170478170477</v>
      </c>
      <c r="Q58" s="35">
        <v>37</v>
      </c>
      <c r="R58" s="35">
        <v>0</v>
      </c>
      <c r="S58" s="35">
        <v>0</v>
      </c>
      <c r="T58" s="36">
        <v>0</v>
      </c>
      <c r="U58" s="35">
        <v>0</v>
      </c>
      <c r="V58" s="36">
        <v>0</v>
      </c>
      <c r="W58" s="35">
        <v>286</v>
      </c>
      <c r="X58" s="36">
        <v>9.6523793452581844E-2</v>
      </c>
      <c r="Y58" s="35">
        <v>903</v>
      </c>
      <c r="Z58" s="38">
        <v>0.30475869051636861</v>
      </c>
      <c r="AA58" s="35">
        <v>63</v>
      </c>
      <c r="AB58" s="36">
        <v>2.126223422207222E-2</v>
      </c>
      <c r="AC58" s="35">
        <v>372</v>
      </c>
      <c r="AD58" s="36">
        <v>0.1255484306446169</v>
      </c>
      <c r="AE58" s="35">
        <v>55</v>
      </c>
      <c r="AF58" s="36">
        <v>0.14784946236559141</v>
      </c>
      <c r="AG58" s="35">
        <v>350</v>
      </c>
      <c r="AH58" s="36">
        <v>0.94086021505376349</v>
      </c>
      <c r="AI58" s="39">
        <v>372</v>
      </c>
      <c r="AJ58" s="36">
        <v>0.1255484306446169</v>
      </c>
      <c r="AK58" s="39">
        <v>18</v>
      </c>
      <c r="AL58" s="36">
        <v>0.94354838709677424</v>
      </c>
      <c r="AM58" s="39">
        <v>371</v>
      </c>
      <c r="AN58" s="39">
        <v>351</v>
      </c>
      <c r="AO58" s="36">
        <v>0.1184610192372595</v>
      </c>
      <c r="AP58" s="36">
        <v>0.94354838709677424</v>
      </c>
      <c r="AQ58" s="37">
        <v>0.96532846715328469</v>
      </c>
      <c r="AR58" s="39">
        <v>0</v>
      </c>
      <c r="AS58" s="39">
        <v>0</v>
      </c>
      <c r="AT58" s="39">
        <v>45</v>
      </c>
      <c r="AU58" s="39">
        <v>40</v>
      </c>
      <c r="AV58" s="39">
        <v>42</v>
      </c>
      <c r="AW58" s="39">
        <v>68</v>
      </c>
      <c r="AX58" s="36">
        <v>1.3499831252109349E-2</v>
      </c>
      <c r="AY58" s="36">
        <v>1.417482281471482E-2</v>
      </c>
      <c r="AZ58" s="36">
        <v>2.2949713128585889E-2</v>
      </c>
      <c r="BA58" s="36">
        <v>0.1196581196581197</v>
      </c>
      <c r="BB58" s="39">
        <v>0</v>
      </c>
      <c r="BC58" s="39">
        <v>0</v>
      </c>
      <c r="BD58" s="37">
        <v>1</v>
      </c>
      <c r="BE58" s="37">
        <v>1</v>
      </c>
      <c r="BF58" s="37" t="s">
        <v>111</v>
      </c>
    </row>
    <row r="59" spans="1:58" ht="19.5" customHeight="1">
      <c r="A59" s="40">
        <v>56</v>
      </c>
      <c r="B59" s="35" t="s">
        <v>110</v>
      </c>
      <c r="C59" s="41">
        <v>46154</v>
      </c>
      <c r="D59" s="35"/>
      <c r="E59" s="35">
        <v>62</v>
      </c>
      <c r="F59" s="35">
        <v>62</v>
      </c>
      <c r="G59" s="36">
        <v>1</v>
      </c>
      <c r="H59" s="35">
        <v>62</v>
      </c>
      <c r="I59" s="37">
        <v>1</v>
      </c>
      <c r="J59" s="35">
        <v>0</v>
      </c>
      <c r="K59" s="35">
        <v>0</v>
      </c>
      <c r="L59" s="36">
        <v>0</v>
      </c>
      <c r="M59" s="35">
        <v>2</v>
      </c>
      <c r="N59" s="35">
        <v>2</v>
      </c>
      <c r="O59" s="35">
        <v>2</v>
      </c>
      <c r="P59" s="36">
        <v>1</v>
      </c>
      <c r="Q59" s="35">
        <v>0</v>
      </c>
      <c r="R59" s="35">
        <v>0</v>
      </c>
      <c r="S59" s="35">
        <v>0</v>
      </c>
      <c r="T59" s="36">
        <v>0</v>
      </c>
      <c r="U59" s="35">
        <v>0</v>
      </c>
      <c r="V59" s="36">
        <v>0</v>
      </c>
      <c r="W59" s="35">
        <v>17</v>
      </c>
      <c r="X59" s="36">
        <v>0.27419354838709681</v>
      </c>
      <c r="Y59" s="35">
        <v>48</v>
      </c>
      <c r="Z59" s="38">
        <v>0.77419354838709675</v>
      </c>
      <c r="AA59" s="35">
        <v>0</v>
      </c>
      <c r="AB59" s="36">
        <v>0</v>
      </c>
      <c r="AC59" s="35">
        <v>0</v>
      </c>
      <c r="AD59" s="36">
        <v>0</v>
      </c>
      <c r="AE59" s="35">
        <v>0</v>
      </c>
      <c r="AF59" s="36">
        <v>0</v>
      </c>
      <c r="AG59" s="35">
        <v>0</v>
      </c>
      <c r="AH59" s="36">
        <v>0</v>
      </c>
      <c r="AI59" s="39">
        <v>0</v>
      </c>
      <c r="AJ59" s="36">
        <v>0</v>
      </c>
      <c r="AK59" s="39">
        <v>0</v>
      </c>
      <c r="AL59" s="36">
        <v>0</v>
      </c>
      <c r="AM59" s="39">
        <v>0</v>
      </c>
      <c r="AN59" s="39">
        <v>0</v>
      </c>
      <c r="AO59" s="36">
        <v>0</v>
      </c>
      <c r="AP59" s="36">
        <v>0</v>
      </c>
      <c r="AQ59" s="37"/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6">
        <v>0</v>
      </c>
      <c r="AY59" s="36">
        <v>0</v>
      </c>
      <c r="AZ59" s="36">
        <v>0</v>
      </c>
      <c r="BA59" s="36">
        <v>0</v>
      </c>
      <c r="BB59" s="39">
        <v>0</v>
      </c>
      <c r="BC59" s="39">
        <v>0</v>
      </c>
      <c r="BD59" s="37" t="s">
        <v>111</v>
      </c>
      <c r="BE59" s="37" t="s">
        <v>111</v>
      </c>
      <c r="BF59" s="37">
        <v>1</v>
      </c>
    </row>
    <row r="60" spans="1:58" ht="19.5" customHeight="1">
      <c r="A60" s="40">
        <v>57</v>
      </c>
      <c r="B60" s="35" t="s">
        <v>110</v>
      </c>
      <c r="C60" s="41">
        <v>46154</v>
      </c>
      <c r="D60" s="35" t="s">
        <v>34</v>
      </c>
      <c r="E60" s="35">
        <v>3067</v>
      </c>
      <c r="F60" s="35">
        <v>2776</v>
      </c>
      <c r="G60" s="36">
        <v>0.90511900880339091</v>
      </c>
      <c r="H60" s="35">
        <v>991</v>
      </c>
      <c r="I60" s="37">
        <v>0.32311705249429412</v>
      </c>
      <c r="J60" s="35">
        <v>2162</v>
      </c>
      <c r="K60" s="35">
        <v>2105</v>
      </c>
      <c r="L60" s="36">
        <v>0.97399999999999998</v>
      </c>
      <c r="M60" s="35">
        <v>9509</v>
      </c>
      <c r="N60" s="35">
        <v>9759</v>
      </c>
      <c r="O60" s="35">
        <v>9374</v>
      </c>
      <c r="P60" s="36">
        <v>0.98580292354611421</v>
      </c>
      <c r="Q60" s="35">
        <v>19</v>
      </c>
      <c r="R60" s="35">
        <v>0</v>
      </c>
      <c r="S60" s="35">
        <v>0</v>
      </c>
      <c r="T60" s="36">
        <v>0</v>
      </c>
      <c r="U60" s="35">
        <v>0</v>
      </c>
      <c r="V60" s="36">
        <v>0</v>
      </c>
      <c r="W60" s="35">
        <v>231</v>
      </c>
      <c r="X60" s="36">
        <v>7.5317900228236062E-2</v>
      </c>
      <c r="Y60" s="35">
        <v>747</v>
      </c>
      <c r="Z60" s="38">
        <v>0.24356048255624391</v>
      </c>
      <c r="AA60" s="35">
        <v>32</v>
      </c>
      <c r="AB60" s="36">
        <v>1.04336485164656E-2</v>
      </c>
      <c r="AC60" s="35">
        <v>167</v>
      </c>
      <c r="AD60" s="36">
        <v>5.4450603195304863E-2</v>
      </c>
      <c r="AE60" s="35">
        <v>29</v>
      </c>
      <c r="AF60" s="36">
        <v>0.17365269461077851</v>
      </c>
      <c r="AG60" s="35">
        <v>156</v>
      </c>
      <c r="AH60" s="36">
        <v>0.93413173652694614</v>
      </c>
      <c r="AI60" s="39">
        <v>163</v>
      </c>
      <c r="AJ60" s="36">
        <v>5.3146397130746648E-2</v>
      </c>
      <c r="AK60" s="39">
        <v>4</v>
      </c>
      <c r="AL60" s="36">
        <v>0.92638036809815949</v>
      </c>
      <c r="AM60" s="39">
        <v>164</v>
      </c>
      <c r="AN60" s="39">
        <v>151</v>
      </c>
      <c r="AO60" s="36">
        <v>4.9233778937072058E-2</v>
      </c>
      <c r="AP60" s="36">
        <v>0.90419161676646709</v>
      </c>
      <c r="AQ60" s="37">
        <v>0.98013245033112584</v>
      </c>
      <c r="AR60" s="39">
        <v>0</v>
      </c>
      <c r="AS60" s="39">
        <v>0</v>
      </c>
      <c r="AT60" s="39">
        <v>47</v>
      </c>
      <c r="AU60" s="39">
        <v>40</v>
      </c>
      <c r="AV60" s="39">
        <v>41</v>
      </c>
      <c r="AW60" s="39">
        <v>57</v>
      </c>
      <c r="AX60" s="36">
        <v>1.3042060645582E-2</v>
      </c>
      <c r="AY60" s="36">
        <v>1.3368112161721551E-2</v>
      </c>
      <c r="AZ60" s="36">
        <v>1.8584936419954349E-2</v>
      </c>
      <c r="BA60" s="36">
        <v>0.27152317880794702</v>
      </c>
      <c r="BB60" s="39">
        <v>0</v>
      </c>
      <c r="BC60" s="39">
        <v>0</v>
      </c>
      <c r="BD60" s="37">
        <v>1</v>
      </c>
      <c r="BE60" s="37">
        <v>1</v>
      </c>
      <c r="BF60" s="37" t="s">
        <v>111</v>
      </c>
    </row>
    <row r="61" spans="1:58" ht="19.5" customHeight="1">
      <c r="A61" s="40">
        <v>58</v>
      </c>
      <c r="B61" s="35" t="s">
        <v>110</v>
      </c>
      <c r="C61" s="41">
        <v>46154</v>
      </c>
      <c r="D61" s="35" t="s">
        <v>33</v>
      </c>
      <c r="E61" s="35">
        <v>2350</v>
      </c>
      <c r="F61" s="35">
        <v>2054</v>
      </c>
      <c r="G61" s="36">
        <v>0.87404255319148938</v>
      </c>
      <c r="H61" s="35">
        <v>1028</v>
      </c>
      <c r="I61" s="37">
        <v>0.43744680851063827</v>
      </c>
      <c r="J61" s="35">
        <v>2001</v>
      </c>
      <c r="K61" s="35">
        <v>1953</v>
      </c>
      <c r="L61" s="36">
        <v>0.97599999999999998</v>
      </c>
      <c r="M61" s="35">
        <v>8908</v>
      </c>
      <c r="N61" s="35">
        <v>8883</v>
      </c>
      <c r="O61" s="35">
        <v>8771</v>
      </c>
      <c r="P61" s="36">
        <v>0.98462056578356538</v>
      </c>
      <c r="Q61" s="35">
        <v>14</v>
      </c>
      <c r="R61" s="35">
        <v>0</v>
      </c>
      <c r="S61" s="35">
        <v>0</v>
      </c>
      <c r="T61" s="36">
        <v>0</v>
      </c>
      <c r="U61" s="35">
        <v>0</v>
      </c>
      <c r="V61" s="36">
        <v>0</v>
      </c>
      <c r="W61" s="35">
        <v>264</v>
      </c>
      <c r="X61" s="36">
        <v>0.11234042553191489</v>
      </c>
      <c r="Y61" s="35">
        <v>907</v>
      </c>
      <c r="Z61" s="38">
        <v>0.38595744680851057</v>
      </c>
      <c r="AA61" s="35">
        <v>19</v>
      </c>
      <c r="AB61" s="36">
        <v>8.0851063829787233E-3</v>
      </c>
      <c r="AC61" s="35">
        <v>160</v>
      </c>
      <c r="AD61" s="36">
        <v>6.8085106382978725E-2</v>
      </c>
      <c r="AE61" s="35">
        <v>33</v>
      </c>
      <c r="AF61" s="36">
        <v>0.20624999999999999</v>
      </c>
      <c r="AG61" s="35">
        <v>154</v>
      </c>
      <c r="AH61" s="36">
        <v>0.96250000000000002</v>
      </c>
      <c r="AI61" s="39">
        <v>141</v>
      </c>
      <c r="AJ61" s="36">
        <v>0.06</v>
      </c>
      <c r="AK61" s="39">
        <v>5</v>
      </c>
      <c r="AL61" s="36">
        <v>0.85815602836879434</v>
      </c>
      <c r="AM61" s="39">
        <v>141</v>
      </c>
      <c r="AN61" s="39">
        <v>121</v>
      </c>
      <c r="AO61" s="36">
        <v>5.1489361702127659E-2</v>
      </c>
      <c r="AP61" s="36">
        <v>0.75624999999999998</v>
      </c>
      <c r="AQ61" s="37">
        <v>0.96250000000000002</v>
      </c>
      <c r="AR61" s="39">
        <v>0</v>
      </c>
      <c r="AS61" s="39">
        <v>0</v>
      </c>
      <c r="AT61" s="39">
        <v>41</v>
      </c>
      <c r="AU61" s="39">
        <v>37</v>
      </c>
      <c r="AV61" s="39">
        <v>34</v>
      </c>
      <c r="AW61" s="39">
        <v>49</v>
      </c>
      <c r="AX61" s="36">
        <v>1.5744680851063831E-2</v>
      </c>
      <c r="AY61" s="36">
        <v>1.4468085106382979E-2</v>
      </c>
      <c r="AZ61" s="36">
        <v>2.0851063829787232E-2</v>
      </c>
      <c r="BA61" s="36">
        <v>0.28099173553719009</v>
      </c>
      <c r="BB61" s="39">
        <v>0</v>
      </c>
      <c r="BC61" s="39">
        <v>0</v>
      </c>
      <c r="BD61" s="37">
        <v>1</v>
      </c>
      <c r="BE61" s="37">
        <v>1</v>
      </c>
      <c r="BF61" s="37" t="s">
        <v>111</v>
      </c>
    </row>
    <row r="62" spans="1:58" ht="19.5" customHeight="1">
      <c r="A62" s="40">
        <v>59</v>
      </c>
      <c r="B62" s="35" t="s">
        <v>110</v>
      </c>
      <c r="C62" s="41">
        <v>46154</v>
      </c>
      <c r="D62" s="35" t="s">
        <v>36</v>
      </c>
      <c r="E62" s="35">
        <v>5839</v>
      </c>
      <c r="F62" s="35">
        <v>5219</v>
      </c>
      <c r="G62" s="36">
        <v>0.89381743449220752</v>
      </c>
      <c r="H62" s="35">
        <v>1450</v>
      </c>
      <c r="I62" s="37">
        <v>0.24833019352628871</v>
      </c>
      <c r="J62" s="35">
        <v>4359</v>
      </c>
      <c r="K62" s="35">
        <v>4256</v>
      </c>
      <c r="L62" s="36">
        <v>0.97599999999999998</v>
      </c>
      <c r="M62" s="35">
        <v>23445</v>
      </c>
      <c r="N62" s="35">
        <v>24080</v>
      </c>
      <c r="O62" s="35">
        <v>23142</v>
      </c>
      <c r="P62" s="36">
        <v>0.98707613563659624</v>
      </c>
      <c r="Q62" s="35">
        <v>33</v>
      </c>
      <c r="R62" s="35">
        <v>0</v>
      </c>
      <c r="S62" s="35">
        <v>0</v>
      </c>
      <c r="T62" s="36">
        <v>0</v>
      </c>
      <c r="U62" s="35">
        <v>0</v>
      </c>
      <c r="V62" s="36">
        <v>0</v>
      </c>
      <c r="W62" s="35">
        <v>491</v>
      </c>
      <c r="X62" s="36">
        <v>8.4089741394074324E-2</v>
      </c>
      <c r="Y62" s="35">
        <v>3814</v>
      </c>
      <c r="Z62" s="38">
        <v>0.65319404007535542</v>
      </c>
      <c r="AA62" s="35">
        <v>60</v>
      </c>
      <c r="AB62" s="36">
        <v>1.0275732145915401E-2</v>
      </c>
      <c r="AC62" s="35">
        <v>861</v>
      </c>
      <c r="AD62" s="36">
        <v>0.14745675629388591</v>
      </c>
      <c r="AE62" s="35">
        <v>185</v>
      </c>
      <c r="AF62" s="36">
        <v>0.21486643437862951</v>
      </c>
      <c r="AG62" s="35">
        <v>810</v>
      </c>
      <c r="AH62" s="36">
        <v>0.94076655052264813</v>
      </c>
      <c r="AI62" s="39">
        <v>890</v>
      </c>
      <c r="AJ62" s="36">
        <v>0.15242336016441169</v>
      </c>
      <c r="AK62" s="39">
        <v>17</v>
      </c>
      <c r="AL62" s="36">
        <v>0.9044943820224719</v>
      </c>
      <c r="AM62" s="39">
        <v>889</v>
      </c>
      <c r="AN62" s="39">
        <v>805</v>
      </c>
      <c r="AO62" s="36">
        <v>0.1378660729576982</v>
      </c>
      <c r="AP62" s="36">
        <v>0.93495934959349591</v>
      </c>
      <c r="AQ62" s="37">
        <v>0.9766584766584766</v>
      </c>
      <c r="AR62" s="39">
        <v>0</v>
      </c>
      <c r="AS62" s="39">
        <v>0</v>
      </c>
      <c r="AT62" s="39">
        <v>128</v>
      </c>
      <c r="AU62" s="39">
        <v>120</v>
      </c>
      <c r="AV62" s="39">
        <v>114</v>
      </c>
      <c r="AW62" s="39">
        <v>166</v>
      </c>
      <c r="AX62" s="36">
        <v>2.0551464291830791E-2</v>
      </c>
      <c r="AY62" s="36">
        <v>1.9523891077239251E-2</v>
      </c>
      <c r="AZ62" s="36">
        <v>2.8429525603699261E-2</v>
      </c>
      <c r="BA62" s="36">
        <v>0.1416149068322981</v>
      </c>
      <c r="BB62" s="39">
        <v>0</v>
      </c>
      <c r="BC62" s="39">
        <v>1</v>
      </c>
      <c r="BD62" s="37">
        <v>0.97931034482758617</v>
      </c>
      <c r="BE62" s="37">
        <v>1</v>
      </c>
      <c r="BF62" s="37" t="s">
        <v>111</v>
      </c>
    </row>
    <row r="63" spans="1:58" ht="19.5" customHeight="1">
      <c r="A63" s="40">
        <v>60</v>
      </c>
      <c r="B63" s="35" t="s">
        <v>110</v>
      </c>
      <c r="C63" s="41">
        <v>46154</v>
      </c>
      <c r="D63" s="35" t="s">
        <v>35</v>
      </c>
      <c r="E63" s="35">
        <v>3143</v>
      </c>
      <c r="F63" s="35">
        <v>2812</v>
      </c>
      <c r="G63" s="36">
        <v>0.8946866051543112</v>
      </c>
      <c r="H63" s="35">
        <v>1424</v>
      </c>
      <c r="I63" s="37">
        <v>0.45307031498568251</v>
      </c>
      <c r="J63" s="35">
        <v>3779</v>
      </c>
      <c r="K63" s="35">
        <v>3703</v>
      </c>
      <c r="L63" s="36">
        <v>0.98</v>
      </c>
      <c r="M63" s="35">
        <v>17277</v>
      </c>
      <c r="N63" s="35">
        <v>16756</v>
      </c>
      <c r="O63" s="35">
        <v>17038</v>
      </c>
      <c r="P63" s="36">
        <v>0.98616657984603806</v>
      </c>
      <c r="Q63" s="35">
        <v>31</v>
      </c>
      <c r="R63" s="35">
        <v>0</v>
      </c>
      <c r="S63" s="35">
        <v>0</v>
      </c>
      <c r="T63" s="36">
        <v>0</v>
      </c>
      <c r="U63" s="35">
        <v>0</v>
      </c>
      <c r="V63" s="36">
        <v>0</v>
      </c>
      <c r="W63" s="35">
        <v>298</v>
      </c>
      <c r="X63" s="36">
        <v>9.4813872096722873E-2</v>
      </c>
      <c r="Y63" s="35">
        <v>883</v>
      </c>
      <c r="Z63" s="38">
        <v>0.28094177537384663</v>
      </c>
      <c r="AA63" s="35">
        <v>64</v>
      </c>
      <c r="AB63" s="36">
        <v>2.0362710785873369E-2</v>
      </c>
      <c r="AC63" s="35">
        <v>353</v>
      </c>
      <c r="AD63" s="36">
        <v>0.1123130766783328</v>
      </c>
      <c r="AE63" s="35">
        <v>58</v>
      </c>
      <c r="AF63" s="36">
        <v>0.1643059490084986</v>
      </c>
      <c r="AG63" s="35">
        <v>339</v>
      </c>
      <c r="AH63" s="36">
        <v>0.96033994334277617</v>
      </c>
      <c r="AI63" s="39">
        <v>368</v>
      </c>
      <c r="AJ63" s="36">
        <v>0.11708558701877191</v>
      </c>
      <c r="AK63" s="39">
        <v>21</v>
      </c>
      <c r="AL63" s="36">
        <v>0.9375</v>
      </c>
      <c r="AM63" s="39">
        <v>367</v>
      </c>
      <c r="AN63" s="39">
        <v>345</v>
      </c>
      <c r="AO63" s="36">
        <v>0.10976773783009861</v>
      </c>
      <c r="AP63" s="36">
        <v>0.97733711048158645</v>
      </c>
      <c r="AQ63" s="37">
        <v>0.9526462395543176</v>
      </c>
      <c r="AR63" s="39">
        <v>0</v>
      </c>
      <c r="AS63" s="39">
        <v>0</v>
      </c>
      <c r="AT63" s="39">
        <v>43</v>
      </c>
      <c r="AU63" s="39">
        <v>39</v>
      </c>
      <c r="AV63" s="39">
        <v>39</v>
      </c>
      <c r="AW63" s="39">
        <v>86</v>
      </c>
      <c r="AX63" s="36">
        <v>1.2408526885141579E-2</v>
      </c>
      <c r="AY63" s="36">
        <v>1.2408526885141579E-2</v>
      </c>
      <c r="AZ63" s="36">
        <v>2.7362392618517341E-2</v>
      </c>
      <c r="BA63" s="36">
        <v>0.11304347826086961</v>
      </c>
      <c r="BB63" s="39">
        <v>0</v>
      </c>
      <c r="BC63" s="39">
        <v>0</v>
      </c>
      <c r="BD63" s="37">
        <v>0.98148148148148151</v>
      </c>
      <c r="BE63" s="37">
        <v>1</v>
      </c>
      <c r="BF63" s="37" t="s">
        <v>111</v>
      </c>
    </row>
    <row r="64" spans="1:58" ht="25.7" customHeight="1">
      <c r="A64" s="40">
        <v>61</v>
      </c>
      <c r="B64" s="35" t="s">
        <v>110</v>
      </c>
      <c r="C64" s="41">
        <v>46155</v>
      </c>
      <c r="D64" s="35"/>
      <c r="E64" s="35">
        <v>48</v>
      </c>
      <c r="F64" s="35">
        <v>48</v>
      </c>
      <c r="G64" s="36">
        <v>1</v>
      </c>
      <c r="H64" s="35">
        <v>48</v>
      </c>
      <c r="I64" s="37">
        <v>1</v>
      </c>
      <c r="J64" s="35">
        <v>0</v>
      </c>
      <c r="K64" s="35">
        <v>0</v>
      </c>
      <c r="L64" s="36">
        <v>0</v>
      </c>
      <c r="M64" s="35">
        <v>2</v>
      </c>
      <c r="N64" s="35">
        <v>3</v>
      </c>
      <c r="O64" s="35">
        <v>2</v>
      </c>
      <c r="P64" s="36">
        <v>1</v>
      </c>
      <c r="Q64" s="35">
        <v>0</v>
      </c>
      <c r="R64" s="35">
        <v>0</v>
      </c>
      <c r="S64" s="35">
        <v>0</v>
      </c>
      <c r="T64" s="36">
        <v>0</v>
      </c>
      <c r="U64" s="35">
        <v>0</v>
      </c>
      <c r="V64" s="36">
        <v>0</v>
      </c>
      <c r="W64" s="35">
        <v>71</v>
      </c>
      <c r="X64" s="36">
        <v>1.479166666666667</v>
      </c>
      <c r="Y64" s="35">
        <v>48</v>
      </c>
      <c r="Z64" s="38">
        <v>1</v>
      </c>
      <c r="AA64" s="35">
        <v>0</v>
      </c>
      <c r="AB64" s="36">
        <v>0</v>
      </c>
      <c r="AC64" s="35">
        <v>0</v>
      </c>
      <c r="AD64" s="36">
        <v>0</v>
      </c>
      <c r="AE64" s="35">
        <v>0</v>
      </c>
      <c r="AF64" s="36">
        <v>0</v>
      </c>
      <c r="AG64" s="35">
        <v>0</v>
      </c>
      <c r="AH64" s="36">
        <v>0</v>
      </c>
      <c r="AI64" s="39">
        <v>0</v>
      </c>
      <c r="AJ64" s="36">
        <v>0</v>
      </c>
      <c r="AK64" s="39">
        <v>0</v>
      </c>
      <c r="AL64" s="36">
        <v>0</v>
      </c>
      <c r="AM64" s="39">
        <v>0</v>
      </c>
      <c r="AN64" s="39">
        <v>0</v>
      </c>
      <c r="AO64" s="36">
        <v>0</v>
      </c>
      <c r="AP64" s="36">
        <v>0</v>
      </c>
      <c r="AQ64" s="37"/>
      <c r="AR64" s="39">
        <v>0</v>
      </c>
      <c r="AS64" s="39">
        <v>0</v>
      </c>
      <c r="AT64" s="39">
        <v>0</v>
      </c>
      <c r="AU64" s="39">
        <v>0</v>
      </c>
      <c r="AV64" s="39">
        <v>0</v>
      </c>
      <c r="AW64" s="39">
        <v>0</v>
      </c>
      <c r="AX64" s="36">
        <v>0</v>
      </c>
      <c r="AY64" s="36">
        <v>0</v>
      </c>
      <c r="AZ64" s="36">
        <v>0</v>
      </c>
      <c r="BA64" s="36">
        <v>0</v>
      </c>
      <c r="BB64" s="39">
        <v>0</v>
      </c>
      <c r="BC64" s="39">
        <v>0</v>
      </c>
      <c r="BD64" s="37" t="s">
        <v>111</v>
      </c>
      <c r="BE64" s="37" t="s">
        <v>111</v>
      </c>
      <c r="BF64" s="37">
        <v>0.98181818181818181</v>
      </c>
    </row>
    <row r="65" spans="1:58" ht="19.5" customHeight="1">
      <c r="A65" s="40">
        <v>62</v>
      </c>
      <c r="B65" s="35" t="s">
        <v>110</v>
      </c>
      <c r="C65" s="41">
        <v>46155</v>
      </c>
      <c r="D65" s="35" t="s">
        <v>34</v>
      </c>
      <c r="E65" s="35">
        <v>3222</v>
      </c>
      <c r="F65" s="35">
        <v>2888</v>
      </c>
      <c r="G65" s="36">
        <v>0.89633767846058354</v>
      </c>
      <c r="H65" s="35">
        <v>1078</v>
      </c>
      <c r="I65" s="37">
        <v>0.33457479826194908</v>
      </c>
      <c r="J65" s="35">
        <v>3304</v>
      </c>
      <c r="K65" s="35">
        <v>3242</v>
      </c>
      <c r="L65" s="36">
        <v>0.98099999999999998</v>
      </c>
      <c r="M65" s="35">
        <v>11532</v>
      </c>
      <c r="N65" s="35">
        <v>11709</v>
      </c>
      <c r="O65" s="35">
        <v>11408</v>
      </c>
      <c r="P65" s="36">
        <v>0.989247311827957</v>
      </c>
      <c r="Q65" s="35">
        <v>21</v>
      </c>
      <c r="R65" s="35">
        <v>0</v>
      </c>
      <c r="S65" s="35">
        <v>0</v>
      </c>
      <c r="T65" s="36">
        <v>0</v>
      </c>
      <c r="U65" s="35">
        <v>0</v>
      </c>
      <c r="V65" s="36">
        <v>0</v>
      </c>
      <c r="W65" s="35">
        <v>189</v>
      </c>
      <c r="X65" s="36">
        <v>5.8659217877094973E-2</v>
      </c>
      <c r="Y65" s="35">
        <v>682</v>
      </c>
      <c r="Z65" s="38">
        <v>0.2116697703289882</v>
      </c>
      <c r="AA65" s="35">
        <v>37</v>
      </c>
      <c r="AB65" s="36">
        <v>1.1483550589695839E-2</v>
      </c>
      <c r="AC65" s="35">
        <v>177</v>
      </c>
      <c r="AD65" s="36">
        <v>5.493482309124767E-2</v>
      </c>
      <c r="AE65" s="35">
        <v>48</v>
      </c>
      <c r="AF65" s="36">
        <v>0.2711864406779661</v>
      </c>
      <c r="AG65" s="35">
        <v>166</v>
      </c>
      <c r="AH65" s="36">
        <v>0.93785310734463279</v>
      </c>
      <c r="AI65" s="39">
        <v>181</v>
      </c>
      <c r="AJ65" s="36">
        <v>5.6176288019863442E-2</v>
      </c>
      <c r="AK65" s="39">
        <v>7</v>
      </c>
      <c r="AL65" s="36">
        <v>0.850828729281768</v>
      </c>
      <c r="AM65" s="39">
        <v>180</v>
      </c>
      <c r="AN65" s="39">
        <v>154</v>
      </c>
      <c r="AO65" s="36">
        <v>4.7796399751707012E-2</v>
      </c>
      <c r="AP65" s="36">
        <v>0.87005649717514122</v>
      </c>
      <c r="AQ65" s="37">
        <v>0.99342105263157898</v>
      </c>
      <c r="AR65" s="39">
        <v>0</v>
      </c>
      <c r="AS65" s="39">
        <v>0</v>
      </c>
      <c r="AT65" s="39">
        <v>39</v>
      </c>
      <c r="AU65" s="39">
        <v>38</v>
      </c>
      <c r="AV65" s="39">
        <v>38</v>
      </c>
      <c r="AW65" s="39">
        <v>34</v>
      </c>
      <c r="AX65" s="36">
        <v>1.1793916821849781E-2</v>
      </c>
      <c r="AY65" s="36">
        <v>1.1793916821849781E-2</v>
      </c>
      <c r="AZ65" s="36">
        <v>1.0552451893234021E-2</v>
      </c>
      <c r="BA65" s="36">
        <v>0.24675324675324681</v>
      </c>
      <c r="BB65" s="39">
        <v>0</v>
      </c>
      <c r="BC65" s="39">
        <v>0</v>
      </c>
      <c r="BD65" s="37">
        <v>1</v>
      </c>
      <c r="BE65" s="37">
        <v>1</v>
      </c>
      <c r="BF65" s="37" t="s">
        <v>111</v>
      </c>
    </row>
    <row r="66" spans="1:58" ht="19.5" customHeight="1">
      <c r="A66" s="40">
        <v>63</v>
      </c>
      <c r="B66" s="35" t="s">
        <v>110</v>
      </c>
      <c r="C66" s="41">
        <v>46155</v>
      </c>
      <c r="D66" s="35" t="s">
        <v>33</v>
      </c>
      <c r="E66" s="35">
        <v>2292</v>
      </c>
      <c r="F66" s="35">
        <v>2071</v>
      </c>
      <c r="G66" s="36">
        <v>0.90357766143106455</v>
      </c>
      <c r="H66" s="35">
        <v>972</v>
      </c>
      <c r="I66" s="37">
        <v>0.42408376963350791</v>
      </c>
      <c r="J66" s="35">
        <v>2020</v>
      </c>
      <c r="K66" s="35">
        <v>1969</v>
      </c>
      <c r="L66" s="36">
        <v>0.97499999999999998</v>
      </c>
      <c r="M66" s="35">
        <v>8630</v>
      </c>
      <c r="N66" s="35">
        <v>8877</v>
      </c>
      <c r="O66" s="35">
        <v>8500</v>
      </c>
      <c r="P66" s="36">
        <v>0.98493626882966401</v>
      </c>
      <c r="Q66" s="35">
        <v>34</v>
      </c>
      <c r="R66" s="35">
        <v>0</v>
      </c>
      <c r="S66" s="35">
        <v>0</v>
      </c>
      <c r="T66" s="36">
        <v>0</v>
      </c>
      <c r="U66" s="35">
        <v>0</v>
      </c>
      <c r="V66" s="36">
        <v>0</v>
      </c>
      <c r="W66" s="35">
        <v>347</v>
      </c>
      <c r="X66" s="36">
        <v>0.15139616055846419</v>
      </c>
      <c r="Y66" s="35">
        <v>600</v>
      </c>
      <c r="Z66" s="38">
        <v>0.26178010471204188</v>
      </c>
      <c r="AA66" s="35">
        <v>15</v>
      </c>
      <c r="AB66" s="36">
        <v>6.5445026178010471E-3</v>
      </c>
      <c r="AC66" s="35">
        <v>188</v>
      </c>
      <c r="AD66" s="36">
        <v>8.2024432809773118E-2</v>
      </c>
      <c r="AE66" s="35">
        <v>36</v>
      </c>
      <c r="AF66" s="36">
        <v>0.19148936170212769</v>
      </c>
      <c r="AG66" s="35">
        <v>178</v>
      </c>
      <c r="AH66" s="36">
        <v>0.94680851063829785</v>
      </c>
      <c r="AI66" s="39">
        <v>171</v>
      </c>
      <c r="AJ66" s="36">
        <v>7.4607329842931933E-2</v>
      </c>
      <c r="AK66" s="39">
        <v>10</v>
      </c>
      <c r="AL66" s="36">
        <v>0.86549707602339176</v>
      </c>
      <c r="AM66" s="39">
        <v>171</v>
      </c>
      <c r="AN66" s="39">
        <v>148</v>
      </c>
      <c r="AO66" s="36">
        <v>6.4572425828970326E-2</v>
      </c>
      <c r="AP66" s="36">
        <v>0.78723404255319152</v>
      </c>
      <c r="AQ66" s="37">
        <v>0.98496240601503759</v>
      </c>
      <c r="AR66" s="39">
        <v>0</v>
      </c>
      <c r="AS66" s="39">
        <v>0</v>
      </c>
      <c r="AT66" s="39">
        <v>39</v>
      </c>
      <c r="AU66" s="39">
        <v>34</v>
      </c>
      <c r="AV66" s="39">
        <v>30</v>
      </c>
      <c r="AW66" s="39">
        <v>48</v>
      </c>
      <c r="AX66" s="36">
        <v>1.4834205933682371E-2</v>
      </c>
      <c r="AY66" s="36">
        <v>1.3089005235602091E-2</v>
      </c>
      <c r="AZ66" s="36">
        <v>2.0942408376963349E-2</v>
      </c>
      <c r="BA66" s="36">
        <v>0.20270270270270269</v>
      </c>
      <c r="BB66" s="39">
        <v>0</v>
      </c>
      <c r="BC66" s="39">
        <v>0</v>
      </c>
      <c r="BD66" s="37">
        <v>1</v>
      </c>
      <c r="BE66" s="37">
        <v>1</v>
      </c>
      <c r="BF66" s="37" t="s">
        <v>111</v>
      </c>
    </row>
    <row r="67" spans="1:58" ht="19.5" customHeight="1">
      <c r="A67" s="40">
        <v>64</v>
      </c>
      <c r="B67" s="35" t="s">
        <v>110</v>
      </c>
      <c r="C67" s="41">
        <v>46155</v>
      </c>
      <c r="D67" s="35" t="s">
        <v>36</v>
      </c>
      <c r="E67" s="35">
        <v>5901</v>
      </c>
      <c r="F67" s="35">
        <v>5286</v>
      </c>
      <c r="G67" s="36">
        <v>0.89578037620742246</v>
      </c>
      <c r="H67" s="35">
        <v>1558</v>
      </c>
      <c r="I67" s="37">
        <v>0.26402304694119638</v>
      </c>
      <c r="J67" s="35">
        <v>4584</v>
      </c>
      <c r="K67" s="35">
        <v>4499</v>
      </c>
      <c r="L67" s="36">
        <v>0.98099999999999998</v>
      </c>
      <c r="M67" s="35">
        <v>23440</v>
      </c>
      <c r="N67" s="35">
        <v>24235</v>
      </c>
      <c r="O67" s="35">
        <v>23173</v>
      </c>
      <c r="P67" s="36">
        <v>0.98860921501706489</v>
      </c>
      <c r="Q67" s="35">
        <v>36</v>
      </c>
      <c r="R67" s="35">
        <v>0</v>
      </c>
      <c r="S67" s="35">
        <v>0</v>
      </c>
      <c r="T67" s="36">
        <v>0</v>
      </c>
      <c r="U67" s="35">
        <v>0</v>
      </c>
      <c r="V67" s="36">
        <v>0</v>
      </c>
      <c r="W67" s="35">
        <v>497</v>
      </c>
      <c r="X67" s="36">
        <v>8.4223013048635831E-2</v>
      </c>
      <c r="Y67" s="35">
        <v>1274</v>
      </c>
      <c r="Z67" s="38">
        <v>0.21589561091340451</v>
      </c>
      <c r="AA67" s="35">
        <v>90</v>
      </c>
      <c r="AB67" s="36">
        <v>1.525165226232842E-2</v>
      </c>
      <c r="AC67" s="35">
        <v>886</v>
      </c>
      <c r="AD67" s="36">
        <v>0.15014404338247761</v>
      </c>
      <c r="AE67" s="35">
        <v>195</v>
      </c>
      <c r="AF67" s="36">
        <v>0.22009029345372461</v>
      </c>
      <c r="AG67" s="35">
        <v>833</v>
      </c>
      <c r="AH67" s="36">
        <v>0.94018058690744921</v>
      </c>
      <c r="AI67" s="39">
        <v>889</v>
      </c>
      <c r="AJ67" s="36">
        <v>0.15065243179122181</v>
      </c>
      <c r="AK67" s="39">
        <v>36</v>
      </c>
      <c r="AL67" s="36">
        <v>0.92350956130483686</v>
      </c>
      <c r="AM67" s="39">
        <v>888</v>
      </c>
      <c r="AN67" s="39">
        <v>821</v>
      </c>
      <c r="AO67" s="36">
        <v>0.1391289611930181</v>
      </c>
      <c r="AP67" s="36">
        <v>0.92663656884875845</v>
      </c>
      <c r="AQ67" s="37">
        <v>0.98481308411214952</v>
      </c>
      <c r="AR67" s="39">
        <v>0</v>
      </c>
      <c r="AS67" s="39">
        <v>0</v>
      </c>
      <c r="AT67" s="39">
        <v>80</v>
      </c>
      <c r="AU67" s="39">
        <v>69</v>
      </c>
      <c r="AV67" s="39">
        <v>76</v>
      </c>
      <c r="AW67" s="39">
        <v>116</v>
      </c>
      <c r="AX67" s="36">
        <v>1.169293340111846E-2</v>
      </c>
      <c r="AY67" s="36">
        <v>1.287917302152178E-2</v>
      </c>
      <c r="AZ67" s="36">
        <v>1.9657685138112189E-2</v>
      </c>
      <c r="BA67" s="36">
        <v>9.2570036540803896E-2</v>
      </c>
      <c r="BB67" s="39">
        <v>0</v>
      </c>
      <c r="BC67" s="39">
        <v>0</v>
      </c>
      <c r="BD67" s="37">
        <v>0.99354838709677418</v>
      </c>
      <c r="BE67" s="37">
        <v>1</v>
      </c>
      <c r="BF67" s="37" t="s">
        <v>111</v>
      </c>
    </row>
    <row r="68" spans="1:58" ht="19.5" customHeight="1">
      <c r="A68" s="40">
        <v>65</v>
      </c>
      <c r="B68" s="35" t="s">
        <v>110</v>
      </c>
      <c r="C68" s="41">
        <v>46155</v>
      </c>
      <c r="D68" s="35" t="s">
        <v>35</v>
      </c>
      <c r="E68" s="35">
        <v>2971</v>
      </c>
      <c r="F68" s="35">
        <v>2701</v>
      </c>
      <c r="G68" s="36">
        <v>0.90912150790979473</v>
      </c>
      <c r="H68" s="35">
        <v>1344</v>
      </c>
      <c r="I68" s="37">
        <v>0.4523729384045776</v>
      </c>
      <c r="J68" s="35">
        <v>3011</v>
      </c>
      <c r="K68" s="35">
        <v>2959</v>
      </c>
      <c r="L68" s="36">
        <v>0.98299999999999998</v>
      </c>
      <c r="M68" s="35">
        <v>15773</v>
      </c>
      <c r="N68" s="35">
        <v>15811</v>
      </c>
      <c r="O68" s="35">
        <v>15621</v>
      </c>
      <c r="P68" s="36">
        <v>0.99036327902111199</v>
      </c>
      <c r="Q68" s="35">
        <v>33</v>
      </c>
      <c r="R68" s="35">
        <v>0</v>
      </c>
      <c r="S68" s="35">
        <v>0</v>
      </c>
      <c r="T68" s="36">
        <v>0</v>
      </c>
      <c r="U68" s="35">
        <v>0</v>
      </c>
      <c r="V68" s="36">
        <v>0</v>
      </c>
      <c r="W68" s="35">
        <v>290</v>
      </c>
      <c r="X68" s="36">
        <v>9.7610232245035344E-2</v>
      </c>
      <c r="Y68" s="35">
        <v>763</v>
      </c>
      <c r="Z68" s="38">
        <v>0.25681588690676538</v>
      </c>
      <c r="AA68" s="35">
        <v>65</v>
      </c>
      <c r="AB68" s="36">
        <v>2.1878155503197581E-2</v>
      </c>
      <c r="AC68" s="35">
        <v>382</v>
      </c>
      <c r="AD68" s="36">
        <v>0.12857623695725351</v>
      </c>
      <c r="AE68" s="35">
        <v>71</v>
      </c>
      <c r="AF68" s="36">
        <v>0.18586387434554971</v>
      </c>
      <c r="AG68" s="35">
        <v>361</v>
      </c>
      <c r="AH68" s="36">
        <v>0.94502617801047117</v>
      </c>
      <c r="AI68" s="39">
        <v>384</v>
      </c>
      <c r="AJ68" s="36">
        <v>0.12924941097273651</v>
      </c>
      <c r="AK68" s="39">
        <v>27</v>
      </c>
      <c r="AL68" s="36">
        <v>0.94010416666666663</v>
      </c>
      <c r="AM68" s="39">
        <v>382</v>
      </c>
      <c r="AN68" s="39">
        <v>361</v>
      </c>
      <c r="AO68" s="36">
        <v>0.1215079097946819</v>
      </c>
      <c r="AP68" s="36">
        <v>0.94502617801047117</v>
      </c>
      <c r="AQ68" s="37">
        <v>0.97667638483965014</v>
      </c>
      <c r="AR68" s="39">
        <v>0</v>
      </c>
      <c r="AS68" s="39">
        <v>0</v>
      </c>
      <c r="AT68" s="39">
        <v>35</v>
      </c>
      <c r="AU68" s="39">
        <v>29</v>
      </c>
      <c r="AV68" s="39">
        <v>29</v>
      </c>
      <c r="AW68" s="39">
        <v>68</v>
      </c>
      <c r="AX68" s="36">
        <v>9.7610232245035344E-3</v>
      </c>
      <c r="AY68" s="36">
        <v>9.7610232245035344E-3</v>
      </c>
      <c r="AZ68" s="36">
        <v>2.2887916526422081E-2</v>
      </c>
      <c r="BA68" s="36">
        <v>8.0332409972299165E-2</v>
      </c>
      <c r="BB68" s="39">
        <v>0</v>
      </c>
      <c r="BC68" s="39">
        <v>0</v>
      </c>
      <c r="BD68" s="37">
        <v>0.98245614035087714</v>
      </c>
      <c r="BE68" s="37">
        <v>1</v>
      </c>
      <c r="BF68" s="37" t="s">
        <v>111</v>
      </c>
    </row>
    <row r="69" spans="1:58" ht="19.5" customHeight="1">
      <c r="A69" s="40">
        <v>66</v>
      </c>
      <c r="B69" s="35" t="s">
        <v>110</v>
      </c>
      <c r="C69" s="41">
        <v>46156</v>
      </c>
      <c r="D69" s="35"/>
      <c r="E69" s="35">
        <v>60</v>
      </c>
      <c r="F69" s="35">
        <v>60</v>
      </c>
      <c r="G69" s="36">
        <v>1</v>
      </c>
      <c r="H69" s="35">
        <v>60</v>
      </c>
      <c r="I69" s="37">
        <v>1</v>
      </c>
      <c r="J69" s="35">
        <v>0</v>
      </c>
      <c r="K69" s="35">
        <v>0</v>
      </c>
      <c r="L69" s="36">
        <v>0</v>
      </c>
      <c r="M69" s="35">
        <v>2</v>
      </c>
      <c r="N69" s="35">
        <v>1</v>
      </c>
      <c r="O69" s="35">
        <v>2</v>
      </c>
      <c r="P69" s="36">
        <v>1</v>
      </c>
      <c r="Q69" s="35">
        <v>0</v>
      </c>
      <c r="R69" s="35">
        <v>0</v>
      </c>
      <c r="S69" s="35">
        <v>0</v>
      </c>
      <c r="T69" s="36">
        <v>0</v>
      </c>
      <c r="U69" s="35">
        <v>0</v>
      </c>
      <c r="V69" s="36">
        <v>0</v>
      </c>
      <c r="W69" s="35">
        <v>12</v>
      </c>
      <c r="X69" s="36">
        <v>0.2</v>
      </c>
      <c r="Y69" s="35">
        <v>15</v>
      </c>
      <c r="Z69" s="38">
        <v>0.25</v>
      </c>
      <c r="AA69" s="35">
        <v>0</v>
      </c>
      <c r="AB69" s="36">
        <v>0</v>
      </c>
      <c r="AC69" s="35">
        <v>0</v>
      </c>
      <c r="AD69" s="36">
        <v>0</v>
      </c>
      <c r="AE69" s="35">
        <v>0</v>
      </c>
      <c r="AF69" s="36">
        <v>0</v>
      </c>
      <c r="AG69" s="35">
        <v>0</v>
      </c>
      <c r="AH69" s="36">
        <v>0</v>
      </c>
      <c r="AI69" s="39">
        <v>0</v>
      </c>
      <c r="AJ69" s="36">
        <v>0</v>
      </c>
      <c r="AK69" s="39">
        <v>0</v>
      </c>
      <c r="AL69" s="36">
        <v>0</v>
      </c>
      <c r="AM69" s="39">
        <v>0</v>
      </c>
      <c r="AN69" s="39">
        <v>0</v>
      </c>
      <c r="AO69" s="36">
        <v>0</v>
      </c>
      <c r="AP69" s="36">
        <v>0</v>
      </c>
      <c r="AQ69" s="37"/>
      <c r="AR69" s="39">
        <v>0</v>
      </c>
      <c r="AS69" s="39">
        <v>0</v>
      </c>
      <c r="AT69" s="39">
        <v>0</v>
      </c>
      <c r="AU69" s="39">
        <v>0</v>
      </c>
      <c r="AV69" s="39">
        <v>0</v>
      </c>
      <c r="AW69" s="39">
        <v>0</v>
      </c>
      <c r="AX69" s="36">
        <v>0</v>
      </c>
      <c r="AY69" s="36">
        <v>0</v>
      </c>
      <c r="AZ69" s="36">
        <v>0</v>
      </c>
      <c r="BA69" s="36">
        <v>0</v>
      </c>
      <c r="BB69" s="39">
        <v>0</v>
      </c>
      <c r="BC69" s="39">
        <v>0</v>
      </c>
      <c r="BD69" s="37" t="s">
        <v>111</v>
      </c>
      <c r="BE69" s="37" t="s">
        <v>111</v>
      </c>
      <c r="BF69" s="37">
        <v>0.99305555555555558</v>
      </c>
    </row>
    <row r="70" spans="1:58" ht="19.5" customHeight="1">
      <c r="A70" s="40">
        <v>67</v>
      </c>
      <c r="B70" s="35" t="s">
        <v>110</v>
      </c>
      <c r="C70" s="41">
        <v>46156</v>
      </c>
      <c r="D70" s="35" t="s">
        <v>34</v>
      </c>
      <c r="E70" s="35">
        <v>3553</v>
      </c>
      <c r="F70" s="35">
        <v>3143</v>
      </c>
      <c r="G70" s="36">
        <v>0.88460455952716011</v>
      </c>
      <c r="H70" s="35">
        <v>1117</v>
      </c>
      <c r="I70" s="37">
        <v>0.31438221221502949</v>
      </c>
      <c r="J70" s="35">
        <v>2387</v>
      </c>
      <c r="K70" s="35">
        <v>2332</v>
      </c>
      <c r="L70" s="36">
        <v>0.97699999999999998</v>
      </c>
      <c r="M70" s="35">
        <v>10048</v>
      </c>
      <c r="N70" s="35">
        <v>10193</v>
      </c>
      <c r="O70" s="35">
        <v>9925</v>
      </c>
      <c r="P70" s="36">
        <v>0.98775875796178347</v>
      </c>
      <c r="Q70" s="35">
        <v>17</v>
      </c>
      <c r="R70" s="35">
        <v>0</v>
      </c>
      <c r="S70" s="35">
        <v>0</v>
      </c>
      <c r="T70" s="36">
        <v>0</v>
      </c>
      <c r="U70" s="35">
        <v>0</v>
      </c>
      <c r="V70" s="36">
        <v>0</v>
      </c>
      <c r="W70" s="35">
        <v>216</v>
      </c>
      <c r="X70" s="36">
        <v>6.079369546861807E-2</v>
      </c>
      <c r="Y70" s="35">
        <v>601</v>
      </c>
      <c r="Z70" s="38">
        <v>0.16915282859555311</v>
      </c>
      <c r="AA70" s="35">
        <v>29</v>
      </c>
      <c r="AB70" s="36">
        <v>8.1621165212496481E-3</v>
      </c>
      <c r="AC70" s="35">
        <v>176</v>
      </c>
      <c r="AD70" s="36">
        <v>4.9535603715170282E-2</v>
      </c>
      <c r="AE70" s="35">
        <v>30</v>
      </c>
      <c r="AF70" s="36">
        <v>0.17045454545454539</v>
      </c>
      <c r="AG70" s="35">
        <v>167</v>
      </c>
      <c r="AH70" s="36">
        <v>0.94886363636363635</v>
      </c>
      <c r="AI70" s="39">
        <v>171</v>
      </c>
      <c r="AJ70" s="36">
        <v>4.8128342245989303E-2</v>
      </c>
      <c r="AK70" s="39">
        <v>9</v>
      </c>
      <c r="AL70" s="36">
        <v>0.85380116959064323</v>
      </c>
      <c r="AM70" s="39">
        <v>171</v>
      </c>
      <c r="AN70" s="39">
        <v>146</v>
      </c>
      <c r="AO70" s="36">
        <v>4.1092034900084437E-2</v>
      </c>
      <c r="AP70" s="36">
        <v>0.82954545454545459</v>
      </c>
      <c r="AQ70" s="37">
        <v>0.95731707317073167</v>
      </c>
      <c r="AR70" s="39">
        <v>0</v>
      </c>
      <c r="AS70" s="39">
        <v>0</v>
      </c>
      <c r="AT70" s="39">
        <v>41</v>
      </c>
      <c r="AU70" s="39">
        <v>36</v>
      </c>
      <c r="AV70" s="39">
        <v>38</v>
      </c>
      <c r="AW70" s="39">
        <v>48</v>
      </c>
      <c r="AX70" s="36">
        <v>1.0132282578103009E-2</v>
      </c>
      <c r="AY70" s="36">
        <v>1.06951871657754E-2</v>
      </c>
      <c r="AZ70" s="36">
        <v>1.3509710104137349E-2</v>
      </c>
      <c r="BA70" s="36">
        <v>0.26027397260273971</v>
      </c>
      <c r="BB70" s="39">
        <v>0</v>
      </c>
      <c r="BC70" s="39">
        <v>0</v>
      </c>
      <c r="BD70" s="37">
        <v>1</v>
      </c>
      <c r="BE70" s="37">
        <v>1</v>
      </c>
      <c r="BF70" s="37" t="s">
        <v>111</v>
      </c>
    </row>
    <row r="71" spans="1:58" ht="19.5" customHeight="1">
      <c r="A71" s="40">
        <v>68</v>
      </c>
      <c r="B71" s="35" t="s">
        <v>110</v>
      </c>
      <c r="C71" s="41">
        <v>46156</v>
      </c>
      <c r="D71" s="35" t="s">
        <v>33</v>
      </c>
      <c r="E71" s="35">
        <v>2196</v>
      </c>
      <c r="F71" s="35">
        <v>1979</v>
      </c>
      <c r="G71" s="36">
        <v>0.90118397085610202</v>
      </c>
      <c r="H71" s="35">
        <v>900</v>
      </c>
      <c r="I71" s="37">
        <v>0.4098360655737705</v>
      </c>
      <c r="J71" s="35">
        <v>1389</v>
      </c>
      <c r="K71" s="35">
        <v>1337</v>
      </c>
      <c r="L71" s="36">
        <v>0.96299999999999997</v>
      </c>
      <c r="M71" s="35">
        <v>7970</v>
      </c>
      <c r="N71" s="35">
        <v>8079</v>
      </c>
      <c r="O71" s="35">
        <v>7840</v>
      </c>
      <c r="P71" s="36">
        <v>0.98368883312421584</v>
      </c>
      <c r="Q71" s="35">
        <v>28</v>
      </c>
      <c r="R71" s="35">
        <v>0</v>
      </c>
      <c r="S71" s="35">
        <v>0</v>
      </c>
      <c r="T71" s="36">
        <v>0</v>
      </c>
      <c r="U71" s="35">
        <v>0</v>
      </c>
      <c r="V71" s="36">
        <v>0</v>
      </c>
      <c r="W71" s="35">
        <v>202</v>
      </c>
      <c r="X71" s="36">
        <v>9.1985428051001822E-2</v>
      </c>
      <c r="Y71" s="35">
        <v>494</v>
      </c>
      <c r="Z71" s="38">
        <v>0.22495446265938071</v>
      </c>
      <c r="AA71" s="35">
        <v>17</v>
      </c>
      <c r="AB71" s="36">
        <v>7.7413479052823317E-3</v>
      </c>
      <c r="AC71" s="35">
        <v>195</v>
      </c>
      <c r="AD71" s="36">
        <v>8.8797814207650275E-2</v>
      </c>
      <c r="AE71" s="35">
        <v>35</v>
      </c>
      <c r="AF71" s="36">
        <v>0.17948717948717949</v>
      </c>
      <c r="AG71" s="35">
        <v>188</v>
      </c>
      <c r="AH71" s="36">
        <v>0.96410256410256412</v>
      </c>
      <c r="AI71" s="39">
        <v>201</v>
      </c>
      <c r="AJ71" s="36">
        <v>9.1530054644808748E-2</v>
      </c>
      <c r="AK71" s="39">
        <v>8</v>
      </c>
      <c r="AL71" s="36">
        <v>0.80597014925373134</v>
      </c>
      <c r="AM71" s="39">
        <v>200</v>
      </c>
      <c r="AN71" s="39">
        <v>162</v>
      </c>
      <c r="AO71" s="36">
        <v>7.3770491803278687E-2</v>
      </c>
      <c r="AP71" s="36">
        <v>0.83076923076923082</v>
      </c>
      <c r="AQ71" s="37">
        <v>0.98734177215189878</v>
      </c>
      <c r="AR71" s="39">
        <v>0</v>
      </c>
      <c r="AS71" s="39">
        <v>0</v>
      </c>
      <c r="AT71" s="39">
        <v>38</v>
      </c>
      <c r="AU71" s="39">
        <v>33</v>
      </c>
      <c r="AV71" s="39">
        <v>34</v>
      </c>
      <c r="AW71" s="39">
        <v>47</v>
      </c>
      <c r="AX71" s="36">
        <v>1.5027322404371581E-2</v>
      </c>
      <c r="AY71" s="36">
        <v>1.548269581056466E-2</v>
      </c>
      <c r="AZ71" s="36">
        <v>2.1402550091074678E-2</v>
      </c>
      <c r="BA71" s="36">
        <v>0.2098765432098765</v>
      </c>
      <c r="BB71" s="39">
        <v>0</v>
      </c>
      <c r="BC71" s="39">
        <v>0</v>
      </c>
      <c r="BD71" s="37">
        <v>1</v>
      </c>
      <c r="BE71" s="37">
        <v>1</v>
      </c>
      <c r="BF71" s="37" t="s">
        <v>111</v>
      </c>
    </row>
    <row r="72" spans="1:58" ht="19.5" customHeight="1">
      <c r="A72" s="40">
        <v>69</v>
      </c>
      <c r="B72" s="35" t="s">
        <v>110</v>
      </c>
      <c r="C72" s="41">
        <v>46156</v>
      </c>
      <c r="D72" s="35" t="s">
        <v>36</v>
      </c>
      <c r="E72" s="35">
        <v>6393</v>
      </c>
      <c r="F72" s="35">
        <v>5744</v>
      </c>
      <c r="G72" s="36">
        <v>0.89848271547004532</v>
      </c>
      <c r="H72" s="35">
        <v>1507</v>
      </c>
      <c r="I72" s="37">
        <v>0.23572657594243701</v>
      </c>
      <c r="J72" s="35">
        <v>6097</v>
      </c>
      <c r="K72" s="35">
        <v>5942</v>
      </c>
      <c r="L72" s="36">
        <v>0.97499999999999998</v>
      </c>
      <c r="M72" s="35">
        <v>24670</v>
      </c>
      <c r="N72" s="35">
        <v>25253</v>
      </c>
      <c r="O72" s="35">
        <v>24372</v>
      </c>
      <c r="P72" s="36">
        <v>0.98792055127685452</v>
      </c>
      <c r="Q72" s="35">
        <v>44</v>
      </c>
      <c r="R72" s="35">
        <v>0</v>
      </c>
      <c r="S72" s="35">
        <v>0</v>
      </c>
      <c r="T72" s="36">
        <v>0</v>
      </c>
      <c r="U72" s="35">
        <v>0</v>
      </c>
      <c r="V72" s="36">
        <v>0</v>
      </c>
      <c r="W72" s="35">
        <v>554</v>
      </c>
      <c r="X72" s="36">
        <v>8.6657281401532921E-2</v>
      </c>
      <c r="Y72" s="35">
        <v>1206</v>
      </c>
      <c r="Z72" s="38">
        <v>0.1886438291881746</v>
      </c>
      <c r="AA72" s="35">
        <v>98</v>
      </c>
      <c r="AB72" s="36">
        <v>1.532926638510871E-2</v>
      </c>
      <c r="AC72" s="35">
        <v>893</v>
      </c>
      <c r="AD72" s="36">
        <v>0.1396840294071641</v>
      </c>
      <c r="AE72" s="35">
        <v>173</v>
      </c>
      <c r="AF72" s="36">
        <v>0.1937290033594625</v>
      </c>
      <c r="AG72" s="35">
        <v>842</v>
      </c>
      <c r="AH72" s="36">
        <v>0.9428891377379619</v>
      </c>
      <c r="AI72" s="39">
        <v>928</v>
      </c>
      <c r="AJ72" s="36">
        <v>0.1451587674018458</v>
      </c>
      <c r="AK72" s="39">
        <v>61</v>
      </c>
      <c r="AL72" s="36">
        <v>0.90086206896551724</v>
      </c>
      <c r="AM72" s="39">
        <v>925</v>
      </c>
      <c r="AN72" s="39">
        <v>836</v>
      </c>
      <c r="AO72" s="36">
        <v>0.13076802753011099</v>
      </c>
      <c r="AP72" s="36">
        <v>0.93617021276595747</v>
      </c>
      <c r="AQ72" s="37">
        <v>0.97494305239179957</v>
      </c>
      <c r="AR72" s="39">
        <v>0</v>
      </c>
      <c r="AS72" s="39">
        <v>0</v>
      </c>
      <c r="AT72" s="39">
        <v>104</v>
      </c>
      <c r="AU72" s="39">
        <v>95</v>
      </c>
      <c r="AV72" s="39">
        <v>99</v>
      </c>
      <c r="AW72" s="39">
        <v>127</v>
      </c>
      <c r="AX72" s="36">
        <v>1.4860003128421711E-2</v>
      </c>
      <c r="AY72" s="36">
        <v>1.548568747067105E-2</v>
      </c>
      <c r="AZ72" s="36">
        <v>1.9865477866416389E-2</v>
      </c>
      <c r="BA72" s="36">
        <v>0.1184210526315789</v>
      </c>
      <c r="BB72" s="39">
        <v>0</v>
      </c>
      <c r="BC72" s="39">
        <v>1</v>
      </c>
      <c r="BD72" s="37">
        <v>0.97590361445783136</v>
      </c>
      <c r="BE72" s="37">
        <v>1</v>
      </c>
      <c r="BF72" s="37" t="s">
        <v>111</v>
      </c>
    </row>
    <row r="73" spans="1:58" ht="19.5" customHeight="1">
      <c r="A73" s="40">
        <v>70</v>
      </c>
      <c r="B73" s="35" t="s">
        <v>110</v>
      </c>
      <c r="C73" s="41">
        <v>46156</v>
      </c>
      <c r="D73" s="35" t="s">
        <v>35</v>
      </c>
      <c r="E73" s="35">
        <v>2998</v>
      </c>
      <c r="F73" s="35">
        <v>2727</v>
      </c>
      <c r="G73" s="36">
        <v>0.909606404269513</v>
      </c>
      <c r="H73" s="35">
        <v>1308</v>
      </c>
      <c r="I73" s="37">
        <v>0.4362908605737158</v>
      </c>
      <c r="J73" s="35">
        <v>3107</v>
      </c>
      <c r="K73" s="35">
        <v>3051</v>
      </c>
      <c r="L73" s="36">
        <v>0.98199999999999998</v>
      </c>
      <c r="M73" s="35">
        <v>15215</v>
      </c>
      <c r="N73" s="35">
        <v>15633</v>
      </c>
      <c r="O73" s="35">
        <v>15045</v>
      </c>
      <c r="P73" s="36">
        <v>0.98882681564245811</v>
      </c>
      <c r="Q73" s="35">
        <v>19</v>
      </c>
      <c r="R73" s="35">
        <v>0</v>
      </c>
      <c r="S73" s="35">
        <v>0</v>
      </c>
      <c r="T73" s="36">
        <v>0</v>
      </c>
      <c r="U73" s="35">
        <v>0</v>
      </c>
      <c r="V73" s="36">
        <v>0</v>
      </c>
      <c r="W73" s="35">
        <v>271</v>
      </c>
      <c r="X73" s="36">
        <v>9.0393595730486997E-2</v>
      </c>
      <c r="Y73" s="35">
        <v>630</v>
      </c>
      <c r="Z73" s="38">
        <v>0.21014009339559711</v>
      </c>
      <c r="AA73" s="35">
        <v>81</v>
      </c>
      <c r="AB73" s="36">
        <v>2.701801200800534E-2</v>
      </c>
      <c r="AC73" s="35">
        <v>386</v>
      </c>
      <c r="AD73" s="36">
        <v>0.12875250166777849</v>
      </c>
      <c r="AE73" s="35">
        <v>82</v>
      </c>
      <c r="AF73" s="36">
        <v>0.21243523316062179</v>
      </c>
      <c r="AG73" s="35">
        <v>370</v>
      </c>
      <c r="AH73" s="36">
        <v>0.95854922279792742</v>
      </c>
      <c r="AI73" s="39">
        <v>392</v>
      </c>
      <c r="AJ73" s="36">
        <v>0.13075383589059369</v>
      </c>
      <c r="AK73" s="39">
        <v>39</v>
      </c>
      <c r="AL73" s="36">
        <v>0.9285714285714286</v>
      </c>
      <c r="AM73" s="39">
        <v>392</v>
      </c>
      <c r="AN73" s="39">
        <v>364</v>
      </c>
      <c r="AO73" s="36">
        <v>0.1214142761841227</v>
      </c>
      <c r="AP73" s="36">
        <v>0.94300518134715028</v>
      </c>
      <c r="AQ73" s="37">
        <v>0.95744680851063835</v>
      </c>
      <c r="AR73" s="39">
        <v>0</v>
      </c>
      <c r="AS73" s="39">
        <v>0</v>
      </c>
      <c r="AT73" s="39">
        <v>45</v>
      </c>
      <c r="AU73" s="39">
        <v>41</v>
      </c>
      <c r="AV73" s="39">
        <v>43</v>
      </c>
      <c r="AW73" s="39">
        <v>63</v>
      </c>
      <c r="AX73" s="36">
        <v>1.367578385590394E-2</v>
      </c>
      <c r="AY73" s="36">
        <v>1.4342895263509009E-2</v>
      </c>
      <c r="AZ73" s="36">
        <v>2.101400933955971E-2</v>
      </c>
      <c r="BA73" s="36">
        <v>0.1181318681318681</v>
      </c>
      <c r="BB73" s="39">
        <v>0</v>
      </c>
      <c r="BC73" s="39">
        <v>0</v>
      </c>
      <c r="BD73" s="37">
        <v>0.971830985915493</v>
      </c>
      <c r="BE73" s="37">
        <v>1</v>
      </c>
      <c r="BF73" s="37" t="s">
        <v>111</v>
      </c>
    </row>
    <row r="74" spans="1:58" ht="19.5" customHeight="1">
      <c r="A74" s="40">
        <v>71</v>
      </c>
      <c r="B74" s="35" t="s">
        <v>110</v>
      </c>
      <c r="C74" s="41">
        <v>46157</v>
      </c>
      <c r="D74" s="35"/>
      <c r="E74" s="35">
        <v>64</v>
      </c>
      <c r="F74" s="35">
        <v>64</v>
      </c>
      <c r="G74" s="36">
        <v>1</v>
      </c>
      <c r="H74" s="35">
        <v>64</v>
      </c>
      <c r="I74" s="37">
        <v>1</v>
      </c>
      <c r="J74" s="35">
        <v>0</v>
      </c>
      <c r="K74" s="35">
        <v>0</v>
      </c>
      <c r="L74" s="36">
        <v>0</v>
      </c>
      <c r="M74" s="35">
        <v>1</v>
      </c>
      <c r="N74" s="35">
        <v>1</v>
      </c>
      <c r="O74" s="35">
        <v>1</v>
      </c>
      <c r="P74" s="36">
        <v>1</v>
      </c>
      <c r="Q74" s="35">
        <v>0</v>
      </c>
      <c r="R74" s="35">
        <v>0</v>
      </c>
      <c r="S74" s="35">
        <v>0</v>
      </c>
      <c r="T74" s="36">
        <v>0</v>
      </c>
      <c r="U74" s="35">
        <v>0</v>
      </c>
      <c r="V74" s="36">
        <v>0</v>
      </c>
      <c r="W74" s="35">
        <v>12</v>
      </c>
      <c r="X74" s="36">
        <v>0.1875</v>
      </c>
      <c r="Y74" s="35">
        <v>32</v>
      </c>
      <c r="Z74" s="38">
        <v>0.5</v>
      </c>
      <c r="AA74" s="35">
        <v>0</v>
      </c>
      <c r="AB74" s="36">
        <v>0</v>
      </c>
      <c r="AC74" s="35">
        <v>0</v>
      </c>
      <c r="AD74" s="36">
        <v>0</v>
      </c>
      <c r="AE74" s="35">
        <v>0</v>
      </c>
      <c r="AF74" s="36">
        <v>0</v>
      </c>
      <c r="AG74" s="35">
        <v>0</v>
      </c>
      <c r="AH74" s="36">
        <v>0</v>
      </c>
      <c r="AI74" s="39">
        <v>0</v>
      </c>
      <c r="AJ74" s="36">
        <v>0</v>
      </c>
      <c r="AK74" s="39">
        <v>0</v>
      </c>
      <c r="AL74" s="36">
        <v>0</v>
      </c>
      <c r="AM74" s="39">
        <v>0</v>
      </c>
      <c r="AN74" s="39">
        <v>0</v>
      </c>
      <c r="AO74" s="36">
        <v>0</v>
      </c>
      <c r="AP74" s="36">
        <v>0</v>
      </c>
      <c r="AQ74" s="37"/>
      <c r="AR74" s="39">
        <v>0</v>
      </c>
      <c r="AS74" s="39">
        <v>0</v>
      </c>
      <c r="AT74" s="39">
        <v>0</v>
      </c>
      <c r="AU74" s="39">
        <v>0</v>
      </c>
      <c r="AV74" s="39">
        <v>0</v>
      </c>
      <c r="AW74" s="39">
        <v>0</v>
      </c>
      <c r="AX74" s="36">
        <v>0</v>
      </c>
      <c r="AY74" s="36">
        <v>0</v>
      </c>
      <c r="AZ74" s="36">
        <v>0</v>
      </c>
      <c r="BA74" s="36">
        <v>0</v>
      </c>
      <c r="BB74" s="39">
        <v>0</v>
      </c>
      <c r="BC74" s="39">
        <v>0</v>
      </c>
      <c r="BD74" s="37" t="s">
        <v>111</v>
      </c>
      <c r="BE74" s="37" t="s">
        <v>111</v>
      </c>
      <c r="BF74" s="37">
        <v>0.99193548387096775</v>
      </c>
    </row>
    <row r="75" spans="1:58" ht="19.5" customHeight="1">
      <c r="A75" s="40">
        <v>72</v>
      </c>
      <c r="B75" s="35" t="s">
        <v>110</v>
      </c>
      <c r="C75" s="41">
        <v>46157</v>
      </c>
      <c r="D75" s="35" t="s">
        <v>34</v>
      </c>
      <c r="E75" s="35">
        <v>3729</v>
      </c>
      <c r="F75" s="35">
        <v>3260</v>
      </c>
      <c r="G75" s="36">
        <v>0.87422901582193613</v>
      </c>
      <c r="H75" s="35">
        <v>1110</v>
      </c>
      <c r="I75" s="37">
        <v>0.29766693483507639</v>
      </c>
      <c r="J75" s="35">
        <v>2849</v>
      </c>
      <c r="K75" s="35">
        <v>2786</v>
      </c>
      <c r="L75" s="36">
        <v>0.97799999999999998</v>
      </c>
      <c r="M75" s="35">
        <v>11171</v>
      </c>
      <c r="N75" s="35">
        <v>11587</v>
      </c>
      <c r="O75" s="35">
        <v>11034</v>
      </c>
      <c r="P75" s="36">
        <v>0.98773610240802079</v>
      </c>
      <c r="Q75" s="35">
        <v>15</v>
      </c>
      <c r="R75" s="35">
        <v>0</v>
      </c>
      <c r="S75" s="35">
        <v>0</v>
      </c>
      <c r="T75" s="36">
        <v>0</v>
      </c>
      <c r="U75" s="35">
        <v>0</v>
      </c>
      <c r="V75" s="36">
        <v>0</v>
      </c>
      <c r="W75" s="35">
        <v>654</v>
      </c>
      <c r="X75" s="36">
        <v>0.17538213998390989</v>
      </c>
      <c r="Y75" s="35">
        <v>1469</v>
      </c>
      <c r="Z75" s="38">
        <v>0.39393939393939392</v>
      </c>
      <c r="AA75" s="35">
        <v>222</v>
      </c>
      <c r="AB75" s="36">
        <v>5.9533386967015288E-2</v>
      </c>
      <c r="AC75" s="35">
        <v>173</v>
      </c>
      <c r="AD75" s="36">
        <v>4.6393134888710108E-2</v>
      </c>
      <c r="AE75" s="35">
        <v>49</v>
      </c>
      <c r="AF75" s="36">
        <v>0.2832369942196532</v>
      </c>
      <c r="AG75" s="35">
        <v>164</v>
      </c>
      <c r="AH75" s="36">
        <v>0.94797687861271673</v>
      </c>
      <c r="AI75" s="39">
        <v>176</v>
      </c>
      <c r="AJ75" s="36">
        <v>4.71976401179941E-2</v>
      </c>
      <c r="AK75" s="39">
        <v>13</v>
      </c>
      <c r="AL75" s="36">
        <v>0.90340909090909094</v>
      </c>
      <c r="AM75" s="39">
        <v>175</v>
      </c>
      <c r="AN75" s="39">
        <v>159</v>
      </c>
      <c r="AO75" s="36">
        <v>4.2638777152051492E-2</v>
      </c>
      <c r="AP75" s="36">
        <v>0.91907514450867056</v>
      </c>
      <c r="AQ75" s="37">
        <v>1</v>
      </c>
      <c r="AR75" s="39">
        <v>0</v>
      </c>
      <c r="AS75" s="39">
        <v>0</v>
      </c>
      <c r="AT75" s="39">
        <v>44</v>
      </c>
      <c r="AU75" s="39">
        <v>39</v>
      </c>
      <c r="AV75" s="39">
        <v>40</v>
      </c>
      <c r="AW75" s="39">
        <v>54</v>
      </c>
      <c r="AX75" s="36">
        <v>1.045856798069188E-2</v>
      </c>
      <c r="AY75" s="36">
        <v>1.072673639045321E-2</v>
      </c>
      <c r="AZ75" s="36">
        <v>1.448109412711183E-2</v>
      </c>
      <c r="BA75" s="36">
        <v>0.25157232704402521</v>
      </c>
      <c r="BB75" s="39">
        <v>0</v>
      </c>
      <c r="BC75" s="39">
        <v>0</v>
      </c>
      <c r="BD75" s="37">
        <v>1</v>
      </c>
      <c r="BE75" s="37">
        <v>1</v>
      </c>
      <c r="BF75" s="37" t="s">
        <v>111</v>
      </c>
    </row>
    <row r="76" spans="1:58" ht="19.5" customHeight="1">
      <c r="A76" s="40">
        <v>73</v>
      </c>
      <c r="B76" s="35" t="s">
        <v>110</v>
      </c>
      <c r="C76" s="41">
        <v>46157</v>
      </c>
      <c r="D76" s="35" t="s">
        <v>33</v>
      </c>
      <c r="E76" s="35">
        <v>2139</v>
      </c>
      <c r="F76" s="35">
        <v>1931</v>
      </c>
      <c r="G76" s="36">
        <v>0.90275829827021969</v>
      </c>
      <c r="H76" s="35">
        <v>1068</v>
      </c>
      <c r="I76" s="37">
        <v>0.49929873772791022</v>
      </c>
      <c r="J76" s="35">
        <v>2549</v>
      </c>
      <c r="K76" s="35">
        <v>2495</v>
      </c>
      <c r="L76" s="36">
        <v>0.97899999999999998</v>
      </c>
      <c r="M76" s="35">
        <v>9752</v>
      </c>
      <c r="N76" s="35">
        <v>9974</v>
      </c>
      <c r="O76" s="35">
        <v>9632</v>
      </c>
      <c r="P76" s="36">
        <v>0.98769483182936835</v>
      </c>
      <c r="Q76" s="35">
        <v>29</v>
      </c>
      <c r="R76" s="35">
        <v>0</v>
      </c>
      <c r="S76" s="35">
        <v>0</v>
      </c>
      <c r="T76" s="36">
        <v>0</v>
      </c>
      <c r="U76" s="35">
        <v>0</v>
      </c>
      <c r="V76" s="36">
        <v>0</v>
      </c>
      <c r="W76" s="35">
        <v>885</v>
      </c>
      <c r="X76" s="36">
        <v>0.41374474053295929</v>
      </c>
      <c r="Y76" s="35">
        <v>1520</v>
      </c>
      <c r="Z76" s="38">
        <v>0.71061243571762511</v>
      </c>
      <c r="AA76" s="35">
        <v>345</v>
      </c>
      <c r="AB76" s="36">
        <v>0.16129032258064521</v>
      </c>
      <c r="AC76" s="35">
        <v>181</v>
      </c>
      <c r="AD76" s="36">
        <v>8.461898083216457E-2</v>
      </c>
      <c r="AE76" s="35">
        <v>41</v>
      </c>
      <c r="AF76" s="36">
        <v>0.22651933701657459</v>
      </c>
      <c r="AG76" s="35">
        <v>175</v>
      </c>
      <c r="AH76" s="36">
        <v>0.96685082872928174</v>
      </c>
      <c r="AI76" s="39">
        <v>169</v>
      </c>
      <c r="AJ76" s="36">
        <v>7.9008882655446463E-2</v>
      </c>
      <c r="AK76" s="39">
        <v>4</v>
      </c>
      <c r="AL76" s="36">
        <v>0.85207100591715978</v>
      </c>
      <c r="AM76" s="39">
        <v>169</v>
      </c>
      <c r="AN76" s="39">
        <v>144</v>
      </c>
      <c r="AO76" s="36">
        <v>6.7321178120617109E-2</v>
      </c>
      <c r="AP76" s="36">
        <v>0.79558011049723754</v>
      </c>
      <c r="AQ76" s="37">
        <v>0.98404255319148937</v>
      </c>
      <c r="AR76" s="39">
        <v>0</v>
      </c>
      <c r="AS76" s="39">
        <v>0</v>
      </c>
      <c r="AT76" s="39">
        <v>38</v>
      </c>
      <c r="AU76" s="39">
        <v>38</v>
      </c>
      <c r="AV76" s="39">
        <v>33</v>
      </c>
      <c r="AW76" s="39">
        <v>44</v>
      </c>
      <c r="AX76" s="36">
        <v>1.7765310892940631E-2</v>
      </c>
      <c r="AY76" s="36">
        <v>1.5427769985974751E-2</v>
      </c>
      <c r="AZ76" s="36">
        <v>2.057035998129967E-2</v>
      </c>
      <c r="BA76" s="36">
        <v>0.22916666666666671</v>
      </c>
      <c r="BB76" s="39">
        <v>0</v>
      </c>
      <c r="BC76" s="39">
        <v>0</v>
      </c>
      <c r="BD76" s="37">
        <v>1</v>
      </c>
      <c r="BE76" s="37">
        <v>1</v>
      </c>
      <c r="BF76" s="37" t="s">
        <v>111</v>
      </c>
    </row>
    <row r="77" spans="1:58" ht="19.5" customHeight="1">
      <c r="A77" s="40">
        <v>74</v>
      </c>
      <c r="B77" s="35" t="s">
        <v>110</v>
      </c>
      <c r="C77" s="41">
        <v>46157</v>
      </c>
      <c r="D77" s="35" t="s">
        <v>36</v>
      </c>
      <c r="E77" s="35">
        <v>5742</v>
      </c>
      <c r="F77" s="35">
        <v>5077</v>
      </c>
      <c r="G77" s="36">
        <v>0.8841866945315221</v>
      </c>
      <c r="H77" s="35">
        <v>1641</v>
      </c>
      <c r="I77" s="37">
        <v>0.28578892371995818</v>
      </c>
      <c r="J77" s="35">
        <v>6319</v>
      </c>
      <c r="K77" s="35">
        <v>6173</v>
      </c>
      <c r="L77" s="36">
        <v>0.97699999999999998</v>
      </c>
      <c r="M77" s="35">
        <v>27051</v>
      </c>
      <c r="N77" s="35">
        <v>28054</v>
      </c>
      <c r="O77" s="35">
        <v>26717</v>
      </c>
      <c r="P77" s="36">
        <v>0.9876529518317253</v>
      </c>
      <c r="Q77" s="35">
        <v>71</v>
      </c>
      <c r="R77" s="35">
        <v>0</v>
      </c>
      <c r="S77" s="35">
        <v>0</v>
      </c>
      <c r="T77" s="36">
        <v>0</v>
      </c>
      <c r="U77" s="35">
        <v>0</v>
      </c>
      <c r="V77" s="36">
        <v>0</v>
      </c>
      <c r="W77" s="35">
        <v>767</v>
      </c>
      <c r="X77" s="36">
        <v>0.13357715081853011</v>
      </c>
      <c r="Y77" s="35">
        <v>3327</v>
      </c>
      <c r="Z77" s="38">
        <v>0.57941483803552774</v>
      </c>
      <c r="AA77" s="35">
        <v>957</v>
      </c>
      <c r="AB77" s="36">
        <v>0.16666666666666671</v>
      </c>
      <c r="AC77" s="35">
        <v>983</v>
      </c>
      <c r="AD77" s="36">
        <v>0.17119470567746431</v>
      </c>
      <c r="AE77" s="35">
        <v>212</v>
      </c>
      <c r="AF77" s="36">
        <v>0.21566632756866741</v>
      </c>
      <c r="AG77" s="35">
        <v>935</v>
      </c>
      <c r="AH77" s="36">
        <v>0.95116988809766023</v>
      </c>
      <c r="AI77" s="39">
        <v>1032</v>
      </c>
      <c r="AJ77" s="36">
        <v>0.17972831765935221</v>
      </c>
      <c r="AK77" s="39">
        <v>68</v>
      </c>
      <c r="AL77" s="36">
        <v>0.90697674418604646</v>
      </c>
      <c r="AM77" s="39">
        <v>1025</v>
      </c>
      <c r="AN77" s="39">
        <v>936</v>
      </c>
      <c r="AO77" s="36">
        <v>0.1630094043887147</v>
      </c>
      <c r="AP77" s="36">
        <v>0.95218718209562558</v>
      </c>
      <c r="AQ77" s="37">
        <v>0.97968397291196385</v>
      </c>
      <c r="AR77" s="39">
        <v>0</v>
      </c>
      <c r="AS77" s="39">
        <v>0</v>
      </c>
      <c r="AT77" s="39">
        <v>96</v>
      </c>
      <c r="AU77" s="39">
        <v>85</v>
      </c>
      <c r="AV77" s="39">
        <v>86</v>
      </c>
      <c r="AW77" s="39">
        <v>202</v>
      </c>
      <c r="AX77" s="36">
        <v>1.480320445837687E-2</v>
      </c>
      <c r="AY77" s="36">
        <v>1.497735980494601E-2</v>
      </c>
      <c r="AZ77" s="36">
        <v>3.5179380006966222E-2</v>
      </c>
      <c r="BA77" s="36">
        <v>9.1880341880341887E-2</v>
      </c>
      <c r="BB77" s="39">
        <v>0</v>
      </c>
      <c r="BC77" s="39">
        <v>0</v>
      </c>
      <c r="BD77" s="37">
        <v>0.9821428571428571</v>
      </c>
      <c r="BE77" s="37">
        <v>0.96</v>
      </c>
      <c r="BF77" s="37" t="s">
        <v>111</v>
      </c>
    </row>
    <row r="78" spans="1:58" ht="19.5" customHeight="1">
      <c r="A78" s="40">
        <v>75</v>
      </c>
      <c r="B78" s="35" t="s">
        <v>110</v>
      </c>
      <c r="C78" s="41">
        <v>46157</v>
      </c>
      <c r="D78" s="35" t="s">
        <v>35</v>
      </c>
      <c r="E78" s="35">
        <v>3285</v>
      </c>
      <c r="F78" s="35">
        <v>2965</v>
      </c>
      <c r="G78" s="36">
        <v>0.9025875190258752</v>
      </c>
      <c r="H78" s="35">
        <v>1527</v>
      </c>
      <c r="I78" s="37">
        <v>0.46484018264840182</v>
      </c>
      <c r="J78" s="35">
        <v>2942</v>
      </c>
      <c r="K78" s="35">
        <v>2887</v>
      </c>
      <c r="L78" s="36">
        <v>0.98099999999999998</v>
      </c>
      <c r="M78" s="35">
        <v>16426</v>
      </c>
      <c r="N78" s="35">
        <v>16782</v>
      </c>
      <c r="O78" s="35">
        <v>16256</v>
      </c>
      <c r="P78" s="36">
        <v>0.98965055399975643</v>
      </c>
      <c r="Q78" s="35">
        <v>26</v>
      </c>
      <c r="R78" s="35">
        <v>0</v>
      </c>
      <c r="S78" s="35">
        <v>0</v>
      </c>
      <c r="T78" s="36">
        <v>0</v>
      </c>
      <c r="U78" s="35">
        <v>0</v>
      </c>
      <c r="V78" s="36">
        <v>0</v>
      </c>
      <c r="W78" s="35">
        <v>1178</v>
      </c>
      <c r="X78" s="36">
        <v>0.35859969558599702</v>
      </c>
      <c r="Y78" s="35">
        <v>1880</v>
      </c>
      <c r="Z78" s="38">
        <v>0.57229832572298323</v>
      </c>
      <c r="AA78" s="35">
        <v>405</v>
      </c>
      <c r="AB78" s="36">
        <v>0.12328767123287671</v>
      </c>
      <c r="AC78" s="35">
        <v>388</v>
      </c>
      <c r="AD78" s="36">
        <v>0.1181126331811263</v>
      </c>
      <c r="AE78" s="35">
        <v>76</v>
      </c>
      <c r="AF78" s="36">
        <v>0.19587628865979381</v>
      </c>
      <c r="AG78" s="35">
        <v>369</v>
      </c>
      <c r="AH78" s="36">
        <v>0.9510309278350515</v>
      </c>
      <c r="AI78" s="39">
        <v>400</v>
      </c>
      <c r="AJ78" s="36">
        <v>0.12176560121765601</v>
      </c>
      <c r="AK78" s="39">
        <v>35</v>
      </c>
      <c r="AL78" s="36">
        <v>0.94499999999999995</v>
      </c>
      <c r="AM78" s="39">
        <v>399</v>
      </c>
      <c r="AN78" s="39">
        <v>378</v>
      </c>
      <c r="AO78" s="36">
        <v>0.1150684931506849</v>
      </c>
      <c r="AP78" s="36">
        <v>0.97422680412371132</v>
      </c>
      <c r="AQ78" s="37">
        <v>0.98701298701298701</v>
      </c>
      <c r="AR78" s="39">
        <v>0</v>
      </c>
      <c r="AS78" s="39">
        <v>0</v>
      </c>
      <c r="AT78" s="39">
        <v>53</v>
      </c>
      <c r="AU78" s="39">
        <v>47</v>
      </c>
      <c r="AV78" s="39">
        <v>47</v>
      </c>
      <c r="AW78" s="39">
        <v>81</v>
      </c>
      <c r="AX78" s="36">
        <v>1.430745814307458E-2</v>
      </c>
      <c r="AY78" s="36">
        <v>1.430745814307458E-2</v>
      </c>
      <c r="AZ78" s="36">
        <v>2.4657534246575338E-2</v>
      </c>
      <c r="BA78" s="36">
        <v>0.1243386243386243</v>
      </c>
      <c r="BB78" s="39">
        <v>0</v>
      </c>
      <c r="BC78" s="39">
        <v>0</v>
      </c>
      <c r="BD78" s="37">
        <v>1</v>
      </c>
      <c r="BE78" s="37">
        <v>1</v>
      </c>
      <c r="BF78" s="37" t="s">
        <v>111</v>
      </c>
    </row>
    <row r="79" spans="1:58" ht="19.5" customHeight="1">
      <c r="A79" s="40">
        <v>76</v>
      </c>
      <c r="B79" s="35" t="s">
        <v>110</v>
      </c>
      <c r="C79" s="41">
        <v>46158</v>
      </c>
      <c r="D79" s="35"/>
      <c r="E79" s="35">
        <v>173</v>
      </c>
      <c r="F79" s="35">
        <v>173</v>
      </c>
      <c r="G79" s="36">
        <v>1</v>
      </c>
      <c r="H79" s="35">
        <v>173</v>
      </c>
      <c r="I79" s="37">
        <v>1</v>
      </c>
      <c r="J79" s="35">
        <v>0</v>
      </c>
      <c r="K79" s="35">
        <v>0</v>
      </c>
      <c r="L79" s="36">
        <v>0</v>
      </c>
      <c r="M79" s="35">
        <v>4</v>
      </c>
      <c r="N79" s="35">
        <v>2</v>
      </c>
      <c r="O79" s="35">
        <v>2</v>
      </c>
      <c r="P79" s="36">
        <v>0.5</v>
      </c>
      <c r="Q79" s="35">
        <v>2</v>
      </c>
      <c r="R79" s="35">
        <v>0</v>
      </c>
      <c r="S79" s="35">
        <v>0</v>
      </c>
      <c r="T79" s="36">
        <v>0</v>
      </c>
      <c r="U79" s="35">
        <v>0</v>
      </c>
      <c r="V79" s="36">
        <v>0</v>
      </c>
      <c r="W79" s="35">
        <v>43</v>
      </c>
      <c r="X79" s="36">
        <v>0.2485549132947977</v>
      </c>
      <c r="Y79" s="35">
        <v>15</v>
      </c>
      <c r="Z79" s="38">
        <v>8.6705202312138727E-2</v>
      </c>
      <c r="AA79" s="35">
        <v>0</v>
      </c>
      <c r="AB79" s="36">
        <v>0</v>
      </c>
      <c r="AC79" s="35">
        <v>0</v>
      </c>
      <c r="AD79" s="36">
        <v>0</v>
      </c>
      <c r="AE79" s="35">
        <v>0</v>
      </c>
      <c r="AF79" s="36">
        <v>0</v>
      </c>
      <c r="AG79" s="35">
        <v>0</v>
      </c>
      <c r="AH79" s="36">
        <v>0</v>
      </c>
      <c r="AI79" s="39">
        <v>0</v>
      </c>
      <c r="AJ79" s="36">
        <v>0</v>
      </c>
      <c r="AK79" s="39">
        <v>0</v>
      </c>
      <c r="AL79" s="36">
        <v>0</v>
      </c>
      <c r="AM79" s="39">
        <v>0</v>
      </c>
      <c r="AN79" s="39">
        <v>0</v>
      </c>
      <c r="AO79" s="36">
        <v>0</v>
      </c>
      <c r="AP79" s="36">
        <v>0</v>
      </c>
      <c r="AQ79" s="37">
        <v>0</v>
      </c>
      <c r="AR79" s="39">
        <v>0</v>
      </c>
      <c r="AS79" s="39">
        <v>0</v>
      </c>
      <c r="AT79" s="39">
        <v>0</v>
      </c>
      <c r="AU79" s="39">
        <v>0</v>
      </c>
      <c r="AV79" s="39">
        <v>0</v>
      </c>
      <c r="AW79" s="39">
        <v>0</v>
      </c>
      <c r="AX79" s="36">
        <v>0</v>
      </c>
      <c r="AY79" s="36">
        <v>0</v>
      </c>
      <c r="AZ79" s="36">
        <v>0</v>
      </c>
      <c r="BA79" s="36">
        <v>0</v>
      </c>
      <c r="BB79" s="39">
        <v>0</v>
      </c>
      <c r="BC79" s="39">
        <v>0</v>
      </c>
      <c r="BD79" s="37" t="s">
        <v>111</v>
      </c>
      <c r="BE79" s="37" t="s">
        <v>111</v>
      </c>
      <c r="BF79" s="37">
        <v>0.99248120300751874</v>
      </c>
    </row>
    <row r="80" spans="1:58" ht="19.5" customHeight="1">
      <c r="A80" s="40">
        <v>77</v>
      </c>
      <c r="B80" s="35" t="s">
        <v>110</v>
      </c>
      <c r="C80" s="41">
        <v>46158</v>
      </c>
      <c r="D80" s="35" t="s">
        <v>34</v>
      </c>
      <c r="E80" s="35">
        <v>3238</v>
      </c>
      <c r="F80" s="35">
        <v>2889</v>
      </c>
      <c r="G80" s="36">
        <v>0.89221741815935762</v>
      </c>
      <c r="H80" s="35">
        <v>688</v>
      </c>
      <c r="I80" s="37">
        <v>0.2124768375540457</v>
      </c>
      <c r="J80" s="35">
        <v>2715</v>
      </c>
      <c r="K80" s="35">
        <v>2657</v>
      </c>
      <c r="L80" s="36">
        <v>0.97899999999999998</v>
      </c>
      <c r="M80" s="35">
        <v>11744</v>
      </c>
      <c r="N80" s="35">
        <v>11885</v>
      </c>
      <c r="O80" s="35">
        <v>11619</v>
      </c>
      <c r="P80" s="36">
        <v>0.9893562670299727</v>
      </c>
      <c r="Q80" s="35">
        <v>21</v>
      </c>
      <c r="R80" s="35">
        <v>0</v>
      </c>
      <c r="S80" s="35">
        <v>0</v>
      </c>
      <c r="T80" s="36">
        <v>0</v>
      </c>
      <c r="U80" s="35">
        <v>0</v>
      </c>
      <c r="V80" s="36">
        <v>0</v>
      </c>
      <c r="W80" s="35">
        <v>308</v>
      </c>
      <c r="X80" s="36">
        <v>9.5120444718962319E-2</v>
      </c>
      <c r="Y80" s="35">
        <v>1272</v>
      </c>
      <c r="Z80" s="38">
        <v>0.39283508338480538</v>
      </c>
      <c r="AA80" s="35">
        <v>224</v>
      </c>
      <c r="AB80" s="36">
        <v>6.9178505250154412E-2</v>
      </c>
      <c r="AC80" s="35">
        <v>287</v>
      </c>
      <c r="AD80" s="36">
        <v>8.8634959851760342E-2</v>
      </c>
      <c r="AE80" s="35">
        <v>62</v>
      </c>
      <c r="AF80" s="36">
        <v>0.2160278745644599</v>
      </c>
      <c r="AG80" s="35">
        <v>264</v>
      </c>
      <c r="AH80" s="36">
        <v>0.91986062717770034</v>
      </c>
      <c r="AI80" s="39">
        <v>294</v>
      </c>
      <c r="AJ80" s="36">
        <v>9.0796788140827672E-2</v>
      </c>
      <c r="AK80" s="39">
        <v>15</v>
      </c>
      <c r="AL80" s="36">
        <v>0.87414965986394555</v>
      </c>
      <c r="AM80" s="39">
        <v>291</v>
      </c>
      <c r="AN80" s="39">
        <v>257</v>
      </c>
      <c r="AO80" s="36">
        <v>7.9369981470043233E-2</v>
      </c>
      <c r="AP80" s="36">
        <v>0.89547038327526129</v>
      </c>
      <c r="AQ80" s="37">
        <v>0.97530864197530864</v>
      </c>
      <c r="AR80" s="39">
        <v>0</v>
      </c>
      <c r="AS80" s="39">
        <v>0</v>
      </c>
      <c r="AT80" s="39">
        <v>68</v>
      </c>
      <c r="AU80" s="39">
        <v>65</v>
      </c>
      <c r="AV80" s="39">
        <v>63</v>
      </c>
      <c r="AW80" s="39">
        <v>47</v>
      </c>
      <c r="AX80" s="36">
        <v>2.0074119827053739E-2</v>
      </c>
      <c r="AY80" s="36">
        <v>1.945645460160593E-2</v>
      </c>
      <c r="AZ80" s="36">
        <v>1.451513279802347E-2</v>
      </c>
      <c r="BA80" s="36">
        <v>0.24513618677042801</v>
      </c>
      <c r="BB80" s="39">
        <v>0</v>
      </c>
      <c r="BC80" s="39">
        <v>0</v>
      </c>
      <c r="BD80" s="37">
        <v>0.96</v>
      </c>
      <c r="BE80" s="37">
        <v>1</v>
      </c>
      <c r="BF80" s="37" t="s">
        <v>111</v>
      </c>
    </row>
    <row r="81" spans="1:58" ht="19.5" customHeight="1">
      <c r="A81" s="40">
        <v>78</v>
      </c>
      <c r="B81" s="35" t="s">
        <v>110</v>
      </c>
      <c r="C81" s="41">
        <v>46158</v>
      </c>
      <c r="D81" s="35" t="s">
        <v>33</v>
      </c>
      <c r="E81" s="35">
        <v>2167</v>
      </c>
      <c r="F81" s="35">
        <v>1957</v>
      </c>
      <c r="G81" s="36">
        <v>0.9030918320258422</v>
      </c>
      <c r="H81" s="35">
        <v>930</v>
      </c>
      <c r="I81" s="37">
        <v>0.42916474388555609</v>
      </c>
      <c r="J81" s="35">
        <v>1741</v>
      </c>
      <c r="K81" s="35">
        <v>1704</v>
      </c>
      <c r="L81" s="36">
        <v>0.97899999999999998</v>
      </c>
      <c r="M81" s="35">
        <v>9216</v>
      </c>
      <c r="N81" s="35">
        <v>9690</v>
      </c>
      <c r="O81" s="35">
        <v>9125</v>
      </c>
      <c r="P81" s="36">
        <v>0.99012586805555558</v>
      </c>
      <c r="Q81" s="35">
        <v>20</v>
      </c>
      <c r="R81" s="35">
        <v>0</v>
      </c>
      <c r="S81" s="35">
        <v>0</v>
      </c>
      <c r="T81" s="36">
        <v>0</v>
      </c>
      <c r="U81" s="35">
        <v>0</v>
      </c>
      <c r="V81" s="36">
        <v>0</v>
      </c>
      <c r="W81" s="35">
        <v>252</v>
      </c>
      <c r="X81" s="36">
        <v>0.1162898015689894</v>
      </c>
      <c r="Y81" s="35">
        <v>1204</v>
      </c>
      <c r="Z81" s="38">
        <v>0.55560682971850484</v>
      </c>
      <c r="AA81" s="35">
        <v>277</v>
      </c>
      <c r="AB81" s="36">
        <v>0.12782648823257961</v>
      </c>
      <c r="AC81" s="35">
        <v>332</v>
      </c>
      <c r="AD81" s="36">
        <v>0.15320719889247811</v>
      </c>
      <c r="AE81" s="35">
        <v>53</v>
      </c>
      <c r="AF81" s="36">
        <v>0.15963855421686751</v>
      </c>
      <c r="AG81" s="35">
        <v>317</v>
      </c>
      <c r="AH81" s="36">
        <v>0.95481927710843373</v>
      </c>
      <c r="AI81" s="39">
        <v>320</v>
      </c>
      <c r="AJ81" s="36">
        <v>0.14766958929395479</v>
      </c>
      <c r="AK81" s="39">
        <v>14</v>
      </c>
      <c r="AL81" s="36">
        <v>0.88124999999999998</v>
      </c>
      <c r="AM81" s="39">
        <v>317</v>
      </c>
      <c r="AN81" s="39">
        <v>282</v>
      </c>
      <c r="AO81" s="36">
        <v>0.13013382556529771</v>
      </c>
      <c r="AP81" s="36">
        <v>0.8493975903614458</v>
      </c>
      <c r="AQ81" s="37">
        <v>0.99358974358974361</v>
      </c>
      <c r="AR81" s="39">
        <v>0</v>
      </c>
      <c r="AS81" s="39">
        <v>0</v>
      </c>
      <c r="AT81" s="39">
        <v>62</v>
      </c>
      <c r="AU81" s="39">
        <v>56</v>
      </c>
      <c r="AV81" s="39">
        <v>63</v>
      </c>
      <c r="AW81" s="39">
        <v>32</v>
      </c>
      <c r="AX81" s="36">
        <v>2.584217812644209E-2</v>
      </c>
      <c r="AY81" s="36">
        <v>2.9072450392247349E-2</v>
      </c>
      <c r="AZ81" s="36">
        <v>1.4766958929395479E-2</v>
      </c>
      <c r="BA81" s="36">
        <v>0.2234042553191489</v>
      </c>
      <c r="BB81" s="39">
        <v>0</v>
      </c>
      <c r="BC81" s="39">
        <v>1</v>
      </c>
      <c r="BD81" s="37">
        <v>0.94444444444444442</v>
      </c>
      <c r="BE81" s="37">
        <v>0.8666666666666667</v>
      </c>
      <c r="BF81" s="37" t="s">
        <v>111</v>
      </c>
    </row>
    <row r="82" spans="1:58" ht="19.5" customHeight="1">
      <c r="A82" s="40">
        <v>79</v>
      </c>
      <c r="B82" s="35" t="s">
        <v>110</v>
      </c>
      <c r="C82" s="41">
        <v>46158</v>
      </c>
      <c r="D82" s="35" t="s">
        <v>36</v>
      </c>
      <c r="E82" s="35">
        <v>6565</v>
      </c>
      <c r="F82" s="35">
        <v>5543</v>
      </c>
      <c r="G82" s="36">
        <v>0.84432597105864438</v>
      </c>
      <c r="H82" s="35">
        <v>2343</v>
      </c>
      <c r="I82" s="37">
        <v>0.35689261233815689</v>
      </c>
      <c r="J82" s="35">
        <v>5695</v>
      </c>
      <c r="K82" s="35">
        <v>5240</v>
      </c>
      <c r="L82" s="36">
        <v>0.92</v>
      </c>
      <c r="M82" s="35">
        <v>27253</v>
      </c>
      <c r="N82" s="35">
        <v>29040</v>
      </c>
      <c r="O82" s="35">
        <v>26636</v>
      </c>
      <c r="P82" s="36">
        <v>0.97736029061020802</v>
      </c>
      <c r="Q82" s="35">
        <v>42</v>
      </c>
      <c r="R82" s="35">
        <v>0</v>
      </c>
      <c r="S82" s="35">
        <v>0</v>
      </c>
      <c r="T82" s="36">
        <v>0</v>
      </c>
      <c r="U82" s="35">
        <v>0</v>
      </c>
      <c r="V82" s="36">
        <v>0</v>
      </c>
      <c r="W82" s="35">
        <v>804</v>
      </c>
      <c r="X82" s="36">
        <v>0.1224676313785225</v>
      </c>
      <c r="Y82" s="35">
        <v>3207</v>
      </c>
      <c r="Z82" s="38">
        <v>0.48849961919268847</v>
      </c>
      <c r="AA82" s="35">
        <v>997</v>
      </c>
      <c r="AB82" s="36">
        <v>0.1518659558263519</v>
      </c>
      <c r="AC82" s="35">
        <v>1514</v>
      </c>
      <c r="AD82" s="36">
        <v>0.2306169078446306</v>
      </c>
      <c r="AE82" s="35">
        <v>254</v>
      </c>
      <c r="AF82" s="36">
        <v>0.16776750330250989</v>
      </c>
      <c r="AG82" s="35">
        <v>1444</v>
      </c>
      <c r="AH82" s="36">
        <v>0.95376486129458393</v>
      </c>
      <c r="AI82" s="39">
        <v>1546</v>
      </c>
      <c r="AJ82" s="36">
        <v>0.2354912414318355</v>
      </c>
      <c r="AK82" s="39">
        <v>73</v>
      </c>
      <c r="AL82" s="36">
        <v>0.89909443725743854</v>
      </c>
      <c r="AM82" s="39">
        <v>1526</v>
      </c>
      <c r="AN82" s="39">
        <v>1390</v>
      </c>
      <c r="AO82" s="36">
        <v>0.21172886519421169</v>
      </c>
      <c r="AP82" s="36">
        <v>0.9180977542932629</v>
      </c>
      <c r="AQ82" s="37">
        <v>0.97891566265060237</v>
      </c>
      <c r="AR82" s="39">
        <v>0</v>
      </c>
      <c r="AS82" s="39">
        <v>0</v>
      </c>
      <c r="AT82" s="39">
        <v>186</v>
      </c>
      <c r="AU82" s="39">
        <v>180</v>
      </c>
      <c r="AV82" s="39">
        <v>171</v>
      </c>
      <c r="AW82" s="39">
        <v>135</v>
      </c>
      <c r="AX82" s="36">
        <v>2.741812642802742E-2</v>
      </c>
      <c r="AY82" s="36">
        <v>2.6047220106626051E-2</v>
      </c>
      <c r="AZ82" s="36">
        <v>2.0563594821020569E-2</v>
      </c>
      <c r="BA82" s="36">
        <v>0.1230215827338129</v>
      </c>
      <c r="BB82" s="39">
        <v>0</v>
      </c>
      <c r="BC82" s="39">
        <v>0</v>
      </c>
      <c r="BD82" s="37">
        <v>0.98814229249011853</v>
      </c>
      <c r="BE82" s="37">
        <v>1</v>
      </c>
      <c r="BF82" s="37" t="s">
        <v>111</v>
      </c>
    </row>
    <row r="83" spans="1:58" ht="19.5" customHeight="1">
      <c r="A83" s="40">
        <v>80</v>
      </c>
      <c r="B83" s="35" t="s">
        <v>110</v>
      </c>
      <c r="C83" s="41">
        <v>46158</v>
      </c>
      <c r="D83" s="35" t="s">
        <v>35</v>
      </c>
      <c r="E83" s="35">
        <v>4571</v>
      </c>
      <c r="F83" s="35">
        <v>4054</v>
      </c>
      <c r="G83" s="36">
        <v>0.88689564646685626</v>
      </c>
      <c r="H83" s="35">
        <v>2498</v>
      </c>
      <c r="I83" s="37">
        <v>0.54648873331874859</v>
      </c>
      <c r="J83" s="35">
        <v>4799</v>
      </c>
      <c r="K83" s="35">
        <v>4736</v>
      </c>
      <c r="L83" s="36">
        <v>0.98699999999999999</v>
      </c>
      <c r="M83" s="35">
        <v>18351</v>
      </c>
      <c r="N83" s="35">
        <v>19293</v>
      </c>
      <c r="O83" s="35">
        <v>18193</v>
      </c>
      <c r="P83" s="36">
        <v>0.99139011498011009</v>
      </c>
      <c r="Q83" s="35">
        <v>24</v>
      </c>
      <c r="R83" s="35">
        <v>0</v>
      </c>
      <c r="S83" s="35">
        <v>0</v>
      </c>
      <c r="T83" s="36">
        <v>0</v>
      </c>
      <c r="U83" s="35">
        <v>0</v>
      </c>
      <c r="V83" s="36">
        <v>0</v>
      </c>
      <c r="W83" s="35">
        <v>342</v>
      </c>
      <c r="X83" s="36">
        <v>7.4819514329468387E-2</v>
      </c>
      <c r="Y83" s="35">
        <v>1754</v>
      </c>
      <c r="Z83" s="38">
        <v>0.38372347407569463</v>
      </c>
      <c r="AA83" s="35">
        <v>427</v>
      </c>
      <c r="AB83" s="36">
        <v>9.3415007656967836E-2</v>
      </c>
      <c r="AC83" s="35">
        <v>637</v>
      </c>
      <c r="AD83" s="36">
        <v>0.13935681470137831</v>
      </c>
      <c r="AE83" s="35">
        <v>82</v>
      </c>
      <c r="AF83" s="36">
        <v>0.1287284144427002</v>
      </c>
      <c r="AG83" s="35">
        <v>611</v>
      </c>
      <c r="AH83" s="36">
        <v>0.95918367346938771</v>
      </c>
      <c r="AI83" s="39">
        <v>640</v>
      </c>
      <c r="AJ83" s="36">
        <v>0.1400131262305841</v>
      </c>
      <c r="AK83" s="39">
        <v>42</v>
      </c>
      <c r="AL83" s="36">
        <v>0.93437499999999996</v>
      </c>
      <c r="AM83" s="39">
        <v>631</v>
      </c>
      <c r="AN83" s="39">
        <v>598</v>
      </c>
      <c r="AO83" s="36">
        <v>0.13082476482170199</v>
      </c>
      <c r="AP83" s="36">
        <v>0.93877551020408168</v>
      </c>
      <c r="AQ83" s="37">
        <v>0.97534246575342465</v>
      </c>
      <c r="AR83" s="39">
        <v>0</v>
      </c>
      <c r="AS83" s="39">
        <v>0</v>
      </c>
      <c r="AT83" s="39">
        <v>82</v>
      </c>
      <c r="AU83" s="39">
        <v>82</v>
      </c>
      <c r="AV83" s="39">
        <v>80</v>
      </c>
      <c r="AW83" s="39">
        <v>37</v>
      </c>
      <c r="AX83" s="36">
        <v>1.7939181798293589E-2</v>
      </c>
      <c r="AY83" s="36">
        <v>1.7501640778823019E-2</v>
      </c>
      <c r="AZ83" s="36">
        <v>8.0945088602056448E-3</v>
      </c>
      <c r="BA83" s="36">
        <v>0.13377926421404679</v>
      </c>
      <c r="BB83" s="39">
        <v>0</v>
      </c>
      <c r="BC83" s="39">
        <v>0</v>
      </c>
      <c r="BD83" s="37">
        <v>0.98734177215189878</v>
      </c>
      <c r="BE83" s="37">
        <v>1</v>
      </c>
      <c r="BF83" s="37" t="s">
        <v>111</v>
      </c>
    </row>
    <row r="84" spans="1:58" ht="19.5" customHeight="1">
      <c r="A84" s="40">
        <v>81</v>
      </c>
      <c r="B84" s="35" t="s">
        <v>110</v>
      </c>
      <c r="C84" s="41">
        <v>46159</v>
      </c>
      <c r="D84" s="35"/>
      <c r="E84" s="35">
        <v>109</v>
      </c>
      <c r="F84" s="35">
        <v>109</v>
      </c>
      <c r="G84" s="36">
        <v>1</v>
      </c>
      <c r="H84" s="35">
        <v>109</v>
      </c>
      <c r="I84" s="37">
        <v>1</v>
      </c>
      <c r="J84" s="35">
        <v>0</v>
      </c>
      <c r="K84" s="35">
        <v>0</v>
      </c>
      <c r="L84" s="36">
        <v>0</v>
      </c>
      <c r="M84" s="35">
        <v>11</v>
      </c>
      <c r="N84" s="35">
        <v>10</v>
      </c>
      <c r="O84" s="35">
        <v>9</v>
      </c>
      <c r="P84" s="36">
        <v>0.81818181818181823</v>
      </c>
      <c r="Q84" s="35">
        <v>2</v>
      </c>
      <c r="R84" s="35">
        <v>0</v>
      </c>
      <c r="S84" s="35">
        <v>0</v>
      </c>
      <c r="T84" s="36">
        <v>0</v>
      </c>
      <c r="U84" s="35">
        <v>0</v>
      </c>
      <c r="V84" s="36">
        <v>0</v>
      </c>
      <c r="W84" s="35">
        <v>51</v>
      </c>
      <c r="X84" s="36">
        <v>0.46788990825688082</v>
      </c>
      <c r="Y84" s="35">
        <v>19</v>
      </c>
      <c r="Z84" s="38">
        <v>0.1743119266055046</v>
      </c>
      <c r="AA84" s="35">
        <v>0</v>
      </c>
      <c r="AB84" s="36">
        <v>0</v>
      </c>
      <c r="AC84" s="35">
        <v>0</v>
      </c>
      <c r="AD84" s="36">
        <v>0</v>
      </c>
      <c r="AE84" s="35">
        <v>0</v>
      </c>
      <c r="AF84" s="36">
        <v>0</v>
      </c>
      <c r="AG84" s="35">
        <v>0</v>
      </c>
      <c r="AH84" s="36">
        <v>0</v>
      </c>
      <c r="AI84" s="39">
        <v>0</v>
      </c>
      <c r="AJ84" s="36">
        <v>0</v>
      </c>
      <c r="AK84" s="39">
        <v>0</v>
      </c>
      <c r="AL84" s="36">
        <v>0</v>
      </c>
      <c r="AM84" s="39">
        <v>0</v>
      </c>
      <c r="AN84" s="39">
        <v>0</v>
      </c>
      <c r="AO84" s="36">
        <v>0</v>
      </c>
      <c r="AP84" s="36">
        <v>0</v>
      </c>
      <c r="AQ84" s="37">
        <v>0</v>
      </c>
      <c r="AR84" s="39">
        <v>0</v>
      </c>
      <c r="AS84" s="39">
        <v>0</v>
      </c>
      <c r="AT84" s="39">
        <v>0</v>
      </c>
      <c r="AU84" s="39">
        <v>0</v>
      </c>
      <c r="AV84" s="39">
        <v>0</v>
      </c>
      <c r="AW84" s="39">
        <v>0</v>
      </c>
      <c r="AX84" s="36">
        <v>0</v>
      </c>
      <c r="AY84" s="36">
        <v>0</v>
      </c>
      <c r="AZ84" s="36">
        <v>0</v>
      </c>
      <c r="BA84" s="36">
        <v>0</v>
      </c>
      <c r="BB84" s="39">
        <v>0</v>
      </c>
      <c r="BC84" s="39">
        <v>0</v>
      </c>
      <c r="BD84" s="37" t="s">
        <v>111</v>
      </c>
      <c r="BE84" s="37" t="s">
        <v>111</v>
      </c>
      <c r="BF84" s="37">
        <v>0.99236641221374045</v>
      </c>
    </row>
    <row r="85" spans="1:58" ht="19.5" customHeight="1">
      <c r="A85" s="40">
        <v>82</v>
      </c>
      <c r="B85" s="35" t="s">
        <v>110</v>
      </c>
      <c r="C85" s="41">
        <v>46159</v>
      </c>
      <c r="D85" s="35" t="s">
        <v>34</v>
      </c>
      <c r="E85" s="35">
        <v>3765</v>
      </c>
      <c r="F85" s="35">
        <v>3346</v>
      </c>
      <c r="G85" s="36">
        <v>0.88871181938911026</v>
      </c>
      <c r="H85" s="35">
        <v>1390</v>
      </c>
      <c r="I85" s="37">
        <v>0.36918990703851262</v>
      </c>
      <c r="J85" s="35">
        <v>3424</v>
      </c>
      <c r="K85" s="35">
        <v>3298</v>
      </c>
      <c r="L85" s="36">
        <v>0.96299999999999997</v>
      </c>
      <c r="M85" s="35">
        <v>12372</v>
      </c>
      <c r="N85" s="35">
        <v>12527</v>
      </c>
      <c r="O85" s="35">
        <v>12184</v>
      </c>
      <c r="P85" s="36">
        <v>0.98480439702554157</v>
      </c>
      <c r="Q85" s="35">
        <v>29</v>
      </c>
      <c r="R85" s="35">
        <v>0</v>
      </c>
      <c r="S85" s="35">
        <v>0</v>
      </c>
      <c r="T85" s="36">
        <v>0</v>
      </c>
      <c r="U85" s="35">
        <v>0</v>
      </c>
      <c r="V85" s="36">
        <v>0</v>
      </c>
      <c r="W85" s="35">
        <v>302</v>
      </c>
      <c r="X85" s="36">
        <v>8.0212483399734399E-2</v>
      </c>
      <c r="Y85" s="35">
        <v>1412</v>
      </c>
      <c r="Z85" s="38">
        <v>0.37503320053120848</v>
      </c>
      <c r="AA85" s="35">
        <v>252</v>
      </c>
      <c r="AB85" s="36">
        <v>6.6932270916334663E-2</v>
      </c>
      <c r="AC85" s="35">
        <v>318</v>
      </c>
      <c r="AD85" s="36">
        <v>8.4462151394422313E-2</v>
      </c>
      <c r="AE85" s="35">
        <v>37</v>
      </c>
      <c r="AF85" s="36">
        <v>0.1163522012578616</v>
      </c>
      <c r="AG85" s="35">
        <v>300</v>
      </c>
      <c r="AH85" s="36">
        <v>0.94339622641509435</v>
      </c>
      <c r="AI85" s="39">
        <v>311</v>
      </c>
      <c r="AJ85" s="36">
        <v>8.2602921646746347E-2</v>
      </c>
      <c r="AK85" s="39">
        <v>29</v>
      </c>
      <c r="AL85" s="36">
        <v>0.84887459807073951</v>
      </c>
      <c r="AM85" s="39">
        <v>298</v>
      </c>
      <c r="AN85" s="39">
        <v>264</v>
      </c>
      <c r="AO85" s="36">
        <v>7.0119521912350602E-2</v>
      </c>
      <c r="AP85" s="36">
        <v>0.83018867924528306</v>
      </c>
      <c r="AQ85" s="37">
        <v>0.98091603053435117</v>
      </c>
      <c r="AR85" s="39">
        <v>0</v>
      </c>
      <c r="AS85" s="39">
        <v>0</v>
      </c>
      <c r="AT85" s="39">
        <v>81</v>
      </c>
      <c r="AU85" s="39">
        <v>78</v>
      </c>
      <c r="AV85" s="39">
        <v>77</v>
      </c>
      <c r="AW85" s="39">
        <v>35</v>
      </c>
      <c r="AX85" s="36">
        <v>2.0717131474103589E-2</v>
      </c>
      <c r="AY85" s="36">
        <v>2.0451527224435589E-2</v>
      </c>
      <c r="AZ85" s="36">
        <v>9.2961487383798145E-3</v>
      </c>
      <c r="BA85" s="36">
        <v>0.29166666666666669</v>
      </c>
      <c r="BB85" s="39">
        <v>0</v>
      </c>
      <c r="BC85" s="39">
        <v>0</v>
      </c>
      <c r="BD85" s="37">
        <v>1</v>
      </c>
      <c r="BE85" s="37">
        <v>1</v>
      </c>
      <c r="BF85" s="37" t="s">
        <v>111</v>
      </c>
    </row>
    <row r="86" spans="1:58" ht="19.5" customHeight="1">
      <c r="A86" s="40">
        <v>83</v>
      </c>
      <c r="B86" s="35" t="s">
        <v>110</v>
      </c>
      <c r="C86" s="41">
        <v>46159</v>
      </c>
      <c r="D86" s="35" t="s">
        <v>33</v>
      </c>
      <c r="E86" s="35">
        <v>2693</v>
      </c>
      <c r="F86" s="35">
        <v>2465</v>
      </c>
      <c r="G86" s="36">
        <v>0.91533605644262905</v>
      </c>
      <c r="H86" s="35">
        <v>1256</v>
      </c>
      <c r="I86" s="37">
        <v>0.4663943557370962</v>
      </c>
      <c r="J86" s="35">
        <v>2667</v>
      </c>
      <c r="K86" s="35">
        <v>2615</v>
      </c>
      <c r="L86" s="36">
        <v>0.98099999999999998</v>
      </c>
      <c r="M86" s="35">
        <v>10112</v>
      </c>
      <c r="N86" s="35">
        <v>10253</v>
      </c>
      <c r="O86" s="35">
        <v>9989</v>
      </c>
      <c r="P86" s="36">
        <v>0.98783623417721522</v>
      </c>
      <c r="Q86" s="35">
        <v>24</v>
      </c>
      <c r="R86" s="35">
        <v>0</v>
      </c>
      <c r="S86" s="35">
        <v>0</v>
      </c>
      <c r="T86" s="36">
        <v>0</v>
      </c>
      <c r="U86" s="35">
        <v>0</v>
      </c>
      <c r="V86" s="36">
        <v>0</v>
      </c>
      <c r="W86" s="35">
        <v>251</v>
      </c>
      <c r="X86" s="36">
        <v>9.3204604530263649E-2</v>
      </c>
      <c r="Y86" s="35">
        <v>1256</v>
      </c>
      <c r="Z86" s="38">
        <v>0.4663943557370962</v>
      </c>
      <c r="AA86" s="35">
        <v>283</v>
      </c>
      <c r="AB86" s="36">
        <v>0.1050872632751578</v>
      </c>
      <c r="AC86" s="35">
        <v>329</v>
      </c>
      <c r="AD86" s="36">
        <v>0.1221685852209432</v>
      </c>
      <c r="AE86" s="35">
        <v>49</v>
      </c>
      <c r="AF86" s="36">
        <v>0.14893617021276601</v>
      </c>
      <c r="AG86" s="35">
        <v>315</v>
      </c>
      <c r="AH86" s="36">
        <v>0.95744680851063835</v>
      </c>
      <c r="AI86" s="39">
        <v>343</v>
      </c>
      <c r="AJ86" s="36">
        <v>0.12736724842183439</v>
      </c>
      <c r="AK86" s="39">
        <v>25</v>
      </c>
      <c r="AL86" s="36">
        <v>0.86588921282798836</v>
      </c>
      <c r="AM86" s="39">
        <v>336</v>
      </c>
      <c r="AN86" s="39">
        <v>297</v>
      </c>
      <c r="AO86" s="36">
        <v>0.110285926476049</v>
      </c>
      <c r="AP86" s="36">
        <v>0.90273556231003038</v>
      </c>
      <c r="AQ86" s="37">
        <v>0.97288135593220337</v>
      </c>
      <c r="AR86" s="39">
        <v>0</v>
      </c>
      <c r="AS86" s="39">
        <v>0</v>
      </c>
      <c r="AT86" s="39">
        <v>84</v>
      </c>
      <c r="AU86" s="39">
        <v>79</v>
      </c>
      <c r="AV86" s="39">
        <v>81</v>
      </c>
      <c r="AW86" s="39">
        <v>32</v>
      </c>
      <c r="AX86" s="36">
        <v>2.933531377645748E-2</v>
      </c>
      <c r="AY86" s="36">
        <v>3.007797994801337E-2</v>
      </c>
      <c r="AZ86" s="36">
        <v>1.188265874489417E-2</v>
      </c>
      <c r="BA86" s="36">
        <v>0.27272727272727271</v>
      </c>
      <c r="BB86" s="39">
        <v>0</v>
      </c>
      <c r="BC86" s="39">
        <v>0</v>
      </c>
      <c r="BD86" s="37">
        <v>0.96</v>
      </c>
      <c r="BE86" s="37">
        <v>1</v>
      </c>
      <c r="BF86" s="37" t="s">
        <v>111</v>
      </c>
    </row>
    <row r="87" spans="1:58" ht="19.5" customHeight="1">
      <c r="A87" s="40">
        <v>84</v>
      </c>
      <c r="B87" s="35" t="s">
        <v>110</v>
      </c>
      <c r="C87" s="41">
        <v>46159</v>
      </c>
      <c r="D87" s="35" t="s">
        <v>36</v>
      </c>
      <c r="E87" s="35">
        <v>6280</v>
      </c>
      <c r="F87" s="35">
        <v>5419</v>
      </c>
      <c r="G87" s="36">
        <v>0.86289808917197452</v>
      </c>
      <c r="H87" s="35">
        <v>2075</v>
      </c>
      <c r="I87" s="37">
        <v>0.33041401273885351</v>
      </c>
      <c r="J87" s="35">
        <v>6353</v>
      </c>
      <c r="K87" s="35">
        <v>5869</v>
      </c>
      <c r="L87" s="36">
        <v>0.92400000000000004</v>
      </c>
      <c r="M87" s="35">
        <v>29318</v>
      </c>
      <c r="N87" s="35">
        <v>28979</v>
      </c>
      <c r="O87" s="35">
        <v>28647</v>
      </c>
      <c r="P87" s="36">
        <v>0.97711303635991542</v>
      </c>
      <c r="Q87" s="35">
        <v>55</v>
      </c>
      <c r="R87" s="35">
        <v>0</v>
      </c>
      <c r="S87" s="35">
        <v>0</v>
      </c>
      <c r="T87" s="36">
        <v>0</v>
      </c>
      <c r="U87" s="35">
        <v>0</v>
      </c>
      <c r="V87" s="36">
        <v>0</v>
      </c>
      <c r="W87" s="35">
        <v>479</v>
      </c>
      <c r="X87" s="36">
        <v>7.6273885350318468E-2</v>
      </c>
      <c r="Y87" s="35">
        <v>3226</v>
      </c>
      <c r="Z87" s="38">
        <v>0.51369426751592362</v>
      </c>
      <c r="AA87" s="35">
        <v>959</v>
      </c>
      <c r="AB87" s="36">
        <v>0.15270700636942669</v>
      </c>
      <c r="AC87" s="35">
        <v>1430</v>
      </c>
      <c r="AD87" s="36">
        <v>0.22770700636942681</v>
      </c>
      <c r="AE87" s="35">
        <v>239</v>
      </c>
      <c r="AF87" s="36">
        <v>0.1671328671328671</v>
      </c>
      <c r="AG87" s="35">
        <v>1353</v>
      </c>
      <c r="AH87" s="36">
        <v>0.94615384615384612</v>
      </c>
      <c r="AI87" s="39">
        <v>1448</v>
      </c>
      <c r="AJ87" s="36">
        <v>0.23057324840764329</v>
      </c>
      <c r="AK87" s="39">
        <v>79</v>
      </c>
      <c r="AL87" s="36">
        <v>0.90400552486187846</v>
      </c>
      <c r="AM87" s="39">
        <v>1434</v>
      </c>
      <c r="AN87" s="39">
        <v>1309</v>
      </c>
      <c r="AO87" s="36">
        <v>0.20843949044585991</v>
      </c>
      <c r="AP87" s="36">
        <v>0.91538461538461535</v>
      </c>
      <c r="AQ87" s="37">
        <v>0.9775967413441955</v>
      </c>
      <c r="AR87" s="39">
        <v>0</v>
      </c>
      <c r="AS87" s="39">
        <v>0</v>
      </c>
      <c r="AT87" s="39">
        <v>214</v>
      </c>
      <c r="AU87" s="39">
        <v>210</v>
      </c>
      <c r="AV87" s="39">
        <v>206</v>
      </c>
      <c r="AW87" s="39">
        <v>108</v>
      </c>
      <c r="AX87" s="36">
        <v>3.3439490445859872E-2</v>
      </c>
      <c r="AY87" s="36">
        <v>3.2802547770700637E-2</v>
      </c>
      <c r="AZ87" s="36">
        <v>1.7197452229299359E-2</v>
      </c>
      <c r="BA87" s="36">
        <v>0.1573720397249809</v>
      </c>
      <c r="BB87" s="39">
        <v>0</v>
      </c>
      <c r="BC87" s="39">
        <v>1</v>
      </c>
      <c r="BD87" s="37">
        <v>0.98134328358208955</v>
      </c>
      <c r="BE87" s="37">
        <v>1</v>
      </c>
      <c r="BF87" s="37" t="s">
        <v>111</v>
      </c>
    </row>
    <row r="88" spans="1:58" ht="19.5" customHeight="1">
      <c r="A88" s="40">
        <v>85</v>
      </c>
      <c r="B88" s="35" t="s">
        <v>110</v>
      </c>
      <c r="C88" s="41">
        <v>46159</v>
      </c>
      <c r="D88" s="35" t="s">
        <v>35</v>
      </c>
      <c r="E88" s="35">
        <v>3668</v>
      </c>
      <c r="F88" s="35">
        <v>3379</v>
      </c>
      <c r="G88" s="36">
        <v>0.9212104689203926</v>
      </c>
      <c r="H88" s="35">
        <v>1667</v>
      </c>
      <c r="I88" s="37">
        <v>0.45447110141766628</v>
      </c>
      <c r="J88" s="35">
        <v>3572</v>
      </c>
      <c r="K88" s="35">
        <v>3492</v>
      </c>
      <c r="L88" s="36">
        <v>0.97799999999999998</v>
      </c>
      <c r="M88" s="35">
        <v>17681</v>
      </c>
      <c r="N88" s="35">
        <v>17712</v>
      </c>
      <c r="O88" s="35">
        <v>17490</v>
      </c>
      <c r="P88" s="36">
        <v>0.9891974435835077</v>
      </c>
      <c r="Q88" s="35">
        <v>37</v>
      </c>
      <c r="R88" s="35">
        <v>0</v>
      </c>
      <c r="S88" s="35">
        <v>0</v>
      </c>
      <c r="T88" s="36">
        <v>0</v>
      </c>
      <c r="U88" s="35">
        <v>0</v>
      </c>
      <c r="V88" s="36">
        <v>0</v>
      </c>
      <c r="W88" s="35">
        <v>409</v>
      </c>
      <c r="X88" s="36">
        <v>0.111504907306434</v>
      </c>
      <c r="Y88" s="35">
        <v>1814</v>
      </c>
      <c r="Z88" s="38">
        <v>0.49454743729552891</v>
      </c>
      <c r="AA88" s="35">
        <v>468</v>
      </c>
      <c r="AB88" s="36">
        <v>0.1275899672846238</v>
      </c>
      <c r="AC88" s="35">
        <v>594</v>
      </c>
      <c r="AD88" s="36">
        <v>0.16194111232279171</v>
      </c>
      <c r="AE88" s="35">
        <v>74</v>
      </c>
      <c r="AF88" s="36">
        <v>0.12457912457912459</v>
      </c>
      <c r="AG88" s="35">
        <v>568</v>
      </c>
      <c r="AH88" s="36">
        <v>0.95622895622895621</v>
      </c>
      <c r="AI88" s="39">
        <v>575</v>
      </c>
      <c r="AJ88" s="36">
        <v>0.1567611777535442</v>
      </c>
      <c r="AK88" s="39">
        <v>40</v>
      </c>
      <c r="AL88" s="36">
        <v>0.95130434782608697</v>
      </c>
      <c r="AM88" s="39">
        <v>568</v>
      </c>
      <c r="AN88" s="39">
        <v>547</v>
      </c>
      <c r="AO88" s="36">
        <v>0.14912758996728459</v>
      </c>
      <c r="AP88" s="36">
        <v>0.92087542087542085</v>
      </c>
      <c r="AQ88" s="37">
        <v>0.96302521008403363</v>
      </c>
      <c r="AR88" s="39">
        <v>0</v>
      </c>
      <c r="AS88" s="39">
        <v>0</v>
      </c>
      <c r="AT88" s="39">
        <v>116</v>
      </c>
      <c r="AU88" s="39">
        <v>112</v>
      </c>
      <c r="AV88" s="39">
        <v>104</v>
      </c>
      <c r="AW88" s="39">
        <v>39</v>
      </c>
      <c r="AX88" s="36">
        <v>3.053435114503817E-2</v>
      </c>
      <c r="AY88" s="36">
        <v>2.835332606324973E-2</v>
      </c>
      <c r="AZ88" s="36">
        <v>1.063249727371865E-2</v>
      </c>
      <c r="BA88" s="36">
        <v>0.19012797074954299</v>
      </c>
      <c r="BB88" s="39">
        <v>0</v>
      </c>
      <c r="BC88" s="39">
        <v>0</v>
      </c>
      <c r="BD88" s="37">
        <v>0.97701149425287359</v>
      </c>
      <c r="BE88" s="37">
        <v>1</v>
      </c>
      <c r="BF88" s="37" t="s">
        <v>111</v>
      </c>
    </row>
    <row r="89" spans="1:58" ht="25.7" customHeight="1">
      <c r="A89" s="40">
        <v>86</v>
      </c>
      <c r="B89" s="35" t="s">
        <v>110</v>
      </c>
      <c r="C89" s="41">
        <v>46160</v>
      </c>
      <c r="D89" s="35"/>
      <c r="E89" s="35">
        <v>43</v>
      </c>
      <c r="F89" s="35">
        <v>43</v>
      </c>
      <c r="G89" s="36">
        <v>1</v>
      </c>
      <c r="H89" s="35">
        <v>43</v>
      </c>
      <c r="I89" s="37">
        <v>1</v>
      </c>
      <c r="J89" s="35">
        <v>0</v>
      </c>
      <c r="K89" s="35">
        <v>0</v>
      </c>
      <c r="L89" s="36">
        <v>0</v>
      </c>
      <c r="M89" s="35">
        <v>3</v>
      </c>
      <c r="N89" s="35">
        <v>0</v>
      </c>
      <c r="O89" s="35">
        <v>1</v>
      </c>
      <c r="P89" s="36">
        <v>0.33333333333333331</v>
      </c>
      <c r="Q89" s="35">
        <v>2</v>
      </c>
      <c r="R89" s="35">
        <v>0</v>
      </c>
      <c r="S89" s="35">
        <v>0</v>
      </c>
      <c r="T89" s="36">
        <v>0</v>
      </c>
      <c r="U89" s="35">
        <v>0</v>
      </c>
      <c r="V89" s="36">
        <v>0</v>
      </c>
      <c r="W89" s="35">
        <v>21</v>
      </c>
      <c r="X89" s="36">
        <v>0.48837209302325579</v>
      </c>
      <c r="Y89" s="35">
        <v>50</v>
      </c>
      <c r="Z89" s="38">
        <v>1.1627906976744189</v>
      </c>
      <c r="AA89" s="35">
        <v>0</v>
      </c>
      <c r="AB89" s="36">
        <v>0</v>
      </c>
      <c r="AC89" s="35">
        <v>0</v>
      </c>
      <c r="AD89" s="36">
        <v>0</v>
      </c>
      <c r="AE89" s="35">
        <v>0</v>
      </c>
      <c r="AF89" s="36">
        <v>0</v>
      </c>
      <c r="AG89" s="35">
        <v>0</v>
      </c>
      <c r="AH89" s="36">
        <v>0</v>
      </c>
      <c r="AI89" s="39">
        <v>0</v>
      </c>
      <c r="AJ89" s="36">
        <v>0</v>
      </c>
      <c r="AK89" s="39">
        <v>0</v>
      </c>
      <c r="AL89" s="36">
        <v>0</v>
      </c>
      <c r="AM89" s="39">
        <v>0</v>
      </c>
      <c r="AN89" s="39">
        <v>0</v>
      </c>
      <c r="AO89" s="36">
        <v>0</v>
      </c>
      <c r="AP89" s="36">
        <v>0</v>
      </c>
      <c r="AQ89" s="37">
        <v>0</v>
      </c>
      <c r="AR89" s="39">
        <v>0</v>
      </c>
      <c r="AS89" s="39">
        <v>0</v>
      </c>
      <c r="AT89" s="39">
        <v>0</v>
      </c>
      <c r="AU89" s="39">
        <v>0</v>
      </c>
      <c r="AV89" s="39">
        <v>0</v>
      </c>
      <c r="AW89" s="39">
        <v>0</v>
      </c>
      <c r="AX89" s="36">
        <v>0</v>
      </c>
      <c r="AY89" s="36">
        <v>0</v>
      </c>
      <c r="AZ89" s="36">
        <v>0</v>
      </c>
      <c r="BA89" s="36">
        <v>0</v>
      </c>
      <c r="BB89" s="39">
        <v>0</v>
      </c>
      <c r="BC89" s="39">
        <v>0</v>
      </c>
      <c r="BD89" s="37" t="s">
        <v>111</v>
      </c>
      <c r="BE89" s="37" t="s">
        <v>111</v>
      </c>
      <c r="BF89" s="37">
        <v>1</v>
      </c>
    </row>
    <row r="90" spans="1:58" ht="19.5" customHeight="1">
      <c r="A90" s="40">
        <v>87</v>
      </c>
      <c r="B90" s="35" t="s">
        <v>110</v>
      </c>
      <c r="C90" s="41">
        <v>46160</v>
      </c>
      <c r="D90" s="35" t="s">
        <v>34</v>
      </c>
      <c r="E90" s="35">
        <v>3432</v>
      </c>
      <c r="F90" s="35">
        <v>3137</v>
      </c>
      <c r="G90" s="36">
        <v>0.91404428904428903</v>
      </c>
      <c r="H90" s="35">
        <v>1163</v>
      </c>
      <c r="I90" s="37">
        <v>0.33886946386946393</v>
      </c>
      <c r="J90" s="35">
        <v>3645</v>
      </c>
      <c r="K90" s="35">
        <v>3573</v>
      </c>
      <c r="L90" s="36">
        <v>0.98</v>
      </c>
      <c r="M90" s="35">
        <v>12570</v>
      </c>
      <c r="N90" s="35">
        <v>12577</v>
      </c>
      <c r="O90" s="35">
        <v>12426</v>
      </c>
      <c r="P90" s="36">
        <v>0.98854415274463003</v>
      </c>
      <c r="Q90" s="35">
        <v>15</v>
      </c>
      <c r="R90" s="35">
        <v>0</v>
      </c>
      <c r="S90" s="35">
        <v>0</v>
      </c>
      <c r="T90" s="36">
        <v>0</v>
      </c>
      <c r="U90" s="35">
        <v>0</v>
      </c>
      <c r="V90" s="36">
        <v>0</v>
      </c>
      <c r="W90" s="35">
        <v>298</v>
      </c>
      <c r="X90" s="36">
        <v>8.6829836829836832E-2</v>
      </c>
      <c r="Y90" s="35">
        <v>1308</v>
      </c>
      <c r="Z90" s="38">
        <v>0.38111888111888109</v>
      </c>
      <c r="AA90" s="35">
        <v>257</v>
      </c>
      <c r="AB90" s="36">
        <v>7.4883449883449887E-2</v>
      </c>
      <c r="AC90" s="35">
        <v>156</v>
      </c>
      <c r="AD90" s="36">
        <v>4.5454545454545463E-2</v>
      </c>
      <c r="AE90" s="35">
        <v>61</v>
      </c>
      <c r="AF90" s="36">
        <v>0.39102564102564102</v>
      </c>
      <c r="AG90" s="35">
        <v>148</v>
      </c>
      <c r="AH90" s="36">
        <v>0.94871794871794868</v>
      </c>
      <c r="AI90" s="39">
        <v>171</v>
      </c>
      <c r="AJ90" s="36">
        <v>4.9825174825174817E-2</v>
      </c>
      <c r="AK90" s="39">
        <v>23</v>
      </c>
      <c r="AL90" s="36">
        <v>0.90058479532163738</v>
      </c>
      <c r="AM90" s="39">
        <v>166</v>
      </c>
      <c r="AN90" s="39">
        <v>154</v>
      </c>
      <c r="AO90" s="36">
        <v>4.4871794871794872E-2</v>
      </c>
      <c r="AP90" s="36">
        <v>0.98717948717948723</v>
      </c>
      <c r="AQ90" s="37">
        <v>0.98932384341637014</v>
      </c>
      <c r="AR90" s="39">
        <v>0</v>
      </c>
      <c r="AS90" s="39">
        <v>0</v>
      </c>
      <c r="AT90" s="39">
        <v>38</v>
      </c>
      <c r="AU90" s="39">
        <v>32</v>
      </c>
      <c r="AV90" s="39">
        <v>35</v>
      </c>
      <c r="AW90" s="39">
        <v>50</v>
      </c>
      <c r="AX90" s="36">
        <v>9.324009324009324E-3</v>
      </c>
      <c r="AY90" s="36">
        <v>1.01981351981352E-2</v>
      </c>
      <c r="AZ90" s="36">
        <v>1.456876456876457E-2</v>
      </c>
      <c r="BA90" s="36">
        <v>0.22727272727272729</v>
      </c>
      <c r="BB90" s="39">
        <v>0</v>
      </c>
      <c r="BC90" s="39">
        <v>0</v>
      </c>
      <c r="BD90" s="37">
        <v>0.9642857142857143</v>
      </c>
      <c r="BE90" s="37">
        <v>1</v>
      </c>
      <c r="BF90" s="37" t="s">
        <v>111</v>
      </c>
    </row>
    <row r="91" spans="1:58" ht="19.5" customHeight="1">
      <c r="A91" s="40">
        <v>88</v>
      </c>
      <c r="B91" s="35" t="s">
        <v>110</v>
      </c>
      <c r="C91" s="41">
        <v>46160</v>
      </c>
      <c r="D91" s="35" t="s">
        <v>33</v>
      </c>
      <c r="E91" s="35">
        <v>1984</v>
      </c>
      <c r="F91" s="35">
        <v>1820</v>
      </c>
      <c r="G91" s="36">
        <v>0.91733870967741937</v>
      </c>
      <c r="H91" s="35">
        <v>798</v>
      </c>
      <c r="I91" s="37">
        <v>0.40221774193548387</v>
      </c>
      <c r="J91" s="35">
        <v>1694</v>
      </c>
      <c r="K91" s="35">
        <v>1652</v>
      </c>
      <c r="L91" s="36">
        <v>0.97499999999999998</v>
      </c>
      <c r="M91" s="35">
        <v>9643</v>
      </c>
      <c r="N91" s="35">
        <v>9007</v>
      </c>
      <c r="O91" s="35">
        <v>9523</v>
      </c>
      <c r="P91" s="36">
        <v>0.98755573991496426</v>
      </c>
      <c r="Q91" s="35">
        <v>27</v>
      </c>
      <c r="R91" s="35">
        <v>0</v>
      </c>
      <c r="S91" s="35">
        <v>0</v>
      </c>
      <c r="T91" s="36">
        <v>0</v>
      </c>
      <c r="U91" s="35">
        <v>0</v>
      </c>
      <c r="V91" s="36">
        <v>0</v>
      </c>
      <c r="W91" s="35">
        <v>218</v>
      </c>
      <c r="X91" s="36">
        <v>0.1098790322580645</v>
      </c>
      <c r="Y91" s="35">
        <v>1246</v>
      </c>
      <c r="Z91" s="38">
        <v>0.62802419354838712</v>
      </c>
      <c r="AA91" s="35">
        <v>253</v>
      </c>
      <c r="AB91" s="36">
        <v>0.12752016129032259</v>
      </c>
      <c r="AC91" s="35">
        <v>157</v>
      </c>
      <c r="AD91" s="36">
        <v>7.9133064516129031E-2</v>
      </c>
      <c r="AE91" s="35">
        <v>36</v>
      </c>
      <c r="AF91" s="36">
        <v>0.22929936305732479</v>
      </c>
      <c r="AG91" s="35">
        <v>144</v>
      </c>
      <c r="AH91" s="36">
        <v>0.91719745222929938</v>
      </c>
      <c r="AI91" s="39">
        <v>164</v>
      </c>
      <c r="AJ91" s="36">
        <v>8.2661290322580641E-2</v>
      </c>
      <c r="AK91" s="39">
        <v>24</v>
      </c>
      <c r="AL91" s="36">
        <v>0.92073170731707321</v>
      </c>
      <c r="AM91" s="39">
        <v>163</v>
      </c>
      <c r="AN91" s="39">
        <v>151</v>
      </c>
      <c r="AO91" s="36">
        <v>7.6108870967741937E-2</v>
      </c>
      <c r="AP91" s="36">
        <v>0.96178343949044587</v>
      </c>
      <c r="AQ91" s="37">
        <v>0.97419354838709682</v>
      </c>
      <c r="AR91" s="39">
        <v>0</v>
      </c>
      <c r="AS91" s="39">
        <v>0</v>
      </c>
      <c r="AT91" s="39">
        <v>40</v>
      </c>
      <c r="AU91" s="39">
        <v>33</v>
      </c>
      <c r="AV91" s="39">
        <v>33</v>
      </c>
      <c r="AW91" s="39">
        <v>62</v>
      </c>
      <c r="AX91" s="36">
        <v>1.6633064516129031E-2</v>
      </c>
      <c r="AY91" s="36">
        <v>1.6633064516129031E-2</v>
      </c>
      <c r="AZ91" s="36">
        <v>3.125E-2</v>
      </c>
      <c r="BA91" s="36">
        <v>0.2185430463576159</v>
      </c>
      <c r="BB91" s="39">
        <v>0</v>
      </c>
      <c r="BC91" s="39">
        <v>0</v>
      </c>
      <c r="BD91" s="37">
        <v>1</v>
      </c>
      <c r="BE91" s="37">
        <v>1</v>
      </c>
      <c r="BF91" s="37" t="s">
        <v>111</v>
      </c>
    </row>
    <row r="92" spans="1:58" ht="19.5" customHeight="1">
      <c r="A92" s="40">
        <v>89</v>
      </c>
      <c r="B92" s="35" t="s">
        <v>110</v>
      </c>
      <c r="C92" s="41">
        <v>46160</v>
      </c>
      <c r="D92" s="35" t="s">
        <v>36</v>
      </c>
      <c r="E92" s="35">
        <v>5040</v>
      </c>
      <c r="F92" s="35">
        <v>4510</v>
      </c>
      <c r="G92" s="36">
        <v>0.89484126984126988</v>
      </c>
      <c r="H92" s="35">
        <v>1612</v>
      </c>
      <c r="I92" s="37">
        <v>0.31984126984126982</v>
      </c>
      <c r="J92" s="35">
        <v>6845</v>
      </c>
      <c r="K92" s="35">
        <v>6672</v>
      </c>
      <c r="L92" s="36">
        <v>0.97499999999999998</v>
      </c>
      <c r="M92" s="35">
        <v>29556</v>
      </c>
      <c r="N92" s="35">
        <v>27726</v>
      </c>
      <c r="O92" s="35">
        <v>29157</v>
      </c>
      <c r="P92" s="36">
        <v>0.98650020300446606</v>
      </c>
      <c r="Q92" s="35">
        <v>50</v>
      </c>
      <c r="R92" s="35">
        <v>0</v>
      </c>
      <c r="S92" s="35">
        <v>0</v>
      </c>
      <c r="T92" s="36">
        <v>0</v>
      </c>
      <c r="U92" s="35">
        <v>0</v>
      </c>
      <c r="V92" s="36">
        <v>0</v>
      </c>
      <c r="W92" s="35">
        <v>700</v>
      </c>
      <c r="X92" s="36">
        <v>0.1388888888888889</v>
      </c>
      <c r="Y92" s="35">
        <v>3344</v>
      </c>
      <c r="Z92" s="38">
        <v>0.66349206349206347</v>
      </c>
      <c r="AA92" s="35">
        <v>932</v>
      </c>
      <c r="AB92" s="36">
        <v>0.1849206349206349</v>
      </c>
      <c r="AC92" s="35">
        <v>815</v>
      </c>
      <c r="AD92" s="36">
        <v>0.16170634920634919</v>
      </c>
      <c r="AE92" s="35">
        <v>205</v>
      </c>
      <c r="AF92" s="36">
        <v>0.25153374233128828</v>
      </c>
      <c r="AG92" s="35">
        <v>768</v>
      </c>
      <c r="AH92" s="36">
        <v>0.94233128834355828</v>
      </c>
      <c r="AI92" s="39">
        <v>873</v>
      </c>
      <c r="AJ92" s="36">
        <v>0.17321428571428571</v>
      </c>
      <c r="AK92" s="39">
        <v>62</v>
      </c>
      <c r="AL92" s="36">
        <v>0.9106529209621993</v>
      </c>
      <c r="AM92" s="39">
        <v>868</v>
      </c>
      <c r="AN92" s="39">
        <v>795</v>
      </c>
      <c r="AO92" s="36">
        <v>0.15773809523809521</v>
      </c>
      <c r="AP92" s="36">
        <v>0.97546012269938653</v>
      </c>
      <c r="AQ92" s="37">
        <v>0.97347670250896057</v>
      </c>
      <c r="AR92" s="39">
        <v>0</v>
      </c>
      <c r="AS92" s="39">
        <v>0</v>
      </c>
      <c r="AT92" s="39">
        <v>102</v>
      </c>
      <c r="AU92" s="39">
        <v>85</v>
      </c>
      <c r="AV92" s="39">
        <v>92</v>
      </c>
      <c r="AW92" s="39">
        <v>190</v>
      </c>
      <c r="AX92" s="36">
        <v>1.6865079365079361E-2</v>
      </c>
      <c r="AY92" s="36">
        <v>1.8253968253968259E-2</v>
      </c>
      <c r="AZ92" s="36">
        <v>3.7698412698412703E-2</v>
      </c>
      <c r="BA92" s="36">
        <v>0.1157232704402516</v>
      </c>
      <c r="BB92" s="39">
        <v>0</v>
      </c>
      <c r="BC92" s="39">
        <v>1</v>
      </c>
      <c r="BD92" s="37">
        <v>0.98275862068965514</v>
      </c>
      <c r="BE92" s="37">
        <v>1</v>
      </c>
      <c r="BF92" s="37" t="s">
        <v>111</v>
      </c>
    </row>
    <row r="93" spans="1:58" ht="19.5" customHeight="1">
      <c r="A93" s="40">
        <v>90</v>
      </c>
      <c r="B93" s="35" t="s">
        <v>110</v>
      </c>
      <c r="C93" s="41">
        <v>46160</v>
      </c>
      <c r="D93" s="35" t="s">
        <v>35</v>
      </c>
      <c r="E93" s="35">
        <v>3675</v>
      </c>
      <c r="F93" s="35">
        <v>3345</v>
      </c>
      <c r="G93" s="36">
        <v>0.91020408163265309</v>
      </c>
      <c r="H93" s="35">
        <v>1649</v>
      </c>
      <c r="I93" s="37">
        <v>0.44870748299319729</v>
      </c>
      <c r="J93" s="35">
        <v>4435</v>
      </c>
      <c r="K93" s="35">
        <v>4321</v>
      </c>
      <c r="L93" s="36">
        <v>0.97399999999999998</v>
      </c>
      <c r="M93" s="35">
        <v>18052</v>
      </c>
      <c r="N93" s="35">
        <v>17887</v>
      </c>
      <c r="O93" s="35">
        <v>17828</v>
      </c>
      <c r="P93" s="36">
        <v>0.98759140261466871</v>
      </c>
      <c r="Q93" s="35">
        <v>34</v>
      </c>
      <c r="R93" s="35">
        <v>0</v>
      </c>
      <c r="S93" s="35">
        <v>0</v>
      </c>
      <c r="T93" s="36">
        <v>0</v>
      </c>
      <c r="U93" s="35">
        <v>0</v>
      </c>
      <c r="V93" s="36">
        <v>0</v>
      </c>
      <c r="W93" s="35">
        <v>426</v>
      </c>
      <c r="X93" s="36">
        <v>0.11591836734693881</v>
      </c>
      <c r="Y93" s="35">
        <v>1765</v>
      </c>
      <c r="Z93" s="38">
        <v>0.48027210884353738</v>
      </c>
      <c r="AA93" s="35">
        <v>402</v>
      </c>
      <c r="AB93" s="36">
        <v>0.1093877551020408</v>
      </c>
      <c r="AC93" s="35">
        <v>368</v>
      </c>
      <c r="AD93" s="36">
        <v>0.10013605442176871</v>
      </c>
      <c r="AE93" s="35">
        <v>85</v>
      </c>
      <c r="AF93" s="36">
        <v>0.23097826086956519</v>
      </c>
      <c r="AG93" s="35">
        <v>354</v>
      </c>
      <c r="AH93" s="36">
        <v>0.96195652173913049</v>
      </c>
      <c r="AI93" s="39">
        <v>390</v>
      </c>
      <c r="AJ93" s="36">
        <v>0.1061224489795918</v>
      </c>
      <c r="AK93" s="39">
        <v>38</v>
      </c>
      <c r="AL93" s="36">
        <v>0.9358974358974359</v>
      </c>
      <c r="AM93" s="39">
        <v>390</v>
      </c>
      <c r="AN93" s="39">
        <v>365</v>
      </c>
      <c r="AO93" s="36">
        <v>9.9319727891156465E-2</v>
      </c>
      <c r="AP93" s="36">
        <v>0.99184782608695654</v>
      </c>
      <c r="AQ93" s="37">
        <v>0.96468401486988853</v>
      </c>
      <c r="AR93" s="39">
        <v>0</v>
      </c>
      <c r="AS93" s="39">
        <v>0</v>
      </c>
      <c r="AT93" s="39">
        <v>42</v>
      </c>
      <c r="AU93" s="39">
        <v>28</v>
      </c>
      <c r="AV93" s="39">
        <v>36</v>
      </c>
      <c r="AW93" s="39">
        <v>94</v>
      </c>
      <c r="AX93" s="36">
        <v>7.619047619047619E-3</v>
      </c>
      <c r="AY93" s="36">
        <v>9.7959183673469383E-3</v>
      </c>
      <c r="AZ93" s="36">
        <v>2.557823129251701E-2</v>
      </c>
      <c r="BA93" s="36">
        <v>9.8630136986301367E-2</v>
      </c>
      <c r="BB93" s="39">
        <v>0</v>
      </c>
      <c r="BC93" s="39">
        <v>1</v>
      </c>
      <c r="BD93" s="37">
        <v>0.94117647058823528</v>
      </c>
      <c r="BE93" s="37">
        <v>1</v>
      </c>
      <c r="BF93" s="37" t="s">
        <v>111</v>
      </c>
    </row>
    <row r="94" spans="1:58" ht="19.5" customHeight="1">
      <c r="A94" s="40">
        <v>91</v>
      </c>
      <c r="B94" s="35" t="s">
        <v>110</v>
      </c>
      <c r="C94" s="41">
        <v>46161</v>
      </c>
      <c r="D94" s="35"/>
      <c r="E94" s="35">
        <v>433</v>
      </c>
      <c r="F94" s="35">
        <v>432</v>
      </c>
      <c r="G94" s="36">
        <v>0.99769053117782913</v>
      </c>
      <c r="H94" s="35">
        <v>433</v>
      </c>
      <c r="I94" s="37">
        <v>1</v>
      </c>
      <c r="J94" s="35">
        <v>0</v>
      </c>
      <c r="K94" s="35">
        <v>0</v>
      </c>
      <c r="L94" s="36">
        <v>0</v>
      </c>
      <c r="M94" s="35">
        <v>5</v>
      </c>
      <c r="N94" s="35">
        <v>4</v>
      </c>
      <c r="O94" s="35">
        <v>3</v>
      </c>
      <c r="P94" s="36">
        <v>0.6</v>
      </c>
      <c r="Q94" s="35">
        <v>2</v>
      </c>
      <c r="R94" s="35">
        <v>0</v>
      </c>
      <c r="S94" s="35">
        <v>0</v>
      </c>
      <c r="T94" s="36">
        <v>0</v>
      </c>
      <c r="U94" s="35">
        <v>0</v>
      </c>
      <c r="V94" s="36">
        <v>0</v>
      </c>
      <c r="W94" s="35">
        <v>78</v>
      </c>
      <c r="X94" s="36">
        <v>0.1801385681293303</v>
      </c>
      <c r="Y94" s="35">
        <v>125</v>
      </c>
      <c r="Z94" s="38">
        <v>0.28868360277136262</v>
      </c>
      <c r="AA94" s="35">
        <v>0</v>
      </c>
      <c r="AB94" s="36">
        <v>0</v>
      </c>
      <c r="AC94" s="35">
        <v>0</v>
      </c>
      <c r="AD94" s="36">
        <v>0</v>
      </c>
      <c r="AE94" s="35">
        <v>0</v>
      </c>
      <c r="AF94" s="36">
        <v>0</v>
      </c>
      <c r="AG94" s="35">
        <v>0</v>
      </c>
      <c r="AH94" s="36">
        <v>0</v>
      </c>
      <c r="AI94" s="39">
        <v>0</v>
      </c>
      <c r="AJ94" s="36">
        <v>0</v>
      </c>
      <c r="AK94" s="39">
        <v>0</v>
      </c>
      <c r="AL94" s="36">
        <v>0</v>
      </c>
      <c r="AM94" s="39">
        <v>0</v>
      </c>
      <c r="AN94" s="39">
        <v>0</v>
      </c>
      <c r="AO94" s="36">
        <v>0</v>
      </c>
      <c r="AP94" s="36">
        <v>0</v>
      </c>
      <c r="AQ94" s="37">
        <v>0</v>
      </c>
      <c r="AR94" s="39">
        <v>0</v>
      </c>
      <c r="AS94" s="39">
        <v>0</v>
      </c>
      <c r="AT94" s="39">
        <v>0</v>
      </c>
      <c r="AU94" s="39">
        <v>0</v>
      </c>
      <c r="AV94" s="39">
        <v>0</v>
      </c>
      <c r="AW94" s="39">
        <v>0</v>
      </c>
      <c r="AX94" s="36">
        <v>0</v>
      </c>
      <c r="AY94" s="36">
        <v>0</v>
      </c>
      <c r="AZ94" s="36">
        <v>0</v>
      </c>
      <c r="BA94" s="36">
        <v>0</v>
      </c>
      <c r="BB94" s="39">
        <v>0</v>
      </c>
      <c r="BC94" s="39">
        <v>1</v>
      </c>
      <c r="BD94" s="37" t="s">
        <v>111</v>
      </c>
      <c r="BE94" s="37" t="s">
        <v>111</v>
      </c>
      <c r="BF94" s="37">
        <v>0.97580645161290325</v>
      </c>
    </row>
    <row r="95" spans="1:58" ht="19.5" customHeight="1">
      <c r="A95" s="40">
        <v>92</v>
      </c>
      <c r="B95" s="35" t="s">
        <v>110</v>
      </c>
      <c r="C95" s="41">
        <v>46161</v>
      </c>
      <c r="D95" s="35" t="s">
        <v>34</v>
      </c>
      <c r="E95" s="35">
        <v>3209</v>
      </c>
      <c r="F95" s="35">
        <v>2948</v>
      </c>
      <c r="G95" s="36">
        <v>0.91866625116858835</v>
      </c>
      <c r="H95" s="35">
        <v>1267</v>
      </c>
      <c r="I95" s="37">
        <v>0.39482704892489873</v>
      </c>
      <c r="J95" s="35">
        <v>3195</v>
      </c>
      <c r="K95" s="35">
        <v>3106</v>
      </c>
      <c r="L95" s="36">
        <v>0.97199999999999998</v>
      </c>
      <c r="M95" s="35">
        <v>11629</v>
      </c>
      <c r="N95" s="35">
        <v>11917</v>
      </c>
      <c r="O95" s="35">
        <v>11474</v>
      </c>
      <c r="P95" s="36">
        <v>0.98667125290222724</v>
      </c>
      <c r="Q95" s="35">
        <v>30</v>
      </c>
      <c r="R95" s="35">
        <v>0</v>
      </c>
      <c r="S95" s="35">
        <v>0</v>
      </c>
      <c r="T95" s="36">
        <v>0</v>
      </c>
      <c r="U95" s="35">
        <v>0</v>
      </c>
      <c r="V95" s="36">
        <v>0</v>
      </c>
      <c r="W95" s="35">
        <v>433</v>
      </c>
      <c r="X95" s="36">
        <v>0.13493300093487071</v>
      </c>
      <c r="Y95" s="35">
        <v>1307</v>
      </c>
      <c r="Z95" s="38">
        <v>0.40729199127454041</v>
      </c>
      <c r="AA95" s="35">
        <v>268</v>
      </c>
      <c r="AB95" s="36">
        <v>8.3515113742598943E-2</v>
      </c>
      <c r="AC95" s="35">
        <v>189</v>
      </c>
      <c r="AD95" s="36">
        <v>5.8896852602056723E-2</v>
      </c>
      <c r="AE95" s="35">
        <v>44</v>
      </c>
      <c r="AF95" s="36">
        <v>0.23280423280423279</v>
      </c>
      <c r="AG95" s="35">
        <v>179</v>
      </c>
      <c r="AH95" s="36">
        <v>0.94708994708994709</v>
      </c>
      <c r="AI95" s="39">
        <v>196</v>
      </c>
      <c r="AJ95" s="36">
        <v>6.1078217513244E-2</v>
      </c>
      <c r="AK95" s="39">
        <v>32</v>
      </c>
      <c r="AL95" s="36">
        <v>0.87244897959183676</v>
      </c>
      <c r="AM95" s="39">
        <v>194</v>
      </c>
      <c r="AN95" s="39">
        <v>171</v>
      </c>
      <c r="AO95" s="36">
        <v>5.3287628544717983E-2</v>
      </c>
      <c r="AP95" s="36">
        <v>0.90476190476190477</v>
      </c>
      <c r="AQ95" s="37">
        <v>0.96129032258064517</v>
      </c>
      <c r="AR95" s="39">
        <v>0</v>
      </c>
      <c r="AS95" s="39">
        <v>0</v>
      </c>
      <c r="AT95" s="39">
        <v>32</v>
      </c>
      <c r="AU95" s="39">
        <v>26</v>
      </c>
      <c r="AV95" s="39">
        <v>26</v>
      </c>
      <c r="AW95" s="39">
        <v>39</v>
      </c>
      <c r="AX95" s="36">
        <v>8.1022125272670609E-3</v>
      </c>
      <c r="AY95" s="36">
        <v>8.1022125272670609E-3</v>
      </c>
      <c r="AZ95" s="36">
        <v>1.215331879090059E-2</v>
      </c>
      <c r="BA95" s="36">
        <v>0.15204678362573101</v>
      </c>
      <c r="BB95" s="39">
        <v>0</v>
      </c>
      <c r="BC95" s="39">
        <v>0</v>
      </c>
      <c r="BD95" s="37">
        <v>1</v>
      </c>
      <c r="BE95" s="37">
        <v>1</v>
      </c>
      <c r="BF95" s="37" t="s">
        <v>111</v>
      </c>
    </row>
    <row r="96" spans="1:58" ht="19.5" customHeight="1">
      <c r="A96" s="40">
        <v>93</v>
      </c>
      <c r="B96" s="35" t="s">
        <v>110</v>
      </c>
      <c r="C96" s="41">
        <v>46161</v>
      </c>
      <c r="D96" s="35" t="s">
        <v>33</v>
      </c>
      <c r="E96" s="35">
        <v>2122</v>
      </c>
      <c r="F96" s="35">
        <v>1931</v>
      </c>
      <c r="G96" s="36">
        <v>0.90999057492931201</v>
      </c>
      <c r="H96" s="35">
        <v>1061</v>
      </c>
      <c r="I96" s="37">
        <v>0.5</v>
      </c>
      <c r="J96" s="35">
        <v>2272</v>
      </c>
      <c r="K96" s="35">
        <v>2210</v>
      </c>
      <c r="L96" s="36">
        <v>0.97299999999999998</v>
      </c>
      <c r="M96" s="35">
        <v>9396</v>
      </c>
      <c r="N96" s="35">
        <v>9401</v>
      </c>
      <c r="O96" s="35">
        <v>9249</v>
      </c>
      <c r="P96" s="36">
        <v>0.98435504469987234</v>
      </c>
      <c r="Q96" s="35">
        <v>52</v>
      </c>
      <c r="R96" s="35">
        <v>0</v>
      </c>
      <c r="S96" s="35">
        <v>0</v>
      </c>
      <c r="T96" s="36">
        <v>0</v>
      </c>
      <c r="U96" s="35">
        <v>0</v>
      </c>
      <c r="V96" s="36">
        <v>0</v>
      </c>
      <c r="W96" s="35">
        <v>580</v>
      </c>
      <c r="X96" s="36">
        <v>0.27332704995287471</v>
      </c>
      <c r="Y96" s="35">
        <v>1103</v>
      </c>
      <c r="Z96" s="38">
        <v>0.51979264844486328</v>
      </c>
      <c r="AA96" s="35">
        <v>332</v>
      </c>
      <c r="AB96" s="36">
        <v>0.15645617342130069</v>
      </c>
      <c r="AC96" s="35">
        <v>175</v>
      </c>
      <c r="AD96" s="36">
        <v>8.2469368520263903E-2</v>
      </c>
      <c r="AE96" s="35">
        <v>46</v>
      </c>
      <c r="AF96" s="36">
        <v>0.26285714285714279</v>
      </c>
      <c r="AG96" s="35">
        <v>160</v>
      </c>
      <c r="AH96" s="36">
        <v>0.91428571428571426</v>
      </c>
      <c r="AI96" s="39">
        <v>174</v>
      </c>
      <c r="AJ96" s="36">
        <v>8.1998114985862389E-2</v>
      </c>
      <c r="AK96" s="39">
        <v>15</v>
      </c>
      <c r="AL96" s="36">
        <v>0.82758620689655171</v>
      </c>
      <c r="AM96" s="39">
        <v>168</v>
      </c>
      <c r="AN96" s="39">
        <v>144</v>
      </c>
      <c r="AO96" s="36">
        <v>6.786050895381715E-2</v>
      </c>
      <c r="AP96" s="36">
        <v>0.82285714285714284</v>
      </c>
      <c r="AQ96" s="37">
        <v>0.97916666666666663</v>
      </c>
      <c r="AR96" s="39">
        <v>0</v>
      </c>
      <c r="AS96" s="39">
        <v>0</v>
      </c>
      <c r="AT96" s="39">
        <v>45</v>
      </c>
      <c r="AU96" s="39">
        <v>41</v>
      </c>
      <c r="AV96" s="39">
        <v>40</v>
      </c>
      <c r="AW96" s="39">
        <v>53</v>
      </c>
      <c r="AX96" s="36">
        <v>1.932139491046183E-2</v>
      </c>
      <c r="AY96" s="36">
        <v>1.8850141376060319E-2</v>
      </c>
      <c r="AZ96" s="36">
        <v>2.4976437323279921E-2</v>
      </c>
      <c r="BA96" s="36">
        <v>0.27777777777777779</v>
      </c>
      <c r="BB96" s="39">
        <v>0</v>
      </c>
      <c r="BC96" s="39">
        <v>0</v>
      </c>
      <c r="BD96" s="37">
        <v>1</v>
      </c>
      <c r="BE96" s="37">
        <v>1</v>
      </c>
      <c r="BF96" s="37" t="s">
        <v>111</v>
      </c>
    </row>
    <row r="97" spans="1:58" ht="19.5" customHeight="1">
      <c r="A97" s="40">
        <v>94</v>
      </c>
      <c r="B97" s="35" t="s">
        <v>110</v>
      </c>
      <c r="C97" s="41">
        <v>46161</v>
      </c>
      <c r="D97" s="35" t="s">
        <v>36</v>
      </c>
      <c r="E97" s="35">
        <v>5247</v>
      </c>
      <c r="F97" s="35">
        <v>4702</v>
      </c>
      <c r="G97" s="36">
        <v>0.89613112254621685</v>
      </c>
      <c r="H97" s="35">
        <v>1729</v>
      </c>
      <c r="I97" s="37">
        <v>0.32952163140842389</v>
      </c>
      <c r="J97" s="35">
        <v>5715</v>
      </c>
      <c r="K97" s="35">
        <v>5555</v>
      </c>
      <c r="L97" s="36">
        <v>0.97199999999999998</v>
      </c>
      <c r="M97" s="35">
        <v>26929</v>
      </c>
      <c r="N97" s="35">
        <v>26770</v>
      </c>
      <c r="O97" s="35">
        <v>26585</v>
      </c>
      <c r="P97" s="36">
        <v>0.98722566749600804</v>
      </c>
      <c r="Q97" s="35">
        <v>67</v>
      </c>
      <c r="R97" s="35">
        <v>0</v>
      </c>
      <c r="S97" s="35">
        <v>0</v>
      </c>
      <c r="T97" s="36">
        <v>0</v>
      </c>
      <c r="U97" s="35">
        <v>0</v>
      </c>
      <c r="V97" s="36">
        <v>0</v>
      </c>
      <c r="W97" s="35">
        <v>1306</v>
      </c>
      <c r="X97" s="36">
        <v>0.24890413569658851</v>
      </c>
      <c r="Y97" s="35">
        <v>3140</v>
      </c>
      <c r="Z97" s="38">
        <v>0.59843720221078711</v>
      </c>
      <c r="AA97" s="35">
        <v>977</v>
      </c>
      <c r="AB97" s="36">
        <v>0.18620163903182771</v>
      </c>
      <c r="AC97" s="35">
        <v>882</v>
      </c>
      <c r="AD97" s="36">
        <v>0.16809605488850771</v>
      </c>
      <c r="AE97" s="35">
        <v>162</v>
      </c>
      <c r="AF97" s="36">
        <v>0.18367346938775511</v>
      </c>
      <c r="AG97" s="35">
        <v>835</v>
      </c>
      <c r="AH97" s="36">
        <v>0.94671201814058958</v>
      </c>
      <c r="AI97" s="39">
        <v>903</v>
      </c>
      <c r="AJ97" s="36">
        <v>0.17209834190966269</v>
      </c>
      <c r="AK97" s="39">
        <v>62</v>
      </c>
      <c r="AL97" s="36">
        <v>0.90365448504983392</v>
      </c>
      <c r="AM97" s="39">
        <v>887</v>
      </c>
      <c r="AN97" s="39">
        <v>816</v>
      </c>
      <c r="AO97" s="36">
        <v>0.15551743853630651</v>
      </c>
      <c r="AP97" s="36">
        <v>0.92517006802721091</v>
      </c>
      <c r="AQ97" s="37">
        <v>0.9810650887573964</v>
      </c>
      <c r="AR97" s="39">
        <v>0</v>
      </c>
      <c r="AS97" s="39">
        <v>0</v>
      </c>
      <c r="AT97" s="39">
        <v>82</v>
      </c>
      <c r="AU97" s="39">
        <v>71</v>
      </c>
      <c r="AV97" s="39">
        <v>73</v>
      </c>
      <c r="AW97" s="39">
        <v>180</v>
      </c>
      <c r="AX97" s="36">
        <v>1.3531541833428629E-2</v>
      </c>
      <c r="AY97" s="36">
        <v>1.3912712025919569E-2</v>
      </c>
      <c r="AZ97" s="36">
        <v>3.430531732418525E-2</v>
      </c>
      <c r="BA97" s="36">
        <v>8.9460784313725492E-2</v>
      </c>
      <c r="BB97" s="39">
        <v>0</v>
      </c>
      <c r="BC97" s="39">
        <v>0</v>
      </c>
      <c r="BD97" s="37">
        <v>0.98795180722891562</v>
      </c>
      <c r="BE97" s="37">
        <v>1</v>
      </c>
      <c r="BF97" s="37" t="s">
        <v>111</v>
      </c>
    </row>
    <row r="98" spans="1:58" ht="19.5" customHeight="1">
      <c r="A98" s="40">
        <v>95</v>
      </c>
      <c r="B98" s="35" t="s">
        <v>110</v>
      </c>
      <c r="C98" s="41">
        <v>46161</v>
      </c>
      <c r="D98" s="35" t="s">
        <v>35</v>
      </c>
      <c r="E98" s="35">
        <v>3032</v>
      </c>
      <c r="F98" s="35">
        <v>2800</v>
      </c>
      <c r="G98" s="36">
        <v>0.92348284960422167</v>
      </c>
      <c r="H98" s="35">
        <v>1404</v>
      </c>
      <c r="I98" s="37">
        <v>0.46306068601583111</v>
      </c>
      <c r="J98" s="35">
        <v>3495</v>
      </c>
      <c r="K98" s="35">
        <v>3390</v>
      </c>
      <c r="L98" s="36">
        <v>0.97</v>
      </c>
      <c r="M98" s="35">
        <v>17200</v>
      </c>
      <c r="N98" s="35">
        <v>16848</v>
      </c>
      <c r="O98" s="35">
        <v>16972</v>
      </c>
      <c r="P98" s="36">
        <v>0.9867441860465116</v>
      </c>
      <c r="Q98" s="35">
        <v>58</v>
      </c>
      <c r="R98" s="35">
        <v>0</v>
      </c>
      <c r="S98" s="35">
        <v>0</v>
      </c>
      <c r="T98" s="36">
        <v>0</v>
      </c>
      <c r="U98" s="35">
        <v>0</v>
      </c>
      <c r="V98" s="36">
        <v>0</v>
      </c>
      <c r="W98" s="35">
        <v>476</v>
      </c>
      <c r="X98" s="36">
        <v>0.1569920844327177</v>
      </c>
      <c r="Y98" s="35">
        <v>1608</v>
      </c>
      <c r="Z98" s="38">
        <v>0.53034300791556732</v>
      </c>
      <c r="AA98" s="35">
        <v>364</v>
      </c>
      <c r="AB98" s="36">
        <v>0.1200527704485488</v>
      </c>
      <c r="AC98" s="35">
        <v>414</v>
      </c>
      <c r="AD98" s="36">
        <v>0.13654353562005281</v>
      </c>
      <c r="AE98" s="35">
        <v>64</v>
      </c>
      <c r="AF98" s="36">
        <v>0.15458937198067629</v>
      </c>
      <c r="AG98" s="35">
        <v>400</v>
      </c>
      <c r="AH98" s="36">
        <v>0.96618357487922701</v>
      </c>
      <c r="AI98" s="39">
        <v>429</v>
      </c>
      <c r="AJ98" s="36">
        <v>0.141490765171504</v>
      </c>
      <c r="AK98" s="39">
        <v>30</v>
      </c>
      <c r="AL98" s="36">
        <v>0.93240093240093236</v>
      </c>
      <c r="AM98" s="39">
        <v>427</v>
      </c>
      <c r="AN98" s="39">
        <v>400</v>
      </c>
      <c r="AO98" s="36">
        <v>0.13192612137203169</v>
      </c>
      <c r="AP98" s="36">
        <v>0.96618357487922701</v>
      </c>
      <c r="AQ98" s="37">
        <v>0.99206349206349209</v>
      </c>
      <c r="AR98" s="39">
        <v>0</v>
      </c>
      <c r="AS98" s="39">
        <v>0</v>
      </c>
      <c r="AT98" s="39">
        <v>53</v>
      </c>
      <c r="AU98" s="39">
        <v>48</v>
      </c>
      <c r="AV98" s="39">
        <v>49</v>
      </c>
      <c r="AW98" s="39">
        <v>67</v>
      </c>
      <c r="AX98" s="36">
        <v>1.5831134564643801E-2</v>
      </c>
      <c r="AY98" s="36">
        <v>1.6160949868073881E-2</v>
      </c>
      <c r="AZ98" s="36">
        <v>2.2097625329815299E-2</v>
      </c>
      <c r="BA98" s="36">
        <v>0.1225</v>
      </c>
      <c r="BB98" s="39">
        <v>0</v>
      </c>
      <c r="BC98" s="39">
        <v>0</v>
      </c>
      <c r="BD98" s="37">
        <v>1</v>
      </c>
      <c r="BE98" s="37">
        <v>1</v>
      </c>
      <c r="BF98" s="37" t="s">
        <v>111</v>
      </c>
    </row>
    <row r="99" spans="1:58" ht="25.7" customHeight="1">
      <c r="A99" s="40">
        <v>96</v>
      </c>
      <c r="B99" s="35" t="s">
        <v>110</v>
      </c>
      <c r="C99" s="41">
        <v>46162</v>
      </c>
      <c r="D99" s="35"/>
      <c r="E99" s="35">
        <v>75</v>
      </c>
      <c r="F99" s="35">
        <v>75</v>
      </c>
      <c r="G99" s="36">
        <v>1</v>
      </c>
      <c r="H99" s="35">
        <v>75</v>
      </c>
      <c r="I99" s="37">
        <v>1</v>
      </c>
      <c r="J99" s="35">
        <v>0</v>
      </c>
      <c r="K99" s="35">
        <v>0</v>
      </c>
      <c r="L99" s="36">
        <v>0</v>
      </c>
      <c r="M99" s="35">
        <v>5</v>
      </c>
      <c r="N99" s="35">
        <v>1</v>
      </c>
      <c r="O99" s="35">
        <v>1</v>
      </c>
      <c r="P99" s="36">
        <v>0.2</v>
      </c>
      <c r="Q99" s="35">
        <v>4</v>
      </c>
      <c r="R99" s="35">
        <v>0</v>
      </c>
      <c r="S99" s="35">
        <v>0</v>
      </c>
      <c r="T99" s="36">
        <v>0</v>
      </c>
      <c r="U99" s="35">
        <v>0</v>
      </c>
      <c r="V99" s="36">
        <v>0</v>
      </c>
      <c r="W99" s="35">
        <v>10</v>
      </c>
      <c r="X99" s="36">
        <v>0.1333333333333333</v>
      </c>
      <c r="Y99" s="35">
        <v>300</v>
      </c>
      <c r="Z99" s="38">
        <v>4</v>
      </c>
      <c r="AA99" s="35">
        <v>0</v>
      </c>
      <c r="AB99" s="36">
        <v>0</v>
      </c>
      <c r="AC99" s="35">
        <v>0</v>
      </c>
      <c r="AD99" s="36">
        <v>0</v>
      </c>
      <c r="AE99" s="35">
        <v>0</v>
      </c>
      <c r="AF99" s="36">
        <v>0</v>
      </c>
      <c r="AG99" s="35">
        <v>0</v>
      </c>
      <c r="AH99" s="36">
        <v>0</v>
      </c>
      <c r="AI99" s="39">
        <v>0</v>
      </c>
      <c r="AJ99" s="36">
        <v>0</v>
      </c>
      <c r="AK99" s="39">
        <v>0</v>
      </c>
      <c r="AL99" s="36">
        <v>0</v>
      </c>
      <c r="AM99" s="39">
        <v>0</v>
      </c>
      <c r="AN99" s="39">
        <v>0</v>
      </c>
      <c r="AO99" s="36">
        <v>0</v>
      </c>
      <c r="AP99" s="36">
        <v>0</v>
      </c>
      <c r="AQ99" s="37">
        <v>0</v>
      </c>
      <c r="AR99" s="39">
        <v>0</v>
      </c>
      <c r="AS99" s="39">
        <v>0</v>
      </c>
      <c r="AT99" s="39">
        <v>0</v>
      </c>
      <c r="AU99" s="39">
        <v>0</v>
      </c>
      <c r="AV99" s="39">
        <v>0</v>
      </c>
      <c r="AW99" s="39">
        <v>0</v>
      </c>
      <c r="AX99" s="36">
        <v>0</v>
      </c>
      <c r="AY99" s="36">
        <v>0</v>
      </c>
      <c r="AZ99" s="36">
        <v>0</v>
      </c>
      <c r="BA99" s="36">
        <v>0</v>
      </c>
      <c r="BB99" s="39">
        <v>0</v>
      </c>
      <c r="BC99" s="39">
        <v>0</v>
      </c>
      <c r="BD99" s="37" t="s">
        <v>111</v>
      </c>
      <c r="BE99" s="37" t="s">
        <v>111</v>
      </c>
      <c r="BF99" s="37">
        <v>0.99354838709677418</v>
      </c>
    </row>
    <row r="100" spans="1:58" ht="19.5" customHeight="1">
      <c r="A100" s="40">
        <v>97</v>
      </c>
      <c r="B100" s="35" t="s">
        <v>110</v>
      </c>
      <c r="C100" s="41">
        <v>46162</v>
      </c>
      <c r="D100" s="35" t="s">
        <v>34</v>
      </c>
      <c r="E100" s="35">
        <v>3177</v>
      </c>
      <c r="F100" s="35">
        <v>2897</v>
      </c>
      <c r="G100" s="36">
        <v>0.91186654076172491</v>
      </c>
      <c r="H100" s="35">
        <v>1113</v>
      </c>
      <c r="I100" s="37">
        <v>0.35033050047214348</v>
      </c>
      <c r="J100" s="35">
        <v>2225</v>
      </c>
      <c r="K100" s="35">
        <v>2164</v>
      </c>
      <c r="L100" s="36">
        <v>0.97299999999999998</v>
      </c>
      <c r="M100" s="35">
        <v>11489</v>
      </c>
      <c r="N100" s="35">
        <v>11265</v>
      </c>
      <c r="O100" s="35">
        <v>11345</v>
      </c>
      <c r="P100" s="36">
        <v>0.98746627208634341</v>
      </c>
      <c r="Q100" s="35">
        <v>35</v>
      </c>
      <c r="R100" s="35">
        <v>0</v>
      </c>
      <c r="S100" s="35">
        <v>0</v>
      </c>
      <c r="T100" s="36">
        <v>0</v>
      </c>
      <c r="U100" s="35">
        <v>0</v>
      </c>
      <c r="V100" s="36">
        <v>0</v>
      </c>
      <c r="W100" s="35">
        <v>228</v>
      </c>
      <c r="X100" s="36">
        <v>7.1765816808309721E-2</v>
      </c>
      <c r="Y100" s="35">
        <v>932</v>
      </c>
      <c r="Z100" s="38">
        <v>0.29335851432168708</v>
      </c>
      <c r="AA100" s="35">
        <v>202</v>
      </c>
      <c r="AB100" s="36">
        <v>6.3581995593327043E-2</v>
      </c>
      <c r="AC100" s="35">
        <v>194</v>
      </c>
      <c r="AD100" s="36">
        <v>6.1063896757947753E-2</v>
      </c>
      <c r="AE100" s="35">
        <v>36</v>
      </c>
      <c r="AF100" s="36">
        <v>0.18556701030927841</v>
      </c>
      <c r="AG100" s="35">
        <v>185</v>
      </c>
      <c r="AH100" s="36">
        <v>0.95360824742268047</v>
      </c>
      <c r="AI100" s="39">
        <v>187</v>
      </c>
      <c r="AJ100" s="36">
        <v>5.8860560276990867E-2</v>
      </c>
      <c r="AK100" s="39">
        <v>26</v>
      </c>
      <c r="AL100" s="36">
        <v>0.86631016042780751</v>
      </c>
      <c r="AM100" s="39">
        <v>180</v>
      </c>
      <c r="AN100" s="39">
        <v>162</v>
      </c>
      <c r="AO100" s="36">
        <v>5.0991501416430593E-2</v>
      </c>
      <c r="AP100" s="36">
        <v>0.83505154639175261</v>
      </c>
      <c r="AQ100" s="37">
        <v>0.9631578947368421</v>
      </c>
      <c r="AR100" s="39">
        <v>0</v>
      </c>
      <c r="AS100" s="39">
        <v>0</v>
      </c>
      <c r="AT100" s="39">
        <v>30</v>
      </c>
      <c r="AU100" s="39">
        <v>27</v>
      </c>
      <c r="AV100" s="39">
        <v>25</v>
      </c>
      <c r="AW100" s="39">
        <v>54</v>
      </c>
      <c r="AX100" s="36">
        <v>8.4985835694051E-3</v>
      </c>
      <c r="AY100" s="36">
        <v>7.8690588605602775E-3</v>
      </c>
      <c r="AZ100" s="36">
        <v>1.69971671388102E-2</v>
      </c>
      <c r="BA100" s="36">
        <v>0.15432098765432101</v>
      </c>
      <c r="BB100" s="39">
        <v>0</v>
      </c>
      <c r="BC100" s="39">
        <v>0</v>
      </c>
      <c r="BD100" s="37">
        <v>1</v>
      </c>
      <c r="BE100" s="37">
        <v>1</v>
      </c>
      <c r="BF100" s="37" t="s">
        <v>111</v>
      </c>
    </row>
    <row r="101" spans="1:58" ht="19.5" customHeight="1">
      <c r="A101" s="40">
        <v>98</v>
      </c>
      <c r="B101" s="35" t="s">
        <v>110</v>
      </c>
      <c r="C101" s="41">
        <v>46162</v>
      </c>
      <c r="D101" s="35" t="s">
        <v>33</v>
      </c>
      <c r="E101" s="35">
        <v>2370</v>
      </c>
      <c r="F101" s="35">
        <v>2137</v>
      </c>
      <c r="G101" s="36">
        <v>0.90168776371308013</v>
      </c>
      <c r="H101" s="35">
        <v>1116</v>
      </c>
      <c r="I101" s="37">
        <v>0.4708860759493671</v>
      </c>
      <c r="J101" s="35">
        <v>2144</v>
      </c>
      <c r="K101" s="35">
        <v>2094</v>
      </c>
      <c r="L101" s="36">
        <v>0.97699999999999998</v>
      </c>
      <c r="M101" s="35">
        <v>9718</v>
      </c>
      <c r="N101" s="35">
        <v>9596</v>
      </c>
      <c r="O101" s="35">
        <v>9578</v>
      </c>
      <c r="P101" s="36">
        <v>0.98559374356863549</v>
      </c>
      <c r="Q101" s="35">
        <v>32</v>
      </c>
      <c r="R101" s="35">
        <v>0</v>
      </c>
      <c r="S101" s="35">
        <v>0</v>
      </c>
      <c r="T101" s="36">
        <v>0</v>
      </c>
      <c r="U101" s="35">
        <v>0</v>
      </c>
      <c r="V101" s="36">
        <v>0</v>
      </c>
      <c r="W101" s="35">
        <v>206</v>
      </c>
      <c r="X101" s="36">
        <v>8.6919831223628688E-2</v>
      </c>
      <c r="Y101" s="35">
        <v>1072</v>
      </c>
      <c r="Z101" s="38">
        <v>0.45232067510548518</v>
      </c>
      <c r="AA101" s="35">
        <v>423</v>
      </c>
      <c r="AB101" s="36">
        <v>0.17848101265822791</v>
      </c>
      <c r="AC101" s="35">
        <v>154</v>
      </c>
      <c r="AD101" s="36">
        <v>6.4978902953586493E-2</v>
      </c>
      <c r="AE101" s="35">
        <v>37</v>
      </c>
      <c r="AF101" s="36">
        <v>0.24025974025974031</v>
      </c>
      <c r="AG101" s="35">
        <v>142</v>
      </c>
      <c r="AH101" s="36">
        <v>0.92207792207792205</v>
      </c>
      <c r="AI101" s="39">
        <v>161</v>
      </c>
      <c r="AJ101" s="36">
        <v>6.7932489451476799E-2</v>
      </c>
      <c r="AK101" s="39">
        <v>12</v>
      </c>
      <c r="AL101" s="36">
        <v>0.79503105590062106</v>
      </c>
      <c r="AM101" s="39">
        <v>160</v>
      </c>
      <c r="AN101" s="39">
        <v>128</v>
      </c>
      <c r="AO101" s="36">
        <v>5.4008438818565402E-2</v>
      </c>
      <c r="AP101" s="36">
        <v>0.83116883116883122</v>
      </c>
      <c r="AQ101" s="37">
        <v>0.9760479041916168</v>
      </c>
      <c r="AR101" s="39">
        <v>0</v>
      </c>
      <c r="AS101" s="39">
        <v>0</v>
      </c>
      <c r="AT101" s="39">
        <v>35</v>
      </c>
      <c r="AU101" s="39">
        <v>26</v>
      </c>
      <c r="AV101" s="39">
        <v>29</v>
      </c>
      <c r="AW101" s="39">
        <v>56</v>
      </c>
      <c r="AX101" s="36">
        <v>1.0970464135021099E-2</v>
      </c>
      <c r="AY101" s="36">
        <v>1.2236286919831221E-2</v>
      </c>
      <c r="AZ101" s="36">
        <v>2.3628691983122362E-2</v>
      </c>
      <c r="BA101" s="36">
        <v>0.2265625</v>
      </c>
      <c r="BB101" s="39">
        <v>0</v>
      </c>
      <c r="BC101" s="39">
        <v>0</v>
      </c>
      <c r="BD101" s="37">
        <v>1</v>
      </c>
      <c r="BE101" s="37">
        <v>1</v>
      </c>
      <c r="BF101" s="37" t="s">
        <v>111</v>
      </c>
    </row>
    <row r="102" spans="1:58" ht="19.5" customHeight="1">
      <c r="A102" s="40">
        <v>99</v>
      </c>
      <c r="B102" s="35" t="s">
        <v>110</v>
      </c>
      <c r="C102" s="41">
        <v>46162</v>
      </c>
      <c r="D102" s="35" t="s">
        <v>36</v>
      </c>
      <c r="E102" s="35">
        <v>5197</v>
      </c>
      <c r="F102" s="35">
        <v>4780</v>
      </c>
      <c r="G102" s="36">
        <v>0.9197614008081586</v>
      </c>
      <c r="H102" s="35">
        <v>1784</v>
      </c>
      <c r="I102" s="37">
        <v>0.34327496632672688</v>
      </c>
      <c r="J102" s="35">
        <v>6036</v>
      </c>
      <c r="K102" s="35">
        <v>5924</v>
      </c>
      <c r="L102" s="36">
        <v>0.98099999999999998</v>
      </c>
      <c r="M102" s="35">
        <v>27235</v>
      </c>
      <c r="N102" s="35">
        <v>27201</v>
      </c>
      <c r="O102" s="35">
        <v>26933</v>
      </c>
      <c r="P102" s="36">
        <v>0.98891132733614839</v>
      </c>
      <c r="Q102" s="35">
        <v>43</v>
      </c>
      <c r="R102" s="35">
        <v>0</v>
      </c>
      <c r="S102" s="35">
        <v>0</v>
      </c>
      <c r="T102" s="36">
        <v>0</v>
      </c>
      <c r="U102" s="35">
        <v>0</v>
      </c>
      <c r="V102" s="36">
        <v>0</v>
      </c>
      <c r="W102" s="35">
        <v>502</v>
      </c>
      <c r="X102" s="36">
        <v>9.6594188955166443E-2</v>
      </c>
      <c r="Y102" s="35">
        <v>1969</v>
      </c>
      <c r="Z102" s="38">
        <v>0.37887242639984609</v>
      </c>
      <c r="AA102" s="35">
        <v>1043</v>
      </c>
      <c r="AB102" s="36">
        <v>0.2006927073311526</v>
      </c>
      <c r="AC102" s="35">
        <v>909</v>
      </c>
      <c r="AD102" s="36">
        <v>0.17490860111602849</v>
      </c>
      <c r="AE102" s="35">
        <v>221</v>
      </c>
      <c r="AF102" s="36">
        <v>0.24312431243124311</v>
      </c>
      <c r="AG102" s="35">
        <v>859</v>
      </c>
      <c r="AH102" s="36">
        <v>0.94499449944994496</v>
      </c>
      <c r="AI102" s="39">
        <v>980</v>
      </c>
      <c r="AJ102" s="36">
        <v>0.18857032903598231</v>
      </c>
      <c r="AK102" s="39">
        <v>90</v>
      </c>
      <c r="AL102" s="36">
        <v>0.88775510204081631</v>
      </c>
      <c r="AM102" s="39">
        <v>958</v>
      </c>
      <c r="AN102" s="39">
        <v>870</v>
      </c>
      <c r="AO102" s="36">
        <v>0.1674042716952088</v>
      </c>
      <c r="AP102" s="36">
        <v>0.95709570957095713</v>
      </c>
      <c r="AQ102" s="37">
        <v>0.96485260770975056</v>
      </c>
      <c r="AR102" s="39">
        <v>0</v>
      </c>
      <c r="AS102" s="39">
        <v>0</v>
      </c>
      <c r="AT102" s="39">
        <v>95</v>
      </c>
      <c r="AU102" s="39">
        <v>90</v>
      </c>
      <c r="AV102" s="39">
        <v>87</v>
      </c>
      <c r="AW102" s="39">
        <v>188</v>
      </c>
      <c r="AX102" s="36">
        <v>1.7317683278814701E-2</v>
      </c>
      <c r="AY102" s="36">
        <v>1.6740427169520879E-2</v>
      </c>
      <c r="AZ102" s="36">
        <v>3.6174716182412928E-2</v>
      </c>
      <c r="BA102" s="36">
        <v>0.1</v>
      </c>
      <c r="BB102" s="39">
        <v>0</v>
      </c>
      <c r="BC102" s="39">
        <v>1</v>
      </c>
      <c r="BD102" s="37">
        <v>0.97790055248618779</v>
      </c>
      <c r="BE102" s="37">
        <v>1</v>
      </c>
      <c r="BF102" s="37" t="s">
        <v>111</v>
      </c>
    </row>
    <row r="103" spans="1:58" ht="19.5" customHeight="1">
      <c r="A103" s="40">
        <v>100</v>
      </c>
      <c r="B103" s="35" t="s">
        <v>110</v>
      </c>
      <c r="C103" s="41">
        <v>46162</v>
      </c>
      <c r="D103" s="35" t="s">
        <v>35</v>
      </c>
      <c r="E103" s="35">
        <v>3203</v>
      </c>
      <c r="F103" s="35">
        <v>2969</v>
      </c>
      <c r="G103" s="36">
        <v>0.92694349047767721</v>
      </c>
      <c r="H103" s="35">
        <v>1283</v>
      </c>
      <c r="I103" s="37">
        <v>0.40056197315017172</v>
      </c>
      <c r="J103" s="35">
        <v>3193</v>
      </c>
      <c r="K103" s="35">
        <v>3116</v>
      </c>
      <c r="L103" s="36">
        <v>0.97599999999999998</v>
      </c>
      <c r="M103" s="35">
        <v>16547</v>
      </c>
      <c r="N103" s="35">
        <v>16325</v>
      </c>
      <c r="O103" s="35">
        <v>16346</v>
      </c>
      <c r="P103" s="36">
        <v>0.98785278298180934</v>
      </c>
      <c r="Q103" s="35">
        <v>39</v>
      </c>
      <c r="R103" s="35">
        <v>0</v>
      </c>
      <c r="S103" s="35">
        <v>0</v>
      </c>
      <c r="T103" s="36">
        <v>0</v>
      </c>
      <c r="U103" s="35">
        <v>0</v>
      </c>
      <c r="V103" s="36">
        <v>0</v>
      </c>
      <c r="W103" s="35">
        <v>268</v>
      </c>
      <c r="X103" s="36">
        <v>8.36715579144552E-2</v>
      </c>
      <c r="Y103" s="35">
        <v>1165</v>
      </c>
      <c r="Z103" s="38">
        <v>0.36372151108335937</v>
      </c>
      <c r="AA103" s="35">
        <v>355</v>
      </c>
      <c r="AB103" s="36">
        <v>0.110833593506088</v>
      </c>
      <c r="AC103" s="35">
        <v>429</v>
      </c>
      <c r="AD103" s="36">
        <v>0.1339369341242585</v>
      </c>
      <c r="AE103" s="35">
        <v>76</v>
      </c>
      <c r="AF103" s="36">
        <v>0.17715617715617721</v>
      </c>
      <c r="AG103" s="35">
        <v>406</v>
      </c>
      <c r="AH103" s="36">
        <v>0.94638694638694643</v>
      </c>
      <c r="AI103" s="39">
        <v>428</v>
      </c>
      <c r="AJ103" s="36">
        <v>0.13362472681860749</v>
      </c>
      <c r="AK103" s="39">
        <v>27</v>
      </c>
      <c r="AL103" s="36">
        <v>0.96495327102803741</v>
      </c>
      <c r="AM103" s="39">
        <v>428</v>
      </c>
      <c r="AN103" s="39">
        <v>413</v>
      </c>
      <c r="AO103" s="36">
        <v>0.12894161723384329</v>
      </c>
      <c r="AP103" s="36">
        <v>0.96270396270396275</v>
      </c>
      <c r="AQ103" s="37">
        <v>0.95959595959595956</v>
      </c>
      <c r="AR103" s="39">
        <v>0</v>
      </c>
      <c r="AS103" s="39">
        <v>0</v>
      </c>
      <c r="AT103" s="39">
        <v>51</v>
      </c>
      <c r="AU103" s="39">
        <v>43</v>
      </c>
      <c r="AV103" s="39">
        <v>43</v>
      </c>
      <c r="AW103" s="39">
        <v>77</v>
      </c>
      <c r="AX103" s="36">
        <v>1.342491414299095E-2</v>
      </c>
      <c r="AY103" s="36">
        <v>1.342491414299095E-2</v>
      </c>
      <c r="AZ103" s="36">
        <v>2.4039962535123319E-2</v>
      </c>
      <c r="BA103" s="36">
        <v>0.1041162227602906</v>
      </c>
      <c r="BB103" s="39">
        <v>0</v>
      </c>
      <c r="BC103" s="39">
        <v>1</v>
      </c>
      <c r="BD103" s="37">
        <v>0.96153846153846156</v>
      </c>
      <c r="BE103" s="37">
        <v>1</v>
      </c>
      <c r="BF103" s="37" t="s">
        <v>111</v>
      </c>
    </row>
    <row r="104" spans="1:58" ht="19.5" customHeight="1">
      <c r="A104" s="40">
        <v>101</v>
      </c>
      <c r="B104" s="35" t="s">
        <v>110</v>
      </c>
      <c r="C104" s="41">
        <v>46163</v>
      </c>
      <c r="D104" s="35"/>
      <c r="E104" s="35">
        <v>162</v>
      </c>
      <c r="F104" s="35">
        <v>161</v>
      </c>
      <c r="G104" s="36">
        <v>0.99382716049382713</v>
      </c>
      <c r="H104" s="35">
        <v>162</v>
      </c>
      <c r="I104" s="37">
        <v>1</v>
      </c>
      <c r="J104" s="35">
        <v>0</v>
      </c>
      <c r="K104" s="35">
        <v>0</v>
      </c>
      <c r="L104" s="36">
        <v>0</v>
      </c>
      <c r="M104" s="35">
        <v>1</v>
      </c>
      <c r="N104" s="35">
        <v>2</v>
      </c>
      <c r="O104" s="35">
        <v>1</v>
      </c>
      <c r="P104" s="36">
        <v>1</v>
      </c>
      <c r="Q104" s="35">
        <v>0</v>
      </c>
      <c r="R104" s="35">
        <v>0</v>
      </c>
      <c r="S104" s="35">
        <v>0</v>
      </c>
      <c r="T104" s="36">
        <v>0</v>
      </c>
      <c r="U104" s="35">
        <v>0</v>
      </c>
      <c r="V104" s="36">
        <v>0</v>
      </c>
      <c r="W104" s="35">
        <v>59</v>
      </c>
      <c r="X104" s="36">
        <v>0.36419753086419748</v>
      </c>
      <c r="Y104" s="35">
        <v>13</v>
      </c>
      <c r="Z104" s="38">
        <v>8.0246913580246909E-2</v>
      </c>
      <c r="AA104" s="35">
        <v>0</v>
      </c>
      <c r="AB104" s="36">
        <v>0</v>
      </c>
      <c r="AC104" s="35">
        <v>0</v>
      </c>
      <c r="AD104" s="36">
        <v>0</v>
      </c>
      <c r="AE104" s="35">
        <v>0</v>
      </c>
      <c r="AF104" s="36">
        <v>0</v>
      </c>
      <c r="AG104" s="35">
        <v>0</v>
      </c>
      <c r="AH104" s="36">
        <v>0</v>
      </c>
      <c r="AI104" s="39">
        <v>0</v>
      </c>
      <c r="AJ104" s="36">
        <v>0</v>
      </c>
      <c r="AK104" s="39">
        <v>0</v>
      </c>
      <c r="AL104" s="36">
        <v>0</v>
      </c>
      <c r="AM104" s="39">
        <v>0</v>
      </c>
      <c r="AN104" s="39">
        <v>0</v>
      </c>
      <c r="AO104" s="36">
        <v>0</v>
      </c>
      <c r="AP104" s="36">
        <v>0</v>
      </c>
      <c r="AQ104" s="37"/>
      <c r="AR104" s="39">
        <v>0</v>
      </c>
      <c r="AS104" s="39">
        <v>0</v>
      </c>
      <c r="AT104" s="39">
        <v>0</v>
      </c>
      <c r="AU104" s="39">
        <v>0</v>
      </c>
      <c r="AV104" s="39">
        <v>0</v>
      </c>
      <c r="AW104" s="39">
        <v>0</v>
      </c>
      <c r="AX104" s="36">
        <v>0</v>
      </c>
      <c r="AY104" s="36">
        <v>0</v>
      </c>
      <c r="AZ104" s="36">
        <v>0</v>
      </c>
      <c r="BA104" s="36">
        <v>0</v>
      </c>
      <c r="BB104" s="39">
        <v>0</v>
      </c>
      <c r="BC104" s="39">
        <v>0</v>
      </c>
      <c r="BD104" s="37" t="s">
        <v>111</v>
      </c>
      <c r="BE104" s="37" t="s">
        <v>111</v>
      </c>
      <c r="BF104" s="37">
        <v>0.99295774647887325</v>
      </c>
    </row>
    <row r="105" spans="1:58" ht="19.5" customHeight="1">
      <c r="A105" s="40">
        <v>102</v>
      </c>
      <c r="B105" s="35" t="s">
        <v>110</v>
      </c>
      <c r="C105" s="41">
        <v>46163</v>
      </c>
      <c r="D105" s="35" t="s">
        <v>34</v>
      </c>
      <c r="E105" s="35">
        <v>3634</v>
      </c>
      <c r="F105" s="35">
        <v>3338</v>
      </c>
      <c r="G105" s="36">
        <v>0.91854705558613103</v>
      </c>
      <c r="H105" s="35">
        <v>1506</v>
      </c>
      <c r="I105" s="37">
        <v>0.41441937259218492</v>
      </c>
      <c r="J105" s="35">
        <v>3577</v>
      </c>
      <c r="K105" s="35">
        <v>3513</v>
      </c>
      <c r="L105" s="36">
        <v>0.98199999999999998</v>
      </c>
      <c r="M105" s="35">
        <v>13110</v>
      </c>
      <c r="N105" s="35">
        <v>12865</v>
      </c>
      <c r="O105" s="35">
        <v>12957</v>
      </c>
      <c r="P105" s="36">
        <v>0.98832951945080094</v>
      </c>
      <c r="Q105" s="35">
        <v>21</v>
      </c>
      <c r="R105" s="35">
        <v>0</v>
      </c>
      <c r="S105" s="35">
        <v>0</v>
      </c>
      <c r="T105" s="36">
        <v>0</v>
      </c>
      <c r="U105" s="35">
        <v>0</v>
      </c>
      <c r="V105" s="36">
        <v>0</v>
      </c>
      <c r="W105" s="35">
        <v>433</v>
      </c>
      <c r="X105" s="36">
        <v>0.1191524490919097</v>
      </c>
      <c r="Y105" s="35">
        <v>754</v>
      </c>
      <c r="Z105" s="38">
        <v>0.20748486516235551</v>
      </c>
      <c r="AA105" s="35">
        <v>31</v>
      </c>
      <c r="AB105" s="36">
        <v>8.5305448541552007E-3</v>
      </c>
      <c r="AC105" s="35">
        <v>200</v>
      </c>
      <c r="AD105" s="36">
        <v>5.5035773252614197E-2</v>
      </c>
      <c r="AE105" s="35">
        <v>38</v>
      </c>
      <c r="AF105" s="36">
        <v>0.19</v>
      </c>
      <c r="AG105" s="35">
        <v>183</v>
      </c>
      <c r="AH105" s="36">
        <v>0.91500000000000004</v>
      </c>
      <c r="AI105" s="39">
        <v>218</v>
      </c>
      <c r="AJ105" s="36">
        <v>5.9988992845349483E-2</v>
      </c>
      <c r="AK105" s="39">
        <v>27</v>
      </c>
      <c r="AL105" s="36">
        <v>0.8669724770642202</v>
      </c>
      <c r="AM105" s="39">
        <v>213</v>
      </c>
      <c r="AN105" s="39">
        <v>189</v>
      </c>
      <c r="AO105" s="36">
        <v>5.2008805723720422E-2</v>
      </c>
      <c r="AP105" s="36">
        <v>0.94499999999999995</v>
      </c>
      <c r="AQ105" s="37">
        <v>0.9719101123595506</v>
      </c>
      <c r="AR105" s="39">
        <v>0</v>
      </c>
      <c r="AS105" s="39">
        <v>0</v>
      </c>
      <c r="AT105" s="39">
        <v>38</v>
      </c>
      <c r="AU105" s="39">
        <v>35</v>
      </c>
      <c r="AV105" s="39">
        <v>37</v>
      </c>
      <c r="AW105" s="39">
        <v>41</v>
      </c>
      <c r="AX105" s="36">
        <v>9.6312603192074842E-3</v>
      </c>
      <c r="AY105" s="36">
        <v>1.0181618051733629E-2</v>
      </c>
      <c r="AZ105" s="36">
        <v>1.1282333516785909E-2</v>
      </c>
      <c r="BA105" s="36">
        <v>0.19576719576719581</v>
      </c>
      <c r="BB105" s="39">
        <v>0</v>
      </c>
      <c r="BC105" s="39">
        <v>0</v>
      </c>
      <c r="BD105" s="37">
        <v>1</v>
      </c>
      <c r="BE105" s="37">
        <v>1</v>
      </c>
      <c r="BF105" s="37" t="s">
        <v>111</v>
      </c>
    </row>
    <row r="106" spans="1:58" ht="19.5" customHeight="1">
      <c r="A106" s="40">
        <v>103</v>
      </c>
      <c r="B106" s="35" t="s">
        <v>110</v>
      </c>
      <c r="C106" s="41">
        <v>46163</v>
      </c>
      <c r="D106" s="35" t="s">
        <v>33</v>
      </c>
      <c r="E106" s="35">
        <v>2683</v>
      </c>
      <c r="F106" s="35">
        <v>2444</v>
      </c>
      <c r="G106" s="36">
        <v>0.91092061125605661</v>
      </c>
      <c r="H106" s="35">
        <v>1122</v>
      </c>
      <c r="I106" s="37">
        <v>0.41818859485650389</v>
      </c>
      <c r="J106" s="35">
        <v>2025</v>
      </c>
      <c r="K106" s="35">
        <v>1943</v>
      </c>
      <c r="L106" s="36">
        <v>0.96</v>
      </c>
      <c r="M106" s="35">
        <v>9032</v>
      </c>
      <c r="N106" s="35">
        <v>9020</v>
      </c>
      <c r="O106" s="35">
        <v>8868</v>
      </c>
      <c r="P106" s="36">
        <v>0.98184233835252432</v>
      </c>
      <c r="Q106" s="35">
        <v>50</v>
      </c>
      <c r="R106" s="35">
        <v>0</v>
      </c>
      <c r="S106" s="35">
        <v>0</v>
      </c>
      <c r="T106" s="36">
        <v>0</v>
      </c>
      <c r="U106" s="35">
        <v>0</v>
      </c>
      <c r="V106" s="36">
        <v>0</v>
      </c>
      <c r="W106" s="35">
        <v>386</v>
      </c>
      <c r="X106" s="36">
        <v>0.14386880357808421</v>
      </c>
      <c r="Y106" s="35">
        <v>589</v>
      </c>
      <c r="Z106" s="38">
        <v>0.21953037644427881</v>
      </c>
      <c r="AA106" s="35">
        <v>13</v>
      </c>
      <c r="AB106" s="36">
        <v>4.8453224002981739E-3</v>
      </c>
      <c r="AC106" s="35">
        <v>181</v>
      </c>
      <c r="AD106" s="36">
        <v>6.7461796496459184E-2</v>
      </c>
      <c r="AE106" s="35">
        <v>40</v>
      </c>
      <c r="AF106" s="36">
        <v>0.22099447513812151</v>
      </c>
      <c r="AG106" s="35">
        <v>172</v>
      </c>
      <c r="AH106" s="36">
        <v>0.95027624309392267</v>
      </c>
      <c r="AI106" s="39">
        <v>178</v>
      </c>
      <c r="AJ106" s="36">
        <v>6.6343645173313454E-2</v>
      </c>
      <c r="AK106" s="39">
        <v>10</v>
      </c>
      <c r="AL106" s="36">
        <v>0.8595505617977528</v>
      </c>
      <c r="AM106" s="39">
        <v>175</v>
      </c>
      <c r="AN106" s="39">
        <v>153</v>
      </c>
      <c r="AO106" s="36">
        <v>5.702571748043235E-2</v>
      </c>
      <c r="AP106" s="36">
        <v>0.84530386740331487</v>
      </c>
      <c r="AQ106" s="37">
        <v>0.98601398601398604</v>
      </c>
      <c r="AR106" s="39">
        <v>0</v>
      </c>
      <c r="AS106" s="39">
        <v>0</v>
      </c>
      <c r="AT106" s="39">
        <v>35</v>
      </c>
      <c r="AU106" s="39">
        <v>31</v>
      </c>
      <c r="AV106" s="39">
        <v>29</v>
      </c>
      <c r="AW106" s="39">
        <v>38</v>
      </c>
      <c r="AX106" s="36">
        <v>1.1554230339172571E-2</v>
      </c>
      <c r="AY106" s="36">
        <v>1.080879612374208E-2</v>
      </c>
      <c r="AZ106" s="36">
        <v>1.4163250093179281E-2</v>
      </c>
      <c r="BA106" s="36">
        <v>0.18954248366013071</v>
      </c>
      <c r="BB106" s="39">
        <v>0</v>
      </c>
      <c r="BC106" s="39">
        <v>0</v>
      </c>
      <c r="BD106" s="37">
        <v>1</v>
      </c>
      <c r="BE106" s="37">
        <v>1</v>
      </c>
      <c r="BF106" s="37" t="s">
        <v>111</v>
      </c>
    </row>
    <row r="107" spans="1:58" ht="19.5" customHeight="1">
      <c r="A107" s="40">
        <v>104</v>
      </c>
      <c r="B107" s="35" t="s">
        <v>110</v>
      </c>
      <c r="C107" s="41">
        <v>46163</v>
      </c>
      <c r="D107" s="35" t="s">
        <v>36</v>
      </c>
      <c r="E107" s="35">
        <v>5373</v>
      </c>
      <c r="F107" s="35">
        <v>4920</v>
      </c>
      <c r="G107" s="36">
        <v>0.9156895589056393</v>
      </c>
      <c r="H107" s="35">
        <v>1784</v>
      </c>
      <c r="I107" s="37">
        <v>0.33203052298529678</v>
      </c>
      <c r="J107" s="35">
        <v>3508</v>
      </c>
      <c r="K107" s="35">
        <v>3426</v>
      </c>
      <c r="L107" s="36">
        <v>0.97699999999999998</v>
      </c>
      <c r="M107" s="35">
        <v>24426</v>
      </c>
      <c r="N107" s="35">
        <v>24053</v>
      </c>
      <c r="O107" s="35">
        <v>24140</v>
      </c>
      <c r="P107" s="36">
        <v>0.98829116515188731</v>
      </c>
      <c r="Q107" s="35">
        <v>52</v>
      </c>
      <c r="R107" s="35">
        <v>0</v>
      </c>
      <c r="S107" s="35">
        <v>0</v>
      </c>
      <c r="T107" s="36">
        <v>0</v>
      </c>
      <c r="U107" s="35">
        <v>0</v>
      </c>
      <c r="V107" s="36">
        <v>0</v>
      </c>
      <c r="W107" s="35">
        <v>849</v>
      </c>
      <c r="X107" s="36">
        <v>0.15801228364042441</v>
      </c>
      <c r="Y107" s="35">
        <v>1734</v>
      </c>
      <c r="Z107" s="38">
        <v>0.32272473478503633</v>
      </c>
      <c r="AA107" s="35">
        <v>45</v>
      </c>
      <c r="AB107" s="36">
        <v>8.3752093802345051E-3</v>
      </c>
      <c r="AC107" s="35">
        <v>969</v>
      </c>
      <c r="AD107" s="36">
        <v>0.18034617532104971</v>
      </c>
      <c r="AE107" s="35">
        <v>188</v>
      </c>
      <c r="AF107" s="36">
        <v>0.19401444788441691</v>
      </c>
      <c r="AG107" s="35">
        <v>901</v>
      </c>
      <c r="AH107" s="36">
        <v>0.92982456140350878</v>
      </c>
      <c r="AI107" s="39">
        <v>993</v>
      </c>
      <c r="AJ107" s="36">
        <v>0.18481295365717479</v>
      </c>
      <c r="AK107" s="39">
        <v>70</v>
      </c>
      <c r="AL107" s="36">
        <v>0.91037260825780464</v>
      </c>
      <c r="AM107" s="39">
        <v>983</v>
      </c>
      <c r="AN107" s="39">
        <v>904</v>
      </c>
      <c r="AO107" s="36">
        <v>0.16824865066071101</v>
      </c>
      <c r="AP107" s="36">
        <v>0.93292053663570695</v>
      </c>
      <c r="AQ107" s="37">
        <v>0.97649572649572647</v>
      </c>
      <c r="AR107" s="39">
        <v>0</v>
      </c>
      <c r="AS107" s="39">
        <v>0</v>
      </c>
      <c r="AT107" s="39">
        <v>82</v>
      </c>
      <c r="AU107" s="39">
        <v>64</v>
      </c>
      <c r="AV107" s="39">
        <v>69</v>
      </c>
      <c r="AW107" s="39">
        <v>188</v>
      </c>
      <c r="AX107" s="36">
        <v>1.191140889633352E-2</v>
      </c>
      <c r="AY107" s="36">
        <v>1.284198771635957E-2</v>
      </c>
      <c r="AZ107" s="36">
        <v>3.498976363297971E-2</v>
      </c>
      <c r="BA107" s="36">
        <v>7.6327433628318578E-2</v>
      </c>
      <c r="BB107" s="39">
        <v>0</v>
      </c>
      <c r="BC107" s="39">
        <v>0</v>
      </c>
      <c r="BD107" s="37">
        <v>1</v>
      </c>
      <c r="BE107" s="37">
        <v>0.9285714285714286</v>
      </c>
      <c r="BF107" s="37" t="s">
        <v>111</v>
      </c>
    </row>
    <row r="108" spans="1:58" ht="19.5" customHeight="1">
      <c r="A108" s="40">
        <v>105</v>
      </c>
      <c r="B108" s="35" t="s">
        <v>110</v>
      </c>
      <c r="C108" s="41">
        <v>46163</v>
      </c>
      <c r="D108" s="35" t="s">
        <v>35</v>
      </c>
      <c r="E108" s="35">
        <v>3039</v>
      </c>
      <c r="F108" s="35">
        <v>2796</v>
      </c>
      <c r="G108" s="36">
        <v>0.92003948667324775</v>
      </c>
      <c r="H108" s="35">
        <v>1204</v>
      </c>
      <c r="I108" s="37">
        <v>0.39618295491938138</v>
      </c>
      <c r="J108" s="35">
        <v>3258</v>
      </c>
      <c r="K108" s="35">
        <v>3154</v>
      </c>
      <c r="L108" s="36">
        <v>0.96799999999999997</v>
      </c>
      <c r="M108" s="35">
        <v>17119</v>
      </c>
      <c r="N108" s="35">
        <v>16922</v>
      </c>
      <c r="O108" s="35">
        <v>16859</v>
      </c>
      <c r="P108" s="36">
        <v>0.98481219697412237</v>
      </c>
      <c r="Q108" s="35">
        <v>57</v>
      </c>
      <c r="R108" s="35">
        <v>0</v>
      </c>
      <c r="S108" s="35">
        <v>0</v>
      </c>
      <c r="T108" s="36">
        <v>0</v>
      </c>
      <c r="U108" s="35">
        <v>0</v>
      </c>
      <c r="V108" s="36">
        <v>0</v>
      </c>
      <c r="W108" s="35">
        <v>623</v>
      </c>
      <c r="X108" s="36">
        <v>0.20500164527805201</v>
      </c>
      <c r="Y108" s="35">
        <v>1029</v>
      </c>
      <c r="Z108" s="38">
        <v>0.33859822309970378</v>
      </c>
      <c r="AA108" s="35">
        <v>52</v>
      </c>
      <c r="AB108" s="36">
        <v>1.7110891740704182E-2</v>
      </c>
      <c r="AC108" s="35">
        <v>396</v>
      </c>
      <c r="AD108" s="36">
        <v>0.13030602171767031</v>
      </c>
      <c r="AE108" s="35">
        <v>93</v>
      </c>
      <c r="AF108" s="36">
        <v>0.23484848484848489</v>
      </c>
      <c r="AG108" s="35">
        <v>379</v>
      </c>
      <c r="AH108" s="36">
        <v>0.95707070707070707</v>
      </c>
      <c r="AI108" s="39">
        <v>420</v>
      </c>
      <c r="AJ108" s="36">
        <v>0.13820335636722611</v>
      </c>
      <c r="AK108" s="39">
        <v>41</v>
      </c>
      <c r="AL108" s="36">
        <v>0.92380952380952386</v>
      </c>
      <c r="AM108" s="39">
        <v>418</v>
      </c>
      <c r="AN108" s="39">
        <v>388</v>
      </c>
      <c r="AO108" s="36">
        <v>0.12767357683448499</v>
      </c>
      <c r="AP108" s="36">
        <v>0.97979797979797978</v>
      </c>
      <c r="AQ108" s="37">
        <v>0.94174757281553401</v>
      </c>
      <c r="AR108" s="39">
        <v>0</v>
      </c>
      <c r="AS108" s="39">
        <v>0</v>
      </c>
      <c r="AT108" s="39">
        <v>45</v>
      </c>
      <c r="AU108" s="39">
        <v>43</v>
      </c>
      <c r="AV108" s="39">
        <v>43</v>
      </c>
      <c r="AW108" s="39">
        <v>62</v>
      </c>
      <c r="AX108" s="36">
        <v>1.414939124712076E-2</v>
      </c>
      <c r="AY108" s="36">
        <v>1.414939124712076E-2</v>
      </c>
      <c r="AZ108" s="36">
        <v>2.0401447844685752E-2</v>
      </c>
      <c r="BA108" s="36">
        <v>0.1108247422680412</v>
      </c>
      <c r="BB108" s="39">
        <v>0</v>
      </c>
      <c r="BC108" s="39">
        <v>0</v>
      </c>
      <c r="BD108" s="37">
        <v>0.96153846153846156</v>
      </c>
      <c r="BE108" s="37">
        <v>1</v>
      </c>
      <c r="BF108" s="37" t="s">
        <v>111</v>
      </c>
    </row>
    <row r="109" spans="1:58" ht="19.5" customHeight="1">
      <c r="A109" s="40">
        <v>106</v>
      </c>
      <c r="B109" s="35" t="s">
        <v>110</v>
      </c>
      <c r="C109" s="41">
        <v>46164</v>
      </c>
      <c r="D109" s="35"/>
      <c r="E109" s="35">
        <v>41</v>
      </c>
      <c r="F109" s="35">
        <v>41</v>
      </c>
      <c r="G109" s="36">
        <v>1</v>
      </c>
      <c r="H109" s="35">
        <v>41</v>
      </c>
      <c r="I109" s="37">
        <v>1</v>
      </c>
      <c r="J109" s="35">
        <v>0</v>
      </c>
      <c r="K109" s="35">
        <v>0</v>
      </c>
      <c r="L109" s="36">
        <v>0</v>
      </c>
      <c r="M109" s="35">
        <v>6</v>
      </c>
      <c r="N109" s="35">
        <v>4</v>
      </c>
      <c r="O109" s="35">
        <v>4</v>
      </c>
      <c r="P109" s="36">
        <v>0.66666666666666663</v>
      </c>
      <c r="Q109" s="35">
        <v>2</v>
      </c>
      <c r="R109" s="35">
        <v>0</v>
      </c>
      <c r="S109" s="35">
        <v>0</v>
      </c>
      <c r="T109" s="36">
        <v>0</v>
      </c>
      <c r="U109" s="35">
        <v>0</v>
      </c>
      <c r="V109" s="36">
        <v>0</v>
      </c>
      <c r="W109" s="35">
        <v>14</v>
      </c>
      <c r="X109" s="36">
        <v>0.34146341463414642</v>
      </c>
      <c r="Y109" s="35">
        <v>20</v>
      </c>
      <c r="Z109" s="38">
        <v>0.48780487804878048</v>
      </c>
      <c r="AA109" s="35">
        <v>0</v>
      </c>
      <c r="AB109" s="36">
        <v>0</v>
      </c>
      <c r="AC109" s="35">
        <v>0</v>
      </c>
      <c r="AD109" s="36">
        <v>0</v>
      </c>
      <c r="AE109" s="35">
        <v>0</v>
      </c>
      <c r="AF109" s="36">
        <v>0</v>
      </c>
      <c r="AG109" s="35">
        <v>0</v>
      </c>
      <c r="AH109" s="36">
        <v>0</v>
      </c>
      <c r="AI109" s="39">
        <v>0</v>
      </c>
      <c r="AJ109" s="36">
        <v>0</v>
      </c>
      <c r="AK109" s="39">
        <v>0</v>
      </c>
      <c r="AL109" s="36">
        <v>0</v>
      </c>
      <c r="AM109" s="39">
        <v>0</v>
      </c>
      <c r="AN109" s="39">
        <v>0</v>
      </c>
      <c r="AO109" s="36">
        <v>0</v>
      </c>
      <c r="AP109" s="36">
        <v>0</v>
      </c>
      <c r="AQ109" s="37">
        <v>0</v>
      </c>
      <c r="AR109" s="39">
        <v>0</v>
      </c>
      <c r="AS109" s="39">
        <v>0</v>
      </c>
      <c r="AT109" s="39">
        <v>0</v>
      </c>
      <c r="AU109" s="39">
        <v>0</v>
      </c>
      <c r="AV109" s="39">
        <v>0</v>
      </c>
      <c r="AW109" s="39">
        <v>0</v>
      </c>
      <c r="AX109" s="36">
        <v>0</v>
      </c>
      <c r="AY109" s="36">
        <v>0</v>
      </c>
      <c r="AZ109" s="36">
        <v>0</v>
      </c>
      <c r="BA109" s="36">
        <v>0</v>
      </c>
      <c r="BB109" s="39">
        <v>0</v>
      </c>
      <c r="BC109" s="39">
        <v>0</v>
      </c>
      <c r="BD109" s="37" t="s">
        <v>111</v>
      </c>
      <c r="BE109" s="37" t="s">
        <v>111</v>
      </c>
      <c r="BF109" s="37">
        <v>1</v>
      </c>
    </row>
    <row r="110" spans="1:58" ht="19.5" customHeight="1">
      <c r="A110" s="40">
        <v>107</v>
      </c>
      <c r="B110" s="35" t="s">
        <v>110</v>
      </c>
      <c r="C110" s="41">
        <v>46164</v>
      </c>
      <c r="D110" s="35" t="s">
        <v>34</v>
      </c>
      <c r="E110" s="35">
        <v>3732</v>
      </c>
      <c r="F110" s="35">
        <v>3385</v>
      </c>
      <c r="G110" s="36">
        <v>0.90702036441586276</v>
      </c>
      <c r="H110" s="35">
        <v>1308</v>
      </c>
      <c r="I110" s="37">
        <v>0.35048231511254019</v>
      </c>
      <c r="J110" s="35">
        <v>2111</v>
      </c>
      <c r="K110" s="35">
        <v>2086</v>
      </c>
      <c r="L110" s="36">
        <v>0.98799999999999999</v>
      </c>
      <c r="M110" s="35">
        <v>11492</v>
      </c>
      <c r="N110" s="35">
        <v>11348</v>
      </c>
      <c r="O110" s="35">
        <v>11413</v>
      </c>
      <c r="P110" s="36">
        <v>0.99312565262791508</v>
      </c>
      <c r="Q110" s="35">
        <v>8</v>
      </c>
      <c r="R110" s="35">
        <v>0</v>
      </c>
      <c r="S110" s="35">
        <v>0</v>
      </c>
      <c r="T110" s="36">
        <v>0</v>
      </c>
      <c r="U110" s="35">
        <v>0</v>
      </c>
      <c r="V110" s="36">
        <v>0</v>
      </c>
      <c r="W110" s="35">
        <v>245</v>
      </c>
      <c r="X110" s="36">
        <v>6.5648445873526265E-2</v>
      </c>
      <c r="Y110" s="35">
        <v>580</v>
      </c>
      <c r="Z110" s="38">
        <v>0.15541264737406221</v>
      </c>
      <c r="AA110" s="35">
        <v>25</v>
      </c>
      <c r="AB110" s="36">
        <v>6.6988210075026797E-3</v>
      </c>
      <c r="AC110" s="35">
        <v>149</v>
      </c>
      <c r="AD110" s="36">
        <v>3.9924973204715969E-2</v>
      </c>
      <c r="AE110" s="35">
        <v>29</v>
      </c>
      <c r="AF110" s="36">
        <v>0.1946308724832215</v>
      </c>
      <c r="AG110" s="35">
        <v>140</v>
      </c>
      <c r="AH110" s="36">
        <v>0.93959731543624159</v>
      </c>
      <c r="AI110" s="39">
        <v>146</v>
      </c>
      <c r="AJ110" s="36">
        <v>3.9121114683815648E-2</v>
      </c>
      <c r="AK110" s="39">
        <v>19</v>
      </c>
      <c r="AL110" s="36">
        <v>0.86986301369863017</v>
      </c>
      <c r="AM110" s="39">
        <v>143</v>
      </c>
      <c r="AN110" s="39">
        <v>127</v>
      </c>
      <c r="AO110" s="36">
        <v>3.403001071811361E-2</v>
      </c>
      <c r="AP110" s="36">
        <v>0.8523489932885906</v>
      </c>
      <c r="AQ110" s="37">
        <v>0.99487179487179489</v>
      </c>
      <c r="AR110" s="39">
        <v>0</v>
      </c>
      <c r="AS110" s="39">
        <v>0</v>
      </c>
      <c r="AT110" s="39">
        <v>31</v>
      </c>
      <c r="AU110" s="39">
        <v>25</v>
      </c>
      <c r="AV110" s="39">
        <v>22</v>
      </c>
      <c r="AW110" s="39">
        <v>38</v>
      </c>
      <c r="AX110" s="36">
        <v>6.6988210075026797E-3</v>
      </c>
      <c r="AY110" s="36">
        <v>5.8949624866023584E-3</v>
      </c>
      <c r="AZ110" s="36">
        <v>1.0182207931404071E-2</v>
      </c>
      <c r="BA110" s="36">
        <v>0.17322834645669291</v>
      </c>
      <c r="BB110" s="39">
        <v>0</v>
      </c>
      <c r="BC110" s="39">
        <v>0</v>
      </c>
      <c r="BD110" s="37">
        <v>1</v>
      </c>
      <c r="BE110" s="37">
        <v>1</v>
      </c>
      <c r="BF110" s="37" t="s">
        <v>111</v>
      </c>
    </row>
    <row r="111" spans="1:58" ht="19.5" customHeight="1">
      <c r="A111" s="40">
        <v>108</v>
      </c>
      <c r="B111" s="35" t="s">
        <v>110</v>
      </c>
      <c r="C111" s="41">
        <v>46164</v>
      </c>
      <c r="D111" s="35" t="s">
        <v>33</v>
      </c>
      <c r="E111" s="35">
        <v>2249</v>
      </c>
      <c r="F111" s="35">
        <v>2034</v>
      </c>
      <c r="G111" s="36">
        <v>0.90440195642507781</v>
      </c>
      <c r="H111" s="35">
        <v>1043</v>
      </c>
      <c r="I111" s="37">
        <v>0.4637616718541574</v>
      </c>
      <c r="J111" s="35">
        <v>1732</v>
      </c>
      <c r="K111" s="35">
        <v>1715</v>
      </c>
      <c r="L111" s="36">
        <v>0.99</v>
      </c>
      <c r="M111" s="35">
        <v>9330</v>
      </c>
      <c r="N111" s="35">
        <v>9341</v>
      </c>
      <c r="O111" s="35">
        <v>9259</v>
      </c>
      <c r="P111" s="36">
        <v>0.99239013933547693</v>
      </c>
      <c r="Q111" s="35">
        <v>12</v>
      </c>
      <c r="R111" s="35">
        <v>0</v>
      </c>
      <c r="S111" s="35">
        <v>0</v>
      </c>
      <c r="T111" s="36">
        <v>0</v>
      </c>
      <c r="U111" s="35">
        <v>0</v>
      </c>
      <c r="V111" s="36">
        <v>0</v>
      </c>
      <c r="W111" s="35">
        <v>210</v>
      </c>
      <c r="X111" s="36">
        <v>9.3374833259226325E-2</v>
      </c>
      <c r="Y111" s="35">
        <v>512</v>
      </c>
      <c r="Z111" s="38">
        <v>0.22765673632725661</v>
      </c>
      <c r="AA111" s="35">
        <v>9</v>
      </c>
      <c r="AB111" s="36">
        <v>4.0017785682525571E-3</v>
      </c>
      <c r="AC111" s="35">
        <v>153</v>
      </c>
      <c r="AD111" s="36">
        <v>6.8030235660293467E-2</v>
      </c>
      <c r="AE111" s="35">
        <v>25</v>
      </c>
      <c r="AF111" s="36">
        <v>0.16339869281045749</v>
      </c>
      <c r="AG111" s="35">
        <v>140</v>
      </c>
      <c r="AH111" s="36">
        <v>0.91503267973856206</v>
      </c>
      <c r="AI111" s="39">
        <v>147</v>
      </c>
      <c r="AJ111" s="36">
        <v>6.5362383281458422E-2</v>
      </c>
      <c r="AK111" s="39">
        <v>14</v>
      </c>
      <c r="AL111" s="36">
        <v>0.8231292517006803</v>
      </c>
      <c r="AM111" s="39">
        <v>145</v>
      </c>
      <c r="AN111" s="39">
        <v>121</v>
      </c>
      <c r="AO111" s="36">
        <v>5.3801689639839931E-2</v>
      </c>
      <c r="AP111" s="36">
        <v>0.79084967320261434</v>
      </c>
      <c r="AQ111" s="37">
        <v>0.95454545454545459</v>
      </c>
      <c r="AR111" s="39">
        <v>0</v>
      </c>
      <c r="AS111" s="39">
        <v>0</v>
      </c>
      <c r="AT111" s="39">
        <v>33</v>
      </c>
      <c r="AU111" s="39">
        <v>29</v>
      </c>
      <c r="AV111" s="39">
        <v>30</v>
      </c>
      <c r="AW111" s="39">
        <v>55</v>
      </c>
      <c r="AX111" s="36">
        <v>1.2894619831036021E-2</v>
      </c>
      <c r="AY111" s="36">
        <v>1.333926189417519E-2</v>
      </c>
      <c r="AZ111" s="36">
        <v>2.4455313472654509E-2</v>
      </c>
      <c r="BA111" s="36">
        <v>0.2479338842975207</v>
      </c>
      <c r="BB111" s="39">
        <v>0</v>
      </c>
      <c r="BC111" s="39">
        <v>0</v>
      </c>
      <c r="BD111" s="37">
        <v>1</v>
      </c>
      <c r="BE111" s="37">
        <v>1</v>
      </c>
      <c r="BF111" s="37" t="s">
        <v>111</v>
      </c>
    </row>
    <row r="112" spans="1:58" ht="19.5" customHeight="1">
      <c r="A112" s="40">
        <v>109</v>
      </c>
      <c r="B112" s="35" t="s">
        <v>110</v>
      </c>
      <c r="C112" s="41">
        <v>46164</v>
      </c>
      <c r="D112" s="35" t="s">
        <v>36</v>
      </c>
      <c r="E112" s="35">
        <v>5269</v>
      </c>
      <c r="F112" s="35">
        <v>4840</v>
      </c>
      <c r="G112" s="36">
        <v>0.91858037578288099</v>
      </c>
      <c r="H112" s="35">
        <v>1792</v>
      </c>
      <c r="I112" s="37">
        <v>0.34010248624027328</v>
      </c>
      <c r="J112" s="35">
        <v>4224</v>
      </c>
      <c r="K112" s="35">
        <v>4156</v>
      </c>
      <c r="L112" s="36">
        <v>0.98399999999999999</v>
      </c>
      <c r="M112" s="35">
        <v>25621</v>
      </c>
      <c r="N112" s="35">
        <v>25300</v>
      </c>
      <c r="O112" s="35">
        <v>25392</v>
      </c>
      <c r="P112" s="36">
        <v>0.99106201943718042</v>
      </c>
      <c r="Q112" s="35">
        <v>25</v>
      </c>
      <c r="R112" s="35">
        <v>0</v>
      </c>
      <c r="S112" s="35">
        <v>0</v>
      </c>
      <c r="T112" s="36">
        <v>0</v>
      </c>
      <c r="U112" s="35">
        <v>0</v>
      </c>
      <c r="V112" s="36">
        <v>0</v>
      </c>
      <c r="W112" s="35">
        <v>563</v>
      </c>
      <c r="X112" s="36">
        <v>0.1068513949516037</v>
      </c>
      <c r="Y112" s="35">
        <v>1339</v>
      </c>
      <c r="Z112" s="38">
        <v>0.25412791801100781</v>
      </c>
      <c r="AA112" s="35">
        <v>44</v>
      </c>
      <c r="AB112" s="36">
        <v>8.350730688935281E-3</v>
      </c>
      <c r="AC112" s="35">
        <v>741</v>
      </c>
      <c r="AD112" s="36">
        <v>0.14063389637502369</v>
      </c>
      <c r="AE112" s="35">
        <v>187</v>
      </c>
      <c r="AF112" s="36">
        <v>0.25236167341430499</v>
      </c>
      <c r="AG112" s="35">
        <v>683</v>
      </c>
      <c r="AH112" s="36">
        <v>0.92172739541160598</v>
      </c>
      <c r="AI112" s="39">
        <v>756</v>
      </c>
      <c r="AJ112" s="36">
        <v>0.1434807363826153</v>
      </c>
      <c r="AK112" s="39">
        <v>55</v>
      </c>
      <c r="AL112" s="36">
        <v>0.89021164021164023</v>
      </c>
      <c r="AM112" s="39">
        <v>736</v>
      </c>
      <c r="AN112" s="39">
        <v>673</v>
      </c>
      <c r="AO112" s="36">
        <v>0.12772822167394191</v>
      </c>
      <c r="AP112" s="36">
        <v>0.90823211875843457</v>
      </c>
      <c r="AQ112" s="37">
        <v>0.96250000000000002</v>
      </c>
      <c r="AR112" s="39">
        <v>0</v>
      </c>
      <c r="AS112" s="39">
        <v>0</v>
      </c>
      <c r="AT112" s="39">
        <v>45</v>
      </c>
      <c r="AU112" s="39">
        <v>37</v>
      </c>
      <c r="AV112" s="39">
        <v>42</v>
      </c>
      <c r="AW112" s="39">
        <v>197</v>
      </c>
      <c r="AX112" s="36">
        <v>7.0222053520592144E-3</v>
      </c>
      <c r="AY112" s="36">
        <v>7.9711520212564051E-3</v>
      </c>
      <c r="AZ112" s="36">
        <v>3.7388498766369328E-2</v>
      </c>
      <c r="BA112" s="36">
        <v>6.2407132243684993E-2</v>
      </c>
      <c r="BB112" s="39">
        <v>0</v>
      </c>
      <c r="BC112" s="39">
        <v>0</v>
      </c>
      <c r="BD112" s="37">
        <v>1</v>
      </c>
      <c r="BE112" s="37">
        <v>1</v>
      </c>
      <c r="BF112" s="37" t="s">
        <v>111</v>
      </c>
    </row>
    <row r="113" spans="1:58" ht="19.5" customHeight="1">
      <c r="A113" s="40">
        <v>110</v>
      </c>
      <c r="B113" s="35" t="s">
        <v>110</v>
      </c>
      <c r="C113" s="41">
        <v>46164</v>
      </c>
      <c r="D113" s="35" t="s">
        <v>35</v>
      </c>
      <c r="E113" s="35">
        <v>2816</v>
      </c>
      <c r="F113" s="35">
        <v>2618</v>
      </c>
      <c r="G113" s="36">
        <v>0.9296875</v>
      </c>
      <c r="H113" s="35">
        <v>1127</v>
      </c>
      <c r="I113" s="37">
        <v>0.40021306818181818</v>
      </c>
      <c r="J113" s="35">
        <v>2764</v>
      </c>
      <c r="K113" s="35">
        <v>2721</v>
      </c>
      <c r="L113" s="36">
        <v>0.98399999999999999</v>
      </c>
      <c r="M113" s="35">
        <v>16555</v>
      </c>
      <c r="N113" s="35">
        <v>16463</v>
      </c>
      <c r="O113" s="35">
        <v>16411</v>
      </c>
      <c r="P113" s="36">
        <v>0.99130172153427965</v>
      </c>
      <c r="Q113" s="35">
        <v>21</v>
      </c>
      <c r="R113" s="35">
        <v>0</v>
      </c>
      <c r="S113" s="35">
        <v>0</v>
      </c>
      <c r="T113" s="36">
        <v>0</v>
      </c>
      <c r="U113" s="35">
        <v>0</v>
      </c>
      <c r="V113" s="36">
        <v>0</v>
      </c>
      <c r="W113" s="35">
        <v>287</v>
      </c>
      <c r="X113" s="36">
        <v>0.1019176136363636</v>
      </c>
      <c r="Y113" s="35">
        <v>666</v>
      </c>
      <c r="Z113" s="38">
        <v>0.2365056818181818</v>
      </c>
      <c r="AA113" s="35">
        <v>65</v>
      </c>
      <c r="AB113" s="36">
        <v>2.308238636363636E-2</v>
      </c>
      <c r="AC113" s="35">
        <v>383</v>
      </c>
      <c r="AD113" s="36">
        <v>0.13600852272727271</v>
      </c>
      <c r="AE113" s="35">
        <v>70</v>
      </c>
      <c r="AF113" s="36">
        <v>0.1827676240208877</v>
      </c>
      <c r="AG113" s="35">
        <v>370</v>
      </c>
      <c r="AH113" s="36">
        <v>0.96605744125326376</v>
      </c>
      <c r="AI113" s="39">
        <v>383</v>
      </c>
      <c r="AJ113" s="36">
        <v>0.13600852272727271</v>
      </c>
      <c r="AK113" s="39">
        <v>52</v>
      </c>
      <c r="AL113" s="36">
        <v>0.91906005221932119</v>
      </c>
      <c r="AM113" s="39">
        <v>380</v>
      </c>
      <c r="AN113" s="39">
        <v>352</v>
      </c>
      <c r="AO113" s="36">
        <v>0.125</v>
      </c>
      <c r="AP113" s="36">
        <v>0.91906005221932119</v>
      </c>
      <c r="AQ113" s="37">
        <v>0.97624703087885989</v>
      </c>
      <c r="AR113" s="39">
        <v>0</v>
      </c>
      <c r="AS113" s="39">
        <v>0</v>
      </c>
      <c r="AT113" s="39">
        <v>38</v>
      </c>
      <c r="AU113" s="39">
        <v>36</v>
      </c>
      <c r="AV113" s="39">
        <v>36</v>
      </c>
      <c r="AW113" s="39">
        <v>77</v>
      </c>
      <c r="AX113" s="36">
        <v>1.278409090909091E-2</v>
      </c>
      <c r="AY113" s="36">
        <v>1.278409090909091E-2</v>
      </c>
      <c r="AZ113" s="36">
        <v>2.734375E-2</v>
      </c>
      <c r="BA113" s="36">
        <v>0.10227272727272731</v>
      </c>
      <c r="BB113" s="39">
        <v>0</v>
      </c>
      <c r="BC113" s="39">
        <v>0</v>
      </c>
      <c r="BD113" s="37">
        <v>1</v>
      </c>
      <c r="BE113" s="37">
        <v>1</v>
      </c>
      <c r="BF113" s="37" t="s">
        <v>111</v>
      </c>
    </row>
    <row r="114" spans="1:58" ht="19.5" customHeight="1">
      <c r="A114" s="40">
        <v>111</v>
      </c>
      <c r="B114" s="35" t="s">
        <v>110</v>
      </c>
      <c r="C114" s="41">
        <v>46165</v>
      </c>
      <c r="D114" s="35"/>
      <c r="E114" s="35">
        <v>71</v>
      </c>
      <c r="F114" s="35">
        <v>71</v>
      </c>
      <c r="G114" s="36">
        <v>1</v>
      </c>
      <c r="H114" s="35">
        <v>71</v>
      </c>
      <c r="I114" s="37">
        <v>1</v>
      </c>
      <c r="J114" s="35">
        <v>0</v>
      </c>
      <c r="K114" s="35">
        <v>0</v>
      </c>
      <c r="L114" s="36">
        <v>0</v>
      </c>
      <c r="M114" s="35">
        <v>4</v>
      </c>
      <c r="N114" s="35">
        <v>6</v>
      </c>
      <c r="O114" s="35">
        <v>3</v>
      </c>
      <c r="P114" s="36">
        <v>0.75</v>
      </c>
      <c r="Q114" s="35">
        <v>1</v>
      </c>
      <c r="R114" s="35">
        <v>0</v>
      </c>
      <c r="S114" s="35">
        <v>0</v>
      </c>
      <c r="T114" s="36">
        <v>0</v>
      </c>
      <c r="U114" s="35">
        <v>0</v>
      </c>
      <c r="V114" s="36">
        <v>0</v>
      </c>
      <c r="W114" s="35">
        <v>47</v>
      </c>
      <c r="X114" s="36">
        <v>0.6619718309859155</v>
      </c>
      <c r="Y114" s="35">
        <v>15</v>
      </c>
      <c r="Z114" s="38">
        <v>0.21126760563380281</v>
      </c>
      <c r="AA114" s="35">
        <v>0</v>
      </c>
      <c r="AB114" s="36">
        <v>0</v>
      </c>
      <c r="AC114" s="35">
        <v>0</v>
      </c>
      <c r="AD114" s="36">
        <v>0</v>
      </c>
      <c r="AE114" s="35">
        <v>0</v>
      </c>
      <c r="AF114" s="36">
        <v>0</v>
      </c>
      <c r="AG114" s="35">
        <v>0</v>
      </c>
      <c r="AH114" s="36">
        <v>0</v>
      </c>
      <c r="AI114" s="39">
        <v>0</v>
      </c>
      <c r="AJ114" s="36">
        <v>0</v>
      </c>
      <c r="AK114" s="39">
        <v>0</v>
      </c>
      <c r="AL114" s="36">
        <v>0</v>
      </c>
      <c r="AM114" s="39">
        <v>0</v>
      </c>
      <c r="AN114" s="39">
        <v>0</v>
      </c>
      <c r="AO114" s="36">
        <v>0</v>
      </c>
      <c r="AP114" s="36">
        <v>0</v>
      </c>
      <c r="AQ114" s="37"/>
      <c r="AR114" s="39">
        <v>0</v>
      </c>
      <c r="AS114" s="39">
        <v>0</v>
      </c>
      <c r="AT114" s="39">
        <v>0</v>
      </c>
      <c r="AU114" s="39">
        <v>0</v>
      </c>
      <c r="AV114" s="39">
        <v>0</v>
      </c>
      <c r="AW114" s="39">
        <v>0</v>
      </c>
      <c r="AX114" s="36">
        <v>0</v>
      </c>
      <c r="AY114" s="36">
        <v>0</v>
      </c>
      <c r="AZ114" s="36">
        <v>0</v>
      </c>
      <c r="BA114" s="36">
        <v>0</v>
      </c>
      <c r="BB114" s="39">
        <v>0</v>
      </c>
      <c r="BC114" s="39">
        <v>0</v>
      </c>
      <c r="BD114" s="37" t="s">
        <v>111</v>
      </c>
      <c r="BE114" s="37" t="s">
        <v>111</v>
      </c>
      <c r="BF114" s="37">
        <v>0.97058823529411764</v>
      </c>
    </row>
    <row r="115" spans="1:58" ht="19.5" customHeight="1">
      <c r="A115" s="40">
        <v>112</v>
      </c>
      <c r="B115" s="35" t="s">
        <v>110</v>
      </c>
      <c r="C115" s="41">
        <v>46165</v>
      </c>
      <c r="D115" s="35" t="s">
        <v>34</v>
      </c>
      <c r="E115" s="35">
        <v>4102</v>
      </c>
      <c r="F115" s="35">
        <v>3665</v>
      </c>
      <c r="G115" s="36">
        <v>0.89346660165772795</v>
      </c>
      <c r="H115" s="35">
        <v>1858</v>
      </c>
      <c r="I115" s="37">
        <v>0.45294978059483182</v>
      </c>
      <c r="J115" s="35">
        <v>3971</v>
      </c>
      <c r="K115" s="35">
        <v>3924</v>
      </c>
      <c r="L115" s="36">
        <v>0.98799999999999999</v>
      </c>
      <c r="M115" s="35">
        <v>13005</v>
      </c>
      <c r="N115" s="35">
        <v>13870</v>
      </c>
      <c r="O115" s="35">
        <v>12887</v>
      </c>
      <c r="P115" s="36">
        <v>0.99092656670511337</v>
      </c>
      <c r="Q115" s="35">
        <v>11</v>
      </c>
      <c r="R115" s="35">
        <v>0</v>
      </c>
      <c r="S115" s="35">
        <v>0</v>
      </c>
      <c r="T115" s="36">
        <v>0</v>
      </c>
      <c r="U115" s="35">
        <v>0</v>
      </c>
      <c r="V115" s="36">
        <v>0</v>
      </c>
      <c r="W115" s="35">
        <v>463</v>
      </c>
      <c r="X115" s="36">
        <v>0.1128717698683569</v>
      </c>
      <c r="Y115" s="35">
        <v>804</v>
      </c>
      <c r="Z115" s="38">
        <v>0.19600195026816189</v>
      </c>
      <c r="AA115" s="35">
        <v>35</v>
      </c>
      <c r="AB115" s="36">
        <v>8.5324232081911266E-3</v>
      </c>
      <c r="AC115" s="35">
        <v>288</v>
      </c>
      <c r="AD115" s="36">
        <v>7.0209653827401269E-2</v>
      </c>
      <c r="AE115" s="35">
        <v>53</v>
      </c>
      <c r="AF115" s="36">
        <v>0.18402777777777779</v>
      </c>
      <c r="AG115" s="35">
        <v>273</v>
      </c>
      <c r="AH115" s="36">
        <v>0.94791666666666663</v>
      </c>
      <c r="AI115" s="39">
        <v>319</v>
      </c>
      <c r="AJ115" s="36">
        <v>7.7766942954656262E-2</v>
      </c>
      <c r="AK115" s="39">
        <v>22</v>
      </c>
      <c r="AL115" s="36">
        <v>0.83072100313479624</v>
      </c>
      <c r="AM115" s="39">
        <v>301</v>
      </c>
      <c r="AN115" s="39">
        <v>265</v>
      </c>
      <c r="AO115" s="36">
        <v>6.4602632862018533E-2</v>
      </c>
      <c r="AP115" s="36">
        <v>0.92013888888888884</v>
      </c>
      <c r="AQ115" s="37">
        <v>0.98550724637681164</v>
      </c>
      <c r="AR115" s="39">
        <v>0</v>
      </c>
      <c r="AS115" s="39">
        <v>0</v>
      </c>
      <c r="AT115" s="39">
        <v>70</v>
      </c>
      <c r="AU115" s="39">
        <v>68</v>
      </c>
      <c r="AV115" s="39">
        <v>68</v>
      </c>
      <c r="AW115" s="39">
        <v>28</v>
      </c>
      <c r="AX115" s="36">
        <v>1.6577279375914189E-2</v>
      </c>
      <c r="AY115" s="36">
        <v>1.6577279375914189E-2</v>
      </c>
      <c r="AZ115" s="36">
        <v>6.8259385665529011E-3</v>
      </c>
      <c r="BA115" s="36">
        <v>0.25660377358490571</v>
      </c>
      <c r="BB115" s="39">
        <v>0</v>
      </c>
      <c r="BC115" s="39">
        <v>0</v>
      </c>
      <c r="BD115" s="37">
        <v>1</v>
      </c>
      <c r="BE115" s="37">
        <v>1</v>
      </c>
      <c r="BF115" s="37" t="s">
        <v>111</v>
      </c>
    </row>
    <row r="116" spans="1:58" ht="19.5" customHeight="1">
      <c r="A116" s="40">
        <v>113</v>
      </c>
      <c r="B116" s="35" t="s">
        <v>110</v>
      </c>
      <c r="C116" s="41">
        <v>46165</v>
      </c>
      <c r="D116" s="35" t="s">
        <v>33</v>
      </c>
      <c r="E116" s="35">
        <v>2587</v>
      </c>
      <c r="F116" s="35">
        <v>2390</v>
      </c>
      <c r="G116" s="36">
        <v>0.92385001932740629</v>
      </c>
      <c r="H116" s="35">
        <v>1348</v>
      </c>
      <c r="I116" s="37">
        <v>0.52106687282566677</v>
      </c>
      <c r="J116" s="35">
        <v>1883</v>
      </c>
      <c r="K116" s="35">
        <v>1858</v>
      </c>
      <c r="L116" s="36">
        <v>0.98699999999999999</v>
      </c>
      <c r="M116" s="35">
        <v>9344</v>
      </c>
      <c r="N116" s="35">
        <v>9899</v>
      </c>
      <c r="O116" s="35">
        <v>9241</v>
      </c>
      <c r="P116" s="36">
        <v>0.98897688356164382</v>
      </c>
      <c r="Q116" s="35">
        <v>15</v>
      </c>
      <c r="R116" s="35">
        <v>0</v>
      </c>
      <c r="S116" s="35">
        <v>0</v>
      </c>
      <c r="T116" s="36">
        <v>0</v>
      </c>
      <c r="U116" s="35">
        <v>0</v>
      </c>
      <c r="V116" s="36">
        <v>0</v>
      </c>
      <c r="W116" s="35">
        <v>446</v>
      </c>
      <c r="X116" s="36">
        <v>0.17240046385775029</v>
      </c>
      <c r="Y116" s="35">
        <v>625</v>
      </c>
      <c r="Z116" s="38">
        <v>0.2415925782759954</v>
      </c>
      <c r="AA116" s="35">
        <v>16</v>
      </c>
      <c r="AB116" s="36">
        <v>6.1847700038654809E-3</v>
      </c>
      <c r="AC116" s="35">
        <v>371</v>
      </c>
      <c r="AD116" s="36">
        <v>0.14340935446463091</v>
      </c>
      <c r="AE116" s="35">
        <v>43</v>
      </c>
      <c r="AF116" s="36">
        <v>0.1159029649595687</v>
      </c>
      <c r="AG116" s="35">
        <v>346</v>
      </c>
      <c r="AH116" s="36">
        <v>0.93261455525606474</v>
      </c>
      <c r="AI116" s="39">
        <v>347</v>
      </c>
      <c r="AJ116" s="36">
        <v>0.13413219945883259</v>
      </c>
      <c r="AK116" s="39">
        <v>24</v>
      </c>
      <c r="AL116" s="36">
        <v>0.8443804034582133</v>
      </c>
      <c r="AM116" s="39">
        <v>342</v>
      </c>
      <c r="AN116" s="39">
        <v>293</v>
      </c>
      <c r="AO116" s="36">
        <v>0.1132586006957866</v>
      </c>
      <c r="AP116" s="36">
        <v>0.78975741239892183</v>
      </c>
      <c r="AQ116" s="37">
        <v>0.97727272727272729</v>
      </c>
      <c r="AR116" s="39">
        <v>0</v>
      </c>
      <c r="AS116" s="39">
        <v>0</v>
      </c>
      <c r="AT116" s="39">
        <v>66</v>
      </c>
      <c r="AU116" s="39">
        <v>61</v>
      </c>
      <c r="AV116" s="39">
        <v>57</v>
      </c>
      <c r="AW116" s="39">
        <v>32</v>
      </c>
      <c r="AX116" s="36">
        <v>2.3579435639737151E-2</v>
      </c>
      <c r="AY116" s="36">
        <v>2.2033243138770781E-2</v>
      </c>
      <c r="AZ116" s="36">
        <v>1.236954000773096E-2</v>
      </c>
      <c r="BA116" s="36">
        <v>0.19453924914675769</v>
      </c>
      <c r="BB116" s="39">
        <v>0</v>
      </c>
      <c r="BC116" s="39">
        <v>0</v>
      </c>
      <c r="BD116" s="37">
        <v>1</v>
      </c>
      <c r="BE116" s="37" t="s">
        <v>111</v>
      </c>
      <c r="BF116" s="37" t="s">
        <v>111</v>
      </c>
    </row>
    <row r="117" spans="1:58" ht="19.5" customHeight="1">
      <c r="A117" s="40">
        <v>114</v>
      </c>
      <c r="B117" s="35" t="s">
        <v>110</v>
      </c>
      <c r="C117" s="41">
        <v>46165</v>
      </c>
      <c r="D117" s="35" t="s">
        <v>36</v>
      </c>
      <c r="E117" s="35">
        <v>6698</v>
      </c>
      <c r="F117" s="35">
        <v>6194</v>
      </c>
      <c r="G117" s="36">
        <v>0.92475365780830099</v>
      </c>
      <c r="H117" s="35">
        <v>1928</v>
      </c>
      <c r="I117" s="37">
        <v>0.28784711854284861</v>
      </c>
      <c r="J117" s="35">
        <v>3654</v>
      </c>
      <c r="K117" s="35">
        <v>3580</v>
      </c>
      <c r="L117" s="36">
        <v>0.98</v>
      </c>
      <c r="M117" s="35">
        <v>24818</v>
      </c>
      <c r="N117" s="35">
        <v>26832</v>
      </c>
      <c r="O117" s="35">
        <v>24547</v>
      </c>
      <c r="P117" s="36">
        <v>0.98908050608429365</v>
      </c>
      <c r="Q117" s="35">
        <v>34</v>
      </c>
      <c r="R117" s="35">
        <v>0</v>
      </c>
      <c r="S117" s="35">
        <v>0</v>
      </c>
      <c r="T117" s="36">
        <v>0</v>
      </c>
      <c r="U117" s="35">
        <v>0</v>
      </c>
      <c r="V117" s="36">
        <v>0</v>
      </c>
      <c r="W117" s="35">
        <v>1226</v>
      </c>
      <c r="X117" s="36">
        <v>0.18303971334726779</v>
      </c>
      <c r="Y117" s="35">
        <v>1825</v>
      </c>
      <c r="Z117" s="38">
        <v>0.27246939384891011</v>
      </c>
      <c r="AA117" s="35">
        <v>41</v>
      </c>
      <c r="AB117" s="36">
        <v>6.1212302179755153E-3</v>
      </c>
      <c r="AC117" s="35">
        <v>1499</v>
      </c>
      <c r="AD117" s="36">
        <v>0.22379814870110479</v>
      </c>
      <c r="AE117" s="35">
        <v>272</v>
      </c>
      <c r="AF117" s="36">
        <v>0.18145430286857911</v>
      </c>
      <c r="AG117" s="35">
        <v>1401</v>
      </c>
      <c r="AH117" s="36">
        <v>0.93462308205470312</v>
      </c>
      <c r="AI117" s="39">
        <v>1634</v>
      </c>
      <c r="AJ117" s="36">
        <v>0.24395341893102421</v>
      </c>
      <c r="AK117" s="39">
        <v>102</v>
      </c>
      <c r="AL117" s="36">
        <v>0.87515299877600983</v>
      </c>
      <c r="AM117" s="39">
        <v>1545</v>
      </c>
      <c r="AN117" s="39">
        <v>1430</v>
      </c>
      <c r="AO117" s="36">
        <v>0.213496566139146</v>
      </c>
      <c r="AP117" s="36">
        <v>0.95396931287525022</v>
      </c>
      <c r="AQ117" s="37">
        <v>0.96921017402945109</v>
      </c>
      <c r="AR117" s="39">
        <v>0</v>
      </c>
      <c r="AS117" s="39">
        <v>0</v>
      </c>
      <c r="AT117" s="39">
        <v>154</v>
      </c>
      <c r="AU117" s="39">
        <v>146</v>
      </c>
      <c r="AV117" s="39">
        <v>136</v>
      </c>
      <c r="AW117" s="39">
        <v>151</v>
      </c>
      <c r="AX117" s="36">
        <v>2.1797551507912811E-2</v>
      </c>
      <c r="AY117" s="36">
        <v>2.030456852791878E-2</v>
      </c>
      <c r="AZ117" s="36">
        <v>2.2544042997909821E-2</v>
      </c>
      <c r="BA117" s="36">
        <v>9.5104895104895101E-2</v>
      </c>
      <c r="BB117" s="39">
        <v>0</v>
      </c>
      <c r="BC117" s="39">
        <v>0</v>
      </c>
      <c r="BD117" s="37">
        <v>1</v>
      </c>
      <c r="BE117" s="37">
        <v>1</v>
      </c>
      <c r="BF117" s="37" t="s">
        <v>111</v>
      </c>
    </row>
    <row r="118" spans="1:58" ht="19.5" customHeight="1">
      <c r="A118" s="40">
        <v>115</v>
      </c>
      <c r="B118" s="35" t="s">
        <v>110</v>
      </c>
      <c r="C118" s="41">
        <v>46165</v>
      </c>
      <c r="D118" s="35" t="s">
        <v>35</v>
      </c>
      <c r="E118" s="35">
        <v>2744</v>
      </c>
      <c r="F118" s="35">
        <v>2571</v>
      </c>
      <c r="G118" s="36">
        <v>0.93695335276967928</v>
      </c>
      <c r="H118" s="35">
        <v>1234</v>
      </c>
      <c r="I118" s="37">
        <v>0.44970845481049571</v>
      </c>
      <c r="J118" s="35">
        <v>2451</v>
      </c>
      <c r="K118" s="35">
        <v>2409</v>
      </c>
      <c r="L118" s="36">
        <v>0.98299999999999998</v>
      </c>
      <c r="M118" s="35">
        <v>15974</v>
      </c>
      <c r="N118" s="35">
        <v>16643</v>
      </c>
      <c r="O118" s="35">
        <v>15797</v>
      </c>
      <c r="P118" s="36">
        <v>0.98891949417803926</v>
      </c>
      <c r="Q118" s="35">
        <v>25</v>
      </c>
      <c r="R118" s="35">
        <v>0</v>
      </c>
      <c r="S118" s="35">
        <v>0</v>
      </c>
      <c r="T118" s="36">
        <v>0</v>
      </c>
      <c r="U118" s="35">
        <v>0</v>
      </c>
      <c r="V118" s="36">
        <v>0</v>
      </c>
      <c r="W118" s="35">
        <v>509</v>
      </c>
      <c r="X118" s="36">
        <v>0.18549562682215739</v>
      </c>
      <c r="Y118" s="35">
        <v>777</v>
      </c>
      <c r="Z118" s="38">
        <v>0.28316326530612251</v>
      </c>
      <c r="AA118" s="35">
        <v>75</v>
      </c>
      <c r="AB118" s="36">
        <v>2.7332361516034989E-2</v>
      </c>
      <c r="AC118" s="35">
        <v>656</v>
      </c>
      <c r="AD118" s="36">
        <v>0.239067055393586</v>
      </c>
      <c r="AE118" s="35">
        <v>86</v>
      </c>
      <c r="AF118" s="36">
        <v>0.13109756097560979</v>
      </c>
      <c r="AG118" s="35">
        <v>610</v>
      </c>
      <c r="AH118" s="36">
        <v>0.92987804878048785</v>
      </c>
      <c r="AI118" s="39">
        <v>659</v>
      </c>
      <c r="AJ118" s="36">
        <v>0.24016034985422741</v>
      </c>
      <c r="AK118" s="39">
        <v>42</v>
      </c>
      <c r="AL118" s="36">
        <v>0.93323216995447644</v>
      </c>
      <c r="AM118" s="39">
        <v>647</v>
      </c>
      <c r="AN118" s="39">
        <v>615</v>
      </c>
      <c r="AO118" s="36">
        <v>0.2241253644314869</v>
      </c>
      <c r="AP118" s="36">
        <v>0.9375</v>
      </c>
      <c r="AQ118" s="37">
        <v>0.95879120879120883</v>
      </c>
      <c r="AR118" s="39">
        <v>0</v>
      </c>
      <c r="AS118" s="39">
        <v>0</v>
      </c>
      <c r="AT118" s="39">
        <v>69</v>
      </c>
      <c r="AU118" s="39">
        <v>64</v>
      </c>
      <c r="AV118" s="39">
        <v>63</v>
      </c>
      <c r="AW118" s="39">
        <v>44</v>
      </c>
      <c r="AX118" s="36">
        <v>2.332361516034985E-2</v>
      </c>
      <c r="AY118" s="36">
        <v>2.2959183673469389E-2</v>
      </c>
      <c r="AZ118" s="36">
        <v>1.6034985422740521E-2</v>
      </c>
      <c r="BA118" s="36">
        <v>0.1024390243902439</v>
      </c>
      <c r="BB118" s="39">
        <v>0</v>
      </c>
      <c r="BC118" s="39">
        <v>0</v>
      </c>
      <c r="BD118" s="37">
        <v>1</v>
      </c>
      <c r="BE118" s="37" t="s">
        <v>111</v>
      </c>
      <c r="BF118" s="37" t="s">
        <v>111</v>
      </c>
    </row>
    <row r="119" spans="1:58" ht="19.5" customHeight="1">
      <c r="A119" s="40">
        <v>116</v>
      </c>
      <c r="B119" s="35" t="s">
        <v>110</v>
      </c>
      <c r="C119" s="41">
        <v>46166</v>
      </c>
      <c r="D119" s="35"/>
      <c r="E119" s="35">
        <v>93</v>
      </c>
      <c r="F119" s="35">
        <v>93</v>
      </c>
      <c r="G119" s="36">
        <v>1</v>
      </c>
      <c r="H119" s="35">
        <v>93</v>
      </c>
      <c r="I119" s="37">
        <v>1</v>
      </c>
      <c r="J119" s="35">
        <v>0</v>
      </c>
      <c r="K119" s="35">
        <v>0</v>
      </c>
      <c r="L119" s="36">
        <v>0</v>
      </c>
      <c r="M119" s="35">
        <v>9</v>
      </c>
      <c r="N119" s="35">
        <v>7</v>
      </c>
      <c r="O119" s="35">
        <v>7</v>
      </c>
      <c r="P119" s="36">
        <v>0.77777777777777779</v>
      </c>
      <c r="Q119" s="35">
        <v>2</v>
      </c>
      <c r="R119" s="35">
        <v>0</v>
      </c>
      <c r="S119" s="35">
        <v>0</v>
      </c>
      <c r="T119" s="36">
        <v>0</v>
      </c>
      <c r="U119" s="35">
        <v>0</v>
      </c>
      <c r="V119" s="36">
        <v>0</v>
      </c>
      <c r="W119" s="35">
        <v>60</v>
      </c>
      <c r="X119" s="36">
        <v>0.64516129032258063</v>
      </c>
      <c r="Y119" s="35">
        <v>12</v>
      </c>
      <c r="Z119" s="38">
        <v>0.1290322580645161</v>
      </c>
      <c r="AA119" s="35">
        <v>0</v>
      </c>
      <c r="AB119" s="36">
        <v>0</v>
      </c>
      <c r="AC119" s="35">
        <v>0</v>
      </c>
      <c r="AD119" s="36">
        <v>0</v>
      </c>
      <c r="AE119" s="35">
        <v>0</v>
      </c>
      <c r="AF119" s="36">
        <v>0</v>
      </c>
      <c r="AG119" s="35">
        <v>0</v>
      </c>
      <c r="AH119" s="36">
        <v>0</v>
      </c>
      <c r="AI119" s="39">
        <v>0</v>
      </c>
      <c r="AJ119" s="36">
        <v>0</v>
      </c>
      <c r="AK119" s="39">
        <v>0</v>
      </c>
      <c r="AL119" s="36">
        <v>0</v>
      </c>
      <c r="AM119" s="39">
        <v>0</v>
      </c>
      <c r="AN119" s="39">
        <v>0</v>
      </c>
      <c r="AO119" s="36">
        <v>0</v>
      </c>
      <c r="AP119" s="36">
        <v>0</v>
      </c>
      <c r="AQ119" s="37"/>
      <c r="AR119" s="39">
        <v>0</v>
      </c>
      <c r="AS119" s="39">
        <v>0</v>
      </c>
      <c r="AT119" s="39">
        <v>0</v>
      </c>
      <c r="AU119" s="39">
        <v>0</v>
      </c>
      <c r="AV119" s="39">
        <v>0</v>
      </c>
      <c r="AW119" s="39">
        <v>0</v>
      </c>
      <c r="AX119" s="36">
        <v>0</v>
      </c>
      <c r="AY119" s="36">
        <v>0</v>
      </c>
      <c r="AZ119" s="36">
        <v>0</v>
      </c>
      <c r="BA119" s="36">
        <v>0</v>
      </c>
      <c r="BB119" s="39">
        <v>0</v>
      </c>
      <c r="BC119" s="39">
        <v>1</v>
      </c>
      <c r="BD119" s="37" t="s">
        <v>111</v>
      </c>
      <c r="BE119" s="37" t="s">
        <v>111</v>
      </c>
      <c r="BF119" s="37">
        <v>0.97692307692307689</v>
      </c>
    </row>
    <row r="120" spans="1:58" ht="19.5" customHeight="1">
      <c r="A120" s="40">
        <v>117</v>
      </c>
      <c r="B120" s="35" t="s">
        <v>110</v>
      </c>
      <c r="C120" s="41">
        <v>46166</v>
      </c>
      <c r="D120" s="35" t="s">
        <v>34</v>
      </c>
      <c r="E120" s="35">
        <v>4537</v>
      </c>
      <c r="F120" s="35">
        <v>4113</v>
      </c>
      <c r="G120" s="36">
        <v>0.90654617588715014</v>
      </c>
      <c r="H120" s="35">
        <v>1865</v>
      </c>
      <c r="I120" s="37">
        <v>0.41106458011902142</v>
      </c>
      <c r="J120" s="35">
        <v>4554</v>
      </c>
      <c r="K120" s="35">
        <v>4454</v>
      </c>
      <c r="L120" s="36">
        <v>0.97799999999999998</v>
      </c>
      <c r="M120" s="35">
        <v>15046</v>
      </c>
      <c r="N120" s="35">
        <v>15197</v>
      </c>
      <c r="O120" s="35">
        <v>14836</v>
      </c>
      <c r="P120" s="36">
        <v>0.98604280207364081</v>
      </c>
      <c r="Q120" s="35">
        <v>29</v>
      </c>
      <c r="R120" s="35">
        <v>0</v>
      </c>
      <c r="S120" s="35">
        <v>0</v>
      </c>
      <c r="T120" s="36">
        <v>0</v>
      </c>
      <c r="U120" s="35">
        <v>0</v>
      </c>
      <c r="V120" s="36">
        <v>0</v>
      </c>
      <c r="W120" s="35">
        <v>262</v>
      </c>
      <c r="X120" s="36">
        <v>5.7747410182940273E-2</v>
      </c>
      <c r="Y120" s="35">
        <v>784</v>
      </c>
      <c r="Z120" s="38">
        <v>0.1728014106237602</v>
      </c>
      <c r="AA120" s="35">
        <v>33</v>
      </c>
      <c r="AB120" s="36">
        <v>7.2735287635001099E-3</v>
      </c>
      <c r="AC120" s="35">
        <v>325</v>
      </c>
      <c r="AD120" s="36">
        <v>7.1633237822349566E-2</v>
      </c>
      <c r="AE120" s="35">
        <v>54</v>
      </c>
      <c r="AF120" s="36">
        <v>0.16615384615384621</v>
      </c>
      <c r="AG120" s="35">
        <v>305</v>
      </c>
      <c r="AH120" s="36">
        <v>0.93846153846153846</v>
      </c>
      <c r="AI120" s="39">
        <v>344</v>
      </c>
      <c r="AJ120" s="36">
        <v>7.582102711042539E-2</v>
      </c>
      <c r="AK120" s="39">
        <v>31</v>
      </c>
      <c r="AL120" s="36">
        <v>0.82848837209302328</v>
      </c>
      <c r="AM120" s="39">
        <v>332</v>
      </c>
      <c r="AN120" s="39">
        <v>285</v>
      </c>
      <c r="AO120" s="36">
        <v>6.2816839321137311E-2</v>
      </c>
      <c r="AP120" s="36">
        <v>0.87692307692307692</v>
      </c>
      <c r="AQ120" s="37">
        <v>0.96762589928057552</v>
      </c>
      <c r="AR120" s="39">
        <v>0</v>
      </c>
      <c r="AS120" s="39">
        <v>0</v>
      </c>
      <c r="AT120" s="39">
        <v>67</v>
      </c>
      <c r="AU120" s="39">
        <v>63</v>
      </c>
      <c r="AV120" s="39">
        <v>62</v>
      </c>
      <c r="AW120" s="39">
        <v>28</v>
      </c>
      <c r="AX120" s="36">
        <v>1.38858276394093E-2</v>
      </c>
      <c r="AY120" s="36">
        <v>1.366541767687899E-2</v>
      </c>
      <c r="AZ120" s="36">
        <v>6.171478950848578E-3</v>
      </c>
      <c r="BA120" s="36">
        <v>0.21754385964912279</v>
      </c>
      <c r="BB120" s="39">
        <v>0</v>
      </c>
      <c r="BC120" s="39">
        <v>0</v>
      </c>
      <c r="BD120" s="37">
        <v>0.98076923076923073</v>
      </c>
      <c r="BE120" s="37">
        <v>1</v>
      </c>
      <c r="BF120" s="37" t="s">
        <v>111</v>
      </c>
    </row>
    <row r="121" spans="1:58" ht="19.5" customHeight="1">
      <c r="A121" s="40">
        <v>118</v>
      </c>
      <c r="B121" s="35" t="s">
        <v>110</v>
      </c>
      <c r="C121" s="41">
        <v>46166</v>
      </c>
      <c r="D121" s="35" t="s">
        <v>33</v>
      </c>
      <c r="E121" s="35">
        <v>2330</v>
      </c>
      <c r="F121" s="35">
        <v>2175</v>
      </c>
      <c r="G121" s="36">
        <v>0.9334763948497854</v>
      </c>
      <c r="H121" s="35">
        <v>1110</v>
      </c>
      <c r="I121" s="37">
        <v>0.47639484978540769</v>
      </c>
      <c r="J121" s="35">
        <v>1574</v>
      </c>
      <c r="K121" s="35">
        <v>1554</v>
      </c>
      <c r="L121" s="36">
        <v>0.98699999999999999</v>
      </c>
      <c r="M121" s="35">
        <v>9230</v>
      </c>
      <c r="N121" s="35">
        <v>9161</v>
      </c>
      <c r="O121" s="35">
        <v>9105</v>
      </c>
      <c r="P121" s="36">
        <v>0.98645720476706389</v>
      </c>
      <c r="Q121" s="35">
        <v>18</v>
      </c>
      <c r="R121" s="35">
        <v>0</v>
      </c>
      <c r="S121" s="35">
        <v>0</v>
      </c>
      <c r="T121" s="36">
        <v>0</v>
      </c>
      <c r="U121" s="35">
        <v>0</v>
      </c>
      <c r="V121" s="36">
        <v>0</v>
      </c>
      <c r="W121" s="35">
        <v>330</v>
      </c>
      <c r="X121" s="36">
        <v>0.14163090128755371</v>
      </c>
      <c r="Y121" s="35">
        <v>523</v>
      </c>
      <c r="Z121" s="38">
        <v>0.22446351931330469</v>
      </c>
      <c r="AA121" s="35">
        <v>16</v>
      </c>
      <c r="AB121" s="36">
        <v>6.8669527896995696E-3</v>
      </c>
      <c r="AC121" s="35">
        <v>329</v>
      </c>
      <c r="AD121" s="36">
        <v>0.1412017167381974</v>
      </c>
      <c r="AE121" s="35">
        <v>48</v>
      </c>
      <c r="AF121" s="36">
        <v>0.1458966565349544</v>
      </c>
      <c r="AG121" s="35">
        <v>312</v>
      </c>
      <c r="AH121" s="36">
        <v>0.94832826747720367</v>
      </c>
      <c r="AI121" s="39">
        <v>322</v>
      </c>
      <c r="AJ121" s="36">
        <v>0.1381974248927039</v>
      </c>
      <c r="AK121" s="39">
        <v>16</v>
      </c>
      <c r="AL121" s="36">
        <v>0.86024844720496896</v>
      </c>
      <c r="AM121" s="39">
        <v>313</v>
      </c>
      <c r="AN121" s="39">
        <v>277</v>
      </c>
      <c r="AO121" s="36">
        <v>0.1188841201716738</v>
      </c>
      <c r="AP121" s="36">
        <v>0.84194528875379937</v>
      </c>
      <c r="AQ121" s="37">
        <v>0.97922848664688422</v>
      </c>
      <c r="AR121" s="39">
        <v>0</v>
      </c>
      <c r="AS121" s="39">
        <v>0</v>
      </c>
      <c r="AT121" s="39">
        <v>47</v>
      </c>
      <c r="AU121" s="39">
        <v>44</v>
      </c>
      <c r="AV121" s="39">
        <v>45</v>
      </c>
      <c r="AW121" s="39">
        <v>23</v>
      </c>
      <c r="AX121" s="36">
        <v>1.8884120171673818E-2</v>
      </c>
      <c r="AY121" s="36">
        <v>1.9313304721030041E-2</v>
      </c>
      <c r="AZ121" s="36">
        <v>9.8712446351931337E-3</v>
      </c>
      <c r="BA121" s="36">
        <v>0.16245487364620939</v>
      </c>
      <c r="BB121" s="39">
        <v>0</v>
      </c>
      <c r="BC121" s="39">
        <v>0</v>
      </c>
      <c r="BD121" s="37">
        <v>1</v>
      </c>
      <c r="BE121" s="37">
        <v>1</v>
      </c>
      <c r="BF121" s="37" t="s">
        <v>111</v>
      </c>
    </row>
    <row r="122" spans="1:58" ht="19.5" customHeight="1">
      <c r="A122" s="40">
        <v>119</v>
      </c>
      <c r="B122" s="35" t="s">
        <v>110</v>
      </c>
      <c r="C122" s="41">
        <v>46166</v>
      </c>
      <c r="D122" s="35" t="s">
        <v>36</v>
      </c>
      <c r="E122" s="35">
        <v>6561</v>
      </c>
      <c r="F122" s="35">
        <v>6031</v>
      </c>
      <c r="G122" s="36">
        <v>0.91921963115378758</v>
      </c>
      <c r="H122" s="35">
        <v>2240</v>
      </c>
      <c r="I122" s="37">
        <v>0.34141137021795459</v>
      </c>
      <c r="J122" s="35">
        <v>6172</v>
      </c>
      <c r="K122" s="35">
        <v>6042</v>
      </c>
      <c r="L122" s="36">
        <v>0.97899999999999998</v>
      </c>
      <c r="M122" s="35">
        <v>27647</v>
      </c>
      <c r="N122" s="35">
        <v>27478</v>
      </c>
      <c r="O122" s="35">
        <v>27310</v>
      </c>
      <c r="P122" s="36">
        <v>0.98781061236300505</v>
      </c>
      <c r="Q122" s="35">
        <v>68</v>
      </c>
      <c r="R122" s="35">
        <v>0</v>
      </c>
      <c r="S122" s="35">
        <v>0</v>
      </c>
      <c r="T122" s="36">
        <v>0</v>
      </c>
      <c r="U122" s="35">
        <v>0</v>
      </c>
      <c r="V122" s="36">
        <v>0</v>
      </c>
      <c r="W122" s="35">
        <v>475</v>
      </c>
      <c r="X122" s="36">
        <v>7.2397500381039481E-2</v>
      </c>
      <c r="Y122" s="35">
        <v>1523</v>
      </c>
      <c r="Z122" s="38">
        <v>0.23212924859015391</v>
      </c>
      <c r="AA122" s="35">
        <v>42</v>
      </c>
      <c r="AB122" s="36">
        <v>6.4014631915866481E-3</v>
      </c>
      <c r="AC122" s="35">
        <v>1410</v>
      </c>
      <c r="AD122" s="36">
        <v>0.2149062642889803</v>
      </c>
      <c r="AE122" s="35">
        <v>238</v>
      </c>
      <c r="AF122" s="36">
        <v>0.16879432624113469</v>
      </c>
      <c r="AG122" s="35">
        <v>1304</v>
      </c>
      <c r="AH122" s="36">
        <v>0.924822695035461</v>
      </c>
      <c r="AI122" s="39">
        <v>1485</v>
      </c>
      <c r="AJ122" s="36">
        <v>0.22633744855967081</v>
      </c>
      <c r="AK122" s="39">
        <v>80</v>
      </c>
      <c r="AL122" s="36">
        <v>0.88552188552188549</v>
      </c>
      <c r="AM122" s="39">
        <v>1421</v>
      </c>
      <c r="AN122" s="39">
        <v>1315</v>
      </c>
      <c r="AO122" s="36">
        <v>0.20042676421277239</v>
      </c>
      <c r="AP122" s="36">
        <v>0.93262411347517726</v>
      </c>
      <c r="AQ122" s="37">
        <v>0.96411960132890362</v>
      </c>
      <c r="AR122" s="39">
        <v>0</v>
      </c>
      <c r="AS122" s="39">
        <v>0</v>
      </c>
      <c r="AT122" s="39">
        <v>161</v>
      </c>
      <c r="AU122" s="39">
        <v>153</v>
      </c>
      <c r="AV122" s="39">
        <v>149</v>
      </c>
      <c r="AW122" s="39">
        <v>110</v>
      </c>
      <c r="AX122" s="36">
        <v>2.3319615912208509E-2</v>
      </c>
      <c r="AY122" s="36">
        <v>2.270995275110501E-2</v>
      </c>
      <c r="AZ122" s="36">
        <v>1.6765736930345981E-2</v>
      </c>
      <c r="BA122" s="36">
        <v>0.11330798479087451</v>
      </c>
      <c r="BB122" s="39">
        <v>0</v>
      </c>
      <c r="BC122" s="39">
        <v>0</v>
      </c>
      <c r="BD122" s="37">
        <v>0.9779411764705882</v>
      </c>
      <c r="BE122" s="37">
        <v>1</v>
      </c>
      <c r="BF122" s="37" t="s">
        <v>111</v>
      </c>
    </row>
    <row r="123" spans="1:58" ht="19.5" customHeight="1">
      <c r="A123" s="40">
        <v>120</v>
      </c>
      <c r="B123" s="35" t="s">
        <v>110</v>
      </c>
      <c r="C123" s="41">
        <v>46166</v>
      </c>
      <c r="D123" s="35" t="s">
        <v>35</v>
      </c>
      <c r="E123" s="35">
        <v>2857</v>
      </c>
      <c r="F123" s="35">
        <v>2692</v>
      </c>
      <c r="G123" s="36">
        <v>0.94224711235561776</v>
      </c>
      <c r="H123" s="35">
        <v>1199</v>
      </c>
      <c r="I123" s="37">
        <v>0.41967098354917748</v>
      </c>
      <c r="J123" s="35">
        <v>2743</v>
      </c>
      <c r="K123" s="35">
        <v>2685</v>
      </c>
      <c r="L123" s="36">
        <v>0.97899999999999998</v>
      </c>
      <c r="M123" s="35">
        <v>16689</v>
      </c>
      <c r="N123" s="35">
        <v>16721</v>
      </c>
      <c r="O123" s="35">
        <v>16464</v>
      </c>
      <c r="P123" s="36">
        <v>0.98651806579183898</v>
      </c>
      <c r="Q123" s="35">
        <v>15</v>
      </c>
      <c r="R123" s="35">
        <v>0</v>
      </c>
      <c r="S123" s="35">
        <v>0</v>
      </c>
      <c r="T123" s="36">
        <v>0</v>
      </c>
      <c r="U123" s="35">
        <v>0</v>
      </c>
      <c r="V123" s="36">
        <v>0</v>
      </c>
      <c r="W123" s="35">
        <v>276</v>
      </c>
      <c r="X123" s="36">
        <v>9.6604830241512077E-2</v>
      </c>
      <c r="Y123" s="35">
        <v>669</v>
      </c>
      <c r="Z123" s="38">
        <v>0.23416170808540429</v>
      </c>
      <c r="AA123" s="35">
        <v>64</v>
      </c>
      <c r="AB123" s="36">
        <v>2.24011200560028E-2</v>
      </c>
      <c r="AC123" s="35">
        <v>636</v>
      </c>
      <c r="AD123" s="36">
        <v>0.22261113055652779</v>
      </c>
      <c r="AE123" s="35">
        <v>106</v>
      </c>
      <c r="AF123" s="36">
        <v>0.16666666666666671</v>
      </c>
      <c r="AG123" s="35">
        <v>600</v>
      </c>
      <c r="AH123" s="36">
        <v>0.94339622641509435</v>
      </c>
      <c r="AI123" s="39">
        <v>649</v>
      </c>
      <c r="AJ123" s="36">
        <v>0.22716135806790341</v>
      </c>
      <c r="AK123" s="39">
        <v>51</v>
      </c>
      <c r="AL123" s="36">
        <v>0.92295839753466868</v>
      </c>
      <c r="AM123" s="39">
        <v>641</v>
      </c>
      <c r="AN123" s="39">
        <v>599</v>
      </c>
      <c r="AO123" s="36">
        <v>0.20966048302415119</v>
      </c>
      <c r="AP123" s="36">
        <v>0.94182389937106914</v>
      </c>
      <c r="AQ123" s="37">
        <v>0.9390048154093098</v>
      </c>
      <c r="AR123" s="39">
        <v>0</v>
      </c>
      <c r="AS123" s="39">
        <v>0</v>
      </c>
      <c r="AT123" s="39">
        <v>89</v>
      </c>
      <c r="AU123" s="39">
        <v>85</v>
      </c>
      <c r="AV123" s="39">
        <v>82</v>
      </c>
      <c r="AW123" s="39">
        <v>43</v>
      </c>
      <c r="AX123" s="36">
        <v>2.9751487574378718E-2</v>
      </c>
      <c r="AY123" s="36">
        <v>2.870143507175359E-2</v>
      </c>
      <c r="AZ123" s="36">
        <v>1.5050752537626879E-2</v>
      </c>
      <c r="BA123" s="36">
        <v>0.13689482470784639</v>
      </c>
      <c r="BB123" s="39">
        <v>0</v>
      </c>
      <c r="BC123" s="39">
        <v>0</v>
      </c>
      <c r="BD123" s="37">
        <v>1</v>
      </c>
      <c r="BE123" s="37">
        <v>1</v>
      </c>
      <c r="BF123" s="37" t="s">
        <v>111</v>
      </c>
    </row>
    <row r="124" spans="1:58" ht="19.5" customHeight="1">
      <c r="A124" s="40">
        <v>121</v>
      </c>
      <c r="B124" s="35" t="s">
        <v>110</v>
      </c>
      <c r="C124" s="41">
        <v>46167</v>
      </c>
      <c r="D124" s="35"/>
      <c r="E124" s="35">
        <v>49</v>
      </c>
      <c r="F124" s="35">
        <v>49</v>
      </c>
      <c r="G124" s="36">
        <v>1</v>
      </c>
      <c r="H124" s="35">
        <v>49</v>
      </c>
      <c r="I124" s="37">
        <v>1</v>
      </c>
      <c r="J124" s="35">
        <v>0</v>
      </c>
      <c r="K124" s="35">
        <v>0</v>
      </c>
      <c r="L124" s="36">
        <v>0</v>
      </c>
      <c r="M124" s="35">
        <v>7</v>
      </c>
      <c r="N124" s="35">
        <v>3</v>
      </c>
      <c r="O124" s="35">
        <v>5</v>
      </c>
      <c r="P124" s="36">
        <v>0.7142857142857143</v>
      </c>
      <c r="Q124" s="35">
        <v>2</v>
      </c>
      <c r="R124" s="35">
        <v>0</v>
      </c>
      <c r="S124" s="35">
        <v>0</v>
      </c>
      <c r="T124" s="36">
        <v>0</v>
      </c>
      <c r="U124" s="35">
        <v>0</v>
      </c>
      <c r="V124" s="36">
        <v>0</v>
      </c>
      <c r="W124" s="35">
        <v>19</v>
      </c>
      <c r="X124" s="36">
        <v>0.38775510204081631</v>
      </c>
      <c r="Y124" s="35">
        <v>33</v>
      </c>
      <c r="Z124" s="38">
        <v>0.67346938775510201</v>
      </c>
      <c r="AA124" s="35">
        <v>0</v>
      </c>
      <c r="AB124" s="36">
        <v>0</v>
      </c>
      <c r="AC124" s="35">
        <v>0</v>
      </c>
      <c r="AD124" s="36">
        <v>0</v>
      </c>
      <c r="AE124" s="35">
        <v>0</v>
      </c>
      <c r="AF124" s="36">
        <v>0</v>
      </c>
      <c r="AG124" s="35">
        <v>0</v>
      </c>
      <c r="AH124" s="36">
        <v>0</v>
      </c>
      <c r="AI124" s="39">
        <v>0</v>
      </c>
      <c r="AJ124" s="36">
        <v>0</v>
      </c>
      <c r="AK124" s="39">
        <v>0</v>
      </c>
      <c r="AL124" s="36">
        <v>0</v>
      </c>
      <c r="AM124" s="39">
        <v>0</v>
      </c>
      <c r="AN124" s="39">
        <v>0</v>
      </c>
      <c r="AO124" s="36">
        <v>0</v>
      </c>
      <c r="AP124" s="36">
        <v>0</v>
      </c>
      <c r="AQ124" s="37">
        <v>0</v>
      </c>
      <c r="AR124" s="39">
        <v>0</v>
      </c>
      <c r="AS124" s="39">
        <v>0</v>
      </c>
      <c r="AT124" s="39">
        <v>0</v>
      </c>
      <c r="AU124" s="39">
        <v>0</v>
      </c>
      <c r="AV124" s="39">
        <v>0</v>
      </c>
      <c r="AW124" s="39">
        <v>0</v>
      </c>
      <c r="AX124" s="36">
        <v>0</v>
      </c>
      <c r="AY124" s="36">
        <v>0</v>
      </c>
      <c r="AZ124" s="36">
        <v>0</v>
      </c>
      <c r="BA124" s="36">
        <v>0</v>
      </c>
      <c r="BB124" s="39">
        <v>0</v>
      </c>
      <c r="BC124" s="39">
        <v>0</v>
      </c>
      <c r="BD124" s="37" t="s">
        <v>111</v>
      </c>
      <c r="BE124" s="37" t="s">
        <v>111</v>
      </c>
      <c r="BF124" s="37">
        <v>0.97727272727272729</v>
      </c>
    </row>
    <row r="125" spans="1:58" ht="19.5" customHeight="1">
      <c r="A125" s="40">
        <v>122</v>
      </c>
      <c r="B125" s="35" t="s">
        <v>110</v>
      </c>
      <c r="C125" s="41">
        <v>46167</v>
      </c>
      <c r="D125" s="35" t="s">
        <v>34</v>
      </c>
      <c r="E125" s="35">
        <v>3974</v>
      </c>
      <c r="F125" s="35">
        <v>3620</v>
      </c>
      <c r="G125" s="36">
        <v>0.91092098641167585</v>
      </c>
      <c r="H125" s="35">
        <v>1678</v>
      </c>
      <c r="I125" s="37">
        <v>0.42224458983392049</v>
      </c>
      <c r="J125" s="35">
        <v>3596</v>
      </c>
      <c r="K125" s="35">
        <v>3539</v>
      </c>
      <c r="L125" s="36">
        <v>0.98399999999999999</v>
      </c>
      <c r="M125" s="35">
        <v>13075</v>
      </c>
      <c r="N125" s="35">
        <v>13373</v>
      </c>
      <c r="O125" s="35">
        <v>12915</v>
      </c>
      <c r="P125" s="36">
        <v>0.98776290630975139</v>
      </c>
      <c r="Q125" s="35">
        <v>34</v>
      </c>
      <c r="R125" s="35">
        <v>0</v>
      </c>
      <c r="S125" s="35">
        <v>0</v>
      </c>
      <c r="T125" s="36">
        <v>0</v>
      </c>
      <c r="U125" s="35">
        <v>0</v>
      </c>
      <c r="V125" s="36">
        <v>0</v>
      </c>
      <c r="W125" s="35">
        <v>287</v>
      </c>
      <c r="X125" s="36">
        <v>7.2219426270759945E-2</v>
      </c>
      <c r="Y125" s="35">
        <v>965</v>
      </c>
      <c r="Z125" s="38">
        <v>0.2428283844992451</v>
      </c>
      <c r="AA125" s="35">
        <v>60</v>
      </c>
      <c r="AB125" s="36">
        <v>1.509813789632612E-2</v>
      </c>
      <c r="AC125" s="35">
        <v>186</v>
      </c>
      <c r="AD125" s="36">
        <v>4.6804227478610967E-2</v>
      </c>
      <c r="AE125" s="35">
        <v>43</v>
      </c>
      <c r="AF125" s="36">
        <v>0.23118279569892469</v>
      </c>
      <c r="AG125" s="35">
        <v>170</v>
      </c>
      <c r="AH125" s="36">
        <v>0.91397849462365588</v>
      </c>
      <c r="AI125" s="39">
        <v>184</v>
      </c>
      <c r="AJ125" s="36">
        <v>4.6300956215400098E-2</v>
      </c>
      <c r="AK125" s="39">
        <v>22</v>
      </c>
      <c r="AL125" s="36">
        <v>0.85869565217391308</v>
      </c>
      <c r="AM125" s="39">
        <v>184</v>
      </c>
      <c r="AN125" s="39">
        <v>158</v>
      </c>
      <c r="AO125" s="36">
        <v>3.9758429793658782E-2</v>
      </c>
      <c r="AP125" s="36">
        <v>0.84946236559139787</v>
      </c>
      <c r="AQ125" s="37">
        <v>0.95161290322580649</v>
      </c>
      <c r="AR125" s="39">
        <v>0</v>
      </c>
      <c r="AS125" s="39">
        <v>0</v>
      </c>
      <c r="AT125" s="39">
        <v>47</v>
      </c>
      <c r="AU125" s="39">
        <v>41</v>
      </c>
      <c r="AV125" s="39">
        <v>43</v>
      </c>
      <c r="AW125" s="39">
        <v>61</v>
      </c>
      <c r="AX125" s="36">
        <v>1.0317060895822849E-2</v>
      </c>
      <c r="AY125" s="36">
        <v>1.082033215903372E-2</v>
      </c>
      <c r="AZ125" s="36">
        <v>1.534977352793155E-2</v>
      </c>
      <c r="BA125" s="36">
        <v>0.27215189873417722</v>
      </c>
      <c r="BB125" s="39">
        <v>0</v>
      </c>
      <c r="BC125" s="39">
        <v>0</v>
      </c>
      <c r="BD125" s="37">
        <v>1</v>
      </c>
      <c r="BE125" s="37">
        <v>1</v>
      </c>
      <c r="BF125" s="37" t="s">
        <v>111</v>
      </c>
    </row>
    <row r="126" spans="1:58" ht="19.5" customHeight="1">
      <c r="A126" s="40">
        <v>123</v>
      </c>
      <c r="B126" s="35" t="s">
        <v>110</v>
      </c>
      <c r="C126" s="41">
        <v>46167</v>
      </c>
      <c r="D126" s="35" t="s">
        <v>33</v>
      </c>
      <c r="E126" s="35">
        <v>2080</v>
      </c>
      <c r="F126" s="35">
        <v>1887</v>
      </c>
      <c r="G126" s="36">
        <v>0.90721153846153846</v>
      </c>
      <c r="H126" s="35">
        <v>1007</v>
      </c>
      <c r="I126" s="37">
        <v>0.48413461538461539</v>
      </c>
      <c r="J126" s="35">
        <v>2381</v>
      </c>
      <c r="K126" s="35">
        <v>2349</v>
      </c>
      <c r="L126" s="36">
        <v>0.98699999999999999</v>
      </c>
      <c r="M126" s="35">
        <v>10130</v>
      </c>
      <c r="N126" s="35">
        <v>10176</v>
      </c>
      <c r="O126" s="35">
        <v>10026</v>
      </c>
      <c r="P126" s="36">
        <v>0.98973346495557746</v>
      </c>
      <c r="Q126" s="35">
        <v>13</v>
      </c>
      <c r="R126" s="35">
        <v>0</v>
      </c>
      <c r="S126" s="35">
        <v>0</v>
      </c>
      <c r="T126" s="36">
        <v>0</v>
      </c>
      <c r="U126" s="35">
        <v>0</v>
      </c>
      <c r="V126" s="36">
        <v>0</v>
      </c>
      <c r="W126" s="35">
        <v>272</v>
      </c>
      <c r="X126" s="36">
        <v>0.1307692307692308</v>
      </c>
      <c r="Y126" s="35">
        <v>654</v>
      </c>
      <c r="Z126" s="38">
        <v>0.31442307692307692</v>
      </c>
      <c r="AA126" s="35">
        <v>44</v>
      </c>
      <c r="AB126" s="36">
        <v>2.1153846153846158E-2</v>
      </c>
      <c r="AC126" s="35">
        <v>179</v>
      </c>
      <c r="AD126" s="36">
        <v>8.6057692307692307E-2</v>
      </c>
      <c r="AE126" s="35">
        <v>32</v>
      </c>
      <c r="AF126" s="36">
        <v>0.1787709497206704</v>
      </c>
      <c r="AG126" s="35">
        <v>171</v>
      </c>
      <c r="AH126" s="36">
        <v>0.95530726256983245</v>
      </c>
      <c r="AI126" s="39">
        <v>174</v>
      </c>
      <c r="AJ126" s="36">
        <v>8.3653846153846148E-2</v>
      </c>
      <c r="AK126" s="39">
        <v>15</v>
      </c>
      <c r="AL126" s="36">
        <v>0.86781609195402298</v>
      </c>
      <c r="AM126" s="39">
        <v>171</v>
      </c>
      <c r="AN126" s="39">
        <v>151</v>
      </c>
      <c r="AO126" s="36">
        <v>7.2596153846153852E-2</v>
      </c>
      <c r="AP126" s="36">
        <v>0.84357541899441346</v>
      </c>
      <c r="AQ126" s="37">
        <v>0.9932659932659933</v>
      </c>
      <c r="AR126" s="39">
        <v>0</v>
      </c>
      <c r="AS126" s="39">
        <v>0</v>
      </c>
      <c r="AT126" s="39">
        <v>22</v>
      </c>
      <c r="AU126" s="39">
        <v>20</v>
      </c>
      <c r="AV126" s="39">
        <v>21</v>
      </c>
      <c r="AW126" s="39">
        <v>54</v>
      </c>
      <c r="AX126" s="36">
        <v>9.6153846153846159E-3</v>
      </c>
      <c r="AY126" s="36">
        <v>1.009615384615385E-2</v>
      </c>
      <c r="AZ126" s="36">
        <v>2.596153846153846E-2</v>
      </c>
      <c r="BA126" s="36">
        <v>0.13907284768211919</v>
      </c>
      <c r="BB126" s="39">
        <v>0</v>
      </c>
      <c r="BC126" s="39">
        <v>0</v>
      </c>
      <c r="BD126" s="37">
        <v>1</v>
      </c>
      <c r="BE126" s="37">
        <v>1</v>
      </c>
      <c r="BF126" s="37" t="s">
        <v>111</v>
      </c>
    </row>
    <row r="127" spans="1:58" ht="19.5" customHeight="1">
      <c r="A127" s="40">
        <v>124</v>
      </c>
      <c r="B127" s="35" t="s">
        <v>110</v>
      </c>
      <c r="C127" s="41">
        <v>46167</v>
      </c>
      <c r="D127" s="35" t="s">
        <v>36</v>
      </c>
      <c r="E127" s="35">
        <v>6005</v>
      </c>
      <c r="F127" s="35">
        <v>5444</v>
      </c>
      <c r="G127" s="36">
        <v>0.9065778517901748</v>
      </c>
      <c r="H127" s="35">
        <v>1736</v>
      </c>
      <c r="I127" s="37">
        <v>0.28909242298084931</v>
      </c>
      <c r="J127" s="35">
        <v>4683</v>
      </c>
      <c r="K127" s="35">
        <v>4569</v>
      </c>
      <c r="L127" s="36">
        <v>0.97599999999999998</v>
      </c>
      <c r="M127" s="35">
        <v>25515</v>
      </c>
      <c r="N127" s="35">
        <v>24984</v>
      </c>
      <c r="O127" s="35">
        <v>25205</v>
      </c>
      <c r="P127" s="36">
        <v>0.98785028414658049</v>
      </c>
      <c r="Q127" s="35">
        <v>52</v>
      </c>
      <c r="R127" s="35">
        <v>0</v>
      </c>
      <c r="S127" s="35">
        <v>0</v>
      </c>
      <c r="T127" s="36">
        <v>0</v>
      </c>
      <c r="U127" s="35">
        <v>0</v>
      </c>
      <c r="V127" s="36">
        <v>0</v>
      </c>
      <c r="W127" s="35">
        <v>639</v>
      </c>
      <c r="X127" s="36">
        <v>0.1064113238967527</v>
      </c>
      <c r="Y127" s="35">
        <v>1493</v>
      </c>
      <c r="Z127" s="38">
        <v>0.24862614487926729</v>
      </c>
      <c r="AA127" s="35">
        <v>62</v>
      </c>
      <c r="AB127" s="36">
        <v>1.0324729392173189E-2</v>
      </c>
      <c r="AC127" s="35">
        <v>836</v>
      </c>
      <c r="AD127" s="36">
        <v>0.1392173189009159</v>
      </c>
      <c r="AE127" s="35">
        <v>190</v>
      </c>
      <c r="AF127" s="36">
        <v>0.22727272727272729</v>
      </c>
      <c r="AG127" s="35">
        <v>779</v>
      </c>
      <c r="AH127" s="36">
        <v>0.93181818181818177</v>
      </c>
      <c r="AI127" s="39">
        <v>883</v>
      </c>
      <c r="AJ127" s="36">
        <v>0.14704412989175689</v>
      </c>
      <c r="AK127" s="39">
        <v>58</v>
      </c>
      <c r="AL127" s="36">
        <v>0.90939977349943379</v>
      </c>
      <c r="AM127" s="39">
        <v>874</v>
      </c>
      <c r="AN127" s="39">
        <v>803</v>
      </c>
      <c r="AO127" s="36">
        <v>0.13372189841798501</v>
      </c>
      <c r="AP127" s="36">
        <v>0.96052631578947367</v>
      </c>
      <c r="AQ127" s="37">
        <v>0.96806966618287371</v>
      </c>
      <c r="AR127" s="39">
        <v>0</v>
      </c>
      <c r="AS127" s="39">
        <v>0</v>
      </c>
      <c r="AT127" s="39">
        <v>79</v>
      </c>
      <c r="AU127" s="39">
        <v>67</v>
      </c>
      <c r="AV127" s="39">
        <v>68</v>
      </c>
      <c r="AW127" s="39">
        <v>195</v>
      </c>
      <c r="AX127" s="36">
        <v>1.115736885928393E-2</v>
      </c>
      <c r="AY127" s="36">
        <v>1.132389675270608E-2</v>
      </c>
      <c r="AZ127" s="36">
        <v>3.2472939217318898E-2</v>
      </c>
      <c r="BA127" s="36">
        <v>8.4682440846824414E-2</v>
      </c>
      <c r="BB127" s="39">
        <v>0</v>
      </c>
      <c r="BC127" s="39">
        <v>0</v>
      </c>
      <c r="BD127" s="37">
        <v>1</v>
      </c>
      <c r="BE127" s="37">
        <v>1</v>
      </c>
      <c r="BF127" s="37" t="s">
        <v>111</v>
      </c>
    </row>
    <row r="128" spans="1:58" ht="19.5" customHeight="1">
      <c r="A128" s="40">
        <v>125</v>
      </c>
      <c r="B128" s="35" t="s">
        <v>110</v>
      </c>
      <c r="C128" s="41">
        <v>46167</v>
      </c>
      <c r="D128" s="35" t="s">
        <v>35</v>
      </c>
      <c r="E128" s="35">
        <v>2800</v>
      </c>
      <c r="F128" s="35">
        <v>2636</v>
      </c>
      <c r="G128" s="36">
        <v>0.94142857142857139</v>
      </c>
      <c r="H128" s="35">
        <v>1172</v>
      </c>
      <c r="I128" s="37">
        <v>0.41857142857142859</v>
      </c>
      <c r="J128" s="35">
        <v>2908</v>
      </c>
      <c r="K128" s="35">
        <v>2860</v>
      </c>
      <c r="L128" s="36">
        <v>0.98299999999999998</v>
      </c>
      <c r="M128" s="35">
        <v>16687</v>
      </c>
      <c r="N128" s="35">
        <v>16482</v>
      </c>
      <c r="O128" s="35">
        <v>16491</v>
      </c>
      <c r="P128" s="36">
        <v>0.98825432971774441</v>
      </c>
      <c r="Q128" s="35">
        <v>38</v>
      </c>
      <c r="R128" s="35">
        <v>0</v>
      </c>
      <c r="S128" s="35">
        <v>0</v>
      </c>
      <c r="T128" s="36">
        <v>0</v>
      </c>
      <c r="U128" s="35">
        <v>0</v>
      </c>
      <c r="V128" s="36">
        <v>0</v>
      </c>
      <c r="W128" s="35">
        <v>365</v>
      </c>
      <c r="X128" s="36">
        <v>0.13035714285714289</v>
      </c>
      <c r="Y128" s="35">
        <v>1054</v>
      </c>
      <c r="Z128" s="38">
        <v>0.37642857142857139</v>
      </c>
      <c r="AA128" s="35">
        <v>60</v>
      </c>
      <c r="AB128" s="36">
        <v>2.1428571428571429E-2</v>
      </c>
      <c r="AC128" s="35">
        <v>381</v>
      </c>
      <c r="AD128" s="36">
        <v>0.13607142857142859</v>
      </c>
      <c r="AE128" s="35">
        <v>100</v>
      </c>
      <c r="AF128" s="36">
        <v>0.26246719160104992</v>
      </c>
      <c r="AG128" s="35">
        <v>365</v>
      </c>
      <c r="AH128" s="36">
        <v>0.95800524934383202</v>
      </c>
      <c r="AI128" s="39">
        <v>412</v>
      </c>
      <c r="AJ128" s="36">
        <v>0.1471428571428571</v>
      </c>
      <c r="AK128" s="39">
        <v>44</v>
      </c>
      <c r="AL128" s="36">
        <v>0.90533980582524276</v>
      </c>
      <c r="AM128" s="39">
        <v>403</v>
      </c>
      <c r="AN128" s="39">
        <v>373</v>
      </c>
      <c r="AO128" s="36">
        <v>0.1332142857142857</v>
      </c>
      <c r="AP128" s="36">
        <v>0.97900262467191601</v>
      </c>
      <c r="AQ128" s="37">
        <v>0.96805111821086265</v>
      </c>
      <c r="AR128" s="39">
        <v>0</v>
      </c>
      <c r="AS128" s="39">
        <v>0</v>
      </c>
      <c r="AT128" s="39">
        <v>52</v>
      </c>
      <c r="AU128" s="39">
        <v>46</v>
      </c>
      <c r="AV128" s="39">
        <v>47</v>
      </c>
      <c r="AW128" s="39">
        <v>85</v>
      </c>
      <c r="AX128" s="36">
        <v>1.6428571428571431E-2</v>
      </c>
      <c r="AY128" s="36">
        <v>1.6785714285714289E-2</v>
      </c>
      <c r="AZ128" s="36">
        <v>3.035714285714286E-2</v>
      </c>
      <c r="BA128" s="36">
        <v>0.12600536193029491</v>
      </c>
      <c r="BB128" s="39">
        <v>0</v>
      </c>
      <c r="BC128" s="39">
        <v>0</v>
      </c>
      <c r="BD128" s="37">
        <v>1</v>
      </c>
      <c r="BE128" s="37">
        <v>1</v>
      </c>
      <c r="BF128" s="37" t="s">
        <v>111</v>
      </c>
    </row>
    <row r="129" spans="1:58" ht="19.5" customHeight="1">
      <c r="A129" s="40">
        <v>126</v>
      </c>
      <c r="B129" s="35" t="s">
        <v>110</v>
      </c>
      <c r="C129" s="41">
        <v>46168</v>
      </c>
      <c r="D129" s="35"/>
      <c r="E129" s="35">
        <v>53</v>
      </c>
      <c r="F129" s="35">
        <v>53</v>
      </c>
      <c r="G129" s="36">
        <v>1</v>
      </c>
      <c r="H129" s="35">
        <v>53</v>
      </c>
      <c r="I129" s="37">
        <v>1</v>
      </c>
      <c r="J129" s="35">
        <v>0</v>
      </c>
      <c r="K129" s="35">
        <v>0</v>
      </c>
      <c r="L129" s="36">
        <v>0</v>
      </c>
      <c r="M129" s="35">
        <v>2</v>
      </c>
      <c r="N129" s="35">
        <v>1</v>
      </c>
      <c r="O129" s="35">
        <v>2</v>
      </c>
      <c r="P129" s="36">
        <v>1</v>
      </c>
      <c r="Q129" s="35">
        <v>0</v>
      </c>
      <c r="R129" s="35">
        <v>0</v>
      </c>
      <c r="S129" s="35">
        <v>0</v>
      </c>
      <c r="T129" s="36">
        <v>0</v>
      </c>
      <c r="U129" s="35">
        <v>0</v>
      </c>
      <c r="V129" s="36">
        <v>0</v>
      </c>
      <c r="W129" s="35">
        <v>15</v>
      </c>
      <c r="X129" s="36">
        <v>0.28301886792452829</v>
      </c>
      <c r="Y129" s="35">
        <v>19</v>
      </c>
      <c r="Z129" s="38">
        <v>0.35849056603773582</v>
      </c>
      <c r="AA129" s="35">
        <v>0</v>
      </c>
      <c r="AB129" s="36">
        <v>0</v>
      </c>
      <c r="AC129" s="35">
        <v>0</v>
      </c>
      <c r="AD129" s="36">
        <v>0</v>
      </c>
      <c r="AE129" s="35">
        <v>0</v>
      </c>
      <c r="AF129" s="36">
        <v>0</v>
      </c>
      <c r="AG129" s="35">
        <v>0</v>
      </c>
      <c r="AH129" s="36">
        <v>0</v>
      </c>
      <c r="AI129" s="39">
        <v>0</v>
      </c>
      <c r="AJ129" s="36">
        <v>0</v>
      </c>
      <c r="AK129" s="39">
        <v>0</v>
      </c>
      <c r="AL129" s="36">
        <v>0</v>
      </c>
      <c r="AM129" s="39">
        <v>0</v>
      </c>
      <c r="AN129" s="39">
        <v>0</v>
      </c>
      <c r="AO129" s="36">
        <v>0</v>
      </c>
      <c r="AP129" s="36">
        <v>0</v>
      </c>
      <c r="AQ129" s="37"/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36">
        <v>0</v>
      </c>
      <c r="AY129" s="36">
        <v>0</v>
      </c>
      <c r="AZ129" s="36">
        <v>0</v>
      </c>
      <c r="BA129" s="36">
        <v>0</v>
      </c>
      <c r="BB129" s="39">
        <v>0</v>
      </c>
      <c r="BC129" s="39">
        <v>1</v>
      </c>
      <c r="BD129" s="37" t="s">
        <v>111</v>
      </c>
      <c r="BE129" s="37" t="s">
        <v>111</v>
      </c>
      <c r="BF129" s="37">
        <v>0.98581560283687941</v>
      </c>
    </row>
    <row r="130" spans="1:58" ht="19.5" customHeight="1">
      <c r="A130" s="40">
        <v>127</v>
      </c>
      <c r="B130" s="35" t="s">
        <v>110</v>
      </c>
      <c r="C130" s="41">
        <v>46168</v>
      </c>
      <c r="D130" s="35" t="s">
        <v>34</v>
      </c>
      <c r="E130" s="35">
        <v>2965</v>
      </c>
      <c r="F130" s="35">
        <v>2748</v>
      </c>
      <c r="G130" s="36">
        <v>0.92681281618887013</v>
      </c>
      <c r="H130" s="35">
        <v>1145</v>
      </c>
      <c r="I130" s="37">
        <v>0.38617200674536262</v>
      </c>
      <c r="J130" s="35">
        <v>2278</v>
      </c>
      <c r="K130" s="35">
        <v>2221</v>
      </c>
      <c r="L130" s="36">
        <v>0.97499999999999998</v>
      </c>
      <c r="M130" s="35">
        <v>11902</v>
      </c>
      <c r="N130" s="35">
        <v>11906</v>
      </c>
      <c r="O130" s="35">
        <v>11768</v>
      </c>
      <c r="P130" s="36">
        <v>0.9887413880020165</v>
      </c>
      <c r="Q130" s="35">
        <v>20</v>
      </c>
      <c r="R130" s="35">
        <v>0</v>
      </c>
      <c r="S130" s="35">
        <v>0</v>
      </c>
      <c r="T130" s="36">
        <v>0</v>
      </c>
      <c r="U130" s="35">
        <v>0</v>
      </c>
      <c r="V130" s="36">
        <v>0</v>
      </c>
      <c r="W130" s="35">
        <v>410</v>
      </c>
      <c r="X130" s="36">
        <v>0.13827993254637441</v>
      </c>
      <c r="Y130" s="35">
        <v>1237</v>
      </c>
      <c r="Z130" s="38">
        <v>0.41720067453625631</v>
      </c>
      <c r="AA130" s="35">
        <v>55</v>
      </c>
      <c r="AB130" s="36">
        <v>1.8549747048903879E-2</v>
      </c>
      <c r="AC130" s="35">
        <v>223</v>
      </c>
      <c r="AD130" s="36">
        <v>7.5210792580101174E-2</v>
      </c>
      <c r="AE130" s="35">
        <v>42</v>
      </c>
      <c r="AF130" s="36">
        <v>0.18834080717488791</v>
      </c>
      <c r="AG130" s="35">
        <v>205</v>
      </c>
      <c r="AH130" s="36">
        <v>0.91928251121076232</v>
      </c>
      <c r="AI130" s="39">
        <v>240</v>
      </c>
      <c r="AJ130" s="36">
        <v>8.0944350758853284E-2</v>
      </c>
      <c r="AK130" s="39">
        <v>25</v>
      </c>
      <c r="AL130" s="36">
        <v>0.85833333333333328</v>
      </c>
      <c r="AM130" s="39">
        <v>229</v>
      </c>
      <c r="AN130" s="39">
        <v>206</v>
      </c>
      <c r="AO130" s="36">
        <v>6.9477234401349078E-2</v>
      </c>
      <c r="AP130" s="36">
        <v>0.92376681614349776</v>
      </c>
      <c r="AQ130" s="37">
        <v>0.98830409356725146</v>
      </c>
      <c r="AR130" s="39">
        <v>0</v>
      </c>
      <c r="AS130" s="39">
        <v>0</v>
      </c>
      <c r="AT130" s="39">
        <v>27</v>
      </c>
      <c r="AU130" s="39">
        <v>22</v>
      </c>
      <c r="AV130" s="39">
        <v>22</v>
      </c>
      <c r="AW130" s="39">
        <v>64</v>
      </c>
      <c r="AX130" s="36">
        <v>7.4198988195615517E-3</v>
      </c>
      <c r="AY130" s="36">
        <v>7.4198988195615517E-3</v>
      </c>
      <c r="AZ130" s="36">
        <v>2.1585160202360881E-2</v>
      </c>
      <c r="BA130" s="36">
        <v>0.1067961165048544</v>
      </c>
      <c r="BB130" s="39">
        <v>0</v>
      </c>
      <c r="BC130" s="39">
        <v>0</v>
      </c>
      <c r="BD130" s="37">
        <v>0.96969696969696972</v>
      </c>
      <c r="BE130" s="37">
        <v>1</v>
      </c>
      <c r="BF130" s="37" t="s">
        <v>111</v>
      </c>
    </row>
    <row r="131" spans="1:58" ht="19.5" customHeight="1">
      <c r="A131" s="40">
        <v>128</v>
      </c>
      <c r="B131" s="35" t="s">
        <v>110</v>
      </c>
      <c r="C131" s="41">
        <v>46168</v>
      </c>
      <c r="D131" s="35" t="s">
        <v>33</v>
      </c>
      <c r="E131" s="35">
        <v>2068</v>
      </c>
      <c r="F131" s="35">
        <v>1870</v>
      </c>
      <c r="G131" s="36">
        <v>0.9042553191489362</v>
      </c>
      <c r="H131" s="35">
        <v>920</v>
      </c>
      <c r="I131" s="37">
        <v>0.4448742746615087</v>
      </c>
      <c r="J131" s="35">
        <v>1717</v>
      </c>
      <c r="K131" s="35">
        <v>1689</v>
      </c>
      <c r="L131" s="36">
        <v>0.98399999999999999</v>
      </c>
      <c r="M131" s="35">
        <v>9282</v>
      </c>
      <c r="N131" s="35">
        <v>9263</v>
      </c>
      <c r="O131" s="35">
        <v>9192</v>
      </c>
      <c r="P131" s="36">
        <v>0.99030381383322563</v>
      </c>
      <c r="Q131" s="35">
        <v>13</v>
      </c>
      <c r="R131" s="35">
        <v>0</v>
      </c>
      <c r="S131" s="35">
        <v>0</v>
      </c>
      <c r="T131" s="36">
        <v>0</v>
      </c>
      <c r="U131" s="35">
        <v>0</v>
      </c>
      <c r="V131" s="36">
        <v>0</v>
      </c>
      <c r="W131" s="35">
        <v>380</v>
      </c>
      <c r="X131" s="36">
        <v>0.18375241779497101</v>
      </c>
      <c r="Y131" s="35">
        <v>995</v>
      </c>
      <c r="Z131" s="38">
        <v>0.4811411992263056</v>
      </c>
      <c r="AA131" s="35">
        <v>36</v>
      </c>
      <c r="AB131" s="36">
        <v>1.7408123791102511E-2</v>
      </c>
      <c r="AC131" s="35">
        <v>201</v>
      </c>
      <c r="AD131" s="36">
        <v>9.719535783365571E-2</v>
      </c>
      <c r="AE131" s="35">
        <v>56</v>
      </c>
      <c r="AF131" s="36">
        <v>0.27860696517412942</v>
      </c>
      <c r="AG131" s="35">
        <v>189</v>
      </c>
      <c r="AH131" s="36">
        <v>0.94029850746268662</v>
      </c>
      <c r="AI131" s="39">
        <v>199</v>
      </c>
      <c r="AJ131" s="36">
        <v>9.6228239845261118E-2</v>
      </c>
      <c r="AK131" s="39">
        <v>21</v>
      </c>
      <c r="AL131" s="36">
        <v>0.87939698492462315</v>
      </c>
      <c r="AM131" s="39">
        <v>198</v>
      </c>
      <c r="AN131" s="39">
        <v>175</v>
      </c>
      <c r="AO131" s="36">
        <v>8.4622823984526113E-2</v>
      </c>
      <c r="AP131" s="36">
        <v>0.87064676616915426</v>
      </c>
      <c r="AQ131" s="37">
        <v>0.97740112994350281</v>
      </c>
      <c r="AR131" s="39">
        <v>0</v>
      </c>
      <c r="AS131" s="39">
        <v>0</v>
      </c>
      <c r="AT131" s="39">
        <v>39</v>
      </c>
      <c r="AU131" s="39">
        <v>35</v>
      </c>
      <c r="AV131" s="39">
        <v>34</v>
      </c>
      <c r="AW131" s="39">
        <v>47</v>
      </c>
      <c r="AX131" s="36">
        <v>1.6924564796905218E-2</v>
      </c>
      <c r="AY131" s="36">
        <v>1.6441005802707929E-2</v>
      </c>
      <c r="AZ131" s="36">
        <v>2.2727272727272731E-2</v>
      </c>
      <c r="BA131" s="36">
        <v>0.19428571428571431</v>
      </c>
      <c r="BB131" s="39">
        <v>0</v>
      </c>
      <c r="BC131" s="39">
        <v>0</v>
      </c>
      <c r="BD131" s="37">
        <v>1</v>
      </c>
      <c r="BE131" s="37">
        <v>1</v>
      </c>
      <c r="BF131" s="37" t="s">
        <v>111</v>
      </c>
    </row>
    <row r="132" spans="1:58" ht="19.5" customHeight="1">
      <c r="A132" s="40">
        <v>129</v>
      </c>
      <c r="B132" s="35" t="s">
        <v>110</v>
      </c>
      <c r="C132" s="41">
        <v>46168</v>
      </c>
      <c r="D132" s="35" t="s">
        <v>36</v>
      </c>
      <c r="E132" s="35">
        <v>5938</v>
      </c>
      <c r="F132" s="35">
        <v>5525</v>
      </c>
      <c r="G132" s="36">
        <v>0.93044796227686088</v>
      </c>
      <c r="H132" s="35">
        <v>1938</v>
      </c>
      <c r="I132" s="37">
        <v>0.32637251599865269</v>
      </c>
      <c r="J132" s="35">
        <v>5056</v>
      </c>
      <c r="K132" s="35">
        <v>4968</v>
      </c>
      <c r="L132" s="36">
        <v>0.98299999999999998</v>
      </c>
      <c r="M132" s="35">
        <v>25553</v>
      </c>
      <c r="N132" s="35">
        <v>25501</v>
      </c>
      <c r="O132" s="35">
        <v>25284</v>
      </c>
      <c r="P132" s="36">
        <v>0.98947286032951121</v>
      </c>
      <c r="Q132" s="35">
        <v>50</v>
      </c>
      <c r="R132" s="35">
        <v>0</v>
      </c>
      <c r="S132" s="35">
        <v>0</v>
      </c>
      <c r="T132" s="36">
        <v>0</v>
      </c>
      <c r="U132" s="35">
        <v>0</v>
      </c>
      <c r="V132" s="36">
        <v>0</v>
      </c>
      <c r="W132" s="35">
        <v>610</v>
      </c>
      <c r="X132" s="36">
        <v>0.1027281913102055</v>
      </c>
      <c r="Y132" s="35">
        <v>1938</v>
      </c>
      <c r="Z132" s="38">
        <v>0.32637251599865269</v>
      </c>
      <c r="AA132" s="35">
        <v>76</v>
      </c>
      <c r="AB132" s="36">
        <v>1.2798922196025599E-2</v>
      </c>
      <c r="AC132" s="35">
        <v>857</v>
      </c>
      <c r="AD132" s="36">
        <v>0.14432468844728871</v>
      </c>
      <c r="AE132" s="35">
        <v>153</v>
      </c>
      <c r="AF132" s="36">
        <v>0.17852975495915979</v>
      </c>
      <c r="AG132" s="35">
        <v>778</v>
      </c>
      <c r="AH132" s="36">
        <v>0.90781796966161021</v>
      </c>
      <c r="AI132" s="39">
        <v>897</v>
      </c>
      <c r="AJ132" s="36">
        <v>0.15106096328730209</v>
      </c>
      <c r="AK132" s="39">
        <v>80</v>
      </c>
      <c r="AL132" s="36">
        <v>0.91973244147157196</v>
      </c>
      <c r="AM132" s="39">
        <v>888</v>
      </c>
      <c r="AN132" s="39">
        <v>825</v>
      </c>
      <c r="AO132" s="36">
        <v>0.13893566857527789</v>
      </c>
      <c r="AP132" s="36">
        <v>0.96266044340723456</v>
      </c>
      <c r="AQ132" s="37">
        <v>0.96867749419953597</v>
      </c>
      <c r="AR132" s="39">
        <v>0</v>
      </c>
      <c r="AS132" s="39">
        <v>0</v>
      </c>
      <c r="AT132" s="39">
        <v>73</v>
      </c>
      <c r="AU132" s="39">
        <v>55</v>
      </c>
      <c r="AV132" s="39">
        <v>61</v>
      </c>
      <c r="AW132" s="39">
        <v>186</v>
      </c>
      <c r="AX132" s="36">
        <v>9.2623779050185241E-3</v>
      </c>
      <c r="AY132" s="36">
        <v>1.0272819131020549E-2</v>
      </c>
      <c r="AZ132" s="36">
        <v>3.1323678006062637E-2</v>
      </c>
      <c r="BA132" s="36">
        <v>7.3939393939393944E-2</v>
      </c>
      <c r="BB132" s="39">
        <v>0</v>
      </c>
      <c r="BC132" s="39">
        <v>0</v>
      </c>
      <c r="BD132" s="37">
        <v>0.97841726618705038</v>
      </c>
      <c r="BE132" s="37">
        <v>0.96296296296296291</v>
      </c>
      <c r="BF132" s="37" t="s">
        <v>111</v>
      </c>
    </row>
    <row r="133" spans="1:58" ht="19.5" customHeight="1">
      <c r="A133" s="40">
        <v>130</v>
      </c>
      <c r="B133" s="35" t="s">
        <v>110</v>
      </c>
      <c r="C133" s="41">
        <v>46168</v>
      </c>
      <c r="D133" s="35" t="s">
        <v>35</v>
      </c>
      <c r="E133" s="35">
        <v>3192</v>
      </c>
      <c r="F133" s="35">
        <v>2980</v>
      </c>
      <c r="G133" s="36">
        <v>0.9335839598997494</v>
      </c>
      <c r="H133" s="35">
        <v>1462</v>
      </c>
      <c r="I133" s="37">
        <v>0.45802005012531333</v>
      </c>
      <c r="J133" s="35">
        <v>3486</v>
      </c>
      <c r="K133" s="35">
        <v>3404</v>
      </c>
      <c r="L133" s="36">
        <v>0.97599999999999998</v>
      </c>
      <c r="M133" s="35">
        <v>16513</v>
      </c>
      <c r="N133" s="35">
        <v>16491</v>
      </c>
      <c r="O133" s="35">
        <v>16308</v>
      </c>
      <c r="P133" s="36">
        <v>0.98758553866650522</v>
      </c>
      <c r="Q133" s="35">
        <v>36</v>
      </c>
      <c r="R133" s="35">
        <v>0</v>
      </c>
      <c r="S133" s="35">
        <v>0</v>
      </c>
      <c r="T133" s="36">
        <v>0</v>
      </c>
      <c r="U133" s="35">
        <v>0</v>
      </c>
      <c r="V133" s="36">
        <v>0</v>
      </c>
      <c r="W133" s="35">
        <v>457</v>
      </c>
      <c r="X133" s="36">
        <v>0.14317042606516289</v>
      </c>
      <c r="Y133" s="35">
        <v>1312</v>
      </c>
      <c r="Z133" s="38">
        <v>0.41102756892230569</v>
      </c>
      <c r="AA133" s="35">
        <v>81</v>
      </c>
      <c r="AB133" s="36">
        <v>2.5375939849624059E-2</v>
      </c>
      <c r="AC133" s="35">
        <v>418</v>
      </c>
      <c r="AD133" s="36">
        <v>0.13095238095238099</v>
      </c>
      <c r="AE133" s="35">
        <v>95</v>
      </c>
      <c r="AF133" s="36">
        <v>0.22727272727272729</v>
      </c>
      <c r="AG133" s="35">
        <v>393</v>
      </c>
      <c r="AH133" s="36">
        <v>0.94019138755980858</v>
      </c>
      <c r="AI133" s="39">
        <v>442</v>
      </c>
      <c r="AJ133" s="36">
        <v>0.13847117794486219</v>
      </c>
      <c r="AK133" s="39">
        <v>47</v>
      </c>
      <c r="AL133" s="36">
        <v>0.94570135746606332</v>
      </c>
      <c r="AM133" s="39">
        <v>438</v>
      </c>
      <c r="AN133" s="39">
        <v>418</v>
      </c>
      <c r="AO133" s="36">
        <v>0.13095238095238099</v>
      </c>
      <c r="AP133" s="36">
        <v>1</v>
      </c>
      <c r="AQ133" s="37">
        <v>0.94791666666666663</v>
      </c>
      <c r="AR133" s="39">
        <v>0</v>
      </c>
      <c r="AS133" s="39">
        <v>0</v>
      </c>
      <c r="AT133" s="39">
        <v>56</v>
      </c>
      <c r="AU133" s="39">
        <v>53</v>
      </c>
      <c r="AV133" s="39">
        <v>55</v>
      </c>
      <c r="AW133" s="39">
        <v>82</v>
      </c>
      <c r="AX133" s="36">
        <v>1.6604010025062659E-2</v>
      </c>
      <c r="AY133" s="36">
        <v>1.7230576441102759E-2</v>
      </c>
      <c r="AZ133" s="36">
        <v>2.5689223057644109E-2</v>
      </c>
      <c r="BA133" s="36">
        <v>0.13157894736842099</v>
      </c>
      <c r="BB133" s="39">
        <v>0</v>
      </c>
      <c r="BC133" s="39">
        <v>0</v>
      </c>
      <c r="BD133" s="37">
        <v>1</v>
      </c>
      <c r="BE133" s="37">
        <v>1</v>
      </c>
      <c r="BF133" s="37" t="s">
        <v>111</v>
      </c>
    </row>
    <row r="134" spans="1:58" ht="19.5" customHeight="1">
      <c r="A134" s="40">
        <v>131</v>
      </c>
      <c r="B134" s="35" t="s">
        <v>110</v>
      </c>
      <c r="C134" s="41">
        <v>46169</v>
      </c>
      <c r="D134" s="35"/>
      <c r="E134" s="35">
        <v>36</v>
      </c>
      <c r="F134" s="35">
        <v>36</v>
      </c>
      <c r="G134" s="36">
        <v>1</v>
      </c>
      <c r="H134" s="35">
        <v>36</v>
      </c>
      <c r="I134" s="37">
        <v>1</v>
      </c>
      <c r="J134" s="35">
        <v>0</v>
      </c>
      <c r="K134" s="35">
        <v>0</v>
      </c>
      <c r="L134" s="36">
        <v>0</v>
      </c>
      <c r="M134" s="35">
        <v>1</v>
      </c>
      <c r="N134" s="35">
        <v>0</v>
      </c>
      <c r="O134" s="35">
        <v>0</v>
      </c>
      <c r="P134" s="36">
        <v>0</v>
      </c>
      <c r="Q134" s="35">
        <v>1</v>
      </c>
      <c r="R134" s="35">
        <v>0</v>
      </c>
      <c r="S134" s="35">
        <v>0</v>
      </c>
      <c r="T134" s="36">
        <v>0</v>
      </c>
      <c r="U134" s="35">
        <v>0</v>
      </c>
      <c r="V134" s="36">
        <v>0</v>
      </c>
      <c r="W134" s="35">
        <v>19</v>
      </c>
      <c r="X134" s="36">
        <v>0.52777777777777779</v>
      </c>
      <c r="Y134" s="35">
        <v>9</v>
      </c>
      <c r="Z134" s="38">
        <v>0.25</v>
      </c>
      <c r="AA134" s="35">
        <v>0</v>
      </c>
      <c r="AB134" s="36">
        <v>0</v>
      </c>
      <c r="AC134" s="35">
        <v>1</v>
      </c>
      <c r="AD134" s="36">
        <v>2.777777777777778E-2</v>
      </c>
      <c r="AE134" s="35">
        <v>0</v>
      </c>
      <c r="AF134" s="36">
        <v>0</v>
      </c>
      <c r="AG134" s="35">
        <v>0</v>
      </c>
      <c r="AH134" s="36">
        <v>0</v>
      </c>
      <c r="AI134" s="39">
        <v>0</v>
      </c>
      <c r="AJ134" s="36">
        <v>0</v>
      </c>
      <c r="AK134" s="39">
        <v>0</v>
      </c>
      <c r="AL134" s="36">
        <v>0</v>
      </c>
      <c r="AM134" s="39">
        <v>0</v>
      </c>
      <c r="AN134" s="39">
        <v>0</v>
      </c>
      <c r="AO134" s="36">
        <v>0</v>
      </c>
      <c r="AP134" s="36">
        <v>0</v>
      </c>
      <c r="AQ134" s="37"/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6">
        <v>0</v>
      </c>
      <c r="AY134" s="36">
        <v>0</v>
      </c>
      <c r="AZ134" s="36">
        <v>0</v>
      </c>
      <c r="BA134" s="36">
        <v>0</v>
      </c>
      <c r="BB134" s="39">
        <v>0</v>
      </c>
      <c r="BC134" s="39">
        <v>0</v>
      </c>
      <c r="BD134" s="37" t="s">
        <v>111</v>
      </c>
      <c r="BE134" s="37" t="s">
        <v>111</v>
      </c>
      <c r="BF134" s="37">
        <v>0.99206349206349209</v>
      </c>
    </row>
    <row r="135" spans="1:58" ht="19.5" customHeight="1">
      <c r="A135" s="40">
        <v>132</v>
      </c>
      <c r="B135" s="35" t="s">
        <v>110</v>
      </c>
      <c r="C135" s="41">
        <v>46169</v>
      </c>
      <c r="D135" s="35" t="s">
        <v>34</v>
      </c>
      <c r="E135" s="35">
        <v>3227</v>
      </c>
      <c r="F135" s="35">
        <v>2940</v>
      </c>
      <c r="G135" s="36">
        <v>0.91106290672451196</v>
      </c>
      <c r="H135" s="35">
        <v>1637</v>
      </c>
      <c r="I135" s="37">
        <v>0.50728230554694764</v>
      </c>
      <c r="J135" s="35">
        <v>3749</v>
      </c>
      <c r="K135" s="35">
        <v>3687</v>
      </c>
      <c r="L135" s="36">
        <v>0.98299999999999998</v>
      </c>
      <c r="M135" s="35">
        <v>14581</v>
      </c>
      <c r="N135" s="35">
        <v>14148</v>
      </c>
      <c r="O135" s="35">
        <v>14370</v>
      </c>
      <c r="P135" s="36">
        <v>0.98552911322954528</v>
      </c>
      <c r="Q135" s="35">
        <v>27</v>
      </c>
      <c r="R135" s="35">
        <v>0</v>
      </c>
      <c r="S135" s="35">
        <v>0</v>
      </c>
      <c r="T135" s="36">
        <v>0</v>
      </c>
      <c r="U135" s="35">
        <v>0</v>
      </c>
      <c r="V135" s="36">
        <v>0</v>
      </c>
      <c r="W135" s="35">
        <v>162</v>
      </c>
      <c r="X135" s="36">
        <v>5.0201425472575147E-2</v>
      </c>
      <c r="Y135" s="35">
        <v>798</v>
      </c>
      <c r="Z135" s="38">
        <v>0.24728850325379609</v>
      </c>
      <c r="AA135" s="35">
        <v>75</v>
      </c>
      <c r="AB135" s="36">
        <v>2.3241400681747751E-2</v>
      </c>
      <c r="AC135" s="35">
        <v>215</v>
      </c>
      <c r="AD135" s="36">
        <v>6.662534862101023E-2</v>
      </c>
      <c r="AE135" s="35">
        <v>44</v>
      </c>
      <c r="AF135" s="36">
        <v>0.2046511627906977</v>
      </c>
      <c r="AG135" s="35">
        <v>202</v>
      </c>
      <c r="AH135" s="36">
        <v>0.93953488372093019</v>
      </c>
      <c r="AI135" s="39">
        <v>237</v>
      </c>
      <c r="AJ135" s="36">
        <v>7.3442826154322904E-2</v>
      </c>
      <c r="AK135" s="39">
        <v>21</v>
      </c>
      <c r="AL135" s="36">
        <v>0.86919831223628696</v>
      </c>
      <c r="AM135" s="39">
        <v>230</v>
      </c>
      <c r="AN135" s="39">
        <v>206</v>
      </c>
      <c r="AO135" s="36">
        <v>6.3836380539200502E-2</v>
      </c>
      <c r="AP135" s="36">
        <v>0.95813953488372094</v>
      </c>
      <c r="AQ135" s="37">
        <v>0.97747747747747749</v>
      </c>
      <c r="AR135" s="39">
        <v>0</v>
      </c>
      <c r="AS135" s="39">
        <v>0</v>
      </c>
      <c r="AT135" s="39">
        <v>37</v>
      </c>
      <c r="AU135" s="39">
        <v>35</v>
      </c>
      <c r="AV135" s="39">
        <v>37</v>
      </c>
      <c r="AW135" s="39">
        <v>54</v>
      </c>
      <c r="AX135" s="36">
        <v>1.084598698481562E-2</v>
      </c>
      <c r="AY135" s="36">
        <v>1.146575766966223E-2</v>
      </c>
      <c r="AZ135" s="36">
        <v>1.6733808490858381E-2</v>
      </c>
      <c r="BA135" s="36">
        <v>0.1796116504854369</v>
      </c>
      <c r="BB135" s="39">
        <v>0</v>
      </c>
      <c r="BC135" s="39">
        <v>0</v>
      </c>
      <c r="BD135" s="37">
        <v>1</v>
      </c>
      <c r="BE135" s="37">
        <v>1</v>
      </c>
      <c r="BF135" s="37" t="s">
        <v>111</v>
      </c>
    </row>
    <row r="136" spans="1:58" ht="19.5" customHeight="1">
      <c r="A136" s="40">
        <v>133</v>
      </c>
      <c r="B136" s="35" t="s">
        <v>110</v>
      </c>
      <c r="C136" s="41">
        <v>46169</v>
      </c>
      <c r="D136" s="35" t="s">
        <v>33</v>
      </c>
      <c r="E136" s="35">
        <v>1825</v>
      </c>
      <c r="F136" s="35">
        <v>1710</v>
      </c>
      <c r="G136" s="36">
        <v>0.93698630136986305</v>
      </c>
      <c r="H136" s="35">
        <v>899</v>
      </c>
      <c r="I136" s="37">
        <v>0.49260273972602742</v>
      </c>
      <c r="J136" s="35">
        <v>1807</v>
      </c>
      <c r="K136" s="35">
        <v>1768</v>
      </c>
      <c r="L136" s="36">
        <v>0.97799999999999998</v>
      </c>
      <c r="M136" s="35">
        <v>8954</v>
      </c>
      <c r="N136" s="35">
        <v>8820</v>
      </c>
      <c r="O136" s="35">
        <v>8838</v>
      </c>
      <c r="P136" s="36">
        <v>0.98704489613580526</v>
      </c>
      <c r="Q136" s="35">
        <v>25</v>
      </c>
      <c r="R136" s="35">
        <v>0</v>
      </c>
      <c r="S136" s="35">
        <v>0</v>
      </c>
      <c r="T136" s="36">
        <v>0</v>
      </c>
      <c r="U136" s="35">
        <v>0</v>
      </c>
      <c r="V136" s="36">
        <v>0</v>
      </c>
      <c r="W136" s="35">
        <v>148</v>
      </c>
      <c r="X136" s="36">
        <v>8.109589041095891E-2</v>
      </c>
      <c r="Y136" s="35">
        <v>521</v>
      </c>
      <c r="Z136" s="38">
        <v>0.28547945205479452</v>
      </c>
      <c r="AA136" s="35">
        <v>38</v>
      </c>
      <c r="AB136" s="36">
        <v>2.0821917808219181E-2</v>
      </c>
      <c r="AC136" s="35">
        <v>199</v>
      </c>
      <c r="AD136" s="36">
        <v>0.109041095890411</v>
      </c>
      <c r="AE136" s="35">
        <v>42</v>
      </c>
      <c r="AF136" s="36">
        <v>0.21105527638190949</v>
      </c>
      <c r="AG136" s="35">
        <v>177</v>
      </c>
      <c r="AH136" s="36">
        <v>0.88944723618090449</v>
      </c>
      <c r="AI136" s="39">
        <v>196</v>
      </c>
      <c r="AJ136" s="36">
        <v>0.1073972602739726</v>
      </c>
      <c r="AK136" s="39">
        <v>19</v>
      </c>
      <c r="AL136" s="36">
        <v>0.8571428571428571</v>
      </c>
      <c r="AM136" s="39">
        <v>193</v>
      </c>
      <c r="AN136" s="39">
        <v>168</v>
      </c>
      <c r="AO136" s="36">
        <v>9.2054794520547947E-2</v>
      </c>
      <c r="AP136" s="36">
        <v>0.84422110552763818</v>
      </c>
      <c r="AQ136" s="37">
        <v>0.97461928934010156</v>
      </c>
      <c r="AR136" s="39">
        <v>0</v>
      </c>
      <c r="AS136" s="39">
        <v>0</v>
      </c>
      <c r="AT136" s="39">
        <v>36</v>
      </c>
      <c r="AU136" s="39">
        <v>26</v>
      </c>
      <c r="AV136" s="39">
        <v>26</v>
      </c>
      <c r="AW136" s="39">
        <v>53</v>
      </c>
      <c r="AX136" s="36">
        <v>1.4246575342465749E-2</v>
      </c>
      <c r="AY136" s="36">
        <v>1.4246575342465749E-2</v>
      </c>
      <c r="AZ136" s="36">
        <v>2.904109589041096E-2</v>
      </c>
      <c r="BA136" s="36">
        <v>0.15476190476190479</v>
      </c>
      <c r="BB136" s="39">
        <v>0</v>
      </c>
      <c r="BC136" s="39">
        <v>0</v>
      </c>
      <c r="BD136" s="37">
        <v>1</v>
      </c>
      <c r="BE136" s="37">
        <v>1</v>
      </c>
      <c r="BF136" s="37" t="s">
        <v>111</v>
      </c>
    </row>
    <row r="137" spans="1:58" ht="19.5" customHeight="1">
      <c r="A137" s="40">
        <v>134</v>
      </c>
      <c r="B137" s="35" t="s">
        <v>110</v>
      </c>
      <c r="C137" s="41">
        <v>46169</v>
      </c>
      <c r="D137" s="35" t="s">
        <v>36</v>
      </c>
      <c r="E137" s="35">
        <v>4942</v>
      </c>
      <c r="F137" s="35">
        <v>4657</v>
      </c>
      <c r="G137" s="36">
        <v>0.9423310400647511</v>
      </c>
      <c r="H137" s="35">
        <v>1728</v>
      </c>
      <c r="I137" s="37">
        <v>0.34965600971266692</v>
      </c>
      <c r="J137" s="35">
        <v>4094</v>
      </c>
      <c r="K137" s="35">
        <v>4021</v>
      </c>
      <c r="L137" s="36">
        <v>0.98199999999999998</v>
      </c>
      <c r="M137" s="35">
        <v>24243</v>
      </c>
      <c r="N137" s="35">
        <v>23421</v>
      </c>
      <c r="O137" s="35">
        <v>23903</v>
      </c>
      <c r="P137" s="36">
        <v>0.98597533308583918</v>
      </c>
      <c r="Q137" s="35">
        <v>59</v>
      </c>
      <c r="R137" s="35">
        <v>0</v>
      </c>
      <c r="S137" s="35">
        <v>0</v>
      </c>
      <c r="T137" s="36">
        <v>0</v>
      </c>
      <c r="U137" s="35">
        <v>0</v>
      </c>
      <c r="V137" s="36">
        <v>0</v>
      </c>
      <c r="W137" s="35">
        <v>276</v>
      </c>
      <c r="X137" s="36">
        <v>5.5847834884662079E-2</v>
      </c>
      <c r="Y137" s="35">
        <v>917</v>
      </c>
      <c r="Z137" s="38">
        <v>0.1855524079320113</v>
      </c>
      <c r="AA137" s="35">
        <v>54</v>
      </c>
      <c r="AB137" s="36">
        <v>1.0926750303520839E-2</v>
      </c>
      <c r="AC137" s="35">
        <v>911</v>
      </c>
      <c r="AD137" s="36">
        <v>0.1843383245649535</v>
      </c>
      <c r="AE137" s="35">
        <v>174</v>
      </c>
      <c r="AF137" s="36">
        <v>0.1909989023051592</v>
      </c>
      <c r="AG137" s="35">
        <v>835</v>
      </c>
      <c r="AH137" s="36">
        <v>0.9165751920965971</v>
      </c>
      <c r="AI137" s="39">
        <v>935</v>
      </c>
      <c r="AJ137" s="36">
        <v>0.18919465803318489</v>
      </c>
      <c r="AK137" s="39">
        <v>59</v>
      </c>
      <c r="AL137" s="36">
        <v>0.88021390374331554</v>
      </c>
      <c r="AM137" s="39">
        <v>923</v>
      </c>
      <c r="AN137" s="39">
        <v>823</v>
      </c>
      <c r="AO137" s="36">
        <v>0.16653176851477139</v>
      </c>
      <c r="AP137" s="36">
        <v>0.90340285400658615</v>
      </c>
      <c r="AQ137" s="37">
        <v>0.97652582159624413</v>
      </c>
      <c r="AR137" s="39">
        <v>0</v>
      </c>
      <c r="AS137" s="39">
        <v>0</v>
      </c>
      <c r="AT137" s="39">
        <v>90</v>
      </c>
      <c r="AU137" s="39">
        <v>78</v>
      </c>
      <c r="AV137" s="39">
        <v>80</v>
      </c>
      <c r="AW137" s="39">
        <v>189</v>
      </c>
      <c r="AX137" s="36">
        <v>1.5783083771752329E-2</v>
      </c>
      <c r="AY137" s="36">
        <v>1.618777822743828E-2</v>
      </c>
      <c r="AZ137" s="36">
        <v>3.8243626062322948E-2</v>
      </c>
      <c r="BA137" s="36">
        <v>9.7205346294046174E-2</v>
      </c>
      <c r="BB137" s="39">
        <v>0</v>
      </c>
      <c r="BC137" s="39">
        <v>0</v>
      </c>
      <c r="BD137" s="37">
        <v>0.98726114649681529</v>
      </c>
      <c r="BE137" s="37">
        <v>1</v>
      </c>
      <c r="BF137" s="37" t="s">
        <v>111</v>
      </c>
    </row>
    <row r="138" spans="1:58" ht="19.5" customHeight="1">
      <c r="A138" s="40">
        <v>135</v>
      </c>
      <c r="B138" s="35" t="s">
        <v>110</v>
      </c>
      <c r="C138" s="41">
        <v>46169</v>
      </c>
      <c r="D138" s="35" t="s">
        <v>35</v>
      </c>
      <c r="E138" s="35">
        <v>2619</v>
      </c>
      <c r="F138" s="35">
        <v>2438</v>
      </c>
      <c r="G138" s="36">
        <v>0.93088965253913702</v>
      </c>
      <c r="H138" s="35">
        <v>1158</v>
      </c>
      <c r="I138" s="37">
        <v>0.44215349369988538</v>
      </c>
      <c r="J138" s="35">
        <v>2949</v>
      </c>
      <c r="K138" s="35">
        <v>2870</v>
      </c>
      <c r="L138" s="36">
        <v>0.97299999999999998</v>
      </c>
      <c r="M138" s="35">
        <v>16028</v>
      </c>
      <c r="N138" s="35">
        <v>15624</v>
      </c>
      <c r="O138" s="35">
        <v>15787</v>
      </c>
      <c r="P138" s="36">
        <v>0.98496381332667826</v>
      </c>
      <c r="Q138" s="35">
        <v>39</v>
      </c>
      <c r="R138" s="35">
        <v>0</v>
      </c>
      <c r="S138" s="35">
        <v>0</v>
      </c>
      <c r="T138" s="36">
        <v>0</v>
      </c>
      <c r="U138" s="35">
        <v>0</v>
      </c>
      <c r="V138" s="36">
        <v>0</v>
      </c>
      <c r="W138" s="35">
        <v>172</v>
      </c>
      <c r="X138" s="36">
        <v>6.567392134402443E-2</v>
      </c>
      <c r="Y138" s="35">
        <v>698</v>
      </c>
      <c r="Z138" s="38">
        <v>0.26651393661702938</v>
      </c>
      <c r="AA138" s="35">
        <v>82</v>
      </c>
      <c r="AB138" s="36">
        <v>3.1309660175639548E-2</v>
      </c>
      <c r="AC138" s="35">
        <v>432</v>
      </c>
      <c r="AD138" s="36">
        <v>0.16494845360824739</v>
      </c>
      <c r="AE138" s="35">
        <v>86</v>
      </c>
      <c r="AF138" s="36">
        <v>0.1990740740740741</v>
      </c>
      <c r="AG138" s="35">
        <v>411</v>
      </c>
      <c r="AH138" s="36">
        <v>0.95138888888888884</v>
      </c>
      <c r="AI138" s="39">
        <v>467</v>
      </c>
      <c r="AJ138" s="36">
        <v>0.1783123329515082</v>
      </c>
      <c r="AK138" s="39">
        <v>48</v>
      </c>
      <c r="AL138" s="36">
        <v>0.93361884368308357</v>
      </c>
      <c r="AM138" s="39">
        <v>465</v>
      </c>
      <c r="AN138" s="39">
        <v>436</v>
      </c>
      <c r="AO138" s="36">
        <v>0.16647575410462009</v>
      </c>
      <c r="AP138" s="36">
        <v>1.0092592592592591</v>
      </c>
      <c r="AQ138" s="37">
        <v>0.9814385150812065</v>
      </c>
      <c r="AR138" s="39">
        <v>0</v>
      </c>
      <c r="AS138" s="39">
        <v>0</v>
      </c>
      <c r="AT138" s="39">
        <v>44</v>
      </c>
      <c r="AU138" s="39">
        <v>36</v>
      </c>
      <c r="AV138" s="39">
        <v>36</v>
      </c>
      <c r="AW138" s="39">
        <v>88</v>
      </c>
      <c r="AX138" s="36">
        <v>1.374570446735395E-2</v>
      </c>
      <c r="AY138" s="36">
        <v>1.374570446735395E-2</v>
      </c>
      <c r="AZ138" s="36">
        <v>3.3600610920198552E-2</v>
      </c>
      <c r="BA138" s="36">
        <v>8.2568807339449546E-2</v>
      </c>
      <c r="BB138" s="39">
        <v>0</v>
      </c>
      <c r="BC138" s="39">
        <v>0</v>
      </c>
      <c r="BD138" s="37">
        <v>0.97402597402597402</v>
      </c>
      <c r="BE138" s="37">
        <v>1</v>
      </c>
      <c r="BF138" s="37" t="s">
        <v>111</v>
      </c>
    </row>
    <row r="139" spans="1:58" ht="19.5" customHeight="1">
      <c r="A139" s="40">
        <v>136</v>
      </c>
      <c r="B139" s="35" t="s">
        <v>110</v>
      </c>
      <c r="C139" s="41">
        <v>46170</v>
      </c>
      <c r="D139" s="35"/>
      <c r="E139" s="35">
        <v>32</v>
      </c>
      <c r="F139" s="35">
        <v>32</v>
      </c>
      <c r="G139" s="36">
        <v>1</v>
      </c>
      <c r="H139" s="35">
        <v>32</v>
      </c>
      <c r="I139" s="37">
        <v>1</v>
      </c>
      <c r="J139" s="35">
        <v>0</v>
      </c>
      <c r="K139" s="35">
        <v>0</v>
      </c>
      <c r="L139" s="36">
        <v>0</v>
      </c>
      <c r="M139" s="35">
        <v>7</v>
      </c>
      <c r="N139" s="35">
        <v>0</v>
      </c>
      <c r="O139" s="35">
        <v>0</v>
      </c>
      <c r="P139" s="36">
        <v>0</v>
      </c>
      <c r="Q139" s="35">
        <v>7</v>
      </c>
      <c r="R139" s="35">
        <v>0</v>
      </c>
      <c r="S139" s="35">
        <v>0</v>
      </c>
      <c r="T139" s="36">
        <v>0</v>
      </c>
      <c r="U139" s="35">
        <v>0</v>
      </c>
      <c r="V139" s="36">
        <v>0</v>
      </c>
      <c r="W139" s="35">
        <v>20</v>
      </c>
      <c r="X139" s="36">
        <v>0.625</v>
      </c>
      <c r="Y139" s="35">
        <v>13</v>
      </c>
      <c r="Z139" s="38">
        <v>0.40625</v>
      </c>
      <c r="AA139" s="35">
        <v>0</v>
      </c>
      <c r="AB139" s="36">
        <v>0</v>
      </c>
      <c r="AC139" s="35">
        <v>0</v>
      </c>
      <c r="AD139" s="36">
        <v>0</v>
      </c>
      <c r="AE139" s="35">
        <v>0</v>
      </c>
      <c r="AF139" s="36">
        <v>0</v>
      </c>
      <c r="AG139" s="35">
        <v>0</v>
      </c>
      <c r="AH139" s="36">
        <v>0</v>
      </c>
      <c r="AI139" s="39">
        <v>0</v>
      </c>
      <c r="AJ139" s="36">
        <v>0</v>
      </c>
      <c r="AK139" s="39">
        <v>0</v>
      </c>
      <c r="AL139" s="36">
        <v>0</v>
      </c>
      <c r="AM139" s="39">
        <v>0</v>
      </c>
      <c r="AN139" s="39">
        <v>0</v>
      </c>
      <c r="AO139" s="36">
        <v>0</v>
      </c>
      <c r="AP139" s="36">
        <v>0</v>
      </c>
      <c r="AQ139" s="37">
        <v>0</v>
      </c>
      <c r="AR139" s="39">
        <v>0</v>
      </c>
      <c r="AS139" s="39">
        <v>0</v>
      </c>
      <c r="AT139" s="39">
        <v>0</v>
      </c>
      <c r="AU139" s="39">
        <v>0</v>
      </c>
      <c r="AV139" s="39">
        <v>0</v>
      </c>
      <c r="AW139" s="39">
        <v>0</v>
      </c>
      <c r="AX139" s="36">
        <v>0</v>
      </c>
      <c r="AY139" s="36">
        <v>0</v>
      </c>
      <c r="AZ139" s="36">
        <v>0</v>
      </c>
      <c r="BA139" s="36">
        <v>0</v>
      </c>
      <c r="BB139" s="39">
        <v>0</v>
      </c>
      <c r="BC139" s="39">
        <v>1</v>
      </c>
      <c r="BD139" s="37" t="s">
        <v>111</v>
      </c>
      <c r="BE139" s="37" t="s">
        <v>111</v>
      </c>
      <c r="BF139" s="37">
        <v>0.96551724137931039</v>
      </c>
    </row>
    <row r="140" spans="1:58" ht="19.5" customHeight="1">
      <c r="A140" s="40">
        <v>137</v>
      </c>
      <c r="B140" s="35" t="s">
        <v>110</v>
      </c>
      <c r="C140" s="41">
        <v>46170</v>
      </c>
      <c r="D140" s="35" t="s">
        <v>34</v>
      </c>
      <c r="E140" s="35">
        <v>3559</v>
      </c>
      <c r="F140" s="35">
        <v>3307</v>
      </c>
      <c r="G140" s="36">
        <v>0.92919359370609722</v>
      </c>
      <c r="H140" s="35">
        <v>1835</v>
      </c>
      <c r="I140" s="37">
        <v>0.51559426805282382</v>
      </c>
      <c r="J140" s="35">
        <v>3427</v>
      </c>
      <c r="K140" s="35">
        <v>3362</v>
      </c>
      <c r="L140" s="36">
        <v>0.98099999999999998</v>
      </c>
      <c r="M140" s="35">
        <v>13606</v>
      </c>
      <c r="N140" s="35">
        <v>13594</v>
      </c>
      <c r="O140" s="35">
        <v>13461</v>
      </c>
      <c r="P140" s="36">
        <v>0.98934293693958553</v>
      </c>
      <c r="Q140" s="35">
        <v>17</v>
      </c>
      <c r="R140" s="35">
        <v>0</v>
      </c>
      <c r="S140" s="35">
        <v>0</v>
      </c>
      <c r="T140" s="36">
        <v>0</v>
      </c>
      <c r="U140" s="35">
        <v>0</v>
      </c>
      <c r="V140" s="36">
        <v>0</v>
      </c>
      <c r="W140" s="35">
        <v>363</v>
      </c>
      <c r="X140" s="36">
        <v>0.1019949423995504</v>
      </c>
      <c r="Y140" s="35">
        <v>1413</v>
      </c>
      <c r="Z140" s="38">
        <v>0.39702163529081202</v>
      </c>
      <c r="AA140" s="35">
        <v>50</v>
      </c>
      <c r="AB140" s="36">
        <v>1.4048890137679119E-2</v>
      </c>
      <c r="AC140" s="35">
        <v>236</v>
      </c>
      <c r="AD140" s="36">
        <v>6.6310761449845462E-2</v>
      </c>
      <c r="AE140" s="35">
        <v>28</v>
      </c>
      <c r="AF140" s="36">
        <v>0.1186440677966102</v>
      </c>
      <c r="AG140" s="35">
        <v>217</v>
      </c>
      <c r="AH140" s="36">
        <v>0.91949152542372881</v>
      </c>
      <c r="AI140" s="39">
        <v>235</v>
      </c>
      <c r="AJ140" s="36">
        <v>6.6029783647091875E-2</v>
      </c>
      <c r="AK140" s="39">
        <v>17</v>
      </c>
      <c r="AL140" s="36">
        <v>0.88085106382978728</v>
      </c>
      <c r="AM140" s="39">
        <v>227</v>
      </c>
      <c r="AN140" s="39">
        <v>207</v>
      </c>
      <c r="AO140" s="36">
        <v>5.816240516999157E-2</v>
      </c>
      <c r="AP140" s="36">
        <v>0.8771186440677966</v>
      </c>
      <c r="AQ140" s="37">
        <v>0.96534653465346532</v>
      </c>
      <c r="AR140" s="39">
        <v>0</v>
      </c>
      <c r="AS140" s="39">
        <v>0</v>
      </c>
      <c r="AT140" s="39">
        <v>42</v>
      </c>
      <c r="AU140" s="39">
        <v>41</v>
      </c>
      <c r="AV140" s="39">
        <v>42</v>
      </c>
      <c r="AW140" s="39">
        <v>63</v>
      </c>
      <c r="AX140" s="36">
        <v>1.152008991289688E-2</v>
      </c>
      <c r="AY140" s="36">
        <v>1.1801067715650459E-2</v>
      </c>
      <c r="AZ140" s="36">
        <v>1.7701601573475691E-2</v>
      </c>
      <c r="BA140" s="36">
        <v>0.20289855072463769</v>
      </c>
      <c r="BB140" s="39">
        <v>0</v>
      </c>
      <c r="BC140" s="39">
        <v>0</v>
      </c>
      <c r="BD140" s="37">
        <v>1</v>
      </c>
      <c r="BE140" s="37">
        <v>1</v>
      </c>
      <c r="BF140" s="37" t="s">
        <v>111</v>
      </c>
    </row>
    <row r="141" spans="1:58" ht="19.5" customHeight="1">
      <c r="A141" s="40">
        <v>138</v>
      </c>
      <c r="B141" s="35" t="s">
        <v>110</v>
      </c>
      <c r="C141" s="41">
        <v>46170</v>
      </c>
      <c r="D141" s="35" t="s">
        <v>33</v>
      </c>
      <c r="E141" s="35">
        <v>1714</v>
      </c>
      <c r="F141" s="35">
        <v>1615</v>
      </c>
      <c r="G141" s="36">
        <v>0.94224037339556588</v>
      </c>
      <c r="H141" s="35">
        <v>851</v>
      </c>
      <c r="I141" s="37">
        <v>0.49649941656942831</v>
      </c>
      <c r="J141" s="35">
        <v>1791</v>
      </c>
      <c r="K141" s="35">
        <v>1742</v>
      </c>
      <c r="L141" s="36">
        <v>0.97299999999999998</v>
      </c>
      <c r="M141" s="35">
        <v>9433</v>
      </c>
      <c r="N141" s="35">
        <v>9362</v>
      </c>
      <c r="O141" s="35">
        <v>9316</v>
      </c>
      <c r="P141" s="36">
        <v>0.98759673486695643</v>
      </c>
      <c r="Q141" s="35">
        <v>21</v>
      </c>
      <c r="R141" s="35">
        <v>0</v>
      </c>
      <c r="S141" s="35">
        <v>0</v>
      </c>
      <c r="T141" s="36">
        <v>0</v>
      </c>
      <c r="U141" s="35">
        <v>0</v>
      </c>
      <c r="V141" s="36">
        <v>0</v>
      </c>
      <c r="W141" s="35">
        <v>276</v>
      </c>
      <c r="X141" s="36">
        <v>0.16102683780630109</v>
      </c>
      <c r="Y141" s="35">
        <v>804</v>
      </c>
      <c r="Z141" s="38">
        <v>0.46907817969661608</v>
      </c>
      <c r="AA141" s="35">
        <v>37</v>
      </c>
      <c r="AB141" s="36">
        <v>2.1586931155192529E-2</v>
      </c>
      <c r="AC141" s="35">
        <v>178</v>
      </c>
      <c r="AD141" s="36">
        <v>0.1038506417736289</v>
      </c>
      <c r="AE141" s="35">
        <v>29</v>
      </c>
      <c r="AF141" s="36">
        <v>0.16292134831460681</v>
      </c>
      <c r="AG141" s="35">
        <v>159</v>
      </c>
      <c r="AH141" s="36">
        <v>0.8932584269662921</v>
      </c>
      <c r="AI141" s="39">
        <v>183</v>
      </c>
      <c r="AJ141" s="36">
        <v>0.1067677946324387</v>
      </c>
      <c r="AK141" s="39">
        <v>16</v>
      </c>
      <c r="AL141" s="36">
        <v>0.85245901639344257</v>
      </c>
      <c r="AM141" s="39">
        <v>180</v>
      </c>
      <c r="AN141" s="39">
        <v>156</v>
      </c>
      <c r="AO141" s="36">
        <v>9.1015169194865811E-2</v>
      </c>
      <c r="AP141" s="36">
        <v>0.8764044943820225</v>
      </c>
      <c r="AQ141" s="37">
        <v>0.97814207650273222</v>
      </c>
      <c r="AR141" s="39">
        <v>0</v>
      </c>
      <c r="AS141" s="39">
        <v>0</v>
      </c>
      <c r="AT141" s="39">
        <v>56</v>
      </c>
      <c r="AU141" s="39">
        <v>49</v>
      </c>
      <c r="AV141" s="39">
        <v>54</v>
      </c>
      <c r="AW141" s="39">
        <v>57</v>
      </c>
      <c r="AX141" s="36">
        <v>2.858809801633606E-2</v>
      </c>
      <c r="AY141" s="36">
        <v>3.1505250875145857E-2</v>
      </c>
      <c r="AZ141" s="36">
        <v>3.3255542590431737E-2</v>
      </c>
      <c r="BA141" s="36">
        <v>0.34615384615384609</v>
      </c>
      <c r="BB141" s="39">
        <v>0</v>
      </c>
      <c r="BC141" s="39">
        <v>0</v>
      </c>
      <c r="BD141" s="37">
        <v>1</v>
      </c>
      <c r="BE141" s="37">
        <v>1</v>
      </c>
      <c r="BF141" s="37" t="s">
        <v>111</v>
      </c>
    </row>
    <row r="142" spans="1:58" ht="25.7" customHeight="1">
      <c r="A142" s="40">
        <v>139</v>
      </c>
      <c r="B142" s="35" t="s">
        <v>110</v>
      </c>
      <c r="C142" s="41">
        <v>46170</v>
      </c>
      <c r="D142" s="35" t="s">
        <v>36</v>
      </c>
      <c r="E142" s="35">
        <v>5045</v>
      </c>
      <c r="F142" s="35">
        <v>4682</v>
      </c>
      <c r="G142" s="36">
        <v>0.9280475718533201</v>
      </c>
      <c r="H142" s="35">
        <v>1921</v>
      </c>
      <c r="I142" s="37">
        <v>0.38077304261645201</v>
      </c>
      <c r="J142" s="35">
        <v>4300</v>
      </c>
      <c r="K142" s="35">
        <v>4202</v>
      </c>
      <c r="L142" s="36">
        <v>0.97699999999999998</v>
      </c>
      <c r="M142" s="35">
        <v>23473</v>
      </c>
      <c r="N142" s="35">
        <v>23885</v>
      </c>
      <c r="O142" s="35">
        <v>23197</v>
      </c>
      <c r="P142" s="36">
        <v>0.9882418097388489</v>
      </c>
      <c r="Q142" s="35">
        <v>90</v>
      </c>
      <c r="R142" s="35">
        <v>0</v>
      </c>
      <c r="S142" s="35">
        <v>0</v>
      </c>
      <c r="T142" s="36">
        <v>0</v>
      </c>
      <c r="U142" s="35">
        <v>0</v>
      </c>
      <c r="V142" s="36">
        <v>0</v>
      </c>
      <c r="W142" s="35">
        <v>697</v>
      </c>
      <c r="X142" s="36">
        <v>0.13815659068384539</v>
      </c>
      <c r="Y142" s="35">
        <v>11186</v>
      </c>
      <c r="Z142" s="38">
        <v>2.2172447968285431</v>
      </c>
      <c r="AA142" s="35">
        <v>54</v>
      </c>
      <c r="AB142" s="36">
        <v>1.070366699702676E-2</v>
      </c>
      <c r="AC142" s="35">
        <v>920</v>
      </c>
      <c r="AD142" s="36">
        <v>0.18235877106045589</v>
      </c>
      <c r="AE142" s="35">
        <v>154</v>
      </c>
      <c r="AF142" s="36">
        <v>0.16739130434782609</v>
      </c>
      <c r="AG142" s="35">
        <v>845</v>
      </c>
      <c r="AH142" s="36">
        <v>0.91847826086956519</v>
      </c>
      <c r="AI142" s="39">
        <v>964</v>
      </c>
      <c r="AJ142" s="36">
        <v>0.19108027750247769</v>
      </c>
      <c r="AK142" s="39">
        <v>56</v>
      </c>
      <c r="AL142" s="36">
        <v>0.88485477178423233</v>
      </c>
      <c r="AM142" s="39">
        <v>947</v>
      </c>
      <c r="AN142" s="39">
        <v>853</v>
      </c>
      <c r="AO142" s="36">
        <v>0.1690782953419227</v>
      </c>
      <c r="AP142" s="36">
        <v>0.92717391304347829</v>
      </c>
      <c r="AQ142" s="37">
        <v>0.96533044420368364</v>
      </c>
      <c r="AR142" s="39">
        <v>0</v>
      </c>
      <c r="AS142" s="39">
        <v>0</v>
      </c>
      <c r="AT142" s="39">
        <v>83</v>
      </c>
      <c r="AU142" s="39">
        <v>69</v>
      </c>
      <c r="AV142" s="39">
        <v>66</v>
      </c>
      <c r="AW142" s="39">
        <v>146</v>
      </c>
      <c r="AX142" s="36">
        <v>1.367690782953419E-2</v>
      </c>
      <c r="AY142" s="36">
        <v>1.3082259663032709E-2</v>
      </c>
      <c r="AZ142" s="36">
        <v>2.893954410307235E-2</v>
      </c>
      <c r="BA142" s="36">
        <v>7.737397420867527E-2</v>
      </c>
      <c r="BB142" s="39">
        <v>0</v>
      </c>
      <c r="BC142" s="39">
        <v>0</v>
      </c>
      <c r="BD142" s="37">
        <v>0.98089171974522293</v>
      </c>
      <c r="BE142" s="37">
        <v>1</v>
      </c>
      <c r="BF142" s="37" t="s">
        <v>111</v>
      </c>
    </row>
    <row r="143" spans="1:58" ht="19.5" customHeight="1">
      <c r="A143" s="40">
        <v>140</v>
      </c>
      <c r="B143" s="35" t="s">
        <v>110</v>
      </c>
      <c r="C143" s="41">
        <v>46170</v>
      </c>
      <c r="D143" s="35" t="s">
        <v>35</v>
      </c>
      <c r="E143" s="35">
        <v>2406</v>
      </c>
      <c r="F143" s="35">
        <v>2286</v>
      </c>
      <c r="G143" s="36">
        <v>0.95012468827930174</v>
      </c>
      <c r="H143" s="35">
        <v>1157</v>
      </c>
      <c r="I143" s="37">
        <v>0.48088113050706571</v>
      </c>
      <c r="J143" s="35">
        <v>2859</v>
      </c>
      <c r="K143" s="35">
        <v>2792</v>
      </c>
      <c r="L143" s="36">
        <v>0.97699999999999998</v>
      </c>
      <c r="M143" s="35">
        <v>15874</v>
      </c>
      <c r="N143" s="35">
        <v>16012</v>
      </c>
      <c r="O143" s="35">
        <v>15694</v>
      </c>
      <c r="P143" s="36">
        <v>0.98866070303641174</v>
      </c>
      <c r="Q143" s="35">
        <v>46</v>
      </c>
      <c r="R143" s="35">
        <v>0</v>
      </c>
      <c r="S143" s="35">
        <v>0</v>
      </c>
      <c r="T143" s="36">
        <v>0</v>
      </c>
      <c r="U143" s="35">
        <v>0</v>
      </c>
      <c r="V143" s="36">
        <v>0</v>
      </c>
      <c r="W143" s="35">
        <v>356</v>
      </c>
      <c r="X143" s="36">
        <v>0.14796342477140481</v>
      </c>
      <c r="Y143" s="35">
        <v>992</v>
      </c>
      <c r="Z143" s="38">
        <v>0.41230257689110561</v>
      </c>
      <c r="AA143" s="35">
        <v>90</v>
      </c>
      <c r="AB143" s="36">
        <v>3.7406483790523692E-2</v>
      </c>
      <c r="AC143" s="35">
        <v>417</v>
      </c>
      <c r="AD143" s="36">
        <v>0.17331670822942641</v>
      </c>
      <c r="AE143" s="35">
        <v>50</v>
      </c>
      <c r="AF143" s="36">
        <v>0.1199040767386091</v>
      </c>
      <c r="AG143" s="35">
        <v>385</v>
      </c>
      <c r="AH143" s="36">
        <v>0.9232613908872902</v>
      </c>
      <c r="AI143" s="39">
        <v>423</v>
      </c>
      <c r="AJ143" s="36">
        <v>0.17581047381546139</v>
      </c>
      <c r="AK143" s="39">
        <v>19</v>
      </c>
      <c r="AL143" s="36">
        <v>0.92434988179669031</v>
      </c>
      <c r="AM143" s="39">
        <v>417</v>
      </c>
      <c r="AN143" s="39">
        <v>391</v>
      </c>
      <c r="AO143" s="36">
        <v>0.1625103906899418</v>
      </c>
      <c r="AP143" s="36">
        <v>0.93764988009592332</v>
      </c>
      <c r="AQ143" s="37">
        <v>0.9453302961275627</v>
      </c>
      <c r="AR143" s="39">
        <v>0</v>
      </c>
      <c r="AS143" s="39">
        <v>0</v>
      </c>
      <c r="AT143" s="39">
        <v>45</v>
      </c>
      <c r="AU143" s="39">
        <v>40</v>
      </c>
      <c r="AV143" s="39">
        <v>42</v>
      </c>
      <c r="AW143" s="39">
        <v>77</v>
      </c>
      <c r="AX143" s="36">
        <v>1.6625103906899419E-2</v>
      </c>
      <c r="AY143" s="36">
        <v>1.7456359102244391E-2</v>
      </c>
      <c r="AZ143" s="36">
        <v>3.2003325020781383E-2</v>
      </c>
      <c r="BA143" s="36">
        <v>0.10741687979539639</v>
      </c>
      <c r="BB143" s="39">
        <v>0</v>
      </c>
      <c r="BC143" s="39">
        <v>0</v>
      </c>
      <c r="BD143" s="37">
        <v>1</v>
      </c>
      <c r="BE143" s="37">
        <v>1</v>
      </c>
      <c r="BF143" s="37" t="s">
        <v>111</v>
      </c>
    </row>
    <row r="144" spans="1:58" ht="19.5" customHeight="1">
      <c r="A144" s="40">
        <v>141</v>
      </c>
      <c r="B144" s="35" t="s">
        <v>110</v>
      </c>
      <c r="C144" s="41">
        <v>46171</v>
      </c>
      <c r="D144" s="35"/>
      <c r="E144" s="35">
        <v>75</v>
      </c>
      <c r="F144" s="35">
        <v>75</v>
      </c>
      <c r="G144" s="36">
        <v>1</v>
      </c>
      <c r="H144" s="35">
        <v>75</v>
      </c>
      <c r="I144" s="37">
        <v>1</v>
      </c>
      <c r="J144" s="35">
        <v>0</v>
      </c>
      <c r="K144" s="35">
        <v>0</v>
      </c>
      <c r="L144" s="36">
        <v>0</v>
      </c>
      <c r="M144" s="35">
        <v>1</v>
      </c>
      <c r="N144" s="35">
        <v>1</v>
      </c>
      <c r="O144" s="35">
        <v>1</v>
      </c>
      <c r="P144" s="36">
        <v>1</v>
      </c>
      <c r="Q144" s="35">
        <v>0</v>
      </c>
      <c r="R144" s="35">
        <v>0</v>
      </c>
      <c r="S144" s="35">
        <v>0</v>
      </c>
      <c r="T144" s="36">
        <v>0</v>
      </c>
      <c r="U144" s="35">
        <v>0</v>
      </c>
      <c r="V144" s="36">
        <v>0</v>
      </c>
      <c r="W144" s="35">
        <v>15</v>
      </c>
      <c r="X144" s="36">
        <v>0.2</v>
      </c>
      <c r="Y144" s="35">
        <v>12</v>
      </c>
      <c r="Z144" s="38">
        <v>0.16</v>
      </c>
      <c r="AA144" s="35">
        <v>0</v>
      </c>
      <c r="AB144" s="36">
        <v>0</v>
      </c>
      <c r="AC144" s="35">
        <v>0</v>
      </c>
      <c r="AD144" s="36">
        <v>0</v>
      </c>
      <c r="AE144" s="35">
        <v>0</v>
      </c>
      <c r="AF144" s="36">
        <v>0</v>
      </c>
      <c r="AG144" s="35">
        <v>0</v>
      </c>
      <c r="AH144" s="36">
        <v>0</v>
      </c>
      <c r="AI144" s="39">
        <v>0</v>
      </c>
      <c r="AJ144" s="36">
        <v>0</v>
      </c>
      <c r="AK144" s="39">
        <v>0</v>
      </c>
      <c r="AL144" s="36">
        <v>0</v>
      </c>
      <c r="AM144" s="39">
        <v>0</v>
      </c>
      <c r="AN144" s="39">
        <v>0</v>
      </c>
      <c r="AO144" s="36">
        <v>0</v>
      </c>
      <c r="AP144" s="36">
        <v>0</v>
      </c>
      <c r="AQ144" s="37"/>
      <c r="AR144" s="39">
        <v>0</v>
      </c>
      <c r="AS144" s="39">
        <v>0</v>
      </c>
      <c r="AT144" s="39">
        <v>0</v>
      </c>
      <c r="AU144" s="39">
        <v>0</v>
      </c>
      <c r="AV144" s="39">
        <v>0</v>
      </c>
      <c r="AW144" s="39">
        <v>0</v>
      </c>
      <c r="AX144" s="36">
        <v>0</v>
      </c>
      <c r="AY144" s="36">
        <v>0</v>
      </c>
      <c r="AZ144" s="36">
        <v>0</v>
      </c>
      <c r="BA144" s="36">
        <v>0</v>
      </c>
      <c r="BB144" s="39">
        <v>0</v>
      </c>
      <c r="BC144" s="39">
        <v>1</v>
      </c>
      <c r="BD144" s="37" t="s">
        <v>111</v>
      </c>
      <c r="BE144" s="37" t="s">
        <v>111</v>
      </c>
      <c r="BF144" s="37">
        <v>0.96703296703296704</v>
      </c>
    </row>
    <row r="145" spans="1:58" ht="19.5" customHeight="1">
      <c r="A145" s="40">
        <v>142</v>
      </c>
      <c r="B145" s="35" t="s">
        <v>110</v>
      </c>
      <c r="C145" s="41">
        <v>46171</v>
      </c>
      <c r="D145" s="35" t="s">
        <v>34</v>
      </c>
      <c r="E145" s="35">
        <v>3545</v>
      </c>
      <c r="F145" s="35">
        <v>3317</v>
      </c>
      <c r="G145" s="36">
        <v>0.93568406205923838</v>
      </c>
      <c r="H145" s="35">
        <v>1513</v>
      </c>
      <c r="I145" s="37">
        <v>0.42679830747531727</v>
      </c>
      <c r="J145" s="35">
        <v>2996</v>
      </c>
      <c r="K145" s="35">
        <v>2915</v>
      </c>
      <c r="L145" s="36">
        <v>0.97299999999999998</v>
      </c>
      <c r="M145" s="35">
        <v>12900</v>
      </c>
      <c r="N145" s="35">
        <v>13177</v>
      </c>
      <c r="O145" s="35">
        <v>12700</v>
      </c>
      <c r="P145" s="36">
        <v>0.98449612403100772</v>
      </c>
      <c r="Q145" s="35">
        <v>37</v>
      </c>
      <c r="R145" s="35">
        <v>0</v>
      </c>
      <c r="S145" s="35">
        <v>0</v>
      </c>
      <c r="T145" s="36">
        <v>0</v>
      </c>
      <c r="U145" s="35">
        <v>0</v>
      </c>
      <c r="V145" s="36">
        <v>0</v>
      </c>
      <c r="W145" s="35">
        <v>477</v>
      </c>
      <c r="X145" s="36">
        <v>0.13455571227080401</v>
      </c>
      <c r="Y145" s="35">
        <v>958</v>
      </c>
      <c r="Z145" s="38">
        <v>0.27023977433004231</v>
      </c>
      <c r="AA145" s="35">
        <v>55</v>
      </c>
      <c r="AB145" s="36">
        <v>1.55148095909732E-2</v>
      </c>
      <c r="AC145" s="35">
        <v>217</v>
      </c>
      <c r="AD145" s="36">
        <v>6.1212976022566999E-2</v>
      </c>
      <c r="AE145" s="35">
        <v>37</v>
      </c>
      <c r="AF145" s="36">
        <v>0.1705069124423963</v>
      </c>
      <c r="AG145" s="35">
        <v>195</v>
      </c>
      <c r="AH145" s="36">
        <v>0.89861751152073732</v>
      </c>
      <c r="AI145" s="39">
        <v>216</v>
      </c>
      <c r="AJ145" s="36">
        <v>6.0930888575458392E-2</v>
      </c>
      <c r="AK145" s="39">
        <v>10</v>
      </c>
      <c r="AL145" s="36">
        <v>0.88888888888888884</v>
      </c>
      <c r="AM145" s="39">
        <v>212</v>
      </c>
      <c r="AN145" s="39">
        <v>192</v>
      </c>
      <c r="AO145" s="36">
        <v>5.4160789844851898E-2</v>
      </c>
      <c r="AP145" s="36">
        <v>0.88479262672811065</v>
      </c>
      <c r="AQ145" s="37">
        <v>0.8779342723004695</v>
      </c>
      <c r="AR145" s="39">
        <v>0</v>
      </c>
      <c r="AS145" s="39">
        <v>0</v>
      </c>
      <c r="AT145" s="39">
        <v>47</v>
      </c>
      <c r="AU145" s="39">
        <v>44</v>
      </c>
      <c r="AV145" s="39">
        <v>45</v>
      </c>
      <c r="AW145" s="39">
        <v>59</v>
      </c>
      <c r="AX145" s="36">
        <v>1.241184767277856E-2</v>
      </c>
      <c r="AY145" s="36">
        <v>1.2693935119887159E-2</v>
      </c>
      <c r="AZ145" s="36">
        <v>1.6643159379407621E-2</v>
      </c>
      <c r="BA145" s="36">
        <v>0.234375</v>
      </c>
      <c r="BB145" s="39">
        <v>0</v>
      </c>
      <c r="BC145" s="39">
        <v>0</v>
      </c>
      <c r="BD145" s="37">
        <v>0.97222222222222221</v>
      </c>
      <c r="BE145" s="37">
        <v>1</v>
      </c>
      <c r="BF145" s="37" t="s">
        <v>111</v>
      </c>
    </row>
    <row r="146" spans="1:58" ht="19.5" customHeight="1">
      <c r="A146" s="40">
        <v>143</v>
      </c>
      <c r="B146" s="35" t="s">
        <v>110</v>
      </c>
      <c r="C146" s="41">
        <v>46171</v>
      </c>
      <c r="D146" s="35" t="s">
        <v>33</v>
      </c>
      <c r="E146" s="35">
        <v>2277</v>
      </c>
      <c r="F146" s="35">
        <v>2145</v>
      </c>
      <c r="G146" s="36">
        <v>0.94202898550724634</v>
      </c>
      <c r="H146" s="35">
        <v>877</v>
      </c>
      <c r="I146" s="37">
        <v>0.38515590689503731</v>
      </c>
      <c r="J146" s="35">
        <v>1879</v>
      </c>
      <c r="K146" s="35">
        <v>1833</v>
      </c>
      <c r="L146" s="36">
        <v>0.97599999999999998</v>
      </c>
      <c r="M146" s="35">
        <v>9494</v>
      </c>
      <c r="N146" s="35">
        <v>9534</v>
      </c>
      <c r="O146" s="35">
        <v>9363</v>
      </c>
      <c r="P146" s="36">
        <v>0.98620181167052878</v>
      </c>
      <c r="Q146" s="35">
        <v>30</v>
      </c>
      <c r="R146" s="35">
        <v>0</v>
      </c>
      <c r="S146" s="35">
        <v>0</v>
      </c>
      <c r="T146" s="36">
        <v>0</v>
      </c>
      <c r="U146" s="35">
        <v>0</v>
      </c>
      <c r="V146" s="36">
        <v>0</v>
      </c>
      <c r="W146" s="35">
        <v>417</v>
      </c>
      <c r="X146" s="36">
        <v>0.1831357048748353</v>
      </c>
      <c r="Y146" s="35">
        <v>624</v>
      </c>
      <c r="Z146" s="38">
        <v>0.27404479578392621</v>
      </c>
      <c r="AA146" s="35">
        <v>48</v>
      </c>
      <c r="AB146" s="36">
        <v>2.108036890645586E-2</v>
      </c>
      <c r="AC146" s="35">
        <v>173</v>
      </c>
      <c r="AD146" s="36">
        <v>7.5977162933684672E-2</v>
      </c>
      <c r="AE146" s="35">
        <v>29</v>
      </c>
      <c r="AF146" s="36">
        <v>0.16763005780346821</v>
      </c>
      <c r="AG146" s="35">
        <v>154</v>
      </c>
      <c r="AH146" s="36">
        <v>0.89017341040462428</v>
      </c>
      <c r="AI146" s="39">
        <v>162</v>
      </c>
      <c r="AJ146" s="36">
        <v>7.1146245059288543E-2</v>
      </c>
      <c r="AK146" s="39">
        <v>9</v>
      </c>
      <c r="AL146" s="36">
        <v>0.9320987654320988</v>
      </c>
      <c r="AM146" s="39">
        <v>159</v>
      </c>
      <c r="AN146" s="39">
        <v>151</v>
      </c>
      <c r="AO146" s="36">
        <v>6.63153271848924E-2</v>
      </c>
      <c r="AP146" s="36">
        <v>0.87283236994219648</v>
      </c>
      <c r="AQ146" s="37">
        <v>0.97727272727272729</v>
      </c>
      <c r="AR146" s="39">
        <v>0</v>
      </c>
      <c r="AS146" s="39">
        <v>0</v>
      </c>
      <c r="AT146" s="39">
        <v>33</v>
      </c>
      <c r="AU146" s="39">
        <v>28</v>
      </c>
      <c r="AV146" s="39">
        <v>29</v>
      </c>
      <c r="AW146" s="39">
        <v>57</v>
      </c>
      <c r="AX146" s="36">
        <v>1.229688186209925E-2</v>
      </c>
      <c r="AY146" s="36">
        <v>1.2736056214317081E-2</v>
      </c>
      <c r="AZ146" s="36">
        <v>2.503293807641634E-2</v>
      </c>
      <c r="BA146" s="36">
        <v>0.19205298013245031</v>
      </c>
      <c r="BB146" s="39">
        <v>0</v>
      </c>
      <c r="BC146" s="39">
        <v>1</v>
      </c>
      <c r="BD146" s="37">
        <v>0.88235294117647056</v>
      </c>
      <c r="BE146" s="37">
        <v>1</v>
      </c>
      <c r="BF146" s="37" t="s">
        <v>111</v>
      </c>
    </row>
    <row r="147" spans="1:58" ht="19.5" customHeight="1">
      <c r="A147" s="40">
        <v>144</v>
      </c>
      <c r="B147" s="35" t="s">
        <v>110</v>
      </c>
      <c r="C147" s="41">
        <v>46171</v>
      </c>
      <c r="D147" s="35" t="s">
        <v>36</v>
      </c>
      <c r="E147" s="35">
        <v>6106</v>
      </c>
      <c r="F147" s="35">
        <v>5603</v>
      </c>
      <c r="G147" s="36">
        <v>0.91762201113658692</v>
      </c>
      <c r="H147" s="35">
        <v>2252</v>
      </c>
      <c r="I147" s="37">
        <v>0.36881755650180148</v>
      </c>
      <c r="J147" s="35">
        <v>6437</v>
      </c>
      <c r="K147" s="35">
        <v>6277</v>
      </c>
      <c r="L147" s="36">
        <v>0.97499999999999998</v>
      </c>
      <c r="M147" s="35">
        <v>28142</v>
      </c>
      <c r="N147" s="35">
        <v>28110</v>
      </c>
      <c r="O147" s="35">
        <v>27731</v>
      </c>
      <c r="P147" s="36">
        <v>0.98539549427901363</v>
      </c>
      <c r="Q147" s="35">
        <v>109</v>
      </c>
      <c r="R147" s="35">
        <v>0</v>
      </c>
      <c r="S147" s="35">
        <v>0</v>
      </c>
      <c r="T147" s="36">
        <v>0</v>
      </c>
      <c r="U147" s="35">
        <v>0</v>
      </c>
      <c r="V147" s="36">
        <v>0</v>
      </c>
      <c r="W147" s="35">
        <v>936</v>
      </c>
      <c r="X147" s="36">
        <v>0.15329184408778249</v>
      </c>
      <c r="Y147" s="35">
        <v>1300</v>
      </c>
      <c r="Z147" s="38">
        <v>0.21290533901080899</v>
      </c>
      <c r="AA147" s="35">
        <v>74</v>
      </c>
      <c r="AB147" s="36">
        <v>1.2119226989846049E-2</v>
      </c>
      <c r="AC147" s="35">
        <v>884</v>
      </c>
      <c r="AD147" s="36">
        <v>0.14477563052735021</v>
      </c>
      <c r="AE147" s="35">
        <v>137</v>
      </c>
      <c r="AF147" s="36">
        <v>0.15497737556561089</v>
      </c>
      <c r="AG147" s="35">
        <v>820</v>
      </c>
      <c r="AH147" s="36">
        <v>0.92760180995475117</v>
      </c>
      <c r="AI147" s="39">
        <v>884</v>
      </c>
      <c r="AJ147" s="36">
        <v>0.14477563052735021</v>
      </c>
      <c r="AK147" s="39">
        <v>57</v>
      </c>
      <c r="AL147" s="36">
        <v>0.90271493212669685</v>
      </c>
      <c r="AM147" s="39">
        <v>874</v>
      </c>
      <c r="AN147" s="39">
        <v>798</v>
      </c>
      <c r="AO147" s="36">
        <v>0.13069112348509659</v>
      </c>
      <c r="AP147" s="36">
        <v>0.90271493212669685</v>
      </c>
      <c r="AQ147" s="37">
        <v>0.9741657696447793</v>
      </c>
      <c r="AR147" s="39">
        <v>0</v>
      </c>
      <c r="AS147" s="39">
        <v>0</v>
      </c>
      <c r="AT147" s="39">
        <v>87</v>
      </c>
      <c r="AU147" s="39">
        <v>76</v>
      </c>
      <c r="AV147" s="39">
        <v>80</v>
      </c>
      <c r="AW147" s="39">
        <v>219</v>
      </c>
      <c r="AX147" s="36">
        <v>1.2446773665247299E-2</v>
      </c>
      <c r="AY147" s="36">
        <v>1.310186701604979E-2</v>
      </c>
      <c r="AZ147" s="36">
        <v>3.5866360956436291E-2</v>
      </c>
      <c r="BA147" s="36">
        <v>0.10025062656641601</v>
      </c>
      <c r="BB147" s="39">
        <v>0</v>
      </c>
      <c r="BC147" s="39">
        <v>0</v>
      </c>
      <c r="BD147" s="37">
        <v>0.98750000000000004</v>
      </c>
      <c r="BE147" s="37">
        <v>1</v>
      </c>
      <c r="BF147" s="37" t="s">
        <v>111</v>
      </c>
    </row>
    <row r="148" spans="1:58" ht="19.5" customHeight="1">
      <c r="A148" s="40">
        <v>145</v>
      </c>
      <c r="B148" s="35" t="s">
        <v>110</v>
      </c>
      <c r="C148" s="41">
        <v>46171</v>
      </c>
      <c r="D148" s="35" t="s">
        <v>35</v>
      </c>
      <c r="E148" s="35">
        <v>2663</v>
      </c>
      <c r="F148" s="35">
        <v>2536</v>
      </c>
      <c r="G148" s="36">
        <v>0.95230942546000752</v>
      </c>
      <c r="H148" s="35">
        <v>1228</v>
      </c>
      <c r="I148" s="37">
        <v>0.46113405933158091</v>
      </c>
      <c r="J148" s="35">
        <v>3002</v>
      </c>
      <c r="K148" s="35">
        <v>2938</v>
      </c>
      <c r="L148" s="36">
        <v>0.97899999999999998</v>
      </c>
      <c r="M148" s="35">
        <v>16816</v>
      </c>
      <c r="N148" s="35">
        <v>16579</v>
      </c>
      <c r="O148" s="35">
        <v>16580</v>
      </c>
      <c r="P148" s="36">
        <v>0.985965746907707</v>
      </c>
      <c r="Q148" s="35">
        <v>48</v>
      </c>
      <c r="R148" s="35">
        <v>0</v>
      </c>
      <c r="S148" s="35">
        <v>0</v>
      </c>
      <c r="T148" s="36">
        <v>0</v>
      </c>
      <c r="U148" s="35">
        <v>0</v>
      </c>
      <c r="V148" s="36">
        <v>0</v>
      </c>
      <c r="W148" s="35">
        <v>642</v>
      </c>
      <c r="X148" s="36">
        <v>0.2410814870446864</v>
      </c>
      <c r="Y148" s="35">
        <v>830</v>
      </c>
      <c r="Z148" s="38">
        <v>0.31167855801727368</v>
      </c>
      <c r="AA148" s="35">
        <v>93</v>
      </c>
      <c r="AB148" s="36">
        <v>3.4923019151333078E-2</v>
      </c>
      <c r="AC148" s="35">
        <v>423</v>
      </c>
      <c r="AD148" s="36">
        <v>0.15884340968832139</v>
      </c>
      <c r="AE148" s="35">
        <v>72</v>
      </c>
      <c r="AF148" s="36">
        <v>0.1702127659574468</v>
      </c>
      <c r="AG148" s="35">
        <v>388</v>
      </c>
      <c r="AH148" s="36">
        <v>0.91725768321513002</v>
      </c>
      <c r="AI148" s="39">
        <v>436</v>
      </c>
      <c r="AJ148" s="36">
        <v>0.1637251220428089</v>
      </c>
      <c r="AK148" s="39">
        <v>35</v>
      </c>
      <c r="AL148" s="36">
        <v>0.91513761467889909</v>
      </c>
      <c r="AM148" s="39">
        <v>432</v>
      </c>
      <c r="AN148" s="39">
        <v>399</v>
      </c>
      <c r="AO148" s="36">
        <v>0.14983101764926771</v>
      </c>
      <c r="AP148" s="36">
        <v>0.94326241134751776</v>
      </c>
      <c r="AQ148" s="37">
        <v>0.9185750636132316</v>
      </c>
      <c r="AR148" s="39">
        <v>0</v>
      </c>
      <c r="AS148" s="39">
        <v>0</v>
      </c>
      <c r="AT148" s="39">
        <v>48</v>
      </c>
      <c r="AU148" s="39">
        <v>45</v>
      </c>
      <c r="AV148" s="39">
        <v>45</v>
      </c>
      <c r="AW148" s="39">
        <v>110</v>
      </c>
      <c r="AX148" s="36">
        <v>1.689823507322569E-2</v>
      </c>
      <c r="AY148" s="36">
        <v>1.689823507322569E-2</v>
      </c>
      <c r="AZ148" s="36">
        <v>4.130679684566279E-2</v>
      </c>
      <c r="BA148" s="36">
        <v>0.112781954887218</v>
      </c>
      <c r="BB148" s="39">
        <v>0</v>
      </c>
      <c r="BC148" s="39">
        <v>0</v>
      </c>
      <c r="BD148" s="37">
        <v>1</v>
      </c>
      <c r="BE148" s="37">
        <v>1</v>
      </c>
      <c r="BF148" s="37" t="s">
        <v>111</v>
      </c>
    </row>
    <row r="149" spans="1:58" ht="19.5" customHeight="1">
      <c r="A149" s="40">
        <v>146</v>
      </c>
      <c r="B149" s="35" t="s">
        <v>110</v>
      </c>
      <c r="C149" s="41">
        <v>46172</v>
      </c>
      <c r="D149" s="35"/>
      <c r="E149" s="35">
        <v>103</v>
      </c>
      <c r="F149" s="35">
        <v>103</v>
      </c>
      <c r="G149" s="36">
        <v>1</v>
      </c>
      <c r="H149" s="35">
        <v>103</v>
      </c>
      <c r="I149" s="37">
        <v>1</v>
      </c>
      <c r="J149" s="35">
        <v>0</v>
      </c>
      <c r="K149" s="35">
        <v>0</v>
      </c>
      <c r="L149" s="36">
        <v>0</v>
      </c>
      <c r="M149" s="35">
        <v>2</v>
      </c>
      <c r="N149" s="35">
        <v>3</v>
      </c>
      <c r="O149" s="35">
        <v>2</v>
      </c>
      <c r="P149" s="36">
        <v>1</v>
      </c>
      <c r="Q149" s="35">
        <v>0</v>
      </c>
      <c r="R149" s="35">
        <v>0</v>
      </c>
      <c r="S149" s="35">
        <v>0</v>
      </c>
      <c r="T149" s="36">
        <v>0</v>
      </c>
      <c r="U149" s="35">
        <v>0</v>
      </c>
      <c r="V149" s="36">
        <v>0</v>
      </c>
      <c r="W149" s="35">
        <v>20</v>
      </c>
      <c r="X149" s="36">
        <v>0.1941747572815534</v>
      </c>
      <c r="Y149" s="35">
        <v>12</v>
      </c>
      <c r="Z149" s="38">
        <v>0.116504854368932</v>
      </c>
      <c r="AA149" s="35">
        <v>0</v>
      </c>
      <c r="AB149" s="36">
        <v>0</v>
      </c>
      <c r="AC149" s="35">
        <v>0</v>
      </c>
      <c r="AD149" s="36">
        <v>0</v>
      </c>
      <c r="AE149" s="35">
        <v>0</v>
      </c>
      <c r="AF149" s="36">
        <v>0</v>
      </c>
      <c r="AG149" s="35">
        <v>0</v>
      </c>
      <c r="AH149" s="36">
        <v>0</v>
      </c>
      <c r="AI149" s="39">
        <v>0</v>
      </c>
      <c r="AJ149" s="36">
        <v>0</v>
      </c>
      <c r="AK149" s="39">
        <v>0</v>
      </c>
      <c r="AL149" s="36">
        <v>0</v>
      </c>
      <c r="AM149" s="39">
        <v>0</v>
      </c>
      <c r="AN149" s="39">
        <v>0</v>
      </c>
      <c r="AO149" s="36">
        <v>0</v>
      </c>
      <c r="AP149" s="36">
        <v>0</v>
      </c>
      <c r="AQ149" s="37"/>
      <c r="AR149" s="39">
        <v>0</v>
      </c>
      <c r="AS149" s="39">
        <v>0</v>
      </c>
      <c r="AT149" s="39">
        <v>0</v>
      </c>
      <c r="AU149" s="39">
        <v>0</v>
      </c>
      <c r="AV149" s="39">
        <v>0</v>
      </c>
      <c r="AW149" s="39">
        <v>0</v>
      </c>
      <c r="AX149" s="36">
        <v>0</v>
      </c>
      <c r="AY149" s="36">
        <v>0</v>
      </c>
      <c r="AZ149" s="36">
        <v>0</v>
      </c>
      <c r="BA149" s="36">
        <v>0</v>
      </c>
      <c r="BB149" s="39">
        <v>0</v>
      </c>
      <c r="BC149" s="39">
        <v>0</v>
      </c>
      <c r="BD149" s="37" t="s">
        <v>111</v>
      </c>
      <c r="BE149" s="37" t="s">
        <v>111</v>
      </c>
      <c r="BF149" s="37">
        <v>0.99285714285714288</v>
      </c>
    </row>
    <row r="150" spans="1:58" ht="19.5" customHeight="1">
      <c r="A150" s="40">
        <v>147</v>
      </c>
      <c r="B150" s="35" t="s">
        <v>110</v>
      </c>
      <c r="C150" s="41">
        <v>46172</v>
      </c>
      <c r="D150" s="35" t="s">
        <v>34</v>
      </c>
      <c r="E150" s="35">
        <v>4461</v>
      </c>
      <c r="F150" s="35">
        <v>4209</v>
      </c>
      <c r="G150" s="36">
        <v>0.94351042367182247</v>
      </c>
      <c r="H150" s="35">
        <v>1728</v>
      </c>
      <c r="I150" s="37">
        <v>0.38735709482178882</v>
      </c>
      <c r="J150" s="35">
        <v>4535</v>
      </c>
      <c r="K150" s="35">
        <v>4462</v>
      </c>
      <c r="L150" s="36">
        <v>0.98399999999999999</v>
      </c>
      <c r="M150" s="35">
        <v>15802</v>
      </c>
      <c r="N150" s="35">
        <v>16451</v>
      </c>
      <c r="O150" s="35">
        <v>15597</v>
      </c>
      <c r="P150" s="36">
        <v>0.98702695861283385</v>
      </c>
      <c r="Q150" s="35">
        <v>47</v>
      </c>
      <c r="R150" s="35">
        <v>0</v>
      </c>
      <c r="S150" s="35">
        <v>0</v>
      </c>
      <c r="T150" s="36">
        <v>0</v>
      </c>
      <c r="U150" s="35">
        <v>0</v>
      </c>
      <c r="V150" s="36">
        <v>0</v>
      </c>
      <c r="W150" s="35">
        <v>304</v>
      </c>
      <c r="X150" s="36">
        <v>6.8146155570499883E-2</v>
      </c>
      <c r="Y150" s="35">
        <v>1319</v>
      </c>
      <c r="Z150" s="38">
        <v>0.29567361578121498</v>
      </c>
      <c r="AA150" s="35">
        <v>218</v>
      </c>
      <c r="AB150" s="36">
        <v>4.886796682358216E-2</v>
      </c>
      <c r="AC150" s="35">
        <v>323</v>
      </c>
      <c r="AD150" s="36">
        <v>7.2405290293656124E-2</v>
      </c>
      <c r="AE150" s="35">
        <v>61</v>
      </c>
      <c r="AF150" s="36">
        <v>0.1888544891640867</v>
      </c>
      <c r="AG150" s="35">
        <v>290</v>
      </c>
      <c r="AH150" s="36">
        <v>0.89783281733746134</v>
      </c>
      <c r="AI150" s="39">
        <v>334</v>
      </c>
      <c r="AJ150" s="36">
        <v>7.4871105133378163E-2</v>
      </c>
      <c r="AK150" s="39">
        <v>18</v>
      </c>
      <c r="AL150" s="36">
        <v>0.8532934131736527</v>
      </c>
      <c r="AM150" s="39">
        <v>316</v>
      </c>
      <c r="AN150" s="39">
        <v>285</v>
      </c>
      <c r="AO150" s="36">
        <v>6.3887020847343642E-2</v>
      </c>
      <c r="AP150" s="36">
        <v>0.88235294117647056</v>
      </c>
      <c r="AQ150" s="37">
        <v>0.97499999999999998</v>
      </c>
      <c r="AR150" s="39">
        <v>0</v>
      </c>
      <c r="AS150" s="39">
        <v>0</v>
      </c>
      <c r="AT150" s="39">
        <v>72</v>
      </c>
      <c r="AU150" s="39">
        <v>70</v>
      </c>
      <c r="AV150" s="39">
        <v>66</v>
      </c>
      <c r="AW150" s="39">
        <v>70</v>
      </c>
      <c r="AX150" s="36">
        <v>1.5691548980049319E-2</v>
      </c>
      <c r="AY150" s="36">
        <v>1.4794889038332209E-2</v>
      </c>
      <c r="AZ150" s="36">
        <v>1.5691548980049319E-2</v>
      </c>
      <c r="BA150" s="36">
        <v>0.23157894736842111</v>
      </c>
      <c r="BB150" s="39">
        <v>0</v>
      </c>
      <c r="BC150" s="39">
        <v>0</v>
      </c>
      <c r="BD150" s="37">
        <v>0.967741935483871</v>
      </c>
      <c r="BE150" s="37">
        <v>1</v>
      </c>
      <c r="BF150" s="37" t="s">
        <v>111</v>
      </c>
    </row>
    <row r="151" spans="1:58" ht="19.5" customHeight="1">
      <c r="A151" s="40">
        <v>148</v>
      </c>
      <c r="B151" s="35" t="s">
        <v>110</v>
      </c>
      <c r="C151" s="41">
        <v>46172</v>
      </c>
      <c r="D151" s="35" t="s">
        <v>33</v>
      </c>
      <c r="E151" s="35">
        <v>2665</v>
      </c>
      <c r="F151" s="35">
        <v>2508</v>
      </c>
      <c r="G151" s="36">
        <v>0.94108818011257034</v>
      </c>
      <c r="H151" s="35">
        <v>971</v>
      </c>
      <c r="I151" s="37">
        <v>0.36435272045028139</v>
      </c>
      <c r="J151" s="35">
        <v>2046</v>
      </c>
      <c r="K151" s="35">
        <v>2006</v>
      </c>
      <c r="L151" s="36">
        <v>0.98</v>
      </c>
      <c r="M151" s="35">
        <v>9300</v>
      </c>
      <c r="N151" s="35">
        <v>9673</v>
      </c>
      <c r="O151" s="35">
        <v>9157</v>
      </c>
      <c r="P151" s="36">
        <v>0.98462365591397849</v>
      </c>
      <c r="Q151" s="35">
        <v>46</v>
      </c>
      <c r="R151" s="35">
        <v>0</v>
      </c>
      <c r="S151" s="35">
        <v>0</v>
      </c>
      <c r="T151" s="36">
        <v>0</v>
      </c>
      <c r="U151" s="35">
        <v>0</v>
      </c>
      <c r="V151" s="36">
        <v>0</v>
      </c>
      <c r="W151" s="35">
        <v>255</v>
      </c>
      <c r="X151" s="36">
        <v>9.5684803001876179E-2</v>
      </c>
      <c r="Y151" s="35">
        <v>933</v>
      </c>
      <c r="Z151" s="38">
        <v>0.35009380863039402</v>
      </c>
      <c r="AA151" s="35">
        <v>177</v>
      </c>
      <c r="AB151" s="36">
        <v>6.6416510318949337E-2</v>
      </c>
      <c r="AC151" s="35">
        <v>327</v>
      </c>
      <c r="AD151" s="36">
        <v>0.1227016885553471</v>
      </c>
      <c r="AE151" s="35">
        <v>42</v>
      </c>
      <c r="AF151" s="36">
        <v>0.1284403669724771</v>
      </c>
      <c r="AG151" s="35">
        <v>304</v>
      </c>
      <c r="AH151" s="36">
        <v>0.92966360856269115</v>
      </c>
      <c r="AI151" s="39">
        <v>328</v>
      </c>
      <c r="AJ151" s="36">
        <v>0.1230769230769231</v>
      </c>
      <c r="AK151" s="39">
        <v>15</v>
      </c>
      <c r="AL151" s="36">
        <v>0.83536585365853655</v>
      </c>
      <c r="AM151" s="39">
        <v>309</v>
      </c>
      <c r="AN151" s="39">
        <v>274</v>
      </c>
      <c r="AO151" s="36">
        <v>0.1028142589118199</v>
      </c>
      <c r="AP151" s="36">
        <v>0.8379204892966361</v>
      </c>
      <c r="AQ151" s="37">
        <v>0.95238095238095233</v>
      </c>
      <c r="AR151" s="39">
        <v>0</v>
      </c>
      <c r="AS151" s="39">
        <v>0</v>
      </c>
      <c r="AT151" s="39">
        <v>62</v>
      </c>
      <c r="AU151" s="39">
        <v>61</v>
      </c>
      <c r="AV151" s="39">
        <v>57</v>
      </c>
      <c r="AW151" s="39">
        <v>66</v>
      </c>
      <c r="AX151" s="36">
        <v>2.2889305816135089E-2</v>
      </c>
      <c r="AY151" s="36">
        <v>2.1388367729831149E-2</v>
      </c>
      <c r="AZ151" s="36">
        <v>2.4765478424015011E-2</v>
      </c>
      <c r="BA151" s="36">
        <v>0.20802919708029199</v>
      </c>
      <c r="BB151" s="39">
        <v>0</v>
      </c>
      <c r="BC151" s="39">
        <v>0</v>
      </c>
      <c r="BD151" s="37">
        <v>1</v>
      </c>
      <c r="BE151" s="37">
        <v>1</v>
      </c>
      <c r="BF151" s="37" t="s">
        <v>111</v>
      </c>
    </row>
    <row r="152" spans="1:58" ht="19.5" customHeight="1">
      <c r="A152" s="40">
        <v>149</v>
      </c>
      <c r="B152" s="35" t="s">
        <v>110</v>
      </c>
      <c r="C152" s="41">
        <v>46172</v>
      </c>
      <c r="D152" s="35" t="s">
        <v>36</v>
      </c>
      <c r="E152" s="35">
        <v>7777</v>
      </c>
      <c r="F152" s="35">
        <v>7355</v>
      </c>
      <c r="G152" s="36">
        <v>0.94573743088594575</v>
      </c>
      <c r="H152" s="35">
        <v>2503</v>
      </c>
      <c r="I152" s="37">
        <v>0.32184647036132191</v>
      </c>
      <c r="J152" s="35">
        <v>6746</v>
      </c>
      <c r="K152" s="35">
        <v>6573</v>
      </c>
      <c r="L152" s="36">
        <v>0.97399999999999998</v>
      </c>
      <c r="M152" s="35">
        <v>27238</v>
      </c>
      <c r="N152" s="35">
        <v>29611</v>
      </c>
      <c r="O152" s="35">
        <v>26843</v>
      </c>
      <c r="P152" s="36">
        <v>0.98549820104266095</v>
      </c>
      <c r="Q152" s="35">
        <v>133</v>
      </c>
      <c r="R152" s="35">
        <v>0</v>
      </c>
      <c r="S152" s="35">
        <v>0</v>
      </c>
      <c r="T152" s="36">
        <v>0</v>
      </c>
      <c r="U152" s="35">
        <v>0</v>
      </c>
      <c r="V152" s="36">
        <v>0</v>
      </c>
      <c r="W152" s="35">
        <v>661</v>
      </c>
      <c r="X152" s="36">
        <v>8.4994213707085001E-2</v>
      </c>
      <c r="Y152" s="35">
        <v>1743</v>
      </c>
      <c r="Z152" s="38">
        <v>0.22412241224122409</v>
      </c>
      <c r="AA152" s="35">
        <v>583</v>
      </c>
      <c r="AB152" s="36">
        <v>7.4964639321074958E-2</v>
      </c>
      <c r="AC152" s="35">
        <v>1306</v>
      </c>
      <c r="AD152" s="36">
        <v>0.1679310788221679</v>
      </c>
      <c r="AE152" s="35">
        <v>260</v>
      </c>
      <c r="AF152" s="36">
        <v>0.19908116385911179</v>
      </c>
      <c r="AG152" s="35">
        <v>1186</v>
      </c>
      <c r="AH152" s="36">
        <v>0.90811638591117916</v>
      </c>
      <c r="AI152" s="39">
        <v>1413</v>
      </c>
      <c r="AJ152" s="36">
        <v>0.18168959753118169</v>
      </c>
      <c r="AK152" s="39">
        <v>88</v>
      </c>
      <c r="AL152" s="36">
        <v>0.84713375796178347</v>
      </c>
      <c r="AM152" s="39">
        <v>1314</v>
      </c>
      <c r="AN152" s="39">
        <v>1197</v>
      </c>
      <c r="AO152" s="36">
        <v>0.1539153915391539</v>
      </c>
      <c r="AP152" s="36">
        <v>0.91653905053598772</v>
      </c>
      <c r="AQ152" s="37">
        <v>0.96407879490150639</v>
      </c>
      <c r="AR152" s="39">
        <v>0</v>
      </c>
      <c r="AS152" s="39">
        <v>0</v>
      </c>
      <c r="AT152" s="39">
        <v>188</v>
      </c>
      <c r="AU152" s="39">
        <v>175</v>
      </c>
      <c r="AV152" s="39">
        <v>167</v>
      </c>
      <c r="AW152" s="39">
        <v>170</v>
      </c>
      <c r="AX152" s="36">
        <v>2.2502250225022499E-2</v>
      </c>
      <c r="AY152" s="36">
        <v>2.1473575929021469E-2</v>
      </c>
      <c r="AZ152" s="36">
        <v>2.1859328790021861E-2</v>
      </c>
      <c r="BA152" s="36">
        <v>0.13951545530492901</v>
      </c>
      <c r="BB152" s="39">
        <v>0</v>
      </c>
      <c r="BC152" s="39">
        <v>0</v>
      </c>
      <c r="BD152" s="37">
        <v>0.9866071428571429</v>
      </c>
      <c r="BE152" s="37">
        <v>1</v>
      </c>
      <c r="BF152" s="37" t="s">
        <v>111</v>
      </c>
    </row>
    <row r="153" spans="1:58" ht="19.5" customHeight="1">
      <c r="A153" s="40">
        <v>150</v>
      </c>
      <c r="B153" s="35" t="s">
        <v>110</v>
      </c>
      <c r="C153" s="41">
        <v>46172</v>
      </c>
      <c r="D153" s="35" t="s">
        <v>35</v>
      </c>
      <c r="E153" s="35">
        <v>2894</v>
      </c>
      <c r="F153" s="35">
        <v>2773</v>
      </c>
      <c r="G153" s="36">
        <v>0.95818935729094679</v>
      </c>
      <c r="H153" s="35">
        <v>1291</v>
      </c>
      <c r="I153" s="37">
        <v>0.44609536973047692</v>
      </c>
      <c r="J153" s="35">
        <v>3218</v>
      </c>
      <c r="K153" s="35">
        <v>3150</v>
      </c>
      <c r="L153" s="36">
        <v>0.97899999999999998</v>
      </c>
      <c r="M153" s="35">
        <v>16451</v>
      </c>
      <c r="N153" s="35">
        <v>16996</v>
      </c>
      <c r="O153" s="35">
        <v>16214</v>
      </c>
      <c r="P153" s="36">
        <v>0.98559358093732907</v>
      </c>
      <c r="Q153" s="35">
        <v>79</v>
      </c>
      <c r="R153" s="35">
        <v>0</v>
      </c>
      <c r="S153" s="35">
        <v>0</v>
      </c>
      <c r="T153" s="36">
        <v>0</v>
      </c>
      <c r="U153" s="35">
        <v>0</v>
      </c>
      <c r="V153" s="36">
        <v>0</v>
      </c>
      <c r="W153" s="35">
        <v>335</v>
      </c>
      <c r="X153" s="36">
        <v>0.1157567380787837</v>
      </c>
      <c r="Y153" s="35">
        <v>1293</v>
      </c>
      <c r="Z153" s="38">
        <v>0.44678645473393219</v>
      </c>
      <c r="AA153" s="35">
        <v>234</v>
      </c>
      <c r="AB153" s="36">
        <v>8.085694540428473E-2</v>
      </c>
      <c r="AC153" s="35">
        <v>588</v>
      </c>
      <c r="AD153" s="36">
        <v>0.20317899101589501</v>
      </c>
      <c r="AE153" s="35">
        <v>99</v>
      </c>
      <c r="AF153" s="36">
        <v>0.1683673469387755</v>
      </c>
      <c r="AG153" s="35">
        <v>529</v>
      </c>
      <c r="AH153" s="36">
        <v>0.89965986394557829</v>
      </c>
      <c r="AI153" s="39">
        <v>597</v>
      </c>
      <c r="AJ153" s="36">
        <v>0.2062888735314444</v>
      </c>
      <c r="AK153" s="39">
        <v>28</v>
      </c>
      <c r="AL153" s="36">
        <v>0.9061976549413735</v>
      </c>
      <c r="AM153" s="39">
        <v>571</v>
      </c>
      <c r="AN153" s="39">
        <v>541</v>
      </c>
      <c r="AO153" s="36">
        <v>0.18693849343469249</v>
      </c>
      <c r="AP153" s="36">
        <v>0.92006802721088432</v>
      </c>
      <c r="AQ153" s="37">
        <v>0.95843520782396086</v>
      </c>
      <c r="AR153" s="39">
        <v>0</v>
      </c>
      <c r="AS153" s="39">
        <v>0</v>
      </c>
      <c r="AT153" s="39">
        <v>97</v>
      </c>
      <c r="AU153" s="39">
        <v>94</v>
      </c>
      <c r="AV153" s="39">
        <v>91</v>
      </c>
      <c r="AW153" s="39">
        <v>87</v>
      </c>
      <c r="AX153" s="36">
        <v>3.2480995162404977E-2</v>
      </c>
      <c r="AY153" s="36">
        <v>3.144436765722184E-2</v>
      </c>
      <c r="AZ153" s="36">
        <v>3.0062197650310991E-2</v>
      </c>
      <c r="BA153" s="36">
        <v>0.16820702402957491</v>
      </c>
      <c r="BB153" s="39">
        <v>0</v>
      </c>
      <c r="BC153" s="39">
        <v>0</v>
      </c>
      <c r="BD153" s="37">
        <v>0.96610169491525422</v>
      </c>
      <c r="BE153" s="37">
        <v>1</v>
      </c>
      <c r="BF153" s="37" t="s">
        <v>111</v>
      </c>
    </row>
    <row r="154" spans="1:58" ht="19.5" customHeight="1">
      <c r="A154" s="40">
        <v>151</v>
      </c>
      <c r="B154" s="35" t="s">
        <v>110</v>
      </c>
      <c r="C154" s="41">
        <v>46173</v>
      </c>
      <c r="D154" s="35"/>
      <c r="E154" s="35">
        <v>77</v>
      </c>
      <c r="F154" s="35">
        <v>77</v>
      </c>
      <c r="G154" s="36">
        <v>1</v>
      </c>
      <c r="H154" s="35">
        <v>77</v>
      </c>
      <c r="I154" s="37">
        <v>1</v>
      </c>
      <c r="J154" s="35">
        <v>0</v>
      </c>
      <c r="K154" s="35">
        <v>0</v>
      </c>
      <c r="L154" s="36">
        <v>0</v>
      </c>
      <c r="M154" s="35">
        <v>6</v>
      </c>
      <c r="N154" s="35">
        <v>3</v>
      </c>
      <c r="O154" s="35">
        <v>3</v>
      </c>
      <c r="P154" s="36">
        <v>0.5</v>
      </c>
      <c r="Q154" s="35">
        <v>3</v>
      </c>
      <c r="R154" s="35">
        <v>0</v>
      </c>
      <c r="S154" s="35">
        <v>0</v>
      </c>
      <c r="T154" s="36">
        <v>0</v>
      </c>
      <c r="U154" s="35">
        <v>0</v>
      </c>
      <c r="V154" s="36">
        <v>0</v>
      </c>
      <c r="W154" s="35">
        <v>39</v>
      </c>
      <c r="X154" s="36">
        <v>0.50649350649350644</v>
      </c>
      <c r="Y154" s="35">
        <v>27</v>
      </c>
      <c r="Z154" s="38">
        <v>0.35064935064935071</v>
      </c>
      <c r="AA154" s="35">
        <v>1</v>
      </c>
      <c r="AB154" s="36">
        <v>1.298701298701299E-2</v>
      </c>
      <c r="AC154" s="35">
        <v>0</v>
      </c>
      <c r="AD154" s="36">
        <v>0</v>
      </c>
      <c r="AE154" s="35">
        <v>0</v>
      </c>
      <c r="AF154" s="36">
        <v>0</v>
      </c>
      <c r="AG154" s="35">
        <v>0</v>
      </c>
      <c r="AH154" s="36">
        <v>0</v>
      </c>
      <c r="AI154" s="39">
        <v>0</v>
      </c>
      <c r="AJ154" s="36">
        <v>0</v>
      </c>
      <c r="AK154" s="39">
        <v>0</v>
      </c>
      <c r="AL154" s="36">
        <v>0</v>
      </c>
      <c r="AM154" s="39">
        <v>0</v>
      </c>
      <c r="AN154" s="39">
        <v>0</v>
      </c>
      <c r="AO154" s="36">
        <v>0</v>
      </c>
      <c r="AP154" s="36">
        <v>0</v>
      </c>
      <c r="AQ154" s="37">
        <v>0.33333333333333331</v>
      </c>
      <c r="AR154" s="39">
        <v>0</v>
      </c>
      <c r="AS154" s="39">
        <v>0</v>
      </c>
      <c r="AT154" s="39">
        <v>0</v>
      </c>
      <c r="AU154" s="39">
        <v>0</v>
      </c>
      <c r="AV154" s="39">
        <v>0</v>
      </c>
      <c r="AW154" s="39">
        <v>0</v>
      </c>
      <c r="AX154" s="36">
        <v>0</v>
      </c>
      <c r="AY154" s="36">
        <v>0</v>
      </c>
      <c r="AZ154" s="36">
        <v>0</v>
      </c>
      <c r="BA154" s="36">
        <v>0</v>
      </c>
      <c r="BB154" s="39">
        <v>0</v>
      </c>
      <c r="BC154" s="39">
        <v>0</v>
      </c>
      <c r="BD154" s="37" t="s">
        <v>111</v>
      </c>
      <c r="BE154" s="37" t="s">
        <v>111</v>
      </c>
      <c r="BF154" s="37">
        <v>1</v>
      </c>
    </row>
    <row r="155" spans="1:58" ht="19.5" customHeight="1">
      <c r="A155" s="40">
        <v>152</v>
      </c>
      <c r="B155" s="35" t="s">
        <v>110</v>
      </c>
      <c r="C155" s="41">
        <v>46173</v>
      </c>
      <c r="D155" s="35" t="s">
        <v>34</v>
      </c>
      <c r="E155" s="35">
        <v>4400</v>
      </c>
      <c r="F155" s="35">
        <v>4170</v>
      </c>
      <c r="G155" s="36">
        <v>0.94772727272727275</v>
      </c>
      <c r="H155" s="35">
        <v>1634</v>
      </c>
      <c r="I155" s="37">
        <v>0.37136363636363628</v>
      </c>
      <c r="J155" s="35">
        <v>3664</v>
      </c>
      <c r="K155" s="35">
        <v>3566</v>
      </c>
      <c r="L155" s="36">
        <v>0.97299999999999998</v>
      </c>
      <c r="M155" s="35">
        <v>14733</v>
      </c>
      <c r="N155" s="35">
        <v>14701</v>
      </c>
      <c r="O155" s="35">
        <v>14521</v>
      </c>
      <c r="P155" s="36">
        <v>0.98561053417498135</v>
      </c>
      <c r="Q155" s="35">
        <v>62</v>
      </c>
      <c r="R155" s="35">
        <v>0</v>
      </c>
      <c r="S155" s="35">
        <v>0</v>
      </c>
      <c r="T155" s="36">
        <v>0</v>
      </c>
      <c r="U155" s="35">
        <v>0</v>
      </c>
      <c r="V155" s="36">
        <v>0</v>
      </c>
      <c r="W155" s="35">
        <v>456</v>
      </c>
      <c r="X155" s="36">
        <v>0.1036363636363636</v>
      </c>
      <c r="Y155" s="35">
        <v>1938</v>
      </c>
      <c r="Z155" s="38">
        <v>0.44045454545454538</v>
      </c>
      <c r="AA155" s="35">
        <v>361</v>
      </c>
      <c r="AB155" s="36">
        <v>8.2045454545454546E-2</v>
      </c>
      <c r="AC155" s="35">
        <v>270</v>
      </c>
      <c r="AD155" s="36">
        <v>6.1363636363636363E-2</v>
      </c>
      <c r="AE155" s="35">
        <v>54</v>
      </c>
      <c r="AF155" s="36">
        <v>0.2</v>
      </c>
      <c r="AG155" s="35">
        <v>235</v>
      </c>
      <c r="AH155" s="36">
        <v>0.87037037037037035</v>
      </c>
      <c r="AI155" s="39">
        <v>281</v>
      </c>
      <c r="AJ155" s="36">
        <v>6.3863636363636359E-2</v>
      </c>
      <c r="AK155" s="39">
        <v>11</v>
      </c>
      <c r="AL155" s="36">
        <v>0.86476868327402134</v>
      </c>
      <c r="AM155" s="39">
        <v>271</v>
      </c>
      <c r="AN155" s="39">
        <v>243</v>
      </c>
      <c r="AO155" s="36">
        <v>5.5227272727272729E-2</v>
      </c>
      <c r="AP155" s="36">
        <v>0.9</v>
      </c>
      <c r="AQ155" s="37">
        <v>0.98996655518394649</v>
      </c>
      <c r="AR155" s="39">
        <v>0</v>
      </c>
      <c r="AS155" s="39">
        <v>0</v>
      </c>
      <c r="AT155" s="39">
        <v>66</v>
      </c>
      <c r="AU155" s="39">
        <v>62</v>
      </c>
      <c r="AV155" s="39">
        <v>58</v>
      </c>
      <c r="AW155" s="39">
        <v>75</v>
      </c>
      <c r="AX155" s="36">
        <v>1.409090909090909E-2</v>
      </c>
      <c r="AY155" s="36">
        <v>1.318181818181818E-2</v>
      </c>
      <c r="AZ155" s="36">
        <v>1.7045454545454541E-2</v>
      </c>
      <c r="BA155" s="36">
        <v>0.23868312757201651</v>
      </c>
      <c r="BB155" s="39">
        <v>0</v>
      </c>
      <c r="BC155" s="39">
        <v>0</v>
      </c>
      <c r="BD155" s="37">
        <v>0.97872340425531912</v>
      </c>
      <c r="BE155" s="37">
        <v>1</v>
      </c>
      <c r="BF155" s="37" t="s">
        <v>111</v>
      </c>
    </row>
    <row r="156" spans="1:58" ht="19.5" customHeight="1">
      <c r="A156" s="40">
        <v>153</v>
      </c>
      <c r="B156" s="35" t="s">
        <v>110</v>
      </c>
      <c r="C156" s="41">
        <v>46173</v>
      </c>
      <c r="D156" s="35" t="s">
        <v>33</v>
      </c>
      <c r="E156" s="35">
        <v>2724</v>
      </c>
      <c r="F156" s="35">
        <v>2559</v>
      </c>
      <c r="G156" s="36">
        <v>0.93942731277533043</v>
      </c>
      <c r="H156" s="35">
        <v>1003</v>
      </c>
      <c r="I156" s="37">
        <v>0.36820851688693101</v>
      </c>
      <c r="J156" s="35">
        <v>2270</v>
      </c>
      <c r="K156" s="35">
        <v>2199</v>
      </c>
      <c r="L156" s="36">
        <v>0.96899999999999997</v>
      </c>
      <c r="M156" s="35">
        <v>10562</v>
      </c>
      <c r="N156" s="35">
        <v>10277</v>
      </c>
      <c r="O156" s="35">
        <v>10385</v>
      </c>
      <c r="P156" s="36">
        <v>0.98324181026320767</v>
      </c>
      <c r="Q156" s="35">
        <v>67</v>
      </c>
      <c r="R156" s="35">
        <v>0</v>
      </c>
      <c r="S156" s="35">
        <v>0</v>
      </c>
      <c r="T156" s="36">
        <v>0</v>
      </c>
      <c r="U156" s="35">
        <v>0</v>
      </c>
      <c r="V156" s="36">
        <v>0</v>
      </c>
      <c r="W156" s="35">
        <v>341</v>
      </c>
      <c r="X156" s="36">
        <v>0.12518355359765049</v>
      </c>
      <c r="Y156" s="35">
        <v>1346</v>
      </c>
      <c r="Z156" s="38">
        <v>0.49412628487518362</v>
      </c>
      <c r="AA156" s="35">
        <v>294</v>
      </c>
      <c r="AB156" s="36">
        <v>0.10792951541850219</v>
      </c>
      <c r="AC156" s="35">
        <v>287</v>
      </c>
      <c r="AD156" s="36">
        <v>0.10535976505139499</v>
      </c>
      <c r="AE156" s="35">
        <v>47</v>
      </c>
      <c r="AF156" s="36">
        <v>0.16376306620209061</v>
      </c>
      <c r="AG156" s="35">
        <v>261</v>
      </c>
      <c r="AH156" s="36">
        <v>0.90940766550522645</v>
      </c>
      <c r="AI156" s="39">
        <v>315</v>
      </c>
      <c r="AJ156" s="36">
        <v>0.1156387665198238</v>
      </c>
      <c r="AK156" s="39">
        <v>24</v>
      </c>
      <c r="AL156" s="36">
        <v>0.83492063492063495</v>
      </c>
      <c r="AM156" s="39">
        <v>295</v>
      </c>
      <c r="AN156" s="39">
        <v>263</v>
      </c>
      <c r="AO156" s="36">
        <v>9.6549192364170339E-2</v>
      </c>
      <c r="AP156" s="36">
        <v>0.91637630662020908</v>
      </c>
      <c r="AQ156" s="37">
        <v>0.98245614035087714</v>
      </c>
      <c r="AR156" s="39">
        <v>0</v>
      </c>
      <c r="AS156" s="39">
        <v>0</v>
      </c>
      <c r="AT156" s="39">
        <v>70</v>
      </c>
      <c r="AU156" s="39">
        <v>69</v>
      </c>
      <c r="AV156" s="39">
        <v>65</v>
      </c>
      <c r="AW156" s="39">
        <v>87</v>
      </c>
      <c r="AX156" s="36">
        <v>2.5330396475770921E-2</v>
      </c>
      <c r="AY156" s="36">
        <v>2.3861967694566819E-2</v>
      </c>
      <c r="AZ156" s="36">
        <v>3.1938325991189433E-2</v>
      </c>
      <c r="BA156" s="36">
        <v>0.24714828897338401</v>
      </c>
      <c r="BB156" s="39">
        <v>0</v>
      </c>
      <c r="BC156" s="39">
        <v>0</v>
      </c>
      <c r="BD156" s="37">
        <v>0.97560975609756095</v>
      </c>
      <c r="BE156" s="37">
        <v>1</v>
      </c>
      <c r="BF156" s="37" t="s">
        <v>111</v>
      </c>
    </row>
    <row r="157" spans="1:58" ht="19.5" customHeight="1">
      <c r="A157" s="40">
        <v>154</v>
      </c>
      <c r="B157" s="35" t="s">
        <v>110</v>
      </c>
      <c r="C157" s="41">
        <v>46173</v>
      </c>
      <c r="D157" s="35" t="s">
        <v>36</v>
      </c>
      <c r="E157" s="35">
        <v>7868</v>
      </c>
      <c r="F157" s="35">
        <v>7374</v>
      </c>
      <c r="G157" s="36">
        <v>0.93721403152008131</v>
      </c>
      <c r="H157" s="35">
        <v>2291</v>
      </c>
      <c r="I157" s="37">
        <v>0.29117946110828669</v>
      </c>
      <c r="J157" s="35">
        <v>9424</v>
      </c>
      <c r="K157" s="35">
        <v>9183</v>
      </c>
      <c r="L157" s="36">
        <v>0.97399999999999998</v>
      </c>
      <c r="M157" s="35">
        <v>33252</v>
      </c>
      <c r="N157" s="35">
        <v>33538</v>
      </c>
      <c r="O157" s="35">
        <v>32718</v>
      </c>
      <c r="P157" s="36">
        <v>0.98394081559003965</v>
      </c>
      <c r="Q157" s="35">
        <v>200</v>
      </c>
      <c r="R157" s="35">
        <v>0</v>
      </c>
      <c r="S157" s="35">
        <v>0</v>
      </c>
      <c r="T157" s="36">
        <v>0</v>
      </c>
      <c r="U157" s="35">
        <v>0</v>
      </c>
      <c r="V157" s="36">
        <v>0</v>
      </c>
      <c r="W157" s="35">
        <v>1059</v>
      </c>
      <c r="X157" s="36">
        <v>0.13459583121504831</v>
      </c>
      <c r="Y157" s="35">
        <v>2770</v>
      </c>
      <c r="Z157" s="38">
        <v>0.35205897305541428</v>
      </c>
      <c r="AA157" s="35">
        <v>1453</v>
      </c>
      <c r="AB157" s="36">
        <v>0.18467208947635991</v>
      </c>
      <c r="AC157" s="35">
        <v>1238</v>
      </c>
      <c r="AD157" s="36">
        <v>0.15734621250635489</v>
      </c>
      <c r="AE157" s="35">
        <v>229</v>
      </c>
      <c r="AF157" s="36">
        <v>0.1849757673667205</v>
      </c>
      <c r="AG157" s="35">
        <v>1095</v>
      </c>
      <c r="AH157" s="36">
        <v>0.88449111470113084</v>
      </c>
      <c r="AI157" s="39">
        <v>1329</v>
      </c>
      <c r="AJ157" s="36">
        <v>0.16891204880528721</v>
      </c>
      <c r="AK157" s="39">
        <v>67</v>
      </c>
      <c r="AL157" s="36">
        <v>0.84349134687735139</v>
      </c>
      <c r="AM157" s="39">
        <v>1258</v>
      </c>
      <c r="AN157" s="39">
        <v>1121</v>
      </c>
      <c r="AO157" s="36">
        <v>0.14247585155058459</v>
      </c>
      <c r="AP157" s="36">
        <v>0.90549273021001619</v>
      </c>
      <c r="AQ157" s="37">
        <v>0.9665144596651446</v>
      </c>
      <c r="AR157" s="39">
        <v>0</v>
      </c>
      <c r="AS157" s="39">
        <v>0</v>
      </c>
      <c r="AT157" s="39">
        <v>277</v>
      </c>
      <c r="AU157" s="39">
        <v>261</v>
      </c>
      <c r="AV157" s="39">
        <v>243</v>
      </c>
      <c r="AW157" s="39">
        <v>164</v>
      </c>
      <c r="AX157" s="36">
        <v>3.3172343670564312E-2</v>
      </c>
      <c r="AY157" s="36">
        <v>3.0884595831215049E-2</v>
      </c>
      <c r="AZ157" s="36">
        <v>2.0843924758515511E-2</v>
      </c>
      <c r="BA157" s="36">
        <v>0.21677074041034791</v>
      </c>
      <c r="BB157" s="39">
        <v>0</v>
      </c>
      <c r="BC157" s="39">
        <v>1</v>
      </c>
      <c r="BD157" s="37">
        <v>0.967741935483871</v>
      </c>
      <c r="BE157" s="37">
        <v>0.98412698412698407</v>
      </c>
      <c r="BF157" s="37" t="s">
        <v>111</v>
      </c>
    </row>
    <row r="158" spans="1:58" ht="19.5" customHeight="1">
      <c r="A158" s="40">
        <v>155</v>
      </c>
      <c r="B158" s="35" t="s">
        <v>110</v>
      </c>
      <c r="C158" s="41">
        <v>46173</v>
      </c>
      <c r="D158" s="35" t="s">
        <v>35</v>
      </c>
      <c r="E158" s="35">
        <v>2976</v>
      </c>
      <c r="F158" s="35">
        <v>2826</v>
      </c>
      <c r="G158" s="36">
        <v>0.94959677419354838</v>
      </c>
      <c r="H158" s="35">
        <v>1323</v>
      </c>
      <c r="I158" s="37">
        <v>0.44455645161290319</v>
      </c>
      <c r="J158" s="35">
        <v>3327</v>
      </c>
      <c r="K158" s="35">
        <v>3254</v>
      </c>
      <c r="L158" s="36">
        <v>0.97799999999999998</v>
      </c>
      <c r="M158" s="35">
        <v>17592</v>
      </c>
      <c r="N158" s="35">
        <v>17783</v>
      </c>
      <c r="O158" s="35">
        <v>17343</v>
      </c>
      <c r="P158" s="36">
        <v>0.98584583901773537</v>
      </c>
      <c r="Q158" s="35">
        <v>110</v>
      </c>
      <c r="R158" s="35">
        <v>0</v>
      </c>
      <c r="S158" s="35">
        <v>0</v>
      </c>
      <c r="T158" s="36">
        <v>0</v>
      </c>
      <c r="U158" s="35">
        <v>0</v>
      </c>
      <c r="V158" s="36">
        <v>0</v>
      </c>
      <c r="W158" s="35">
        <v>449</v>
      </c>
      <c r="X158" s="36">
        <v>0.1508736559139785</v>
      </c>
      <c r="Y158" s="35">
        <v>2134</v>
      </c>
      <c r="Z158" s="38">
        <v>0.71706989247311825</v>
      </c>
      <c r="AA158" s="35">
        <v>413</v>
      </c>
      <c r="AB158" s="36">
        <v>0.1387768817204301</v>
      </c>
      <c r="AC158" s="35">
        <v>610</v>
      </c>
      <c r="AD158" s="36">
        <v>0.2049731182795699</v>
      </c>
      <c r="AE158" s="35">
        <v>121</v>
      </c>
      <c r="AF158" s="36">
        <v>0.19836065573770489</v>
      </c>
      <c r="AG158" s="35">
        <v>542</v>
      </c>
      <c r="AH158" s="36">
        <v>0.88852459016393448</v>
      </c>
      <c r="AI158" s="39">
        <v>619</v>
      </c>
      <c r="AJ158" s="36">
        <v>0.207997311827957</v>
      </c>
      <c r="AK158" s="39">
        <v>33</v>
      </c>
      <c r="AL158" s="36">
        <v>0.90306946688206791</v>
      </c>
      <c r="AM158" s="39">
        <v>602</v>
      </c>
      <c r="AN158" s="39">
        <v>559</v>
      </c>
      <c r="AO158" s="36">
        <v>0.18783602150537629</v>
      </c>
      <c r="AP158" s="36">
        <v>0.91639344262295086</v>
      </c>
      <c r="AQ158" s="37">
        <v>0.97122302158273377</v>
      </c>
      <c r="AR158" s="39">
        <v>0</v>
      </c>
      <c r="AS158" s="39">
        <v>0</v>
      </c>
      <c r="AT158" s="39">
        <v>127</v>
      </c>
      <c r="AU158" s="39">
        <v>120</v>
      </c>
      <c r="AV158" s="39">
        <v>115</v>
      </c>
      <c r="AW158" s="39">
        <v>109</v>
      </c>
      <c r="AX158" s="36">
        <v>4.0322580645161289E-2</v>
      </c>
      <c r="AY158" s="36">
        <v>3.864247311827957E-2</v>
      </c>
      <c r="AZ158" s="36">
        <v>3.6626344086021508E-2</v>
      </c>
      <c r="BA158" s="36">
        <v>0.20572450805008941</v>
      </c>
      <c r="BB158" s="39">
        <v>0</v>
      </c>
      <c r="BC158" s="39">
        <v>0</v>
      </c>
      <c r="BD158" s="37">
        <v>0.98795180722891562</v>
      </c>
      <c r="BE158" s="37">
        <v>0.967741935483871</v>
      </c>
      <c r="BF158" s="37" t="s">
        <v>111</v>
      </c>
    </row>
    <row r="159" spans="1:58" ht="19.5" customHeight="1">
      <c r="A159" s="40">
        <v>156</v>
      </c>
      <c r="B159" s="35" t="s">
        <v>110</v>
      </c>
      <c r="C159" s="41">
        <v>46174</v>
      </c>
      <c r="D159" s="35"/>
      <c r="E159" s="35">
        <v>54</v>
      </c>
      <c r="F159" s="35">
        <v>54</v>
      </c>
      <c r="G159" s="36">
        <v>1</v>
      </c>
      <c r="H159" s="35">
        <v>54</v>
      </c>
      <c r="I159" s="37">
        <v>1</v>
      </c>
      <c r="J159" s="35">
        <v>0</v>
      </c>
      <c r="K159" s="35">
        <v>0</v>
      </c>
      <c r="L159" s="36">
        <v>0</v>
      </c>
      <c r="M159" s="35">
        <v>7</v>
      </c>
      <c r="N159" s="35">
        <v>2</v>
      </c>
      <c r="O159" s="35">
        <v>2</v>
      </c>
      <c r="P159" s="36">
        <v>0.2857142857142857</v>
      </c>
      <c r="Q159" s="35">
        <v>5</v>
      </c>
      <c r="R159" s="35">
        <v>5721</v>
      </c>
      <c r="S159" s="35">
        <v>1077</v>
      </c>
      <c r="T159" s="36">
        <v>0.1882538017829051</v>
      </c>
      <c r="U159" s="35">
        <v>5675</v>
      </c>
      <c r="V159" s="36">
        <v>0.99195944764901245</v>
      </c>
      <c r="W159" s="35">
        <v>2</v>
      </c>
      <c r="X159" s="36">
        <v>3.7037037037037028E-2</v>
      </c>
      <c r="Y159" s="35">
        <v>22</v>
      </c>
      <c r="Z159" s="38">
        <v>0.40740740740740738</v>
      </c>
      <c r="AA159" s="35">
        <v>1</v>
      </c>
      <c r="AB159" s="36">
        <v>1.8518518518518521E-2</v>
      </c>
      <c r="AC159" s="35">
        <v>0</v>
      </c>
      <c r="AD159" s="36">
        <v>0</v>
      </c>
      <c r="AE159" s="35">
        <v>0</v>
      </c>
      <c r="AF159" s="36">
        <v>0</v>
      </c>
      <c r="AG159" s="35">
        <v>0</v>
      </c>
      <c r="AH159" s="36">
        <v>0</v>
      </c>
      <c r="AI159" s="39">
        <v>0</v>
      </c>
      <c r="AJ159" s="36">
        <v>0</v>
      </c>
      <c r="AK159" s="39">
        <v>0</v>
      </c>
      <c r="AL159" s="36">
        <v>0</v>
      </c>
      <c r="AM159" s="39">
        <v>0</v>
      </c>
      <c r="AN159" s="39">
        <v>0</v>
      </c>
      <c r="AO159" s="36">
        <v>0</v>
      </c>
      <c r="AP159" s="36">
        <v>0</v>
      </c>
      <c r="AQ159" s="37">
        <v>0</v>
      </c>
      <c r="AR159" s="39">
        <v>0</v>
      </c>
      <c r="AS159" s="39">
        <v>0</v>
      </c>
      <c r="AT159" s="39">
        <v>0</v>
      </c>
      <c r="AU159" s="39">
        <v>0</v>
      </c>
      <c r="AV159" s="39">
        <v>0</v>
      </c>
      <c r="AW159" s="39">
        <v>0</v>
      </c>
      <c r="AX159" s="36">
        <v>0</v>
      </c>
      <c r="AY159" s="36">
        <v>0</v>
      </c>
      <c r="AZ159" s="36">
        <v>0</v>
      </c>
      <c r="BA159" s="36">
        <v>0</v>
      </c>
      <c r="BB159" s="39">
        <v>0</v>
      </c>
      <c r="BC159" s="39">
        <v>0</v>
      </c>
      <c r="BD159" s="37" t="s">
        <v>111</v>
      </c>
      <c r="BE159" s="37" t="s">
        <v>111</v>
      </c>
      <c r="BF159" s="37">
        <v>1</v>
      </c>
    </row>
    <row r="160" spans="1:58" ht="19.5" customHeight="1">
      <c r="A160" s="40">
        <v>157</v>
      </c>
      <c r="B160" s="35" t="s">
        <v>110</v>
      </c>
      <c r="C160" s="41">
        <v>46174</v>
      </c>
      <c r="D160" s="35" t="s">
        <v>34</v>
      </c>
      <c r="E160" s="35">
        <v>3037</v>
      </c>
      <c r="F160" s="35">
        <v>2904</v>
      </c>
      <c r="G160" s="36">
        <v>0.95620678300954887</v>
      </c>
      <c r="H160" s="35">
        <v>1051</v>
      </c>
      <c r="I160" s="37">
        <v>0.34606519591702339</v>
      </c>
      <c r="J160" s="35">
        <v>3240</v>
      </c>
      <c r="K160" s="35">
        <v>3181</v>
      </c>
      <c r="L160" s="36">
        <v>0.98199999999999998</v>
      </c>
      <c r="M160" s="35">
        <v>13654</v>
      </c>
      <c r="N160" s="35">
        <v>13189</v>
      </c>
      <c r="O160" s="35">
        <v>13438</v>
      </c>
      <c r="P160" s="36">
        <v>0.98418045993847958</v>
      </c>
      <c r="Q160" s="35">
        <v>98</v>
      </c>
      <c r="R160" s="35">
        <v>169212</v>
      </c>
      <c r="S160" s="35">
        <v>94779</v>
      </c>
      <c r="T160" s="36">
        <v>0.56011984965605277</v>
      </c>
      <c r="U160" s="35">
        <v>30037</v>
      </c>
      <c r="V160" s="36">
        <v>0.17751105122568139</v>
      </c>
      <c r="W160" s="35">
        <v>201</v>
      </c>
      <c r="X160" s="36">
        <v>6.6183733947974971E-2</v>
      </c>
      <c r="Y160" s="35">
        <v>1241</v>
      </c>
      <c r="Z160" s="38">
        <v>0.40862693447481069</v>
      </c>
      <c r="AA160" s="35">
        <v>509</v>
      </c>
      <c r="AB160" s="36">
        <v>0.1675996048732302</v>
      </c>
      <c r="AC160" s="35">
        <v>123</v>
      </c>
      <c r="AD160" s="36">
        <v>4.0500493908462297E-2</v>
      </c>
      <c r="AE160" s="35">
        <v>20</v>
      </c>
      <c r="AF160" s="36">
        <v>0.16260162601626019</v>
      </c>
      <c r="AG160" s="35">
        <v>99</v>
      </c>
      <c r="AH160" s="36">
        <v>0.80487804878048785</v>
      </c>
      <c r="AI160" s="39">
        <v>123</v>
      </c>
      <c r="AJ160" s="36">
        <v>4.0500493908462297E-2</v>
      </c>
      <c r="AK160" s="39">
        <v>5</v>
      </c>
      <c r="AL160" s="36">
        <v>0.80487804878048785</v>
      </c>
      <c r="AM160" s="39">
        <v>117</v>
      </c>
      <c r="AN160" s="39">
        <v>99</v>
      </c>
      <c r="AO160" s="36">
        <v>3.2597958511689173E-2</v>
      </c>
      <c r="AP160" s="36">
        <v>0.80487804878048785</v>
      </c>
      <c r="AQ160" s="37">
        <v>0.97233201581027673</v>
      </c>
      <c r="AR160" s="39">
        <v>0</v>
      </c>
      <c r="AS160" s="39">
        <v>0</v>
      </c>
      <c r="AT160" s="39">
        <v>43</v>
      </c>
      <c r="AU160" s="39">
        <v>38</v>
      </c>
      <c r="AV160" s="39">
        <v>40</v>
      </c>
      <c r="AW160" s="39">
        <v>35</v>
      </c>
      <c r="AX160" s="36">
        <v>1.2512347711557461E-2</v>
      </c>
      <c r="AY160" s="36">
        <v>1.317089232795522E-2</v>
      </c>
      <c r="AZ160" s="36">
        <v>1.1524530786960819E-2</v>
      </c>
      <c r="BA160" s="36">
        <v>0.40404040404040398</v>
      </c>
      <c r="BB160" s="39">
        <v>0</v>
      </c>
      <c r="BC160" s="39">
        <v>0</v>
      </c>
      <c r="BD160" s="37">
        <v>1</v>
      </c>
      <c r="BE160" s="37">
        <v>1</v>
      </c>
      <c r="BF160" s="37" t="s">
        <v>111</v>
      </c>
    </row>
    <row r="161" spans="1:58" ht="19.5" customHeight="1">
      <c r="A161" s="40">
        <v>158</v>
      </c>
      <c r="B161" s="35" t="s">
        <v>110</v>
      </c>
      <c r="C161" s="41">
        <v>46174</v>
      </c>
      <c r="D161" s="35" t="s">
        <v>33</v>
      </c>
      <c r="E161" s="35">
        <v>2142</v>
      </c>
      <c r="F161" s="35">
        <v>2048</v>
      </c>
      <c r="G161" s="36">
        <v>0.95611577964519145</v>
      </c>
      <c r="H161" s="35">
        <v>836</v>
      </c>
      <c r="I161" s="37">
        <v>0.39028944911297853</v>
      </c>
      <c r="J161" s="35">
        <v>2058</v>
      </c>
      <c r="K161" s="35">
        <v>2009</v>
      </c>
      <c r="L161" s="36">
        <v>0.97599999999999998</v>
      </c>
      <c r="M161" s="35">
        <v>9932</v>
      </c>
      <c r="N161" s="35">
        <v>9311</v>
      </c>
      <c r="O161" s="35">
        <v>9773</v>
      </c>
      <c r="P161" s="36">
        <v>0.98399113975030206</v>
      </c>
      <c r="Q161" s="35">
        <v>83</v>
      </c>
      <c r="R161" s="35">
        <v>335096</v>
      </c>
      <c r="S161" s="35">
        <v>163722</v>
      </c>
      <c r="T161" s="36">
        <v>0.4885823763936305</v>
      </c>
      <c r="U161" s="35">
        <v>56877</v>
      </c>
      <c r="V161" s="36">
        <v>0.16973344951894381</v>
      </c>
      <c r="W161" s="35">
        <v>161</v>
      </c>
      <c r="X161" s="36">
        <v>7.5163398692810454E-2</v>
      </c>
      <c r="Y161" s="35">
        <v>882</v>
      </c>
      <c r="Z161" s="38">
        <v>0.41176470588235292</v>
      </c>
      <c r="AA161" s="35">
        <v>1049</v>
      </c>
      <c r="AB161" s="36">
        <v>0.48972922502334271</v>
      </c>
      <c r="AC161" s="35">
        <v>127</v>
      </c>
      <c r="AD161" s="36">
        <v>5.9290382819794582E-2</v>
      </c>
      <c r="AE161" s="35">
        <v>24</v>
      </c>
      <c r="AF161" s="36">
        <v>0.1889763779527559</v>
      </c>
      <c r="AG161" s="35">
        <v>103</v>
      </c>
      <c r="AH161" s="36">
        <v>0.8110236220472441</v>
      </c>
      <c r="AI161" s="39">
        <v>126</v>
      </c>
      <c r="AJ161" s="36">
        <v>5.8823529411764712E-2</v>
      </c>
      <c r="AK161" s="39">
        <v>9</v>
      </c>
      <c r="AL161" s="36">
        <v>0.7857142857142857</v>
      </c>
      <c r="AM161" s="39">
        <v>122</v>
      </c>
      <c r="AN161" s="39">
        <v>99</v>
      </c>
      <c r="AO161" s="36">
        <v>4.6218487394957992E-2</v>
      </c>
      <c r="AP161" s="36">
        <v>0.77952755905511806</v>
      </c>
      <c r="AQ161" s="37">
        <v>0.98550724637681164</v>
      </c>
      <c r="AR161" s="39">
        <v>0</v>
      </c>
      <c r="AS161" s="39">
        <v>0</v>
      </c>
      <c r="AT161" s="39">
        <v>55</v>
      </c>
      <c r="AU161" s="39">
        <v>48</v>
      </c>
      <c r="AV161" s="39">
        <v>50</v>
      </c>
      <c r="AW161" s="39">
        <v>34</v>
      </c>
      <c r="AX161" s="36">
        <v>2.240896358543417E-2</v>
      </c>
      <c r="AY161" s="36">
        <v>2.3342670401493931E-2</v>
      </c>
      <c r="AZ161" s="36">
        <v>1.5873015873015869E-2</v>
      </c>
      <c r="BA161" s="36">
        <v>0.50505050505050508</v>
      </c>
      <c r="BB161" s="39">
        <v>0</v>
      </c>
      <c r="BC161" s="39">
        <v>0</v>
      </c>
      <c r="BD161" s="37">
        <v>1</v>
      </c>
      <c r="BE161" s="37">
        <v>1</v>
      </c>
      <c r="BF161" s="37" t="s">
        <v>111</v>
      </c>
    </row>
    <row r="162" spans="1:58" ht="19.5" customHeight="1">
      <c r="A162" s="40">
        <v>159</v>
      </c>
      <c r="B162" s="35" t="s">
        <v>110</v>
      </c>
      <c r="C162" s="41">
        <v>46174</v>
      </c>
      <c r="D162" s="35" t="s">
        <v>36</v>
      </c>
      <c r="E162" s="35">
        <v>5339</v>
      </c>
      <c r="F162" s="35">
        <v>5119</v>
      </c>
      <c r="G162" s="36">
        <v>0.95879378160704254</v>
      </c>
      <c r="H162" s="35">
        <v>1242</v>
      </c>
      <c r="I162" s="37">
        <v>0.23262783292751449</v>
      </c>
      <c r="J162" s="35">
        <v>7535</v>
      </c>
      <c r="K162" s="35">
        <v>7321</v>
      </c>
      <c r="L162" s="36">
        <v>0.97199999999999998</v>
      </c>
      <c r="M162" s="35">
        <v>30809</v>
      </c>
      <c r="N162" s="35">
        <v>28719</v>
      </c>
      <c r="O162" s="35">
        <v>30315</v>
      </c>
      <c r="P162" s="36">
        <v>0.98396572430134055</v>
      </c>
      <c r="Q162" s="35">
        <v>240</v>
      </c>
      <c r="R162" s="35">
        <v>193166</v>
      </c>
      <c r="S162" s="35">
        <v>84736</v>
      </c>
      <c r="T162" s="36">
        <v>0.4386693310416947</v>
      </c>
      <c r="U162" s="35">
        <v>56493</v>
      </c>
      <c r="V162" s="36">
        <v>0.29245830011492713</v>
      </c>
      <c r="W162" s="35">
        <v>461</v>
      </c>
      <c r="X162" s="36">
        <v>8.6345757632515452E-2</v>
      </c>
      <c r="Y162" s="35">
        <v>2121</v>
      </c>
      <c r="Z162" s="38">
        <v>0.39726540550664918</v>
      </c>
      <c r="AA162" s="35">
        <v>3932</v>
      </c>
      <c r="AB162" s="36">
        <v>0.73646750327776733</v>
      </c>
      <c r="AC162" s="35">
        <v>701</v>
      </c>
      <c r="AD162" s="36">
        <v>0.13129799587937821</v>
      </c>
      <c r="AE162" s="35">
        <v>140</v>
      </c>
      <c r="AF162" s="36">
        <v>0.1997146932952924</v>
      </c>
      <c r="AG162" s="35">
        <v>605</v>
      </c>
      <c r="AH162" s="36">
        <v>0.86305278174037092</v>
      </c>
      <c r="AI162" s="39">
        <v>765</v>
      </c>
      <c r="AJ162" s="36">
        <v>0.14328525941187489</v>
      </c>
      <c r="AK162" s="39">
        <v>37</v>
      </c>
      <c r="AL162" s="36">
        <v>0.81830065359477122</v>
      </c>
      <c r="AM162" s="39">
        <v>745</v>
      </c>
      <c r="AN162" s="39">
        <v>626</v>
      </c>
      <c r="AO162" s="36">
        <v>0.1172504214272336</v>
      </c>
      <c r="AP162" s="36">
        <v>0.89300998573466472</v>
      </c>
      <c r="AQ162" s="37">
        <v>0.97099113618049959</v>
      </c>
      <c r="AR162" s="39">
        <v>0</v>
      </c>
      <c r="AS162" s="39">
        <v>0</v>
      </c>
      <c r="AT162" s="39">
        <v>90</v>
      </c>
      <c r="AU162" s="39">
        <v>71</v>
      </c>
      <c r="AV162" s="39">
        <v>79</v>
      </c>
      <c r="AW162" s="39">
        <v>118</v>
      </c>
      <c r="AX162" s="36">
        <v>1.329837048136355E-2</v>
      </c>
      <c r="AY162" s="36">
        <v>1.4796778422925641E-2</v>
      </c>
      <c r="AZ162" s="36">
        <v>2.210151713804083E-2</v>
      </c>
      <c r="BA162" s="36">
        <v>0.12619808306709271</v>
      </c>
      <c r="BB162" s="39">
        <v>0</v>
      </c>
      <c r="BC162" s="39">
        <v>0</v>
      </c>
      <c r="BD162" s="37">
        <v>0.98540145985401462</v>
      </c>
      <c r="BE162" s="37">
        <v>1</v>
      </c>
      <c r="BF162" s="37" t="s">
        <v>111</v>
      </c>
    </row>
    <row r="163" spans="1:58" ht="19.5" customHeight="1">
      <c r="A163" s="40">
        <v>160</v>
      </c>
      <c r="B163" s="35" t="s">
        <v>110</v>
      </c>
      <c r="C163" s="41">
        <v>46174</v>
      </c>
      <c r="D163" s="35" t="s">
        <v>35</v>
      </c>
      <c r="E163" s="35">
        <v>2952</v>
      </c>
      <c r="F163" s="35">
        <v>2838</v>
      </c>
      <c r="G163" s="36">
        <v>0.96138211382113825</v>
      </c>
      <c r="H163" s="35">
        <v>1574</v>
      </c>
      <c r="I163" s="37">
        <v>0.53319783197831983</v>
      </c>
      <c r="J163" s="35">
        <v>3600</v>
      </c>
      <c r="K163" s="35">
        <v>3526</v>
      </c>
      <c r="L163" s="36">
        <v>0.97899999999999998</v>
      </c>
      <c r="M163" s="35">
        <v>17345</v>
      </c>
      <c r="N163" s="35">
        <v>16482</v>
      </c>
      <c r="O163" s="35">
        <v>17104</v>
      </c>
      <c r="P163" s="36">
        <v>0.98610550590948398</v>
      </c>
      <c r="Q163" s="35">
        <v>140</v>
      </c>
      <c r="R163" s="35">
        <v>197995</v>
      </c>
      <c r="S163" s="35">
        <v>100229</v>
      </c>
      <c r="T163" s="36">
        <v>0.5062198540367181</v>
      </c>
      <c r="U163" s="35">
        <v>47627</v>
      </c>
      <c r="V163" s="36">
        <v>0.2405464784464254</v>
      </c>
      <c r="W163" s="35">
        <v>224</v>
      </c>
      <c r="X163" s="36">
        <v>7.5880758807588072E-2</v>
      </c>
      <c r="Y163" s="35">
        <v>1077</v>
      </c>
      <c r="Z163" s="38">
        <v>0.36483739837398371</v>
      </c>
      <c r="AA163" s="35">
        <v>1043</v>
      </c>
      <c r="AB163" s="36">
        <v>0.35331978319783203</v>
      </c>
      <c r="AC163" s="35">
        <v>265</v>
      </c>
      <c r="AD163" s="36">
        <v>8.9769647696476967E-2</v>
      </c>
      <c r="AE163" s="35">
        <v>50</v>
      </c>
      <c r="AF163" s="36">
        <v>0.18867924528301891</v>
      </c>
      <c r="AG163" s="35">
        <v>216</v>
      </c>
      <c r="AH163" s="36">
        <v>0.81509433962264155</v>
      </c>
      <c r="AI163" s="39">
        <v>269</v>
      </c>
      <c r="AJ163" s="36">
        <v>9.1124661246612462E-2</v>
      </c>
      <c r="AK163" s="39">
        <v>17</v>
      </c>
      <c r="AL163" s="36">
        <v>0.93308550185873607</v>
      </c>
      <c r="AM163" s="39">
        <v>263</v>
      </c>
      <c r="AN163" s="39">
        <v>251</v>
      </c>
      <c r="AO163" s="36">
        <v>8.5027100271002715E-2</v>
      </c>
      <c r="AP163" s="36">
        <v>0.94716981132075473</v>
      </c>
      <c r="AQ163" s="37">
        <v>0.97022767075306482</v>
      </c>
      <c r="AR163" s="39">
        <v>0</v>
      </c>
      <c r="AS163" s="39">
        <v>0</v>
      </c>
      <c r="AT163" s="39">
        <v>56</v>
      </c>
      <c r="AU163" s="39">
        <v>45</v>
      </c>
      <c r="AV163" s="39">
        <v>51</v>
      </c>
      <c r="AW163" s="39">
        <v>46</v>
      </c>
      <c r="AX163" s="36">
        <v>1.524390243902439E-2</v>
      </c>
      <c r="AY163" s="36">
        <v>1.7276422764227639E-2</v>
      </c>
      <c r="AZ163" s="36">
        <v>1.5582655826558271E-2</v>
      </c>
      <c r="BA163" s="36">
        <v>0.20318725099601601</v>
      </c>
      <c r="BB163" s="39">
        <v>0</v>
      </c>
      <c r="BC163" s="39">
        <v>2</v>
      </c>
      <c r="BD163" s="37">
        <v>0.94871794871794868</v>
      </c>
      <c r="BE163" s="37">
        <v>0.83333333333333337</v>
      </c>
      <c r="BF163" s="37" t="s">
        <v>111</v>
      </c>
    </row>
    <row r="164" spans="1:58">
      <c r="A164" s="40"/>
      <c r="B164" s="35"/>
      <c r="C164" s="41"/>
      <c r="D164" s="35"/>
      <c r="E164" s="35"/>
      <c r="F164" s="35"/>
      <c r="G164" s="36"/>
      <c r="H164" s="35"/>
      <c r="I164" s="37"/>
      <c r="J164" s="35"/>
      <c r="K164" s="35"/>
      <c r="L164" s="36"/>
      <c r="M164" s="35"/>
      <c r="N164" s="35"/>
      <c r="O164" s="35"/>
      <c r="P164" s="36"/>
      <c r="Q164" s="35"/>
      <c r="R164" s="35"/>
      <c r="S164" s="35"/>
      <c r="T164" s="36"/>
      <c r="U164" s="35"/>
      <c r="V164" s="36"/>
      <c r="W164" s="35"/>
      <c r="X164" s="36"/>
      <c r="Y164" s="35"/>
      <c r="Z164" s="38"/>
      <c r="AA164" s="35"/>
      <c r="AB164" s="36"/>
      <c r="AC164" s="35"/>
      <c r="AD164" s="36"/>
      <c r="AE164" s="35"/>
      <c r="AF164" s="36"/>
      <c r="AG164" s="35"/>
      <c r="AH164" s="36"/>
      <c r="AI164" s="39"/>
      <c r="AJ164" s="36"/>
      <c r="AK164" s="39"/>
      <c r="AL164" s="36"/>
      <c r="AM164" s="39"/>
      <c r="AN164" s="39"/>
      <c r="AO164" s="36"/>
      <c r="AP164" s="36"/>
      <c r="AQ164" s="37"/>
      <c r="AR164" s="39"/>
      <c r="AS164" s="39"/>
      <c r="AT164" s="39"/>
      <c r="AU164" s="39"/>
      <c r="AV164" s="39"/>
      <c r="AW164" s="39"/>
      <c r="AX164" s="36"/>
      <c r="AY164" s="36"/>
      <c r="AZ164" s="36"/>
      <c r="BA164" s="36"/>
      <c r="BB164" s="39"/>
      <c r="BC164" s="39"/>
      <c r="BD164" s="37"/>
      <c r="BE164" s="37"/>
      <c r="BF164" s="37"/>
    </row>
    <row r="165" spans="1:58">
      <c r="A165" s="40"/>
      <c r="B165" s="35"/>
      <c r="C165" s="41"/>
      <c r="D165" s="35"/>
      <c r="E165" s="35"/>
      <c r="F165" s="35"/>
      <c r="G165" s="36"/>
      <c r="H165" s="35"/>
      <c r="I165" s="37"/>
      <c r="J165" s="35"/>
      <c r="K165" s="35"/>
      <c r="L165" s="36"/>
      <c r="M165" s="35"/>
      <c r="N165" s="35"/>
      <c r="O165" s="35"/>
      <c r="P165" s="36"/>
      <c r="Q165" s="35"/>
      <c r="R165" s="35"/>
      <c r="S165" s="35"/>
      <c r="T165" s="36"/>
      <c r="U165" s="35"/>
      <c r="V165" s="36"/>
      <c r="W165" s="35"/>
      <c r="X165" s="36"/>
      <c r="Y165" s="35"/>
      <c r="Z165" s="38"/>
      <c r="AA165" s="35"/>
      <c r="AB165" s="36"/>
      <c r="AC165" s="35"/>
      <c r="AD165" s="36"/>
      <c r="AE165" s="35"/>
      <c r="AF165" s="36"/>
      <c r="AG165" s="35"/>
      <c r="AH165" s="36"/>
      <c r="AI165" s="39"/>
      <c r="AJ165" s="36"/>
      <c r="AK165" s="39"/>
      <c r="AL165" s="36"/>
      <c r="AM165" s="39"/>
      <c r="AN165" s="39"/>
      <c r="AO165" s="36"/>
      <c r="AP165" s="36"/>
      <c r="AQ165" s="37"/>
      <c r="AR165" s="39"/>
      <c r="AS165" s="39"/>
      <c r="AT165" s="39"/>
      <c r="AU165" s="39"/>
      <c r="AV165" s="39"/>
      <c r="AW165" s="39"/>
      <c r="AX165" s="36"/>
      <c r="AY165" s="36"/>
      <c r="AZ165" s="36"/>
      <c r="BA165" s="36"/>
      <c r="BB165" s="39"/>
      <c r="BC165" s="39"/>
      <c r="BD165" s="37"/>
      <c r="BE165" s="37"/>
      <c r="BF165" s="37"/>
    </row>
    <row r="166" spans="1:58">
      <c r="A166" s="40"/>
      <c r="B166" s="35"/>
      <c r="C166" s="41"/>
      <c r="D166" s="35"/>
      <c r="E166" s="35"/>
      <c r="F166" s="35"/>
      <c r="G166" s="36"/>
      <c r="H166" s="35"/>
      <c r="I166" s="37"/>
      <c r="J166" s="35"/>
      <c r="K166" s="35"/>
      <c r="L166" s="36"/>
      <c r="M166" s="35"/>
      <c r="N166" s="35"/>
      <c r="O166" s="35"/>
      <c r="P166" s="36"/>
      <c r="Q166" s="35"/>
      <c r="R166" s="35"/>
      <c r="S166" s="35"/>
      <c r="T166" s="36"/>
      <c r="U166" s="35"/>
      <c r="V166" s="36"/>
      <c r="W166" s="35"/>
      <c r="X166" s="36"/>
      <c r="Y166" s="35"/>
      <c r="Z166" s="38"/>
      <c r="AA166" s="35"/>
      <c r="AB166" s="36"/>
      <c r="AC166" s="35"/>
      <c r="AD166" s="36"/>
      <c r="AE166" s="35"/>
      <c r="AF166" s="36"/>
      <c r="AG166" s="35"/>
      <c r="AH166" s="36"/>
      <c r="AI166" s="39"/>
      <c r="AJ166" s="36"/>
      <c r="AK166" s="39"/>
      <c r="AL166" s="36"/>
      <c r="AM166" s="39"/>
      <c r="AN166" s="39"/>
      <c r="AO166" s="36"/>
      <c r="AP166" s="36"/>
      <c r="AQ166" s="37"/>
      <c r="AR166" s="39"/>
      <c r="AS166" s="39"/>
      <c r="AT166" s="39"/>
      <c r="AU166" s="39"/>
      <c r="AV166" s="39"/>
      <c r="AW166" s="39"/>
      <c r="AX166" s="36"/>
      <c r="AY166" s="36"/>
      <c r="AZ166" s="36"/>
      <c r="BA166" s="36"/>
      <c r="BB166" s="39"/>
      <c r="BC166" s="39"/>
      <c r="BD166" s="37"/>
      <c r="BE166" s="37"/>
      <c r="BF166" s="37"/>
    </row>
    <row r="167" spans="1:58">
      <c r="A167" s="40"/>
      <c r="B167" s="35"/>
      <c r="C167" s="41"/>
      <c r="D167" s="35"/>
      <c r="E167" s="35"/>
      <c r="F167" s="35"/>
      <c r="G167" s="36"/>
      <c r="H167" s="35"/>
      <c r="I167" s="37"/>
      <c r="J167" s="35"/>
      <c r="K167" s="35"/>
      <c r="L167" s="36"/>
      <c r="M167" s="35"/>
      <c r="N167" s="35"/>
      <c r="O167" s="35"/>
      <c r="P167" s="36"/>
      <c r="Q167" s="35"/>
      <c r="R167" s="35"/>
      <c r="S167" s="35"/>
      <c r="T167" s="36"/>
      <c r="U167" s="35"/>
      <c r="V167" s="36"/>
      <c r="W167" s="35"/>
      <c r="X167" s="36"/>
      <c r="Y167" s="35"/>
      <c r="Z167" s="38"/>
      <c r="AA167" s="35"/>
      <c r="AB167" s="36"/>
      <c r="AC167" s="35"/>
      <c r="AD167" s="36"/>
      <c r="AE167" s="35"/>
      <c r="AF167" s="36"/>
      <c r="AG167" s="35"/>
      <c r="AH167" s="36"/>
      <c r="AI167" s="39"/>
      <c r="AJ167" s="36"/>
      <c r="AK167" s="39"/>
      <c r="AL167" s="36"/>
      <c r="AM167" s="39"/>
      <c r="AN167" s="39"/>
      <c r="AO167" s="36"/>
      <c r="AP167" s="36"/>
      <c r="AQ167" s="37"/>
      <c r="AR167" s="39"/>
      <c r="AS167" s="39"/>
      <c r="AT167" s="39"/>
      <c r="AU167" s="39"/>
      <c r="AV167" s="39"/>
      <c r="AW167" s="39"/>
      <c r="AX167" s="36"/>
      <c r="AY167" s="36"/>
      <c r="AZ167" s="36"/>
      <c r="BA167" s="36"/>
      <c r="BB167" s="39"/>
      <c r="BC167" s="39"/>
      <c r="BD167" s="37"/>
      <c r="BE167" s="37"/>
      <c r="BF167" s="37"/>
    </row>
    <row r="168" spans="1:58">
      <c r="A168" s="40"/>
      <c r="B168" s="35"/>
      <c r="C168" s="41"/>
      <c r="D168" s="35"/>
      <c r="E168" s="35"/>
      <c r="F168" s="35"/>
      <c r="G168" s="36"/>
      <c r="H168" s="35"/>
      <c r="I168" s="37"/>
      <c r="J168" s="35"/>
      <c r="K168" s="35"/>
      <c r="L168" s="36"/>
      <c r="M168" s="35"/>
      <c r="N168" s="35"/>
      <c r="O168" s="35"/>
      <c r="P168" s="36"/>
      <c r="Q168" s="35"/>
      <c r="R168" s="35"/>
      <c r="S168" s="35"/>
      <c r="T168" s="36"/>
      <c r="U168" s="35"/>
      <c r="V168" s="36"/>
      <c r="W168" s="35"/>
      <c r="X168" s="36"/>
      <c r="Y168" s="35"/>
      <c r="Z168" s="38"/>
      <c r="AA168" s="35"/>
      <c r="AB168" s="36"/>
      <c r="AC168" s="35"/>
      <c r="AD168" s="36"/>
      <c r="AE168" s="35"/>
      <c r="AF168" s="36"/>
      <c r="AG168" s="35"/>
      <c r="AH168" s="36"/>
      <c r="AI168" s="39"/>
      <c r="AJ168" s="36"/>
      <c r="AK168" s="39"/>
      <c r="AL168" s="36"/>
      <c r="AM168" s="39"/>
      <c r="AN168" s="39"/>
      <c r="AO168" s="36"/>
      <c r="AP168" s="36"/>
      <c r="AQ168" s="37"/>
      <c r="AR168" s="39"/>
      <c r="AS168" s="39"/>
      <c r="AT168" s="39"/>
      <c r="AU168" s="39"/>
      <c r="AV168" s="39"/>
      <c r="AW168" s="39"/>
      <c r="AX168" s="36"/>
      <c r="AY168" s="36"/>
      <c r="AZ168" s="36"/>
      <c r="BA168" s="36"/>
      <c r="BB168" s="39"/>
      <c r="BC168" s="39"/>
      <c r="BD168" s="37"/>
      <c r="BE168" s="37"/>
      <c r="BF168" s="37"/>
    </row>
    <row r="169" spans="1:58">
      <c r="A169" s="40"/>
      <c r="B169" s="35"/>
      <c r="C169" s="41"/>
      <c r="D169" s="35"/>
      <c r="E169" s="35"/>
      <c r="F169" s="35"/>
      <c r="G169" s="36"/>
      <c r="H169" s="35"/>
      <c r="I169" s="37"/>
      <c r="J169" s="35"/>
      <c r="K169" s="35"/>
      <c r="L169" s="36"/>
      <c r="M169" s="35"/>
      <c r="N169" s="35"/>
      <c r="O169" s="35"/>
      <c r="P169" s="36"/>
      <c r="Q169" s="35"/>
      <c r="R169" s="35"/>
      <c r="S169" s="35"/>
      <c r="T169" s="36"/>
      <c r="U169" s="35"/>
      <c r="V169" s="36"/>
      <c r="W169" s="35"/>
      <c r="X169" s="36"/>
      <c r="Y169" s="35"/>
      <c r="Z169" s="38"/>
      <c r="AA169" s="35"/>
      <c r="AB169" s="36"/>
      <c r="AC169" s="35"/>
      <c r="AD169" s="36"/>
      <c r="AE169" s="35"/>
      <c r="AF169" s="36"/>
      <c r="AG169" s="35"/>
      <c r="AH169" s="36"/>
      <c r="AI169" s="39"/>
      <c r="AJ169" s="36"/>
      <c r="AK169" s="39"/>
      <c r="AL169" s="36"/>
      <c r="AM169" s="39"/>
      <c r="AN169" s="39"/>
      <c r="AO169" s="36"/>
      <c r="AP169" s="36"/>
      <c r="AQ169" s="37"/>
      <c r="AR169" s="39"/>
      <c r="AS169" s="39"/>
      <c r="AT169" s="39"/>
      <c r="AU169" s="39"/>
      <c r="AV169" s="39"/>
      <c r="AW169" s="39"/>
      <c r="AX169" s="36"/>
      <c r="AY169" s="36"/>
      <c r="AZ169" s="36"/>
      <c r="BA169" s="36"/>
      <c r="BB169" s="39"/>
      <c r="BC169" s="39"/>
      <c r="BD169" s="37"/>
      <c r="BE169" s="37"/>
      <c r="BF169" s="37"/>
    </row>
    <row r="170" spans="1:58">
      <c r="A170" s="40"/>
      <c r="B170" s="35"/>
      <c r="C170" s="41"/>
      <c r="D170" s="35"/>
      <c r="E170" s="35"/>
      <c r="F170" s="35"/>
      <c r="G170" s="36"/>
      <c r="H170" s="35"/>
      <c r="I170" s="37"/>
      <c r="J170" s="35"/>
      <c r="K170" s="35"/>
      <c r="L170" s="36"/>
      <c r="M170" s="35"/>
      <c r="N170" s="35"/>
      <c r="O170" s="35"/>
      <c r="P170" s="36"/>
      <c r="Q170" s="35"/>
      <c r="R170" s="35"/>
      <c r="S170" s="35"/>
      <c r="T170" s="36"/>
      <c r="U170" s="35"/>
      <c r="V170" s="36"/>
      <c r="W170" s="35"/>
      <c r="X170" s="36"/>
      <c r="Y170" s="35"/>
      <c r="Z170" s="38"/>
      <c r="AA170" s="35"/>
      <c r="AB170" s="36"/>
      <c r="AC170" s="35"/>
      <c r="AD170" s="36"/>
      <c r="AE170" s="35"/>
      <c r="AF170" s="36"/>
      <c r="AG170" s="35"/>
      <c r="AH170" s="36"/>
      <c r="AI170" s="39"/>
      <c r="AJ170" s="36"/>
      <c r="AK170" s="39"/>
      <c r="AL170" s="36"/>
      <c r="AM170" s="39"/>
      <c r="AN170" s="39"/>
      <c r="AO170" s="36"/>
      <c r="AP170" s="36"/>
      <c r="AQ170" s="37"/>
      <c r="AR170" s="39"/>
      <c r="AS170" s="39"/>
      <c r="AT170" s="39"/>
      <c r="AU170" s="39"/>
      <c r="AV170" s="39"/>
      <c r="AW170" s="39"/>
      <c r="AX170" s="36"/>
      <c r="AY170" s="36"/>
      <c r="AZ170" s="36"/>
      <c r="BA170" s="36"/>
      <c r="BB170" s="39"/>
      <c r="BC170" s="39"/>
      <c r="BD170" s="37"/>
      <c r="BE170" s="37"/>
      <c r="BF170" s="37"/>
    </row>
    <row r="171" spans="1:58">
      <c r="A171" s="40"/>
      <c r="B171" s="35"/>
      <c r="C171" s="41"/>
      <c r="D171" s="35"/>
      <c r="E171" s="35"/>
      <c r="F171" s="35"/>
      <c r="G171" s="36"/>
      <c r="H171" s="35"/>
      <c r="I171" s="37"/>
      <c r="J171" s="35"/>
      <c r="K171" s="35"/>
      <c r="L171" s="36"/>
      <c r="M171" s="35"/>
      <c r="N171" s="35"/>
      <c r="O171" s="35"/>
      <c r="P171" s="36"/>
      <c r="Q171" s="35"/>
      <c r="R171" s="35"/>
      <c r="S171" s="35"/>
      <c r="T171" s="36"/>
      <c r="U171" s="35"/>
      <c r="V171" s="36"/>
      <c r="W171" s="35"/>
      <c r="X171" s="36"/>
      <c r="Y171" s="35"/>
      <c r="Z171" s="38"/>
      <c r="AA171" s="35"/>
      <c r="AB171" s="36"/>
      <c r="AC171" s="35"/>
      <c r="AD171" s="36"/>
      <c r="AE171" s="35"/>
      <c r="AF171" s="36"/>
      <c r="AG171" s="35"/>
      <c r="AH171" s="36"/>
      <c r="AI171" s="39"/>
      <c r="AJ171" s="36"/>
      <c r="AK171" s="39"/>
      <c r="AL171" s="36"/>
      <c r="AM171" s="39"/>
      <c r="AN171" s="39"/>
      <c r="AO171" s="36"/>
      <c r="AP171" s="36"/>
      <c r="AQ171" s="37"/>
      <c r="AR171" s="39"/>
      <c r="AS171" s="39"/>
      <c r="AT171" s="39"/>
      <c r="AU171" s="39"/>
      <c r="AV171" s="39"/>
      <c r="AW171" s="39"/>
      <c r="AX171" s="36"/>
      <c r="AY171" s="36"/>
      <c r="AZ171" s="36"/>
      <c r="BA171" s="36"/>
      <c r="BB171" s="39"/>
      <c r="BC171" s="39"/>
      <c r="BD171" s="37"/>
      <c r="BE171" s="37"/>
      <c r="BF171" s="37"/>
    </row>
    <row r="172" spans="1:58">
      <c r="A172" s="40"/>
      <c r="B172" s="35"/>
      <c r="C172" s="41"/>
      <c r="D172" s="35"/>
      <c r="E172" s="35"/>
      <c r="F172" s="35"/>
      <c r="G172" s="36"/>
      <c r="H172" s="35"/>
      <c r="I172" s="37"/>
      <c r="J172" s="35"/>
      <c r="K172" s="35"/>
      <c r="L172" s="36"/>
      <c r="M172" s="35"/>
      <c r="N172" s="35"/>
      <c r="O172" s="35"/>
      <c r="P172" s="36"/>
      <c r="Q172" s="35"/>
      <c r="R172" s="35"/>
      <c r="S172" s="35"/>
      <c r="T172" s="36"/>
      <c r="U172" s="35"/>
      <c r="V172" s="36"/>
      <c r="W172" s="35"/>
      <c r="X172" s="36"/>
      <c r="Y172" s="35"/>
      <c r="Z172" s="38"/>
      <c r="AA172" s="35"/>
      <c r="AB172" s="36"/>
      <c r="AC172" s="35"/>
      <c r="AD172" s="36"/>
      <c r="AE172" s="35"/>
      <c r="AF172" s="36"/>
      <c r="AG172" s="35"/>
      <c r="AH172" s="36"/>
      <c r="AI172" s="39"/>
      <c r="AJ172" s="36"/>
      <c r="AK172" s="39"/>
      <c r="AL172" s="36"/>
      <c r="AM172" s="39"/>
      <c r="AN172" s="39"/>
      <c r="AO172" s="36"/>
      <c r="AP172" s="36"/>
      <c r="AQ172" s="37"/>
      <c r="AR172" s="39"/>
      <c r="AS172" s="39"/>
      <c r="AT172" s="39"/>
      <c r="AU172" s="39"/>
      <c r="AV172" s="39"/>
      <c r="AW172" s="39"/>
      <c r="AX172" s="36"/>
      <c r="AY172" s="36"/>
      <c r="AZ172" s="36"/>
      <c r="BA172" s="36"/>
      <c r="BB172" s="39"/>
      <c r="BC172" s="39"/>
      <c r="BD172" s="37"/>
      <c r="BE172" s="37"/>
      <c r="BF172" s="37"/>
    </row>
    <row r="173" spans="1:58">
      <c r="A173" s="40"/>
      <c r="B173" s="35"/>
      <c r="C173" s="41"/>
      <c r="D173" s="35"/>
      <c r="E173" s="35"/>
      <c r="F173" s="35"/>
      <c r="G173" s="36"/>
      <c r="H173" s="35"/>
      <c r="I173" s="37"/>
      <c r="J173" s="35"/>
      <c r="K173" s="35"/>
      <c r="L173" s="36"/>
      <c r="M173" s="35"/>
      <c r="N173" s="35"/>
      <c r="O173" s="35"/>
      <c r="P173" s="36"/>
      <c r="Q173" s="35"/>
      <c r="R173" s="35"/>
      <c r="S173" s="35"/>
      <c r="T173" s="36"/>
      <c r="U173" s="35"/>
      <c r="V173" s="36"/>
      <c r="W173" s="35"/>
      <c r="X173" s="36"/>
      <c r="Y173" s="35"/>
      <c r="Z173" s="38"/>
      <c r="AA173" s="35"/>
      <c r="AB173" s="36"/>
      <c r="AC173" s="35"/>
      <c r="AD173" s="36"/>
      <c r="AE173" s="35"/>
      <c r="AF173" s="36"/>
      <c r="AG173" s="35"/>
      <c r="AH173" s="36"/>
      <c r="AI173" s="39"/>
      <c r="AJ173" s="36"/>
      <c r="AK173" s="39"/>
      <c r="AL173" s="36"/>
      <c r="AM173" s="39"/>
      <c r="AN173" s="39"/>
      <c r="AO173" s="36"/>
      <c r="AP173" s="36"/>
      <c r="AQ173" s="37"/>
      <c r="AR173" s="39"/>
      <c r="AS173" s="39"/>
      <c r="AT173" s="39"/>
      <c r="AU173" s="39"/>
      <c r="AV173" s="39"/>
      <c r="AW173" s="39"/>
      <c r="AX173" s="36"/>
      <c r="AY173" s="36"/>
      <c r="AZ173" s="36"/>
      <c r="BA173" s="36"/>
      <c r="BB173" s="39"/>
      <c r="BC173" s="39"/>
      <c r="BD173" s="37"/>
      <c r="BE173" s="37"/>
      <c r="BF173" s="37"/>
    </row>
    <row r="174" spans="1:58">
      <c r="A174" s="40"/>
      <c r="B174" s="35"/>
      <c r="C174" s="41"/>
      <c r="D174" s="35"/>
      <c r="E174" s="35"/>
      <c r="F174" s="35"/>
      <c r="G174" s="36"/>
      <c r="H174" s="35"/>
      <c r="I174" s="37"/>
      <c r="J174" s="35"/>
      <c r="K174" s="35"/>
      <c r="L174" s="36"/>
      <c r="M174" s="35"/>
      <c r="N174" s="35"/>
      <c r="O174" s="35"/>
      <c r="P174" s="36"/>
      <c r="Q174" s="35"/>
      <c r="R174" s="35"/>
      <c r="S174" s="35"/>
      <c r="T174" s="36"/>
      <c r="U174" s="35"/>
      <c r="V174" s="36"/>
      <c r="W174" s="35"/>
      <c r="X174" s="36"/>
      <c r="Y174" s="35"/>
      <c r="Z174" s="38"/>
      <c r="AA174" s="35"/>
      <c r="AB174" s="36"/>
      <c r="AC174" s="35"/>
      <c r="AD174" s="36"/>
      <c r="AE174" s="35"/>
      <c r="AF174" s="36"/>
      <c r="AG174" s="35"/>
      <c r="AH174" s="36"/>
      <c r="AI174" s="39"/>
      <c r="AJ174" s="36"/>
      <c r="AK174" s="39"/>
      <c r="AL174" s="36"/>
      <c r="AM174" s="39"/>
      <c r="AN174" s="39"/>
      <c r="AO174" s="36"/>
      <c r="AP174" s="36"/>
      <c r="AQ174" s="37"/>
      <c r="AR174" s="39"/>
      <c r="AS174" s="39"/>
      <c r="AT174" s="39"/>
      <c r="AU174" s="39"/>
      <c r="AV174" s="39"/>
      <c r="AW174" s="39"/>
      <c r="AX174" s="36"/>
      <c r="AY174" s="36"/>
      <c r="AZ174" s="36"/>
      <c r="BA174" s="36"/>
      <c r="BB174" s="39"/>
      <c r="BC174" s="39"/>
      <c r="BD174" s="37"/>
      <c r="BE174" s="37"/>
      <c r="BF174" s="37"/>
    </row>
    <row r="175" spans="1:58">
      <c r="A175" s="40"/>
      <c r="B175" s="35"/>
      <c r="C175" s="41"/>
      <c r="D175" s="35"/>
      <c r="E175" s="35"/>
      <c r="F175" s="35"/>
      <c r="G175" s="36"/>
      <c r="H175" s="35"/>
      <c r="I175" s="37"/>
      <c r="J175" s="35"/>
      <c r="K175" s="35"/>
      <c r="L175" s="36"/>
      <c r="M175" s="35"/>
      <c r="N175" s="35"/>
      <c r="O175" s="35"/>
      <c r="P175" s="36"/>
      <c r="Q175" s="35"/>
      <c r="R175" s="35"/>
      <c r="S175" s="35"/>
      <c r="T175" s="36"/>
      <c r="U175" s="35"/>
      <c r="V175" s="36"/>
      <c r="W175" s="35"/>
      <c r="X175" s="36"/>
      <c r="Y175" s="35"/>
      <c r="Z175" s="38"/>
      <c r="AA175" s="35"/>
      <c r="AB175" s="36"/>
      <c r="AC175" s="35"/>
      <c r="AD175" s="36"/>
      <c r="AE175" s="35"/>
      <c r="AF175" s="36"/>
      <c r="AG175" s="35"/>
      <c r="AH175" s="36"/>
      <c r="AI175" s="39"/>
      <c r="AJ175" s="36"/>
      <c r="AK175" s="39"/>
      <c r="AL175" s="36"/>
      <c r="AM175" s="39"/>
      <c r="AN175" s="39"/>
      <c r="AO175" s="36"/>
      <c r="AP175" s="36"/>
      <c r="AQ175" s="37"/>
      <c r="AR175" s="39"/>
      <c r="AS175" s="39"/>
      <c r="AT175" s="39"/>
      <c r="AU175" s="39"/>
      <c r="AV175" s="39"/>
      <c r="AW175" s="39"/>
      <c r="AX175" s="36"/>
      <c r="AY175" s="36"/>
      <c r="AZ175" s="36"/>
      <c r="BA175" s="36"/>
      <c r="BB175" s="39"/>
      <c r="BC175" s="39"/>
      <c r="BD175" s="37"/>
      <c r="BE175" s="37"/>
      <c r="BF175" s="37"/>
    </row>
    <row r="176" spans="1:58">
      <c r="A176" s="40"/>
      <c r="B176" s="35"/>
      <c r="C176" s="41"/>
      <c r="D176" s="35"/>
      <c r="E176" s="35"/>
      <c r="F176" s="35"/>
      <c r="G176" s="36"/>
      <c r="H176" s="35"/>
      <c r="I176" s="37"/>
      <c r="J176" s="35"/>
      <c r="K176" s="35"/>
      <c r="L176" s="36"/>
      <c r="M176" s="35"/>
      <c r="N176" s="35"/>
      <c r="O176" s="35"/>
      <c r="P176" s="36"/>
      <c r="Q176" s="35"/>
      <c r="R176" s="35"/>
      <c r="S176" s="35"/>
      <c r="T176" s="36"/>
      <c r="U176" s="35"/>
      <c r="V176" s="36"/>
      <c r="W176" s="35"/>
      <c r="X176" s="36"/>
      <c r="Y176" s="35"/>
      <c r="Z176" s="38"/>
      <c r="AA176" s="35"/>
      <c r="AB176" s="36"/>
      <c r="AC176" s="35"/>
      <c r="AD176" s="36"/>
      <c r="AE176" s="35"/>
      <c r="AF176" s="36"/>
      <c r="AG176" s="35"/>
      <c r="AH176" s="36"/>
      <c r="AI176" s="39"/>
      <c r="AJ176" s="36"/>
      <c r="AK176" s="39"/>
      <c r="AL176" s="36"/>
      <c r="AM176" s="39"/>
      <c r="AN176" s="39"/>
      <c r="AO176" s="36"/>
      <c r="AP176" s="36"/>
      <c r="AQ176" s="37"/>
      <c r="AR176" s="39"/>
      <c r="AS176" s="39"/>
      <c r="AT176" s="39"/>
      <c r="AU176" s="39"/>
      <c r="AV176" s="39"/>
      <c r="AW176" s="39"/>
      <c r="AX176" s="36"/>
      <c r="AY176" s="36"/>
      <c r="AZ176" s="36"/>
      <c r="BA176" s="36"/>
      <c r="BB176" s="39"/>
      <c r="BC176" s="39"/>
      <c r="BD176" s="37"/>
      <c r="BE176" s="37"/>
      <c r="BF176" s="37"/>
    </row>
    <row r="177" spans="1:58">
      <c r="A177" s="40"/>
      <c r="B177" s="35"/>
      <c r="C177" s="41"/>
      <c r="D177" s="35"/>
      <c r="E177" s="35"/>
      <c r="F177" s="35"/>
      <c r="G177" s="36"/>
      <c r="H177" s="35"/>
      <c r="I177" s="37"/>
      <c r="J177" s="35"/>
      <c r="K177" s="35"/>
      <c r="L177" s="36"/>
      <c r="M177" s="35"/>
      <c r="N177" s="35"/>
      <c r="O177" s="35"/>
      <c r="P177" s="36"/>
      <c r="Q177" s="35"/>
      <c r="R177" s="35"/>
      <c r="S177" s="35"/>
      <c r="T177" s="36"/>
      <c r="U177" s="35"/>
      <c r="V177" s="36"/>
      <c r="W177" s="35"/>
      <c r="X177" s="36"/>
      <c r="Y177" s="35"/>
      <c r="Z177" s="38"/>
      <c r="AA177" s="35"/>
      <c r="AB177" s="36"/>
      <c r="AC177" s="35"/>
      <c r="AD177" s="36"/>
      <c r="AE177" s="35"/>
      <c r="AF177" s="36"/>
      <c r="AG177" s="35"/>
      <c r="AH177" s="36"/>
      <c r="AI177" s="39"/>
      <c r="AJ177" s="36"/>
      <c r="AK177" s="39"/>
      <c r="AL177" s="36"/>
      <c r="AM177" s="39"/>
      <c r="AN177" s="39"/>
      <c r="AO177" s="36"/>
      <c r="AP177" s="36"/>
      <c r="AQ177" s="37"/>
      <c r="AR177" s="39"/>
      <c r="AS177" s="39"/>
      <c r="AT177" s="39"/>
      <c r="AU177" s="39"/>
      <c r="AV177" s="39"/>
      <c r="AW177" s="39"/>
      <c r="AX177" s="36"/>
      <c r="AY177" s="36"/>
      <c r="AZ177" s="36"/>
      <c r="BA177" s="36"/>
      <c r="BB177" s="39"/>
      <c r="BC177" s="39"/>
      <c r="BD177" s="37"/>
      <c r="BE177" s="37"/>
      <c r="BF177" s="37"/>
    </row>
    <row r="178" spans="1:58">
      <c r="A178" s="40"/>
      <c r="B178" s="35"/>
      <c r="C178" s="41"/>
      <c r="D178" s="35"/>
      <c r="E178" s="35"/>
      <c r="F178" s="35"/>
      <c r="G178" s="36"/>
      <c r="H178" s="35"/>
      <c r="I178" s="37"/>
      <c r="J178" s="35"/>
      <c r="K178" s="35"/>
      <c r="L178" s="36"/>
      <c r="M178" s="35"/>
      <c r="N178" s="35"/>
      <c r="O178" s="35"/>
      <c r="P178" s="36"/>
      <c r="Q178" s="35"/>
      <c r="R178" s="35"/>
      <c r="S178" s="35"/>
      <c r="T178" s="36"/>
      <c r="U178" s="35"/>
      <c r="V178" s="36"/>
      <c r="W178" s="35"/>
      <c r="X178" s="36"/>
      <c r="Y178" s="35"/>
      <c r="Z178" s="38"/>
      <c r="AA178" s="35"/>
      <c r="AB178" s="36"/>
      <c r="AC178" s="35"/>
      <c r="AD178" s="36"/>
      <c r="AE178" s="35"/>
      <c r="AF178" s="36"/>
      <c r="AG178" s="35"/>
      <c r="AH178" s="36"/>
      <c r="AI178" s="39"/>
      <c r="AJ178" s="36"/>
      <c r="AK178" s="39"/>
      <c r="AL178" s="36"/>
      <c r="AM178" s="39"/>
      <c r="AN178" s="39"/>
      <c r="AO178" s="36"/>
      <c r="AP178" s="36"/>
      <c r="AQ178" s="37"/>
      <c r="AR178" s="39"/>
      <c r="AS178" s="39"/>
      <c r="AT178" s="39"/>
      <c r="AU178" s="39"/>
      <c r="AV178" s="39"/>
      <c r="AW178" s="39"/>
      <c r="AX178" s="36"/>
      <c r="AY178" s="36"/>
      <c r="AZ178" s="36"/>
      <c r="BA178" s="36"/>
      <c r="BB178" s="39"/>
      <c r="BC178" s="39"/>
      <c r="BD178" s="37"/>
      <c r="BE178" s="37"/>
      <c r="BF178" s="37"/>
    </row>
    <row r="179" spans="1:58">
      <c r="A179" s="40"/>
      <c r="B179" s="35"/>
      <c r="C179" s="41"/>
      <c r="D179" s="35"/>
      <c r="E179" s="35"/>
      <c r="F179" s="35"/>
      <c r="G179" s="36"/>
      <c r="H179" s="35"/>
      <c r="I179" s="37"/>
      <c r="J179" s="35"/>
      <c r="K179" s="35"/>
      <c r="L179" s="36"/>
      <c r="M179" s="35"/>
      <c r="N179" s="35"/>
      <c r="O179" s="35"/>
      <c r="P179" s="36"/>
      <c r="Q179" s="35"/>
      <c r="R179" s="35"/>
      <c r="S179" s="35"/>
      <c r="T179" s="36"/>
      <c r="U179" s="35"/>
      <c r="V179" s="36"/>
      <c r="W179" s="35"/>
      <c r="X179" s="36"/>
      <c r="Y179" s="35"/>
      <c r="Z179" s="38"/>
      <c r="AA179" s="35"/>
      <c r="AB179" s="36"/>
      <c r="AC179" s="35"/>
      <c r="AD179" s="36"/>
      <c r="AE179" s="35"/>
      <c r="AF179" s="36"/>
      <c r="AG179" s="35"/>
      <c r="AH179" s="36"/>
      <c r="AI179" s="39"/>
      <c r="AJ179" s="36"/>
      <c r="AK179" s="39"/>
      <c r="AL179" s="36"/>
      <c r="AM179" s="39"/>
      <c r="AN179" s="39"/>
      <c r="AO179" s="36"/>
      <c r="AP179" s="36"/>
      <c r="AQ179" s="37"/>
      <c r="AR179" s="39"/>
      <c r="AS179" s="39"/>
      <c r="AT179" s="39"/>
      <c r="AU179" s="39"/>
      <c r="AV179" s="39"/>
      <c r="AW179" s="39"/>
      <c r="AX179" s="36"/>
      <c r="AY179" s="36"/>
      <c r="AZ179" s="36"/>
      <c r="BA179" s="36"/>
      <c r="BB179" s="39"/>
      <c r="BC179" s="39"/>
      <c r="BD179" s="37"/>
      <c r="BE179" s="37"/>
      <c r="BF179" s="37"/>
    </row>
    <row r="180" spans="1:58">
      <c r="A180" s="40"/>
      <c r="B180" s="35"/>
      <c r="C180" s="41"/>
      <c r="D180" s="35"/>
      <c r="E180" s="35"/>
      <c r="F180" s="35"/>
      <c r="G180" s="36"/>
      <c r="H180" s="35"/>
      <c r="I180" s="37"/>
      <c r="J180" s="35"/>
      <c r="K180" s="35"/>
      <c r="L180" s="36"/>
      <c r="M180" s="35"/>
      <c r="N180" s="35"/>
      <c r="O180" s="35"/>
      <c r="P180" s="36"/>
      <c r="Q180" s="35"/>
      <c r="R180" s="35"/>
      <c r="S180" s="35"/>
      <c r="T180" s="36"/>
      <c r="U180" s="35"/>
      <c r="V180" s="36"/>
      <c r="W180" s="35"/>
      <c r="X180" s="36"/>
      <c r="Y180" s="35"/>
      <c r="Z180" s="38"/>
      <c r="AA180" s="35"/>
      <c r="AB180" s="36"/>
      <c r="AC180" s="35"/>
      <c r="AD180" s="36"/>
      <c r="AE180" s="35"/>
      <c r="AF180" s="36"/>
      <c r="AG180" s="35"/>
      <c r="AH180" s="36"/>
      <c r="AI180" s="39"/>
      <c r="AJ180" s="36"/>
      <c r="AK180" s="39"/>
      <c r="AL180" s="36"/>
      <c r="AM180" s="39"/>
      <c r="AN180" s="39"/>
      <c r="AO180" s="36"/>
      <c r="AP180" s="36"/>
      <c r="AQ180" s="37"/>
      <c r="AR180" s="39"/>
      <c r="AS180" s="39"/>
      <c r="AT180" s="39"/>
      <c r="AU180" s="39"/>
      <c r="AV180" s="39"/>
      <c r="AW180" s="39"/>
      <c r="AX180" s="36"/>
      <c r="AY180" s="36"/>
      <c r="AZ180" s="36"/>
      <c r="BA180" s="36"/>
      <c r="BB180" s="39"/>
      <c r="BC180" s="39"/>
      <c r="BD180" s="37"/>
      <c r="BE180" s="37"/>
      <c r="BF180" s="37"/>
    </row>
    <row r="181" spans="1:58">
      <c r="A181" s="40"/>
      <c r="B181" s="35"/>
      <c r="C181" s="41"/>
      <c r="D181" s="35"/>
      <c r="E181" s="35"/>
      <c r="F181" s="35"/>
      <c r="G181" s="36"/>
      <c r="H181" s="35"/>
      <c r="I181" s="37"/>
      <c r="J181" s="35"/>
      <c r="K181" s="35"/>
      <c r="L181" s="36"/>
      <c r="M181" s="35"/>
      <c r="N181" s="35"/>
      <c r="O181" s="35"/>
      <c r="P181" s="36"/>
      <c r="Q181" s="35"/>
      <c r="R181" s="35"/>
      <c r="S181" s="35"/>
      <c r="T181" s="36"/>
      <c r="U181" s="35"/>
      <c r="V181" s="36"/>
      <c r="W181" s="35"/>
      <c r="X181" s="36"/>
      <c r="Y181" s="35"/>
      <c r="Z181" s="38"/>
      <c r="AA181" s="35"/>
      <c r="AB181" s="36"/>
      <c r="AC181" s="35"/>
      <c r="AD181" s="36"/>
      <c r="AE181" s="35"/>
      <c r="AF181" s="36"/>
      <c r="AG181" s="35"/>
      <c r="AH181" s="36"/>
      <c r="AI181" s="39"/>
      <c r="AJ181" s="36"/>
      <c r="AK181" s="39"/>
      <c r="AL181" s="36"/>
      <c r="AM181" s="39"/>
      <c r="AN181" s="39"/>
      <c r="AO181" s="36"/>
      <c r="AP181" s="36"/>
      <c r="AQ181" s="37"/>
      <c r="AR181" s="39"/>
      <c r="AS181" s="39"/>
      <c r="AT181" s="39"/>
      <c r="AU181" s="39"/>
      <c r="AV181" s="39"/>
      <c r="AW181" s="39"/>
      <c r="AX181" s="36"/>
      <c r="AY181" s="36"/>
      <c r="AZ181" s="36"/>
      <c r="BA181" s="36"/>
      <c r="BB181" s="39"/>
      <c r="BC181" s="39"/>
      <c r="BD181" s="37"/>
      <c r="BE181" s="37"/>
      <c r="BF181" s="37"/>
    </row>
    <row r="182" spans="1:58">
      <c r="A182" s="40"/>
      <c r="B182" s="35"/>
      <c r="C182" s="41"/>
      <c r="D182" s="35"/>
      <c r="E182" s="35"/>
      <c r="F182" s="35"/>
      <c r="G182" s="36"/>
      <c r="H182" s="35"/>
      <c r="I182" s="37"/>
      <c r="J182" s="35"/>
      <c r="K182" s="35"/>
      <c r="L182" s="36"/>
      <c r="M182" s="35"/>
      <c r="N182" s="35"/>
      <c r="O182" s="35"/>
      <c r="P182" s="36"/>
      <c r="Q182" s="35"/>
      <c r="R182" s="35"/>
      <c r="S182" s="35"/>
      <c r="T182" s="36"/>
      <c r="U182" s="35"/>
      <c r="V182" s="36"/>
      <c r="W182" s="35"/>
      <c r="X182" s="36"/>
      <c r="Y182" s="35"/>
      <c r="Z182" s="38"/>
      <c r="AA182" s="35"/>
      <c r="AB182" s="36"/>
      <c r="AC182" s="35"/>
      <c r="AD182" s="36"/>
      <c r="AE182" s="35"/>
      <c r="AF182" s="36"/>
      <c r="AG182" s="35"/>
      <c r="AH182" s="36"/>
      <c r="AI182" s="39"/>
      <c r="AJ182" s="36"/>
      <c r="AK182" s="39"/>
      <c r="AL182" s="36"/>
      <c r="AM182" s="39"/>
      <c r="AN182" s="39"/>
      <c r="AO182" s="36"/>
      <c r="AP182" s="36"/>
      <c r="AQ182" s="37"/>
      <c r="AR182" s="39"/>
      <c r="AS182" s="39"/>
      <c r="AT182" s="39"/>
      <c r="AU182" s="39"/>
      <c r="AV182" s="39"/>
      <c r="AW182" s="39"/>
      <c r="AX182" s="36"/>
      <c r="AY182" s="36"/>
      <c r="AZ182" s="36"/>
      <c r="BA182" s="36"/>
      <c r="BB182" s="39"/>
      <c r="BC182" s="39"/>
      <c r="BD182" s="37"/>
      <c r="BE182" s="37"/>
      <c r="BF182" s="37"/>
    </row>
    <row r="183" spans="1:58">
      <c r="A183" s="40"/>
      <c r="B183" s="35"/>
      <c r="C183" s="41"/>
      <c r="D183" s="35"/>
      <c r="E183" s="35"/>
      <c r="F183" s="35"/>
      <c r="G183" s="36"/>
      <c r="H183" s="35"/>
      <c r="I183" s="37"/>
      <c r="J183" s="35"/>
      <c r="K183" s="35"/>
      <c r="L183" s="36"/>
      <c r="M183" s="35"/>
      <c r="N183" s="35"/>
      <c r="O183" s="35"/>
      <c r="P183" s="36"/>
      <c r="Q183" s="35"/>
      <c r="R183" s="35"/>
      <c r="S183" s="35"/>
      <c r="T183" s="36"/>
      <c r="U183" s="35"/>
      <c r="V183" s="36"/>
      <c r="W183" s="35"/>
      <c r="X183" s="36"/>
      <c r="Y183" s="35"/>
      <c r="Z183" s="38"/>
      <c r="AA183" s="35"/>
      <c r="AB183" s="36"/>
      <c r="AC183" s="35"/>
      <c r="AD183" s="36"/>
      <c r="AE183" s="35"/>
      <c r="AF183" s="36"/>
      <c r="AG183" s="35"/>
      <c r="AH183" s="36"/>
      <c r="AI183" s="39"/>
      <c r="AJ183" s="36"/>
      <c r="AK183" s="39"/>
      <c r="AL183" s="36"/>
      <c r="AM183" s="39"/>
      <c r="AN183" s="39"/>
      <c r="AO183" s="36"/>
      <c r="AP183" s="36"/>
      <c r="AQ183" s="37"/>
      <c r="AR183" s="39"/>
      <c r="AS183" s="39"/>
      <c r="AT183" s="39"/>
      <c r="AU183" s="39"/>
      <c r="AV183" s="39"/>
      <c r="AW183" s="39"/>
      <c r="AX183" s="36"/>
      <c r="AY183" s="36"/>
      <c r="AZ183" s="36"/>
      <c r="BA183" s="36"/>
      <c r="BB183" s="39"/>
      <c r="BC183" s="39"/>
      <c r="BD183" s="37"/>
      <c r="BE183" s="37"/>
      <c r="BF183" s="37"/>
    </row>
    <row r="184" spans="1:58">
      <c r="A184" s="40"/>
      <c r="B184" s="35"/>
      <c r="C184" s="41"/>
      <c r="D184" s="35"/>
      <c r="E184" s="35"/>
      <c r="F184" s="35"/>
      <c r="G184" s="36"/>
      <c r="H184" s="35"/>
      <c r="I184" s="37"/>
      <c r="J184" s="35"/>
      <c r="K184" s="35"/>
      <c r="L184" s="36"/>
      <c r="M184" s="35"/>
      <c r="N184" s="35"/>
      <c r="O184" s="35"/>
      <c r="P184" s="36"/>
      <c r="Q184" s="35"/>
      <c r="R184" s="35"/>
      <c r="S184" s="35"/>
      <c r="T184" s="36"/>
      <c r="U184" s="35"/>
      <c r="V184" s="36"/>
      <c r="W184" s="35"/>
      <c r="X184" s="36"/>
      <c r="Y184" s="35"/>
      <c r="Z184" s="38"/>
      <c r="AA184" s="35"/>
      <c r="AB184" s="36"/>
      <c r="AC184" s="35"/>
      <c r="AD184" s="36"/>
      <c r="AE184" s="35"/>
      <c r="AF184" s="36"/>
      <c r="AG184" s="35"/>
      <c r="AH184" s="36"/>
      <c r="AI184" s="39"/>
      <c r="AJ184" s="36"/>
      <c r="AK184" s="39"/>
      <c r="AL184" s="36"/>
      <c r="AM184" s="39"/>
      <c r="AN184" s="39"/>
      <c r="AO184" s="36"/>
      <c r="AP184" s="36"/>
      <c r="AQ184" s="37"/>
      <c r="AR184" s="39"/>
      <c r="AS184" s="39"/>
      <c r="AT184" s="39"/>
      <c r="AU184" s="39"/>
      <c r="AV184" s="39"/>
      <c r="AW184" s="39"/>
      <c r="AX184" s="36"/>
      <c r="AY184" s="36"/>
      <c r="AZ184" s="36"/>
      <c r="BA184" s="36"/>
      <c r="BB184" s="39"/>
      <c r="BC184" s="39"/>
      <c r="BD184" s="37"/>
      <c r="BE184" s="37"/>
      <c r="BF184" s="37"/>
    </row>
    <row r="185" spans="1:58">
      <c r="A185" s="40"/>
      <c r="B185" s="35"/>
      <c r="C185" s="41"/>
      <c r="D185" s="35"/>
      <c r="E185" s="35"/>
      <c r="F185" s="35"/>
      <c r="G185" s="36"/>
      <c r="H185" s="35"/>
      <c r="I185" s="37"/>
      <c r="J185" s="35"/>
      <c r="K185" s="35"/>
      <c r="L185" s="36"/>
      <c r="M185" s="35"/>
      <c r="N185" s="35"/>
      <c r="O185" s="35"/>
      <c r="P185" s="36"/>
      <c r="Q185" s="35"/>
      <c r="R185" s="35"/>
      <c r="S185" s="35"/>
      <c r="T185" s="36"/>
      <c r="U185" s="35"/>
      <c r="V185" s="36"/>
      <c r="W185" s="35"/>
      <c r="X185" s="36"/>
      <c r="Y185" s="35"/>
      <c r="Z185" s="38"/>
      <c r="AA185" s="35"/>
      <c r="AB185" s="36"/>
      <c r="AC185" s="35"/>
      <c r="AD185" s="36"/>
      <c r="AE185" s="35"/>
      <c r="AF185" s="36"/>
      <c r="AG185" s="35"/>
      <c r="AH185" s="36"/>
      <c r="AI185" s="39"/>
      <c r="AJ185" s="36"/>
      <c r="AK185" s="39"/>
      <c r="AL185" s="36"/>
      <c r="AM185" s="39"/>
      <c r="AN185" s="39"/>
      <c r="AO185" s="36"/>
      <c r="AP185" s="36"/>
      <c r="AQ185" s="37"/>
      <c r="AR185" s="39"/>
      <c r="AS185" s="39"/>
      <c r="AT185" s="39"/>
      <c r="AU185" s="39"/>
      <c r="AV185" s="39"/>
      <c r="AW185" s="39"/>
      <c r="AX185" s="36"/>
      <c r="AY185" s="36"/>
      <c r="AZ185" s="36"/>
      <c r="BA185" s="36"/>
      <c r="BB185" s="39"/>
      <c r="BC185" s="39"/>
      <c r="BD185" s="37"/>
      <c r="BE185" s="37"/>
      <c r="BF185" s="37"/>
    </row>
    <row r="186" spans="1:58">
      <c r="A186" s="40"/>
      <c r="B186" s="35"/>
      <c r="C186" s="41"/>
      <c r="D186" s="35"/>
      <c r="E186" s="35"/>
      <c r="F186" s="35"/>
      <c r="G186" s="36"/>
      <c r="H186" s="35"/>
      <c r="I186" s="37"/>
      <c r="J186" s="35"/>
      <c r="K186" s="35"/>
      <c r="L186" s="36"/>
      <c r="M186" s="35"/>
      <c r="N186" s="35"/>
      <c r="O186" s="35"/>
      <c r="P186" s="36"/>
      <c r="Q186" s="35"/>
      <c r="R186" s="35"/>
      <c r="S186" s="35"/>
      <c r="T186" s="36"/>
      <c r="U186" s="35"/>
      <c r="V186" s="36"/>
      <c r="W186" s="35"/>
      <c r="X186" s="36"/>
      <c r="Y186" s="35"/>
      <c r="Z186" s="38"/>
      <c r="AA186" s="35"/>
      <c r="AB186" s="36"/>
      <c r="AC186" s="35"/>
      <c r="AD186" s="36"/>
      <c r="AE186" s="35"/>
      <c r="AF186" s="36"/>
      <c r="AG186" s="35"/>
      <c r="AH186" s="36"/>
      <c r="AI186" s="39"/>
      <c r="AJ186" s="36"/>
      <c r="AK186" s="39"/>
      <c r="AL186" s="36"/>
      <c r="AM186" s="39"/>
      <c r="AN186" s="39"/>
      <c r="AO186" s="36"/>
      <c r="AP186" s="36"/>
      <c r="AQ186" s="37"/>
      <c r="AR186" s="39"/>
      <c r="AS186" s="39"/>
      <c r="AT186" s="39"/>
      <c r="AU186" s="39"/>
      <c r="AV186" s="39"/>
      <c r="AW186" s="39"/>
      <c r="AX186" s="36"/>
      <c r="AY186" s="36"/>
      <c r="AZ186" s="36"/>
      <c r="BA186" s="36"/>
      <c r="BB186" s="39"/>
      <c r="BC186" s="39"/>
      <c r="BD186" s="37"/>
      <c r="BE186" s="37"/>
      <c r="BF186" s="37"/>
    </row>
    <row r="187" spans="1:58">
      <c r="A187" s="40"/>
      <c r="B187" s="35"/>
      <c r="C187" s="41"/>
      <c r="D187" s="35"/>
      <c r="E187" s="35"/>
      <c r="F187" s="35"/>
      <c r="G187" s="36"/>
      <c r="H187" s="35"/>
      <c r="I187" s="37"/>
      <c r="J187" s="35"/>
      <c r="K187" s="35"/>
      <c r="L187" s="36"/>
      <c r="M187" s="35"/>
      <c r="N187" s="35"/>
      <c r="O187" s="35"/>
      <c r="P187" s="36"/>
      <c r="Q187" s="35"/>
      <c r="R187" s="35"/>
      <c r="S187" s="35"/>
      <c r="T187" s="36"/>
      <c r="U187" s="35"/>
      <c r="V187" s="36"/>
      <c r="W187" s="35"/>
      <c r="X187" s="36"/>
      <c r="Y187" s="35"/>
      <c r="Z187" s="38"/>
      <c r="AA187" s="35"/>
      <c r="AB187" s="36"/>
      <c r="AC187" s="35"/>
      <c r="AD187" s="36"/>
      <c r="AE187" s="35"/>
      <c r="AF187" s="36"/>
      <c r="AG187" s="35"/>
      <c r="AH187" s="36"/>
      <c r="AI187" s="39"/>
      <c r="AJ187" s="36"/>
      <c r="AK187" s="39"/>
      <c r="AL187" s="36"/>
      <c r="AM187" s="39"/>
      <c r="AN187" s="39"/>
      <c r="AO187" s="36"/>
      <c r="AP187" s="36"/>
      <c r="AQ187" s="37"/>
      <c r="AR187" s="39"/>
      <c r="AS187" s="39"/>
      <c r="AT187" s="39"/>
      <c r="AU187" s="39"/>
      <c r="AV187" s="39"/>
      <c r="AW187" s="39"/>
      <c r="AX187" s="36"/>
      <c r="AY187" s="36"/>
      <c r="AZ187" s="36"/>
      <c r="BA187" s="36"/>
      <c r="BB187" s="39"/>
      <c r="BC187" s="39"/>
      <c r="BD187" s="37"/>
      <c r="BE187" s="37"/>
      <c r="BF187" s="37"/>
    </row>
    <row r="188" spans="1:58">
      <c r="A188" s="40"/>
      <c r="B188" s="35"/>
      <c r="C188" s="41"/>
      <c r="D188" s="35"/>
      <c r="E188" s="35"/>
      <c r="F188" s="35"/>
      <c r="G188" s="36"/>
      <c r="H188" s="35"/>
      <c r="I188" s="37"/>
      <c r="J188" s="35"/>
      <c r="K188" s="35"/>
      <c r="L188" s="36"/>
      <c r="M188" s="35"/>
      <c r="N188" s="35"/>
      <c r="O188" s="35"/>
      <c r="P188" s="36"/>
      <c r="Q188" s="35"/>
      <c r="R188" s="35"/>
      <c r="S188" s="35"/>
      <c r="T188" s="36"/>
      <c r="U188" s="35"/>
      <c r="V188" s="36"/>
      <c r="W188" s="35"/>
      <c r="X188" s="36"/>
      <c r="Y188" s="35"/>
      <c r="Z188" s="38"/>
      <c r="AA188" s="35"/>
      <c r="AB188" s="36"/>
      <c r="AC188" s="35"/>
      <c r="AD188" s="36"/>
      <c r="AE188" s="35"/>
      <c r="AF188" s="36"/>
      <c r="AG188" s="35"/>
      <c r="AH188" s="36"/>
      <c r="AI188" s="39"/>
      <c r="AJ188" s="36"/>
      <c r="AK188" s="39"/>
      <c r="AL188" s="36"/>
      <c r="AM188" s="39"/>
      <c r="AN188" s="39"/>
      <c r="AO188" s="36"/>
      <c r="AP188" s="36"/>
      <c r="AQ188" s="37"/>
      <c r="AR188" s="39"/>
      <c r="AS188" s="39"/>
      <c r="AT188" s="39"/>
      <c r="AU188" s="39"/>
      <c r="AV188" s="39"/>
      <c r="AW188" s="39"/>
      <c r="AX188" s="36"/>
      <c r="AY188" s="36"/>
      <c r="AZ188" s="36"/>
      <c r="BA188" s="36"/>
      <c r="BB188" s="39"/>
      <c r="BC188" s="39"/>
      <c r="BD188" s="37"/>
      <c r="BE188" s="37"/>
      <c r="BF188" s="37"/>
    </row>
    <row r="189" spans="1:58">
      <c r="A189" s="40"/>
      <c r="B189" s="35"/>
      <c r="C189" s="41"/>
      <c r="D189" s="35"/>
      <c r="E189" s="35"/>
      <c r="F189" s="35"/>
      <c r="G189" s="36"/>
      <c r="H189" s="35"/>
      <c r="I189" s="37"/>
      <c r="J189" s="35"/>
      <c r="K189" s="35"/>
      <c r="L189" s="36"/>
      <c r="M189" s="35"/>
      <c r="N189" s="35"/>
      <c r="O189" s="35"/>
      <c r="P189" s="36"/>
      <c r="Q189" s="35"/>
      <c r="R189" s="35"/>
      <c r="S189" s="35"/>
      <c r="T189" s="36"/>
      <c r="U189" s="35"/>
      <c r="V189" s="36"/>
      <c r="W189" s="35"/>
      <c r="X189" s="36"/>
      <c r="Y189" s="35"/>
      <c r="Z189" s="38"/>
      <c r="AA189" s="35"/>
      <c r="AB189" s="36"/>
      <c r="AC189" s="35"/>
      <c r="AD189" s="36"/>
      <c r="AE189" s="35"/>
      <c r="AF189" s="36"/>
      <c r="AG189" s="35"/>
      <c r="AH189" s="36"/>
      <c r="AI189" s="39"/>
      <c r="AJ189" s="36"/>
      <c r="AK189" s="39"/>
      <c r="AL189" s="36"/>
      <c r="AM189" s="39"/>
      <c r="AN189" s="39"/>
      <c r="AO189" s="36"/>
      <c r="AP189" s="36"/>
      <c r="AQ189" s="37"/>
      <c r="AR189" s="39"/>
      <c r="AS189" s="39"/>
      <c r="AT189" s="39"/>
      <c r="AU189" s="39"/>
      <c r="AV189" s="39"/>
      <c r="AW189" s="39"/>
      <c r="AX189" s="36"/>
      <c r="AY189" s="36"/>
      <c r="AZ189" s="36"/>
      <c r="BA189" s="36"/>
      <c r="BB189" s="39"/>
      <c r="BC189" s="39"/>
      <c r="BD189" s="37"/>
      <c r="BE189" s="37"/>
      <c r="BF189" s="37"/>
    </row>
    <row r="190" spans="1:58">
      <c r="A190" s="40"/>
      <c r="B190" s="35"/>
      <c r="C190" s="41"/>
      <c r="D190" s="35"/>
      <c r="E190" s="35"/>
      <c r="F190" s="35"/>
      <c r="G190" s="36"/>
      <c r="H190" s="35"/>
      <c r="I190" s="37"/>
      <c r="J190" s="35"/>
      <c r="K190" s="35"/>
      <c r="L190" s="36"/>
      <c r="M190" s="35"/>
      <c r="N190" s="35"/>
      <c r="O190" s="35"/>
      <c r="P190" s="36"/>
      <c r="Q190" s="35"/>
      <c r="R190" s="35"/>
      <c r="S190" s="35"/>
      <c r="T190" s="36"/>
      <c r="U190" s="35"/>
      <c r="V190" s="36"/>
      <c r="W190" s="35"/>
      <c r="X190" s="36"/>
      <c r="Y190" s="35"/>
      <c r="Z190" s="38"/>
      <c r="AA190" s="35"/>
      <c r="AB190" s="36"/>
      <c r="AC190" s="35"/>
      <c r="AD190" s="36"/>
      <c r="AE190" s="35"/>
      <c r="AF190" s="36"/>
      <c r="AG190" s="35"/>
      <c r="AH190" s="36"/>
      <c r="AI190" s="39"/>
      <c r="AJ190" s="36"/>
      <c r="AK190" s="39"/>
      <c r="AL190" s="36"/>
      <c r="AM190" s="39"/>
      <c r="AN190" s="39"/>
      <c r="AO190" s="36"/>
      <c r="AP190" s="36"/>
      <c r="AQ190" s="37"/>
      <c r="AR190" s="39"/>
      <c r="AS190" s="39"/>
      <c r="AT190" s="39"/>
      <c r="AU190" s="39"/>
      <c r="AV190" s="39"/>
      <c r="AW190" s="39"/>
      <c r="AX190" s="36"/>
      <c r="AY190" s="36"/>
      <c r="AZ190" s="36"/>
      <c r="BA190" s="36"/>
      <c r="BB190" s="39"/>
      <c r="BC190" s="39"/>
      <c r="BD190" s="37"/>
      <c r="BE190" s="37"/>
      <c r="BF190" s="37"/>
    </row>
    <row r="191" spans="1:58">
      <c r="A191" s="40"/>
      <c r="B191" s="35"/>
      <c r="C191" s="41"/>
      <c r="D191" s="35"/>
      <c r="E191" s="35"/>
      <c r="F191" s="35"/>
      <c r="G191" s="36"/>
      <c r="H191" s="35"/>
      <c r="I191" s="37"/>
      <c r="J191" s="35"/>
      <c r="K191" s="35"/>
      <c r="L191" s="36"/>
      <c r="M191" s="35"/>
      <c r="N191" s="35"/>
      <c r="O191" s="35"/>
      <c r="P191" s="36"/>
      <c r="Q191" s="35"/>
      <c r="R191" s="35"/>
      <c r="S191" s="35"/>
      <c r="T191" s="36"/>
      <c r="U191" s="35"/>
      <c r="V191" s="36"/>
      <c r="W191" s="35"/>
      <c r="X191" s="36"/>
      <c r="Y191" s="35"/>
      <c r="Z191" s="38"/>
      <c r="AA191" s="35"/>
      <c r="AB191" s="36"/>
      <c r="AC191" s="35"/>
      <c r="AD191" s="36"/>
      <c r="AE191" s="35"/>
      <c r="AF191" s="36"/>
      <c r="AG191" s="35"/>
      <c r="AH191" s="36"/>
      <c r="AI191" s="39"/>
      <c r="AJ191" s="36"/>
      <c r="AK191" s="39"/>
      <c r="AL191" s="36"/>
      <c r="AM191" s="39"/>
      <c r="AN191" s="39"/>
      <c r="AO191" s="36"/>
      <c r="AP191" s="36"/>
      <c r="AQ191" s="37"/>
      <c r="AR191" s="39"/>
      <c r="AS191" s="39"/>
      <c r="AT191" s="39"/>
      <c r="AU191" s="39"/>
      <c r="AV191" s="39"/>
      <c r="AW191" s="39"/>
      <c r="AX191" s="36"/>
      <c r="AY191" s="36"/>
      <c r="AZ191" s="36"/>
      <c r="BA191" s="36"/>
      <c r="BB191" s="39"/>
      <c r="BC191" s="39"/>
      <c r="BD191" s="37"/>
      <c r="BE191" s="37"/>
      <c r="BF191" s="37"/>
    </row>
    <row r="192" spans="1:58">
      <c r="A192" s="40"/>
      <c r="B192" s="35"/>
      <c r="C192" s="41"/>
      <c r="D192" s="35"/>
      <c r="E192" s="35"/>
      <c r="F192" s="35"/>
      <c r="G192" s="36"/>
      <c r="H192" s="35"/>
      <c r="I192" s="37"/>
      <c r="J192" s="35"/>
      <c r="K192" s="35"/>
      <c r="L192" s="36"/>
      <c r="M192" s="35"/>
      <c r="N192" s="35"/>
      <c r="O192" s="35"/>
      <c r="P192" s="36"/>
      <c r="Q192" s="35"/>
      <c r="R192" s="35"/>
      <c r="S192" s="35"/>
      <c r="T192" s="36"/>
      <c r="U192" s="35"/>
      <c r="V192" s="36"/>
      <c r="W192" s="35"/>
      <c r="X192" s="36"/>
      <c r="Y192" s="35"/>
      <c r="Z192" s="38"/>
      <c r="AA192" s="35"/>
      <c r="AB192" s="36"/>
      <c r="AC192" s="35"/>
      <c r="AD192" s="36"/>
      <c r="AE192" s="35"/>
      <c r="AF192" s="36"/>
      <c r="AG192" s="35"/>
      <c r="AH192" s="36"/>
      <c r="AI192" s="39"/>
      <c r="AJ192" s="36"/>
      <c r="AK192" s="39"/>
      <c r="AL192" s="36"/>
      <c r="AM192" s="39"/>
      <c r="AN192" s="39"/>
      <c r="AO192" s="36"/>
      <c r="AP192" s="36"/>
      <c r="AQ192" s="37"/>
      <c r="AR192" s="39"/>
      <c r="AS192" s="39"/>
      <c r="AT192" s="39"/>
      <c r="AU192" s="39"/>
      <c r="AV192" s="39"/>
      <c r="AW192" s="39"/>
      <c r="AX192" s="36"/>
      <c r="AY192" s="36"/>
      <c r="AZ192" s="36"/>
      <c r="BA192" s="36"/>
      <c r="BB192" s="39"/>
      <c r="BC192" s="39"/>
      <c r="BD192" s="37"/>
      <c r="BE192" s="37"/>
      <c r="BF192" s="37"/>
    </row>
    <row r="193" spans="1:58">
      <c r="A193" s="40"/>
      <c r="B193" s="35"/>
      <c r="C193" s="41"/>
      <c r="D193" s="35"/>
      <c r="E193" s="35"/>
      <c r="F193" s="35"/>
      <c r="G193" s="36"/>
      <c r="H193" s="35"/>
      <c r="I193" s="37"/>
      <c r="J193" s="35"/>
      <c r="K193" s="35"/>
      <c r="L193" s="36"/>
      <c r="M193" s="35"/>
      <c r="N193" s="35"/>
      <c r="O193" s="35"/>
      <c r="P193" s="36"/>
      <c r="Q193" s="35"/>
      <c r="R193" s="35"/>
      <c r="S193" s="35"/>
      <c r="T193" s="36"/>
      <c r="U193" s="35"/>
      <c r="V193" s="36"/>
      <c r="W193" s="35"/>
      <c r="X193" s="36"/>
      <c r="Y193" s="35"/>
      <c r="Z193" s="38"/>
      <c r="AA193" s="35"/>
      <c r="AB193" s="36"/>
      <c r="AC193" s="35"/>
      <c r="AD193" s="36"/>
      <c r="AE193" s="35"/>
      <c r="AF193" s="36"/>
      <c r="AG193" s="35"/>
      <c r="AH193" s="36"/>
      <c r="AI193" s="39"/>
      <c r="AJ193" s="36"/>
      <c r="AK193" s="39"/>
      <c r="AL193" s="36"/>
      <c r="AM193" s="39"/>
      <c r="AN193" s="39"/>
      <c r="AO193" s="36"/>
      <c r="AP193" s="36"/>
      <c r="AQ193" s="37"/>
      <c r="AR193" s="39"/>
      <c r="AS193" s="39"/>
      <c r="AT193" s="39"/>
      <c r="AU193" s="39"/>
      <c r="AV193" s="39"/>
      <c r="AW193" s="39"/>
      <c r="AX193" s="36"/>
      <c r="AY193" s="36"/>
      <c r="AZ193" s="36"/>
      <c r="BA193" s="36"/>
      <c r="BB193" s="39"/>
      <c r="BC193" s="39"/>
      <c r="BD193" s="37"/>
      <c r="BE193" s="37"/>
      <c r="BF193" s="37"/>
    </row>
    <row r="194" spans="1:58">
      <c r="A194" s="40"/>
      <c r="B194" s="35"/>
      <c r="C194" s="41"/>
      <c r="D194" s="35"/>
      <c r="E194" s="35"/>
      <c r="F194" s="35"/>
      <c r="G194" s="36"/>
      <c r="H194" s="35"/>
      <c r="I194" s="37"/>
      <c r="J194" s="35"/>
      <c r="K194" s="35"/>
      <c r="L194" s="36"/>
      <c r="M194" s="35"/>
      <c r="N194" s="35"/>
      <c r="O194" s="35"/>
      <c r="P194" s="36"/>
      <c r="Q194" s="35"/>
      <c r="R194" s="35"/>
      <c r="S194" s="35"/>
      <c r="T194" s="36"/>
      <c r="U194" s="35"/>
      <c r="V194" s="36"/>
      <c r="W194" s="35"/>
      <c r="X194" s="36"/>
      <c r="Y194" s="35"/>
      <c r="Z194" s="38"/>
      <c r="AA194" s="35"/>
      <c r="AB194" s="36"/>
      <c r="AC194" s="35"/>
      <c r="AD194" s="36"/>
      <c r="AE194" s="35"/>
      <c r="AF194" s="36"/>
      <c r="AG194" s="35"/>
      <c r="AH194" s="36"/>
      <c r="AI194" s="39"/>
      <c r="AJ194" s="36"/>
      <c r="AK194" s="39"/>
      <c r="AL194" s="36"/>
      <c r="AM194" s="39"/>
      <c r="AN194" s="39"/>
      <c r="AO194" s="36"/>
      <c r="AP194" s="36"/>
      <c r="AQ194" s="37"/>
      <c r="AR194" s="39"/>
      <c r="AS194" s="39"/>
      <c r="AT194" s="39"/>
      <c r="AU194" s="39"/>
      <c r="AV194" s="39"/>
      <c r="AW194" s="39"/>
      <c r="AX194" s="36"/>
      <c r="AY194" s="36"/>
      <c r="AZ194" s="36"/>
      <c r="BA194" s="36"/>
      <c r="BB194" s="39"/>
      <c r="BC194" s="39"/>
      <c r="BD194" s="37"/>
      <c r="BE194" s="37"/>
      <c r="BF194" s="37"/>
    </row>
    <row r="195" spans="1:58">
      <c r="A195" s="40"/>
      <c r="B195" s="35"/>
      <c r="C195" s="41"/>
      <c r="D195" s="35"/>
      <c r="E195" s="35"/>
      <c r="F195" s="35"/>
      <c r="G195" s="36"/>
      <c r="H195" s="35"/>
      <c r="I195" s="37"/>
      <c r="J195" s="35"/>
      <c r="K195" s="35"/>
      <c r="L195" s="36"/>
      <c r="M195" s="35"/>
      <c r="N195" s="35"/>
      <c r="O195" s="35"/>
      <c r="P195" s="36"/>
      <c r="Q195" s="35"/>
      <c r="R195" s="35"/>
      <c r="S195" s="35"/>
      <c r="T195" s="36"/>
      <c r="U195" s="35"/>
      <c r="V195" s="36"/>
      <c r="W195" s="35"/>
      <c r="X195" s="36"/>
      <c r="Y195" s="35"/>
      <c r="Z195" s="38"/>
      <c r="AA195" s="35"/>
      <c r="AB195" s="36"/>
      <c r="AC195" s="35"/>
      <c r="AD195" s="36"/>
      <c r="AE195" s="35"/>
      <c r="AF195" s="36"/>
      <c r="AG195" s="35"/>
      <c r="AH195" s="36"/>
      <c r="AI195" s="39"/>
      <c r="AJ195" s="36"/>
      <c r="AK195" s="39"/>
      <c r="AL195" s="36"/>
      <c r="AM195" s="39"/>
      <c r="AN195" s="39"/>
      <c r="AO195" s="36"/>
      <c r="AP195" s="36"/>
      <c r="AQ195" s="37"/>
      <c r="AR195" s="39"/>
      <c r="AS195" s="39"/>
      <c r="AT195" s="39"/>
      <c r="AU195" s="39"/>
      <c r="AV195" s="39"/>
      <c r="AW195" s="39"/>
      <c r="AX195" s="36"/>
      <c r="AY195" s="36"/>
      <c r="AZ195" s="36"/>
      <c r="BA195" s="36"/>
      <c r="BB195" s="39"/>
      <c r="BC195" s="39"/>
      <c r="BD195" s="37"/>
      <c r="BE195" s="37"/>
      <c r="BF195" s="37"/>
    </row>
    <row r="196" spans="1:58">
      <c r="A196" s="40"/>
      <c r="B196" s="35"/>
      <c r="C196" s="41"/>
      <c r="D196" s="35"/>
      <c r="E196" s="35"/>
      <c r="F196" s="35"/>
      <c r="G196" s="36"/>
      <c r="H196" s="35"/>
      <c r="I196" s="37"/>
      <c r="J196" s="35"/>
      <c r="K196" s="35"/>
      <c r="L196" s="36"/>
      <c r="M196" s="35"/>
      <c r="N196" s="35"/>
      <c r="O196" s="35"/>
      <c r="P196" s="36"/>
      <c r="Q196" s="35"/>
      <c r="R196" s="35"/>
      <c r="S196" s="35"/>
      <c r="T196" s="36"/>
      <c r="U196" s="35"/>
      <c r="V196" s="36"/>
      <c r="W196" s="35"/>
      <c r="X196" s="36"/>
      <c r="Y196" s="35"/>
      <c r="Z196" s="38"/>
      <c r="AA196" s="35"/>
      <c r="AB196" s="36"/>
      <c r="AC196" s="35"/>
      <c r="AD196" s="36"/>
      <c r="AE196" s="35"/>
      <c r="AF196" s="36"/>
      <c r="AG196" s="35"/>
      <c r="AH196" s="36"/>
      <c r="AI196" s="39"/>
      <c r="AJ196" s="36"/>
      <c r="AK196" s="39"/>
      <c r="AL196" s="36"/>
      <c r="AM196" s="39"/>
      <c r="AN196" s="39"/>
      <c r="AO196" s="36"/>
      <c r="AP196" s="36"/>
      <c r="AQ196" s="37"/>
      <c r="AR196" s="39"/>
      <c r="AS196" s="39"/>
      <c r="AT196" s="39"/>
      <c r="AU196" s="39"/>
      <c r="AV196" s="39"/>
      <c r="AW196" s="39"/>
      <c r="AX196" s="36"/>
      <c r="AY196" s="36"/>
      <c r="AZ196" s="36"/>
      <c r="BA196" s="36"/>
      <c r="BB196" s="39"/>
      <c r="BC196" s="39"/>
      <c r="BD196" s="37"/>
      <c r="BE196" s="37"/>
      <c r="BF196" s="37"/>
    </row>
    <row r="197" spans="1:58">
      <c r="A197" s="40"/>
      <c r="B197" s="35"/>
      <c r="C197" s="41"/>
      <c r="D197" s="35"/>
      <c r="E197" s="35"/>
      <c r="F197" s="35"/>
      <c r="G197" s="36"/>
      <c r="H197" s="35"/>
      <c r="I197" s="37"/>
      <c r="J197" s="35"/>
      <c r="K197" s="35"/>
      <c r="L197" s="36"/>
      <c r="M197" s="35"/>
      <c r="N197" s="35"/>
      <c r="O197" s="35"/>
      <c r="P197" s="36"/>
      <c r="Q197" s="35"/>
      <c r="R197" s="35"/>
      <c r="S197" s="35"/>
      <c r="T197" s="36"/>
      <c r="U197" s="35"/>
      <c r="V197" s="36"/>
      <c r="W197" s="35"/>
      <c r="X197" s="36"/>
      <c r="Y197" s="35"/>
      <c r="Z197" s="38"/>
      <c r="AA197" s="35"/>
      <c r="AB197" s="36"/>
      <c r="AC197" s="35"/>
      <c r="AD197" s="36"/>
      <c r="AE197" s="35"/>
      <c r="AF197" s="36"/>
      <c r="AG197" s="35"/>
      <c r="AH197" s="36"/>
      <c r="AI197" s="39"/>
      <c r="AJ197" s="36"/>
      <c r="AK197" s="39"/>
      <c r="AL197" s="36"/>
      <c r="AM197" s="39"/>
      <c r="AN197" s="39"/>
      <c r="AO197" s="36"/>
      <c r="AP197" s="36"/>
      <c r="AQ197" s="37"/>
      <c r="AR197" s="39"/>
      <c r="AS197" s="39"/>
      <c r="AT197" s="39"/>
      <c r="AU197" s="39"/>
      <c r="AV197" s="39"/>
      <c r="AW197" s="39"/>
      <c r="AX197" s="36"/>
      <c r="AY197" s="36"/>
      <c r="AZ197" s="36"/>
      <c r="BA197" s="36"/>
      <c r="BB197" s="39"/>
      <c r="BC197" s="39"/>
      <c r="BD197" s="37"/>
      <c r="BE197" s="37"/>
      <c r="BF197" s="37"/>
    </row>
    <row r="198" spans="1:58">
      <c r="A198" s="40"/>
      <c r="B198" s="35"/>
      <c r="C198" s="41"/>
      <c r="D198" s="35"/>
      <c r="E198" s="35"/>
      <c r="F198" s="35"/>
      <c r="G198" s="36"/>
      <c r="H198" s="35"/>
      <c r="I198" s="37"/>
      <c r="J198" s="35"/>
      <c r="K198" s="35"/>
      <c r="L198" s="36"/>
      <c r="M198" s="35"/>
      <c r="N198" s="35"/>
      <c r="O198" s="35"/>
      <c r="P198" s="36"/>
      <c r="Q198" s="35"/>
      <c r="R198" s="35"/>
      <c r="S198" s="35"/>
      <c r="T198" s="36"/>
      <c r="U198" s="35"/>
      <c r="V198" s="36"/>
      <c r="W198" s="35"/>
      <c r="X198" s="36"/>
      <c r="Y198" s="35"/>
      <c r="Z198" s="38"/>
      <c r="AA198" s="35"/>
      <c r="AB198" s="36"/>
      <c r="AC198" s="35"/>
      <c r="AD198" s="36"/>
      <c r="AE198" s="35"/>
      <c r="AF198" s="36"/>
      <c r="AG198" s="35"/>
      <c r="AH198" s="36"/>
      <c r="AI198" s="39"/>
      <c r="AJ198" s="36"/>
      <c r="AK198" s="39"/>
      <c r="AL198" s="36"/>
      <c r="AM198" s="39"/>
      <c r="AN198" s="39"/>
      <c r="AO198" s="36"/>
      <c r="AP198" s="36"/>
      <c r="AQ198" s="37"/>
      <c r="AR198" s="39"/>
      <c r="AS198" s="39"/>
      <c r="AT198" s="39"/>
      <c r="AU198" s="39"/>
      <c r="AV198" s="39"/>
      <c r="AW198" s="39"/>
      <c r="AX198" s="36"/>
      <c r="AY198" s="36"/>
      <c r="AZ198" s="36"/>
      <c r="BA198" s="36"/>
      <c r="BB198" s="39"/>
      <c r="BC198" s="39"/>
      <c r="BD198" s="37"/>
      <c r="BE198" s="37"/>
      <c r="BF198" s="37"/>
    </row>
    <row r="199" spans="1:58">
      <c r="A199" s="40"/>
      <c r="B199" s="35"/>
      <c r="C199" s="41"/>
      <c r="D199" s="35"/>
      <c r="E199" s="35"/>
      <c r="F199" s="35"/>
      <c r="G199" s="36"/>
      <c r="H199" s="35"/>
      <c r="I199" s="37"/>
      <c r="J199" s="35"/>
      <c r="K199" s="35"/>
      <c r="L199" s="36"/>
      <c r="M199" s="35"/>
      <c r="N199" s="35"/>
      <c r="O199" s="35"/>
      <c r="P199" s="36"/>
      <c r="Q199" s="35"/>
      <c r="R199" s="35"/>
      <c r="S199" s="35"/>
      <c r="T199" s="36"/>
      <c r="U199" s="35"/>
      <c r="V199" s="36"/>
      <c r="W199" s="35"/>
      <c r="X199" s="36"/>
      <c r="Y199" s="35"/>
      <c r="Z199" s="38"/>
      <c r="AA199" s="35"/>
      <c r="AB199" s="36"/>
      <c r="AC199" s="35"/>
      <c r="AD199" s="36"/>
      <c r="AE199" s="35"/>
      <c r="AF199" s="36"/>
      <c r="AG199" s="35"/>
      <c r="AH199" s="36"/>
      <c r="AI199" s="39"/>
      <c r="AJ199" s="36"/>
      <c r="AK199" s="39"/>
      <c r="AL199" s="36"/>
      <c r="AM199" s="39"/>
      <c r="AN199" s="39"/>
      <c r="AO199" s="36"/>
      <c r="AP199" s="36"/>
      <c r="AQ199" s="37"/>
      <c r="AR199" s="39"/>
      <c r="AS199" s="39"/>
      <c r="AT199" s="39"/>
      <c r="AU199" s="39"/>
      <c r="AV199" s="39"/>
      <c r="AW199" s="39"/>
      <c r="AX199" s="36"/>
      <c r="AY199" s="36"/>
      <c r="AZ199" s="36"/>
      <c r="BA199" s="36"/>
      <c r="BB199" s="39"/>
      <c r="BC199" s="39"/>
      <c r="BD199" s="37"/>
      <c r="BE199" s="37"/>
      <c r="BF199" s="37"/>
    </row>
    <row r="200" spans="1:58">
      <c r="A200" s="40"/>
      <c r="B200" s="35"/>
      <c r="C200" s="41"/>
      <c r="D200" s="35"/>
      <c r="E200" s="35"/>
      <c r="F200" s="35"/>
      <c r="G200" s="36"/>
      <c r="H200" s="35"/>
      <c r="I200" s="37"/>
      <c r="J200" s="35"/>
      <c r="K200" s="35"/>
      <c r="L200" s="36"/>
      <c r="M200" s="35"/>
      <c r="N200" s="35"/>
      <c r="O200" s="35"/>
      <c r="P200" s="36"/>
      <c r="Q200" s="35"/>
      <c r="R200" s="35"/>
      <c r="S200" s="35"/>
      <c r="T200" s="36"/>
      <c r="U200" s="35"/>
      <c r="V200" s="36"/>
      <c r="W200" s="35"/>
      <c r="X200" s="36"/>
      <c r="Y200" s="35"/>
      <c r="Z200" s="38"/>
      <c r="AA200" s="35"/>
      <c r="AB200" s="36"/>
      <c r="AC200" s="35"/>
      <c r="AD200" s="36"/>
      <c r="AE200" s="35"/>
      <c r="AF200" s="36"/>
      <c r="AG200" s="35"/>
      <c r="AH200" s="36"/>
      <c r="AI200" s="39"/>
      <c r="AJ200" s="36"/>
      <c r="AK200" s="39"/>
      <c r="AL200" s="36"/>
      <c r="AM200" s="39"/>
      <c r="AN200" s="39"/>
      <c r="AO200" s="36"/>
      <c r="AP200" s="36"/>
      <c r="AQ200" s="37"/>
      <c r="AR200" s="39"/>
      <c r="AS200" s="39"/>
      <c r="AT200" s="39"/>
      <c r="AU200" s="39"/>
      <c r="AV200" s="39"/>
      <c r="AW200" s="39"/>
      <c r="AX200" s="36"/>
      <c r="AY200" s="36"/>
      <c r="AZ200" s="36"/>
      <c r="BA200" s="36"/>
      <c r="BB200" s="39"/>
      <c r="BC200" s="39"/>
      <c r="BD200" s="37"/>
      <c r="BE200" s="37"/>
      <c r="BF200" s="37"/>
    </row>
    <row r="201" spans="1:58">
      <c r="A201" s="40"/>
      <c r="B201" s="35"/>
      <c r="C201" s="41"/>
      <c r="D201" s="35"/>
      <c r="E201" s="35"/>
      <c r="F201" s="35"/>
      <c r="G201" s="36"/>
      <c r="H201" s="35"/>
      <c r="I201" s="37"/>
      <c r="J201" s="35"/>
      <c r="K201" s="35"/>
      <c r="L201" s="36"/>
      <c r="M201" s="35"/>
      <c r="N201" s="35"/>
      <c r="O201" s="35"/>
      <c r="P201" s="36"/>
      <c r="Q201" s="35"/>
      <c r="R201" s="35"/>
      <c r="S201" s="35"/>
      <c r="T201" s="36"/>
      <c r="U201" s="35"/>
      <c r="V201" s="36"/>
      <c r="W201" s="35"/>
      <c r="X201" s="36"/>
      <c r="Y201" s="35"/>
      <c r="Z201" s="38"/>
      <c r="AA201" s="35"/>
      <c r="AB201" s="36"/>
      <c r="AC201" s="35"/>
      <c r="AD201" s="36"/>
      <c r="AE201" s="35"/>
      <c r="AF201" s="36"/>
      <c r="AG201" s="35"/>
      <c r="AH201" s="36"/>
      <c r="AI201" s="39"/>
      <c r="AJ201" s="36"/>
      <c r="AK201" s="39"/>
      <c r="AL201" s="36"/>
      <c r="AM201" s="39"/>
      <c r="AN201" s="39"/>
      <c r="AO201" s="36"/>
      <c r="AP201" s="36"/>
      <c r="AQ201" s="37"/>
      <c r="AR201" s="39"/>
      <c r="AS201" s="39"/>
      <c r="AT201" s="39"/>
      <c r="AU201" s="39"/>
      <c r="AV201" s="39"/>
      <c r="AW201" s="39"/>
      <c r="AX201" s="36"/>
      <c r="AY201" s="36"/>
      <c r="AZ201" s="36"/>
      <c r="BA201" s="36"/>
      <c r="BB201" s="39"/>
      <c r="BC201" s="39"/>
      <c r="BD201" s="37"/>
      <c r="BE201" s="37"/>
      <c r="BF201" s="37"/>
    </row>
    <row r="202" spans="1:58">
      <c r="A202" s="40"/>
      <c r="B202" s="35"/>
      <c r="C202" s="41"/>
      <c r="D202" s="35"/>
      <c r="E202" s="35"/>
      <c r="F202" s="35"/>
      <c r="G202" s="36"/>
      <c r="H202" s="35"/>
      <c r="I202" s="37"/>
      <c r="J202" s="35"/>
      <c r="K202" s="35"/>
      <c r="L202" s="36"/>
      <c r="M202" s="35"/>
      <c r="N202" s="35"/>
      <c r="O202" s="35"/>
      <c r="P202" s="36"/>
      <c r="Q202" s="35"/>
      <c r="R202" s="35"/>
      <c r="S202" s="35"/>
      <c r="T202" s="36"/>
      <c r="U202" s="35"/>
      <c r="V202" s="36"/>
      <c r="W202" s="35"/>
      <c r="X202" s="36"/>
      <c r="Y202" s="35"/>
      <c r="Z202" s="38"/>
      <c r="AA202" s="35"/>
      <c r="AB202" s="36"/>
      <c r="AC202" s="35"/>
      <c r="AD202" s="36"/>
      <c r="AE202" s="35"/>
      <c r="AF202" s="36"/>
      <c r="AG202" s="35"/>
      <c r="AH202" s="36"/>
      <c r="AI202" s="39"/>
      <c r="AJ202" s="36"/>
      <c r="AK202" s="39"/>
      <c r="AL202" s="36"/>
      <c r="AM202" s="39"/>
      <c r="AN202" s="39"/>
      <c r="AO202" s="36"/>
      <c r="AP202" s="36"/>
      <c r="AQ202" s="37"/>
      <c r="AR202" s="39"/>
      <c r="AS202" s="39"/>
      <c r="AT202" s="39"/>
      <c r="AU202" s="39"/>
      <c r="AV202" s="39"/>
      <c r="AW202" s="39"/>
      <c r="AX202" s="36"/>
      <c r="AY202" s="36"/>
      <c r="AZ202" s="36"/>
      <c r="BA202" s="36"/>
      <c r="BB202" s="39"/>
      <c r="BC202" s="39"/>
      <c r="BD202" s="37"/>
      <c r="BE202" s="37"/>
      <c r="BF202" s="37"/>
    </row>
    <row r="203" spans="1:58">
      <c r="A203" s="40"/>
      <c r="B203" s="35"/>
      <c r="C203" s="41"/>
      <c r="D203" s="35"/>
      <c r="E203" s="35"/>
      <c r="F203" s="35"/>
      <c r="G203" s="36"/>
      <c r="H203" s="35"/>
      <c r="I203" s="37"/>
      <c r="J203" s="35"/>
      <c r="K203" s="35"/>
      <c r="L203" s="36"/>
      <c r="M203" s="35"/>
      <c r="N203" s="35"/>
      <c r="O203" s="35"/>
      <c r="P203" s="36"/>
      <c r="Q203" s="35"/>
      <c r="R203" s="35"/>
      <c r="S203" s="35"/>
      <c r="T203" s="36"/>
      <c r="U203" s="35"/>
      <c r="V203" s="36"/>
      <c r="W203" s="35"/>
      <c r="X203" s="36"/>
      <c r="Y203" s="35"/>
      <c r="Z203" s="38"/>
      <c r="AA203" s="35"/>
      <c r="AB203" s="36"/>
      <c r="AC203" s="35"/>
      <c r="AD203" s="36"/>
      <c r="AE203" s="35"/>
      <c r="AF203" s="36"/>
      <c r="AG203" s="35"/>
      <c r="AH203" s="36"/>
      <c r="AI203" s="39"/>
      <c r="AJ203" s="36"/>
      <c r="AK203" s="39"/>
      <c r="AL203" s="36"/>
      <c r="AM203" s="39"/>
      <c r="AN203" s="39"/>
      <c r="AO203" s="36"/>
      <c r="AP203" s="36"/>
      <c r="AQ203" s="37"/>
      <c r="AR203" s="39"/>
      <c r="AS203" s="39"/>
      <c r="AT203" s="39"/>
      <c r="AU203" s="39"/>
      <c r="AV203" s="39"/>
      <c r="AW203" s="39"/>
      <c r="AX203" s="36"/>
      <c r="AY203" s="36"/>
      <c r="AZ203" s="36"/>
      <c r="BA203" s="36"/>
      <c r="BB203" s="39"/>
      <c r="BC203" s="39"/>
      <c r="BD203" s="37"/>
      <c r="BE203" s="37"/>
      <c r="BF203" s="37"/>
    </row>
    <row r="204" spans="1:58">
      <c r="A204" s="40"/>
      <c r="B204" s="35"/>
      <c r="C204" s="41"/>
      <c r="D204" s="35"/>
      <c r="E204" s="35"/>
      <c r="F204" s="35"/>
      <c r="G204" s="36"/>
      <c r="H204" s="35"/>
      <c r="I204" s="37"/>
      <c r="J204" s="35"/>
      <c r="K204" s="35"/>
      <c r="L204" s="36"/>
      <c r="M204" s="35"/>
      <c r="N204" s="35"/>
      <c r="O204" s="35"/>
      <c r="P204" s="36"/>
      <c r="Q204" s="35"/>
      <c r="R204" s="35"/>
      <c r="S204" s="35"/>
      <c r="T204" s="36"/>
      <c r="U204" s="35"/>
      <c r="V204" s="36"/>
      <c r="W204" s="35"/>
      <c r="X204" s="36"/>
      <c r="Y204" s="35"/>
      <c r="Z204" s="38"/>
      <c r="AA204" s="35"/>
      <c r="AB204" s="36"/>
      <c r="AC204" s="35"/>
      <c r="AD204" s="36"/>
      <c r="AE204" s="35"/>
      <c r="AF204" s="36"/>
      <c r="AG204" s="35"/>
      <c r="AH204" s="36"/>
      <c r="AI204" s="39"/>
      <c r="AJ204" s="36"/>
      <c r="AK204" s="39"/>
      <c r="AL204" s="36"/>
      <c r="AM204" s="39"/>
      <c r="AN204" s="39"/>
      <c r="AO204" s="36"/>
      <c r="AP204" s="36"/>
      <c r="AQ204" s="37"/>
      <c r="AR204" s="39"/>
      <c r="AS204" s="39"/>
      <c r="AT204" s="39"/>
      <c r="AU204" s="39"/>
      <c r="AV204" s="39"/>
      <c r="AW204" s="39"/>
      <c r="AX204" s="36"/>
      <c r="AY204" s="36"/>
      <c r="AZ204" s="36"/>
      <c r="BA204" s="36"/>
      <c r="BB204" s="39"/>
      <c r="BC204" s="39"/>
      <c r="BD204" s="37"/>
      <c r="BE204" s="37"/>
      <c r="BF204" s="37"/>
    </row>
    <row r="205" spans="1:58">
      <c r="A205" s="40"/>
      <c r="B205" s="35"/>
      <c r="C205" s="41"/>
      <c r="D205" s="35"/>
      <c r="E205" s="35"/>
      <c r="F205" s="35"/>
      <c r="G205" s="36"/>
      <c r="H205" s="35"/>
      <c r="I205" s="37"/>
      <c r="J205" s="35"/>
      <c r="K205" s="35"/>
      <c r="L205" s="36"/>
      <c r="M205" s="35"/>
      <c r="N205" s="35"/>
      <c r="O205" s="35"/>
      <c r="P205" s="36"/>
      <c r="Q205" s="35"/>
      <c r="R205" s="35"/>
      <c r="S205" s="35"/>
      <c r="T205" s="36"/>
      <c r="U205" s="35"/>
      <c r="V205" s="36"/>
      <c r="W205" s="35"/>
      <c r="X205" s="36"/>
      <c r="Y205" s="35"/>
      <c r="Z205" s="38"/>
      <c r="AA205" s="35"/>
      <c r="AB205" s="36"/>
      <c r="AC205" s="35"/>
      <c r="AD205" s="36"/>
      <c r="AE205" s="35"/>
      <c r="AF205" s="36"/>
      <c r="AG205" s="35"/>
      <c r="AH205" s="36"/>
      <c r="AI205" s="39"/>
      <c r="AJ205" s="36"/>
      <c r="AK205" s="39"/>
      <c r="AL205" s="36"/>
      <c r="AM205" s="39"/>
      <c r="AN205" s="39"/>
      <c r="AO205" s="36"/>
      <c r="AP205" s="36"/>
      <c r="AQ205" s="37"/>
      <c r="AR205" s="39"/>
      <c r="AS205" s="39"/>
      <c r="AT205" s="39"/>
      <c r="AU205" s="39"/>
      <c r="AV205" s="39"/>
      <c r="AW205" s="39"/>
      <c r="AX205" s="36"/>
      <c r="AY205" s="36"/>
      <c r="AZ205" s="36"/>
      <c r="BA205" s="36"/>
      <c r="BB205" s="39"/>
      <c r="BC205" s="39"/>
      <c r="BD205" s="37"/>
      <c r="BE205" s="37"/>
      <c r="BF205" s="37"/>
    </row>
    <row r="206" spans="1:58">
      <c r="A206" s="40"/>
      <c r="B206" s="35"/>
      <c r="C206" s="41"/>
      <c r="D206" s="35"/>
      <c r="E206" s="35"/>
      <c r="F206" s="35"/>
      <c r="G206" s="36"/>
      <c r="H206" s="35"/>
      <c r="I206" s="37"/>
      <c r="J206" s="35"/>
      <c r="K206" s="35"/>
      <c r="L206" s="36"/>
      <c r="M206" s="35"/>
      <c r="N206" s="35"/>
      <c r="O206" s="35"/>
      <c r="P206" s="36"/>
      <c r="Q206" s="35"/>
      <c r="R206" s="35"/>
      <c r="S206" s="35"/>
      <c r="T206" s="36"/>
      <c r="U206" s="35"/>
      <c r="V206" s="36"/>
      <c r="W206" s="35"/>
      <c r="X206" s="36"/>
      <c r="Y206" s="35"/>
      <c r="Z206" s="38"/>
      <c r="AA206" s="35"/>
      <c r="AB206" s="36"/>
      <c r="AC206" s="35"/>
      <c r="AD206" s="36"/>
      <c r="AE206" s="35"/>
      <c r="AF206" s="36"/>
      <c r="AG206" s="35"/>
      <c r="AH206" s="36"/>
      <c r="AI206" s="39"/>
      <c r="AJ206" s="36"/>
      <c r="AK206" s="39"/>
      <c r="AL206" s="36"/>
      <c r="AM206" s="39"/>
      <c r="AN206" s="39"/>
      <c r="AO206" s="36"/>
      <c r="AP206" s="36"/>
      <c r="AQ206" s="37"/>
      <c r="AR206" s="39"/>
      <c r="AS206" s="39"/>
      <c r="AT206" s="39"/>
      <c r="AU206" s="39"/>
      <c r="AV206" s="39"/>
      <c r="AW206" s="39"/>
      <c r="AX206" s="36"/>
      <c r="AY206" s="36"/>
      <c r="AZ206" s="36"/>
      <c r="BA206" s="36"/>
      <c r="BB206" s="39"/>
      <c r="BC206" s="39"/>
      <c r="BD206" s="37"/>
      <c r="BE206" s="37"/>
      <c r="BF206" s="37"/>
    </row>
    <row r="207" spans="1:58">
      <c r="A207" s="40"/>
      <c r="B207" s="35"/>
      <c r="C207" s="41"/>
      <c r="D207" s="35"/>
      <c r="E207" s="35"/>
      <c r="F207" s="35"/>
      <c r="G207" s="36"/>
      <c r="H207" s="35"/>
      <c r="I207" s="37"/>
      <c r="J207" s="35"/>
      <c r="K207" s="35"/>
      <c r="L207" s="36"/>
      <c r="M207" s="35"/>
      <c r="N207" s="35"/>
      <c r="O207" s="35"/>
      <c r="P207" s="36"/>
      <c r="Q207" s="35"/>
      <c r="R207" s="35"/>
      <c r="S207" s="35"/>
      <c r="T207" s="36"/>
      <c r="U207" s="35"/>
      <c r="V207" s="36"/>
      <c r="W207" s="35"/>
      <c r="X207" s="36"/>
      <c r="Y207" s="35"/>
      <c r="Z207" s="38"/>
      <c r="AA207" s="35"/>
      <c r="AB207" s="36"/>
      <c r="AC207" s="35"/>
      <c r="AD207" s="36"/>
      <c r="AE207" s="35"/>
      <c r="AF207" s="36"/>
      <c r="AG207" s="35"/>
      <c r="AH207" s="36"/>
      <c r="AI207" s="39"/>
      <c r="AJ207" s="36"/>
      <c r="AK207" s="39"/>
      <c r="AL207" s="36"/>
      <c r="AM207" s="39"/>
      <c r="AN207" s="39"/>
      <c r="AO207" s="36"/>
      <c r="AP207" s="36"/>
      <c r="AQ207" s="37"/>
      <c r="AR207" s="39"/>
      <c r="AS207" s="39"/>
      <c r="AT207" s="39"/>
      <c r="AU207" s="39"/>
      <c r="AV207" s="39"/>
      <c r="AW207" s="39"/>
      <c r="AX207" s="36"/>
      <c r="AY207" s="36"/>
      <c r="AZ207" s="36"/>
      <c r="BA207" s="36"/>
      <c r="BB207" s="39"/>
      <c r="BC207" s="39"/>
      <c r="BD207" s="37"/>
      <c r="BE207" s="37"/>
      <c r="BF207" s="37"/>
    </row>
    <row r="208" spans="1:58">
      <c r="A208" s="40"/>
      <c r="B208" s="35"/>
      <c r="C208" s="41"/>
      <c r="D208" s="35"/>
      <c r="E208" s="35"/>
      <c r="F208" s="35"/>
      <c r="G208" s="36"/>
      <c r="H208" s="35"/>
      <c r="I208" s="37"/>
      <c r="J208" s="35"/>
      <c r="K208" s="35"/>
      <c r="L208" s="36"/>
      <c r="M208" s="35"/>
      <c r="N208" s="35"/>
      <c r="O208" s="35"/>
      <c r="P208" s="36"/>
      <c r="Q208" s="35"/>
      <c r="R208" s="35"/>
      <c r="S208" s="35"/>
      <c r="T208" s="36"/>
      <c r="U208" s="35"/>
      <c r="V208" s="36"/>
      <c r="W208" s="35"/>
      <c r="X208" s="36"/>
      <c r="Y208" s="35"/>
      <c r="Z208" s="38"/>
      <c r="AA208" s="35"/>
      <c r="AB208" s="36"/>
      <c r="AC208" s="35"/>
      <c r="AD208" s="36"/>
      <c r="AE208" s="35"/>
      <c r="AF208" s="36"/>
      <c r="AG208" s="35"/>
      <c r="AH208" s="36"/>
      <c r="AI208" s="39"/>
      <c r="AJ208" s="36"/>
      <c r="AK208" s="39"/>
      <c r="AL208" s="36"/>
      <c r="AM208" s="39"/>
      <c r="AN208" s="39"/>
      <c r="AO208" s="36"/>
      <c r="AP208" s="36"/>
      <c r="AQ208" s="37"/>
      <c r="AR208" s="39"/>
      <c r="AS208" s="39"/>
      <c r="AT208" s="39"/>
      <c r="AU208" s="39"/>
      <c r="AV208" s="39"/>
      <c r="AW208" s="39"/>
      <c r="AX208" s="36"/>
      <c r="AY208" s="36"/>
      <c r="AZ208" s="36"/>
      <c r="BA208" s="36"/>
      <c r="BB208" s="39"/>
      <c r="BC208" s="39"/>
      <c r="BD208" s="37"/>
      <c r="BE208" s="37"/>
      <c r="BF208" s="37"/>
    </row>
    <row r="209" spans="1:58">
      <c r="A209" s="40"/>
      <c r="B209" s="35"/>
      <c r="C209" s="41"/>
      <c r="D209" s="35"/>
      <c r="E209" s="35"/>
      <c r="F209" s="35"/>
      <c r="G209" s="36"/>
      <c r="H209" s="35"/>
      <c r="I209" s="37"/>
      <c r="J209" s="35"/>
      <c r="K209" s="35"/>
      <c r="L209" s="36"/>
      <c r="M209" s="35"/>
      <c r="N209" s="35"/>
      <c r="O209" s="35"/>
      <c r="P209" s="36"/>
      <c r="Q209" s="35"/>
      <c r="R209" s="35"/>
      <c r="S209" s="35"/>
      <c r="T209" s="36"/>
      <c r="U209" s="35"/>
      <c r="V209" s="36"/>
      <c r="W209" s="35"/>
      <c r="X209" s="36"/>
      <c r="Y209" s="35"/>
      <c r="Z209" s="38"/>
      <c r="AA209" s="35"/>
      <c r="AB209" s="36"/>
      <c r="AC209" s="35"/>
      <c r="AD209" s="36"/>
      <c r="AE209" s="35"/>
      <c r="AF209" s="36"/>
      <c r="AG209" s="35"/>
      <c r="AH209" s="36"/>
      <c r="AI209" s="39"/>
      <c r="AJ209" s="36"/>
      <c r="AK209" s="39"/>
      <c r="AL209" s="36"/>
      <c r="AM209" s="39"/>
      <c r="AN209" s="39"/>
      <c r="AO209" s="36"/>
      <c r="AP209" s="36"/>
      <c r="AQ209" s="37"/>
      <c r="AR209" s="39"/>
      <c r="AS209" s="39"/>
      <c r="AT209" s="39"/>
      <c r="AU209" s="39"/>
      <c r="AV209" s="39"/>
      <c r="AW209" s="39"/>
      <c r="AX209" s="36"/>
      <c r="AY209" s="36"/>
      <c r="AZ209" s="36"/>
      <c r="BA209" s="36"/>
      <c r="BB209" s="39"/>
      <c r="BC209" s="39"/>
      <c r="BD209" s="37"/>
      <c r="BE209" s="37"/>
      <c r="BF209" s="37"/>
    </row>
    <row r="210" spans="1:58">
      <c r="A210" s="40"/>
      <c r="B210" s="35"/>
      <c r="C210" s="41"/>
      <c r="D210" s="35"/>
      <c r="E210" s="35"/>
      <c r="F210" s="35"/>
      <c r="G210" s="36"/>
      <c r="H210" s="35"/>
      <c r="I210" s="37"/>
      <c r="J210" s="35"/>
      <c r="K210" s="35"/>
      <c r="L210" s="36"/>
      <c r="M210" s="35"/>
      <c r="N210" s="35"/>
      <c r="O210" s="35"/>
      <c r="P210" s="36"/>
      <c r="Q210" s="35"/>
      <c r="R210" s="35"/>
      <c r="S210" s="35"/>
      <c r="T210" s="36"/>
      <c r="U210" s="35"/>
      <c r="V210" s="36"/>
      <c r="W210" s="35"/>
      <c r="X210" s="36"/>
      <c r="Y210" s="35"/>
      <c r="Z210" s="38"/>
      <c r="AA210" s="35"/>
      <c r="AB210" s="36"/>
      <c r="AC210" s="35"/>
      <c r="AD210" s="36"/>
      <c r="AE210" s="35"/>
      <c r="AF210" s="36"/>
      <c r="AG210" s="35"/>
      <c r="AH210" s="36"/>
      <c r="AI210" s="39"/>
      <c r="AJ210" s="36"/>
      <c r="AK210" s="39"/>
      <c r="AL210" s="36"/>
      <c r="AM210" s="39"/>
      <c r="AN210" s="39"/>
      <c r="AO210" s="36"/>
      <c r="AP210" s="36"/>
      <c r="AQ210" s="37"/>
      <c r="AR210" s="39"/>
      <c r="AS210" s="39"/>
      <c r="AT210" s="39"/>
      <c r="AU210" s="39"/>
      <c r="AV210" s="39"/>
      <c r="AW210" s="39"/>
      <c r="AX210" s="36"/>
      <c r="AY210" s="36"/>
      <c r="AZ210" s="36"/>
      <c r="BA210" s="36"/>
      <c r="BB210" s="39"/>
      <c r="BC210" s="39"/>
      <c r="BD210" s="37"/>
      <c r="BE210" s="37"/>
      <c r="BF210" s="37"/>
    </row>
    <row r="211" spans="1:58">
      <c r="A211" s="40"/>
      <c r="B211" s="35"/>
      <c r="C211" s="41"/>
      <c r="D211" s="35"/>
      <c r="E211" s="35"/>
      <c r="F211" s="35"/>
      <c r="G211" s="36"/>
      <c r="H211" s="35"/>
      <c r="I211" s="37"/>
      <c r="J211" s="35"/>
      <c r="K211" s="35"/>
      <c r="L211" s="36"/>
      <c r="M211" s="35"/>
      <c r="N211" s="35"/>
      <c r="O211" s="35"/>
      <c r="P211" s="36"/>
      <c r="Q211" s="35"/>
      <c r="R211" s="35"/>
      <c r="S211" s="35"/>
      <c r="T211" s="36"/>
      <c r="U211" s="35"/>
      <c r="V211" s="36"/>
      <c r="W211" s="35"/>
      <c r="X211" s="36"/>
      <c r="Y211" s="35"/>
      <c r="Z211" s="38"/>
      <c r="AA211" s="35"/>
      <c r="AB211" s="36"/>
      <c r="AC211" s="35"/>
      <c r="AD211" s="36"/>
      <c r="AE211" s="35"/>
      <c r="AF211" s="36"/>
      <c r="AG211" s="35"/>
      <c r="AH211" s="36"/>
      <c r="AI211" s="39"/>
      <c r="AJ211" s="36"/>
      <c r="AK211" s="39"/>
      <c r="AL211" s="36"/>
      <c r="AM211" s="39"/>
      <c r="AN211" s="39"/>
      <c r="AO211" s="36"/>
      <c r="AP211" s="36"/>
      <c r="AQ211" s="37"/>
      <c r="AR211" s="39"/>
      <c r="AS211" s="39"/>
      <c r="AT211" s="39"/>
      <c r="AU211" s="39"/>
      <c r="AV211" s="39"/>
      <c r="AW211" s="39"/>
      <c r="AX211" s="36"/>
      <c r="AY211" s="36"/>
      <c r="AZ211" s="36"/>
      <c r="BA211" s="36"/>
      <c r="BB211" s="39"/>
      <c r="BC211" s="39"/>
      <c r="BD211" s="37"/>
      <c r="BE211" s="37"/>
      <c r="BF211" s="37"/>
    </row>
    <row r="212" spans="1:58">
      <c r="A212" s="40"/>
      <c r="B212" s="35"/>
      <c r="C212" s="41"/>
      <c r="D212" s="35"/>
      <c r="E212" s="35"/>
      <c r="F212" s="35"/>
      <c r="G212" s="36"/>
      <c r="H212" s="35"/>
      <c r="I212" s="37"/>
      <c r="J212" s="35"/>
      <c r="K212" s="35"/>
      <c r="L212" s="36"/>
      <c r="M212" s="35"/>
      <c r="N212" s="35"/>
      <c r="O212" s="35"/>
      <c r="P212" s="36"/>
      <c r="Q212" s="35"/>
      <c r="R212" s="35"/>
      <c r="S212" s="35"/>
      <c r="T212" s="36"/>
      <c r="U212" s="35"/>
      <c r="V212" s="36"/>
      <c r="W212" s="35"/>
      <c r="X212" s="36"/>
      <c r="Y212" s="35"/>
      <c r="Z212" s="38"/>
      <c r="AA212" s="35"/>
      <c r="AB212" s="36"/>
      <c r="AC212" s="35"/>
      <c r="AD212" s="36"/>
      <c r="AE212" s="35"/>
      <c r="AF212" s="36"/>
      <c r="AG212" s="35"/>
      <c r="AH212" s="36"/>
      <c r="AI212" s="39"/>
      <c r="AJ212" s="36"/>
      <c r="AK212" s="39"/>
      <c r="AL212" s="36"/>
      <c r="AM212" s="39"/>
      <c r="AN212" s="39"/>
      <c r="AO212" s="36"/>
      <c r="AP212" s="36"/>
      <c r="AQ212" s="37"/>
      <c r="AR212" s="39"/>
      <c r="AS212" s="39"/>
      <c r="AT212" s="39"/>
      <c r="AU212" s="39"/>
      <c r="AV212" s="39"/>
      <c r="AW212" s="39"/>
      <c r="AX212" s="36"/>
      <c r="AY212" s="36"/>
      <c r="AZ212" s="36"/>
      <c r="BA212" s="36"/>
      <c r="BB212" s="39"/>
      <c r="BC212" s="39"/>
      <c r="BD212" s="37"/>
      <c r="BE212" s="37"/>
      <c r="BF212" s="37"/>
    </row>
    <row r="213" spans="1:58">
      <c r="A213" s="40"/>
      <c r="B213" s="35"/>
      <c r="C213" s="41"/>
      <c r="D213" s="35"/>
      <c r="E213" s="35"/>
      <c r="F213" s="35"/>
      <c r="G213" s="36"/>
      <c r="H213" s="35"/>
      <c r="I213" s="37"/>
      <c r="J213" s="35"/>
      <c r="K213" s="35"/>
      <c r="L213" s="36"/>
      <c r="M213" s="35"/>
      <c r="N213" s="35"/>
      <c r="O213" s="35"/>
      <c r="P213" s="36"/>
      <c r="Q213" s="35"/>
      <c r="R213" s="35"/>
      <c r="S213" s="35"/>
      <c r="T213" s="36"/>
      <c r="U213" s="35"/>
      <c r="V213" s="36"/>
      <c r="W213" s="35"/>
      <c r="X213" s="36"/>
      <c r="Y213" s="35"/>
      <c r="Z213" s="38"/>
      <c r="AA213" s="35"/>
      <c r="AB213" s="36"/>
      <c r="AC213" s="35"/>
      <c r="AD213" s="36"/>
      <c r="AE213" s="35"/>
      <c r="AF213" s="36"/>
      <c r="AG213" s="35"/>
      <c r="AH213" s="36"/>
      <c r="AI213" s="39"/>
      <c r="AJ213" s="36"/>
      <c r="AK213" s="39"/>
      <c r="AL213" s="36"/>
      <c r="AM213" s="39"/>
      <c r="AN213" s="39"/>
      <c r="AO213" s="36"/>
      <c r="AP213" s="36"/>
      <c r="AQ213" s="37"/>
      <c r="AR213" s="39"/>
      <c r="AS213" s="39"/>
      <c r="AT213" s="39"/>
      <c r="AU213" s="39"/>
      <c r="AV213" s="39"/>
      <c r="AW213" s="39"/>
      <c r="AX213" s="36"/>
      <c r="AY213" s="36"/>
      <c r="AZ213" s="36"/>
      <c r="BA213" s="36"/>
      <c r="BB213" s="39"/>
      <c r="BC213" s="39"/>
      <c r="BD213" s="37"/>
      <c r="BE213" s="37"/>
      <c r="BF213" s="37"/>
    </row>
    <row r="214" spans="1:58">
      <c r="A214" s="40"/>
      <c r="B214" s="35"/>
      <c r="C214" s="41"/>
      <c r="D214" s="35"/>
      <c r="E214" s="35"/>
      <c r="F214" s="35"/>
      <c r="G214" s="36"/>
      <c r="H214" s="35"/>
      <c r="I214" s="37"/>
      <c r="J214" s="35"/>
      <c r="K214" s="35"/>
      <c r="L214" s="36"/>
      <c r="M214" s="35"/>
      <c r="N214" s="35"/>
      <c r="O214" s="35"/>
      <c r="P214" s="36"/>
      <c r="Q214" s="35"/>
      <c r="R214" s="35"/>
      <c r="S214" s="35"/>
      <c r="T214" s="36"/>
      <c r="U214" s="35"/>
      <c r="V214" s="36"/>
      <c r="W214" s="35"/>
      <c r="X214" s="36"/>
      <c r="Y214" s="35"/>
      <c r="Z214" s="38"/>
      <c r="AA214" s="35"/>
      <c r="AB214" s="36"/>
      <c r="AC214" s="35"/>
      <c r="AD214" s="36"/>
      <c r="AE214" s="35"/>
      <c r="AF214" s="36"/>
      <c r="AG214" s="35"/>
      <c r="AH214" s="36"/>
      <c r="AI214" s="39"/>
      <c r="AJ214" s="36"/>
      <c r="AK214" s="39"/>
      <c r="AL214" s="36"/>
      <c r="AM214" s="39"/>
      <c r="AN214" s="39"/>
      <c r="AO214" s="36"/>
      <c r="AP214" s="36"/>
      <c r="AQ214" s="37"/>
      <c r="AR214" s="39"/>
      <c r="AS214" s="39"/>
      <c r="AT214" s="39"/>
      <c r="AU214" s="39"/>
      <c r="AV214" s="39"/>
      <c r="AW214" s="39"/>
      <c r="AX214" s="36"/>
      <c r="AY214" s="36"/>
      <c r="AZ214" s="36"/>
      <c r="BA214" s="36"/>
      <c r="BB214" s="39"/>
      <c r="BC214" s="39"/>
      <c r="BD214" s="37"/>
      <c r="BE214" s="37"/>
      <c r="BF214" s="37"/>
    </row>
    <row r="215" spans="1:58">
      <c r="A215" s="40"/>
      <c r="B215" s="35"/>
      <c r="C215" s="41"/>
      <c r="D215" s="35"/>
      <c r="E215" s="35"/>
      <c r="F215" s="35"/>
      <c r="G215" s="36"/>
      <c r="H215" s="35"/>
      <c r="I215" s="37"/>
      <c r="J215" s="35"/>
      <c r="K215" s="35"/>
      <c r="L215" s="36"/>
      <c r="M215" s="35"/>
      <c r="N215" s="35"/>
      <c r="O215" s="35"/>
      <c r="P215" s="36"/>
      <c r="Q215" s="35"/>
      <c r="R215" s="35"/>
      <c r="S215" s="35"/>
      <c r="T215" s="36"/>
      <c r="U215" s="35"/>
      <c r="V215" s="36"/>
      <c r="W215" s="35"/>
      <c r="X215" s="36"/>
      <c r="Y215" s="35"/>
      <c r="Z215" s="38"/>
      <c r="AA215" s="35"/>
      <c r="AB215" s="36"/>
      <c r="AC215" s="35"/>
      <c r="AD215" s="36"/>
      <c r="AE215" s="35"/>
      <c r="AF215" s="36"/>
      <c r="AG215" s="35"/>
      <c r="AH215" s="36"/>
      <c r="AI215" s="39"/>
      <c r="AJ215" s="36"/>
      <c r="AK215" s="39"/>
      <c r="AL215" s="36"/>
      <c r="AM215" s="39"/>
      <c r="AN215" s="39"/>
      <c r="AO215" s="36"/>
      <c r="AP215" s="36"/>
      <c r="AQ215" s="37"/>
      <c r="AR215" s="39"/>
      <c r="AS215" s="39"/>
      <c r="AT215" s="39"/>
      <c r="AU215" s="39"/>
      <c r="AV215" s="39"/>
      <c r="AW215" s="39"/>
      <c r="AX215" s="36"/>
      <c r="AY215" s="36"/>
      <c r="AZ215" s="36"/>
      <c r="BA215" s="36"/>
      <c r="BB215" s="39"/>
      <c r="BC215" s="39"/>
      <c r="BD215" s="37"/>
      <c r="BE215" s="37"/>
      <c r="BF215" s="37"/>
    </row>
    <row r="216" spans="1:58">
      <c r="A216" s="40"/>
      <c r="B216" s="35"/>
      <c r="C216" s="41"/>
      <c r="D216" s="35"/>
      <c r="E216" s="35"/>
      <c r="F216" s="35"/>
      <c r="G216" s="36"/>
      <c r="H216" s="35"/>
      <c r="I216" s="37"/>
      <c r="J216" s="35"/>
      <c r="K216" s="35"/>
      <c r="L216" s="36"/>
      <c r="M216" s="35"/>
      <c r="N216" s="35"/>
      <c r="O216" s="35"/>
      <c r="P216" s="36"/>
      <c r="Q216" s="35"/>
      <c r="R216" s="35"/>
      <c r="S216" s="35"/>
      <c r="T216" s="36"/>
      <c r="U216" s="35"/>
      <c r="V216" s="36"/>
      <c r="W216" s="35"/>
      <c r="X216" s="36"/>
      <c r="Y216" s="35"/>
      <c r="Z216" s="38"/>
      <c r="AA216" s="35"/>
      <c r="AB216" s="36"/>
      <c r="AC216" s="35"/>
      <c r="AD216" s="36"/>
      <c r="AE216" s="35"/>
      <c r="AF216" s="36"/>
      <c r="AG216" s="35"/>
      <c r="AH216" s="36"/>
      <c r="AI216" s="39"/>
      <c r="AJ216" s="36"/>
      <c r="AK216" s="39"/>
      <c r="AL216" s="36"/>
      <c r="AM216" s="39"/>
      <c r="AN216" s="39"/>
      <c r="AO216" s="36"/>
      <c r="AP216" s="36"/>
      <c r="AQ216" s="37"/>
      <c r="AR216" s="39"/>
      <c r="AS216" s="39"/>
      <c r="AT216" s="39"/>
      <c r="AU216" s="39"/>
      <c r="AV216" s="39"/>
      <c r="AW216" s="39"/>
      <c r="AX216" s="36"/>
      <c r="AY216" s="36"/>
      <c r="AZ216" s="36"/>
      <c r="BA216" s="36"/>
      <c r="BB216" s="39"/>
      <c r="BC216" s="39"/>
      <c r="BD216" s="37"/>
      <c r="BE216" s="37"/>
      <c r="BF216" s="37"/>
    </row>
    <row r="217" spans="1:58">
      <c r="A217" s="40"/>
      <c r="B217" s="35"/>
      <c r="C217" s="41"/>
      <c r="D217" s="35"/>
      <c r="E217" s="35"/>
      <c r="F217" s="35"/>
      <c r="G217" s="36"/>
      <c r="H217" s="35"/>
      <c r="I217" s="37"/>
      <c r="J217" s="35"/>
      <c r="K217" s="35"/>
      <c r="L217" s="36"/>
      <c r="M217" s="35"/>
      <c r="N217" s="35"/>
      <c r="O217" s="35"/>
      <c r="P217" s="36"/>
      <c r="Q217" s="35"/>
      <c r="R217" s="35"/>
      <c r="S217" s="35"/>
      <c r="T217" s="36"/>
      <c r="U217" s="35"/>
      <c r="V217" s="36"/>
      <c r="W217" s="35"/>
      <c r="X217" s="36"/>
      <c r="Y217" s="35"/>
      <c r="Z217" s="38"/>
      <c r="AA217" s="35"/>
      <c r="AB217" s="36"/>
      <c r="AC217" s="35"/>
      <c r="AD217" s="36"/>
      <c r="AE217" s="35"/>
      <c r="AF217" s="36"/>
      <c r="AG217" s="35"/>
      <c r="AH217" s="36"/>
      <c r="AI217" s="39"/>
      <c r="AJ217" s="36"/>
      <c r="AK217" s="39"/>
      <c r="AL217" s="36"/>
      <c r="AM217" s="39"/>
      <c r="AN217" s="39"/>
      <c r="AO217" s="36"/>
      <c r="AP217" s="36"/>
      <c r="AQ217" s="37"/>
      <c r="AR217" s="39"/>
      <c r="AS217" s="39"/>
      <c r="AT217" s="39"/>
      <c r="AU217" s="39"/>
      <c r="AV217" s="39"/>
      <c r="AW217" s="39"/>
      <c r="AX217" s="36"/>
      <c r="AY217" s="36"/>
      <c r="AZ217" s="36"/>
      <c r="BA217" s="36"/>
      <c r="BB217" s="39"/>
      <c r="BC217" s="39"/>
      <c r="BD217" s="37"/>
      <c r="BE217" s="37"/>
      <c r="BF217" s="37"/>
    </row>
    <row r="218" spans="1:58">
      <c r="A218" s="40"/>
      <c r="B218" s="35"/>
      <c r="C218" s="41"/>
      <c r="D218" s="35"/>
      <c r="E218" s="35"/>
      <c r="F218" s="35"/>
      <c r="G218" s="36"/>
      <c r="H218" s="35"/>
      <c r="I218" s="37"/>
      <c r="J218" s="35"/>
      <c r="K218" s="35"/>
      <c r="L218" s="36"/>
      <c r="M218" s="35"/>
      <c r="N218" s="35"/>
      <c r="O218" s="35"/>
      <c r="P218" s="36"/>
      <c r="Q218" s="35"/>
      <c r="R218" s="35"/>
      <c r="S218" s="35"/>
      <c r="T218" s="36"/>
      <c r="U218" s="35"/>
      <c r="V218" s="36"/>
      <c r="W218" s="35"/>
      <c r="X218" s="36"/>
      <c r="Y218" s="35"/>
      <c r="Z218" s="38"/>
      <c r="AA218" s="35"/>
      <c r="AB218" s="36"/>
      <c r="AC218" s="35"/>
      <c r="AD218" s="36"/>
      <c r="AE218" s="35"/>
      <c r="AF218" s="36"/>
      <c r="AG218" s="35"/>
      <c r="AH218" s="36"/>
      <c r="AI218" s="39"/>
      <c r="AJ218" s="36"/>
      <c r="AK218" s="39"/>
      <c r="AL218" s="36"/>
      <c r="AM218" s="39"/>
      <c r="AN218" s="39"/>
      <c r="AO218" s="36"/>
      <c r="AP218" s="36"/>
      <c r="AQ218" s="37"/>
      <c r="AR218" s="39"/>
      <c r="AS218" s="39"/>
      <c r="AT218" s="39"/>
      <c r="AU218" s="39"/>
      <c r="AV218" s="39"/>
      <c r="AW218" s="39"/>
      <c r="AX218" s="36"/>
      <c r="AY218" s="36"/>
      <c r="AZ218" s="36"/>
      <c r="BA218" s="36"/>
      <c r="BB218" s="39"/>
      <c r="BC218" s="39"/>
      <c r="BD218" s="37"/>
      <c r="BE218" s="37"/>
      <c r="BF218" s="37"/>
    </row>
    <row r="219" spans="1:58">
      <c r="A219" s="40"/>
      <c r="B219" s="35"/>
      <c r="C219" s="41"/>
      <c r="D219" s="35"/>
      <c r="E219" s="35"/>
      <c r="F219" s="35"/>
      <c r="G219" s="36"/>
      <c r="H219" s="35"/>
      <c r="I219" s="37"/>
      <c r="J219" s="35"/>
      <c r="K219" s="35"/>
      <c r="L219" s="36"/>
      <c r="M219" s="35"/>
      <c r="N219" s="35"/>
      <c r="O219" s="35"/>
      <c r="P219" s="36"/>
      <c r="Q219" s="35"/>
      <c r="R219" s="35"/>
      <c r="S219" s="35"/>
      <c r="T219" s="36"/>
      <c r="U219" s="35"/>
      <c r="V219" s="36"/>
      <c r="W219" s="35"/>
      <c r="X219" s="36"/>
      <c r="Y219" s="35"/>
      <c r="Z219" s="38"/>
      <c r="AA219" s="35"/>
      <c r="AB219" s="36"/>
      <c r="AC219" s="35"/>
      <c r="AD219" s="36"/>
      <c r="AE219" s="35"/>
      <c r="AF219" s="36"/>
      <c r="AG219" s="35"/>
      <c r="AH219" s="36"/>
      <c r="AI219" s="39"/>
      <c r="AJ219" s="36"/>
      <c r="AK219" s="39"/>
      <c r="AL219" s="36"/>
      <c r="AM219" s="39"/>
      <c r="AN219" s="39"/>
      <c r="AO219" s="36"/>
      <c r="AP219" s="36"/>
      <c r="AQ219" s="37"/>
      <c r="AR219" s="39"/>
      <c r="AS219" s="39"/>
      <c r="AT219" s="39"/>
      <c r="AU219" s="39"/>
      <c r="AV219" s="39"/>
      <c r="AW219" s="39"/>
      <c r="AX219" s="36"/>
      <c r="AY219" s="36"/>
      <c r="AZ219" s="36"/>
      <c r="BA219" s="36"/>
      <c r="BB219" s="39"/>
      <c r="BC219" s="39"/>
      <c r="BD219" s="37"/>
      <c r="BE219" s="37"/>
      <c r="BF219" s="37"/>
    </row>
    <row r="220" spans="1:58">
      <c r="A220" s="40"/>
      <c r="B220" s="35"/>
      <c r="C220" s="41"/>
      <c r="D220" s="35"/>
      <c r="E220" s="35"/>
      <c r="F220" s="35"/>
      <c r="G220" s="36"/>
      <c r="H220" s="35"/>
      <c r="I220" s="37"/>
      <c r="J220" s="35"/>
      <c r="K220" s="35"/>
      <c r="L220" s="36"/>
      <c r="M220" s="35"/>
      <c r="N220" s="35"/>
      <c r="O220" s="35"/>
      <c r="P220" s="36"/>
      <c r="Q220" s="35"/>
      <c r="R220" s="35"/>
      <c r="S220" s="35"/>
      <c r="T220" s="36"/>
      <c r="U220" s="35"/>
      <c r="V220" s="36"/>
      <c r="W220" s="35"/>
      <c r="X220" s="36"/>
      <c r="Y220" s="35"/>
      <c r="Z220" s="38"/>
      <c r="AA220" s="35"/>
      <c r="AB220" s="36"/>
      <c r="AC220" s="35"/>
      <c r="AD220" s="36"/>
      <c r="AE220" s="35"/>
      <c r="AF220" s="36"/>
      <c r="AG220" s="35"/>
      <c r="AH220" s="36"/>
      <c r="AI220" s="39"/>
      <c r="AJ220" s="36"/>
      <c r="AK220" s="39"/>
      <c r="AL220" s="36"/>
      <c r="AM220" s="39"/>
      <c r="AN220" s="39"/>
      <c r="AO220" s="36"/>
      <c r="AP220" s="36"/>
      <c r="AQ220" s="37"/>
      <c r="AR220" s="39"/>
      <c r="AS220" s="39"/>
      <c r="AT220" s="39"/>
      <c r="AU220" s="39"/>
      <c r="AV220" s="39"/>
      <c r="AW220" s="39"/>
      <c r="AX220" s="36"/>
      <c r="AY220" s="36"/>
      <c r="AZ220" s="36"/>
      <c r="BA220" s="36"/>
      <c r="BB220" s="39"/>
      <c r="BC220" s="39"/>
      <c r="BD220" s="37"/>
      <c r="BE220" s="37"/>
      <c r="BF220" s="37"/>
    </row>
    <row r="221" spans="1:58">
      <c r="A221" s="40"/>
      <c r="B221" s="35"/>
      <c r="C221" s="41"/>
      <c r="D221" s="35"/>
      <c r="E221" s="35"/>
      <c r="F221" s="35"/>
      <c r="G221" s="36"/>
      <c r="H221" s="35"/>
      <c r="I221" s="37"/>
      <c r="J221" s="35"/>
      <c r="K221" s="35"/>
      <c r="L221" s="36"/>
      <c r="M221" s="35"/>
      <c r="N221" s="35"/>
      <c r="O221" s="35"/>
      <c r="P221" s="36"/>
      <c r="Q221" s="35"/>
      <c r="R221" s="35"/>
      <c r="S221" s="35"/>
      <c r="T221" s="36"/>
      <c r="U221" s="35"/>
      <c r="V221" s="36"/>
      <c r="W221" s="35"/>
      <c r="X221" s="36"/>
      <c r="Y221" s="35"/>
      <c r="Z221" s="38"/>
      <c r="AA221" s="35"/>
      <c r="AB221" s="36"/>
      <c r="AC221" s="35"/>
      <c r="AD221" s="36"/>
      <c r="AE221" s="35"/>
      <c r="AF221" s="36"/>
      <c r="AG221" s="35"/>
      <c r="AH221" s="36"/>
      <c r="AI221" s="39"/>
      <c r="AJ221" s="36"/>
      <c r="AK221" s="39"/>
      <c r="AL221" s="36"/>
      <c r="AM221" s="39"/>
      <c r="AN221" s="39"/>
      <c r="AO221" s="36"/>
      <c r="AP221" s="36"/>
      <c r="AQ221" s="37"/>
      <c r="AR221" s="39"/>
      <c r="AS221" s="39"/>
      <c r="AT221" s="39"/>
      <c r="AU221" s="39"/>
      <c r="AV221" s="39"/>
      <c r="AW221" s="39"/>
      <c r="AX221" s="36"/>
      <c r="AY221" s="36"/>
      <c r="AZ221" s="36"/>
      <c r="BA221" s="36"/>
      <c r="BB221" s="39"/>
      <c r="BC221" s="39"/>
      <c r="BD221" s="37"/>
      <c r="BE221" s="37"/>
      <c r="BF221" s="37"/>
    </row>
    <row r="222" spans="1:58">
      <c r="A222" s="40"/>
      <c r="B222" s="35"/>
      <c r="C222" s="41"/>
      <c r="D222" s="35"/>
      <c r="E222" s="35"/>
      <c r="F222" s="35"/>
      <c r="G222" s="36"/>
      <c r="H222" s="35"/>
      <c r="I222" s="37"/>
      <c r="J222" s="35"/>
      <c r="K222" s="35"/>
      <c r="L222" s="36"/>
      <c r="M222" s="35"/>
      <c r="N222" s="35"/>
      <c r="O222" s="35"/>
      <c r="P222" s="36"/>
      <c r="Q222" s="35"/>
      <c r="R222" s="35"/>
      <c r="S222" s="35"/>
      <c r="T222" s="36"/>
      <c r="U222" s="35"/>
      <c r="V222" s="36"/>
      <c r="W222" s="35"/>
      <c r="X222" s="36"/>
      <c r="Y222" s="35"/>
      <c r="Z222" s="38"/>
      <c r="AA222" s="35"/>
      <c r="AB222" s="36"/>
      <c r="AC222" s="35"/>
      <c r="AD222" s="36"/>
      <c r="AE222" s="35"/>
      <c r="AF222" s="36"/>
      <c r="AG222" s="35"/>
      <c r="AH222" s="36"/>
      <c r="AI222" s="39"/>
      <c r="AJ222" s="36"/>
      <c r="AK222" s="39"/>
      <c r="AL222" s="36"/>
      <c r="AM222" s="39"/>
      <c r="AN222" s="39"/>
      <c r="AO222" s="36"/>
      <c r="AP222" s="36"/>
      <c r="AQ222" s="37"/>
      <c r="AR222" s="39"/>
      <c r="AS222" s="39"/>
      <c r="AT222" s="39"/>
      <c r="AU222" s="39"/>
      <c r="AV222" s="39"/>
      <c r="AW222" s="39"/>
      <c r="AX222" s="36"/>
      <c r="AY222" s="36"/>
      <c r="AZ222" s="36"/>
      <c r="BA222" s="36"/>
      <c r="BB222" s="39"/>
      <c r="BC222" s="39"/>
      <c r="BD222" s="37"/>
      <c r="BE222" s="37"/>
      <c r="BF222" s="37"/>
    </row>
    <row r="223" spans="1:58">
      <c r="A223" s="40"/>
      <c r="B223" s="35"/>
      <c r="C223" s="41"/>
      <c r="D223" s="35"/>
      <c r="E223" s="35"/>
      <c r="F223" s="35"/>
      <c r="G223" s="36"/>
      <c r="H223" s="35"/>
      <c r="I223" s="37"/>
      <c r="J223" s="35"/>
      <c r="K223" s="35"/>
      <c r="L223" s="36"/>
      <c r="M223" s="35"/>
      <c r="N223" s="35"/>
      <c r="O223" s="35"/>
      <c r="P223" s="36"/>
      <c r="Q223" s="35"/>
      <c r="R223" s="35"/>
      <c r="S223" s="35"/>
      <c r="T223" s="36"/>
      <c r="U223" s="35"/>
      <c r="V223" s="36"/>
      <c r="W223" s="35"/>
      <c r="X223" s="36"/>
      <c r="Y223" s="35"/>
      <c r="Z223" s="38"/>
      <c r="AA223" s="35"/>
      <c r="AB223" s="36"/>
      <c r="AC223" s="35"/>
      <c r="AD223" s="36"/>
      <c r="AE223" s="35"/>
      <c r="AF223" s="36"/>
      <c r="AG223" s="35"/>
      <c r="AH223" s="36"/>
      <c r="AI223" s="39"/>
      <c r="AJ223" s="36"/>
      <c r="AK223" s="39"/>
      <c r="AL223" s="36"/>
      <c r="AM223" s="39"/>
      <c r="AN223" s="39"/>
      <c r="AO223" s="36"/>
      <c r="AP223" s="36"/>
      <c r="AQ223" s="37"/>
      <c r="AR223" s="39"/>
      <c r="AS223" s="39"/>
      <c r="AT223" s="39"/>
      <c r="AU223" s="39"/>
      <c r="AV223" s="39"/>
      <c r="AW223" s="39"/>
      <c r="AX223" s="36"/>
      <c r="AY223" s="36"/>
      <c r="AZ223" s="36"/>
      <c r="BA223" s="36"/>
      <c r="BB223" s="39"/>
      <c r="BC223" s="39"/>
      <c r="BD223" s="37"/>
      <c r="BE223" s="37"/>
      <c r="BF223" s="37"/>
    </row>
    <row r="224" spans="1:58">
      <c r="A224" s="40"/>
      <c r="B224" s="35"/>
      <c r="C224" s="41"/>
      <c r="D224" s="35"/>
      <c r="E224" s="35"/>
      <c r="F224" s="35"/>
      <c r="G224" s="36"/>
      <c r="H224" s="35"/>
      <c r="I224" s="37"/>
      <c r="J224" s="35"/>
      <c r="K224" s="35"/>
      <c r="L224" s="36"/>
      <c r="M224" s="35"/>
      <c r="N224" s="35"/>
      <c r="O224" s="35"/>
      <c r="P224" s="36"/>
      <c r="Q224" s="35"/>
      <c r="R224" s="35"/>
      <c r="S224" s="35"/>
      <c r="T224" s="36"/>
      <c r="U224" s="35"/>
      <c r="V224" s="36"/>
      <c r="W224" s="35"/>
      <c r="X224" s="36"/>
      <c r="Y224" s="35"/>
      <c r="Z224" s="38"/>
      <c r="AA224" s="35"/>
      <c r="AB224" s="36"/>
      <c r="AC224" s="35"/>
      <c r="AD224" s="36"/>
      <c r="AE224" s="35"/>
      <c r="AF224" s="36"/>
      <c r="AG224" s="35"/>
      <c r="AH224" s="36"/>
      <c r="AI224" s="39"/>
      <c r="AJ224" s="36"/>
      <c r="AK224" s="39"/>
      <c r="AL224" s="36"/>
      <c r="AM224" s="39"/>
      <c r="AN224" s="39"/>
      <c r="AO224" s="36"/>
      <c r="AP224" s="36"/>
      <c r="AQ224" s="37"/>
      <c r="AR224" s="39"/>
      <c r="AS224" s="39"/>
      <c r="AT224" s="39"/>
      <c r="AU224" s="39"/>
      <c r="AV224" s="39"/>
      <c r="AW224" s="39"/>
      <c r="AX224" s="36"/>
      <c r="AY224" s="36"/>
      <c r="AZ224" s="36"/>
      <c r="BA224" s="36"/>
      <c r="BB224" s="39"/>
      <c r="BC224" s="39"/>
      <c r="BD224" s="37"/>
      <c r="BE224" s="37"/>
      <c r="BF224" s="37"/>
    </row>
    <row r="225" spans="1:58">
      <c r="A225" s="40"/>
      <c r="B225" s="35"/>
      <c r="C225" s="41"/>
      <c r="D225" s="35"/>
      <c r="E225" s="35"/>
      <c r="F225" s="35"/>
      <c r="G225" s="36"/>
      <c r="H225" s="35"/>
      <c r="I225" s="37"/>
      <c r="J225" s="35"/>
      <c r="K225" s="35"/>
      <c r="L225" s="36"/>
      <c r="M225" s="35"/>
      <c r="N225" s="35"/>
      <c r="O225" s="35"/>
      <c r="P225" s="36"/>
      <c r="Q225" s="35"/>
      <c r="R225" s="35"/>
      <c r="S225" s="35"/>
      <c r="T225" s="36"/>
      <c r="U225" s="35"/>
      <c r="V225" s="36"/>
      <c r="W225" s="35"/>
      <c r="X225" s="36"/>
      <c r="Y225" s="35"/>
      <c r="Z225" s="38"/>
      <c r="AA225" s="35"/>
      <c r="AB225" s="36"/>
      <c r="AC225" s="35"/>
      <c r="AD225" s="36"/>
      <c r="AE225" s="35"/>
      <c r="AF225" s="36"/>
      <c r="AG225" s="35"/>
      <c r="AH225" s="36"/>
      <c r="AI225" s="39"/>
      <c r="AJ225" s="36"/>
      <c r="AK225" s="39"/>
      <c r="AL225" s="36"/>
      <c r="AM225" s="39"/>
      <c r="AN225" s="39"/>
      <c r="AO225" s="36"/>
      <c r="AP225" s="36"/>
      <c r="AQ225" s="37"/>
      <c r="AR225" s="39"/>
      <c r="AS225" s="39"/>
      <c r="AT225" s="39"/>
      <c r="AU225" s="39"/>
      <c r="AV225" s="39"/>
      <c r="AW225" s="39"/>
      <c r="AX225" s="36"/>
      <c r="AY225" s="36"/>
      <c r="AZ225" s="36"/>
      <c r="BA225" s="36"/>
      <c r="BB225" s="39"/>
      <c r="BC225" s="39"/>
      <c r="BD225" s="37"/>
      <c r="BE225" s="37"/>
      <c r="BF225" s="37"/>
    </row>
    <row r="226" spans="1:58">
      <c r="A226" s="40"/>
      <c r="B226" s="35"/>
      <c r="C226" s="41"/>
      <c r="D226" s="35"/>
      <c r="E226" s="35"/>
      <c r="F226" s="35"/>
      <c r="G226" s="36"/>
      <c r="H226" s="35"/>
      <c r="I226" s="37"/>
      <c r="J226" s="35"/>
      <c r="K226" s="35"/>
      <c r="L226" s="36"/>
      <c r="M226" s="35"/>
      <c r="N226" s="35"/>
      <c r="O226" s="35"/>
      <c r="P226" s="36"/>
      <c r="Q226" s="35"/>
      <c r="R226" s="35"/>
      <c r="S226" s="35"/>
      <c r="T226" s="36"/>
      <c r="U226" s="35"/>
      <c r="V226" s="36"/>
      <c r="W226" s="35"/>
      <c r="X226" s="36"/>
      <c r="Y226" s="35"/>
      <c r="Z226" s="38"/>
      <c r="AA226" s="35"/>
      <c r="AB226" s="36"/>
      <c r="AC226" s="35"/>
      <c r="AD226" s="36"/>
      <c r="AE226" s="35"/>
      <c r="AF226" s="36"/>
      <c r="AG226" s="35"/>
      <c r="AH226" s="36"/>
      <c r="AI226" s="39"/>
      <c r="AJ226" s="36"/>
      <c r="AK226" s="39"/>
      <c r="AL226" s="36"/>
      <c r="AM226" s="39"/>
      <c r="AN226" s="39"/>
      <c r="AO226" s="36"/>
      <c r="AP226" s="36"/>
      <c r="AQ226" s="37"/>
      <c r="AR226" s="39"/>
      <c r="AS226" s="39"/>
      <c r="AT226" s="39"/>
      <c r="AU226" s="39"/>
      <c r="AV226" s="39"/>
      <c r="AW226" s="39"/>
      <c r="AX226" s="36"/>
      <c r="AY226" s="36"/>
      <c r="AZ226" s="36"/>
      <c r="BA226" s="36"/>
      <c r="BB226" s="39"/>
      <c r="BC226" s="39"/>
      <c r="BD226" s="37"/>
      <c r="BE226" s="37"/>
      <c r="BF226" s="37"/>
    </row>
    <row r="227" spans="1:58">
      <c r="A227" s="40"/>
      <c r="B227" s="35"/>
      <c r="C227" s="41"/>
      <c r="D227" s="35"/>
      <c r="E227" s="35"/>
      <c r="F227" s="35"/>
      <c r="G227" s="36"/>
      <c r="H227" s="35"/>
      <c r="I227" s="37"/>
      <c r="J227" s="35"/>
      <c r="K227" s="35"/>
      <c r="L227" s="36"/>
      <c r="M227" s="35"/>
      <c r="N227" s="35"/>
      <c r="O227" s="35"/>
      <c r="P227" s="36"/>
      <c r="Q227" s="35"/>
      <c r="R227" s="35"/>
      <c r="S227" s="35"/>
      <c r="T227" s="36"/>
      <c r="U227" s="35"/>
      <c r="V227" s="36"/>
      <c r="W227" s="35"/>
      <c r="X227" s="36"/>
      <c r="Y227" s="35"/>
      <c r="Z227" s="38"/>
      <c r="AA227" s="35"/>
      <c r="AB227" s="36"/>
      <c r="AC227" s="35"/>
      <c r="AD227" s="36"/>
      <c r="AE227" s="35"/>
      <c r="AF227" s="36"/>
      <c r="AG227" s="35"/>
      <c r="AH227" s="36"/>
      <c r="AI227" s="39"/>
      <c r="AJ227" s="36"/>
      <c r="AK227" s="39"/>
      <c r="AL227" s="36"/>
      <c r="AM227" s="39"/>
      <c r="AN227" s="39"/>
      <c r="AO227" s="36"/>
      <c r="AP227" s="36"/>
      <c r="AQ227" s="37"/>
      <c r="AR227" s="39"/>
      <c r="AS227" s="39"/>
      <c r="AT227" s="39"/>
      <c r="AU227" s="39"/>
      <c r="AV227" s="39"/>
      <c r="AW227" s="39"/>
      <c r="AX227" s="36"/>
      <c r="AY227" s="36"/>
      <c r="AZ227" s="36"/>
      <c r="BA227" s="36"/>
      <c r="BB227" s="39"/>
      <c r="BC227" s="39"/>
      <c r="BD227" s="37"/>
      <c r="BE227" s="37"/>
      <c r="BF227" s="37"/>
    </row>
    <row r="228" spans="1:58">
      <c r="A228" s="40"/>
      <c r="B228" s="35"/>
      <c r="C228" s="41"/>
      <c r="D228" s="35"/>
      <c r="E228" s="35"/>
      <c r="F228" s="35"/>
      <c r="G228" s="36"/>
      <c r="H228" s="35"/>
      <c r="I228" s="37"/>
      <c r="J228" s="35"/>
      <c r="K228" s="35"/>
      <c r="L228" s="36"/>
      <c r="M228" s="35"/>
      <c r="N228" s="35"/>
      <c r="O228" s="35"/>
      <c r="P228" s="36"/>
      <c r="Q228" s="35"/>
      <c r="R228" s="35"/>
      <c r="S228" s="35"/>
      <c r="T228" s="36"/>
      <c r="U228" s="35"/>
      <c r="V228" s="36"/>
      <c r="W228" s="35"/>
      <c r="X228" s="36"/>
      <c r="Y228" s="35"/>
      <c r="Z228" s="38"/>
      <c r="AA228" s="35"/>
      <c r="AB228" s="36"/>
      <c r="AC228" s="35"/>
      <c r="AD228" s="36"/>
      <c r="AE228" s="35"/>
      <c r="AF228" s="36"/>
      <c r="AG228" s="35"/>
      <c r="AH228" s="36"/>
      <c r="AI228" s="39"/>
      <c r="AJ228" s="36"/>
      <c r="AK228" s="39"/>
      <c r="AL228" s="36"/>
      <c r="AM228" s="39"/>
      <c r="AN228" s="39"/>
      <c r="AO228" s="36"/>
      <c r="AP228" s="36"/>
      <c r="AQ228" s="37"/>
      <c r="AR228" s="39"/>
      <c r="AS228" s="39"/>
      <c r="AT228" s="39"/>
      <c r="AU228" s="39"/>
      <c r="AV228" s="39"/>
      <c r="AW228" s="39"/>
      <c r="AX228" s="36"/>
      <c r="AY228" s="36"/>
      <c r="AZ228" s="36"/>
      <c r="BA228" s="36"/>
      <c r="BB228" s="39"/>
      <c r="BC228" s="39"/>
      <c r="BD228" s="37"/>
      <c r="BE228" s="37"/>
      <c r="BF228" s="37"/>
    </row>
    <row r="229" spans="1:58">
      <c r="A229" s="40"/>
      <c r="B229" s="35"/>
      <c r="C229" s="41"/>
      <c r="D229" s="35"/>
      <c r="E229" s="35"/>
      <c r="F229" s="35"/>
      <c r="G229" s="36"/>
      <c r="H229" s="35"/>
      <c r="I229" s="37"/>
      <c r="J229" s="35"/>
      <c r="K229" s="35"/>
      <c r="L229" s="36"/>
      <c r="M229" s="35"/>
      <c r="N229" s="35"/>
      <c r="O229" s="35"/>
      <c r="P229" s="36"/>
      <c r="Q229" s="35"/>
      <c r="R229" s="35"/>
      <c r="S229" s="35"/>
      <c r="T229" s="36"/>
      <c r="U229" s="35"/>
      <c r="V229" s="36"/>
      <c r="W229" s="35"/>
      <c r="X229" s="36"/>
      <c r="Y229" s="35"/>
      <c r="Z229" s="38"/>
      <c r="AA229" s="35"/>
      <c r="AB229" s="36"/>
      <c r="AC229" s="35"/>
      <c r="AD229" s="36"/>
      <c r="AE229" s="35"/>
      <c r="AF229" s="36"/>
      <c r="AG229" s="35"/>
      <c r="AH229" s="36"/>
      <c r="AI229" s="39"/>
      <c r="AJ229" s="36"/>
      <c r="AK229" s="39"/>
      <c r="AL229" s="36"/>
      <c r="AM229" s="39"/>
      <c r="AN229" s="39"/>
      <c r="AO229" s="36"/>
      <c r="AP229" s="36"/>
      <c r="AQ229" s="37"/>
      <c r="AR229" s="39"/>
      <c r="AS229" s="39"/>
      <c r="AT229" s="39"/>
      <c r="AU229" s="39"/>
      <c r="AV229" s="39"/>
      <c r="AW229" s="39"/>
      <c r="AX229" s="36"/>
      <c r="AY229" s="36"/>
      <c r="AZ229" s="36"/>
      <c r="BA229" s="36"/>
      <c r="BB229" s="39"/>
      <c r="BC229" s="39"/>
      <c r="BD229" s="37"/>
      <c r="BE229" s="37"/>
      <c r="BF229" s="37"/>
    </row>
    <row r="230" spans="1:58">
      <c r="A230" s="40"/>
      <c r="B230" s="35"/>
      <c r="C230" s="41"/>
      <c r="D230" s="35"/>
      <c r="E230" s="35"/>
      <c r="F230" s="35"/>
      <c r="G230" s="36"/>
      <c r="H230" s="35"/>
      <c r="I230" s="37"/>
      <c r="J230" s="35"/>
      <c r="K230" s="35"/>
      <c r="L230" s="36"/>
      <c r="M230" s="35"/>
      <c r="N230" s="35"/>
      <c r="O230" s="35"/>
      <c r="P230" s="36"/>
      <c r="Q230" s="35"/>
      <c r="R230" s="35"/>
      <c r="S230" s="35"/>
      <c r="T230" s="36"/>
      <c r="U230" s="35"/>
      <c r="V230" s="36"/>
      <c r="W230" s="35"/>
      <c r="X230" s="36"/>
      <c r="Y230" s="35"/>
      <c r="Z230" s="38"/>
      <c r="AA230" s="35"/>
      <c r="AB230" s="36"/>
      <c r="AC230" s="35"/>
      <c r="AD230" s="36"/>
      <c r="AE230" s="35"/>
      <c r="AF230" s="36"/>
      <c r="AG230" s="35"/>
      <c r="AH230" s="36"/>
      <c r="AI230" s="39"/>
      <c r="AJ230" s="36"/>
      <c r="AK230" s="39"/>
      <c r="AL230" s="36"/>
      <c r="AM230" s="39"/>
      <c r="AN230" s="39"/>
      <c r="AO230" s="36"/>
      <c r="AP230" s="36"/>
      <c r="AQ230" s="37"/>
      <c r="AR230" s="39"/>
      <c r="AS230" s="39"/>
      <c r="AT230" s="39"/>
      <c r="AU230" s="39"/>
      <c r="AV230" s="39"/>
      <c r="AW230" s="39"/>
      <c r="AX230" s="36"/>
      <c r="AY230" s="36"/>
      <c r="AZ230" s="36"/>
      <c r="BA230" s="36"/>
      <c r="BB230" s="39"/>
      <c r="BC230" s="39"/>
      <c r="BD230" s="37"/>
      <c r="BE230" s="37"/>
      <c r="BF230" s="37"/>
    </row>
    <row r="231" spans="1:58">
      <c r="A231" s="40"/>
      <c r="B231" s="35"/>
      <c r="C231" s="41"/>
      <c r="D231" s="35"/>
      <c r="E231" s="35"/>
      <c r="F231" s="35"/>
      <c r="G231" s="36"/>
      <c r="H231" s="35"/>
      <c r="I231" s="37"/>
      <c r="J231" s="35"/>
      <c r="K231" s="35"/>
      <c r="L231" s="36"/>
      <c r="M231" s="35"/>
      <c r="N231" s="35"/>
      <c r="O231" s="35"/>
      <c r="P231" s="36"/>
      <c r="Q231" s="35"/>
      <c r="R231" s="35"/>
      <c r="S231" s="35"/>
      <c r="T231" s="36"/>
      <c r="U231" s="35"/>
      <c r="V231" s="36"/>
      <c r="W231" s="35"/>
      <c r="X231" s="36"/>
      <c r="Y231" s="35"/>
      <c r="Z231" s="38"/>
      <c r="AA231" s="35"/>
      <c r="AB231" s="36"/>
      <c r="AC231" s="35"/>
      <c r="AD231" s="36"/>
      <c r="AE231" s="35"/>
      <c r="AF231" s="36"/>
      <c r="AG231" s="35"/>
      <c r="AH231" s="36"/>
      <c r="AI231" s="39"/>
      <c r="AJ231" s="36"/>
      <c r="AK231" s="39"/>
      <c r="AL231" s="36"/>
      <c r="AM231" s="39"/>
      <c r="AN231" s="39"/>
      <c r="AO231" s="36"/>
      <c r="AP231" s="36"/>
      <c r="AQ231" s="37"/>
      <c r="AR231" s="39"/>
      <c r="AS231" s="39"/>
      <c r="AT231" s="39"/>
      <c r="AU231" s="39"/>
      <c r="AV231" s="39"/>
      <c r="AW231" s="39"/>
      <c r="AX231" s="36"/>
      <c r="AY231" s="36"/>
      <c r="AZ231" s="36"/>
      <c r="BA231" s="36"/>
      <c r="BB231" s="39"/>
      <c r="BC231" s="39"/>
      <c r="BD231" s="37"/>
      <c r="BE231" s="37"/>
      <c r="BF231" s="37"/>
    </row>
    <row r="232" spans="1:58">
      <c r="A232" s="40"/>
      <c r="B232" s="35"/>
      <c r="C232" s="41"/>
      <c r="D232" s="35"/>
      <c r="E232" s="35"/>
      <c r="F232" s="35"/>
      <c r="G232" s="36"/>
      <c r="H232" s="35"/>
      <c r="I232" s="37"/>
      <c r="J232" s="35"/>
      <c r="K232" s="35"/>
      <c r="L232" s="36"/>
      <c r="M232" s="35"/>
      <c r="N232" s="35"/>
      <c r="O232" s="35"/>
      <c r="P232" s="36"/>
      <c r="Q232" s="35"/>
      <c r="R232" s="35"/>
      <c r="S232" s="35"/>
      <c r="T232" s="36"/>
      <c r="U232" s="35"/>
      <c r="V232" s="36"/>
      <c r="W232" s="35"/>
      <c r="X232" s="36"/>
      <c r="Y232" s="35"/>
      <c r="Z232" s="38"/>
      <c r="AA232" s="35"/>
      <c r="AB232" s="36"/>
      <c r="AC232" s="35"/>
      <c r="AD232" s="36"/>
      <c r="AE232" s="35"/>
      <c r="AF232" s="36"/>
      <c r="AG232" s="35"/>
      <c r="AH232" s="36"/>
      <c r="AI232" s="39"/>
      <c r="AJ232" s="36"/>
      <c r="AK232" s="39"/>
      <c r="AL232" s="36"/>
      <c r="AM232" s="39"/>
      <c r="AN232" s="39"/>
      <c r="AO232" s="36"/>
      <c r="AP232" s="36"/>
      <c r="AQ232" s="37"/>
      <c r="AR232" s="39"/>
      <c r="AS232" s="39"/>
      <c r="AT232" s="39"/>
      <c r="AU232" s="39"/>
      <c r="AV232" s="39"/>
      <c r="AW232" s="39"/>
      <c r="AX232" s="36"/>
      <c r="AY232" s="36"/>
      <c r="AZ232" s="36"/>
      <c r="BA232" s="36"/>
      <c r="BB232" s="39"/>
      <c r="BC232" s="39"/>
      <c r="BD232" s="37"/>
      <c r="BE232" s="37"/>
      <c r="BF232" s="37"/>
    </row>
    <row r="233" spans="1:58">
      <c r="A233" s="40"/>
      <c r="B233" s="35"/>
      <c r="C233" s="41"/>
      <c r="D233" s="35"/>
      <c r="E233" s="35"/>
      <c r="F233" s="35"/>
      <c r="G233" s="36"/>
      <c r="H233" s="35"/>
      <c r="I233" s="37"/>
      <c r="J233" s="35"/>
      <c r="K233" s="35"/>
      <c r="L233" s="36"/>
      <c r="M233" s="35"/>
      <c r="N233" s="35"/>
      <c r="O233" s="35"/>
      <c r="P233" s="36"/>
      <c r="Q233" s="35"/>
      <c r="R233" s="35"/>
      <c r="S233" s="35"/>
      <c r="T233" s="36"/>
      <c r="U233" s="35"/>
      <c r="V233" s="36"/>
      <c r="W233" s="35"/>
      <c r="X233" s="36"/>
      <c r="Y233" s="35"/>
      <c r="Z233" s="38"/>
      <c r="AA233" s="35"/>
      <c r="AB233" s="36"/>
      <c r="AC233" s="35"/>
      <c r="AD233" s="36"/>
      <c r="AE233" s="35"/>
      <c r="AF233" s="36"/>
      <c r="AG233" s="35"/>
      <c r="AH233" s="36"/>
      <c r="AI233" s="39"/>
      <c r="AJ233" s="36"/>
      <c r="AK233" s="39"/>
      <c r="AL233" s="36"/>
      <c r="AM233" s="39"/>
      <c r="AN233" s="39"/>
      <c r="AO233" s="36"/>
      <c r="AP233" s="36"/>
      <c r="AQ233" s="37"/>
      <c r="AR233" s="39"/>
      <c r="AS233" s="39"/>
      <c r="AT233" s="39"/>
      <c r="AU233" s="39"/>
      <c r="AV233" s="39"/>
      <c r="AW233" s="39"/>
      <c r="AX233" s="36"/>
      <c r="AY233" s="36"/>
      <c r="AZ233" s="36"/>
      <c r="BA233" s="36"/>
      <c r="BB233" s="39"/>
      <c r="BC233" s="39"/>
      <c r="BD233" s="37"/>
      <c r="BE233" s="37"/>
      <c r="BF233" s="37"/>
    </row>
    <row r="234" spans="1:58">
      <c r="A234" s="40"/>
      <c r="B234" s="35"/>
      <c r="C234" s="41"/>
      <c r="D234" s="35"/>
      <c r="E234" s="35"/>
      <c r="F234" s="35"/>
      <c r="G234" s="36"/>
      <c r="H234" s="35"/>
      <c r="I234" s="37"/>
      <c r="J234" s="35"/>
      <c r="K234" s="35"/>
      <c r="L234" s="36"/>
      <c r="M234" s="35"/>
      <c r="N234" s="35"/>
      <c r="O234" s="35"/>
      <c r="P234" s="36"/>
      <c r="Q234" s="35"/>
      <c r="R234" s="35"/>
      <c r="S234" s="35"/>
      <c r="T234" s="36"/>
      <c r="U234" s="35"/>
      <c r="V234" s="36"/>
      <c r="W234" s="35"/>
      <c r="X234" s="36"/>
      <c r="Y234" s="35"/>
      <c r="Z234" s="38"/>
      <c r="AA234" s="35"/>
      <c r="AB234" s="36"/>
      <c r="AC234" s="35"/>
      <c r="AD234" s="36"/>
      <c r="AE234" s="35"/>
      <c r="AF234" s="36"/>
      <c r="AG234" s="35"/>
      <c r="AH234" s="36"/>
      <c r="AI234" s="39"/>
      <c r="AJ234" s="36"/>
      <c r="AK234" s="39"/>
      <c r="AL234" s="36"/>
      <c r="AM234" s="39"/>
      <c r="AN234" s="39"/>
      <c r="AO234" s="36"/>
      <c r="AP234" s="36"/>
      <c r="AQ234" s="37"/>
      <c r="AR234" s="39"/>
      <c r="AS234" s="39"/>
      <c r="AT234" s="39"/>
      <c r="AU234" s="39"/>
      <c r="AV234" s="39"/>
      <c r="AW234" s="39"/>
      <c r="AX234" s="36"/>
      <c r="AY234" s="36"/>
      <c r="AZ234" s="36"/>
      <c r="BA234" s="36"/>
      <c r="BB234" s="39"/>
      <c r="BC234" s="39"/>
      <c r="BD234" s="37"/>
      <c r="BE234" s="37"/>
      <c r="BF234" s="37"/>
    </row>
    <row r="235" spans="1:58">
      <c r="A235" s="40"/>
      <c r="B235" s="35"/>
      <c r="C235" s="41"/>
      <c r="D235" s="35"/>
      <c r="E235" s="35"/>
      <c r="F235" s="35"/>
      <c r="G235" s="36"/>
      <c r="H235" s="35"/>
      <c r="I235" s="37"/>
      <c r="J235" s="35"/>
      <c r="K235" s="35"/>
      <c r="L235" s="36"/>
      <c r="M235" s="35"/>
      <c r="N235" s="35"/>
      <c r="O235" s="35"/>
      <c r="P235" s="36"/>
      <c r="Q235" s="35"/>
      <c r="R235" s="35"/>
      <c r="S235" s="35"/>
      <c r="T235" s="36"/>
      <c r="U235" s="35"/>
      <c r="V235" s="36"/>
      <c r="W235" s="35"/>
      <c r="X235" s="36"/>
      <c r="Y235" s="35"/>
      <c r="Z235" s="38"/>
      <c r="AA235" s="35"/>
      <c r="AB235" s="36"/>
      <c r="AC235" s="35"/>
      <c r="AD235" s="36"/>
      <c r="AE235" s="35"/>
      <c r="AF235" s="36"/>
      <c r="AG235" s="35"/>
      <c r="AH235" s="36"/>
      <c r="AI235" s="39"/>
      <c r="AJ235" s="36"/>
      <c r="AK235" s="39"/>
      <c r="AL235" s="36"/>
      <c r="AM235" s="39"/>
      <c r="AN235" s="39"/>
      <c r="AO235" s="36"/>
      <c r="AP235" s="36"/>
      <c r="AQ235" s="37"/>
      <c r="AR235" s="39"/>
      <c r="AS235" s="39"/>
      <c r="AT235" s="39"/>
      <c r="AU235" s="39"/>
      <c r="AV235" s="39"/>
      <c r="AW235" s="39"/>
      <c r="AX235" s="36"/>
      <c r="AY235" s="36"/>
      <c r="AZ235" s="36"/>
      <c r="BA235" s="36"/>
      <c r="BB235" s="39"/>
      <c r="BC235" s="39"/>
      <c r="BD235" s="37"/>
      <c r="BE235" s="37"/>
      <c r="BF235" s="37"/>
    </row>
    <row r="236" spans="1:58">
      <c r="A236" s="40"/>
      <c r="B236" s="35"/>
      <c r="C236" s="41"/>
      <c r="D236" s="35"/>
      <c r="E236" s="35"/>
      <c r="F236" s="35"/>
      <c r="G236" s="36"/>
      <c r="H236" s="35"/>
      <c r="I236" s="37"/>
      <c r="J236" s="35"/>
      <c r="K236" s="35"/>
      <c r="L236" s="36"/>
      <c r="M236" s="35"/>
      <c r="N236" s="35"/>
      <c r="O236" s="35"/>
      <c r="P236" s="36"/>
      <c r="Q236" s="35"/>
      <c r="R236" s="35"/>
      <c r="S236" s="35"/>
      <c r="T236" s="36"/>
      <c r="U236" s="35"/>
      <c r="V236" s="36"/>
      <c r="W236" s="35"/>
      <c r="X236" s="36"/>
      <c r="Y236" s="35"/>
      <c r="Z236" s="38"/>
      <c r="AA236" s="35"/>
      <c r="AB236" s="36"/>
      <c r="AC236" s="35"/>
      <c r="AD236" s="36"/>
      <c r="AE236" s="35"/>
      <c r="AF236" s="36"/>
      <c r="AG236" s="35"/>
      <c r="AH236" s="36"/>
      <c r="AI236" s="39"/>
      <c r="AJ236" s="36"/>
      <c r="AK236" s="39"/>
      <c r="AL236" s="36"/>
      <c r="AM236" s="39"/>
      <c r="AN236" s="39"/>
      <c r="AO236" s="36"/>
      <c r="AP236" s="36"/>
      <c r="AQ236" s="37"/>
      <c r="AR236" s="39"/>
      <c r="AS236" s="39"/>
      <c r="AT236" s="39"/>
      <c r="AU236" s="39"/>
      <c r="AV236" s="39"/>
      <c r="AW236" s="39"/>
      <c r="AX236" s="36"/>
      <c r="AY236" s="36"/>
      <c r="AZ236" s="36"/>
      <c r="BA236" s="36"/>
      <c r="BB236" s="39"/>
      <c r="BC236" s="39"/>
      <c r="BD236" s="37"/>
      <c r="BE236" s="37"/>
      <c r="BF236" s="37"/>
    </row>
    <row r="237" spans="1:58">
      <c r="A237" s="40"/>
      <c r="B237" s="35"/>
      <c r="C237" s="41"/>
      <c r="D237" s="35"/>
      <c r="E237" s="35"/>
      <c r="F237" s="35"/>
      <c r="G237" s="36"/>
      <c r="H237" s="35"/>
      <c r="I237" s="37"/>
      <c r="J237" s="35"/>
      <c r="K237" s="35"/>
      <c r="L237" s="36"/>
      <c r="M237" s="35"/>
      <c r="N237" s="35"/>
      <c r="O237" s="35"/>
      <c r="P237" s="36"/>
      <c r="Q237" s="35"/>
      <c r="R237" s="35"/>
      <c r="S237" s="35"/>
      <c r="T237" s="36"/>
      <c r="U237" s="35"/>
      <c r="V237" s="36"/>
      <c r="W237" s="35"/>
      <c r="X237" s="36"/>
      <c r="Y237" s="35"/>
      <c r="Z237" s="38"/>
      <c r="AA237" s="35"/>
      <c r="AB237" s="36"/>
      <c r="AC237" s="35"/>
      <c r="AD237" s="36"/>
      <c r="AE237" s="35"/>
      <c r="AF237" s="36"/>
      <c r="AG237" s="35"/>
      <c r="AH237" s="36"/>
      <c r="AI237" s="39"/>
      <c r="AJ237" s="36"/>
      <c r="AK237" s="39"/>
      <c r="AL237" s="36"/>
      <c r="AM237" s="39"/>
      <c r="AN237" s="39"/>
      <c r="AO237" s="36"/>
      <c r="AP237" s="36"/>
      <c r="AQ237" s="37"/>
      <c r="AR237" s="39"/>
      <c r="AS237" s="39"/>
      <c r="AT237" s="39"/>
      <c r="AU237" s="39"/>
      <c r="AV237" s="39"/>
      <c r="AW237" s="39"/>
      <c r="AX237" s="36"/>
      <c r="AY237" s="36"/>
      <c r="AZ237" s="36"/>
      <c r="BA237" s="36"/>
      <c r="BB237" s="39"/>
      <c r="BC237" s="39"/>
      <c r="BD237" s="37"/>
      <c r="BE237" s="37"/>
      <c r="BF237" s="37"/>
    </row>
    <row r="238" spans="1:58">
      <c r="A238" s="40"/>
      <c r="B238" s="35"/>
      <c r="C238" s="41"/>
      <c r="D238" s="35"/>
      <c r="E238" s="35"/>
      <c r="F238" s="35"/>
      <c r="G238" s="36"/>
      <c r="H238" s="35"/>
      <c r="I238" s="37"/>
      <c r="J238" s="35"/>
      <c r="K238" s="35"/>
      <c r="L238" s="36"/>
      <c r="M238" s="35"/>
      <c r="N238" s="35"/>
      <c r="O238" s="35"/>
      <c r="P238" s="36"/>
      <c r="Q238" s="35"/>
      <c r="R238" s="35"/>
      <c r="S238" s="35"/>
      <c r="T238" s="36"/>
      <c r="U238" s="35"/>
      <c r="V238" s="36"/>
      <c r="W238" s="35"/>
      <c r="X238" s="36"/>
      <c r="Y238" s="35"/>
      <c r="Z238" s="38"/>
      <c r="AA238" s="35"/>
      <c r="AB238" s="36"/>
      <c r="AC238" s="35"/>
      <c r="AD238" s="36"/>
      <c r="AE238" s="35"/>
      <c r="AF238" s="36"/>
      <c r="AG238" s="35"/>
      <c r="AH238" s="36"/>
      <c r="AI238" s="39"/>
      <c r="AJ238" s="36"/>
      <c r="AK238" s="39"/>
      <c r="AL238" s="36"/>
      <c r="AM238" s="39"/>
      <c r="AN238" s="39"/>
      <c r="AO238" s="36"/>
      <c r="AP238" s="36"/>
      <c r="AQ238" s="37"/>
      <c r="AR238" s="39"/>
      <c r="AS238" s="39"/>
      <c r="AT238" s="39"/>
      <c r="AU238" s="39"/>
      <c r="AV238" s="39"/>
      <c r="AW238" s="39"/>
      <c r="AX238" s="36"/>
      <c r="AY238" s="36"/>
      <c r="AZ238" s="36"/>
      <c r="BA238" s="36"/>
      <c r="BB238" s="39"/>
      <c r="BC238" s="39"/>
      <c r="BD238" s="37"/>
      <c r="BE238" s="37"/>
      <c r="BF238" s="37"/>
    </row>
    <row r="239" spans="1:58">
      <c r="A239" s="40"/>
      <c r="B239" s="35"/>
      <c r="C239" s="41"/>
      <c r="D239" s="35"/>
      <c r="E239" s="35"/>
      <c r="F239" s="35"/>
      <c r="G239" s="36"/>
      <c r="H239" s="35"/>
      <c r="I239" s="37"/>
      <c r="J239" s="35"/>
      <c r="K239" s="35"/>
      <c r="L239" s="36"/>
      <c r="M239" s="35"/>
      <c r="N239" s="35"/>
      <c r="O239" s="35"/>
      <c r="P239" s="36"/>
      <c r="Q239" s="35"/>
      <c r="R239" s="35"/>
      <c r="S239" s="35"/>
      <c r="T239" s="36"/>
      <c r="U239" s="35"/>
      <c r="V239" s="36"/>
      <c r="W239" s="35"/>
      <c r="X239" s="36"/>
      <c r="Y239" s="35"/>
      <c r="Z239" s="38"/>
      <c r="AA239" s="35"/>
      <c r="AB239" s="36"/>
      <c r="AC239" s="35"/>
      <c r="AD239" s="36"/>
      <c r="AE239" s="35"/>
      <c r="AF239" s="36"/>
      <c r="AG239" s="35"/>
      <c r="AH239" s="36"/>
      <c r="AI239" s="39"/>
      <c r="AJ239" s="36"/>
      <c r="AK239" s="39"/>
      <c r="AL239" s="36"/>
      <c r="AM239" s="39"/>
      <c r="AN239" s="39"/>
      <c r="AO239" s="36"/>
      <c r="AP239" s="36"/>
      <c r="AQ239" s="37"/>
      <c r="AR239" s="39"/>
      <c r="AS239" s="39"/>
      <c r="AT239" s="39"/>
      <c r="AU239" s="39"/>
      <c r="AV239" s="39"/>
      <c r="AW239" s="39"/>
      <c r="AX239" s="36"/>
      <c r="AY239" s="36"/>
      <c r="AZ239" s="36"/>
      <c r="BA239" s="36"/>
      <c r="BB239" s="39"/>
      <c r="BC239" s="39"/>
      <c r="BD239" s="37"/>
      <c r="BE239" s="37"/>
      <c r="BF239" s="37"/>
    </row>
    <row r="240" spans="1:58">
      <c r="A240" s="40"/>
      <c r="B240" s="35"/>
      <c r="C240" s="41"/>
      <c r="D240" s="35"/>
      <c r="E240" s="35"/>
      <c r="F240" s="35"/>
      <c r="G240" s="36"/>
      <c r="H240" s="35"/>
      <c r="I240" s="37"/>
      <c r="J240" s="35"/>
      <c r="K240" s="35"/>
      <c r="L240" s="36"/>
      <c r="M240" s="35"/>
      <c r="N240" s="35"/>
      <c r="O240" s="35"/>
      <c r="P240" s="36"/>
      <c r="Q240" s="35"/>
      <c r="R240" s="35"/>
      <c r="S240" s="35"/>
      <c r="T240" s="36"/>
      <c r="U240" s="35"/>
      <c r="V240" s="36"/>
      <c r="W240" s="35"/>
      <c r="X240" s="36"/>
      <c r="Y240" s="35"/>
      <c r="Z240" s="38"/>
      <c r="AA240" s="35"/>
      <c r="AB240" s="36"/>
      <c r="AC240" s="35"/>
      <c r="AD240" s="36"/>
      <c r="AE240" s="35"/>
      <c r="AF240" s="36"/>
      <c r="AG240" s="35"/>
      <c r="AH240" s="36"/>
      <c r="AI240" s="39"/>
      <c r="AJ240" s="36"/>
      <c r="AK240" s="39"/>
      <c r="AL240" s="36"/>
      <c r="AM240" s="39"/>
      <c r="AN240" s="39"/>
      <c r="AO240" s="36"/>
      <c r="AP240" s="36"/>
      <c r="AQ240" s="37"/>
      <c r="AR240" s="39"/>
      <c r="AS240" s="39"/>
      <c r="AT240" s="39"/>
      <c r="AU240" s="39"/>
      <c r="AV240" s="39"/>
      <c r="AW240" s="39"/>
      <c r="AX240" s="36"/>
      <c r="AY240" s="36"/>
      <c r="AZ240" s="36"/>
      <c r="BA240" s="36"/>
      <c r="BB240" s="39"/>
      <c r="BC240" s="39"/>
      <c r="BD240" s="37"/>
      <c r="BE240" s="37"/>
      <c r="BF240" s="37"/>
    </row>
    <row r="241" spans="1:58">
      <c r="A241" s="40"/>
      <c r="B241" s="35"/>
      <c r="C241" s="41"/>
      <c r="D241" s="35"/>
      <c r="E241" s="35"/>
      <c r="F241" s="35"/>
      <c r="G241" s="36"/>
      <c r="H241" s="35"/>
      <c r="I241" s="37"/>
      <c r="J241" s="35"/>
      <c r="K241" s="35"/>
      <c r="L241" s="36"/>
      <c r="M241" s="35"/>
      <c r="N241" s="35"/>
      <c r="O241" s="35"/>
      <c r="P241" s="36"/>
      <c r="Q241" s="35"/>
      <c r="R241" s="35"/>
      <c r="S241" s="35"/>
      <c r="T241" s="36"/>
      <c r="U241" s="35"/>
      <c r="V241" s="36"/>
      <c r="W241" s="35"/>
      <c r="X241" s="36"/>
      <c r="Y241" s="35"/>
      <c r="Z241" s="38"/>
      <c r="AA241" s="35"/>
      <c r="AB241" s="36"/>
      <c r="AC241" s="35"/>
      <c r="AD241" s="36"/>
      <c r="AE241" s="35"/>
      <c r="AF241" s="36"/>
      <c r="AG241" s="35"/>
      <c r="AH241" s="36"/>
      <c r="AI241" s="39"/>
      <c r="AJ241" s="36"/>
      <c r="AK241" s="39"/>
      <c r="AL241" s="36"/>
      <c r="AM241" s="39"/>
      <c r="AN241" s="39"/>
      <c r="AO241" s="36"/>
      <c r="AP241" s="36"/>
      <c r="AQ241" s="37"/>
      <c r="AR241" s="39"/>
      <c r="AS241" s="39"/>
      <c r="AT241" s="39"/>
      <c r="AU241" s="39"/>
      <c r="AV241" s="39"/>
      <c r="AW241" s="39"/>
      <c r="AX241" s="36"/>
      <c r="AY241" s="36"/>
      <c r="AZ241" s="36"/>
      <c r="BA241" s="36"/>
      <c r="BB241" s="39"/>
      <c r="BC241" s="39"/>
      <c r="BD241" s="37"/>
      <c r="BE241" s="37"/>
      <c r="BF241" s="37"/>
    </row>
    <row r="242" spans="1:58">
      <c r="A242" s="40"/>
      <c r="B242" s="35"/>
      <c r="C242" s="41"/>
      <c r="D242" s="35"/>
      <c r="E242" s="35"/>
      <c r="F242" s="35"/>
      <c r="G242" s="36"/>
      <c r="H242" s="35"/>
      <c r="I242" s="37"/>
      <c r="J242" s="35"/>
      <c r="K242" s="35"/>
      <c r="L242" s="36"/>
      <c r="M242" s="35"/>
      <c r="N242" s="35"/>
      <c r="O242" s="35"/>
      <c r="P242" s="36"/>
      <c r="Q242" s="35"/>
      <c r="R242" s="35"/>
      <c r="S242" s="35"/>
      <c r="T242" s="36"/>
      <c r="U242" s="35"/>
      <c r="V242" s="36"/>
      <c r="W242" s="35"/>
      <c r="X242" s="36"/>
      <c r="Y242" s="35"/>
      <c r="Z242" s="38"/>
      <c r="AA242" s="35"/>
      <c r="AB242" s="36"/>
      <c r="AC242" s="35"/>
      <c r="AD242" s="36"/>
      <c r="AE242" s="35"/>
      <c r="AF242" s="36"/>
      <c r="AG242" s="35"/>
      <c r="AH242" s="36"/>
      <c r="AI242" s="39"/>
      <c r="AJ242" s="36"/>
      <c r="AK242" s="39"/>
      <c r="AL242" s="36"/>
      <c r="AM242" s="39"/>
      <c r="AN242" s="39"/>
      <c r="AO242" s="36"/>
      <c r="AP242" s="36"/>
      <c r="AQ242" s="37"/>
      <c r="AR242" s="39"/>
      <c r="AS242" s="39"/>
      <c r="AT242" s="39"/>
      <c r="AU242" s="39"/>
      <c r="AV242" s="39"/>
      <c r="AW242" s="39"/>
      <c r="AX242" s="36"/>
      <c r="AY242" s="36"/>
      <c r="AZ242" s="36"/>
      <c r="BA242" s="36"/>
      <c r="BB242" s="39"/>
      <c r="BC242" s="39"/>
      <c r="BD242" s="37"/>
      <c r="BE242" s="37"/>
      <c r="BF242" s="37"/>
    </row>
    <row r="243" spans="1:58">
      <c r="A243" s="40"/>
      <c r="B243" s="35"/>
      <c r="C243" s="41"/>
      <c r="D243" s="35"/>
      <c r="E243" s="35"/>
      <c r="F243" s="35"/>
      <c r="G243" s="36"/>
      <c r="H243" s="35"/>
      <c r="I243" s="37"/>
      <c r="J243" s="35"/>
      <c r="K243" s="35"/>
      <c r="L243" s="36"/>
      <c r="M243" s="35"/>
      <c r="N243" s="35"/>
      <c r="O243" s="35"/>
      <c r="P243" s="36"/>
      <c r="Q243" s="35"/>
      <c r="R243" s="35"/>
      <c r="S243" s="35"/>
      <c r="T243" s="36"/>
      <c r="U243" s="35"/>
      <c r="V243" s="36"/>
      <c r="W243" s="35"/>
      <c r="X243" s="36"/>
      <c r="Y243" s="35"/>
      <c r="Z243" s="38"/>
      <c r="AA243" s="35"/>
      <c r="AB243" s="36"/>
      <c r="AC243" s="35"/>
      <c r="AD243" s="36"/>
      <c r="AE243" s="35"/>
      <c r="AF243" s="36"/>
      <c r="AG243" s="35"/>
      <c r="AH243" s="36"/>
      <c r="AI243" s="39"/>
      <c r="AJ243" s="36"/>
      <c r="AK243" s="39"/>
      <c r="AL243" s="36"/>
      <c r="AM243" s="39"/>
      <c r="AN243" s="39"/>
      <c r="AO243" s="36"/>
      <c r="AP243" s="36"/>
      <c r="AQ243" s="37"/>
      <c r="AR243" s="39"/>
      <c r="AS243" s="39"/>
      <c r="AT243" s="39"/>
      <c r="AU243" s="39"/>
      <c r="AV243" s="39"/>
      <c r="AW243" s="39"/>
      <c r="AX243" s="36"/>
      <c r="AY243" s="36"/>
      <c r="AZ243" s="36"/>
      <c r="BA243" s="36"/>
      <c r="BB243" s="39"/>
      <c r="BC243" s="39"/>
      <c r="BD243" s="37"/>
      <c r="BE243" s="37"/>
      <c r="BF243" s="37"/>
    </row>
    <row r="244" spans="1:58">
      <c r="A244" s="40"/>
      <c r="B244" s="35"/>
      <c r="C244" s="41"/>
      <c r="D244" s="35"/>
      <c r="E244" s="35"/>
      <c r="F244" s="35"/>
      <c r="G244" s="36"/>
      <c r="H244" s="35"/>
      <c r="I244" s="37"/>
      <c r="J244" s="35"/>
      <c r="K244" s="35"/>
      <c r="L244" s="36"/>
      <c r="M244" s="35"/>
      <c r="N244" s="35"/>
      <c r="O244" s="35"/>
      <c r="P244" s="36"/>
      <c r="Q244" s="35"/>
      <c r="R244" s="35"/>
      <c r="S244" s="35"/>
      <c r="T244" s="36"/>
      <c r="U244" s="35"/>
      <c r="V244" s="36"/>
      <c r="W244" s="35"/>
      <c r="X244" s="36"/>
      <c r="Y244" s="35"/>
      <c r="Z244" s="38"/>
      <c r="AA244" s="35"/>
      <c r="AB244" s="36"/>
      <c r="AC244" s="35"/>
      <c r="AD244" s="36"/>
      <c r="AE244" s="35"/>
      <c r="AF244" s="36"/>
      <c r="AG244" s="35"/>
      <c r="AH244" s="36"/>
      <c r="AI244" s="39"/>
      <c r="AJ244" s="36"/>
      <c r="AK244" s="39"/>
      <c r="AL244" s="36"/>
      <c r="AM244" s="39"/>
      <c r="AN244" s="39"/>
      <c r="AO244" s="36"/>
      <c r="AP244" s="36"/>
      <c r="AQ244" s="37"/>
      <c r="AR244" s="39"/>
      <c r="AS244" s="39"/>
      <c r="AT244" s="39"/>
      <c r="AU244" s="39"/>
      <c r="AV244" s="39"/>
      <c r="AW244" s="39"/>
      <c r="AX244" s="36"/>
      <c r="AY244" s="36"/>
      <c r="AZ244" s="36"/>
      <c r="BA244" s="36"/>
      <c r="BB244" s="39"/>
      <c r="BC244" s="39"/>
      <c r="BD244" s="37"/>
      <c r="BE244" s="37"/>
      <c r="BF244" s="37"/>
    </row>
    <row r="245" spans="1:58">
      <c r="A245" s="40"/>
      <c r="B245" s="35"/>
      <c r="C245" s="41"/>
      <c r="D245" s="35"/>
      <c r="E245" s="35"/>
      <c r="F245" s="35"/>
      <c r="G245" s="36"/>
      <c r="H245" s="35"/>
      <c r="I245" s="37"/>
      <c r="J245" s="35"/>
      <c r="K245" s="35"/>
      <c r="L245" s="36"/>
      <c r="M245" s="35"/>
      <c r="N245" s="35"/>
      <c r="O245" s="35"/>
      <c r="P245" s="36"/>
      <c r="Q245" s="35"/>
      <c r="R245" s="35"/>
      <c r="S245" s="35"/>
      <c r="T245" s="36"/>
      <c r="U245" s="35"/>
      <c r="V245" s="36"/>
      <c r="W245" s="35"/>
      <c r="X245" s="36"/>
      <c r="Y245" s="35"/>
      <c r="Z245" s="38"/>
      <c r="AA245" s="35"/>
      <c r="AB245" s="36"/>
      <c r="AC245" s="35"/>
      <c r="AD245" s="36"/>
      <c r="AE245" s="35"/>
      <c r="AF245" s="36"/>
      <c r="AG245" s="35"/>
      <c r="AH245" s="36"/>
      <c r="AI245" s="39"/>
      <c r="AJ245" s="36"/>
      <c r="AK245" s="39"/>
      <c r="AL245" s="36"/>
      <c r="AM245" s="39"/>
      <c r="AN245" s="39"/>
      <c r="AO245" s="36"/>
      <c r="AP245" s="36"/>
      <c r="AQ245" s="37"/>
      <c r="AR245" s="39"/>
      <c r="AS245" s="39"/>
      <c r="AT245" s="39"/>
      <c r="AU245" s="39"/>
      <c r="AV245" s="39"/>
      <c r="AW245" s="39"/>
      <c r="AX245" s="36"/>
      <c r="AY245" s="36"/>
      <c r="AZ245" s="36"/>
      <c r="BA245" s="36"/>
      <c r="BB245" s="39"/>
      <c r="BC245" s="39"/>
      <c r="BD245" s="37"/>
      <c r="BE245" s="37"/>
      <c r="BF245" s="37"/>
    </row>
    <row r="246" spans="1:58">
      <c r="A246" s="40"/>
      <c r="B246" s="35"/>
      <c r="C246" s="41"/>
      <c r="D246" s="35"/>
      <c r="E246" s="35"/>
      <c r="F246" s="35"/>
      <c r="G246" s="36"/>
      <c r="H246" s="35"/>
      <c r="I246" s="37"/>
      <c r="J246" s="35"/>
      <c r="K246" s="35"/>
      <c r="L246" s="36"/>
      <c r="M246" s="35"/>
      <c r="N246" s="35"/>
      <c r="O246" s="35"/>
      <c r="P246" s="36"/>
      <c r="Q246" s="35"/>
      <c r="R246" s="35"/>
      <c r="S246" s="35"/>
      <c r="T246" s="36"/>
      <c r="U246" s="35"/>
      <c r="V246" s="36"/>
      <c r="W246" s="35"/>
      <c r="X246" s="36"/>
      <c r="Y246" s="35"/>
      <c r="Z246" s="38"/>
      <c r="AA246" s="35"/>
      <c r="AB246" s="36"/>
      <c r="AC246" s="35"/>
      <c r="AD246" s="36"/>
      <c r="AE246" s="35"/>
      <c r="AF246" s="36"/>
      <c r="AG246" s="35"/>
      <c r="AH246" s="36"/>
      <c r="AI246" s="39"/>
      <c r="AJ246" s="36"/>
      <c r="AK246" s="39"/>
      <c r="AL246" s="36"/>
      <c r="AM246" s="39"/>
      <c r="AN246" s="39"/>
      <c r="AO246" s="36"/>
      <c r="AP246" s="36"/>
      <c r="AQ246" s="37"/>
      <c r="AR246" s="39"/>
      <c r="AS246" s="39"/>
      <c r="AT246" s="39"/>
      <c r="AU246" s="39"/>
      <c r="AV246" s="39"/>
      <c r="AW246" s="39"/>
      <c r="AX246" s="36"/>
      <c r="AY246" s="36"/>
      <c r="AZ246" s="36"/>
      <c r="BA246" s="36"/>
      <c r="BB246" s="39"/>
      <c r="BC246" s="39"/>
      <c r="BD246" s="37"/>
      <c r="BE246" s="37"/>
      <c r="BF246" s="37"/>
    </row>
    <row r="247" spans="1:58">
      <c r="A247" s="40"/>
      <c r="B247" s="35"/>
      <c r="C247" s="41"/>
      <c r="D247" s="35"/>
      <c r="E247" s="35"/>
      <c r="F247" s="35"/>
      <c r="G247" s="36"/>
      <c r="H247" s="35"/>
      <c r="I247" s="37"/>
      <c r="J247" s="35"/>
      <c r="K247" s="35"/>
      <c r="L247" s="36"/>
      <c r="M247" s="35"/>
      <c r="N247" s="35"/>
      <c r="O247" s="35"/>
      <c r="P247" s="36"/>
      <c r="Q247" s="35"/>
      <c r="R247" s="35"/>
      <c r="S247" s="35"/>
      <c r="T247" s="36"/>
      <c r="U247" s="35"/>
      <c r="V247" s="36"/>
      <c r="W247" s="35"/>
      <c r="X247" s="36"/>
      <c r="Y247" s="35"/>
      <c r="Z247" s="38"/>
      <c r="AA247" s="35"/>
      <c r="AB247" s="36"/>
      <c r="AC247" s="35"/>
      <c r="AD247" s="36"/>
      <c r="AE247" s="35"/>
      <c r="AF247" s="36"/>
      <c r="AG247" s="35"/>
      <c r="AH247" s="36"/>
      <c r="AI247" s="39"/>
      <c r="AJ247" s="36"/>
      <c r="AK247" s="39"/>
      <c r="AL247" s="36"/>
      <c r="AM247" s="39"/>
      <c r="AN247" s="39"/>
      <c r="AO247" s="36"/>
      <c r="AP247" s="36"/>
      <c r="AQ247" s="37"/>
      <c r="AR247" s="39"/>
      <c r="AS247" s="39"/>
      <c r="AT247" s="39"/>
      <c r="AU247" s="39"/>
      <c r="AV247" s="39"/>
      <c r="AW247" s="39"/>
      <c r="AX247" s="36"/>
      <c r="AY247" s="36"/>
      <c r="AZ247" s="36"/>
      <c r="BA247" s="36"/>
      <c r="BB247" s="39"/>
      <c r="BC247" s="39"/>
      <c r="BD247" s="37"/>
      <c r="BE247" s="37"/>
      <c r="BF247" s="37"/>
    </row>
    <row r="248" spans="1:58">
      <c r="A248" s="40"/>
      <c r="B248" s="35"/>
      <c r="C248" s="41"/>
      <c r="D248" s="35"/>
      <c r="E248" s="35"/>
      <c r="F248" s="35"/>
      <c r="G248" s="36"/>
      <c r="H248" s="35"/>
      <c r="I248" s="37"/>
      <c r="J248" s="35"/>
      <c r="K248" s="35"/>
      <c r="L248" s="36"/>
      <c r="M248" s="35"/>
      <c r="N248" s="35"/>
      <c r="O248" s="35"/>
      <c r="P248" s="36"/>
      <c r="Q248" s="35"/>
      <c r="R248" s="35"/>
      <c r="S248" s="35"/>
      <c r="T248" s="36"/>
      <c r="U248" s="35"/>
      <c r="V248" s="36"/>
      <c r="W248" s="35"/>
      <c r="X248" s="36"/>
      <c r="Y248" s="35"/>
      <c r="Z248" s="38"/>
      <c r="AA248" s="35"/>
      <c r="AB248" s="36"/>
      <c r="AC248" s="35"/>
      <c r="AD248" s="36"/>
      <c r="AE248" s="35"/>
      <c r="AF248" s="36"/>
      <c r="AG248" s="35"/>
      <c r="AH248" s="36"/>
      <c r="AI248" s="39"/>
      <c r="AJ248" s="36"/>
      <c r="AK248" s="39"/>
      <c r="AL248" s="36"/>
      <c r="AM248" s="39"/>
      <c r="AN248" s="39"/>
      <c r="AO248" s="36"/>
      <c r="AP248" s="36"/>
      <c r="AQ248" s="37"/>
      <c r="AR248" s="39"/>
      <c r="AS248" s="39"/>
      <c r="AT248" s="39"/>
      <c r="AU248" s="39"/>
      <c r="AV248" s="39"/>
      <c r="AW248" s="39"/>
      <c r="AX248" s="36"/>
      <c r="AY248" s="36"/>
      <c r="AZ248" s="36"/>
      <c r="BA248" s="36"/>
      <c r="BB248" s="39"/>
      <c r="BC248" s="39"/>
      <c r="BD248" s="37"/>
      <c r="BE248" s="37"/>
      <c r="BF248" s="37"/>
    </row>
    <row r="249" spans="1:58">
      <c r="A249" s="40"/>
      <c r="B249" s="35"/>
      <c r="C249" s="41"/>
      <c r="D249" s="35"/>
      <c r="E249" s="35"/>
      <c r="F249" s="35"/>
      <c r="G249" s="36"/>
      <c r="H249" s="35"/>
      <c r="I249" s="37"/>
      <c r="J249" s="35"/>
      <c r="K249" s="35"/>
      <c r="L249" s="36"/>
      <c r="M249" s="35"/>
      <c r="N249" s="35"/>
      <c r="O249" s="35"/>
      <c r="P249" s="36"/>
      <c r="Q249" s="35"/>
      <c r="R249" s="35"/>
      <c r="S249" s="35"/>
      <c r="T249" s="36"/>
      <c r="U249" s="35"/>
      <c r="V249" s="36"/>
      <c r="W249" s="35"/>
      <c r="X249" s="36"/>
      <c r="Y249" s="35"/>
      <c r="Z249" s="38"/>
      <c r="AA249" s="35"/>
      <c r="AB249" s="36"/>
      <c r="AC249" s="35"/>
      <c r="AD249" s="36"/>
      <c r="AE249" s="35"/>
      <c r="AF249" s="36"/>
      <c r="AG249" s="35"/>
      <c r="AH249" s="36"/>
      <c r="AI249" s="39"/>
      <c r="AJ249" s="36"/>
      <c r="AK249" s="39"/>
      <c r="AL249" s="36"/>
      <c r="AM249" s="39"/>
      <c r="AN249" s="39"/>
      <c r="AO249" s="36"/>
      <c r="AP249" s="36"/>
      <c r="AQ249" s="37"/>
      <c r="AR249" s="39"/>
      <c r="AS249" s="39"/>
      <c r="AT249" s="39"/>
      <c r="AU249" s="39"/>
      <c r="AV249" s="39"/>
      <c r="AW249" s="39"/>
      <c r="AX249" s="36"/>
      <c r="AY249" s="36"/>
      <c r="AZ249" s="36"/>
      <c r="BA249" s="36"/>
      <c r="BB249" s="39"/>
      <c r="BC249" s="39"/>
      <c r="BD249" s="37"/>
      <c r="BE249" s="37"/>
      <c r="BF249" s="37"/>
    </row>
    <row r="250" spans="1:58">
      <c r="A250" s="40"/>
      <c r="B250" s="35"/>
      <c r="C250" s="41"/>
      <c r="D250" s="35"/>
      <c r="E250" s="35"/>
      <c r="F250" s="35"/>
      <c r="G250" s="36"/>
      <c r="H250" s="35"/>
      <c r="I250" s="37"/>
      <c r="J250" s="35"/>
      <c r="K250" s="35"/>
      <c r="L250" s="36"/>
      <c r="M250" s="35"/>
      <c r="N250" s="35"/>
      <c r="O250" s="35"/>
      <c r="P250" s="36"/>
      <c r="Q250" s="35"/>
      <c r="R250" s="35"/>
      <c r="S250" s="35"/>
      <c r="T250" s="36"/>
      <c r="U250" s="35"/>
      <c r="V250" s="36"/>
      <c r="W250" s="35"/>
      <c r="X250" s="36"/>
      <c r="Y250" s="35"/>
      <c r="Z250" s="38"/>
      <c r="AA250" s="35"/>
      <c r="AB250" s="36"/>
      <c r="AC250" s="35"/>
      <c r="AD250" s="36"/>
      <c r="AE250" s="35"/>
      <c r="AF250" s="36"/>
      <c r="AG250" s="35"/>
      <c r="AH250" s="36"/>
      <c r="AI250" s="39"/>
      <c r="AJ250" s="36"/>
      <c r="AK250" s="39"/>
      <c r="AL250" s="36"/>
      <c r="AM250" s="39"/>
      <c r="AN250" s="39"/>
      <c r="AO250" s="36"/>
      <c r="AP250" s="36"/>
      <c r="AQ250" s="37"/>
      <c r="AR250" s="39"/>
      <c r="AS250" s="39"/>
      <c r="AT250" s="39"/>
      <c r="AU250" s="39"/>
      <c r="AV250" s="39"/>
      <c r="AW250" s="39"/>
      <c r="AX250" s="36"/>
      <c r="AY250" s="36"/>
      <c r="AZ250" s="36"/>
      <c r="BA250" s="36"/>
      <c r="BB250" s="39"/>
      <c r="BC250" s="39"/>
      <c r="BD250" s="37"/>
      <c r="BE250" s="37"/>
      <c r="BF250" s="37"/>
    </row>
    <row r="251" spans="1:58">
      <c r="A251" s="40"/>
      <c r="B251" s="35"/>
      <c r="C251" s="41"/>
      <c r="D251" s="35"/>
      <c r="E251" s="35"/>
      <c r="F251" s="35"/>
      <c r="G251" s="36"/>
      <c r="H251" s="35"/>
      <c r="I251" s="37"/>
      <c r="J251" s="35"/>
      <c r="K251" s="35"/>
      <c r="L251" s="36"/>
      <c r="M251" s="35"/>
      <c r="N251" s="35"/>
      <c r="O251" s="35"/>
      <c r="P251" s="36"/>
      <c r="Q251" s="35"/>
      <c r="R251" s="35"/>
      <c r="S251" s="35"/>
      <c r="T251" s="36"/>
      <c r="U251" s="35"/>
      <c r="V251" s="36"/>
      <c r="W251" s="35"/>
      <c r="X251" s="36"/>
      <c r="Y251" s="35"/>
      <c r="Z251" s="38"/>
      <c r="AA251" s="35"/>
      <c r="AB251" s="36"/>
      <c r="AC251" s="35"/>
      <c r="AD251" s="36"/>
      <c r="AE251" s="35"/>
      <c r="AF251" s="36"/>
      <c r="AG251" s="35"/>
      <c r="AH251" s="36"/>
      <c r="AI251" s="39"/>
      <c r="AJ251" s="36"/>
      <c r="AK251" s="39"/>
      <c r="AL251" s="36"/>
      <c r="AM251" s="39"/>
      <c r="AN251" s="39"/>
      <c r="AO251" s="36"/>
      <c r="AP251" s="36"/>
      <c r="AQ251" s="37"/>
      <c r="AR251" s="39"/>
      <c r="AS251" s="39"/>
      <c r="AT251" s="39"/>
      <c r="AU251" s="39"/>
      <c r="AV251" s="39"/>
      <c r="AW251" s="39"/>
      <c r="AX251" s="36"/>
      <c r="AY251" s="36"/>
      <c r="AZ251" s="36"/>
      <c r="BA251" s="36"/>
      <c r="BB251" s="39"/>
      <c r="BC251" s="39"/>
      <c r="BD251" s="37"/>
      <c r="BE251" s="37"/>
      <c r="BF251" s="37"/>
    </row>
    <row r="252" spans="1:58">
      <c r="A252" s="40"/>
      <c r="B252" s="35"/>
      <c r="C252" s="41"/>
      <c r="D252" s="35"/>
      <c r="E252" s="35"/>
      <c r="F252" s="35"/>
      <c r="G252" s="36"/>
      <c r="H252" s="35"/>
      <c r="I252" s="37"/>
      <c r="J252" s="35"/>
      <c r="K252" s="35"/>
      <c r="L252" s="36"/>
      <c r="M252" s="35"/>
      <c r="N252" s="35"/>
      <c r="O252" s="35"/>
      <c r="P252" s="36"/>
      <c r="Q252" s="35"/>
      <c r="R252" s="35"/>
      <c r="S252" s="35"/>
      <c r="T252" s="36"/>
      <c r="U252" s="35"/>
      <c r="V252" s="36"/>
      <c r="W252" s="35"/>
      <c r="X252" s="36"/>
      <c r="Y252" s="35"/>
      <c r="Z252" s="38"/>
      <c r="AA252" s="35"/>
      <c r="AB252" s="36"/>
      <c r="AC252" s="35"/>
      <c r="AD252" s="36"/>
      <c r="AE252" s="35"/>
      <c r="AF252" s="36"/>
      <c r="AG252" s="35"/>
      <c r="AH252" s="36"/>
      <c r="AI252" s="39"/>
      <c r="AJ252" s="36"/>
      <c r="AK252" s="39"/>
      <c r="AL252" s="36"/>
      <c r="AM252" s="39"/>
      <c r="AN252" s="39"/>
      <c r="AO252" s="36"/>
      <c r="AP252" s="36"/>
      <c r="AQ252" s="37"/>
      <c r="AR252" s="39"/>
      <c r="AS252" s="39"/>
      <c r="AT252" s="39"/>
      <c r="AU252" s="39"/>
      <c r="AV252" s="39"/>
      <c r="AW252" s="39"/>
      <c r="AX252" s="36"/>
      <c r="AY252" s="36"/>
      <c r="AZ252" s="36"/>
      <c r="BA252" s="36"/>
      <c r="BB252" s="39"/>
      <c r="BC252" s="39"/>
      <c r="BD252" s="37"/>
      <c r="BE252" s="37"/>
      <c r="BF252" s="37"/>
    </row>
    <row r="253" spans="1:58">
      <c r="A253" s="40"/>
      <c r="B253" s="35"/>
      <c r="C253" s="41"/>
      <c r="D253" s="35"/>
      <c r="E253" s="35"/>
      <c r="F253" s="35"/>
      <c r="G253" s="36"/>
      <c r="H253" s="35"/>
      <c r="I253" s="37"/>
      <c r="J253" s="35"/>
      <c r="K253" s="35"/>
      <c r="L253" s="36"/>
      <c r="M253" s="35"/>
      <c r="N253" s="35"/>
      <c r="O253" s="35"/>
      <c r="P253" s="36"/>
      <c r="Q253" s="35"/>
      <c r="R253" s="35"/>
      <c r="S253" s="35"/>
      <c r="T253" s="36"/>
      <c r="U253" s="35"/>
      <c r="V253" s="36"/>
      <c r="W253" s="35"/>
      <c r="X253" s="36"/>
      <c r="Y253" s="35"/>
      <c r="Z253" s="38"/>
      <c r="AA253" s="35"/>
      <c r="AB253" s="36"/>
      <c r="AC253" s="35"/>
      <c r="AD253" s="36"/>
      <c r="AE253" s="35"/>
      <c r="AF253" s="36"/>
      <c r="AG253" s="35"/>
      <c r="AH253" s="36"/>
      <c r="AI253" s="39"/>
      <c r="AJ253" s="36"/>
      <c r="AK253" s="39"/>
      <c r="AL253" s="36"/>
      <c r="AM253" s="39"/>
      <c r="AN253" s="39"/>
      <c r="AO253" s="36"/>
      <c r="AP253" s="36"/>
      <c r="AQ253" s="37"/>
      <c r="AR253" s="39"/>
      <c r="AS253" s="39"/>
      <c r="AT253" s="39"/>
      <c r="AU253" s="39"/>
      <c r="AV253" s="39"/>
      <c r="AW253" s="39"/>
      <c r="AX253" s="36"/>
      <c r="AY253" s="36"/>
      <c r="AZ253" s="36"/>
      <c r="BA253" s="36"/>
      <c r="BB253" s="39"/>
      <c r="BC253" s="39"/>
      <c r="BD253" s="37"/>
      <c r="BE253" s="37"/>
      <c r="BF253" s="37"/>
    </row>
    <row r="254" spans="1:58">
      <c r="A254" s="40"/>
      <c r="B254" s="35"/>
      <c r="C254" s="41"/>
      <c r="D254" s="35"/>
      <c r="E254" s="35"/>
      <c r="F254" s="35"/>
      <c r="G254" s="36"/>
      <c r="H254" s="35"/>
      <c r="I254" s="37"/>
      <c r="J254" s="35"/>
      <c r="K254" s="35"/>
      <c r="L254" s="36"/>
      <c r="M254" s="35"/>
      <c r="N254" s="35"/>
      <c r="O254" s="35"/>
      <c r="P254" s="36"/>
      <c r="Q254" s="35"/>
      <c r="R254" s="35"/>
      <c r="S254" s="35"/>
      <c r="T254" s="36"/>
      <c r="U254" s="35"/>
      <c r="V254" s="36"/>
      <c r="W254" s="35"/>
      <c r="X254" s="36"/>
      <c r="Y254" s="35"/>
      <c r="Z254" s="38"/>
      <c r="AA254" s="35"/>
      <c r="AB254" s="36"/>
      <c r="AC254" s="35"/>
      <c r="AD254" s="36"/>
      <c r="AE254" s="35"/>
      <c r="AF254" s="36"/>
      <c r="AG254" s="35"/>
      <c r="AH254" s="36"/>
      <c r="AI254" s="39"/>
      <c r="AJ254" s="36"/>
      <c r="AK254" s="39"/>
      <c r="AL254" s="36"/>
      <c r="AM254" s="39"/>
      <c r="AN254" s="39"/>
      <c r="AO254" s="36"/>
      <c r="AP254" s="36"/>
      <c r="AQ254" s="37"/>
      <c r="AR254" s="39"/>
      <c r="AS254" s="39"/>
      <c r="AT254" s="39"/>
      <c r="AU254" s="39"/>
      <c r="AV254" s="39"/>
      <c r="AW254" s="39"/>
      <c r="AX254" s="36"/>
      <c r="AY254" s="36"/>
      <c r="AZ254" s="36"/>
      <c r="BA254" s="36"/>
      <c r="BB254" s="39"/>
      <c r="BC254" s="39"/>
      <c r="BD254" s="37"/>
      <c r="BE254" s="37"/>
      <c r="BF254" s="37"/>
    </row>
    <row r="255" spans="1:58">
      <c r="A255" s="40"/>
      <c r="B255" s="35"/>
      <c r="C255" s="41"/>
      <c r="D255" s="35"/>
      <c r="E255" s="35"/>
      <c r="F255" s="35"/>
      <c r="G255" s="36"/>
      <c r="H255" s="35"/>
      <c r="I255" s="37"/>
      <c r="J255" s="35"/>
      <c r="K255" s="35"/>
      <c r="L255" s="36"/>
      <c r="M255" s="35"/>
      <c r="N255" s="35"/>
      <c r="O255" s="35"/>
      <c r="P255" s="36"/>
      <c r="Q255" s="35"/>
      <c r="R255" s="35"/>
      <c r="S255" s="35"/>
      <c r="T255" s="36"/>
      <c r="U255" s="35"/>
      <c r="V255" s="36"/>
      <c r="W255" s="35"/>
      <c r="X255" s="36"/>
      <c r="Y255" s="35"/>
      <c r="Z255" s="38"/>
      <c r="AA255" s="35"/>
      <c r="AB255" s="36"/>
      <c r="AC255" s="35"/>
      <c r="AD255" s="36"/>
      <c r="AE255" s="35"/>
      <c r="AF255" s="36"/>
      <c r="AG255" s="35"/>
      <c r="AH255" s="36"/>
      <c r="AI255" s="39"/>
      <c r="AJ255" s="36"/>
      <c r="AK255" s="39"/>
      <c r="AL255" s="36"/>
      <c r="AM255" s="39"/>
      <c r="AN255" s="39"/>
      <c r="AO255" s="36"/>
      <c r="AP255" s="36"/>
      <c r="AQ255" s="37"/>
      <c r="AR255" s="39"/>
      <c r="AS255" s="39"/>
      <c r="AT255" s="39"/>
      <c r="AU255" s="39"/>
      <c r="AV255" s="39"/>
      <c r="AW255" s="39"/>
      <c r="AX255" s="36"/>
      <c r="AY255" s="36"/>
      <c r="AZ255" s="36"/>
      <c r="BA255" s="36"/>
      <c r="BB255" s="39"/>
      <c r="BC255" s="39"/>
      <c r="BD255" s="37"/>
      <c r="BE255" s="37"/>
      <c r="BF255" s="37"/>
    </row>
    <row r="256" spans="1:58">
      <c r="A256" s="40"/>
      <c r="B256" s="35"/>
      <c r="C256" s="41"/>
      <c r="D256" s="35"/>
      <c r="E256" s="35"/>
      <c r="F256" s="35"/>
      <c r="G256" s="36"/>
      <c r="H256" s="35"/>
      <c r="I256" s="37"/>
      <c r="J256" s="35"/>
      <c r="K256" s="35"/>
      <c r="L256" s="36"/>
      <c r="M256" s="35"/>
      <c r="N256" s="35"/>
      <c r="O256" s="35"/>
      <c r="P256" s="36"/>
      <c r="Q256" s="35"/>
      <c r="R256" s="35"/>
      <c r="S256" s="35"/>
      <c r="T256" s="36"/>
      <c r="U256" s="35"/>
      <c r="V256" s="36"/>
      <c r="W256" s="35"/>
      <c r="X256" s="36"/>
      <c r="Y256" s="35"/>
      <c r="Z256" s="38"/>
      <c r="AA256" s="35"/>
      <c r="AB256" s="36"/>
      <c r="AC256" s="35"/>
      <c r="AD256" s="36"/>
      <c r="AE256" s="35"/>
      <c r="AF256" s="36"/>
      <c r="AG256" s="35"/>
      <c r="AH256" s="36"/>
      <c r="AI256" s="39"/>
      <c r="AJ256" s="36"/>
      <c r="AK256" s="39"/>
      <c r="AL256" s="36"/>
      <c r="AM256" s="39"/>
      <c r="AN256" s="39"/>
      <c r="AO256" s="36"/>
      <c r="AP256" s="36"/>
      <c r="AQ256" s="37"/>
      <c r="AR256" s="39"/>
      <c r="AS256" s="39"/>
      <c r="AT256" s="39"/>
      <c r="AU256" s="39"/>
      <c r="AV256" s="39"/>
      <c r="AW256" s="39"/>
      <c r="AX256" s="36"/>
      <c r="AY256" s="36"/>
      <c r="AZ256" s="36"/>
      <c r="BA256" s="36"/>
      <c r="BB256" s="39"/>
      <c r="BC256" s="39"/>
      <c r="BD256" s="37"/>
      <c r="BE256" s="37"/>
      <c r="BF256" s="37"/>
    </row>
    <row r="257" spans="1:58">
      <c r="A257" s="40"/>
      <c r="B257" s="35"/>
      <c r="C257" s="41"/>
      <c r="D257" s="35"/>
      <c r="E257" s="35"/>
      <c r="F257" s="35"/>
      <c r="G257" s="36"/>
      <c r="H257" s="35"/>
      <c r="I257" s="37"/>
      <c r="J257" s="35"/>
      <c r="K257" s="35"/>
      <c r="L257" s="36"/>
      <c r="M257" s="35"/>
      <c r="N257" s="35"/>
      <c r="O257" s="35"/>
      <c r="P257" s="36"/>
      <c r="Q257" s="35"/>
      <c r="R257" s="35"/>
      <c r="S257" s="35"/>
      <c r="T257" s="36"/>
      <c r="U257" s="35"/>
      <c r="V257" s="36"/>
      <c r="W257" s="35"/>
      <c r="X257" s="36"/>
      <c r="Y257" s="35"/>
      <c r="Z257" s="38"/>
      <c r="AA257" s="35"/>
      <c r="AB257" s="36"/>
      <c r="AC257" s="35"/>
      <c r="AD257" s="36"/>
      <c r="AE257" s="35"/>
      <c r="AF257" s="36"/>
      <c r="AG257" s="35"/>
      <c r="AH257" s="36"/>
      <c r="AI257" s="39"/>
      <c r="AJ257" s="36"/>
      <c r="AK257" s="39"/>
      <c r="AL257" s="36"/>
      <c r="AM257" s="39"/>
      <c r="AN257" s="39"/>
      <c r="AO257" s="36"/>
      <c r="AP257" s="36"/>
      <c r="AQ257" s="37"/>
      <c r="AR257" s="39"/>
      <c r="AS257" s="39"/>
      <c r="AT257" s="39"/>
      <c r="AU257" s="39"/>
      <c r="AV257" s="39"/>
      <c r="AW257" s="39"/>
      <c r="AX257" s="36"/>
      <c r="AY257" s="36"/>
      <c r="AZ257" s="36"/>
      <c r="BA257" s="36"/>
      <c r="BB257" s="39"/>
      <c r="BC257" s="39"/>
      <c r="BD257" s="37"/>
      <c r="BE257" s="37"/>
      <c r="BF257" s="37"/>
    </row>
    <row r="258" spans="1:58">
      <c r="A258" s="40"/>
      <c r="B258" s="35"/>
      <c r="C258" s="41"/>
      <c r="D258" s="35"/>
      <c r="E258" s="35"/>
      <c r="F258" s="35"/>
      <c r="G258" s="36"/>
      <c r="H258" s="35"/>
      <c r="I258" s="37"/>
      <c r="J258" s="35"/>
      <c r="K258" s="35"/>
      <c r="L258" s="36"/>
      <c r="M258" s="35"/>
      <c r="N258" s="35"/>
      <c r="O258" s="35"/>
      <c r="P258" s="36"/>
      <c r="Q258" s="35"/>
      <c r="R258" s="35"/>
      <c r="S258" s="35"/>
      <c r="T258" s="36"/>
      <c r="U258" s="35"/>
      <c r="V258" s="36"/>
      <c r="W258" s="35"/>
      <c r="X258" s="36"/>
      <c r="Y258" s="35"/>
      <c r="Z258" s="38"/>
      <c r="AA258" s="35"/>
      <c r="AB258" s="36"/>
      <c r="AC258" s="35"/>
      <c r="AD258" s="36"/>
      <c r="AE258" s="35"/>
      <c r="AF258" s="36"/>
      <c r="AG258" s="35"/>
      <c r="AH258" s="36"/>
      <c r="AI258" s="39"/>
      <c r="AJ258" s="36"/>
      <c r="AK258" s="39"/>
      <c r="AL258" s="36"/>
      <c r="AM258" s="39"/>
      <c r="AN258" s="39"/>
      <c r="AO258" s="36"/>
      <c r="AP258" s="36"/>
      <c r="AQ258" s="37"/>
      <c r="AR258" s="39"/>
      <c r="AS258" s="39"/>
      <c r="AT258" s="39"/>
      <c r="AU258" s="39"/>
      <c r="AV258" s="39"/>
      <c r="AW258" s="39"/>
      <c r="AX258" s="36"/>
      <c r="AY258" s="36"/>
      <c r="AZ258" s="36"/>
      <c r="BA258" s="36"/>
      <c r="BB258" s="39"/>
      <c r="BC258" s="39"/>
      <c r="BD258" s="37"/>
      <c r="BE258" s="37"/>
      <c r="BF258" s="37"/>
    </row>
    <row r="259" spans="1:58">
      <c r="A259" s="40"/>
      <c r="B259" s="35"/>
      <c r="C259" s="41"/>
      <c r="D259" s="35"/>
      <c r="E259" s="35"/>
      <c r="F259" s="35"/>
      <c r="G259" s="36"/>
      <c r="H259" s="35"/>
      <c r="I259" s="37"/>
      <c r="J259" s="35"/>
      <c r="K259" s="35"/>
      <c r="L259" s="36"/>
      <c r="M259" s="35"/>
      <c r="N259" s="35"/>
      <c r="O259" s="35"/>
      <c r="P259" s="36"/>
      <c r="Q259" s="35"/>
      <c r="R259" s="35"/>
      <c r="S259" s="35"/>
      <c r="T259" s="36"/>
      <c r="U259" s="35"/>
      <c r="V259" s="36"/>
      <c r="W259" s="35"/>
      <c r="X259" s="36"/>
      <c r="Y259" s="35"/>
      <c r="Z259" s="38"/>
      <c r="AA259" s="35"/>
      <c r="AB259" s="36"/>
      <c r="AC259" s="35"/>
      <c r="AD259" s="36"/>
      <c r="AE259" s="35"/>
      <c r="AF259" s="36"/>
      <c r="AG259" s="35"/>
      <c r="AH259" s="36"/>
      <c r="AI259" s="39"/>
      <c r="AJ259" s="36"/>
      <c r="AK259" s="39"/>
      <c r="AL259" s="36"/>
      <c r="AM259" s="39"/>
      <c r="AN259" s="39"/>
      <c r="AO259" s="36"/>
      <c r="AP259" s="36"/>
      <c r="AQ259" s="37"/>
      <c r="AR259" s="39"/>
      <c r="AS259" s="39"/>
      <c r="AT259" s="39"/>
      <c r="AU259" s="39"/>
      <c r="AV259" s="39"/>
      <c r="AW259" s="39"/>
      <c r="AX259" s="36"/>
      <c r="AY259" s="36"/>
      <c r="AZ259" s="36"/>
      <c r="BA259" s="36"/>
      <c r="BB259" s="39"/>
      <c r="BC259" s="39"/>
      <c r="BD259" s="37"/>
      <c r="BE259" s="37"/>
      <c r="BF259" s="37"/>
    </row>
    <row r="260" spans="1:58">
      <c r="A260" s="40"/>
      <c r="B260" s="35"/>
      <c r="C260" s="41"/>
      <c r="D260" s="35"/>
      <c r="E260" s="35"/>
      <c r="F260" s="35"/>
      <c r="G260" s="36"/>
      <c r="H260" s="35"/>
      <c r="I260" s="37"/>
      <c r="J260" s="35"/>
      <c r="K260" s="35"/>
      <c r="L260" s="36"/>
      <c r="M260" s="35"/>
      <c r="N260" s="35"/>
      <c r="O260" s="35"/>
      <c r="P260" s="36"/>
      <c r="Q260" s="35"/>
      <c r="R260" s="35"/>
      <c r="S260" s="35"/>
      <c r="T260" s="36"/>
      <c r="U260" s="35"/>
      <c r="V260" s="36"/>
      <c r="W260" s="35"/>
      <c r="X260" s="36"/>
      <c r="Y260" s="35"/>
      <c r="Z260" s="38"/>
      <c r="AA260" s="35"/>
      <c r="AB260" s="36"/>
      <c r="AC260" s="35"/>
      <c r="AD260" s="36"/>
      <c r="AE260" s="35"/>
      <c r="AF260" s="36"/>
      <c r="AG260" s="35"/>
      <c r="AH260" s="36"/>
      <c r="AI260" s="39"/>
      <c r="AJ260" s="36"/>
      <c r="AK260" s="39"/>
      <c r="AL260" s="36"/>
      <c r="AM260" s="39"/>
      <c r="AN260" s="39"/>
      <c r="AO260" s="36"/>
      <c r="AP260" s="36"/>
      <c r="AQ260" s="37"/>
      <c r="AR260" s="39"/>
      <c r="AS260" s="39"/>
      <c r="AT260" s="39"/>
      <c r="AU260" s="39"/>
      <c r="AV260" s="39"/>
      <c r="AW260" s="39"/>
      <c r="AX260" s="36"/>
      <c r="AY260" s="36"/>
      <c r="AZ260" s="36"/>
      <c r="BA260" s="36"/>
      <c r="BB260" s="39"/>
      <c r="BC260" s="39"/>
      <c r="BD260" s="37"/>
      <c r="BE260" s="37"/>
      <c r="BF260" s="37"/>
    </row>
    <row r="261" spans="1:58">
      <c r="A261" s="40"/>
      <c r="B261" s="35"/>
      <c r="C261" s="41"/>
      <c r="D261" s="35"/>
      <c r="E261" s="35"/>
      <c r="F261" s="35"/>
      <c r="G261" s="36"/>
      <c r="H261" s="35"/>
      <c r="I261" s="37"/>
      <c r="J261" s="35"/>
      <c r="K261" s="35"/>
      <c r="L261" s="36"/>
      <c r="M261" s="35"/>
      <c r="N261" s="35"/>
      <c r="O261" s="35"/>
      <c r="P261" s="36"/>
      <c r="Q261" s="35"/>
      <c r="R261" s="35"/>
      <c r="S261" s="35"/>
      <c r="T261" s="36"/>
      <c r="U261" s="35"/>
      <c r="V261" s="36"/>
      <c r="W261" s="35"/>
      <c r="X261" s="36"/>
      <c r="Y261" s="35"/>
      <c r="Z261" s="38"/>
      <c r="AA261" s="35"/>
      <c r="AB261" s="36"/>
      <c r="AC261" s="35"/>
      <c r="AD261" s="36"/>
      <c r="AE261" s="35"/>
      <c r="AF261" s="36"/>
      <c r="AG261" s="35"/>
      <c r="AH261" s="36"/>
      <c r="AI261" s="39"/>
      <c r="AJ261" s="36"/>
      <c r="AK261" s="39"/>
      <c r="AL261" s="36"/>
      <c r="AM261" s="39"/>
      <c r="AN261" s="39"/>
      <c r="AO261" s="36"/>
      <c r="AP261" s="36"/>
      <c r="AQ261" s="37"/>
      <c r="AR261" s="39"/>
      <c r="AS261" s="39"/>
      <c r="AT261" s="39"/>
      <c r="AU261" s="39"/>
      <c r="AV261" s="39"/>
      <c r="AW261" s="39"/>
      <c r="AX261" s="36"/>
      <c r="AY261" s="36"/>
      <c r="AZ261" s="36"/>
      <c r="BA261" s="36"/>
      <c r="BB261" s="39"/>
      <c r="BC261" s="39"/>
      <c r="BD261" s="37"/>
      <c r="BE261" s="37"/>
      <c r="BF261" s="37"/>
    </row>
    <row r="262" spans="1:58">
      <c r="A262" s="40"/>
      <c r="B262" s="35"/>
      <c r="C262" s="41"/>
      <c r="D262" s="35"/>
      <c r="E262" s="35"/>
      <c r="F262" s="35"/>
      <c r="G262" s="36"/>
      <c r="H262" s="35"/>
      <c r="I262" s="37"/>
      <c r="J262" s="35"/>
      <c r="K262" s="35"/>
      <c r="L262" s="36"/>
      <c r="M262" s="35"/>
      <c r="N262" s="35"/>
      <c r="O262" s="35"/>
      <c r="P262" s="36"/>
      <c r="Q262" s="35"/>
      <c r="R262" s="35"/>
      <c r="S262" s="35"/>
      <c r="T262" s="36"/>
      <c r="U262" s="35"/>
      <c r="V262" s="36"/>
      <c r="W262" s="35"/>
      <c r="X262" s="36"/>
      <c r="Y262" s="35"/>
      <c r="Z262" s="38"/>
      <c r="AA262" s="35"/>
      <c r="AB262" s="36"/>
      <c r="AC262" s="35"/>
      <c r="AD262" s="36"/>
      <c r="AE262" s="35"/>
      <c r="AF262" s="36"/>
      <c r="AG262" s="35"/>
      <c r="AH262" s="36"/>
      <c r="AI262" s="39"/>
      <c r="AJ262" s="36"/>
      <c r="AK262" s="39"/>
      <c r="AL262" s="36"/>
      <c r="AM262" s="39"/>
      <c r="AN262" s="39"/>
      <c r="AO262" s="36"/>
      <c r="AP262" s="36"/>
      <c r="AQ262" s="37"/>
      <c r="AR262" s="39"/>
      <c r="AS262" s="39"/>
      <c r="AT262" s="39"/>
      <c r="AU262" s="39"/>
      <c r="AV262" s="39"/>
      <c r="AW262" s="39"/>
      <c r="AX262" s="36"/>
      <c r="AY262" s="36"/>
      <c r="AZ262" s="36"/>
      <c r="BA262" s="36"/>
      <c r="BB262" s="39"/>
      <c r="BC262" s="39"/>
      <c r="BD262" s="37"/>
      <c r="BE262" s="37"/>
      <c r="BF262" s="37"/>
    </row>
    <row r="263" spans="1:58">
      <c r="A263" s="40"/>
      <c r="B263" s="35"/>
      <c r="C263" s="41"/>
      <c r="D263" s="35"/>
      <c r="E263" s="35"/>
      <c r="F263" s="35"/>
      <c r="G263" s="36"/>
      <c r="H263" s="35"/>
      <c r="I263" s="37"/>
      <c r="J263" s="35"/>
      <c r="K263" s="35"/>
      <c r="L263" s="36"/>
      <c r="M263" s="35"/>
      <c r="N263" s="35"/>
      <c r="O263" s="35"/>
      <c r="P263" s="36"/>
      <c r="Q263" s="35"/>
      <c r="R263" s="35"/>
      <c r="S263" s="35"/>
      <c r="T263" s="36"/>
      <c r="U263" s="35"/>
      <c r="V263" s="36"/>
      <c r="W263" s="35"/>
      <c r="X263" s="36"/>
      <c r="Y263" s="35"/>
      <c r="Z263" s="38"/>
      <c r="AA263" s="35"/>
      <c r="AB263" s="36"/>
      <c r="AC263" s="35"/>
      <c r="AD263" s="36"/>
      <c r="AE263" s="35"/>
      <c r="AF263" s="36"/>
      <c r="AG263" s="35"/>
      <c r="AH263" s="36"/>
      <c r="AI263" s="39"/>
      <c r="AJ263" s="36"/>
      <c r="AK263" s="39"/>
      <c r="AL263" s="36"/>
      <c r="AM263" s="39"/>
      <c r="AN263" s="39"/>
      <c r="AO263" s="36"/>
      <c r="AP263" s="36"/>
      <c r="AQ263" s="37"/>
      <c r="AR263" s="39"/>
      <c r="AS263" s="39"/>
      <c r="AT263" s="39"/>
      <c r="AU263" s="39"/>
      <c r="AV263" s="39"/>
      <c r="AW263" s="39"/>
      <c r="AX263" s="36"/>
      <c r="AY263" s="36"/>
      <c r="AZ263" s="36"/>
      <c r="BA263" s="36"/>
      <c r="BB263" s="39"/>
      <c r="BC263" s="39"/>
      <c r="BD263" s="37"/>
      <c r="BE263" s="37"/>
      <c r="BF263" s="37"/>
    </row>
    <row r="264" spans="1:58">
      <c r="A264" s="40"/>
      <c r="B264" s="35"/>
      <c r="C264" s="41"/>
      <c r="D264" s="35"/>
      <c r="E264" s="35"/>
      <c r="F264" s="35"/>
      <c r="G264" s="36"/>
      <c r="H264" s="35"/>
      <c r="I264" s="37"/>
      <c r="J264" s="35"/>
      <c r="K264" s="35"/>
      <c r="L264" s="36"/>
      <c r="M264" s="35"/>
      <c r="N264" s="35"/>
      <c r="O264" s="35"/>
      <c r="P264" s="36"/>
      <c r="Q264" s="35"/>
      <c r="R264" s="35"/>
      <c r="S264" s="35"/>
      <c r="T264" s="36"/>
      <c r="U264" s="35"/>
      <c r="V264" s="36"/>
      <c r="W264" s="35"/>
      <c r="X264" s="36"/>
      <c r="Y264" s="35"/>
      <c r="Z264" s="38"/>
      <c r="AA264" s="35"/>
      <c r="AB264" s="36"/>
      <c r="AC264" s="35"/>
      <c r="AD264" s="36"/>
      <c r="AE264" s="35"/>
      <c r="AF264" s="36"/>
      <c r="AG264" s="35"/>
      <c r="AH264" s="36"/>
      <c r="AI264" s="39"/>
      <c r="AJ264" s="36"/>
      <c r="AK264" s="39"/>
      <c r="AL264" s="36"/>
      <c r="AM264" s="39"/>
      <c r="AN264" s="39"/>
      <c r="AO264" s="36"/>
      <c r="AP264" s="36"/>
      <c r="AQ264" s="37"/>
      <c r="AR264" s="39"/>
      <c r="AS264" s="39"/>
      <c r="AT264" s="39"/>
      <c r="AU264" s="39"/>
      <c r="AV264" s="39"/>
      <c r="AW264" s="39"/>
      <c r="AX264" s="36"/>
      <c r="AY264" s="36"/>
      <c r="AZ264" s="36"/>
      <c r="BA264" s="36"/>
      <c r="BB264" s="39"/>
      <c r="BC264" s="39"/>
      <c r="BD264" s="37"/>
      <c r="BE264" s="37"/>
      <c r="BF264" s="37"/>
    </row>
    <row r="265" spans="1:58">
      <c r="A265" s="40"/>
      <c r="B265" s="35"/>
      <c r="C265" s="41"/>
      <c r="D265" s="35"/>
      <c r="E265" s="35"/>
      <c r="F265" s="35"/>
      <c r="G265" s="36"/>
      <c r="H265" s="35"/>
      <c r="I265" s="37"/>
      <c r="J265" s="35"/>
      <c r="K265" s="35"/>
      <c r="L265" s="36"/>
      <c r="M265" s="35"/>
      <c r="N265" s="35"/>
      <c r="O265" s="35"/>
      <c r="P265" s="36"/>
      <c r="Q265" s="35"/>
      <c r="R265" s="35"/>
      <c r="S265" s="35"/>
      <c r="T265" s="36"/>
      <c r="U265" s="35"/>
      <c r="V265" s="36"/>
      <c r="W265" s="35"/>
      <c r="X265" s="36"/>
      <c r="Y265" s="35"/>
      <c r="Z265" s="38"/>
      <c r="AA265" s="35"/>
      <c r="AB265" s="36"/>
      <c r="AC265" s="35"/>
      <c r="AD265" s="36"/>
      <c r="AE265" s="35"/>
      <c r="AF265" s="36"/>
      <c r="AG265" s="35"/>
      <c r="AH265" s="36"/>
      <c r="AI265" s="39"/>
      <c r="AJ265" s="36"/>
      <c r="AK265" s="39"/>
      <c r="AL265" s="36"/>
      <c r="AM265" s="39"/>
      <c r="AN265" s="39"/>
      <c r="AO265" s="36"/>
      <c r="AP265" s="36"/>
      <c r="AQ265" s="37"/>
      <c r="AR265" s="39"/>
      <c r="AS265" s="39"/>
      <c r="AT265" s="39"/>
      <c r="AU265" s="39"/>
      <c r="AV265" s="39"/>
      <c r="AW265" s="39"/>
      <c r="AX265" s="36"/>
      <c r="AY265" s="36"/>
      <c r="AZ265" s="36"/>
      <c r="BA265" s="36"/>
      <c r="BB265" s="39"/>
      <c r="BC265" s="39"/>
      <c r="BD265" s="37"/>
      <c r="BE265" s="37"/>
      <c r="BF265" s="37"/>
    </row>
    <row r="266" spans="1:58">
      <c r="A266" s="40"/>
      <c r="B266" s="35"/>
      <c r="C266" s="41"/>
      <c r="D266" s="35"/>
      <c r="E266" s="35"/>
      <c r="F266" s="35"/>
      <c r="G266" s="36"/>
      <c r="H266" s="35"/>
      <c r="I266" s="37"/>
      <c r="J266" s="35"/>
      <c r="K266" s="35"/>
      <c r="L266" s="36"/>
      <c r="M266" s="35"/>
      <c r="N266" s="35"/>
      <c r="O266" s="35"/>
      <c r="P266" s="36"/>
      <c r="Q266" s="35"/>
      <c r="R266" s="35"/>
      <c r="S266" s="35"/>
      <c r="T266" s="36"/>
      <c r="U266" s="35"/>
      <c r="V266" s="36"/>
      <c r="W266" s="35"/>
      <c r="X266" s="36"/>
      <c r="Y266" s="35"/>
      <c r="Z266" s="38"/>
      <c r="AA266" s="35"/>
      <c r="AB266" s="36"/>
      <c r="AC266" s="35"/>
      <c r="AD266" s="36"/>
      <c r="AE266" s="35"/>
      <c r="AF266" s="36"/>
      <c r="AG266" s="35"/>
      <c r="AH266" s="36"/>
      <c r="AI266" s="39"/>
      <c r="AJ266" s="36"/>
      <c r="AK266" s="39"/>
      <c r="AL266" s="36"/>
      <c r="AM266" s="39"/>
      <c r="AN266" s="39"/>
      <c r="AO266" s="36"/>
      <c r="AP266" s="36"/>
      <c r="AQ266" s="37"/>
      <c r="AR266" s="39"/>
      <c r="AS266" s="39"/>
      <c r="AT266" s="39"/>
      <c r="AU266" s="39"/>
      <c r="AV266" s="39"/>
      <c r="AW266" s="39"/>
      <c r="AX266" s="36"/>
      <c r="AY266" s="36"/>
      <c r="AZ266" s="36"/>
      <c r="BA266" s="36"/>
      <c r="BB266" s="39"/>
      <c r="BC266" s="39"/>
      <c r="BD266" s="37"/>
      <c r="BE266" s="37"/>
      <c r="BF266" s="37"/>
    </row>
    <row r="267" spans="1:58">
      <c r="A267" s="40"/>
      <c r="B267" s="35"/>
      <c r="C267" s="41"/>
      <c r="D267" s="35"/>
      <c r="E267" s="35"/>
      <c r="F267" s="35"/>
      <c r="G267" s="36"/>
      <c r="H267" s="35"/>
      <c r="I267" s="37"/>
      <c r="J267" s="35"/>
      <c r="K267" s="35"/>
      <c r="L267" s="36"/>
      <c r="M267" s="35"/>
      <c r="N267" s="35"/>
      <c r="O267" s="35"/>
      <c r="P267" s="36"/>
      <c r="Q267" s="35"/>
      <c r="R267" s="35"/>
      <c r="S267" s="35"/>
      <c r="T267" s="36"/>
      <c r="U267" s="35"/>
      <c r="V267" s="36"/>
      <c r="W267" s="35"/>
      <c r="X267" s="36"/>
      <c r="Y267" s="35"/>
      <c r="Z267" s="38"/>
      <c r="AA267" s="35"/>
      <c r="AB267" s="36"/>
      <c r="AC267" s="35"/>
      <c r="AD267" s="36"/>
      <c r="AE267" s="35"/>
      <c r="AF267" s="36"/>
      <c r="AG267" s="35"/>
      <c r="AH267" s="36"/>
      <c r="AI267" s="39"/>
      <c r="AJ267" s="36"/>
      <c r="AK267" s="39"/>
      <c r="AL267" s="36"/>
      <c r="AM267" s="39"/>
      <c r="AN267" s="39"/>
      <c r="AO267" s="36"/>
      <c r="AP267" s="36"/>
      <c r="AQ267" s="37"/>
      <c r="AR267" s="39"/>
      <c r="AS267" s="39"/>
      <c r="AT267" s="39"/>
      <c r="AU267" s="39"/>
      <c r="AV267" s="39"/>
      <c r="AW267" s="39"/>
      <c r="AX267" s="36"/>
      <c r="AY267" s="36"/>
      <c r="AZ267" s="36"/>
      <c r="BA267" s="36"/>
      <c r="BB267" s="39"/>
      <c r="BC267" s="39"/>
      <c r="BD267" s="37"/>
      <c r="BE267" s="37"/>
      <c r="BF267" s="37"/>
    </row>
    <row r="268" spans="1:58">
      <c r="A268" s="40"/>
      <c r="B268" s="35"/>
      <c r="C268" s="41"/>
      <c r="D268" s="35"/>
      <c r="E268" s="35"/>
      <c r="F268" s="35"/>
      <c r="G268" s="36"/>
      <c r="H268" s="35"/>
      <c r="I268" s="37"/>
      <c r="J268" s="35"/>
      <c r="K268" s="35"/>
      <c r="L268" s="36"/>
      <c r="M268" s="35"/>
      <c r="N268" s="35"/>
      <c r="O268" s="35"/>
      <c r="P268" s="36"/>
      <c r="Q268" s="35"/>
      <c r="R268" s="35"/>
      <c r="S268" s="35"/>
      <c r="T268" s="36"/>
      <c r="U268" s="35"/>
      <c r="V268" s="36"/>
      <c r="W268" s="35"/>
      <c r="X268" s="36"/>
      <c r="Y268" s="35"/>
      <c r="Z268" s="38"/>
      <c r="AA268" s="35"/>
      <c r="AB268" s="36"/>
      <c r="AC268" s="35"/>
      <c r="AD268" s="36"/>
      <c r="AE268" s="35"/>
      <c r="AF268" s="36"/>
      <c r="AG268" s="35"/>
      <c r="AH268" s="36"/>
      <c r="AI268" s="39"/>
      <c r="AJ268" s="36"/>
      <c r="AK268" s="39"/>
      <c r="AL268" s="36"/>
      <c r="AM268" s="39"/>
      <c r="AN268" s="39"/>
      <c r="AO268" s="36"/>
      <c r="AP268" s="36"/>
      <c r="AQ268" s="37"/>
      <c r="AR268" s="39"/>
      <c r="AS268" s="39"/>
      <c r="AT268" s="39"/>
      <c r="AU268" s="39"/>
      <c r="AV268" s="39"/>
      <c r="AW268" s="39"/>
      <c r="AX268" s="36"/>
      <c r="AY268" s="36"/>
      <c r="AZ268" s="36"/>
      <c r="BA268" s="36"/>
      <c r="BB268" s="39"/>
      <c r="BC268" s="39"/>
      <c r="BD268" s="37"/>
      <c r="BE268" s="37"/>
      <c r="BF268" s="37"/>
    </row>
    <row r="269" spans="1:58">
      <c r="A269" s="40"/>
      <c r="B269" s="35"/>
      <c r="C269" s="41"/>
      <c r="D269" s="35"/>
      <c r="E269" s="35"/>
      <c r="F269" s="35"/>
      <c r="G269" s="36"/>
      <c r="H269" s="35"/>
      <c r="I269" s="37"/>
      <c r="J269" s="35"/>
      <c r="K269" s="35"/>
      <c r="L269" s="36"/>
      <c r="M269" s="35"/>
      <c r="N269" s="35"/>
      <c r="O269" s="35"/>
      <c r="P269" s="36"/>
      <c r="Q269" s="35"/>
      <c r="R269" s="35"/>
      <c r="S269" s="35"/>
      <c r="T269" s="36"/>
      <c r="U269" s="35"/>
      <c r="V269" s="36"/>
      <c r="W269" s="35"/>
      <c r="X269" s="36"/>
      <c r="Y269" s="35"/>
      <c r="Z269" s="38"/>
      <c r="AA269" s="35"/>
      <c r="AB269" s="36"/>
      <c r="AC269" s="35"/>
      <c r="AD269" s="36"/>
      <c r="AE269" s="35"/>
      <c r="AF269" s="36"/>
      <c r="AG269" s="35"/>
      <c r="AH269" s="36"/>
      <c r="AI269" s="39"/>
      <c r="AJ269" s="36"/>
      <c r="AK269" s="39"/>
      <c r="AL269" s="36"/>
      <c r="AM269" s="39"/>
      <c r="AN269" s="39"/>
      <c r="AO269" s="36"/>
      <c r="AP269" s="36"/>
      <c r="AQ269" s="37"/>
      <c r="AR269" s="39"/>
      <c r="AS269" s="39"/>
      <c r="AT269" s="39"/>
      <c r="AU269" s="39"/>
      <c r="AV269" s="39"/>
      <c r="AW269" s="39"/>
      <c r="AX269" s="36"/>
      <c r="AY269" s="36"/>
      <c r="AZ269" s="36"/>
      <c r="BA269" s="36"/>
      <c r="BB269" s="39"/>
      <c r="BC269" s="39"/>
      <c r="BD269" s="37"/>
      <c r="BE269" s="37"/>
      <c r="BF269" s="37"/>
    </row>
    <row r="270" spans="1:58">
      <c r="A270" s="40"/>
      <c r="B270" s="35"/>
      <c r="C270" s="41"/>
      <c r="D270" s="35"/>
      <c r="E270" s="35"/>
      <c r="F270" s="35"/>
      <c r="G270" s="36"/>
      <c r="H270" s="35"/>
      <c r="I270" s="37"/>
      <c r="J270" s="35"/>
      <c r="K270" s="35"/>
      <c r="L270" s="36"/>
      <c r="M270" s="35"/>
      <c r="N270" s="35"/>
      <c r="O270" s="35"/>
      <c r="P270" s="36"/>
      <c r="Q270" s="35"/>
      <c r="R270" s="35"/>
      <c r="S270" s="35"/>
      <c r="T270" s="36"/>
      <c r="U270" s="35"/>
      <c r="V270" s="36"/>
      <c r="W270" s="35"/>
      <c r="X270" s="36"/>
      <c r="Y270" s="35"/>
      <c r="Z270" s="38"/>
      <c r="AA270" s="35"/>
      <c r="AB270" s="36"/>
      <c r="AC270" s="35"/>
      <c r="AD270" s="36"/>
      <c r="AE270" s="35"/>
      <c r="AF270" s="36"/>
      <c r="AG270" s="35"/>
      <c r="AH270" s="36"/>
      <c r="AI270" s="39"/>
      <c r="AJ270" s="36"/>
      <c r="AK270" s="39"/>
      <c r="AL270" s="36"/>
      <c r="AM270" s="39"/>
      <c r="AN270" s="39"/>
      <c r="AO270" s="36"/>
      <c r="AP270" s="36"/>
      <c r="AQ270" s="37"/>
      <c r="AR270" s="39"/>
      <c r="AS270" s="39"/>
      <c r="AT270" s="39"/>
      <c r="AU270" s="39"/>
      <c r="AV270" s="39"/>
      <c r="AW270" s="39"/>
      <c r="AX270" s="36"/>
      <c r="AY270" s="36"/>
      <c r="AZ270" s="36"/>
      <c r="BA270" s="36"/>
      <c r="BB270" s="39"/>
      <c r="BC270" s="39"/>
      <c r="BD270" s="37"/>
      <c r="BE270" s="37"/>
      <c r="BF270" s="37"/>
    </row>
    <row r="271" spans="1:58">
      <c r="A271" s="40"/>
      <c r="B271" s="35"/>
      <c r="C271" s="41"/>
      <c r="D271" s="35"/>
      <c r="E271" s="35"/>
      <c r="F271" s="35"/>
      <c r="G271" s="36"/>
      <c r="H271" s="35"/>
      <c r="I271" s="37"/>
      <c r="J271" s="35"/>
      <c r="K271" s="35"/>
      <c r="L271" s="36"/>
      <c r="M271" s="35"/>
      <c r="N271" s="35"/>
      <c r="O271" s="35"/>
      <c r="P271" s="36"/>
      <c r="Q271" s="35"/>
      <c r="R271" s="35"/>
      <c r="S271" s="35"/>
      <c r="T271" s="36"/>
      <c r="U271" s="35"/>
      <c r="V271" s="36"/>
      <c r="W271" s="35"/>
      <c r="X271" s="36"/>
      <c r="Y271" s="35"/>
      <c r="Z271" s="38"/>
      <c r="AA271" s="35"/>
      <c r="AB271" s="36"/>
      <c r="AC271" s="35"/>
      <c r="AD271" s="36"/>
      <c r="AE271" s="35"/>
      <c r="AF271" s="36"/>
      <c r="AG271" s="35"/>
      <c r="AH271" s="36"/>
      <c r="AI271" s="39"/>
      <c r="AJ271" s="36"/>
      <c r="AK271" s="39"/>
      <c r="AL271" s="36"/>
      <c r="AM271" s="39"/>
      <c r="AN271" s="39"/>
      <c r="AO271" s="36"/>
      <c r="AP271" s="36"/>
      <c r="AQ271" s="37"/>
      <c r="AR271" s="39"/>
      <c r="AS271" s="39"/>
      <c r="AT271" s="39"/>
      <c r="AU271" s="39"/>
      <c r="AV271" s="39"/>
      <c r="AW271" s="39"/>
      <c r="AX271" s="36"/>
      <c r="AY271" s="36"/>
      <c r="AZ271" s="36"/>
      <c r="BA271" s="36"/>
      <c r="BB271" s="39"/>
      <c r="BC271" s="39"/>
      <c r="BD271" s="37"/>
      <c r="BE271" s="37"/>
      <c r="BF271" s="37"/>
    </row>
    <row r="272" spans="1:58">
      <c r="A272" s="40"/>
      <c r="B272" s="35"/>
      <c r="C272" s="41"/>
      <c r="D272" s="35"/>
      <c r="E272" s="35"/>
      <c r="F272" s="35"/>
      <c r="G272" s="36"/>
      <c r="H272" s="35"/>
      <c r="I272" s="37"/>
      <c r="J272" s="35"/>
      <c r="K272" s="35"/>
      <c r="L272" s="36"/>
      <c r="M272" s="35"/>
      <c r="N272" s="35"/>
      <c r="O272" s="35"/>
      <c r="P272" s="36"/>
      <c r="Q272" s="35"/>
      <c r="R272" s="35"/>
      <c r="S272" s="35"/>
      <c r="T272" s="36"/>
      <c r="U272" s="35"/>
      <c r="V272" s="36"/>
      <c r="W272" s="35"/>
      <c r="X272" s="36"/>
      <c r="Y272" s="35"/>
      <c r="Z272" s="38"/>
      <c r="AA272" s="35"/>
      <c r="AB272" s="36"/>
      <c r="AC272" s="35"/>
      <c r="AD272" s="36"/>
      <c r="AE272" s="35"/>
      <c r="AF272" s="36"/>
      <c r="AG272" s="35"/>
      <c r="AH272" s="36"/>
      <c r="AI272" s="39"/>
      <c r="AJ272" s="36"/>
      <c r="AK272" s="39"/>
      <c r="AL272" s="36"/>
      <c r="AM272" s="39"/>
      <c r="AN272" s="39"/>
      <c r="AO272" s="36"/>
      <c r="AP272" s="36"/>
      <c r="AQ272" s="37"/>
      <c r="AR272" s="39"/>
      <c r="AS272" s="39"/>
      <c r="AT272" s="39"/>
      <c r="AU272" s="39"/>
      <c r="AV272" s="39"/>
      <c r="AW272" s="39"/>
      <c r="AX272" s="36"/>
      <c r="AY272" s="36"/>
      <c r="AZ272" s="36"/>
      <c r="BA272" s="36"/>
      <c r="BB272" s="39"/>
      <c r="BC272" s="39"/>
      <c r="BD272" s="37"/>
      <c r="BE272" s="37"/>
      <c r="BF272" s="37"/>
    </row>
    <row r="273" spans="1:58">
      <c r="A273" s="40"/>
      <c r="B273" s="35"/>
      <c r="C273" s="41"/>
      <c r="D273" s="35"/>
      <c r="E273" s="35"/>
      <c r="F273" s="35"/>
      <c r="G273" s="36"/>
      <c r="H273" s="35"/>
      <c r="I273" s="37"/>
      <c r="J273" s="35"/>
      <c r="K273" s="35"/>
      <c r="L273" s="36"/>
      <c r="M273" s="35"/>
      <c r="N273" s="35"/>
      <c r="O273" s="35"/>
      <c r="P273" s="36"/>
      <c r="Q273" s="35"/>
      <c r="R273" s="35"/>
      <c r="S273" s="35"/>
      <c r="T273" s="36"/>
      <c r="U273" s="35"/>
      <c r="V273" s="36"/>
      <c r="W273" s="35"/>
      <c r="X273" s="36"/>
      <c r="Y273" s="35"/>
      <c r="Z273" s="38"/>
      <c r="AA273" s="35"/>
      <c r="AB273" s="36"/>
      <c r="AC273" s="35"/>
      <c r="AD273" s="36"/>
      <c r="AE273" s="35"/>
      <c r="AF273" s="36"/>
      <c r="AG273" s="35"/>
      <c r="AH273" s="36"/>
      <c r="AI273" s="39"/>
      <c r="AJ273" s="36"/>
      <c r="AK273" s="39"/>
      <c r="AL273" s="36"/>
      <c r="AM273" s="39"/>
      <c r="AN273" s="39"/>
      <c r="AO273" s="36"/>
      <c r="AP273" s="36"/>
      <c r="AQ273" s="37"/>
      <c r="AR273" s="39"/>
      <c r="AS273" s="39"/>
      <c r="AT273" s="39"/>
      <c r="AU273" s="39"/>
      <c r="AV273" s="39"/>
      <c r="AW273" s="39"/>
      <c r="AX273" s="36"/>
      <c r="AY273" s="36"/>
      <c r="AZ273" s="36"/>
      <c r="BA273" s="36"/>
      <c r="BB273" s="39"/>
      <c r="BC273" s="39"/>
      <c r="BD273" s="37"/>
      <c r="BE273" s="37"/>
      <c r="BF273" s="37"/>
    </row>
    <row r="274" spans="1:58">
      <c r="A274" s="40"/>
      <c r="B274" s="35"/>
      <c r="C274" s="41"/>
      <c r="D274" s="35"/>
      <c r="E274" s="35"/>
      <c r="F274" s="35"/>
      <c r="G274" s="36"/>
      <c r="H274" s="35"/>
      <c r="I274" s="37"/>
      <c r="J274" s="35"/>
      <c r="K274" s="35"/>
      <c r="L274" s="36"/>
      <c r="M274" s="35"/>
      <c r="N274" s="35"/>
      <c r="O274" s="35"/>
      <c r="P274" s="36"/>
      <c r="Q274" s="35"/>
      <c r="R274" s="35"/>
      <c r="S274" s="35"/>
      <c r="T274" s="36"/>
      <c r="U274" s="35"/>
      <c r="V274" s="36"/>
      <c r="W274" s="35"/>
      <c r="X274" s="36"/>
      <c r="Y274" s="35"/>
      <c r="Z274" s="38"/>
      <c r="AA274" s="35"/>
      <c r="AB274" s="36"/>
      <c r="AC274" s="35"/>
      <c r="AD274" s="36"/>
      <c r="AE274" s="35"/>
      <c r="AF274" s="36"/>
      <c r="AG274" s="35"/>
      <c r="AH274" s="36"/>
      <c r="AI274" s="39"/>
      <c r="AJ274" s="36"/>
      <c r="AK274" s="39"/>
      <c r="AL274" s="36"/>
      <c r="AM274" s="39"/>
      <c r="AN274" s="39"/>
      <c r="AO274" s="36"/>
      <c r="AP274" s="36"/>
      <c r="AQ274" s="37"/>
      <c r="AR274" s="39"/>
      <c r="AS274" s="39"/>
      <c r="AT274" s="39"/>
      <c r="AU274" s="39"/>
      <c r="AV274" s="39"/>
      <c r="AW274" s="39"/>
      <c r="AX274" s="36"/>
      <c r="AY274" s="36"/>
      <c r="AZ274" s="36"/>
      <c r="BA274" s="36"/>
      <c r="BB274" s="39"/>
      <c r="BC274" s="39"/>
      <c r="BD274" s="37"/>
      <c r="BE274" s="37"/>
      <c r="BF274" s="37"/>
    </row>
    <row r="275" spans="1:58">
      <c r="A275" s="40"/>
      <c r="B275" s="35"/>
      <c r="C275" s="41"/>
      <c r="D275" s="35"/>
      <c r="E275" s="35"/>
      <c r="F275" s="35"/>
      <c r="G275" s="36"/>
      <c r="H275" s="35"/>
      <c r="I275" s="37"/>
      <c r="J275" s="35"/>
      <c r="K275" s="35"/>
      <c r="L275" s="36"/>
      <c r="M275" s="35"/>
      <c r="N275" s="35"/>
      <c r="O275" s="35"/>
      <c r="P275" s="36"/>
      <c r="Q275" s="35"/>
      <c r="R275" s="35"/>
      <c r="S275" s="35"/>
      <c r="T275" s="36"/>
      <c r="U275" s="35"/>
      <c r="V275" s="36"/>
      <c r="W275" s="35"/>
      <c r="X275" s="36"/>
      <c r="Y275" s="35"/>
      <c r="Z275" s="38"/>
      <c r="AA275" s="35"/>
      <c r="AB275" s="36"/>
      <c r="AC275" s="35"/>
      <c r="AD275" s="36"/>
      <c r="AE275" s="35"/>
      <c r="AF275" s="36"/>
      <c r="AG275" s="35"/>
      <c r="AH275" s="36"/>
      <c r="AI275" s="39"/>
      <c r="AJ275" s="36"/>
      <c r="AK275" s="39"/>
      <c r="AL275" s="36"/>
      <c r="AM275" s="39"/>
      <c r="AN275" s="39"/>
      <c r="AO275" s="36"/>
      <c r="AP275" s="36"/>
      <c r="AQ275" s="37"/>
      <c r="AR275" s="39"/>
      <c r="AS275" s="39"/>
      <c r="AT275" s="39"/>
      <c r="AU275" s="39"/>
      <c r="AV275" s="39"/>
      <c r="AW275" s="39"/>
      <c r="AX275" s="36"/>
      <c r="AY275" s="36"/>
      <c r="AZ275" s="36"/>
      <c r="BA275" s="36"/>
      <c r="BB275" s="39"/>
      <c r="BC275" s="39"/>
      <c r="BD275" s="37"/>
      <c r="BE275" s="37"/>
      <c r="BF275" s="37"/>
    </row>
    <row r="276" spans="1:58">
      <c r="A276" s="40"/>
      <c r="B276" s="35"/>
      <c r="C276" s="41"/>
      <c r="D276" s="35"/>
      <c r="E276" s="35"/>
      <c r="F276" s="35"/>
      <c r="G276" s="36"/>
      <c r="H276" s="35"/>
      <c r="I276" s="37"/>
      <c r="J276" s="35"/>
      <c r="K276" s="35"/>
      <c r="L276" s="36"/>
      <c r="M276" s="35"/>
      <c r="N276" s="35"/>
      <c r="O276" s="35"/>
      <c r="P276" s="36"/>
      <c r="Q276" s="35"/>
      <c r="R276" s="35"/>
      <c r="S276" s="35"/>
      <c r="T276" s="36"/>
      <c r="U276" s="35"/>
      <c r="V276" s="36"/>
      <c r="W276" s="35"/>
      <c r="X276" s="36"/>
      <c r="Y276" s="35"/>
      <c r="Z276" s="38"/>
      <c r="AA276" s="35"/>
      <c r="AB276" s="36"/>
      <c r="AC276" s="35"/>
      <c r="AD276" s="36"/>
      <c r="AE276" s="35"/>
      <c r="AF276" s="36"/>
      <c r="AG276" s="35"/>
      <c r="AH276" s="36"/>
      <c r="AI276" s="39"/>
      <c r="AJ276" s="36"/>
      <c r="AK276" s="39"/>
      <c r="AL276" s="36"/>
      <c r="AM276" s="39"/>
      <c r="AN276" s="39"/>
      <c r="AO276" s="36"/>
      <c r="AP276" s="36"/>
      <c r="AQ276" s="37"/>
      <c r="AR276" s="39"/>
      <c r="AS276" s="39"/>
      <c r="AT276" s="39"/>
      <c r="AU276" s="39"/>
      <c r="AV276" s="39"/>
      <c r="AW276" s="39"/>
      <c r="AX276" s="36"/>
      <c r="AY276" s="36"/>
      <c r="AZ276" s="36"/>
      <c r="BA276" s="36"/>
      <c r="BB276" s="39"/>
      <c r="BC276" s="39"/>
      <c r="BD276" s="37"/>
      <c r="BE276" s="37"/>
      <c r="BF276" s="37"/>
    </row>
    <row r="277" spans="1:58">
      <c r="A277" s="40"/>
      <c r="B277" s="35"/>
      <c r="C277" s="41"/>
      <c r="D277" s="35"/>
      <c r="E277" s="35"/>
      <c r="F277" s="35"/>
      <c r="G277" s="36"/>
      <c r="H277" s="35"/>
      <c r="I277" s="37"/>
      <c r="J277" s="35"/>
      <c r="K277" s="35"/>
      <c r="L277" s="36"/>
      <c r="M277" s="35"/>
      <c r="N277" s="35"/>
      <c r="O277" s="35"/>
      <c r="P277" s="36"/>
      <c r="Q277" s="35"/>
      <c r="R277" s="35"/>
      <c r="S277" s="35"/>
      <c r="T277" s="36"/>
      <c r="U277" s="35"/>
      <c r="V277" s="36"/>
      <c r="W277" s="35"/>
      <c r="X277" s="36"/>
      <c r="Y277" s="35"/>
      <c r="Z277" s="38"/>
      <c r="AA277" s="35"/>
      <c r="AB277" s="36"/>
      <c r="AC277" s="35"/>
      <c r="AD277" s="36"/>
      <c r="AE277" s="35"/>
      <c r="AF277" s="36"/>
      <c r="AG277" s="35"/>
      <c r="AH277" s="36"/>
      <c r="AI277" s="39"/>
      <c r="AJ277" s="36"/>
      <c r="AK277" s="39"/>
      <c r="AL277" s="36"/>
      <c r="AM277" s="39"/>
      <c r="AN277" s="39"/>
      <c r="AO277" s="36"/>
      <c r="AP277" s="36"/>
      <c r="AQ277" s="37"/>
      <c r="AR277" s="39"/>
      <c r="AS277" s="39"/>
      <c r="AT277" s="39"/>
      <c r="AU277" s="39"/>
      <c r="AV277" s="39"/>
      <c r="AW277" s="39"/>
      <c r="AX277" s="36"/>
      <c r="AY277" s="36"/>
      <c r="AZ277" s="36"/>
      <c r="BA277" s="36"/>
      <c r="BB277" s="39"/>
      <c r="BC277" s="39"/>
      <c r="BD277" s="37"/>
      <c r="BE277" s="37"/>
      <c r="BF277" s="37"/>
    </row>
    <row r="278" spans="1:58">
      <c r="A278" s="40"/>
      <c r="B278" s="35"/>
      <c r="C278" s="41"/>
      <c r="D278" s="35"/>
      <c r="E278" s="35"/>
      <c r="F278" s="35"/>
      <c r="G278" s="36"/>
      <c r="H278" s="35"/>
      <c r="I278" s="37"/>
      <c r="J278" s="35"/>
      <c r="K278" s="35"/>
      <c r="L278" s="36"/>
      <c r="M278" s="35"/>
      <c r="N278" s="35"/>
      <c r="O278" s="35"/>
      <c r="P278" s="36"/>
      <c r="Q278" s="35"/>
      <c r="R278" s="35"/>
      <c r="S278" s="35"/>
      <c r="T278" s="36"/>
      <c r="U278" s="35"/>
      <c r="V278" s="36"/>
      <c r="W278" s="35"/>
      <c r="X278" s="36"/>
      <c r="Y278" s="35"/>
      <c r="Z278" s="38"/>
      <c r="AA278" s="35"/>
      <c r="AB278" s="36"/>
      <c r="AC278" s="35"/>
      <c r="AD278" s="36"/>
      <c r="AE278" s="35"/>
      <c r="AF278" s="36"/>
      <c r="AG278" s="35"/>
      <c r="AH278" s="36"/>
      <c r="AI278" s="39"/>
      <c r="AJ278" s="36"/>
      <c r="AK278" s="39"/>
      <c r="AL278" s="36"/>
      <c r="AM278" s="39"/>
      <c r="AN278" s="39"/>
      <c r="AO278" s="36"/>
      <c r="AP278" s="36"/>
      <c r="AQ278" s="37"/>
      <c r="AR278" s="39"/>
      <c r="AS278" s="39"/>
      <c r="AT278" s="39"/>
      <c r="AU278" s="39"/>
      <c r="AV278" s="39"/>
      <c r="AW278" s="39"/>
      <c r="AX278" s="36"/>
      <c r="AY278" s="36"/>
      <c r="AZ278" s="36"/>
      <c r="BA278" s="36"/>
      <c r="BB278" s="39"/>
      <c r="BC278" s="39"/>
      <c r="BD278" s="37"/>
      <c r="BE278" s="37"/>
      <c r="BF278" s="37"/>
    </row>
    <row r="279" spans="1:58">
      <c r="A279" s="40"/>
      <c r="B279" s="35"/>
      <c r="C279" s="41"/>
      <c r="D279" s="35"/>
      <c r="E279" s="35"/>
      <c r="F279" s="35"/>
      <c r="G279" s="36"/>
      <c r="H279" s="35"/>
      <c r="I279" s="37"/>
      <c r="J279" s="35"/>
      <c r="K279" s="35"/>
      <c r="L279" s="36"/>
      <c r="M279" s="35"/>
      <c r="N279" s="35"/>
      <c r="O279" s="35"/>
      <c r="P279" s="36"/>
      <c r="Q279" s="35"/>
      <c r="R279" s="35"/>
      <c r="S279" s="35"/>
      <c r="T279" s="36"/>
      <c r="U279" s="35"/>
      <c r="V279" s="36"/>
      <c r="W279" s="35"/>
      <c r="X279" s="36"/>
      <c r="Y279" s="35"/>
      <c r="Z279" s="38"/>
      <c r="AA279" s="35"/>
      <c r="AB279" s="36"/>
      <c r="AC279" s="35"/>
      <c r="AD279" s="36"/>
      <c r="AE279" s="35"/>
      <c r="AF279" s="36"/>
      <c r="AG279" s="35"/>
      <c r="AH279" s="36"/>
      <c r="AI279" s="39"/>
      <c r="AJ279" s="36"/>
      <c r="AK279" s="39"/>
      <c r="AL279" s="36"/>
      <c r="AM279" s="39"/>
      <c r="AN279" s="39"/>
      <c r="AO279" s="36"/>
      <c r="AP279" s="36"/>
      <c r="AQ279" s="37"/>
      <c r="AR279" s="39"/>
      <c r="AS279" s="39"/>
      <c r="AT279" s="39"/>
      <c r="AU279" s="39"/>
      <c r="AV279" s="39"/>
      <c r="AW279" s="39"/>
      <c r="AX279" s="36"/>
      <c r="AY279" s="36"/>
      <c r="AZ279" s="36"/>
      <c r="BA279" s="36"/>
      <c r="BB279" s="39"/>
      <c r="BC279" s="39"/>
      <c r="BD279" s="37"/>
      <c r="BE279" s="37"/>
      <c r="BF279" s="37"/>
    </row>
    <row r="280" spans="1:58">
      <c r="A280" s="40"/>
      <c r="B280" s="35"/>
      <c r="C280" s="41"/>
      <c r="D280" s="35"/>
      <c r="E280" s="35"/>
      <c r="F280" s="35"/>
      <c r="G280" s="36"/>
      <c r="H280" s="35"/>
      <c r="I280" s="37"/>
      <c r="J280" s="35"/>
      <c r="K280" s="35"/>
      <c r="L280" s="36"/>
      <c r="M280" s="35"/>
      <c r="N280" s="35"/>
      <c r="O280" s="35"/>
      <c r="P280" s="36"/>
      <c r="Q280" s="35"/>
      <c r="R280" s="35"/>
      <c r="S280" s="35"/>
      <c r="T280" s="36"/>
      <c r="U280" s="35"/>
      <c r="V280" s="36"/>
      <c r="W280" s="35"/>
      <c r="X280" s="36"/>
      <c r="Y280" s="35"/>
      <c r="Z280" s="38"/>
      <c r="AA280" s="35"/>
      <c r="AB280" s="36"/>
      <c r="AC280" s="35"/>
      <c r="AD280" s="36"/>
      <c r="AE280" s="35"/>
      <c r="AF280" s="36"/>
      <c r="AG280" s="35"/>
      <c r="AH280" s="36"/>
      <c r="AI280" s="39"/>
      <c r="AJ280" s="36"/>
      <c r="AK280" s="39"/>
      <c r="AL280" s="36"/>
      <c r="AM280" s="39"/>
      <c r="AN280" s="39"/>
      <c r="AO280" s="36"/>
      <c r="AP280" s="36"/>
      <c r="AQ280" s="37"/>
      <c r="AR280" s="39"/>
      <c r="AS280" s="39"/>
      <c r="AT280" s="39"/>
      <c r="AU280" s="39"/>
      <c r="AV280" s="39"/>
      <c r="AW280" s="39"/>
      <c r="AX280" s="36"/>
      <c r="AY280" s="36"/>
      <c r="AZ280" s="36"/>
      <c r="BA280" s="36"/>
      <c r="BB280" s="39"/>
      <c r="BC280" s="39"/>
      <c r="BD280" s="37"/>
      <c r="BE280" s="37"/>
      <c r="BF280" s="37"/>
    </row>
    <row r="281" spans="1:58">
      <c r="A281" s="40"/>
      <c r="B281" s="35"/>
      <c r="C281" s="41"/>
      <c r="D281" s="35"/>
      <c r="E281" s="35"/>
      <c r="F281" s="35"/>
      <c r="G281" s="36"/>
      <c r="H281" s="35"/>
      <c r="I281" s="37"/>
      <c r="J281" s="35"/>
      <c r="K281" s="35"/>
      <c r="L281" s="36"/>
      <c r="M281" s="35"/>
      <c r="N281" s="35"/>
      <c r="O281" s="35"/>
      <c r="P281" s="36"/>
      <c r="Q281" s="35"/>
      <c r="R281" s="35"/>
      <c r="S281" s="35"/>
      <c r="T281" s="36"/>
      <c r="U281" s="35"/>
      <c r="V281" s="36"/>
      <c r="W281" s="35"/>
      <c r="X281" s="36"/>
      <c r="Y281" s="35"/>
      <c r="Z281" s="38"/>
      <c r="AA281" s="35"/>
      <c r="AB281" s="36"/>
      <c r="AC281" s="35"/>
      <c r="AD281" s="36"/>
      <c r="AE281" s="35"/>
      <c r="AF281" s="36"/>
      <c r="AG281" s="35"/>
      <c r="AH281" s="36"/>
      <c r="AI281" s="39"/>
      <c r="AJ281" s="36"/>
      <c r="AK281" s="39"/>
      <c r="AL281" s="36"/>
      <c r="AM281" s="39"/>
      <c r="AN281" s="39"/>
      <c r="AO281" s="36"/>
      <c r="AP281" s="36"/>
      <c r="AQ281" s="37"/>
      <c r="AR281" s="39"/>
      <c r="AS281" s="39"/>
      <c r="AT281" s="39"/>
      <c r="AU281" s="39"/>
      <c r="AV281" s="39"/>
      <c r="AW281" s="39"/>
      <c r="AX281" s="36"/>
      <c r="AY281" s="36"/>
      <c r="AZ281" s="36"/>
      <c r="BA281" s="36"/>
      <c r="BB281" s="39"/>
      <c r="BC281" s="39"/>
      <c r="BD281" s="37"/>
      <c r="BE281" s="37"/>
      <c r="BF281" s="37"/>
    </row>
    <row r="282" spans="1:58">
      <c r="A282" s="40"/>
      <c r="B282" s="35"/>
      <c r="C282" s="41"/>
      <c r="D282" s="35"/>
      <c r="E282" s="35"/>
      <c r="F282" s="35"/>
      <c r="G282" s="36"/>
      <c r="H282" s="35"/>
      <c r="I282" s="37"/>
      <c r="J282" s="35"/>
      <c r="K282" s="35"/>
      <c r="L282" s="36"/>
      <c r="M282" s="35"/>
      <c r="N282" s="35"/>
      <c r="O282" s="35"/>
      <c r="P282" s="36"/>
      <c r="Q282" s="35"/>
      <c r="R282" s="35"/>
      <c r="S282" s="35"/>
      <c r="T282" s="36"/>
      <c r="U282" s="35"/>
      <c r="V282" s="36"/>
      <c r="W282" s="35"/>
      <c r="X282" s="36"/>
      <c r="Y282" s="35"/>
      <c r="Z282" s="38"/>
      <c r="AA282" s="35"/>
      <c r="AB282" s="36"/>
      <c r="AC282" s="35"/>
      <c r="AD282" s="36"/>
      <c r="AE282" s="35"/>
      <c r="AF282" s="36"/>
      <c r="AG282" s="35"/>
      <c r="AH282" s="36"/>
      <c r="AI282" s="39"/>
      <c r="AJ282" s="36"/>
      <c r="AK282" s="39"/>
      <c r="AL282" s="36"/>
      <c r="AM282" s="39"/>
      <c r="AN282" s="39"/>
      <c r="AO282" s="36"/>
      <c r="AP282" s="36"/>
      <c r="AQ282" s="37"/>
      <c r="AR282" s="39"/>
      <c r="AS282" s="39"/>
      <c r="AT282" s="39"/>
      <c r="AU282" s="39"/>
      <c r="AV282" s="39"/>
      <c r="AW282" s="39"/>
      <c r="AX282" s="36"/>
      <c r="AY282" s="36"/>
      <c r="AZ282" s="36"/>
      <c r="BA282" s="36"/>
      <c r="BB282" s="39"/>
      <c r="BC282" s="39"/>
      <c r="BD282" s="37"/>
      <c r="BE282" s="37"/>
      <c r="BF282" s="37"/>
    </row>
    <row r="283" spans="1:58">
      <c r="A283" s="40"/>
      <c r="B283" s="35"/>
      <c r="C283" s="41"/>
      <c r="D283" s="35"/>
      <c r="E283" s="35"/>
      <c r="F283" s="35"/>
      <c r="G283" s="36"/>
      <c r="H283" s="35"/>
      <c r="I283" s="37"/>
      <c r="J283" s="35"/>
      <c r="K283" s="35"/>
      <c r="L283" s="36"/>
      <c r="M283" s="35"/>
      <c r="N283" s="35"/>
      <c r="O283" s="35"/>
      <c r="P283" s="36"/>
      <c r="Q283" s="35"/>
      <c r="R283" s="35"/>
      <c r="S283" s="35"/>
      <c r="T283" s="36"/>
      <c r="U283" s="35"/>
      <c r="V283" s="36"/>
      <c r="W283" s="35"/>
      <c r="X283" s="36"/>
      <c r="Y283" s="35"/>
      <c r="Z283" s="38"/>
      <c r="AA283" s="35"/>
      <c r="AB283" s="36"/>
      <c r="AC283" s="35"/>
      <c r="AD283" s="36"/>
      <c r="AE283" s="35"/>
      <c r="AF283" s="36"/>
      <c r="AG283" s="35"/>
      <c r="AH283" s="36"/>
      <c r="AI283" s="39"/>
      <c r="AJ283" s="36"/>
      <c r="AK283" s="39"/>
      <c r="AL283" s="36"/>
      <c r="AM283" s="39"/>
      <c r="AN283" s="39"/>
      <c r="AO283" s="36"/>
      <c r="AP283" s="36"/>
      <c r="AQ283" s="37"/>
      <c r="AR283" s="39"/>
      <c r="AS283" s="39"/>
      <c r="AT283" s="39"/>
      <c r="AU283" s="39"/>
      <c r="AV283" s="39"/>
      <c r="AW283" s="39"/>
      <c r="AX283" s="36"/>
      <c r="AY283" s="36"/>
      <c r="AZ283" s="36"/>
      <c r="BA283" s="36"/>
      <c r="BB283" s="39"/>
      <c r="BC283" s="39"/>
      <c r="BD283" s="37"/>
      <c r="BE283" s="37"/>
      <c r="BF283" s="37"/>
    </row>
    <row r="284" spans="1:58">
      <c r="A284" s="40"/>
      <c r="B284" s="35"/>
      <c r="C284" s="41"/>
      <c r="D284" s="35"/>
      <c r="E284" s="35"/>
      <c r="F284" s="35"/>
      <c r="G284" s="36"/>
      <c r="H284" s="35"/>
      <c r="I284" s="37"/>
      <c r="J284" s="35"/>
      <c r="K284" s="35"/>
      <c r="L284" s="36"/>
      <c r="M284" s="35"/>
      <c r="N284" s="35"/>
      <c r="O284" s="35"/>
      <c r="P284" s="36"/>
      <c r="Q284" s="35"/>
      <c r="R284" s="35"/>
      <c r="S284" s="35"/>
      <c r="T284" s="36"/>
      <c r="U284" s="35"/>
      <c r="V284" s="36"/>
      <c r="W284" s="35"/>
      <c r="X284" s="36"/>
      <c r="Y284" s="35"/>
      <c r="Z284" s="38"/>
      <c r="AA284" s="35"/>
      <c r="AB284" s="36"/>
      <c r="AC284" s="35"/>
      <c r="AD284" s="36"/>
      <c r="AE284" s="35"/>
      <c r="AF284" s="36"/>
      <c r="AG284" s="35"/>
      <c r="AH284" s="36"/>
      <c r="AI284" s="39"/>
      <c r="AJ284" s="36"/>
      <c r="AK284" s="39"/>
      <c r="AL284" s="36"/>
      <c r="AM284" s="39"/>
      <c r="AN284" s="39"/>
      <c r="AO284" s="36"/>
      <c r="AP284" s="36"/>
      <c r="AQ284" s="37"/>
      <c r="AR284" s="39"/>
      <c r="AS284" s="39"/>
      <c r="AT284" s="39"/>
      <c r="AU284" s="39"/>
      <c r="AV284" s="39"/>
      <c r="AW284" s="39"/>
      <c r="AX284" s="36"/>
      <c r="AY284" s="36"/>
      <c r="AZ284" s="36"/>
      <c r="BA284" s="36"/>
      <c r="BB284" s="39"/>
      <c r="BC284" s="39"/>
      <c r="BD284" s="37"/>
      <c r="BE284" s="37"/>
      <c r="BF284" s="37"/>
    </row>
    <row r="285" spans="1:58">
      <c r="A285" s="40"/>
      <c r="B285" s="35"/>
      <c r="C285" s="41"/>
      <c r="D285" s="35"/>
      <c r="E285" s="35"/>
      <c r="F285" s="35"/>
      <c r="G285" s="36"/>
      <c r="H285" s="35"/>
      <c r="I285" s="37"/>
      <c r="J285" s="35"/>
      <c r="K285" s="35"/>
      <c r="L285" s="36"/>
      <c r="M285" s="35"/>
      <c r="N285" s="35"/>
      <c r="O285" s="35"/>
      <c r="P285" s="36"/>
      <c r="Q285" s="35"/>
      <c r="R285" s="35"/>
      <c r="S285" s="35"/>
      <c r="T285" s="36"/>
      <c r="U285" s="35"/>
      <c r="V285" s="36"/>
      <c r="W285" s="35"/>
      <c r="X285" s="36"/>
      <c r="Y285" s="35"/>
      <c r="Z285" s="38"/>
      <c r="AA285" s="35"/>
      <c r="AB285" s="36"/>
      <c r="AC285" s="35"/>
      <c r="AD285" s="36"/>
      <c r="AE285" s="35"/>
      <c r="AF285" s="36"/>
      <c r="AG285" s="35"/>
      <c r="AH285" s="36"/>
      <c r="AI285" s="39"/>
      <c r="AJ285" s="36"/>
      <c r="AK285" s="39"/>
      <c r="AL285" s="36"/>
      <c r="AM285" s="39"/>
      <c r="AN285" s="39"/>
      <c r="AO285" s="36"/>
      <c r="AP285" s="36"/>
      <c r="AQ285" s="37"/>
      <c r="AR285" s="39"/>
      <c r="AS285" s="39"/>
      <c r="AT285" s="39"/>
      <c r="AU285" s="39"/>
      <c r="AV285" s="39"/>
      <c r="AW285" s="39"/>
      <c r="AX285" s="36"/>
      <c r="AY285" s="36"/>
      <c r="AZ285" s="36"/>
      <c r="BA285" s="36"/>
      <c r="BB285" s="39"/>
      <c r="BC285" s="39"/>
      <c r="BD285" s="37"/>
      <c r="BE285" s="37"/>
      <c r="BF285" s="37"/>
    </row>
    <row r="286" spans="1:58">
      <c r="A286" s="40"/>
      <c r="B286" s="35"/>
      <c r="C286" s="41"/>
      <c r="D286" s="35"/>
      <c r="E286" s="35"/>
      <c r="F286" s="35"/>
      <c r="G286" s="36"/>
      <c r="H286" s="35"/>
      <c r="I286" s="37"/>
      <c r="J286" s="35"/>
      <c r="K286" s="35"/>
      <c r="L286" s="36"/>
      <c r="M286" s="35"/>
      <c r="N286" s="35"/>
      <c r="O286" s="35"/>
      <c r="P286" s="36"/>
      <c r="Q286" s="35"/>
      <c r="R286" s="35"/>
      <c r="S286" s="35"/>
      <c r="T286" s="36"/>
      <c r="U286" s="35"/>
      <c r="V286" s="36"/>
      <c r="W286" s="35"/>
      <c r="X286" s="36"/>
      <c r="Y286" s="35"/>
      <c r="Z286" s="38"/>
      <c r="AA286" s="35"/>
      <c r="AB286" s="36"/>
      <c r="AC286" s="35"/>
      <c r="AD286" s="36"/>
      <c r="AE286" s="35"/>
      <c r="AF286" s="36"/>
      <c r="AG286" s="35"/>
      <c r="AH286" s="36"/>
      <c r="AI286" s="39"/>
      <c r="AJ286" s="36"/>
      <c r="AK286" s="39"/>
      <c r="AL286" s="36"/>
      <c r="AM286" s="39"/>
      <c r="AN286" s="39"/>
      <c r="AO286" s="36"/>
      <c r="AP286" s="36"/>
      <c r="AQ286" s="37"/>
      <c r="AR286" s="39"/>
      <c r="AS286" s="39"/>
      <c r="AT286" s="39"/>
      <c r="AU286" s="39"/>
      <c r="AV286" s="39"/>
      <c r="AW286" s="39"/>
      <c r="AX286" s="36"/>
      <c r="AY286" s="36"/>
      <c r="AZ286" s="36"/>
      <c r="BA286" s="36"/>
      <c r="BB286" s="39"/>
      <c r="BC286" s="39"/>
      <c r="BD286" s="37"/>
      <c r="BE286" s="37"/>
      <c r="BF286" s="37"/>
    </row>
    <row r="287" spans="1:58">
      <c r="A287" s="40"/>
      <c r="B287" s="35"/>
      <c r="C287" s="41"/>
      <c r="D287" s="35"/>
      <c r="E287" s="35"/>
      <c r="F287" s="35"/>
      <c r="G287" s="36"/>
      <c r="H287" s="35"/>
      <c r="I287" s="37"/>
      <c r="J287" s="35"/>
      <c r="K287" s="35"/>
      <c r="L287" s="36"/>
      <c r="M287" s="35"/>
      <c r="N287" s="35"/>
      <c r="O287" s="35"/>
      <c r="P287" s="36"/>
      <c r="Q287" s="35"/>
      <c r="R287" s="35"/>
      <c r="S287" s="35"/>
      <c r="T287" s="36"/>
      <c r="U287" s="35"/>
      <c r="V287" s="36"/>
      <c r="W287" s="35"/>
      <c r="X287" s="36"/>
      <c r="Y287" s="35"/>
      <c r="Z287" s="38"/>
      <c r="AA287" s="35"/>
      <c r="AB287" s="36"/>
      <c r="AC287" s="35"/>
      <c r="AD287" s="36"/>
      <c r="AE287" s="35"/>
      <c r="AF287" s="36"/>
      <c r="AG287" s="35"/>
      <c r="AH287" s="36"/>
      <c r="AI287" s="39"/>
      <c r="AJ287" s="36"/>
      <c r="AK287" s="39"/>
      <c r="AL287" s="36"/>
      <c r="AM287" s="39"/>
      <c r="AN287" s="39"/>
      <c r="AO287" s="36"/>
      <c r="AP287" s="36"/>
      <c r="AQ287" s="37"/>
      <c r="AR287" s="39"/>
      <c r="AS287" s="39"/>
      <c r="AT287" s="39"/>
      <c r="AU287" s="39"/>
      <c r="AV287" s="39"/>
      <c r="AW287" s="39"/>
      <c r="AX287" s="36"/>
      <c r="AY287" s="36"/>
      <c r="AZ287" s="36"/>
      <c r="BA287" s="36"/>
      <c r="BB287" s="39"/>
      <c r="BC287" s="39"/>
      <c r="BD287" s="37"/>
      <c r="BE287" s="37"/>
      <c r="BF287" s="37"/>
    </row>
    <row r="288" spans="1:58">
      <c r="A288" s="40"/>
      <c r="B288" s="35"/>
      <c r="C288" s="41"/>
      <c r="D288" s="35"/>
      <c r="E288" s="35"/>
      <c r="F288" s="35"/>
      <c r="G288" s="36"/>
      <c r="H288" s="35"/>
      <c r="I288" s="37"/>
      <c r="J288" s="35"/>
      <c r="K288" s="35"/>
      <c r="L288" s="36"/>
      <c r="M288" s="35"/>
      <c r="N288" s="35"/>
      <c r="O288" s="35"/>
      <c r="P288" s="36"/>
      <c r="Q288" s="35"/>
      <c r="R288" s="35"/>
      <c r="S288" s="35"/>
      <c r="T288" s="36"/>
      <c r="U288" s="35"/>
      <c r="V288" s="36"/>
      <c r="W288" s="35"/>
      <c r="X288" s="36"/>
      <c r="Y288" s="35"/>
      <c r="Z288" s="38"/>
      <c r="AA288" s="35"/>
      <c r="AB288" s="36"/>
      <c r="AC288" s="35"/>
      <c r="AD288" s="36"/>
      <c r="AE288" s="35"/>
      <c r="AF288" s="36"/>
      <c r="AG288" s="35"/>
      <c r="AH288" s="36"/>
      <c r="AI288" s="39"/>
      <c r="AJ288" s="36"/>
      <c r="AK288" s="39"/>
      <c r="AL288" s="36"/>
      <c r="AM288" s="39"/>
      <c r="AN288" s="39"/>
      <c r="AO288" s="36"/>
      <c r="AP288" s="36"/>
      <c r="AQ288" s="37"/>
      <c r="AR288" s="39"/>
      <c r="AS288" s="39"/>
      <c r="AT288" s="39"/>
      <c r="AU288" s="39"/>
      <c r="AV288" s="39"/>
      <c r="AW288" s="39"/>
      <c r="AX288" s="36"/>
      <c r="AY288" s="36"/>
      <c r="AZ288" s="36"/>
      <c r="BA288" s="36"/>
      <c r="BB288" s="39"/>
      <c r="BC288" s="39"/>
      <c r="BD288" s="37"/>
      <c r="BE288" s="37"/>
      <c r="BF288" s="37"/>
    </row>
    <row r="289" spans="1:58">
      <c r="A289" s="40"/>
      <c r="B289" s="35"/>
      <c r="C289" s="41"/>
      <c r="D289" s="35"/>
      <c r="E289" s="35"/>
      <c r="F289" s="35"/>
      <c r="G289" s="36"/>
      <c r="H289" s="35"/>
      <c r="I289" s="37"/>
      <c r="J289" s="35"/>
      <c r="K289" s="35"/>
      <c r="L289" s="36"/>
      <c r="M289" s="35"/>
      <c r="N289" s="35"/>
      <c r="O289" s="35"/>
      <c r="P289" s="36"/>
      <c r="Q289" s="35"/>
      <c r="R289" s="35"/>
      <c r="S289" s="35"/>
      <c r="T289" s="36"/>
      <c r="U289" s="35"/>
      <c r="V289" s="36"/>
      <c r="W289" s="35"/>
      <c r="X289" s="36"/>
      <c r="Y289" s="35"/>
      <c r="Z289" s="38"/>
      <c r="AA289" s="35"/>
      <c r="AB289" s="36"/>
      <c r="AC289" s="35"/>
      <c r="AD289" s="36"/>
      <c r="AE289" s="35"/>
      <c r="AF289" s="36"/>
      <c r="AG289" s="35"/>
      <c r="AH289" s="36"/>
      <c r="AI289" s="39"/>
      <c r="AJ289" s="36"/>
      <c r="AK289" s="39"/>
      <c r="AL289" s="36"/>
      <c r="AM289" s="39"/>
      <c r="AN289" s="39"/>
      <c r="AO289" s="36"/>
      <c r="AP289" s="36"/>
      <c r="AQ289" s="37"/>
      <c r="AR289" s="39"/>
      <c r="AS289" s="39"/>
      <c r="AT289" s="39"/>
      <c r="AU289" s="39"/>
      <c r="AV289" s="39"/>
      <c r="AW289" s="39"/>
      <c r="AX289" s="36"/>
      <c r="AY289" s="36"/>
      <c r="AZ289" s="36"/>
      <c r="BA289" s="36"/>
      <c r="BB289" s="39"/>
      <c r="BC289" s="39"/>
      <c r="BD289" s="37"/>
      <c r="BE289" s="37"/>
      <c r="BF289" s="37"/>
    </row>
    <row r="290" spans="1:58">
      <c r="A290" s="40"/>
      <c r="B290" s="35"/>
      <c r="C290" s="41"/>
      <c r="D290" s="35"/>
      <c r="E290" s="35"/>
      <c r="F290" s="35"/>
      <c r="G290" s="36"/>
      <c r="H290" s="35"/>
      <c r="I290" s="37"/>
      <c r="J290" s="35"/>
      <c r="K290" s="35"/>
      <c r="L290" s="36"/>
      <c r="M290" s="35"/>
      <c r="N290" s="35"/>
      <c r="O290" s="35"/>
      <c r="P290" s="36"/>
      <c r="Q290" s="35"/>
      <c r="R290" s="35"/>
      <c r="S290" s="35"/>
      <c r="T290" s="36"/>
      <c r="U290" s="35"/>
      <c r="V290" s="36"/>
      <c r="W290" s="35"/>
      <c r="X290" s="36"/>
      <c r="Y290" s="35"/>
      <c r="Z290" s="38"/>
      <c r="AA290" s="35"/>
      <c r="AB290" s="36"/>
      <c r="AC290" s="35"/>
      <c r="AD290" s="36"/>
      <c r="AE290" s="35"/>
      <c r="AF290" s="36"/>
      <c r="AG290" s="35"/>
      <c r="AH290" s="36"/>
      <c r="AI290" s="39"/>
      <c r="AJ290" s="36"/>
      <c r="AK290" s="39"/>
      <c r="AL290" s="36"/>
      <c r="AM290" s="39"/>
      <c r="AN290" s="39"/>
      <c r="AO290" s="36"/>
      <c r="AP290" s="36"/>
      <c r="AQ290" s="37"/>
      <c r="AR290" s="39"/>
      <c r="AS290" s="39"/>
      <c r="AT290" s="39"/>
      <c r="AU290" s="39"/>
      <c r="AV290" s="39"/>
      <c r="AW290" s="39"/>
      <c r="AX290" s="36"/>
      <c r="AY290" s="36"/>
      <c r="AZ290" s="36"/>
      <c r="BA290" s="36"/>
      <c r="BB290" s="39"/>
      <c r="BC290" s="39"/>
      <c r="BD290" s="37"/>
      <c r="BE290" s="37"/>
      <c r="BF290" s="37"/>
    </row>
    <row r="291" spans="1:58">
      <c r="A291" s="40"/>
      <c r="B291" s="35"/>
      <c r="C291" s="41"/>
      <c r="D291" s="35"/>
      <c r="E291" s="35"/>
      <c r="F291" s="35"/>
      <c r="G291" s="36"/>
      <c r="H291" s="35"/>
      <c r="I291" s="37"/>
      <c r="J291" s="35"/>
      <c r="K291" s="35"/>
      <c r="L291" s="36"/>
      <c r="M291" s="35"/>
      <c r="N291" s="35"/>
      <c r="O291" s="35"/>
      <c r="P291" s="36"/>
      <c r="Q291" s="35"/>
      <c r="R291" s="35"/>
      <c r="S291" s="35"/>
      <c r="T291" s="36"/>
      <c r="U291" s="35"/>
      <c r="V291" s="36"/>
      <c r="W291" s="35"/>
      <c r="X291" s="36"/>
      <c r="Y291" s="35"/>
      <c r="Z291" s="38"/>
      <c r="AA291" s="35"/>
      <c r="AB291" s="36"/>
      <c r="AC291" s="35"/>
      <c r="AD291" s="36"/>
      <c r="AE291" s="35"/>
      <c r="AF291" s="36"/>
      <c r="AG291" s="35"/>
      <c r="AH291" s="36"/>
      <c r="AI291" s="39"/>
      <c r="AJ291" s="36"/>
      <c r="AK291" s="39"/>
      <c r="AL291" s="36"/>
      <c r="AM291" s="39"/>
      <c r="AN291" s="39"/>
      <c r="AO291" s="36"/>
      <c r="AP291" s="36"/>
      <c r="AQ291" s="37"/>
      <c r="AR291" s="39"/>
      <c r="AS291" s="39"/>
      <c r="AT291" s="39"/>
      <c r="AU291" s="39"/>
      <c r="AV291" s="39"/>
      <c r="AW291" s="39"/>
      <c r="AX291" s="36"/>
      <c r="AY291" s="36"/>
      <c r="AZ291" s="36"/>
      <c r="BA291" s="36"/>
      <c r="BB291" s="39"/>
      <c r="BC291" s="39"/>
      <c r="BD291" s="37"/>
      <c r="BE291" s="37"/>
      <c r="BF291" s="37"/>
    </row>
    <row r="292" spans="1:58">
      <c r="A292" s="40"/>
      <c r="B292" s="35"/>
      <c r="C292" s="41"/>
      <c r="D292" s="35"/>
      <c r="E292" s="35"/>
      <c r="F292" s="35"/>
      <c r="G292" s="36"/>
      <c r="H292" s="35"/>
      <c r="I292" s="37"/>
      <c r="J292" s="35"/>
      <c r="K292" s="35"/>
      <c r="L292" s="36"/>
      <c r="M292" s="35"/>
      <c r="N292" s="35"/>
      <c r="O292" s="35"/>
      <c r="P292" s="36"/>
      <c r="Q292" s="35"/>
      <c r="R292" s="35"/>
      <c r="S292" s="35"/>
      <c r="T292" s="36"/>
      <c r="U292" s="35"/>
      <c r="V292" s="36"/>
      <c r="W292" s="35"/>
      <c r="X292" s="36"/>
      <c r="Y292" s="35"/>
      <c r="Z292" s="38"/>
      <c r="AA292" s="35"/>
      <c r="AB292" s="36"/>
      <c r="AC292" s="35"/>
      <c r="AD292" s="36"/>
      <c r="AE292" s="35"/>
      <c r="AF292" s="36"/>
      <c r="AG292" s="35"/>
      <c r="AH292" s="36"/>
      <c r="AI292" s="39"/>
      <c r="AJ292" s="36"/>
      <c r="AK292" s="39"/>
      <c r="AL292" s="36"/>
      <c r="AM292" s="39"/>
      <c r="AN292" s="39"/>
      <c r="AO292" s="36"/>
      <c r="AP292" s="36"/>
      <c r="AQ292" s="37"/>
      <c r="AR292" s="39"/>
      <c r="AS292" s="39"/>
      <c r="AT292" s="39"/>
      <c r="AU292" s="39"/>
      <c r="AV292" s="39"/>
      <c r="AW292" s="39"/>
      <c r="AX292" s="36"/>
      <c r="AY292" s="36"/>
      <c r="AZ292" s="36"/>
      <c r="BA292" s="36"/>
      <c r="BB292" s="39"/>
      <c r="BC292" s="39"/>
      <c r="BD292" s="37"/>
      <c r="BE292" s="37"/>
      <c r="BF292" s="37"/>
    </row>
    <row r="293" spans="1:58">
      <c r="A293" s="40"/>
      <c r="B293" s="35"/>
      <c r="C293" s="41"/>
      <c r="D293" s="35"/>
      <c r="E293" s="35"/>
      <c r="F293" s="35"/>
      <c r="G293" s="36"/>
      <c r="H293" s="35"/>
      <c r="I293" s="37"/>
      <c r="J293" s="35"/>
      <c r="K293" s="35"/>
      <c r="L293" s="36"/>
      <c r="M293" s="35"/>
      <c r="N293" s="35"/>
      <c r="O293" s="35"/>
      <c r="P293" s="36"/>
      <c r="Q293" s="35"/>
      <c r="R293" s="35"/>
      <c r="S293" s="35"/>
      <c r="T293" s="36"/>
      <c r="U293" s="35"/>
      <c r="V293" s="36"/>
      <c r="W293" s="35"/>
      <c r="X293" s="36"/>
      <c r="Y293" s="35"/>
      <c r="Z293" s="38"/>
      <c r="AA293" s="35"/>
      <c r="AB293" s="36"/>
      <c r="AC293" s="35"/>
      <c r="AD293" s="36"/>
      <c r="AE293" s="35"/>
      <c r="AF293" s="36"/>
      <c r="AG293" s="35"/>
      <c r="AH293" s="36"/>
      <c r="AI293" s="39"/>
      <c r="AJ293" s="36"/>
      <c r="AK293" s="39"/>
      <c r="AL293" s="36"/>
      <c r="AM293" s="39"/>
      <c r="AN293" s="39"/>
      <c r="AO293" s="36"/>
      <c r="AP293" s="36"/>
      <c r="AQ293" s="37"/>
      <c r="AR293" s="39"/>
      <c r="AS293" s="39"/>
      <c r="AT293" s="39"/>
      <c r="AU293" s="39"/>
      <c r="AV293" s="39"/>
      <c r="AW293" s="39"/>
      <c r="AX293" s="36"/>
      <c r="AY293" s="36"/>
      <c r="AZ293" s="36"/>
      <c r="BA293" s="36"/>
      <c r="BB293" s="39"/>
      <c r="BC293" s="39"/>
      <c r="BD293" s="37"/>
      <c r="BE293" s="37"/>
      <c r="BF293" s="37"/>
    </row>
    <row r="294" spans="1:58">
      <c r="A294" s="40"/>
      <c r="B294" s="35"/>
      <c r="C294" s="41"/>
      <c r="D294" s="35"/>
      <c r="E294" s="35"/>
      <c r="F294" s="35"/>
      <c r="G294" s="36"/>
      <c r="H294" s="35"/>
      <c r="I294" s="37"/>
      <c r="J294" s="35"/>
      <c r="K294" s="35"/>
      <c r="L294" s="36"/>
      <c r="M294" s="35"/>
      <c r="N294" s="35"/>
      <c r="O294" s="35"/>
      <c r="P294" s="36"/>
      <c r="Q294" s="35"/>
      <c r="R294" s="35"/>
      <c r="S294" s="35"/>
      <c r="T294" s="36"/>
      <c r="U294" s="35"/>
      <c r="V294" s="36"/>
      <c r="W294" s="35"/>
      <c r="X294" s="36"/>
      <c r="Y294" s="35"/>
      <c r="Z294" s="38"/>
      <c r="AA294" s="35"/>
      <c r="AB294" s="36"/>
      <c r="AC294" s="35"/>
      <c r="AD294" s="36"/>
      <c r="AE294" s="35"/>
      <c r="AF294" s="36"/>
      <c r="AG294" s="35"/>
      <c r="AH294" s="36"/>
      <c r="AI294" s="39"/>
      <c r="AJ294" s="36"/>
      <c r="AK294" s="39"/>
      <c r="AL294" s="36"/>
      <c r="AM294" s="39"/>
      <c r="AN294" s="39"/>
      <c r="AO294" s="36"/>
      <c r="AP294" s="36"/>
      <c r="AQ294" s="37"/>
      <c r="AR294" s="39"/>
      <c r="AS294" s="39"/>
      <c r="AT294" s="39"/>
      <c r="AU294" s="39"/>
      <c r="AV294" s="39"/>
      <c r="AW294" s="39"/>
      <c r="AX294" s="36"/>
      <c r="AY294" s="36"/>
      <c r="AZ294" s="36"/>
      <c r="BA294" s="36"/>
      <c r="BB294" s="39"/>
      <c r="BC294" s="39"/>
      <c r="BD294" s="37"/>
      <c r="BE294" s="37"/>
      <c r="BF294" s="37"/>
    </row>
    <row r="295" spans="1:58">
      <c r="A295" s="40"/>
      <c r="B295" s="35"/>
      <c r="C295" s="41"/>
      <c r="D295" s="35"/>
      <c r="E295" s="35"/>
      <c r="F295" s="35"/>
      <c r="G295" s="36"/>
      <c r="H295" s="35"/>
      <c r="I295" s="37"/>
      <c r="J295" s="35"/>
      <c r="K295" s="35"/>
      <c r="L295" s="36"/>
      <c r="M295" s="35"/>
      <c r="N295" s="35"/>
      <c r="O295" s="35"/>
      <c r="P295" s="36"/>
      <c r="Q295" s="35"/>
      <c r="R295" s="35"/>
      <c r="S295" s="35"/>
      <c r="T295" s="36"/>
      <c r="U295" s="35"/>
      <c r="V295" s="36"/>
      <c r="W295" s="35"/>
      <c r="X295" s="36"/>
      <c r="Y295" s="35"/>
      <c r="Z295" s="38"/>
      <c r="AA295" s="35"/>
      <c r="AB295" s="36"/>
      <c r="AC295" s="35"/>
      <c r="AD295" s="36"/>
      <c r="AE295" s="35"/>
      <c r="AF295" s="36"/>
      <c r="AG295" s="35"/>
      <c r="AH295" s="36"/>
      <c r="AI295" s="39"/>
      <c r="AJ295" s="36"/>
      <c r="AK295" s="39"/>
      <c r="AL295" s="36"/>
      <c r="AM295" s="39"/>
      <c r="AN295" s="39"/>
      <c r="AO295" s="36"/>
      <c r="AP295" s="36"/>
      <c r="AQ295" s="37"/>
      <c r="AR295" s="39"/>
      <c r="AS295" s="39"/>
      <c r="AT295" s="39"/>
      <c r="AU295" s="39"/>
      <c r="AV295" s="39"/>
      <c r="AW295" s="39"/>
      <c r="AX295" s="36"/>
      <c r="AY295" s="36"/>
      <c r="AZ295" s="36"/>
      <c r="BA295" s="36"/>
      <c r="BB295" s="39"/>
      <c r="BC295" s="39"/>
      <c r="BD295" s="37"/>
      <c r="BE295" s="37"/>
      <c r="BF295" s="37"/>
    </row>
    <row r="296" spans="1:58">
      <c r="A296" s="40"/>
      <c r="B296" s="35"/>
      <c r="C296" s="41"/>
      <c r="D296" s="35"/>
      <c r="E296" s="35"/>
      <c r="F296" s="35"/>
      <c r="G296" s="36"/>
      <c r="H296" s="35"/>
      <c r="I296" s="37"/>
      <c r="J296" s="35"/>
      <c r="K296" s="35"/>
      <c r="L296" s="36"/>
      <c r="M296" s="35"/>
      <c r="N296" s="35"/>
      <c r="O296" s="35"/>
      <c r="P296" s="36"/>
      <c r="Q296" s="35"/>
      <c r="R296" s="35"/>
      <c r="S296" s="35"/>
      <c r="T296" s="36"/>
      <c r="U296" s="35"/>
      <c r="V296" s="36"/>
      <c r="W296" s="35"/>
      <c r="X296" s="36"/>
      <c r="Y296" s="35"/>
      <c r="Z296" s="38"/>
      <c r="AA296" s="35"/>
      <c r="AB296" s="36"/>
      <c r="AC296" s="35"/>
      <c r="AD296" s="36"/>
      <c r="AE296" s="35"/>
      <c r="AF296" s="36"/>
      <c r="AG296" s="35"/>
      <c r="AH296" s="36"/>
      <c r="AI296" s="39"/>
      <c r="AJ296" s="36"/>
      <c r="AK296" s="39"/>
      <c r="AL296" s="36"/>
      <c r="AM296" s="39"/>
      <c r="AN296" s="39"/>
      <c r="AO296" s="36"/>
      <c r="AP296" s="36"/>
      <c r="AQ296" s="37"/>
      <c r="AR296" s="39"/>
      <c r="AS296" s="39"/>
      <c r="AT296" s="39"/>
      <c r="AU296" s="39"/>
      <c r="AV296" s="39"/>
      <c r="AW296" s="39"/>
      <c r="AX296" s="36"/>
      <c r="AY296" s="36"/>
      <c r="AZ296" s="36"/>
      <c r="BA296" s="36"/>
      <c r="BB296" s="39"/>
      <c r="BC296" s="39"/>
      <c r="BD296" s="37"/>
      <c r="BE296" s="37"/>
      <c r="BF296" s="37"/>
    </row>
    <row r="297" spans="1:58">
      <c r="A297" s="40"/>
      <c r="B297" s="35"/>
      <c r="C297" s="41"/>
      <c r="D297" s="35"/>
      <c r="E297" s="35"/>
      <c r="F297" s="35"/>
      <c r="G297" s="36"/>
      <c r="H297" s="35"/>
      <c r="I297" s="37"/>
      <c r="J297" s="35"/>
      <c r="K297" s="35"/>
      <c r="L297" s="36"/>
      <c r="M297" s="35"/>
      <c r="N297" s="35"/>
      <c r="O297" s="35"/>
      <c r="P297" s="36"/>
      <c r="Q297" s="35"/>
      <c r="R297" s="35"/>
      <c r="S297" s="35"/>
      <c r="T297" s="36"/>
      <c r="U297" s="35"/>
      <c r="V297" s="36"/>
      <c r="W297" s="35"/>
      <c r="X297" s="36"/>
      <c r="Y297" s="35"/>
      <c r="Z297" s="38"/>
      <c r="AA297" s="35"/>
      <c r="AB297" s="36"/>
      <c r="AC297" s="35"/>
      <c r="AD297" s="36"/>
      <c r="AE297" s="35"/>
      <c r="AF297" s="36"/>
      <c r="AG297" s="35"/>
      <c r="AH297" s="36"/>
      <c r="AI297" s="39"/>
      <c r="AJ297" s="36"/>
      <c r="AK297" s="39"/>
      <c r="AL297" s="36"/>
      <c r="AM297" s="39"/>
      <c r="AN297" s="39"/>
      <c r="AO297" s="36"/>
      <c r="AP297" s="36"/>
      <c r="AQ297" s="37"/>
      <c r="AR297" s="39"/>
      <c r="AS297" s="39"/>
      <c r="AT297" s="39"/>
      <c r="AU297" s="39"/>
      <c r="AV297" s="39"/>
      <c r="AW297" s="39"/>
      <c r="AX297" s="36"/>
      <c r="AY297" s="36"/>
      <c r="AZ297" s="36"/>
      <c r="BA297" s="36"/>
      <c r="BB297" s="39"/>
      <c r="BC297" s="39"/>
      <c r="BD297" s="37"/>
      <c r="BE297" s="37"/>
      <c r="BF297" s="37"/>
    </row>
    <row r="298" spans="1:58">
      <c r="A298" s="40"/>
      <c r="B298" s="35"/>
      <c r="C298" s="41"/>
      <c r="D298" s="35"/>
      <c r="E298" s="35"/>
      <c r="F298" s="35"/>
      <c r="G298" s="36"/>
      <c r="H298" s="35"/>
      <c r="I298" s="37"/>
      <c r="J298" s="35"/>
      <c r="K298" s="35"/>
      <c r="L298" s="36"/>
      <c r="M298" s="35"/>
      <c r="N298" s="35"/>
      <c r="O298" s="35"/>
      <c r="P298" s="36"/>
      <c r="Q298" s="35"/>
      <c r="R298" s="35"/>
      <c r="S298" s="35"/>
      <c r="T298" s="36"/>
      <c r="U298" s="35"/>
      <c r="V298" s="36"/>
      <c r="W298" s="35"/>
      <c r="X298" s="36"/>
      <c r="Y298" s="35"/>
      <c r="Z298" s="38"/>
      <c r="AA298" s="35"/>
      <c r="AB298" s="36"/>
      <c r="AC298" s="35"/>
      <c r="AD298" s="36"/>
      <c r="AE298" s="35"/>
      <c r="AF298" s="36"/>
      <c r="AG298" s="35"/>
      <c r="AH298" s="36"/>
      <c r="AI298" s="39"/>
      <c r="AJ298" s="36"/>
      <c r="AK298" s="39"/>
      <c r="AL298" s="36"/>
      <c r="AM298" s="39"/>
      <c r="AN298" s="39"/>
      <c r="AO298" s="36"/>
      <c r="AP298" s="36"/>
      <c r="AQ298" s="37"/>
      <c r="AR298" s="39"/>
      <c r="AS298" s="39"/>
      <c r="AT298" s="39"/>
      <c r="AU298" s="39"/>
      <c r="AV298" s="39"/>
      <c r="AW298" s="39"/>
      <c r="AX298" s="36"/>
      <c r="AY298" s="36"/>
      <c r="AZ298" s="36"/>
      <c r="BA298" s="36"/>
      <c r="BB298" s="39"/>
      <c r="BC298" s="39"/>
      <c r="BD298" s="37"/>
      <c r="BE298" s="37"/>
      <c r="BF298" s="37"/>
    </row>
    <row r="299" spans="1:58">
      <c r="A299" s="40"/>
      <c r="B299" s="35"/>
      <c r="C299" s="41"/>
      <c r="D299" s="35"/>
      <c r="E299" s="35"/>
      <c r="F299" s="35"/>
      <c r="G299" s="36"/>
      <c r="H299" s="35"/>
      <c r="I299" s="37"/>
      <c r="J299" s="35"/>
      <c r="K299" s="35"/>
      <c r="L299" s="36"/>
      <c r="M299" s="35"/>
      <c r="N299" s="35"/>
      <c r="O299" s="35"/>
      <c r="P299" s="36"/>
      <c r="Q299" s="35"/>
      <c r="R299" s="35"/>
      <c r="S299" s="35"/>
      <c r="T299" s="36"/>
      <c r="U299" s="35"/>
      <c r="V299" s="36"/>
      <c r="W299" s="35"/>
      <c r="X299" s="36"/>
      <c r="Y299" s="35"/>
      <c r="Z299" s="38"/>
      <c r="AA299" s="35"/>
      <c r="AB299" s="36"/>
      <c r="AC299" s="35"/>
      <c r="AD299" s="36"/>
      <c r="AE299" s="35"/>
      <c r="AF299" s="36"/>
      <c r="AG299" s="35"/>
      <c r="AH299" s="36"/>
      <c r="AI299" s="39"/>
      <c r="AJ299" s="36"/>
      <c r="AK299" s="39"/>
      <c r="AL299" s="36"/>
      <c r="AM299" s="39"/>
      <c r="AN299" s="39"/>
      <c r="AO299" s="36"/>
      <c r="AP299" s="36"/>
      <c r="AQ299" s="37"/>
      <c r="AR299" s="39"/>
      <c r="AS299" s="39"/>
      <c r="AT299" s="39"/>
      <c r="AU299" s="39"/>
      <c r="AV299" s="39"/>
      <c r="AW299" s="39"/>
      <c r="AX299" s="36"/>
      <c r="AY299" s="36"/>
      <c r="AZ299" s="36"/>
      <c r="BA299" s="36"/>
      <c r="BB299" s="39"/>
      <c r="BC299" s="39"/>
      <c r="BD299" s="37"/>
      <c r="BE299" s="37"/>
      <c r="BF299" s="37"/>
    </row>
    <row r="300" spans="1:58">
      <c r="A300" s="40"/>
      <c r="B300" s="35"/>
      <c r="C300" s="41"/>
      <c r="D300" s="35"/>
      <c r="E300" s="35"/>
      <c r="F300" s="35"/>
      <c r="G300" s="36"/>
      <c r="H300" s="35"/>
      <c r="I300" s="37"/>
      <c r="J300" s="35"/>
      <c r="K300" s="35"/>
      <c r="L300" s="36"/>
      <c r="M300" s="35"/>
      <c r="N300" s="35"/>
      <c r="O300" s="35"/>
      <c r="P300" s="36"/>
      <c r="Q300" s="35"/>
      <c r="R300" s="35"/>
      <c r="S300" s="35"/>
      <c r="T300" s="36"/>
      <c r="U300" s="35"/>
      <c r="V300" s="36"/>
      <c r="W300" s="35"/>
      <c r="X300" s="36"/>
      <c r="Y300" s="35"/>
      <c r="Z300" s="38"/>
      <c r="AA300" s="35"/>
      <c r="AB300" s="36"/>
      <c r="AC300" s="35"/>
      <c r="AD300" s="36"/>
      <c r="AE300" s="35"/>
      <c r="AF300" s="36"/>
      <c r="AG300" s="35"/>
      <c r="AH300" s="36"/>
      <c r="AI300" s="39"/>
      <c r="AJ300" s="36"/>
      <c r="AK300" s="39"/>
      <c r="AL300" s="36"/>
      <c r="AM300" s="39"/>
      <c r="AN300" s="39"/>
      <c r="AO300" s="36"/>
      <c r="AP300" s="36"/>
      <c r="AQ300" s="37"/>
      <c r="AR300" s="39"/>
      <c r="AS300" s="39"/>
      <c r="AT300" s="39"/>
      <c r="AU300" s="39"/>
      <c r="AV300" s="39"/>
      <c r="AW300" s="39"/>
      <c r="AX300" s="36"/>
      <c r="AY300" s="36"/>
      <c r="AZ300" s="36"/>
      <c r="BA300" s="36"/>
      <c r="BB300" s="39"/>
      <c r="BC300" s="39"/>
      <c r="BD300" s="37"/>
      <c r="BE300" s="37"/>
      <c r="BF300" s="37"/>
    </row>
    <row r="301" spans="1:58">
      <c r="A301" s="40"/>
      <c r="B301" s="35"/>
      <c r="C301" s="41"/>
      <c r="D301" s="35"/>
      <c r="E301" s="35"/>
      <c r="F301" s="35"/>
      <c r="G301" s="36"/>
      <c r="H301" s="35"/>
      <c r="I301" s="37"/>
      <c r="J301" s="35"/>
      <c r="K301" s="35"/>
      <c r="L301" s="36"/>
      <c r="M301" s="35"/>
      <c r="N301" s="35"/>
      <c r="O301" s="35"/>
      <c r="P301" s="36"/>
      <c r="Q301" s="35"/>
      <c r="R301" s="35"/>
      <c r="S301" s="35"/>
      <c r="T301" s="36"/>
      <c r="U301" s="35"/>
      <c r="V301" s="36"/>
      <c r="W301" s="35"/>
      <c r="X301" s="36"/>
      <c r="Y301" s="35"/>
      <c r="Z301" s="38"/>
      <c r="AA301" s="35"/>
      <c r="AB301" s="36"/>
      <c r="AC301" s="35"/>
      <c r="AD301" s="36"/>
      <c r="AE301" s="35"/>
      <c r="AF301" s="36"/>
      <c r="AG301" s="35"/>
      <c r="AH301" s="36"/>
      <c r="AI301" s="39"/>
      <c r="AJ301" s="36"/>
      <c r="AK301" s="39"/>
      <c r="AL301" s="36"/>
      <c r="AM301" s="39"/>
      <c r="AN301" s="39"/>
      <c r="AO301" s="36"/>
      <c r="AP301" s="36"/>
      <c r="AQ301" s="37"/>
      <c r="AR301" s="39"/>
      <c r="AS301" s="39"/>
      <c r="AT301" s="39"/>
      <c r="AU301" s="39"/>
      <c r="AV301" s="39"/>
      <c r="AW301" s="39"/>
      <c r="AX301" s="36"/>
      <c r="AY301" s="36"/>
      <c r="AZ301" s="36"/>
      <c r="BA301" s="36"/>
      <c r="BB301" s="39"/>
      <c r="BC301" s="39"/>
      <c r="BD301" s="37"/>
      <c r="BE301" s="37"/>
      <c r="BF301" s="37"/>
    </row>
    <row r="302" spans="1:58">
      <c r="A302" s="40"/>
      <c r="B302" s="35"/>
      <c r="C302" s="41"/>
      <c r="D302" s="35"/>
      <c r="E302" s="35"/>
      <c r="F302" s="35"/>
      <c r="G302" s="36"/>
      <c r="H302" s="35"/>
      <c r="I302" s="37"/>
      <c r="J302" s="35"/>
      <c r="K302" s="35"/>
      <c r="L302" s="36"/>
      <c r="M302" s="35"/>
      <c r="N302" s="35"/>
      <c r="O302" s="35"/>
      <c r="P302" s="36"/>
      <c r="Q302" s="35"/>
      <c r="R302" s="35"/>
      <c r="S302" s="35"/>
      <c r="T302" s="36"/>
      <c r="U302" s="35"/>
      <c r="V302" s="36"/>
      <c r="W302" s="35"/>
      <c r="X302" s="36"/>
      <c r="Y302" s="35"/>
      <c r="Z302" s="38"/>
      <c r="AA302" s="35"/>
      <c r="AB302" s="36"/>
      <c r="AC302" s="35"/>
      <c r="AD302" s="36"/>
      <c r="AE302" s="35"/>
      <c r="AF302" s="36"/>
      <c r="AG302" s="35"/>
      <c r="AH302" s="36"/>
      <c r="AI302" s="39"/>
      <c r="AJ302" s="36"/>
      <c r="AK302" s="39"/>
      <c r="AL302" s="36"/>
      <c r="AM302" s="39"/>
      <c r="AN302" s="39"/>
      <c r="AO302" s="36"/>
      <c r="AP302" s="36"/>
      <c r="AQ302" s="37"/>
      <c r="AR302" s="39"/>
      <c r="AS302" s="39"/>
      <c r="AT302" s="39"/>
      <c r="AU302" s="39"/>
      <c r="AV302" s="39"/>
      <c r="AW302" s="39"/>
      <c r="AX302" s="36"/>
      <c r="AY302" s="36"/>
      <c r="AZ302" s="36"/>
      <c r="BA302" s="36"/>
      <c r="BB302" s="39"/>
      <c r="BC302" s="39"/>
      <c r="BD302" s="37"/>
      <c r="BE302" s="37"/>
      <c r="BF302" s="37"/>
    </row>
    <row r="303" spans="1:58">
      <c r="A303" s="40"/>
      <c r="B303" s="35"/>
      <c r="C303" s="41"/>
      <c r="D303" s="35"/>
      <c r="E303" s="35"/>
      <c r="F303" s="35"/>
      <c r="G303" s="36"/>
      <c r="H303" s="35"/>
      <c r="I303" s="37"/>
      <c r="J303" s="35"/>
      <c r="K303" s="35"/>
      <c r="L303" s="36"/>
      <c r="M303" s="35"/>
      <c r="N303" s="35"/>
      <c r="O303" s="35"/>
      <c r="P303" s="36"/>
      <c r="Q303" s="35"/>
      <c r="R303" s="35"/>
      <c r="S303" s="35"/>
      <c r="T303" s="36"/>
      <c r="U303" s="35"/>
      <c r="V303" s="36"/>
      <c r="W303" s="35"/>
      <c r="X303" s="36"/>
      <c r="Y303" s="35"/>
      <c r="Z303" s="38"/>
      <c r="AA303" s="35"/>
      <c r="AB303" s="36"/>
      <c r="AC303" s="35"/>
      <c r="AD303" s="36"/>
      <c r="AE303" s="35"/>
      <c r="AF303" s="36"/>
      <c r="AG303" s="35"/>
      <c r="AH303" s="36"/>
      <c r="AI303" s="39"/>
      <c r="AJ303" s="36"/>
      <c r="AK303" s="39"/>
      <c r="AL303" s="36"/>
      <c r="AM303" s="39"/>
      <c r="AN303" s="39"/>
      <c r="AO303" s="36"/>
      <c r="AP303" s="36"/>
      <c r="AQ303" s="37"/>
      <c r="AR303" s="39"/>
      <c r="AS303" s="39"/>
      <c r="AT303" s="39"/>
      <c r="AU303" s="39"/>
      <c r="AV303" s="39"/>
      <c r="AW303" s="39"/>
      <c r="AX303" s="36"/>
      <c r="AY303" s="36"/>
      <c r="AZ303" s="36"/>
      <c r="BA303" s="36"/>
      <c r="BB303" s="39"/>
      <c r="BC303" s="39"/>
      <c r="BD303" s="37"/>
      <c r="BE303" s="37"/>
      <c r="BF303" s="37"/>
    </row>
    <row r="304" spans="1:58">
      <c r="A304" s="40"/>
      <c r="B304" s="35"/>
      <c r="C304" s="41"/>
      <c r="D304" s="35"/>
      <c r="E304" s="35"/>
      <c r="F304" s="35"/>
      <c r="G304" s="36"/>
      <c r="H304" s="35"/>
      <c r="I304" s="37"/>
      <c r="J304" s="35"/>
      <c r="K304" s="35"/>
      <c r="L304" s="36"/>
      <c r="M304" s="35"/>
      <c r="N304" s="35"/>
      <c r="O304" s="35"/>
      <c r="P304" s="36"/>
      <c r="Q304" s="35"/>
      <c r="R304" s="35"/>
      <c r="S304" s="35"/>
      <c r="T304" s="36"/>
      <c r="U304" s="35"/>
      <c r="V304" s="36"/>
      <c r="W304" s="35"/>
      <c r="X304" s="36"/>
      <c r="Y304" s="35"/>
      <c r="Z304" s="38"/>
      <c r="AA304" s="35"/>
      <c r="AB304" s="36"/>
      <c r="AC304" s="35"/>
      <c r="AD304" s="36"/>
      <c r="AE304" s="35"/>
      <c r="AF304" s="36"/>
      <c r="AG304" s="35"/>
      <c r="AH304" s="36"/>
      <c r="AI304" s="39"/>
      <c r="AJ304" s="36"/>
      <c r="AK304" s="39"/>
      <c r="AL304" s="36"/>
      <c r="AM304" s="39"/>
      <c r="AN304" s="39"/>
      <c r="AO304" s="36"/>
      <c r="AP304" s="36"/>
      <c r="AQ304" s="37"/>
      <c r="AR304" s="39"/>
      <c r="AS304" s="39"/>
      <c r="AT304" s="39"/>
      <c r="AU304" s="39"/>
      <c r="AV304" s="39"/>
      <c r="AW304" s="39"/>
      <c r="AX304" s="36"/>
      <c r="AY304" s="36"/>
      <c r="AZ304" s="36"/>
      <c r="BA304" s="36"/>
      <c r="BB304" s="39"/>
      <c r="BC304" s="39"/>
      <c r="BD304" s="37"/>
      <c r="BE304" s="37"/>
      <c r="BF304" s="37"/>
    </row>
    <row r="305" spans="1:58">
      <c r="A305" s="40"/>
      <c r="B305" s="35"/>
      <c r="C305" s="41"/>
      <c r="D305" s="35"/>
      <c r="E305" s="35"/>
      <c r="F305" s="35"/>
      <c r="G305" s="36"/>
      <c r="H305" s="35"/>
      <c r="I305" s="37"/>
      <c r="J305" s="35"/>
      <c r="K305" s="35"/>
      <c r="L305" s="36"/>
      <c r="M305" s="35"/>
      <c r="N305" s="35"/>
      <c r="O305" s="35"/>
      <c r="P305" s="36"/>
      <c r="Q305" s="35"/>
      <c r="R305" s="35"/>
      <c r="S305" s="35"/>
      <c r="T305" s="36"/>
      <c r="U305" s="35"/>
      <c r="V305" s="36"/>
      <c r="W305" s="35"/>
      <c r="X305" s="36"/>
      <c r="Y305" s="35"/>
      <c r="Z305" s="38"/>
      <c r="AA305" s="35"/>
      <c r="AB305" s="36"/>
      <c r="AC305" s="35"/>
      <c r="AD305" s="36"/>
      <c r="AE305" s="35"/>
      <c r="AF305" s="36"/>
      <c r="AG305" s="35"/>
      <c r="AH305" s="36"/>
      <c r="AI305" s="39"/>
      <c r="AJ305" s="36"/>
      <c r="AK305" s="39"/>
      <c r="AL305" s="36"/>
      <c r="AM305" s="39"/>
      <c r="AN305" s="39"/>
      <c r="AO305" s="36"/>
      <c r="AP305" s="36"/>
      <c r="AQ305" s="37"/>
      <c r="AR305" s="39"/>
      <c r="AS305" s="39"/>
      <c r="AT305" s="39"/>
      <c r="AU305" s="39"/>
      <c r="AV305" s="39"/>
      <c r="AW305" s="39"/>
      <c r="AX305" s="36"/>
      <c r="AY305" s="36"/>
      <c r="AZ305" s="36"/>
      <c r="BA305" s="36"/>
      <c r="BB305" s="39"/>
      <c r="BC305" s="39"/>
      <c r="BD305" s="37"/>
      <c r="BE305" s="37"/>
      <c r="BF305" s="37"/>
    </row>
    <row r="306" spans="1:58">
      <c r="A306" s="40"/>
      <c r="B306" s="35"/>
      <c r="C306" s="41"/>
      <c r="D306" s="35"/>
      <c r="E306" s="35"/>
      <c r="F306" s="35"/>
      <c r="G306" s="36"/>
      <c r="H306" s="35"/>
      <c r="I306" s="37"/>
      <c r="J306" s="35"/>
      <c r="K306" s="35"/>
      <c r="L306" s="36"/>
      <c r="M306" s="35"/>
      <c r="N306" s="35"/>
      <c r="O306" s="35"/>
      <c r="P306" s="36"/>
      <c r="Q306" s="35"/>
      <c r="R306" s="35"/>
      <c r="S306" s="35"/>
      <c r="T306" s="36"/>
      <c r="U306" s="35"/>
      <c r="V306" s="36"/>
      <c r="W306" s="35"/>
      <c r="X306" s="36"/>
      <c r="Y306" s="35"/>
      <c r="Z306" s="38"/>
      <c r="AA306" s="35"/>
      <c r="AB306" s="36"/>
      <c r="AC306" s="35"/>
      <c r="AD306" s="36"/>
      <c r="AE306" s="35"/>
      <c r="AF306" s="36"/>
      <c r="AG306" s="35"/>
      <c r="AH306" s="36"/>
      <c r="AI306" s="39"/>
      <c r="AJ306" s="36"/>
      <c r="AK306" s="39"/>
      <c r="AL306" s="36"/>
      <c r="AM306" s="39"/>
      <c r="AN306" s="39"/>
      <c r="AO306" s="36"/>
      <c r="AP306" s="36"/>
      <c r="AQ306" s="37"/>
      <c r="AR306" s="39"/>
      <c r="AS306" s="39"/>
      <c r="AT306" s="39"/>
      <c r="AU306" s="39"/>
      <c r="AV306" s="39"/>
      <c r="AW306" s="39"/>
      <c r="AX306" s="36"/>
      <c r="AY306" s="36"/>
      <c r="AZ306" s="36"/>
      <c r="BA306" s="36"/>
      <c r="BB306" s="39"/>
      <c r="BC306" s="39"/>
      <c r="BD306" s="37"/>
      <c r="BE306" s="37"/>
      <c r="BF306" s="37"/>
    </row>
    <row r="307" spans="1:58">
      <c r="A307" s="40"/>
      <c r="B307" s="35"/>
      <c r="C307" s="41"/>
      <c r="D307" s="35"/>
      <c r="E307" s="35"/>
      <c r="F307" s="35"/>
      <c r="G307" s="36"/>
      <c r="H307" s="35"/>
      <c r="I307" s="37"/>
      <c r="J307" s="35"/>
      <c r="K307" s="35"/>
      <c r="L307" s="36"/>
      <c r="M307" s="35"/>
      <c r="N307" s="35"/>
      <c r="O307" s="35"/>
      <c r="P307" s="36"/>
      <c r="Q307" s="35"/>
      <c r="R307" s="35"/>
      <c r="S307" s="35"/>
      <c r="T307" s="36"/>
      <c r="U307" s="35"/>
      <c r="V307" s="36"/>
      <c r="W307" s="35"/>
      <c r="X307" s="36"/>
      <c r="Y307" s="35"/>
      <c r="Z307" s="38"/>
      <c r="AA307" s="35"/>
      <c r="AB307" s="36"/>
      <c r="AC307" s="35"/>
      <c r="AD307" s="36"/>
      <c r="AE307" s="35"/>
      <c r="AF307" s="36"/>
      <c r="AG307" s="35"/>
      <c r="AH307" s="36"/>
      <c r="AI307" s="39"/>
      <c r="AJ307" s="36"/>
      <c r="AK307" s="39"/>
      <c r="AL307" s="36"/>
      <c r="AM307" s="39"/>
      <c r="AN307" s="39"/>
      <c r="AO307" s="36"/>
      <c r="AP307" s="36"/>
      <c r="AQ307" s="37"/>
      <c r="AR307" s="39"/>
      <c r="AS307" s="39"/>
      <c r="AT307" s="39"/>
      <c r="AU307" s="39"/>
      <c r="AV307" s="39"/>
      <c r="AW307" s="39"/>
      <c r="AX307" s="36"/>
      <c r="AY307" s="36"/>
      <c r="AZ307" s="36"/>
      <c r="BA307" s="36"/>
      <c r="BB307" s="39"/>
      <c r="BC307" s="39"/>
      <c r="BD307" s="37"/>
      <c r="BE307" s="37"/>
      <c r="BF307" s="37"/>
    </row>
    <row r="308" spans="1:58">
      <c r="A308" s="40"/>
      <c r="B308" s="35"/>
      <c r="C308" s="41"/>
      <c r="D308" s="35"/>
      <c r="E308" s="35"/>
      <c r="F308" s="35"/>
      <c r="G308" s="36"/>
      <c r="H308" s="35"/>
      <c r="I308" s="37"/>
      <c r="J308" s="35"/>
      <c r="K308" s="35"/>
      <c r="L308" s="36"/>
      <c r="M308" s="35"/>
      <c r="N308" s="35"/>
      <c r="O308" s="35"/>
      <c r="P308" s="36"/>
      <c r="Q308" s="35"/>
      <c r="R308" s="35"/>
      <c r="S308" s="35"/>
      <c r="T308" s="36"/>
      <c r="U308" s="35"/>
      <c r="V308" s="36"/>
      <c r="W308" s="35"/>
      <c r="X308" s="36"/>
      <c r="Y308" s="35"/>
      <c r="Z308" s="38"/>
      <c r="AA308" s="35"/>
      <c r="AB308" s="36"/>
      <c r="AC308" s="35"/>
      <c r="AD308" s="36"/>
      <c r="AE308" s="35"/>
      <c r="AF308" s="36"/>
      <c r="AG308" s="35"/>
      <c r="AH308" s="36"/>
      <c r="AI308" s="39"/>
      <c r="AJ308" s="36"/>
      <c r="AK308" s="39"/>
      <c r="AL308" s="36"/>
      <c r="AM308" s="39"/>
      <c r="AN308" s="39"/>
      <c r="AO308" s="36"/>
      <c r="AP308" s="36"/>
      <c r="AQ308" s="37"/>
      <c r="AR308" s="39"/>
      <c r="AS308" s="39"/>
      <c r="AT308" s="39"/>
      <c r="AU308" s="39"/>
      <c r="AV308" s="39"/>
      <c r="AW308" s="39"/>
      <c r="AX308" s="36"/>
      <c r="AY308" s="36"/>
      <c r="AZ308" s="36"/>
      <c r="BA308" s="36"/>
      <c r="BB308" s="39"/>
      <c r="BC308" s="39"/>
      <c r="BD308" s="37"/>
      <c r="BE308" s="37"/>
      <c r="BF308" s="37"/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2" t="s">
        <v>45</v>
      </c>
      <c r="B1" s="42" t="s">
        <v>112</v>
      </c>
      <c r="C1" s="42" t="s">
        <v>113</v>
      </c>
      <c r="D1" s="42" t="s">
        <v>114</v>
      </c>
      <c r="E1" s="42" t="s">
        <v>115</v>
      </c>
      <c r="F1" s="42" t="s">
        <v>116</v>
      </c>
      <c r="G1" s="42" t="s">
        <v>57</v>
      </c>
      <c r="H1" s="42" t="s">
        <v>117</v>
      </c>
      <c r="I1" s="42" t="s">
        <v>118</v>
      </c>
      <c r="J1" s="42" t="s">
        <v>119</v>
      </c>
      <c r="K1" s="42" t="s">
        <v>120</v>
      </c>
      <c r="L1" s="42" t="s">
        <v>74</v>
      </c>
      <c r="M1" s="42" t="s">
        <v>121</v>
      </c>
      <c r="N1" s="42" t="s">
        <v>122</v>
      </c>
      <c r="O1" s="42" t="s">
        <v>123</v>
      </c>
      <c r="P1" s="42" t="s">
        <v>124</v>
      </c>
      <c r="Q1" s="42" t="s">
        <v>125</v>
      </c>
      <c r="R1" s="42" t="s">
        <v>126</v>
      </c>
      <c r="S1" s="42" t="s">
        <v>127</v>
      </c>
      <c r="T1" s="42" t="s">
        <v>128</v>
      </c>
      <c r="U1" s="42" t="s">
        <v>129</v>
      </c>
    </row>
    <row r="2" spans="1:21">
      <c r="A2" s="43" t="s">
        <v>130</v>
      </c>
      <c r="B2" s="43" t="s">
        <v>22</v>
      </c>
      <c r="C2" s="44">
        <v>601307</v>
      </c>
      <c r="D2" s="44">
        <v>601276</v>
      </c>
      <c r="E2" s="44">
        <v>557418</v>
      </c>
      <c r="F2" s="44">
        <v>43858</v>
      </c>
      <c r="G2" s="44">
        <v>435171</v>
      </c>
      <c r="H2" s="44">
        <v>29373</v>
      </c>
      <c r="I2" s="44">
        <v>14143</v>
      </c>
      <c r="J2" s="44">
        <v>10712</v>
      </c>
      <c r="K2" s="45">
        <v>25986</v>
      </c>
      <c r="L2" s="44">
        <v>36957</v>
      </c>
      <c r="M2" s="43" t="s">
        <v>131</v>
      </c>
      <c r="N2" s="43" t="s">
        <v>132</v>
      </c>
      <c r="O2" s="43" t="s">
        <v>133</v>
      </c>
      <c r="P2" s="43" t="s">
        <v>134</v>
      </c>
      <c r="Q2" s="43" t="s">
        <v>135</v>
      </c>
      <c r="R2" s="43" t="s">
        <v>136</v>
      </c>
      <c r="S2" s="43" t="s">
        <v>137</v>
      </c>
      <c r="T2" s="43" t="s">
        <v>138</v>
      </c>
      <c r="U2" s="43" t="s">
        <v>139</v>
      </c>
    </row>
    <row r="3" spans="1:21">
      <c r="A3" s="43" t="s">
        <v>140</v>
      </c>
      <c r="B3" s="46">
        <v>46143</v>
      </c>
      <c r="C3" s="44">
        <v>25372</v>
      </c>
      <c r="D3" s="44">
        <v>21183</v>
      </c>
      <c r="E3" s="44">
        <v>19687</v>
      </c>
      <c r="F3" s="44">
        <v>1496</v>
      </c>
      <c r="G3" s="44">
        <v>16260</v>
      </c>
      <c r="H3" s="44">
        <v>1350</v>
      </c>
      <c r="I3" s="44">
        <v>408</v>
      </c>
      <c r="J3" s="44">
        <v>64</v>
      </c>
      <c r="K3" s="45">
        <v>308</v>
      </c>
      <c r="L3" s="44">
        <v>2579</v>
      </c>
      <c r="M3" s="43" t="s">
        <v>141</v>
      </c>
      <c r="N3" s="43" t="s">
        <v>142</v>
      </c>
      <c r="O3" s="43" t="s">
        <v>143</v>
      </c>
      <c r="P3" s="43" t="s">
        <v>144</v>
      </c>
      <c r="Q3" s="43" t="s">
        <v>145</v>
      </c>
      <c r="R3" s="43" t="s">
        <v>146</v>
      </c>
      <c r="S3" s="43" t="s">
        <v>147</v>
      </c>
      <c r="T3" s="43" t="s">
        <v>148</v>
      </c>
      <c r="U3" s="43" t="s">
        <v>149</v>
      </c>
    </row>
    <row r="4" spans="1:21">
      <c r="A4" s="43" t="s">
        <v>150</v>
      </c>
      <c r="B4" s="46">
        <v>46144</v>
      </c>
      <c r="C4" s="44">
        <v>26094</v>
      </c>
      <c r="D4" s="44">
        <v>26376</v>
      </c>
      <c r="E4" s="44">
        <v>24394</v>
      </c>
      <c r="F4" s="44">
        <v>1982</v>
      </c>
      <c r="G4" s="44">
        <v>16970</v>
      </c>
      <c r="H4" s="44">
        <v>1716</v>
      </c>
      <c r="I4" s="44">
        <v>481</v>
      </c>
      <c r="J4" s="44">
        <v>109</v>
      </c>
      <c r="K4" s="45">
        <v>368</v>
      </c>
      <c r="L4" s="44">
        <v>2762</v>
      </c>
      <c r="M4" s="43" t="s">
        <v>151</v>
      </c>
      <c r="N4" s="43" t="s">
        <v>152</v>
      </c>
      <c r="O4" s="43" t="s">
        <v>153</v>
      </c>
      <c r="P4" s="43" t="s">
        <v>154</v>
      </c>
      <c r="Q4" s="43" t="s">
        <v>155</v>
      </c>
      <c r="R4" s="43" t="s">
        <v>156</v>
      </c>
      <c r="S4" s="43" t="s">
        <v>157</v>
      </c>
      <c r="T4" s="43" t="s">
        <v>158</v>
      </c>
      <c r="U4" s="43" t="s">
        <v>159</v>
      </c>
    </row>
    <row r="5" spans="1:21">
      <c r="A5" s="43" t="s">
        <v>160</v>
      </c>
      <c r="B5" s="46">
        <v>46145</v>
      </c>
      <c r="C5" s="44">
        <v>26346</v>
      </c>
      <c r="D5" s="44">
        <v>26794</v>
      </c>
      <c r="E5" s="44">
        <v>24972</v>
      </c>
      <c r="F5" s="44">
        <v>1822</v>
      </c>
      <c r="G5" s="44">
        <v>16609</v>
      </c>
      <c r="H5" s="44">
        <v>1565</v>
      </c>
      <c r="I5" s="44">
        <v>618</v>
      </c>
      <c r="J5" s="44">
        <v>128</v>
      </c>
      <c r="K5" s="45">
        <v>321</v>
      </c>
      <c r="L5" s="44">
        <v>2871</v>
      </c>
      <c r="M5" s="43" t="s">
        <v>161</v>
      </c>
      <c r="N5" s="43" t="s">
        <v>162</v>
      </c>
      <c r="O5" s="43" t="s">
        <v>163</v>
      </c>
      <c r="P5" s="43" t="s">
        <v>164</v>
      </c>
      <c r="Q5" s="43" t="s">
        <v>165</v>
      </c>
      <c r="R5" s="43" t="s">
        <v>166</v>
      </c>
      <c r="S5" s="43" t="s">
        <v>137</v>
      </c>
      <c r="T5" s="43" t="s">
        <v>167</v>
      </c>
      <c r="U5" s="43" t="s">
        <v>168</v>
      </c>
    </row>
    <row r="6" spans="1:21">
      <c r="A6" s="43" t="s">
        <v>169</v>
      </c>
      <c r="B6" s="46">
        <v>46146</v>
      </c>
      <c r="C6" s="44">
        <v>25868</v>
      </c>
      <c r="D6" s="44">
        <v>25769</v>
      </c>
      <c r="E6" s="44">
        <v>24028</v>
      </c>
      <c r="F6" s="44">
        <v>1741</v>
      </c>
      <c r="G6" s="44">
        <v>17186</v>
      </c>
      <c r="H6" s="44">
        <v>1733</v>
      </c>
      <c r="I6" s="44">
        <v>973</v>
      </c>
      <c r="J6" s="44">
        <v>139</v>
      </c>
      <c r="K6" s="45">
        <v>405</v>
      </c>
      <c r="L6" s="44">
        <v>2828</v>
      </c>
      <c r="M6" s="43" t="s">
        <v>170</v>
      </c>
      <c r="N6" s="43" t="s">
        <v>171</v>
      </c>
      <c r="O6" s="43" t="s">
        <v>172</v>
      </c>
      <c r="P6" s="43" t="s">
        <v>173</v>
      </c>
      <c r="Q6" s="43" t="s">
        <v>174</v>
      </c>
      <c r="R6" s="43" t="s">
        <v>175</v>
      </c>
      <c r="S6" s="43" t="s">
        <v>176</v>
      </c>
      <c r="T6" s="43" t="s">
        <v>177</v>
      </c>
      <c r="U6" s="43" t="s">
        <v>178</v>
      </c>
    </row>
    <row r="7" spans="1:21">
      <c r="A7" s="43" t="s">
        <v>179</v>
      </c>
      <c r="B7" s="46">
        <v>46147</v>
      </c>
      <c r="C7" s="44">
        <v>26820</v>
      </c>
      <c r="D7" s="44">
        <v>25199</v>
      </c>
      <c r="E7" s="44">
        <v>23373</v>
      </c>
      <c r="F7" s="44">
        <v>1826</v>
      </c>
      <c r="G7" s="44">
        <v>17132</v>
      </c>
      <c r="H7" s="44">
        <v>2818</v>
      </c>
      <c r="I7" s="44">
        <v>2007</v>
      </c>
      <c r="J7" s="44">
        <v>484</v>
      </c>
      <c r="K7" s="45">
        <v>739</v>
      </c>
      <c r="L7" s="44">
        <v>2127</v>
      </c>
      <c r="M7" s="43" t="s">
        <v>180</v>
      </c>
      <c r="N7" s="43" t="s">
        <v>181</v>
      </c>
      <c r="O7" s="43" t="s">
        <v>182</v>
      </c>
      <c r="P7" s="43" t="s">
        <v>183</v>
      </c>
      <c r="Q7" s="43" t="s">
        <v>153</v>
      </c>
      <c r="R7" s="43" t="s">
        <v>184</v>
      </c>
      <c r="S7" s="43" t="s">
        <v>185</v>
      </c>
      <c r="T7" s="43" t="s">
        <v>186</v>
      </c>
      <c r="U7" s="43" t="s">
        <v>187</v>
      </c>
    </row>
    <row r="8" spans="1:21">
      <c r="A8" s="43" t="s">
        <v>188</v>
      </c>
      <c r="B8" s="46">
        <v>46148</v>
      </c>
      <c r="C8" s="44">
        <v>20285</v>
      </c>
      <c r="D8" s="44">
        <v>24613</v>
      </c>
      <c r="E8" s="44">
        <v>22665</v>
      </c>
      <c r="F8" s="44">
        <v>1948</v>
      </c>
      <c r="G8" s="44">
        <v>13798</v>
      </c>
      <c r="H8" s="44">
        <v>1856</v>
      </c>
      <c r="I8" s="44">
        <v>1789</v>
      </c>
      <c r="J8" s="44">
        <v>1191</v>
      </c>
      <c r="K8" s="45">
        <v>1548</v>
      </c>
      <c r="L8" s="44">
        <v>1775</v>
      </c>
      <c r="M8" s="43" t="s">
        <v>189</v>
      </c>
      <c r="N8" s="43" t="s">
        <v>190</v>
      </c>
      <c r="O8" s="43" t="s">
        <v>191</v>
      </c>
      <c r="P8" s="43" t="s">
        <v>192</v>
      </c>
      <c r="Q8" s="43" t="s">
        <v>193</v>
      </c>
      <c r="R8" s="43" t="s">
        <v>194</v>
      </c>
      <c r="S8" s="43" t="s">
        <v>195</v>
      </c>
      <c r="T8" s="43" t="s">
        <v>196</v>
      </c>
      <c r="U8" s="43" t="s">
        <v>197</v>
      </c>
    </row>
    <row r="9" spans="1:21">
      <c r="A9" s="43" t="s">
        <v>198</v>
      </c>
      <c r="B9" s="46">
        <v>46149</v>
      </c>
      <c r="C9" s="44">
        <v>18577</v>
      </c>
      <c r="D9" s="44">
        <v>20422</v>
      </c>
      <c r="E9" s="44">
        <v>18623</v>
      </c>
      <c r="F9" s="44">
        <v>1799</v>
      </c>
      <c r="G9" s="44">
        <v>12553</v>
      </c>
      <c r="H9" s="44">
        <v>1522</v>
      </c>
      <c r="I9" s="44">
        <v>1690</v>
      </c>
      <c r="J9" s="44">
        <v>3567</v>
      </c>
      <c r="K9" s="45">
        <v>4862</v>
      </c>
      <c r="L9" s="44">
        <v>1406</v>
      </c>
      <c r="M9" s="43" t="s">
        <v>199</v>
      </c>
      <c r="N9" s="43" t="s">
        <v>200</v>
      </c>
      <c r="O9" s="43" t="s">
        <v>201</v>
      </c>
      <c r="P9" s="43" t="s">
        <v>202</v>
      </c>
      <c r="Q9" s="43" t="s">
        <v>203</v>
      </c>
      <c r="R9" s="43" t="s">
        <v>204</v>
      </c>
      <c r="S9" s="43" t="s">
        <v>205</v>
      </c>
      <c r="T9" s="43" t="s">
        <v>206</v>
      </c>
      <c r="U9" s="43" t="s">
        <v>207</v>
      </c>
    </row>
    <row r="10" spans="1:21">
      <c r="A10" s="43" t="s">
        <v>208</v>
      </c>
      <c r="B10" s="46">
        <v>46150</v>
      </c>
      <c r="C10" s="44">
        <v>18532</v>
      </c>
      <c r="D10" s="44">
        <v>19384</v>
      </c>
      <c r="E10" s="44">
        <v>17808</v>
      </c>
      <c r="F10" s="44">
        <v>1576</v>
      </c>
      <c r="G10" s="44">
        <v>12489</v>
      </c>
      <c r="H10" s="44">
        <v>517</v>
      </c>
      <c r="I10" s="44">
        <v>151</v>
      </c>
      <c r="J10" s="44">
        <v>37</v>
      </c>
      <c r="K10" s="45">
        <v>471</v>
      </c>
      <c r="L10" s="44">
        <v>1438</v>
      </c>
      <c r="M10" s="43" t="s">
        <v>209</v>
      </c>
      <c r="N10" s="43" t="s">
        <v>210</v>
      </c>
      <c r="O10" s="43" t="s">
        <v>211</v>
      </c>
      <c r="P10" s="43" t="s">
        <v>212</v>
      </c>
      <c r="Q10" s="43" t="s">
        <v>213</v>
      </c>
      <c r="R10" s="43" t="s">
        <v>214</v>
      </c>
      <c r="S10" s="43" t="s">
        <v>174</v>
      </c>
      <c r="T10" s="43" t="s">
        <v>215</v>
      </c>
      <c r="U10" s="43" t="s">
        <v>216</v>
      </c>
    </row>
    <row r="11" spans="1:21">
      <c r="A11" s="43" t="s">
        <v>217</v>
      </c>
      <c r="B11" s="46">
        <v>46151</v>
      </c>
      <c r="C11" s="44">
        <v>19105</v>
      </c>
      <c r="D11" s="44">
        <v>18761</v>
      </c>
      <c r="E11" s="44">
        <v>17285</v>
      </c>
      <c r="F11" s="44">
        <v>1476</v>
      </c>
      <c r="G11" s="44">
        <v>12684</v>
      </c>
      <c r="H11" s="44">
        <v>498</v>
      </c>
      <c r="I11" s="44">
        <v>76</v>
      </c>
      <c r="J11" s="44">
        <v>12</v>
      </c>
      <c r="K11" s="45">
        <v>331</v>
      </c>
      <c r="L11" s="44">
        <v>1461</v>
      </c>
      <c r="M11" s="43" t="s">
        <v>218</v>
      </c>
      <c r="N11" s="43" t="s">
        <v>219</v>
      </c>
      <c r="O11" s="43" t="s">
        <v>220</v>
      </c>
      <c r="P11" s="43" t="s">
        <v>221</v>
      </c>
      <c r="Q11" s="43" t="s">
        <v>222</v>
      </c>
      <c r="R11" s="43" t="s">
        <v>223</v>
      </c>
      <c r="S11" s="43" t="s">
        <v>224</v>
      </c>
      <c r="T11" s="43" t="s">
        <v>225</v>
      </c>
      <c r="U11" s="43" t="s">
        <v>226</v>
      </c>
    </row>
    <row r="12" spans="1:21">
      <c r="A12" s="43" t="s">
        <v>227</v>
      </c>
      <c r="B12" s="46">
        <v>46152</v>
      </c>
      <c r="C12" s="44">
        <v>21672</v>
      </c>
      <c r="D12" s="44">
        <v>19985</v>
      </c>
      <c r="E12" s="44">
        <v>18126</v>
      </c>
      <c r="F12" s="44">
        <v>1859</v>
      </c>
      <c r="G12" s="44">
        <v>14394</v>
      </c>
      <c r="H12" s="44">
        <v>694</v>
      </c>
      <c r="I12" s="44">
        <v>103</v>
      </c>
      <c r="J12" s="44">
        <v>14</v>
      </c>
      <c r="K12" s="45">
        <v>225</v>
      </c>
      <c r="L12" s="44">
        <v>1729</v>
      </c>
      <c r="M12" s="43" t="s">
        <v>228</v>
      </c>
      <c r="N12" s="43" t="s">
        <v>229</v>
      </c>
      <c r="O12" s="43" t="s">
        <v>230</v>
      </c>
      <c r="P12" s="43" t="s">
        <v>231</v>
      </c>
      <c r="Q12" s="43" t="s">
        <v>232</v>
      </c>
      <c r="R12" s="43" t="s">
        <v>233</v>
      </c>
      <c r="S12" s="43" t="s">
        <v>234</v>
      </c>
      <c r="T12" s="43" t="s">
        <v>225</v>
      </c>
      <c r="U12" s="43" t="s">
        <v>235</v>
      </c>
    </row>
    <row r="13" spans="1:21">
      <c r="A13" s="43" t="s">
        <v>236</v>
      </c>
      <c r="B13" s="46">
        <v>46153</v>
      </c>
      <c r="C13" s="44">
        <v>17547</v>
      </c>
      <c r="D13" s="44">
        <v>18965</v>
      </c>
      <c r="E13" s="44">
        <v>17433</v>
      </c>
      <c r="F13" s="44">
        <v>1532</v>
      </c>
      <c r="G13" s="44">
        <v>11942</v>
      </c>
      <c r="H13" s="44">
        <v>714</v>
      </c>
      <c r="I13" s="44">
        <v>372</v>
      </c>
      <c r="J13" s="44">
        <v>53</v>
      </c>
      <c r="K13" s="45">
        <v>389</v>
      </c>
      <c r="L13" s="44">
        <v>1183</v>
      </c>
      <c r="M13" s="43" t="s">
        <v>237</v>
      </c>
      <c r="N13" s="43" t="s">
        <v>238</v>
      </c>
      <c r="O13" s="43" t="s">
        <v>239</v>
      </c>
      <c r="P13" s="43" t="s">
        <v>240</v>
      </c>
      <c r="Q13" s="43" t="s">
        <v>241</v>
      </c>
      <c r="R13" s="43" t="s">
        <v>242</v>
      </c>
      <c r="S13" s="43" t="s">
        <v>243</v>
      </c>
      <c r="T13" s="43" t="s">
        <v>213</v>
      </c>
      <c r="U13" s="43" t="s">
        <v>244</v>
      </c>
    </row>
    <row r="14" spans="1:21">
      <c r="A14" s="43" t="s">
        <v>245</v>
      </c>
      <c r="B14" s="46">
        <v>46154</v>
      </c>
      <c r="C14" s="44">
        <v>17012</v>
      </c>
      <c r="D14" s="44">
        <v>17961</v>
      </c>
      <c r="E14" s="44">
        <v>16568</v>
      </c>
      <c r="F14" s="44">
        <v>1393</v>
      </c>
      <c r="G14" s="44">
        <v>11586</v>
      </c>
      <c r="H14" s="44">
        <v>504</v>
      </c>
      <c r="I14" s="44">
        <v>188</v>
      </c>
      <c r="J14" s="44">
        <v>21</v>
      </c>
      <c r="K14" s="45">
        <v>386</v>
      </c>
      <c r="L14" s="44">
        <v>1181</v>
      </c>
      <c r="M14" s="43" t="s">
        <v>246</v>
      </c>
      <c r="N14" s="43" t="s">
        <v>247</v>
      </c>
      <c r="O14" s="43" t="s">
        <v>248</v>
      </c>
      <c r="P14" s="43" t="s">
        <v>249</v>
      </c>
      <c r="Q14" s="43" t="s">
        <v>250</v>
      </c>
      <c r="R14" s="43" t="s">
        <v>251</v>
      </c>
      <c r="S14" s="43" t="s">
        <v>252</v>
      </c>
      <c r="T14" s="43" t="s">
        <v>253</v>
      </c>
      <c r="U14" s="43" t="s">
        <v>254</v>
      </c>
    </row>
    <row r="15" spans="1:21">
      <c r="A15" s="43" t="s">
        <v>255</v>
      </c>
      <c r="B15" s="46">
        <v>46155</v>
      </c>
      <c r="C15" s="44">
        <v>15045</v>
      </c>
      <c r="D15" s="44">
        <v>15101</v>
      </c>
      <c r="E15" s="44">
        <v>14056</v>
      </c>
      <c r="F15" s="44">
        <v>1045</v>
      </c>
      <c r="G15" s="44">
        <v>10327</v>
      </c>
      <c r="H15" s="44">
        <v>450</v>
      </c>
      <c r="I15" s="44">
        <v>108</v>
      </c>
      <c r="J15" s="44">
        <v>39</v>
      </c>
      <c r="K15" s="45">
        <v>291</v>
      </c>
      <c r="L15" s="44">
        <v>1048</v>
      </c>
      <c r="M15" s="43" t="s">
        <v>256</v>
      </c>
      <c r="N15" s="43" t="s">
        <v>257</v>
      </c>
      <c r="O15" s="43" t="s">
        <v>258</v>
      </c>
      <c r="P15" s="43" t="s">
        <v>259</v>
      </c>
      <c r="Q15" s="43" t="s">
        <v>260</v>
      </c>
      <c r="R15" s="43" t="s">
        <v>261</v>
      </c>
      <c r="S15" s="43" t="s">
        <v>230</v>
      </c>
      <c r="T15" s="43" t="s">
        <v>262</v>
      </c>
      <c r="U15" s="43" t="s">
        <v>263</v>
      </c>
    </row>
    <row r="16" spans="1:21">
      <c r="A16" s="43" t="s">
        <v>264</v>
      </c>
      <c r="B16" s="46">
        <v>46156</v>
      </c>
      <c r="C16" s="44">
        <v>17874</v>
      </c>
      <c r="D16" s="44">
        <v>16712</v>
      </c>
      <c r="E16" s="44">
        <v>15474</v>
      </c>
      <c r="F16" s="44">
        <v>1238</v>
      </c>
      <c r="G16" s="44">
        <v>12341</v>
      </c>
      <c r="H16" s="44">
        <v>396</v>
      </c>
      <c r="I16" s="44">
        <v>120</v>
      </c>
      <c r="J16" s="44">
        <v>32</v>
      </c>
      <c r="K16" s="45">
        <v>306</v>
      </c>
      <c r="L16" s="44">
        <v>1182</v>
      </c>
      <c r="M16" s="43" t="s">
        <v>265</v>
      </c>
      <c r="N16" s="43" t="s">
        <v>266</v>
      </c>
      <c r="O16" s="43" t="s">
        <v>267</v>
      </c>
      <c r="P16" s="43" t="s">
        <v>268</v>
      </c>
      <c r="Q16" s="43" t="s">
        <v>262</v>
      </c>
      <c r="R16" s="43" t="s">
        <v>269</v>
      </c>
      <c r="S16" s="43" t="s">
        <v>270</v>
      </c>
      <c r="T16" s="43" t="s">
        <v>250</v>
      </c>
      <c r="U16" s="43" t="s">
        <v>271</v>
      </c>
    </row>
    <row r="17" spans="1:21">
      <c r="A17" s="43" t="s">
        <v>272</v>
      </c>
      <c r="B17" s="46">
        <v>46157</v>
      </c>
      <c r="C17" s="44">
        <v>16854</v>
      </c>
      <c r="D17" s="44">
        <v>17885</v>
      </c>
      <c r="E17" s="44">
        <v>16695</v>
      </c>
      <c r="F17" s="44">
        <v>1190</v>
      </c>
      <c r="G17" s="44">
        <v>11727</v>
      </c>
      <c r="H17" s="44">
        <v>417</v>
      </c>
      <c r="I17" s="44">
        <v>99</v>
      </c>
      <c r="J17" s="44">
        <v>76</v>
      </c>
      <c r="K17" s="45">
        <v>519</v>
      </c>
      <c r="L17" s="44">
        <v>1081</v>
      </c>
      <c r="M17" s="43" t="s">
        <v>273</v>
      </c>
      <c r="N17" s="43" t="s">
        <v>274</v>
      </c>
      <c r="O17" s="43" t="s">
        <v>275</v>
      </c>
      <c r="P17" s="43" t="s">
        <v>276</v>
      </c>
      <c r="Q17" s="43" t="s">
        <v>277</v>
      </c>
      <c r="R17" s="43" t="s">
        <v>278</v>
      </c>
      <c r="S17" s="43" t="s">
        <v>279</v>
      </c>
      <c r="T17" s="43" t="s">
        <v>280</v>
      </c>
      <c r="U17" s="43" t="s">
        <v>281</v>
      </c>
    </row>
    <row r="18" spans="1:21">
      <c r="A18" s="43" t="s">
        <v>282</v>
      </c>
      <c r="B18" s="46">
        <v>46158</v>
      </c>
      <c r="C18" s="44">
        <v>17256</v>
      </c>
      <c r="D18" s="44">
        <v>16843</v>
      </c>
      <c r="E18" s="44">
        <v>15752</v>
      </c>
      <c r="F18" s="44">
        <v>1091</v>
      </c>
      <c r="G18" s="44">
        <v>12086</v>
      </c>
      <c r="H18" s="44">
        <v>679</v>
      </c>
      <c r="I18" s="44">
        <v>73</v>
      </c>
      <c r="J18" s="44">
        <v>44</v>
      </c>
      <c r="K18" s="45">
        <v>368</v>
      </c>
      <c r="L18" s="44">
        <v>1057</v>
      </c>
      <c r="M18" s="43" t="s">
        <v>283</v>
      </c>
      <c r="N18" s="43" t="s">
        <v>284</v>
      </c>
      <c r="O18" s="43" t="s">
        <v>220</v>
      </c>
      <c r="P18" s="43" t="s">
        <v>285</v>
      </c>
      <c r="Q18" s="43" t="s">
        <v>286</v>
      </c>
      <c r="R18" s="43" t="s">
        <v>219</v>
      </c>
      <c r="S18" s="43" t="s">
        <v>158</v>
      </c>
      <c r="T18" s="43" t="s">
        <v>148</v>
      </c>
      <c r="U18" s="43" t="s">
        <v>287</v>
      </c>
    </row>
    <row r="19" spans="1:21">
      <c r="A19" s="43" t="s">
        <v>288</v>
      </c>
      <c r="B19" s="46">
        <v>46159</v>
      </c>
      <c r="C19" s="44">
        <v>19488</v>
      </c>
      <c r="D19" s="44">
        <v>18660</v>
      </c>
      <c r="E19" s="44">
        <v>17332</v>
      </c>
      <c r="F19" s="44">
        <v>1328</v>
      </c>
      <c r="G19" s="44">
        <v>13836</v>
      </c>
      <c r="H19" s="44">
        <v>856</v>
      </c>
      <c r="I19" s="44">
        <v>156</v>
      </c>
      <c r="J19" s="44">
        <v>15</v>
      </c>
      <c r="K19" s="45">
        <v>251</v>
      </c>
      <c r="L19" s="44">
        <v>1147</v>
      </c>
      <c r="M19" s="43" t="s">
        <v>289</v>
      </c>
      <c r="N19" s="43" t="s">
        <v>290</v>
      </c>
      <c r="O19" s="43" t="s">
        <v>291</v>
      </c>
      <c r="P19" s="43" t="s">
        <v>292</v>
      </c>
      <c r="Q19" s="43" t="s">
        <v>293</v>
      </c>
      <c r="R19" s="43" t="s">
        <v>294</v>
      </c>
      <c r="S19" s="43" t="s">
        <v>295</v>
      </c>
      <c r="T19" s="43" t="s">
        <v>296</v>
      </c>
      <c r="U19" s="43" t="s">
        <v>238</v>
      </c>
    </row>
    <row r="20" spans="1:21">
      <c r="A20" s="43" t="s">
        <v>297</v>
      </c>
      <c r="B20" s="46">
        <v>46160</v>
      </c>
      <c r="C20" s="44">
        <v>18952</v>
      </c>
      <c r="D20" s="44">
        <v>18758</v>
      </c>
      <c r="E20" s="44">
        <v>17583</v>
      </c>
      <c r="F20" s="44">
        <v>1175</v>
      </c>
      <c r="G20" s="44">
        <v>13622</v>
      </c>
      <c r="H20" s="44">
        <v>561</v>
      </c>
      <c r="I20" s="44">
        <v>164</v>
      </c>
      <c r="J20" s="44">
        <v>42</v>
      </c>
      <c r="K20" s="45">
        <v>391</v>
      </c>
      <c r="L20" s="44">
        <v>995</v>
      </c>
      <c r="M20" s="43" t="s">
        <v>298</v>
      </c>
      <c r="N20" s="43" t="s">
        <v>299</v>
      </c>
      <c r="O20" s="43" t="s">
        <v>300</v>
      </c>
      <c r="P20" s="43" t="s">
        <v>301</v>
      </c>
      <c r="Q20" s="43" t="s">
        <v>302</v>
      </c>
      <c r="R20" s="43" t="s">
        <v>251</v>
      </c>
      <c r="S20" s="43" t="s">
        <v>303</v>
      </c>
      <c r="T20" s="43" t="s">
        <v>304</v>
      </c>
      <c r="U20" s="43" t="s">
        <v>305</v>
      </c>
    </row>
    <row r="21" spans="1:21">
      <c r="A21" s="43" t="s">
        <v>306</v>
      </c>
      <c r="B21" s="46">
        <v>46161</v>
      </c>
      <c r="C21" s="44">
        <v>18001</v>
      </c>
      <c r="D21" s="44">
        <v>19139</v>
      </c>
      <c r="E21" s="44">
        <v>17694</v>
      </c>
      <c r="F21" s="44">
        <v>1445</v>
      </c>
      <c r="G21" s="44">
        <v>13101</v>
      </c>
      <c r="H21" s="44">
        <v>582</v>
      </c>
      <c r="I21" s="44">
        <v>183</v>
      </c>
      <c r="J21" s="44">
        <v>16</v>
      </c>
      <c r="K21" s="45">
        <v>318</v>
      </c>
      <c r="L21" s="44">
        <v>852</v>
      </c>
      <c r="M21" s="43" t="s">
        <v>307</v>
      </c>
      <c r="N21" s="43" t="s">
        <v>308</v>
      </c>
      <c r="O21" s="43" t="s">
        <v>309</v>
      </c>
      <c r="P21" s="43" t="s">
        <v>310</v>
      </c>
      <c r="Q21" s="43" t="s">
        <v>253</v>
      </c>
      <c r="R21" s="43" t="s">
        <v>311</v>
      </c>
      <c r="S21" s="43" t="s">
        <v>312</v>
      </c>
      <c r="T21" s="43" t="s">
        <v>222</v>
      </c>
      <c r="U21" s="43" t="s">
        <v>313</v>
      </c>
    </row>
    <row r="22" spans="1:21">
      <c r="A22" s="43" t="s">
        <v>314</v>
      </c>
      <c r="B22" s="46">
        <v>46162</v>
      </c>
      <c r="C22" s="44">
        <v>16586</v>
      </c>
      <c r="D22" s="44">
        <v>16784</v>
      </c>
      <c r="E22" s="44">
        <v>15670</v>
      </c>
      <c r="F22" s="44">
        <v>1114</v>
      </c>
      <c r="G22" s="44">
        <v>12308</v>
      </c>
      <c r="H22" s="44">
        <v>462</v>
      </c>
      <c r="I22" s="44">
        <v>156</v>
      </c>
      <c r="J22" s="44">
        <v>94</v>
      </c>
      <c r="K22" s="45">
        <v>467</v>
      </c>
      <c r="L22" s="44">
        <v>784</v>
      </c>
      <c r="M22" s="43" t="s">
        <v>315</v>
      </c>
      <c r="N22" s="43" t="s">
        <v>316</v>
      </c>
      <c r="O22" s="43" t="s">
        <v>317</v>
      </c>
      <c r="P22" s="43" t="s">
        <v>318</v>
      </c>
      <c r="Q22" s="43" t="s">
        <v>319</v>
      </c>
      <c r="R22" s="43" t="s">
        <v>214</v>
      </c>
      <c r="S22" s="43" t="s">
        <v>320</v>
      </c>
      <c r="T22" s="43" t="s">
        <v>321</v>
      </c>
      <c r="U22" s="43" t="s">
        <v>322</v>
      </c>
    </row>
    <row r="23" spans="1:21">
      <c r="A23" s="43" t="s">
        <v>323</v>
      </c>
      <c r="B23" s="46">
        <v>46163</v>
      </c>
      <c r="C23" s="44">
        <v>16397</v>
      </c>
      <c r="D23" s="44">
        <v>16633</v>
      </c>
      <c r="E23" s="44">
        <v>15615</v>
      </c>
      <c r="F23" s="44">
        <v>1018</v>
      </c>
      <c r="G23" s="44">
        <v>12269</v>
      </c>
      <c r="H23" s="44">
        <v>483</v>
      </c>
      <c r="I23" s="44">
        <v>168</v>
      </c>
      <c r="J23" s="44">
        <v>80</v>
      </c>
      <c r="K23" s="45">
        <v>411</v>
      </c>
      <c r="L23" s="44">
        <v>750</v>
      </c>
      <c r="M23" s="43" t="s">
        <v>324</v>
      </c>
      <c r="N23" s="43" t="s">
        <v>325</v>
      </c>
      <c r="O23" s="43" t="s">
        <v>326</v>
      </c>
      <c r="P23" s="43" t="s">
        <v>327</v>
      </c>
      <c r="Q23" s="43" t="s">
        <v>277</v>
      </c>
      <c r="R23" s="43" t="s">
        <v>328</v>
      </c>
      <c r="S23" s="43" t="s">
        <v>312</v>
      </c>
      <c r="T23" s="43" t="s">
        <v>167</v>
      </c>
      <c r="U23" s="43" t="s">
        <v>329</v>
      </c>
    </row>
    <row r="24" spans="1:21">
      <c r="A24" s="43" t="s">
        <v>330</v>
      </c>
      <c r="B24" s="46">
        <v>46164</v>
      </c>
      <c r="C24" s="44">
        <v>16709</v>
      </c>
      <c r="D24" s="44">
        <v>16497</v>
      </c>
      <c r="E24" s="44">
        <v>15533</v>
      </c>
      <c r="F24" s="44">
        <v>964</v>
      </c>
      <c r="G24" s="44">
        <v>12491</v>
      </c>
      <c r="H24" s="44">
        <v>382</v>
      </c>
      <c r="I24" s="44">
        <v>123</v>
      </c>
      <c r="J24" s="44">
        <v>38</v>
      </c>
      <c r="K24" s="45">
        <v>423</v>
      </c>
      <c r="L24" s="44">
        <v>748</v>
      </c>
      <c r="M24" s="43" t="s">
        <v>331</v>
      </c>
      <c r="N24" s="43" t="s">
        <v>332</v>
      </c>
      <c r="O24" s="43" t="s">
        <v>333</v>
      </c>
      <c r="P24" s="43" t="s">
        <v>334</v>
      </c>
      <c r="Q24" s="43" t="s">
        <v>213</v>
      </c>
      <c r="R24" s="43" t="s">
        <v>335</v>
      </c>
      <c r="S24" s="43" t="s">
        <v>336</v>
      </c>
      <c r="T24" s="43" t="s">
        <v>337</v>
      </c>
      <c r="U24" s="43" t="s">
        <v>338</v>
      </c>
    </row>
    <row r="25" spans="1:21">
      <c r="A25" s="43" t="s">
        <v>339</v>
      </c>
      <c r="B25" s="46">
        <v>46165</v>
      </c>
      <c r="C25" s="44">
        <v>16277</v>
      </c>
      <c r="D25" s="44">
        <v>15924</v>
      </c>
      <c r="E25" s="44">
        <v>14862</v>
      </c>
      <c r="F25" s="44">
        <v>1062</v>
      </c>
      <c r="G25" s="44">
        <v>12396</v>
      </c>
      <c r="H25" s="44">
        <v>649</v>
      </c>
      <c r="I25" s="44">
        <v>99</v>
      </c>
      <c r="J25" s="44">
        <v>110</v>
      </c>
      <c r="K25" s="45">
        <v>419</v>
      </c>
      <c r="L25" s="44">
        <v>632</v>
      </c>
      <c r="M25" s="43" t="s">
        <v>340</v>
      </c>
      <c r="N25" s="43" t="s">
        <v>341</v>
      </c>
      <c r="O25" s="43" t="s">
        <v>295</v>
      </c>
      <c r="P25" s="43" t="s">
        <v>342</v>
      </c>
      <c r="Q25" s="43" t="s">
        <v>343</v>
      </c>
      <c r="R25" s="43" t="s">
        <v>344</v>
      </c>
      <c r="S25" s="43" t="s">
        <v>345</v>
      </c>
      <c r="T25" s="43" t="s">
        <v>346</v>
      </c>
      <c r="U25" s="43" t="s">
        <v>347</v>
      </c>
    </row>
    <row r="26" spans="1:21">
      <c r="A26" s="43" t="s">
        <v>348</v>
      </c>
      <c r="B26" s="46">
        <v>46166</v>
      </c>
      <c r="C26" s="44">
        <v>15830</v>
      </c>
      <c r="D26" s="44">
        <v>16373</v>
      </c>
      <c r="E26" s="44">
        <v>15316</v>
      </c>
      <c r="F26" s="44">
        <v>1057</v>
      </c>
      <c r="G26" s="44">
        <v>12258</v>
      </c>
      <c r="H26" s="44">
        <v>809</v>
      </c>
      <c r="I26" s="44">
        <v>134</v>
      </c>
      <c r="J26" s="44">
        <v>84</v>
      </c>
      <c r="K26" s="45">
        <v>312</v>
      </c>
      <c r="L26" s="44">
        <v>662</v>
      </c>
      <c r="M26" s="43" t="s">
        <v>349</v>
      </c>
      <c r="N26" s="43" t="s">
        <v>350</v>
      </c>
      <c r="O26" s="43" t="s">
        <v>351</v>
      </c>
      <c r="P26" s="43" t="s">
        <v>352</v>
      </c>
      <c r="Q26" s="43" t="s">
        <v>353</v>
      </c>
      <c r="R26" s="43" t="s">
        <v>354</v>
      </c>
      <c r="S26" s="43" t="s">
        <v>355</v>
      </c>
      <c r="T26" s="43" t="s">
        <v>356</v>
      </c>
      <c r="U26" s="43" t="s">
        <v>357</v>
      </c>
    </row>
    <row r="27" spans="1:21">
      <c r="A27" s="43" t="s">
        <v>358</v>
      </c>
      <c r="B27" s="46">
        <v>46167</v>
      </c>
      <c r="C27" s="44">
        <v>17224</v>
      </c>
      <c r="D27" s="44">
        <v>16362</v>
      </c>
      <c r="E27" s="44">
        <v>15269</v>
      </c>
      <c r="F27" s="44">
        <v>1093</v>
      </c>
      <c r="G27" s="44">
        <v>13561</v>
      </c>
      <c r="H27" s="44">
        <v>756</v>
      </c>
      <c r="I27" s="44">
        <v>230</v>
      </c>
      <c r="J27" s="44">
        <v>128</v>
      </c>
      <c r="K27" s="45">
        <v>541</v>
      </c>
      <c r="L27" s="44">
        <v>635</v>
      </c>
      <c r="M27" s="43" t="s">
        <v>359</v>
      </c>
      <c r="N27" s="43" t="s">
        <v>360</v>
      </c>
      <c r="O27" s="43" t="s">
        <v>361</v>
      </c>
      <c r="P27" s="43" t="s">
        <v>362</v>
      </c>
      <c r="Q27" s="43" t="s">
        <v>320</v>
      </c>
      <c r="R27" s="43" t="s">
        <v>294</v>
      </c>
      <c r="S27" s="43" t="s">
        <v>363</v>
      </c>
      <c r="T27" s="43" t="s">
        <v>336</v>
      </c>
      <c r="U27" s="43" t="s">
        <v>364</v>
      </c>
    </row>
    <row r="28" spans="1:21">
      <c r="A28" s="43" t="s">
        <v>365</v>
      </c>
      <c r="B28" s="46">
        <v>46168</v>
      </c>
      <c r="C28" s="44">
        <v>16315</v>
      </c>
      <c r="D28" s="44">
        <v>16209</v>
      </c>
      <c r="E28" s="44">
        <v>15014</v>
      </c>
      <c r="F28" s="44">
        <v>1195</v>
      </c>
      <c r="G28" s="44">
        <v>12972</v>
      </c>
      <c r="H28" s="44">
        <v>638</v>
      </c>
      <c r="I28" s="44">
        <v>155</v>
      </c>
      <c r="J28" s="44">
        <v>210</v>
      </c>
      <c r="K28" s="45">
        <v>687</v>
      </c>
      <c r="L28" s="44">
        <v>451</v>
      </c>
      <c r="M28" s="43" t="s">
        <v>366</v>
      </c>
      <c r="N28" s="43" t="s">
        <v>367</v>
      </c>
      <c r="O28" s="43" t="s">
        <v>368</v>
      </c>
      <c r="P28" s="43" t="s">
        <v>369</v>
      </c>
      <c r="Q28" s="43" t="s">
        <v>248</v>
      </c>
      <c r="R28" s="43" t="s">
        <v>370</v>
      </c>
      <c r="S28" s="43" t="s">
        <v>371</v>
      </c>
      <c r="T28" s="43" t="s">
        <v>372</v>
      </c>
      <c r="U28" s="43" t="s">
        <v>373</v>
      </c>
    </row>
    <row r="29" spans="1:21">
      <c r="A29" s="43" t="s">
        <v>374</v>
      </c>
      <c r="B29" s="46">
        <v>46169</v>
      </c>
      <c r="C29" s="44">
        <v>15947</v>
      </c>
      <c r="D29" s="44">
        <v>15079</v>
      </c>
      <c r="E29" s="44">
        <v>13884</v>
      </c>
      <c r="F29" s="44">
        <v>1195</v>
      </c>
      <c r="G29" s="44">
        <v>13154</v>
      </c>
      <c r="H29" s="44">
        <v>629</v>
      </c>
      <c r="I29" s="44">
        <v>306</v>
      </c>
      <c r="J29" s="44">
        <v>172</v>
      </c>
      <c r="K29" s="45">
        <v>609</v>
      </c>
      <c r="L29" s="44">
        <v>413</v>
      </c>
      <c r="M29" s="43" t="s">
        <v>375</v>
      </c>
      <c r="N29" s="43" t="s">
        <v>376</v>
      </c>
      <c r="O29" s="43" t="s">
        <v>377</v>
      </c>
      <c r="P29" s="43" t="s">
        <v>378</v>
      </c>
      <c r="Q29" s="43" t="s">
        <v>379</v>
      </c>
      <c r="R29" s="43" t="s">
        <v>325</v>
      </c>
      <c r="S29" s="43" t="s">
        <v>380</v>
      </c>
      <c r="T29" s="43" t="s">
        <v>381</v>
      </c>
      <c r="U29" s="43" t="s">
        <v>382</v>
      </c>
    </row>
    <row r="30" spans="1:21">
      <c r="A30" s="43" t="s">
        <v>383</v>
      </c>
      <c r="B30" s="46">
        <v>46170</v>
      </c>
      <c r="C30" s="44">
        <v>16899</v>
      </c>
      <c r="D30" s="44">
        <v>16390</v>
      </c>
      <c r="E30" s="44">
        <v>15141</v>
      </c>
      <c r="F30" s="44">
        <v>1249</v>
      </c>
      <c r="G30" s="44">
        <v>14150</v>
      </c>
      <c r="H30" s="44">
        <v>747</v>
      </c>
      <c r="I30" s="44">
        <v>472</v>
      </c>
      <c r="J30" s="44">
        <v>334</v>
      </c>
      <c r="K30" s="45">
        <v>922</v>
      </c>
      <c r="L30" s="44">
        <v>377</v>
      </c>
      <c r="M30" s="43" t="s">
        <v>384</v>
      </c>
      <c r="N30" s="43" t="s">
        <v>385</v>
      </c>
      <c r="O30" s="43" t="s">
        <v>386</v>
      </c>
      <c r="P30" s="43" t="s">
        <v>387</v>
      </c>
      <c r="Q30" s="43" t="s">
        <v>388</v>
      </c>
      <c r="R30" s="43" t="s">
        <v>389</v>
      </c>
      <c r="S30" s="43" t="s">
        <v>214</v>
      </c>
      <c r="T30" s="43" t="s">
        <v>390</v>
      </c>
      <c r="U30" s="43" t="s">
        <v>391</v>
      </c>
    </row>
    <row r="31" spans="1:21">
      <c r="A31" s="43" t="s">
        <v>392</v>
      </c>
      <c r="B31" s="46">
        <v>46171</v>
      </c>
      <c r="C31" s="44">
        <v>16574</v>
      </c>
      <c r="D31" s="44">
        <v>16552</v>
      </c>
      <c r="E31" s="44">
        <v>15373</v>
      </c>
      <c r="F31" s="44">
        <v>1179</v>
      </c>
      <c r="G31" s="44">
        <v>14239</v>
      </c>
      <c r="H31" s="44">
        <v>773</v>
      </c>
      <c r="I31" s="44">
        <v>445</v>
      </c>
      <c r="J31" s="44">
        <v>480</v>
      </c>
      <c r="K31" s="45">
        <v>1414</v>
      </c>
      <c r="L31" s="44">
        <v>316</v>
      </c>
      <c r="M31" s="43" t="s">
        <v>393</v>
      </c>
      <c r="N31" s="43" t="s">
        <v>394</v>
      </c>
      <c r="O31" s="43" t="s">
        <v>395</v>
      </c>
      <c r="P31" s="43" t="s">
        <v>396</v>
      </c>
      <c r="Q31" s="43" t="s">
        <v>397</v>
      </c>
      <c r="R31" s="43" t="s">
        <v>398</v>
      </c>
      <c r="S31" s="43" t="s">
        <v>399</v>
      </c>
      <c r="T31" s="43" t="s">
        <v>400</v>
      </c>
      <c r="U31" s="43" t="s">
        <v>401</v>
      </c>
    </row>
    <row r="32" spans="1:21">
      <c r="A32" s="43" t="s">
        <v>402</v>
      </c>
      <c r="B32" s="46">
        <v>46172</v>
      </c>
      <c r="C32" s="44">
        <v>16742</v>
      </c>
      <c r="D32" s="44">
        <v>16540</v>
      </c>
      <c r="E32" s="44">
        <v>15235</v>
      </c>
      <c r="F32" s="44">
        <v>1305</v>
      </c>
      <c r="G32" s="44">
        <v>14501</v>
      </c>
      <c r="H32" s="44">
        <v>1753</v>
      </c>
      <c r="I32" s="44">
        <v>1094</v>
      </c>
      <c r="J32" s="44">
        <v>1154</v>
      </c>
      <c r="K32" s="45">
        <v>2734</v>
      </c>
      <c r="L32" s="44">
        <v>204</v>
      </c>
      <c r="M32" s="43" t="s">
        <v>403</v>
      </c>
      <c r="N32" s="43" t="s">
        <v>404</v>
      </c>
      <c r="O32" s="43" t="s">
        <v>405</v>
      </c>
      <c r="P32" s="43" t="s">
        <v>406</v>
      </c>
      <c r="Q32" s="43" t="s">
        <v>407</v>
      </c>
      <c r="R32" s="43" t="s">
        <v>408</v>
      </c>
      <c r="S32" s="43" t="s">
        <v>409</v>
      </c>
      <c r="T32" s="43" t="s">
        <v>410</v>
      </c>
      <c r="U32" s="43" t="s">
        <v>411</v>
      </c>
    </row>
    <row r="33" spans="1:21">
      <c r="A33" s="43" t="s">
        <v>412</v>
      </c>
      <c r="B33" s="46">
        <v>46173</v>
      </c>
      <c r="C33" s="44">
        <v>16950</v>
      </c>
      <c r="D33" s="44">
        <v>16458</v>
      </c>
      <c r="E33" s="44">
        <v>15205</v>
      </c>
      <c r="F33" s="44">
        <v>1253</v>
      </c>
      <c r="G33" s="44">
        <v>15225</v>
      </c>
      <c r="H33" s="44">
        <v>1490</v>
      </c>
      <c r="I33" s="44">
        <v>963</v>
      </c>
      <c r="J33" s="44">
        <v>1740</v>
      </c>
      <c r="K33" s="45">
        <v>4011</v>
      </c>
      <c r="L33" s="44">
        <v>185</v>
      </c>
      <c r="M33" s="43" t="s">
        <v>413</v>
      </c>
      <c r="N33" s="43" t="s">
        <v>414</v>
      </c>
      <c r="O33" s="43" t="s">
        <v>415</v>
      </c>
      <c r="P33" s="43" t="s">
        <v>416</v>
      </c>
      <c r="Q33" s="43" t="s">
        <v>417</v>
      </c>
      <c r="R33" s="43" t="s">
        <v>418</v>
      </c>
      <c r="S33" s="43" t="s">
        <v>419</v>
      </c>
      <c r="T33" s="43" t="s">
        <v>420</v>
      </c>
      <c r="U33" s="43" t="s">
        <v>421</v>
      </c>
    </row>
    <row r="34" spans="1:21">
      <c r="A34" s="43" t="s">
        <v>422</v>
      </c>
      <c r="B34" s="46">
        <v>46174</v>
      </c>
      <c r="C34" s="44">
        <v>16157</v>
      </c>
      <c r="D34" s="44">
        <v>16965</v>
      </c>
      <c r="E34" s="44">
        <v>15753</v>
      </c>
      <c r="F34" s="44">
        <v>1212</v>
      </c>
      <c r="G34" s="44">
        <v>15004</v>
      </c>
      <c r="H34" s="44">
        <v>374</v>
      </c>
      <c r="I34" s="44">
        <v>39</v>
      </c>
      <c r="J34" s="44">
        <v>5</v>
      </c>
      <c r="K34" s="45">
        <v>239</v>
      </c>
      <c r="L34" s="44">
        <v>98</v>
      </c>
      <c r="M34" s="43" t="s">
        <v>423</v>
      </c>
      <c r="N34" s="43" t="s">
        <v>424</v>
      </c>
      <c r="O34" s="43" t="s">
        <v>262</v>
      </c>
      <c r="P34" s="43" t="s">
        <v>363</v>
      </c>
      <c r="Q34" s="43" t="s">
        <v>425</v>
      </c>
      <c r="R34" s="43" t="s">
        <v>426</v>
      </c>
      <c r="S34" s="43" t="s">
        <v>427</v>
      </c>
      <c r="T34" s="43" t="s">
        <v>425</v>
      </c>
      <c r="U34" s="43" t="s">
        <v>428</v>
      </c>
    </row>
    <row r="35" spans="1:21">
      <c r="A35" s="43"/>
      <c r="B35" s="46"/>
      <c r="C35" s="44"/>
      <c r="D35" s="44"/>
      <c r="E35" s="44"/>
      <c r="F35" s="44"/>
      <c r="G35" s="44"/>
      <c r="H35" s="44"/>
      <c r="I35" s="44"/>
      <c r="J35" s="44"/>
      <c r="K35" s="45"/>
      <c r="L35" s="44"/>
      <c r="M35" s="43"/>
      <c r="N35" s="43"/>
      <c r="O35" s="43"/>
      <c r="P35" s="43"/>
      <c r="Q35" s="43"/>
      <c r="R35" s="43"/>
      <c r="S35" s="43"/>
      <c r="T35" s="43"/>
      <c r="U35" s="43"/>
    </row>
    <row r="36" spans="1:21">
      <c r="A36" s="43"/>
      <c r="B36" s="46"/>
      <c r="C36" s="44"/>
      <c r="D36" s="44"/>
      <c r="E36" s="44"/>
      <c r="F36" s="44"/>
      <c r="G36" s="44"/>
      <c r="H36" s="44"/>
      <c r="I36" s="44"/>
      <c r="J36" s="44"/>
      <c r="K36" s="45"/>
      <c r="L36" s="44"/>
      <c r="M36" s="43"/>
      <c r="N36" s="43"/>
      <c r="O36" s="43"/>
      <c r="P36" s="43"/>
      <c r="Q36" s="43"/>
      <c r="R36" s="43"/>
      <c r="S36" s="43"/>
      <c r="T36" s="43"/>
      <c r="U36" s="43"/>
    </row>
    <row r="37" spans="1:21">
      <c r="A37" s="43"/>
      <c r="B37" s="46"/>
      <c r="C37" s="44"/>
      <c r="D37" s="44"/>
      <c r="E37" s="44"/>
      <c r="F37" s="44"/>
      <c r="G37" s="44"/>
      <c r="H37" s="44"/>
      <c r="I37" s="44"/>
      <c r="J37" s="44"/>
      <c r="K37" s="45"/>
      <c r="L37" s="44"/>
      <c r="M37" s="43"/>
      <c r="N37" s="43"/>
      <c r="O37" s="43"/>
      <c r="P37" s="43"/>
      <c r="Q37" s="43"/>
      <c r="R37" s="43"/>
      <c r="S37" s="43"/>
      <c r="T37" s="43"/>
      <c r="U37" s="43"/>
    </row>
    <row r="38" spans="1:21">
      <c r="A38" s="43"/>
      <c r="B38" s="46"/>
      <c r="C38" s="44"/>
      <c r="D38" s="44"/>
      <c r="E38" s="44"/>
      <c r="F38" s="44"/>
      <c r="G38" s="44"/>
      <c r="H38" s="44"/>
      <c r="I38" s="44"/>
      <c r="J38" s="44"/>
      <c r="K38" s="45"/>
      <c r="L38" s="44"/>
      <c r="M38" s="43"/>
      <c r="N38" s="43"/>
      <c r="O38" s="43"/>
      <c r="P38" s="43"/>
      <c r="Q38" s="43"/>
      <c r="R38" s="43"/>
      <c r="S38" s="43"/>
      <c r="T38" s="43"/>
      <c r="U38" s="43"/>
    </row>
    <row r="39" spans="1:21">
      <c r="A39" s="43"/>
      <c r="B39" s="46"/>
      <c r="C39" s="44"/>
      <c r="D39" s="44"/>
      <c r="E39" s="44"/>
      <c r="F39" s="44"/>
      <c r="G39" s="44"/>
      <c r="H39" s="44"/>
      <c r="I39" s="44"/>
      <c r="J39" s="44"/>
      <c r="K39" s="45"/>
      <c r="L39" s="44"/>
      <c r="M39" s="43"/>
      <c r="N39" s="43"/>
      <c r="O39" s="43"/>
      <c r="P39" s="43"/>
      <c r="Q39" s="43"/>
      <c r="R39" s="43"/>
      <c r="S39" s="43"/>
      <c r="T39" s="43"/>
      <c r="U39" s="43"/>
    </row>
    <row r="40" spans="1:21">
      <c r="A40" s="43"/>
      <c r="B40" s="46"/>
      <c r="C40" s="44"/>
      <c r="D40" s="44"/>
      <c r="E40" s="44"/>
      <c r="F40" s="44"/>
      <c r="G40" s="44"/>
      <c r="H40" s="44"/>
      <c r="I40" s="44"/>
      <c r="J40" s="44"/>
      <c r="K40" s="45"/>
      <c r="L40" s="44"/>
      <c r="M40" s="43"/>
      <c r="N40" s="43"/>
      <c r="O40" s="43"/>
      <c r="P40" s="43"/>
      <c r="Q40" s="43"/>
      <c r="R40" s="43"/>
      <c r="S40" s="43"/>
      <c r="T40" s="43"/>
      <c r="U40" s="43"/>
    </row>
    <row r="41" spans="1:21">
      <c r="A41" s="43"/>
      <c r="B41" s="46"/>
      <c r="C41" s="44"/>
      <c r="D41" s="44"/>
      <c r="E41" s="44"/>
      <c r="F41" s="44"/>
      <c r="G41" s="44"/>
      <c r="H41" s="44"/>
      <c r="I41" s="44"/>
      <c r="J41" s="44"/>
      <c r="K41" s="45"/>
      <c r="L41" s="44"/>
      <c r="M41" s="43"/>
      <c r="N41" s="43"/>
      <c r="O41" s="43"/>
      <c r="P41" s="43"/>
      <c r="Q41" s="43"/>
      <c r="R41" s="43"/>
      <c r="S41" s="43"/>
      <c r="T41" s="43"/>
      <c r="U41" s="43"/>
    </row>
    <row r="42" spans="1:21">
      <c r="A42" s="43"/>
      <c r="B42" s="46"/>
      <c r="C42" s="44"/>
      <c r="D42" s="44"/>
      <c r="E42" s="44"/>
      <c r="F42" s="44"/>
      <c r="G42" s="44"/>
      <c r="H42" s="44"/>
      <c r="I42" s="44"/>
      <c r="J42" s="44"/>
      <c r="K42" s="45"/>
      <c r="L42" s="44"/>
      <c r="M42" s="43"/>
      <c r="N42" s="43"/>
      <c r="O42" s="43"/>
      <c r="P42" s="43"/>
      <c r="Q42" s="43"/>
      <c r="R42" s="43"/>
      <c r="S42" s="43"/>
      <c r="T42" s="43"/>
      <c r="U42" s="43"/>
    </row>
    <row r="43" spans="1:21">
      <c r="A43" s="43"/>
      <c r="B43" s="46"/>
      <c r="C43" s="44"/>
      <c r="D43" s="44"/>
      <c r="E43" s="44"/>
      <c r="F43" s="44"/>
      <c r="G43" s="44"/>
      <c r="H43" s="44"/>
      <c r="I43" s="44"/>
      <c r="J43" s="44"/>
      <c r="K43" s="45"/>
      <c r="L43" s="44"/>
      <c r="M43" s="43"/>
      <c r="N43" s="43"/>
      <c r="O43" s="43"/>
      <c r="P43" s="43"/>
      <c r="Q43" s="43"/>
      <c r="R43" s="43"/>
      <c r="S43" s="43"/>
      <c r="T43" s="43"/>
      <c r="U43" s="43"/>
    </row>
    <row r="44" spans="1:21">
      <c r="A44" s="43"/>
      <c r="B44" s="46"/>
      <c r="C44" s="44"/>
      <c r="D44" s="44"/>
      <c r="E44" s="44"/>
      <c r="F44" s="44"/>
      <c r="G44" s="44"/>
      <c r="H44" s="44"/>
      <c r="I44" s="44"/>
      <c r="J44" s="44"/>
      <c r="K44" s="45"/>
      <c r="L44" s="44"/>
      <c r="M44" s="43"/>
      <c r="N44" s="43"/>
      <c r="O44" s="43"/>
      <c r="P44" s="43"/>
      <c r="Q44" s="43"/>
      <c r="R44" s="43"/>
      <c r="S44" s="43"/>
      <c r="T44" s="43"/>
      <c r="U44" s="43"/>
    </row>
    <row r="45" spans="1:21">
      <c r="A45" s="43"/>
      <c r="B45" s="46"/>
      <c r="C45" s="44"/>
      <c r="D45" s="44"/>
      <c r="E45" s="44"/>
      <c r="F45" s="44"/>
      <c r="G45" s="44"/>
      <c r="H45" s="44"/>
      <c r="I45" s="44"/>
      <c r="J45" s="44"/>
      <c r="K45" s="45"/>
      <c r="L45" s="44"/>
      <c r="M45" s="43"/>
      <c r="N45" s="43"/>
      <c r="O45" s="43"/>
      <c r="P45" s="43"/>
      <c r="Q45" s="43"/>
      <c r="R45" s="43"/>
      <c r="S45" s="43"/>
      <c r="T45" s="43"/>
      <c r="U45" s="43"/>
    </row>
    <row r="46" spans="1:21">
      <c r="A46" s="43"/>
      <c r="B46" s="46"/>
      <c r="C46" s="44"/>
      <c r="D46" s="44"/>
      <c r="E46" s="44"/>
      <c r="F46" s="44"/>
      <c r="G46" s="44"/>
      <c r="H46" s="44"/>
      <c r="I46" s="44"/>
      <c r="J46" s="44"/>
      <c r="K46" s="45"/>
      <c r="L46" s="44"/>
      <c r="M46" s="43"/>
      <c r="N46" s="43"/>
      <c r="O46" s="43"/>
      <c r="P46" s="43"/>
      <c r="Q46" s="43"/>
      <c r="R46" s="43"/>
      <c r="S46" s="43"/>
      <c r="T46" s="43"/>
      <c r="U46" s="43"/>
    </row>
    <row r="47" spans="1:21">
      <c r="A47" s="43"/>
      <c r="B47" s="46"/>
      <c r="C47" s="44"/>
      <c r="D47" s="44"/>
      <c r="E47" s="44"/>
      <c r="F47" s="44"/>
      <c r="G47" s="44"/>
      <c r="H47" s="44"/>
      <c r="I47" s="44"/>
      <c r="J47" s="44"/>
      <c r="K47" s="45"/>
      <c r="L47" s="44"/>
      <c r="M47" s="43"/>
      <c r="N47" s="43"/>
      <c r="O47" s="43"/>
      <c r="P47" s="43"/>
      <c r="Q47" s="43"/>
      <c r="R47" s="43"/>
      <c r="S47" s="43"/>
      <c r="T47" s="43"/>
      <c r="U47" s="43"/>
    </row>
    <row r="48" spans="1:21">
      <c r="A48" s="43"/>
      <c r="B48" s="46"/>
      <c r="C48" s="44"/>
      <c r="D48" s="44"/>
      <c r="E48" s="44"/>
      <c r="F48" s="44"/>
      <c r="G48" s="44"/>
      <c r="H48" s="44"/>
      <c r="I48" s="44"/>
      <c r="J48" s="44"/>
      <c r="K48" s="45"/>
      <c r="L48" s="44"/>
      <c r="M48" s="43"/>
      <c r="N48" s="43"/>
      <c r="O48" s="43"/>
      <c r="P48" s="43"/>
      <c r="Q48" s="43"/>
      <c r="R48" s="43"/>
      <c r="S48" s="43"/>
      <c r="T48" s="43"/>
      <c r="U48" s="43"/>
    </row>
    <row r="49" spans="1:21">
      <c r="A49" s="43"/>
      <c r="B49" s="46"/>
      <c r="C49" s="44"/>
      <c r="D49" s="44"/>
      <c r="E49" s="44"/>
      <c r="F49" s="44"/>
      <c r="G49" s="44"/>
      <c r="H49" s="44"/>
      <c r="I49" s="44"/>
      <c r="J49" s="44"/>
      <c r="K49" s="45"/>
      <c r="L49" s="44"/>
      <c r="M49" s="43"/>
      <c r="N49" s="43"/>
      <c r="O49" s="43"/>
      <c r="P49" s="43"/>
      <c r="Q49" s="43"/>
      <c r="R49" s="43"/>
      <c r="S49" s="43"/>
      <c r="T49" s="43"/>
      <c r="U49" s="43"/>
    </row>
    <row r="50" spans="1:21">
      <c r="A50" s="43"/>
      <c r="B50" s="46"/>
      <c r="C50" s="44"/>
      <c r="D50" s="44"/>
      <c r="E50" s="44"/>
      <c r="F50" s="44"/>
      <c r="G50" s="44"/>
      <c r="H50" s="44"/>
      <c r="I50" s="44"/>
      <c r="J50" s="44"/>
      <c r="K50" s="45"/>
      <c r="L50" s="44"/>
      <c r="M50" s="43"/>
      <c r="N50" s="43"/>
      <c r="O50" s="43"/>
      <c r="P50" s="43"/>
      <c r="Q50" s="43"/>
      <c r="R50" s="43"/>
      <c r="S50" s="43"/>
      <c r="T50" s="43"/>
      <c r="U50" s="43"/>
    </row>
    <row r="51" spans="1:21">
      <c r="A51" s="43"/>
      <c r="B51" s="46"/>
      <c r="C51" s="44"/>
      <c r="D51" s="44"/>
      <c r="E51" s="44"/>
      <c r="F51" s="44"/>
      <c r="G51" s="44"/>
      <c r="H51" s="44"/>
      <c r="I51" s="44"/>
      <c r="J51" s="44"/>
      <c r="K51" s="45"/>
      <c r="L51" s="44"/>
      <c r="M51" s="43"/>
      <c r="N51" s="43"/>
      <c r="O51" s="43"/>
      <c r="P51" s="43"/>
      <c r="Q51" s="43"/>
      <c r="R51" s="43"/>
      <c r="S51" s="43"/>
      <c r="T51" s="43"/>
      <c r="U51" s="43"/>
    </row>
    <row r="52" spans="1:21">
      <c r="A52" s="43"/>
      <c r="B52" s="46"/>
      <c r="C52" s="44"/>
      <c r="D52" s="44"/>
      <c r="E52" s="44"/>
      <c r="F52" s="44"/>
      <c r="G52" s="44"/>
      <c r="H52" s="44"/>
      <c r="I52" s="44"/>
      <c r="J52" s="44"/>
      <c r="K52" s="45"/>
      <c r="L52" s="44"/>
      <c r="M52" s="43"/>
      <c r="N52" s="43"/>
      <c r="O52" s="43"/>
      <c r="P52" s="43"/>
      <c r="Q52" s="43"/>
      <c r="R52" s="43"/>
      <c r="S52" s="43"/>
      <c r="T52" s="43"/>
      <c r="U52" s="43"/>
    </row>
    <row r="53" spans="1:21">
      <c r="A53" s="43"/>
      <c r="B53" s="46"/>
      <c r="C53" s="44"/>
      <c r="D53" s="44"/>
      <c r="E53" s="44"/>
      <c r="F53" s="44"/>
      <c r="G53" s="44"/>
      <c r="H53" s="44"/>
      <c r="I53" s="44"/>
      <c r="J53" s="44"/>
      <c r="K53" s="45"/>
      <c r="L53" s="44"/>
      <c r="M53" s="43"/>
      <c r="N53" s="43"/>
      <c r="O53" s="43"/>
      <c r="P53" s="43"/>
      <c r="Q53" s="43"/>
      <c r="R53" s="43"/>
      <c r="S53" s="43"/>
      <c r="T53" s="43"/>
      <c r="U53" s="43"/>
    </row>
    <row r="54" spans="1:21">
      <c r="A54" s="43"/>
      <c r="B54" s="46"/>
      <c r="C54" s="44"/>
      <c r="D54" s="44"/>
      <c r="E54" s="44"/>
      <c r="F54" s="44"/>
      <c r="G54" s="44"/>
      <c r="H54" s="44"/>
      <c r="I54" s="44"/>
      <c r="J54" s="44"/>
      <c r="K54" s="45"/>
      <c r="L54" s="44"/>
      <c r="M54" s="43"/>
      <c r="N54" s="43"/>
      <c r="O54" s="43"/>
      <c r="P54" s="43"/>
      <c r="Q54" s="43"/>
      <c r="R54" s="43"/>
      <c r="S54" s="43"/>
      <c r="T54" s="43"/>
      <c r="U54" s="43"/>
    </row>
    <row r="55" spans="1:21">
      <c r="A55" s="43"/>
      <c r="B55" s="46"/>
      <c r="C55" s="44"/>
      <c r="D55" s="44"/>
      <c r="E55" s="44"/>
      <c r="F55" s="44"/>
      <c r="G55" s="44"/>
      <c r="H55" s="44"/>
      <c r="I55" s="44"/>
      <c r="J55" s="44"/>
      <c r="K55" s="45"/>
      <c r="L55" s="44"/>
      <c r="M55" s="43"/>
      <c r="N55" s="43"/>
      <c r="O55" s="43"/>
      <c r="P55" s="43"/>
      <c r="Q55" s="43"/>
      <c r="R55" s="43"/>
      <c r="S55" s="43"/>
      <c r="T55" s="43"/>
      <c r="U55" s="43"/>
    </row>
    <row r="56" spans="1:21">
      <c r="A56" s="43"/>
      <c r="B56" s="46"/>
      <c r="C56" s="44"/>
      <c r="D56" s="44"/>
      <c r="E56" s="44"/>
      <c r="F56" s="44"/>
      <c r="G56" s="44"/>
      <c r="H56" s="44"/>
      <c r="I56" s="44"/>
      <c r="J56" s="44"/>
      <c r="K56" s="45"/>
      <c r="L56" s="44"/>
      <c r="M56" s="43"/>
      <c r="N56" s="43"/>
      <c r="O56" s="43"/>
      <c r="P56" s="43"/>
      <c r="Q56" s="43"/>
      <c r="R56" s="43"/>
      <c r="S56" s="43"/>
      <c r="T56" s="43"/>
      <c r="U56" s="43"/>
    </row>
    <row r="57" spans="1:21">
      <c r="A57" s="43"/>
      <c r="B57" s="46"/>
      <c r="C57" s="44"/>
      <c r="D57" s="44"/>
      <c r="E57" s="44"/>
      <c r="F57" s="44"/>
      <c r="G57" s="44"/>
      <c r="H57" s="44"/>
      <c r="I57" s="44"/>
      <c r="J57" s="44"/>
      <c r="K57" s="45"/>
      <c r="L57" s="44"/>
      <c r="M57" s="43"/>
      <c r="N57" s="43"/>
      <c r="O57" s="43"/>
      <c r="P57" s="43"/>
      <c r="Q57" s="43"/>
      <c r="R57" s="43"/>
      <c r="S57" s="43"/>
      <c r="T57" s="43"/>
      <c r="U57" s="43"/>
    </row>
    <row r="58" spans="1:21">
      <c r="A58" s="43"/>
      <c r="B58" s="46"/>
      <c r="C58" s="44"/>
      <c r="D58" s="44"/>
      <c r="E58" s="44"/>
      <c r="F58" s="44"/>
      <c r="G58" s="44"/>
      <c r="H58" s="44"/>
      <c r="I58" s="44"/>
      <c r="J58" s="44"/>
      <c r="K58" s="45"/>
      <c r="L58" s="44"/>
      <c r="M58" s="43"/>
      <c r="N58" s="43"/>
      <c r="O58" s="43"/>
      <c r="P58" s="43"/>
      <c r="Q58" s="43"/>
      <c r="R58" s="43"/>
      <c r="S58" s="43"/>
      <c r="T58" s="43"/>
      <c r="U58" s="43"/>
    </row>
    <row r="59" spans="1:21">
      <c r="A59" s="43"/>
      <c r="B59" s="46"/>
      <c r="C59" s="44"/>
      <c r="D59" s="44"/>
      <c r="E59" s="44"/>
      <c r="F59" s="44"/>
      <c r="G59" s="44"/>
      <c r="H59" s="44"/>
      <c r="I59" s="44"/>
      <c r="J59" s="44"/>
      <c r="K59" s="45"/>
      <c r="L59" s="44"/>
      <c r="M59" s="43"/>
      <c r="N59" s="43"/>
      <c r="O59" s="43"/>
      <c r="P59" s="43"/>
      <c r="Q59" s="43"/>
      <c r="R59" s="43"/>
      <c r="S59" s="43"/>
      <c r="T59" s="43"/>
      <c r="U59" s="43"/>
    </row>
    <row r="60" spans="1:21">
      <c r="A60" s="43"/>
      <c r="B60" s="46"/>
      <c r="C60" s="44"/>
      <c r="D60" s="44"/>
      <c r="E60" s="44"/>
      <c r="F60" s="44"/>
      <c r="G60" s="44"/>
      <c r="H60" s="44"/>
      <c r="I60" s="44"/>
      <c r="J60" s="44"/>
      <c r="K60" s="45"/>
      <c r="L60" s="44"/>
      <c r="M60" s="43"/>
      <c r="N60" s="43"/>
      <c r="O60" s="43"/>
      <c r="P60" s="43"/>
      <c r="Q60" s="43"/>
      <c r="R60" s="43"/>
      <c r="S60" s="43"/>
      <c r="T60" s="43"/>
      <c r="U60" s="43"/>
    </row>
    <row r="61" spans="1:21">
      <c r="A61" s="43"/>
      <c r="B61" s="46"/>
      <c r="C61" s="44"/>
      <c r="D61" s="44"/>
      <c r="E61" s="44"/>
      <c r="F61" s="44"/>
      <c r="G61" s="44"/>
      <c r="H61" s="44"/>
      <c r="I61" s="44"/>
      <c r="J61" s="44"/>
      <c r="K61" s="45"/>
      <c r="L61" s="44"/>
      <c r="M61" s="43"/>
      <c r="N61" s="43"/>
      <c r="O61" s="43"/>
      <c r="P61" s="43"/>
      <c r="Q61" s="43"/>
      <c r="R61" s="43"/>
      <c r="S61" s="43"/>
      <c r="T61" s="43"/>
      <c r="U61" s="43"/>
    </row>
    <row r="62" spans="1:21">
      <c r="A62" s="43"/>
      <c r="B62" s="46"/>
      <c r="C62" s="44"/>
      <c r="D62" s="44"/>
      <c r="E62" s="44"/>
      <c r="F62" s="44"/>
      <c r="G62" s="44"/>
      <c r="H62" s="44"/>
      <c r="I62" s="44"/>
      <c r="J62" s="44"/>
      <c r="K62" s="45"/>
      <c r="L62" s="44"/>
      <c r="M62" s="43"/>
      <c r="N62" s="43"/>
      <c r="O62" s="43"/>
      <c r="P62" s="43"/>
      <c r="Q62" s="43"/>
      <c r="R62" s="43"/>
      <c r="S62" s="43"/>
      <c r="T62" s="43"/>
      <c r="U62" s="43"/>
    </row>
    <row r="63" spans="1:21">
      <c r="A63" s="43"/>
      <c r="B63" s="46"/>
      <c r="C63" s="44"/>
      <c r="D63" s="44"/>
      <c r="E63" s="44"/>
      <c r="F63" s="44"/>
      <c r="G63" s="44"/>
      <c r="H63" s="44"/>
      <c r="I63" s="44"/>
      <c r="J63" s="44"/>
      <c r="K63" s="45"/>
      <c r="L63" s="44"/>
      <c r="M63" s="43"/>
      <c r="N63" s="43"/>
      <c r="O63" s="43"/>
      <c r="P63" s="43"/>
      <c r="Q63" s="43"/>
      <c r="R63" s="43"/>
      <c r="S63" s="43"/>
      <c r="T63" s="43"/>
      <c r="U63" s="43"/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2" t="s">
        <v>45</v>
      </c>
      <c r="B1" s="42" t="s">
        <v>112</v>
      </c>
      <c r="C1" s="42" t="s">
        <v>113</v>
      </c>
      <c r="D1" s="42" t="s">
        <v>114</v>
      </c>
      <c r="E1" s="42" t="s">
        <v>115</v>
      </c>
      <c r="F1" s="42" t="s">
        <v>116</v>
      </c>
      <c r="G1" s="42" t="s">
        <v>57</v>
      </c>
      <c r="H1" s="42" t="s">
        <v>117</v>
      </c>
      <c r="I1" s="42" t="s">
        <v>118</v>
      </c>
      <c r="J1" s="42" t="s">
        <v>119</v>
      </c>
      <c r="K1" s="42" t="s">
        <v>120</v>
      </c>
      <c r="L1" s="42" t="s">
        <v>74</v>
      </c>
      <c r="M1" s="42" t="s">
        <v>121</v>
      </c>
      <c r="N1" s="42" t="s">
        <v>122</v>
      </c>
      <c r="O1" s="42" t="s">
        <v>123</v>
      </c>
      <c r="P1" s="42" t="s">
        <v>124</v>
      </c>
      <c r="Q1" s="42" t="s">
        <v>125</v>
      </c>
      <c r="R1" s="42" t="s">
        <v>126</v>
      </c>
      <c r="S1" s="42" t="s">
        <v>127</v>
      </c>
      <c r="T1" s="42" t="s">
        <v>128</v>
      </c>
      <c r="U1" s="42" t="s">
        <v>129</v>
      </c>
    </row>
    <row r="2" spans="1:21">
      <c r="A2" s="43" t="s">
        <v>130</v>
      </c>
      <c r="B2" s="43" t="s">
        <v>22</v>
      </c>
      <c r="C2" s="44">
        <v>47206</v>
      </c>
      <c r="D2" s="44">
        <v>47709</v>
      </c>
      <c r="E2" s="44">
        <v>42602</v>
      </c>
      <c r="F2" s="44">
        <v>5107</v>
      </c>
      <c r="G2" s="44">
        <v>33778</v>
      </c>
      <c r="H2" s="44">
        <v>1443</v>
      </c>
      <c r="I2" s="44">
        <v>629</v>
      </c>
      <c r="J2" s="44">
        <v>487</v>
      </c>
      <c r="K2" s="45">
        <v>25986</v>
      </c>
      <c r="L2" s="44">
        <v>3031</v>
      </c>
      <c r="M2" s="43" t="s">
        <v>429</v>
      </c>
      <c r="N2" s="43" t="s">
        <v>430</v>
      </c>
      <c r="O2" s="43" t="s">
        <v>431</v>
      </c>
      <c r="P2" s="43" t="s">
        <v>432</v>
      </c>
      <c r="Q2" s="43" t="s">
        <v>433</v>
      </c>
      <c r="R2" s="43" t="s">
        <v>332</v>
      </c>
      <c r="S2" s="43" t="s">
        <v>434</v>
      </c>
      <c r="T2" s="43" t="s">
        <v>435</v>
      </c>
      <c r="U2" s="43" t="s">
        <v>436</v>
      </c>
    </row>
    <row r="3" spans="1:21">
      <c r="A3" s="43" t="s">
        <v>140</v>
      </c>
      <c r="B3" s="46">
        <v>46143</v>
      </c>
      <c r="C3" s="44">
        <v>2562</v>
      </c>
      <c r="D3" s="44">
        <v>1892</v>
      </c>
      <c r="E3" s="44">
        <v>1735</v>
      </c>
      <c r="F3" s="44">
        <v>157</v>
      </c>
      <c r="G3" s="44">
        <v>1591</v>
      </c>
      <c r="H3" s="44">
        <v>80</v>
      </c>
      <c r="I3" s="44">
        <v>15</v>
      </c>
      <c r="J3" s="44">
        <v>0</v>
      </c>
      <c r="K3" s="45">
        <v>308</v>
      </c>
      <c r="L3" s="44">
        <v>254</v>
      </c>
      <c r="M3" s="43" t="s">
        <v>396</v>
      </c>
      <c r="N3" s="43" t="s">
        <v>313</v>
      </c>
      <c r="O3" s="43" t="s">
        <v>320</v>
      </c>
      <c r="P3" s="43" t="s">
        <v>437</v>
      </c>
      <c r="Q3" s="43" t="s">
        <v>437</v>
      </c>
      <c r="R3" s="43" t="s">
        <v>239</v>
      </c>
      <c r="S3" s="43" t="s">
        <v>279</v>
      </c>
      <c r="T3" s="43" t="s">
        <v>437</v>
      </c>
      <c r="U3" s="43" t="s">
        <v>437</v>
      </c>
    </row>
    <row r="4" spans="1:21">
      <c r="A4" s="43" t="s">
        <v>150</v>
      </c>
      <c r="B4" s="46">
        <v>46144</v>
      </c>
      <c r="C4" s="44">
        <v>2692</v>
      </c>
      <c r="D4" s="44">
        <v>2665</v>
      </c>
      <c r="E4" s="44">
        <v>2499</v>
      </c>
      <c r="F4" s="44">
        <v>166</v>
      </c>
      <c r="G4" s="44">
        <v>1729</v>
      </c>
      <c r="H4" s="44">
        <v>86</v>
      </c>
      <c r="I4" s="44">
        <v>15</v>
      </c>
      <c r="J4" s="44">
        <v>6</v>
      </c>
      <c r="K4" s="45">
        <v>368</v>
      </c>
      <c r="L4" s="44">
        <v>293</v>
      </c>
      <c r="M4" s="43" t="s">
        <v>438</v>
      </c>
      <c r="N4" s="43" t="s">
        <v>439</v>
      </c>
      <c r="O4" s="43" t="s">
        <v>303</v>
      </c>
      <c r="P4" s="43" t="s">
        <v>440</v>
      </c>
      <c r="Q4" s="43" t="s">
        <v>441</v>
      </c>
      <c r="R4" s="43" t="s">
        <v>442</v>
      </c>
      <c r="S4" s="43" t="s">
        <v>443</v>
      </c>
      <c r="T4" s="43" t="s">
        <v>304</v>
      </c>
      <c r="U4" s="43" t="s">
        <v>444</v>
      </c>
    </row>
    <row r="5" spans="1:21">
      <c r="A5" s="43" t="s">
        <v>160</v>
      </c>
      <c r="B5" s="46">
        <v>46145</v>
      </c>
      <c r="C5" s="44">
        <v>2591</v>
      </c>
      <c r="D5" s="44">
        <v>2679</v>
      </c>
      <c r="E5" s="44">
        <v>2502</v>
      </c>
      <c r="F5" s="44">
        <v>177</v>
      </c>
      <c r="G5" s="44">
        <v>1515</v>
      </c>
      <c r="H5" s="44">
        <v>108</v>
      </c>
      <c r="I5" s="44">
        <v>61</v>
      </c>
      <c r="J5" s="44">
        <v>3</v>
      </c>
      <c r="K5" s="45">
        <v>321</v>
      </c>
      <c r="L5" s="44">
        <v>274</v>
      </c>
      <c r="M5" s="43" t="s">
        <v>445</v>
      </c>
      <c r="N5" s="43" t="s">
        <v>446</v>
      </c>
      <c r="O5" s="43" t="s">
        <v>447</v>
      </c>
      <c r="P5" s="43" t="s">
        <v>448</v>
      </c>
      <c r="Q5" s="43" t="s">
        <v>215</v>
      </c>
      <c r="R5" s="43" t="s">
        <v>249</v>
      </c>
      <c r="S5" s="43" t="s">
        <v>137</v>
      </c>
      <c r="T5" s="43" t="s">
        <v>253</v>
      </c>
      <c r="U5" s="43" t="s">
        <v>449</v>
      </c>
    </row>
    <row r="6" spans="1:21">
      <c r="A6" s="43" t="s">
        <v>169</v>
      </c>
      <c r="B6" s="46">
        <v>46146</v>
      </c>
      <c r="C6" s="44">
        <v>2510</v>
      </c>
      <c r="D6" s="44">
        <v>2306</v>
      </c>
      <c r="E6" s="44">
        <v>2147</v>
      </c>
      <c r="F6" s="44">
        <v>159</v>
      </c>
      <c r="G6" s="44">
        <v>1613</v>
      </c>
      <c r="H6" s="44">
        <v>103</v>
      </c>
      <c r="I6" s="44">
        <v>57</v>
      </c>
      <c r="J6" s="44">
        <v>4</v>
      </c>
      <c r="K6" s="45">
        <v>405</v>
      </c>
      <c r="L6" s="44">
        <v>438</v>
      </c>
      <c r="M6" s="43" t="s">
        <v>450</v>
      </c>
      <c r="N6" s="43" t="s">
        <v>451</v>
      </c>
      <c r="O6" s="43" t="s">
        <v>452</v>
      </c>
      <c r="P6" s="43" t="s">
        <v>453</v>
      </c>
      <c r="Q6" s="43" t="s">
        <v>148</v>
      </c>
      <c r="R6" s="43" t="s">
        <v>454</v>
      </c>
      <c r="S6" s="43" t="s">
        <v>455</v>
      </c>
      <c r="T6" s="43" t="s">
        <v>456</v>
      </c>
      <c r="U6" s="43" t="s">
        <v>457</v>
      </c>
    </row>
    <row r="7" spans="1:21">
      <c r="A7" s="43" t="s">
        <v>179</v>
      </c>
      <c r="B7" s="46">
        <v>46147</v>
      </c>
      <c r="C7" s="44">
        <v>2590</v>
      </c>
      <c r="D7" s="44">
        <v>2639</v>
      </c>
      <c r="E7" s="44">
        <v>2492</v>
      </c>
      <c r="F7" s="44">
        <v>147</v>
      </c>
      <c r="G7" s="44">
        <v>1481</v>
      </c>
      <c r="H7" s="44">
        <v>77</v>
      </c>
      <c r="I7" s="44">
        <v>37</v>
      </c>
      <c r="J7" s="44">
        <v>35</v>
      </c>
      <c r="K7" s="45">
        <v>739</v>
      </c>
      <c r="L7" s="44">
        <v>220</v>
      </c>
      <c r="M7" s="43" t="s">
        <v>458</v>
      </c>
      <c r="N7" s="43" t="s">
        <v>459</v>
      </c>
      <c r="O7" s="43" t="s">
        <v>460</v>
      </c>
      <c r="P7" s="43" t="s">
        <v>461</v>
      </c>
      <c r="Q7" s="43" t="s">
        <v>388</v>
      </c>
      <c r="R7" s="43" t="s">
        <v>462</v>
      </c>
      <c r="S7" s="43" t="s">
        <v>463</v>
      </c>
      <c r="T7" s="43" t="s">
        <v>464</v>
      </c>
      <c r="U7" s="43" t="s">
        <v>144</v>
      </c>
    </row>
    <row r="8" spans="1:21">
      <c r="A8" s="43" t="s">
        <v>188</v>
      </c>
      <c r="B8" s="46">
        <v>46148</v>
      </c>
      <c r="C8" s="44">
        <v>1747</v>
      </c>
      <c r="D8" s="44">
        <v>2652</v>
      </c>
      <c r="E8" s="44">
        <v>2441</v>
      </c>
      <c r="F8" s="44">
        <v>211</v>
      </c>
      <c r="G8" s="44">
        <v>1159</v>
      </c>
      <c r="H8" s="44">
        <v>93</v>
      </c>
      <c r="I8" s="44">
        <v>85</v>
      </c>
      <c r="J8" s="44">
        <v>40</v>
      </c>
      <c r="K8" s="45">
        <v>1548</v>
      </c>
      <c r="L8" s="44">
        <v>121</v>
      </c>
      <c r="M8" s="43" t="s">
        <v>465</v>
      </c>
      <c r="N8" s="43" t="s">
        <v>173</v>
      </c>
      <c r="O8" s="43" t="s">
        <v>466</v>
      </c>
      <c r="P8" s="43" t="s">
        <v>467</v>
      </c>
      <c r="Q8" s="43" t="s">
        <v>468</v>
      </c>
      <c r="R8" s="43" t="s">
        <v>146</v>
      </c>
      <c r="S8" s="43" t="s">
        <v>469</v>
      </c>
      <c r="T8" s="43" t="s">
        <v>335</v>
      </c>
      <c r="U8" s="43" t="s">
        <v>470</v>
      </c>
    </row>
    <row r="9" spans="1:21">
      <c r="A9" s="43" t="s">
        <v>198</v>
      </c>
      <c r="B9" s="46">
        <v>46149</v>
      </c>
      <c r="C9" s="44">
        <v>1695</v>
      </c>
      <c r="D9" s="44">
        <v>1857</v>
      </c>
      <c r="E9" s="44">
        <v>1614</v>
      </c>
      <c r="F9" s="44">
        <v>243</v>
      </c>
      <c r="G9" s="44">
        <v>1226</v>
      </c>
      <c r="H9" s="44">
        <v>46</v>
      </c>
      <c r="I9" s="44">
        <v>43</v>
      </c>
      <c r="J9" s="44">
        <v>133</v>
      </c>
      <c r="K9" s="45">
        <v>4862</v>
      </c>
      <c r="L9" s="44">
        <v>109</v>
      </c>
      <c r="M9" s="43" t="s">
        <v>471</v>
      </c>
      <c r="N9" s="43" t="s">
        <v>316</v>
      </c>
      <c r="O9" s="43" t="s">
        <v>472</v>
      </c>
      <c r="P9" s="43" t="s">
        <v>473</v>
      </c>
      <c r="Q9" s="43" t="s">
        <v>474</v>
      </c>
      <c r="R9" s="43" t="s">
        <v>475</v>
      </c>
      <c r="S9" s="43" t="s">
        <v>476</v>
      </c>
      <c r="T9" s="43" t="s">
        <v>477</v>
      </c>
      <c r="U9" s="43" t="s">
        <v>478</v>
      </c>
    </row>
    <row r="10" spans="1:21">
      <c r="A10" s="43" t="s">
        <v>208</v>
      </c>
      <c r="B10" s="46">
        <v>46150</v>
      </c>
      <c r="C10" s="44">
        <v>1741</v>
      </c>
      <c r="D10" s="44">
        <v>1747</v>
      </c>
      <c r="E10" s="44">
        <v>1510</v>
      </c>
      <c r="F10" s="44">
        <v>237</v>
      </c>
      <c r="G10" s="44">
        <v>1199</v>
      </c>
      <c r="H10" s="44">
        <v>27</v>
      </c>
      <c r="I10" s="44">
        <v>5</v>
      </c>
      <c r="J10" s="44">
        <v>1</v>
      </c>
      <c r="K10" s="45">
        <v>471</v>
      </c>
      <c r="L10" s="44">
        <v>115</v>
      </c>
      <c r="M10" s="43" t="s">
        <v>479</v>
      </c>
      <c r="N10" s="43" t="s">
        <v>480</v>
      </c>
      <c r="O10" s="43" t="s">
        <v>158</v>
      </c>
      <c r="P10" s="43" t="s">
        <v>481</v>
      </c>
      <c r="Q10" s="43" t="s">
        <v>296</v>
      </c>
      <c r="R10" s="43" t="s">
        <v>482</v>
      </c>
      <c r="S10" s="43" t="s">
        <v>483</v>
      </c>
      <c r="T10" s="43" t="s">
        <v>225</v>
      </c>
      <c r="U10" s="43" t="s">
        <v>484</v>
      </c>
    </row>
    <row r="11" spans="1:21">
      <c r="A11" s="43" t="s">
        <v>217</v>
      </c>
      <c r="B11" s="46">
        <v>46151</v>
      </c>
      <c r="C11" s="44">
        <v>1758</v>
      </c>
      <c r="D11" s="44">
        <v>1702</v>
      </c>
      <c r="E11" s="44">
        <v>1471</v>
      </c>
      <c r="F11" s="44">
        <v>231</v>
      </c>
      <c r="G11" s="44">
        <v>1218</v>
      </c>
      <c r="H11" s="44">
        <v>20</v>
      </c>
      <c r="I11" s="44">
        <v>6</v>
      </c>
      <c r="J11" s="44">
        <v>1</v>
      </c>
      <c r="K11" s="45">
        <v>331</v>
      </c>
      <c r="L11" s="44">
        <v>108</v>
      </c>
      <c r="M11" s="43" t="s">
        <v>485</v>
      </c>
      <c r="N11" s="43" t="s">
        <v>486</v>
      </c>
      <c r="O11" s="43" t="s">
        <v>167</v>
      </c>
      <c r="P11" s="43" t="s">
        <v>487</v>
      </c>
      <c r="Q11" s="43" t="s">
        <v>296</v>
      </c>
      <c r="R11" s="43" t="s">
        <v>488</v>
      </c>
      <c r="S11" s="43" t="s">
        <v>489</v>
      </c>
      <c r="T11" s="43" t="s">
        <v>225</v>
      </c>
      <c r="U11" s="43" t="s">
        <v>213</v>
      </c>
    </row>
    <row r="12" spans="1:21">
      <c r="A12" s="43" t="s">
        <v>227</v>
      </c>
      <c r="B12" s="46">
        <v>46152</v>
      </c>
      <c r="C12" s="44">
        <v>1365</v>
      </c>
      <c r="D12" s="44">
        <v>1361</v>
      </c>
      <c r="E12" s="44">
        <v>1252</v>
      </c>
      <c r="F12" s="44">
        <v>109</v>
      </c>
      <c r="G12" s="44">
        <v>880</v>
      </c>
      <c r="H12" s="44">
        <v>32</v>
      </c>
      <c r="I12" s="44">
        <v>3</v>
      </c>
      <c r="J12" s="44">
        <v>1</v>
      </c>
      <c r="K12" s="45">
        <v>225</v>
      </c>
      <c r="L12" s="44">
        <v>67</v>
      </c>
      <c r="M12" s="43" t="s">
        <v>490</v>
      </c>
      <c r="N12" s="43" t="s">
        <v>491</v>
      </c>
      <c r="O12" s="43" t="s">
        <v>489</v>
      </c>
      <c r="P12" s="43" t="s">
        <v>395</v>
      </c>
      <c r="Q12" s="43" t="s">
        <v>293</v>
      </c>
      <c r="R12" s="43" t="s">
        <v>492</v>
      </c>
      <c r="S12" s="43" t="s">
        <v>304</v>
      </c>
      <c r="T12" s="43" t="s">
        <v>493</v>
      </c>
      <c r="U12" s="43" t="s">
        <v>241</v>
      </c>
    </row>
    <row r="13" spans="1:21">
      <c r="A13" s="43" t="s">
        <v>236</v>
      </c>
      <c r="B13" s="46">
        <v>46153</v>
      </c>
      <c r="C13" s="44">
        <v>1430</v>
      </c>
      <c r="D13" s="44">
        <v>1519</v>
      </c>
      <c r="E13" s="44">
        <v>1334</v>
      </c>
      <c r="F13" s="44">
        <v>185</v>
      </c>
      <c r="G13" s="44">
        <v>997</v>
      </c>
      <c r="H13" s="44">
        <v>42</v>
      </c>
      <c r="I13" s="44">
        <v>27</v>
      </c>
      <c r="J13" s="44">
        <v>0</v>
      </c>
      <c r="K13" s="45">
        <v>389</v>
      </c>
      <c r="L13" s="44">
        <v>81</v>
      </c>
      <c r="M13" s="43" t="s">
        <v>494</v>
      </c>
      <c r="N13" s="43" t="s">
        <v>495</v>
      </c>
      <c r="O13" s="43" t="s">
        <v>475</v>
      </c>
      <c r="P13" s="43" t="s">
        <v>437</v>
      </c>
      <c r="Q13" s="43" t="s">
        <v>437</v>
      </c>
      <c r="R13" s="43" t="s">
        <v>496</v>
      </c>
      <c r="S13" s="43" t="s">
        <v>497</v>
      </c>
      <c r="T13" s="43" t="s">
        <v>437</v>
      </c>
      <c r="U13" s="43" t="s">
        <v>437</v>
      </c>
    </row>
    <row r="14" spans="1:21">
      <c r="A14" s="43" t="s">
        <v>245</v>
      </c>
      <c r="B14" s="46">
        <v>46154</v>
      </c>
      <c r="C14" s="44">
        <v>1150</v>
      </c>
      <c r="D14" s="44">
        <v>1315</v>
      </c>
      <c r="E14" s="44">
        <v>1178</v>
      </c>
      <c r="F14" s="44">
        <v>137</v>
      </c>
      <c r="G14" s="44">
        <v>812</v>
      </c>
      <c r="H14" s="44">
        <v>28</v>
      </c>
      <c r="I14" s="44">
        <v>4</v>
      </c>
      <c r="J14" s="44">
        <v>1</v>
      </c>
      <c r="K14" s="45">
        <v>386</v>
      </c>
      <c r="L14" s="44">
        <v>55</v>
      </c>
      <c r="M14" s="43" t="s">
        <v>498</v>
      </c>
      <c r="N14" s="43" t="s">
        <v>468</v>
      </c>
      <c r="O14" s="43" t="s">
        <v>167</v>
      </c>
      <c r="P14" s="43" t="s">
        <v>499</v>
      </c>
      <c r="Q14" s="43" t="s">
        <v>253</v>
      </c>
      <c r="R14" s="43" t="s">
        <v>500</v>
      </c>
      <c r="S14" s="43" t="s">
        <v>441</v>
      </c>
      <c r="T14" s="43" t="s">
        <v>222</v>
      </c>
      <c r="U14" s="43" t="s">
        <v>262</v>
      </c>
    </row>
    <row r="15" spans="1:21">
      <c r="A15" s="43" t="s">
        <v>255</v>
      </c>
      <c r="B15" s="46">
        <v>46155</v>
      </c>
      <c r="C15" s="44">
        <v>1028</v>
      </c>
      <c r="D15" s="44">
        <v>1132</v>
      </c>
      <c r="E15" s="44">
        <v>1002</v>
      </c>
      <c r="F15" s="44">
        <v>130</v>
      </c>
      <c r="G15" s="44">
        <v>762</v>
      </c>
      <c r="H15" s="44">
        <v>19</v>
      </c>
      <c r="I15" s="44">
        <v>6</v>
      </c>
      <c r="J15" s="44">
        <v>2</v>
      </c>
      <c r="K15" s="45">
        <v>291</v>
      </c>
      <c r="L15" s="44">
        <v>48</v>
      </c>
      <c r="M15" s="43" t="s">
        <v>501</v>
      </c>
      <c r="N15" s="43" t="s">
        <v>424</v>
      </c>
      <c r="O15" s="43" t="s">
        <v>502</v>
      </c>
      <c r="P15" s="43" t="s">
        <v>503</v>
      </c>
      <c r="Q15" s="43" t="s">
        <v>262</v>
      </c>
      <c r="R15" s="43" t="s">
        <v>504</v>
      </c>
      <c r="S15" s="43" t="s">
        <v>505</v>
      </c>
      <c r="T15" s="43" t="s">
        <v>506</v>
      </c>
      <c r="U15" s="43" t="s">
        <v>353</v>
      </c>
    </row>
    <row r="16" spans="1:21">
      <c r="A16" s="43" t="s">
        <v>264</v>
      </c>
      <c r="B16" s="46">
        <v>46156</v>
      </c>
      <c r="C16" s="44">
        <v>2182</v>
      </c>
      <c r="D16" s="44">
        <v>1415</v>
      </c>
      <c r="E16" s="44">
        <v>1197</v>
      </c>
      <c r="F16" s="44">
        <v>218</v>
      </c>
      <c r="G16" s="44">
        <v>1490</v>
      </c>
      <c r="H16" s="44">
        <v>21</v>
      </c>
      <c r="I16" s="44">
        <v>4</v>
      </c>
      <c r="J16" s="44">
        <v>1</v>
      </c>
      <c r="K16" s="45">
        <v>306</v>
      </c>
      <c r="L16" s="44">
        <v>105</v>
      </c>
      <c r="M16" s="43" t="s">
        <v>507</v>
      </c>
      <c r="N16" s="43" t="s">
        <v>508</v>
      </c>
      <c r="O16" s="43" t="s">
        <v>509</v>
      </c>
      <c r="P16" s="43" t="s">
        <v>510</v>
      </c>
      <c r="Q16" s="43" t="s">
        <v>493</v>
      </c>
      <c r="R16" s="43" t="s">
        <v>511</v>
      </c>
      <c r="S16" s="43" t="s">
        <v>250</v>
      </c>
      <c r="T16" s="43" t="s">
        <v>512</v>
      </c>
      <c r="U16" s="43" t="s">
        <v>513</v>
      </c>
    </row>
    <row r="17" spans="1:21">
      <c r="A17" s="43" t="s">
        <v>272</v>
      </c>
      <c r="B17" s="46">
        <v>46157</v>
      </c>
      <c r="C17" s="44">
        <v>1391</v>
      </c>
      <c r="D17" s="44">
        <v>1906</v>
      </c>
      <c r="E17" s="44">
        <v>1640</v>
      </c>
      <c r="F17" s="44">
        <v>266</v>
      </c>
      <c r="G17" s="44">
        <v>996</v>
      </c>
      <c r="H17" s="44">
        <v>17</v>
      </c>
      <c r="I17" s="44">
        <v>7</v>
      </c>
      <c r="J17" s="44">
        <v>8</v>
      </c>
      <c r="K17" s="45">
        <v>519</v>
      </c>
      <c r="L17" s="44">
        <v>82</v>
      </c>
      <c r="M17" s="43" t="s">
        <v>514</v>
      </c>
      <c r="N17" s="43" t="s">
        <v>515</v>
      </c>
      <c r="O17" s="43" t="s">
        <v>516</v>
      </c>
      <c r="P17" s="43" t="s">
        <v>517</v>
      </c>
      <c r="Q17" s="43" t="s">
        <v>295</v>
      </c>
      <c r="R17" s="43" t="s">
        <v>518</v>
      </c>
      <c r="S17" s="43" t="s">
        <v>519</v>
      </c>
      <c r="T17" s="43" t="s">
        <v>505</v>
      </c>
      <c r="U17" s="43" t="s">
        <v>520</v>
      </c>
    </row>
    <row r="18" spans="1:21">
      <c r="A18" s="43" t="s">
        <v>282</v>
      </c>
      <c r="B18" s="46">
        <v>46158</v>
      </c>
      <c r="C18" s="44">
        <v>1267</v>
      </c>
      <c r="D18" s="44">
        <v>1265</v>
      </c>
      <c r="E18" s="44">
        <v>1113</v>
      </c>
      <c r="F18" s="44">
        <v>152</v>
      </c>
      <c r="G18" s="44">
        <v>897</v>
      </c>
      <c r="H18" s="44">
        <v>28</v>
      </c>
      <c r="I18" s="44">
        <v>6</v>
      </c>
      <c r="J18" s="44">
        <v>4</v>
      </c>
      <c r="K18" s="45">
        <v>368</v>
      </c>
      <c r="L18" s="44">
        <v>88</v>
      </c>
      <c r="M18" s="43" t="s">
        <v>521</v>
      </c>
      <c r="N18" s="43" t="s">
        <v>239</v>
      </c>
      <c r="O18" s="43" t="s">
        <v>270</v>
      </c>
      <c r="P18" s="43" t="s">
        <v>522</v>
      </c>
      <c r="Q18" s="43" t="s">
        <v>280</v>
      </c>
      <c r="R18" s="43" t="s">
        <v>523</v>
      </c>
      <c r="S18" s="43" t="s">
        <v>524</v>
      </c>
      <c r="T18" s="43" t="s">
        <v>525</v>
      </c>
      <c r="U18" s="43" t="s">
        <v>351</v>
      </c>
    </row>
    <row r="19" spans="1:21">
      <c r="A19" s="43" t="s">
        <v>288</v>
      </c>
      <c r="B19" s="46">
        <v>46159</v>
      </c>
      <c r="C19" s="44">
        <v>1207</v>
      </c>
      <c r="D19" s="44">
        <v>1239</v>
      </c>
      <c r="E19" s="44">
        <v>1107</v>
      </c>
      <c r="F19" s="44">
        <v>132</v>
      </c>
      <c r="G19" s="44">
        <v>896</v>
      </c>
      <c r="H19" s="44">
        <v>25</v>
      </c>
      <c r="I19" s="44">
        <v>1</v>
      </c>
      <c r="J19" s="44">
        <v>0</v>
      </c>
      <c r="K19" s="45">
        <v>251</v>
      </c>
      <c r="L19" s="44">
        <v>65</v>
      </c>
      <c r="M19" s="43" t="s">
        <v>526</v>
      </c>
      <c r="N19" s="43" t="s">
        <v>214</v>
      </c>
      <c r="O19" s="43" t="s">
        <v>293</v>
      </c>
      <c r="P19" s="43" t="s">
        <v>437</v>
      </c>
      <c r="Q19" s="43" t="s">
        <v>437</v>
      </c>
      <c r="R19" s="43" t="s">
        <v>527</v>
      </c>
      <c r="S19" s="43" t="s">
        <v>296</v>
      </c>
      <c r="T19" s="43" t="s">
        <v>437</v>
      </c>
      <c r="U19" s="43" t="s">
        <v>437</v>
      </c>
    </row>
    <row r="20" spans="1:21">
      <c r="A20" s="43" t="s">
        <v>297</v>
      </c>
      <c r="B20" s="46">
        <v>46160</v>
      </c>
      <c r="C20" s="44">
        <v>1133</v>
      </c>
      <c r="D20" s="44">
        <v>1096</v>
      </c>
      <c r="E20" s="44">
        <v>991</v>
      </c>
      <c r="F20" s="44">
        <v>105</v>
      </c>
      <c r="G20" s="44">
        <v>870</v>
      </c>
      <c r="H20" s="44">
        <v>28</v>
      </c>
      <c r="I20" s="44">
        <v>6</v>
      </c>
      <c r="J20" s="44">
        <v>4</v>
      </c>
      <c r="K20" s="45">
        <v>391</v>
      </c>
      <c r="L20" s="44">
        <v>55</v>
      </c>
      <c r="M20" s="43" t="s">
        <v>528</v>
      </c>
      <c r="N20" s="43" t="s">
        <v>529</v>
      </c>
      <c r="O20" s="43" t="s">
        <v>353</v>
      </c>
      <c r="P20" s="43" t="s">
        <v>522</v>
      </c>
      <c r="Q20" s="43" t="s">
        <v>530</v>
      </c>
      <c r="R20" s="43" t="s">
        <v>278</v>
      </c>
      <c r="S20" s="43" t="s">
        <v>356</v>
      </c>
      <c r="T20" s="43" t="s">
        <v>441</v>
      </c>
      <c r="U20" s="43" t="s">
        <v>312</v>
      </c>
    </row>
    <row r="21" spans="1:21">
      <c r="A21" s="43" t="s">
        <v>306</v>
      </c>
      <c r="B21" s="46">
        <v>46161</v>
      </c>
      <c r="C21" s="44">
        <v>963</v>
      </c>
      <c r="D21" s="44">
        <v>1048</v>
      </c>
      <c r="E21" s="44">
        <v>895</v>
      </c>
      <c r="F21" s="44">
        <v>153</v>
      </c>
      <c r="G21" s="44">
        <v>728</v>
      </c>
      <c r="H21" s="44">
        <v>25</v>
      </c>
      <c r="I21" s="44">
        <v>7</v>
      </c>
      <c r="J21" s="44">
        <v>-3</v>
      </c>
      <c r="K21" s="45">
        <v>318</v>
      </c>
      <c r="L21" s="44">
        <v>37</v>
      </c>
      <c r="M21" s="43" t="s">
        <v>531</v>
      </c>
      <c r="N21" s="43" t="s">
        <v>532</v>
      </c>
      <c r="O21" s="43" t="s">
        <v>511</v>
      </c>
      <c r="P21" s="43" t="s">
        <v>533</v>
      </c>
      <c r="Q21" s="43" t="s">
        <v>534</v>
      </c>
      <c r="R21" s="43" t="s">
        <v>535</v>
      </c>
      <c r="S21" s="43" t="s">
        <v>536</v>
      </c>
      <c r="T21" s="43" t="s">
        <v>537</v>
      </c>
      <c r="U21" s="43" t="s">
        <v>538</v>
      </c>
    </row>
    <row r="22" spans="1:21">
      <c r="A22" s="43" t="s">
        <v>314</v>
      </c>
      <c r="B22" s="46">
        <v>46162</v>
      </c>
      <c r="C22" s="44">
        <v>883</v>
      </c>
      <c r="D22" s="44">
        <v>935</v>
      </c>
      <c r="E22" s="44">
        <v>813</v>
      </c>
      <c r="F22" s="44">
        <v>122</v>
      </c>
      <c r="G22" s="44">
        <v>672</v>
      </c>
      <c r="H22" s="44">
        <v>15</v>
      </c>
      <c r="I22" s="44">
        <v>4</v>
      </c>
      <c r="J22" s="44">
        <v>3</v>
      </c>
      <c r="K22" s="45">
        <v>467</v>
      </c>
      <c r="L22" s="44">
        <v>38</v>
      </c>
      <c r="M22" s="43" t="s">
        <v>539</v>
      </c>
      <c r="N22" s="43" t="s">
        <v>540</v>
      </c>
      <c r="O22" s="43" t="s">
        <v>220</v>
      </c>
      <c r="P22" s="43" t="s">
        <v>541</v>
      </c>
      <c r="Q22" s="43" t="s">
        <v>280</v>
      </c>
      <c r="R22" s="43" t="s">
        <v>361</v>
      </c>
      <c r="S22" s="43" t="s">
        <v>280</v>
      </c>
      <c r="T22" s="43" t="s">
        <v>489</v>
      </c>
      <c r="U22" s="43" t="s">
        <v>155</v>
      </c>
    </row>
    <row r="23" spans="1:21">
      <c r="A23" s="43" t="s">
        <v>323</v>
      </c>
      <c r="B23" s="46">
        <v>46163</v>
      </c>
      <c r="C23" s="44">
        <v>969</v>
      </c>
      <c r="D23" s="44">
        <v>1005</v>
      </c>
      <c r="E23" s="44">
        <v>867</v>
      </c>
      <c r="F23" s="44">
        <v>138</v>
      </c>
      <c r="G23" s="44">
        <v>749</v>
      </c>
      <c r="H23" s="44">
        <v>27</v>
      </c>
      <c r="I23" s="44">
        <v>1</v>
      </c>
      <c r="J23" s="44">
        <v>1</v>
      </c>
      <c r="K23" s="45">
        <v>411</v>
      </c>
      <c r="L23" s="44">
        <v>36</v>
      </c>
      <c r="M23" s="43" t="s">
        <v>542</v>
      </c>
      <c r="N23" s="43" t="s">
        <v>543</v>
      </c>
      <c r="O23" s="43" t="s">
        <v>544</v>
      </c>
      <c r="P23" s="43" t="s">
        <v>481</v>
      </c>
      <c r="Q23" s="43" t="s">
        <v>544</v>
      </c>
      <c r="R23" s="43" t="s">
        <v>214</v>
      </c>
      <c r="S23" s="43" t="s">
        <v>232</v>
      </c>
      <c r="T23" s="43" t="s">
        <v>232</v>
      </c>
      <c r="U23" s="43" t="s">
        <v>427</v>
      </c>
    </row>
    <row r="24" spans="1:21">
      <c r="A24" s="43" t="s">
        <v>330</v>
      </c>
      <c r="B24" s="46">
        <v>46164</v>
      </c>
      <c r="C24" s="44">
        <v>1408</v>
      </c>
      <c r="D24" s="44">
        <v>1043</v>
      </c>
      <c r="E24" s="44">
        <v>886</v>
      </c>
      <c r="F24" s="44">
        <v>157</v>
      </c>
      <c r="G24" s="44">
        <v>1114</v>
      </c>
      <c r="H24" s="44">
        <v>21</v>
      </c>
      <c r="I24" s="44">
        <v>6</v>
      </c>
      <c r="J24" s="44">
        <v>1</v>
      </c>
      <c r="K24" s="45">
        <v>423</v>
      </c>
      <c r="L24" s="44">
        <v>44</v>
      </c>
      <c r="M24" s="43" t="s">
        <v>545</v>
      </c>
      <c r="N24" s="43" t="s">
        <v>497</v>
      </c>
      <c r="O24" s="43" t="s">
        <v>177</v>
      </c>
      <c r="P24" s="43" t="s">
        <v>510</v>
      </c>
      <c r="Q24" s="43" t="s">
        <v>222</v>
      </c>
      <c r="R24" s="43" t="s">
        <v>546</v>
      </c>
      <c r="S24" s="43" t="s">
        <v>547</v>
      </c>
      <c r="T24" s="43" t="s">
        <v>493</v>
      </c>
      <c r="U24" s="43" t="s">
        <v>427</v>
      </c>
    </row>
    <row r="25" spans="1:21">
      <c r="A25" s="43" t="s">
        <v>339</v>
      </c>
      <c r="B25" s="46">
        <v>46165</v>
      </c>
      <c r="C25" s="44">
        <v>1086</v>
      </c>
      <c r="D25" s="44">
        <v>1268</v>
      </c>
      <c r="E25" s="44">
        <v>1060</v>
      </c>
      <c r="F25" s="44">
        <v>208</v>
      </c>
      <c r="G25" s="44">
        <v>840</v>
      </c>
      <c r="H25" s="44">
        <v>31</v>
      </c>
      <c r="I25" s="44">
        <v>3</v>
      </c>
      <c r="J25" s="44">
        <v>7</v>
      </c>
      <c r="K25" s="45">
        <v>419</v>
      </c>
      <c r="L25" s="44">
        <v>24</v>
      </c>
      <c r="M25" s="43" t="s">
        <v>548</v>
      </c>
      <c r="N25" s="43" t="s">
        <v>549</v>
      </c>
      <c r="O25" s="43" t="s">
        <v>286</v>
      </c>
      <c r="P25" s="43" t="s">
        <v>550</v>
      </c>
      <c r="Q25" s="43" t="s">
        <v>551</v>
      </c>
      <c r="R25" s="43" t="s">
        <v>552</v>
      </c>
      <c r="S25" s="43" t="s">
        <v>553</v>
      </c>
      <c r="T25" s="43" t="s">
        <v>155</v>
      </c>
      <c r="U25" s="43" t="s">
        <v>554</v>
      </c>
    </row>
    <row r="26" spans="1:21">
      <c r="A26" s="43" t="s">
        <v>348</v>
      </c>
      <c r="B26" s="46">
        <v>46166</v>
      </c>
      <c r="C26" s="44">
        <v>1029</v>
      </c>
      <c r="D26" s="44">
        <v>1101</v>
      </c>
      <c r="E26" s="44">
        <v>1018</v>
      </c>
      <c r="F26" s="44">
        <v>83</v>
      </c>
      <c r="G26" s="44">
        <v>819</v>
      </c>
      <c r="H26" s="44">
        <v>43</v>
      </c>
      <c r="I26" s="44">
        <v>4</v>
      </c>
      <c r="J26" s="44">
        <v>1</v>
      </c>
      <c r="K26" s="45">
        <v>312</v>
      </c>
      <c r="L26" s="44">
        <v>37</v>
      </c>
      <c r="M26" s="43" t="s">
        <v>555</v>
      </c>
      <c r="N26" s="43" t="s">
        <v>556</v>
      </c>
      <c r="O26" s="43" t="s">
        <v>167</v>
      </c>
      <c r="P26" s="43" t="s">
        <v>377</v>
      </c>
      <c r="Q26" s="43" t="s">
        <v>253</v>
      </c>
      <c r="R26" s="43" t="s">
        <v>557</v>
      </c>
      <c r="S26" s="43" t="s">
        <v>145</v>
      </c>
      <c r="T26" s="43" t="s">
        <v>232</v>
      </c>
      <c r="U26" s="43" t="s">
        <v>525</v>
      </c>
    </row>
    <row r="27" spans="1:21">
      <c r="A27" s="43" t="s">
        <v>358</v>
      </c>
      <c r="B27" s="46">
        <v>46167</v>
      </c>
      <c r="C27" s="44">
        <v>1421</v>
      </c>
      <c r="D27" s="44">
        <v>1264</v>
      </c>
      <c r="E27" s="44">
        <v>1071</v>
      </c>
      <c r="F27" s="44">
        <v>193</v>
      </c>
      <c r="G27" s="44">
        <v>1133</v>
      </c>
      <c r="H27" s="44">
        <v>31</v>
      </c>
      <c r="I27" s="44">
        <v>9</v>
      </c>
      <c r="J27" s="44">
        <v>4</v>
      </c>
      <c r="K27" s="45">
        <v>541</v>
      </c>
      <c r="L27" s="44">
        <v>40</v>
      </c>
      <c r="M27" s="43" t="s">
        <v>558</v>
      </c>
      <c r="N27" s="43" t="s">
        <v>478</v>
      </c>
      <c r="O27" s="43" t="s">
        <v>502</v>
      </c>
      <c r="P27" s="43" t="s">
        <v>559</v>
      </c>
      <c r="Q27" s="43" t="s">
        <v>441</v>
      </c>
      <c r="R27" s="43" t="s">
        <v>560</v>
      </c>
      <c r="S27" s="43" t="s">
        <v>561</v>
      </c>
      <c r="T27" s="43" t="s">
        <v>553</v>
      </c>
      <c r="U27" s="43" t="s">
        <v>336</v>
      </c>
    </row>
    <row r="28" spans="1:21">
      <c r="A28" s="43" t="s">
        <v>365</v>
      </c>
      <c r="B28" s="46">
        <v>46168</v>
      </c>
      <c r="C28" s="44">
        <v>1252</v>
      </c>
      <c r="D28" s="44">
        <v>1366</v>
      </c>
      <c r="E28" s="44">
        <v>1178</v>
      </c>
      <c r="F28" s="44">
        <v>188</v>
      </c>
      <c r="G28" s="44">
        <v>1017</v>
      </c>
      <c r="H28" s="44">
        <v>39</v>
      </c>
      <c r="I28" s="44">
        <v>9</v>
      </c>
      <c r="J28" s="44">
        <v>7</v>
      </c>
      <c r="K28" s="45">
        <v>687</v>
      </c>
      <c r="L28" s="44">
        <v>57</v>
      </c>
      <c r="M28" s="43" t="s">
        <v>562</v>
      </c>
      <c r="N28" s="43" t="s">
        <v>563</v>
      </c>
      <c r="O28" s="43" t="s">
        <v>564</v>
      </c>
      <c r="P28" s="43" t="s">
        <v>565</v>
      </c>
      <c r="Q28" s="43" t="s">
        <v>353</v>
      </c>
      <c r="R28" s="43" t="s">
        <v>239</v>
      </c>
      <c r="S28" s="43" t="s">
        <v>230</v>
      </c>
      <c r="T28" s="43" t="s">
        <v>443</v>
      </c>
      <c r="U28" s="43" t="s">
        <v>312</v>
      </c>
    </row>
    <row r="29" spans="1:21">
      <c r="A29" s="43" t="s">
        <v>374</v>
      </c>
      <c r="B29" s="46">
        <v>46169</v>
      </c>
      <c r="C29" s="44">
        <v>1254</v>
      </c>
      <c r="D29" s="44">
        <v>1202</v>
      </c>
      <c r="E29" s="44">
        <v>1014</v>
      </c>
      <c r="F29" s="44">
        <v>188</v>
      </c>
      <c r="G29" s="44">
        <v>1071</v>
      </c>
      <c r="H29" s="44">
        <v>46</v>
      </c>
      <c r="I29" s="44">
        <v>24</v>
      </c>
      <c r="J29" s="44">
        <v>10</v>
      </c>
      <c r="K29" s="45">
        <v>609</v>
      </c>
      <c r="L29" s="44">
        <v>47</v>
      </c>
      <c r="M29" s="43" t="s">
        <v>566</v>
      </c>
      <c r="N29" s="43" t="s">
        <v>567</v>
      </c>
      <c r="O29" s="43" t="s">
        <v>568</v>
      </c>
      <c r="P29" s="43" t="s">
        <v>569</v>
      </c>
      <c r="Q29" s="43" t="s">
        <v>449</v>
      </c>
      <c r="R29" s="43" t="s">
        <v>570</v>
      </c>
      <c r="S29" s="43" t="s">
        <v>571</v>
      </c>
      <c r="T29" s="43" t="s">
        <v>295</v>
      </c>
      <c r="U29" s="43" t="s">
        <v>486</v>
      </c>
    </row>
    <row r="30" spans="1:21">
      <c r="A30" s="43" t="s">
        <v>383</v>
      </c>
      <c r="B30" s="46">
        <v>46170</v>
      </c>
      <c r="C30" s="44">
        <v>1162</v>
      </c>
      <c r="D30" s="44">
        <v>1183</v>
      </c>
      <c r="E30" s="44">
        <v>995</v>
      </c>
      <c r="F30" s="44">
        <v>188</v>
      </c>
      <c r="G30" s="44">
        <v>1015</v>
      </c>
      <c r="H30" s="44">
        <v>26</v>
      </c>
      <c r="I30" s="44">
        <v>15</v>
      </c>
      <c r="J30" s="44">
        <v>15</v>
      </c>
      <c r="K30" s="45">
        <v>922</v>
      </c>
      <c r="L30" s="44">
        <v>36</v>
      </c>
      <c r="M30" s="43" t="s">
        <v>572</v>
      </c>
      <c r="N30" s="43" t="s">
        <v>573</v>
      </c>
      <c r="O30" s="43" t="s">
        <v>574</v>
      </c>
      <c r="P30" s="43" t="s">
        <v>575</v>
      </c>
      <c r="Q30" s="43" t="s">
        <v>574</v>
      </c>
      <c r="R30" s="43" t="s">
        <v>568</v>
      </c>
      <c r="S30" s="43" t="s">
        <v>372</v>
      </c>
      <c r="T30" s="43" t="s">
        <v>372</v>
      </c>
      <c r="U30" s="43" t="s">
        <v>444</v>
      </c>
    </row>
    <row r="31" spans="1:21">
      <c r="A31" s="43" t="s">
        <v>392</v>
      </c>
      <c r="B31" s="46">
        <v>46171</v>
      </c>
      <c r="C31" s="44">
        <v>921</v>
      </c>
      <c r="D31" s="44">
        <v>1004</v>
      </c>
      <c r="E31" s="44">
        <v>882</v>
      </c>
      <c r="F31" s="44">
        <v>122</v>
      </c>
      <c r="G31" s="44">
        <v>786</v>
      </c>
      <c r="H31" s="44">
        <v>46</v>
      </c>
      <c r="I31" s="44">
        <v>27</v>
      </c>
      <c r="J31" s="44">
        <v>21</v>
      </c>
      <c r="K31" s="45">
        <v>1414</v>
      </c>
      <c r="L31" s="44">
        <v>18</v>
      </c>
      <c r="M31" s="43" t="s">
        <v>576</v>
      </c>
      <c r="N31" s="43" t="s">
        <v>577</v>
      </c>
      <c r="O31" s="43" t="s">
        <v>578</v>
      </c>
      <c r="P31" s="43" t="s">
        <v>579</v>
      </c>
      <c r="Q31" s="43" t="s">
        <v>580</v>
      </c>
      <c r="R31" s="43" t="s">
        <v>581</v>
      </c>
      <c r="S31" s="43" t="s">
        <v>582</v>
      </c>
      <c r="T31" s="43" t="s">
        <v>583</v>
      </c>
      <c r="U31" s="43" t="s">
        <v>546</v>
      </c>
    </row>
    <row r="32" spans="1:21">
      <c r="A32" s="43" t="s">
        <v>402</v>
      </c>
      <c r="B32" s="46">
        <v>46172</v>
      </c>
      <c r="C32" s="44">
        <v>899</v>
      </c>
      <c r="D32" s="44">
        <v>894</v>
      </c>
      <c r="E32" s="44">
        <v>823</v>
      </c>
      <c r="F32" s="44">
        <v>71</v>
      </c>
      <c r="G32" s="44">
        <v>785</v>
      </c>
      <c r="H32" s="44">
        <v>69</v>
      </c>
      <c r="I32" s="44">
        <v>50</v>
      </c>
      <c r="J32" s="44">
        <v>39</v>
      </c>
      <c r="K32" s="45">
        <v>2734</v>
      </c>
      <c r="L32" s="44">
        <v>19</v>
      </c>
      <c r="M32" s="43" t="s">
        <v>584</v>
      </c>
      <c r="N32" s="43" t="s">
        <v>418</v>
      </c>
      <c r="O32" s="43" t="s">
        <v>585</v>
      </c>
      <c r="P32" s="43" t="s">
        <v>586</v>
      </c>
      <c r="Q32" s="43" t="s">
        <v>439</v>
      </c>
      <c r="R32" s="43" t="s">
        <v>587</v>
      </c>
      <c r="S32" s="43" t="s">
        <v>588</v>
      </c>
      <c r="T32" s="43" t="s">
        <v>589</v>
      </c>
      <c r="U32" s="43" t="s">
        <v>463</v>
      </c>
    </row>
    <row r="33" spans="1:21">
      <c r="A33" s="43" t="s">
        <v>412</v>
      </c>
      <c r="B33" s="46">
        <v>46173</v>
      </c>
      <c r="C33" s="44">
        <v>978</v>
      </c>
      <c r="D33" s="44">
        <v>996</v>
      </c>
      <c r="E33" s="44">
        <v>927</v>
      </c>
      <c r="F33" s="44">
        <v>69</v>
      </c>
      <c r="G33" s="44">
        <v>861</v>
      </c>
      <c r="H33" s="44">
        <v>117</v>
      </c>
      <c r="I33" s="44">
        <v>80</v>
      </c>
      <c r="J33" s="44">
        <v>137</v>
      </c>
      <c r="K33" s="45">
        <v>4011</v>
      </c>
      <c r="L33" s="44">
        <v>16</v>
      </c>
      <c r="M33" s="43" t="s">
        <v>590</v>
      </c>
      <c r="N33" s="43" t="s">
        <v>591</v>
      </c>
      <c r="O33" s="43" t="s">
        <v>592</v>
      </c>
      <c r="P33" s="43" t="s">
        <v>593</v>
      </c>
      <c r="Q33" s="43" t="s">
        <v>594</v>
      </c>
      <c r="R33" s="43" t="s">
        <v>287</v>
      </c>
      <c r="S33" s="43" t="s">
        <v>164</v>
      </c>
      <c r="T33" s="43" t="s">
        <v>595</v>
      </c>
      <c r="U33" s="43" t="s">
        <v>596</v>
      </c>
    </row>
    <row r="34" spans="1:21">
      <c r="A34" s="43" t="s">
        <v>422</v>
      </c>
      <c r="B34" s="46">
        <v>46174</v>
      </c>
      <c r="C34" s="44">
        <v>942</v>
      </c>
      <c r="D34" s="44">
        <v>1013</v>
      </c>
      <c r="E34" s="44">
        <v>948</v>
      </c>
      <c r="F34" s="44">
        <v>65</v>
      </c>
      <c r="G34" s="44">
        <v>857</v>
      </c>
      <c r="H34" s="44">
        <v>27</v>
      </c>
      <c r="I34" s="44">
        <v>2</v>
      </c>
      <c r="J34" s="44">
        <v>0</v>
      </c>
      <c r="K34" s="45">
        <v>239</v>
      </c>
      <c r="L34" s="44">
        <v>4</v>
      </c>
      <c r="M34" s="43" t="s">
        <v>597</v>
      </c>
      <c r="N34" s="43" t="s">
        <v>598</v>
      </c>
      <c r="O34" s="43" t="s">
        <v>337</v>
      </c>
      <c r="P34" s="43" t="s">
        <v>437</v>
      </c>
      <c r="Q34" s="43" t="s">
        <v>437</v>
      </c>
      <c r="R34" s="43" t="s">
        <v>599</v>
      </c>
      <c r="S34" s="43" t="s">
        <v>484</v>
      </c>
      <c r="T34" s="43" t="s">
        <v>437</v>
      </c>
      <c r="U34" s="43" t="s">
        <v>437</v>
      </c>
    </row>
    <row r="35" spans="1:21">
      <c r="A35" s="43"/>
      <c r="B35" s="46"/>
      <c r="C35" s="44"/>
      <c r="D35" s="44"/>
      <c r="E35" s="44"/>
      <c r="F35" s="44"/>
      <c r="G35" s="44"/>
      <c r="H35" s="44"/>
      <c r="I35" s="44"/>
      <c r="J35" s="44"/>
      <c r="K35" s="45"/>
      <c r="L35" s="44"/>
      <c r="M35" s="43"/>
      <c r="N35" s="43"/>
      <c r="O35" s="43"/>
      <c r="P35" s="43"/>
      <c r="Q35" s="43"/>
      <c r="R35" s="43"/>
      <c r="S35" s="43"/>
      <c r="T35" s="43"/>
      <c r="U35" s="43"/>
    </row>
    <row r="36" spans="1:21">
      <c r="A36" s="43"/>
      <c r="B36" s="46"/>
      <c r="C36" s="44"/>
      <c r="D36" s="44"/>
      <c r="E36" s="44"/>
      <c r="F36" s="44"/>
      <c r="G36" s="44"/>
      <c r="H36" s="44"/>
      <c r="I36" s="44"/>
      <c r="J36" s="44"/>
      <c r="K36" s="45"/>
      <c r="L36" s="44"/>
      <c r="M36" s="43"/>
      <c r="N36" s="43"/>
      <c r="O36" s="43"/>
      <c r="P36" s="43"/>
      <c r="Q36" s="43"/>
      <c r="R36" s="43"/>
      <c r="S36" s="43"/>
      <c r="T36" s="43"/>
      <c r="U36" s="43"/>
    </row>
    <row r="37" spans="1:21">
      <c r="A37" s="43"/>
      <c r="B37" s="46"/>
      <c r="C37" s="44"/>
      <c r="D37" s="44"/>
      <c r="E37" s="44"/>
      <c r="F37" s="44"/>
      <c r="G37" s="44"/>
      <c r="H37" s="44"/>
      <c r="I37" s="44"/>
      <c r="J37" s="44"/>
      <c r="K37" s="45"/>
      <c r="L37" s="44"/>
      <c r="M37" s="43"/>
      <c r="N37" s="43"/>
      <c r="O37" s="43"/>
      <c r="P37" s="43"/>
      <c r="Q37" s="43"/>
      <c r="R37" s="43"/>
      <c r="S37" s="43"/>
      <c r="T37" s="43"/>
      <c r="U37" s="43"/>
    </row>
    <row r="38" spans="1:21">
      <c r="A38" s="43"/>
      <c r="B38" s="46"/>
      <c r="C38" s="44"/>
      <c r="D38" s="44"/>
      <c r="E38" s="44"/>
      <c r="F38" s="44"/>
      <c r="G38" s="44"/>
      <c r="H38" s="44"/>
      <c r="I38" s="44"/>
      <c r="J38" s="44"/>
      <c r="K38" s="45"/>
      <c r="L38" s="44"/>
      <c r="M38" s="43"/>
      <c r="N38" s="43"/>
      <c r="O38" s="43"/>
      <c r="P38" s="43"/>
      <c r="Q38" s="43"/>
      <c r="R38" s="43"/>
      <c r="S38" s="43"/>
      <c r="T38" s="43"/>
      <c r="U38" s="43"/>
    </row>
    <row r="39" spans="1:21">
      <c r="A39" s="43"/>
      <c r="B39" s="46"/>
      <c r="C39" s="44"/>
      <c r="D39" s="44"/>
      <c r="E39" s="44"/>
      <c r="F39" s="44"/>
      <c r="G39" s="44"/>
      <c r="H39" s="44"/>
      <c r="I39" s="44"/>
      <c r="J39" s="44"/>
      <c r="K39" s="45"/>
      <c r="L39" s="44"/>
      <c r="M39" s="43"/>
      <c r="N39" s="43"/>
      <c r="O39" s="43"/>
      <c r="P39" s="43"/>
      <c r="Q39" s="43"/>
      <c r="R39" s="43"/>
      <c r="S39" s="43"/>
      <c r="T39" s="43"/>
      <c r="U39" s="43"/>
    </row>
    <row r="40" spans="1:21">
      <c r="A40" s="43"/>
      <c r="B40" s="46"/>
      <c r="C40" s="44"/>
      <c r="D40" s="44"/>
      <c r="E40" s="44"/>
      <c r="F40" s="44"/>
      <c r="G40" s="44"/>
      <c r="H40" s="44"/>
      <c r="I40" s="44"/>
      <c r="J40" s="44"/>
      <c r="K40" s="45"/>
      <c r="L40" s="44"/>
      <c r="M40" s="43"/>
      <c r="N40" s="43"/>
      <c r="O40" s="43"/>
      <c r="P40" s="43"/>
      <c r="Q40" s="43"/>
      <c r="R40" s="43"/>
      <c r="S40" s="43"/>
      <c r="T40" s="43"/>
      <c r="U40" s="43"/>
    </row>
    <row r="41" spans="1:21">
      <c r="A41" s="43"/>
      <c r="B41" s="46"/>
      <c r="C41" s="44"/>
      <c r="D41" s="44"/>
      <c r="E41" s="44"/>
      <c r="F41" s="44"/>
      <c r="G41" s="44"/>
      <c r="H41" s="44"/>
      <c r="I41" s="44"/>
      <c r="J41" s="44"/>
      <c r="K41" s="45"/>
      <c r="L41" s="44"/>
      <c r="M41" s="43"/>
      <c r="N41" s="43"/>
      <c r="O41" s="43"/>
      <c r="P41" s="43"/>
      <c r="Q41" s="43"/>
      <c r="R41" s="43"/>
      <c r="S41" s="43"/>
      <c r="T41" s="43"/>
      <c r="U41" s="43"/>
    </row>
    <row r="42" spans="1:21">
      <c r="A42" s="43"/>
      <c r="B42" s="46"/>
      <c r="C42" s="44"/>
      <c r="D42" s="44"/>
      <c r="E42" s="44"/>
      <c r="F42" s="44"/>
      <c r="G42" s="44"/>
      <c r="H42" s="44"/>
      <c r="I42" s="44"/>
      <c r="J42" s="44"/>
      <c r="K42" s="45"/>
      <c r="L42" s="44"/>
      <c r="M42" s="43"/>
      <c r="N42" s="43"/>
      <c r="O42" s="43"/>
      <c r="P42" s="43"/>
      <c r="Q42" s="43"/>
      <c r="R42" s="43"/>
      <c r="S42" s="43"/>
      <c r="T42" s="43"/>
      <c r="U42" s="43"/>
    </row>
    <row r="43" spans="1:21">
      <c r="A43" s="43"/>
      <c r="B43" s="46"/>
      <c r="C43" s="44"/>
      <c r="D43" s="44"/>
      <c r="E43" s="44"/>
      <c r="F43" s="44"/>
      <c r="G43" s="44"/>
      <c r="H43" s="44"/>
      <c r="I43" s="44"/>
      <c r="J43" s="44"/>
      <c r="K43" s="45"/>
      <c r="L43" s="44"/>
      <c r="M43" s="43"/>
      <c r="N43" s="43"/>
      <c r="O43" s="43"/>
      <c r="P43" s="43"/>
      <c r="Q43" s="43"/>
      <c r="R43" s="43"/>
      <c r="S43" s="43"/>
      <c r="T43" s="43"/>
      <c r="U43" s="43"/>
    </row>
    <row r="44" spans="1:21">
      <c r="A44" s="43"/>
      <c r="B44" s="46"/>
      <c r="C44" s="44"/>
      <c r="D44" s="44"/>
      <c r="E44" s="44"/>
      <c r="F44" s="44"/>
      <c r="G44" s="44"/>
      <c r="H44" s="44"/>
      <c r="I44" s="44"/>
      <c r="J44" s="44"/>
      <c r="K44" s="45"/>
      <c r="L44" s="44"/>
      <c r="M44" s="43"/>
      <c r="N44" s="43"/>
      <c r="O44" s="43"/>
      <c r="P44" s="43"/>
      <c r="Q44" s="43"/>
      <c r="R44" s="43"/>
      <c r="S44" s="43"/>
      <c r="T44" s="43"/>
      <c r="U44" s="43"/>
    </row>
    <row r="45" spans="1:21">
      <c r="A45" s="43"/>
      <c r="B45" s="46"/>
      <c r="C45" s="44"/>
      <c r="D45" s="44"/>
      <c r="E45" s="44"/>
      <c r="F45" s="44"/>
      <c r="G45" s="44"/>
      <c r="H45" s="44"/>
      <c r="I45" s="44"/>
      <c r="J45" s="44"/>
      <c r="K45" s="45"/>
      <c r="L45" s="44"/>
      <c r="M45" s="43"/>
      <c r="N45" s="43"/>
      <c r="O45" s="43"/>
      <c r="P45" s="43"/>
      <c r="Q45" s="43"/>
      <c r="R45" s="43"/>
      <c r="S45" s="43"/>
      <c r="T45" s="43"/>
      <c r="U45" s="43"/>
    </row>
    <row r="46" spans="1:21">
      <c r="A46" s="43"/>
      <c r="B46" s="46"/>
      <c r="C46" s="44"/>
      <c r="D46" s="44"/>
      <c r="E46" s="44"/>
      <c r="F46" s="44"/>
      <c r="G46" s="44"/>
      <c r="H46" s="44"/>
      <c r="I46" s="44"/>
      <c r="J46" s="44"/>
      <c r="K46" s="45"/>
      <c r="L46" s="44"/>
      <c r="M46" s="43"/>
      <c r="N46" s="43"/>
      <c r="O46" s="43"/>
      <c r="P46" s="43"/>
      <c r="Q46" s="43"/>
      <c r="R46" s="43"/>
      <c r="S46" s="43"/>
      <c r="T46" s="43"/>
      <c r="U46" s="43"/>
    </row>
    <row r="47" spans="1:21">
      <c r="A47" s="43"/>
      <c r="B47" s="46"/>
      <c r="C47" s="44"/>
      <c r="D47" s="44"/>
      <c r="E47" s="44"/>
      <c r="F47" s="44"/>
      <c r="G47" s="44"/>
      <c r="H47" s="44"/>
      <c r="I47" s="44"/>
      <c r="J47" s="44"/>
      <c r="K47" s="45"/>
      <c r="L47" s="44"/>
      <c r="M47" s="43"/>
      <c r="N47" s="43"/>
      <c r="O47" s="43"/>
      <c r="P47" s="43"/>
      <c r="Q47" s="43"/>
      <c r="R47" s="43"/>
      <c r="S47" s="43"/>
      <c r="T47" s="43"/>
      <c r="U47" s="43"/>
    </row>
    <row r="48" spans="1:21">
      <c r="A48" s="43"/>
      <c r="B48" s="46"/>
      <c r="C48" s="44"/>
      <c r="D48" s="44"/>
      <c r="E48" s="44"/>
      <c r="F48" s="44"/>
      <c r="G48" s="44"/>
      <c r="H48" s="44"/>
      <c r="I48" s="44"/>
      <c r="J48" s="44"/>
      <c r="K48" s="45"/>
      <c r="L48" s="44"/>
      <c r="M48" s="43"/>
      <c r="N48" s="43"/>
      <c r="O48" s="43"/>
      <c r="P48" s="43"/>
      <c r="Q48" s="43"/>
      <c r="R48" s="43"/>
      <c r="S48" s="43"/>
      <c r="T48" s="43"/>
      <c r="U48" s="43"/>
    </row>
    <row r="49" spans="1:21">
      <c r="A49" s="43"/>
      <c r="B49" s="46"/>
      <c r="C49" s="44"/>
      <c r="D49" s="44"/>
      <c r="E49" s="44"/>
      <c r="F49" s="44"/>
      <c r="G49" s="44"/>
      <c r="H49" s="44"/>
      <c r="I49" s="44"/>
      <c r="J49" s="44"/>
      <c r="K49" s="45"/>
      <c r="L49" s="44"/>
      <c r="M49" s="43"/>
      <c r="N49" s="43"/>
      <c r="O49" s="43"/>
      <c r="P49" s="43"/>
      <c r="Q49" s="43"/>
      <c r="R49" s="43"/>
      <c r="S49" s="43"/>
      <c r="T49" s="43"/>
      <c r="U49" s="43"/>
    </row>
    <row r="50" spans="1:21">
      <c r="A50" s="43"/>
      <c r="B50" s="46"/>
      <c r="C50" s="44"/>
      <c r="D50" s="44"/>
      <c r="E50" s="44"/>
      <c r="F50" s="44"/>
      <c r="G50" s="44"/>
      <c r="H50" s="44"/>
      <c r="I50" s="44"/>
      <c r="J50" s="44"/>
      <c r="K50" s="45"/>
      <c r="L50" s="44"/>
      <c r="M50" s="43"/>
      <c r="N50" s="43"/>
      <c r="O50" s="43"/>
      <c r="P50" s="43"/>
      <c r="Q50" s="43"/>
      <c r="R50" s="43"/>
      <c r="S50" s="43"/>
      <c r="T50" s="43"/>
      <c r="U50" s="43"/>
    </row>
    <row r="51" spans="1:21">
      <c r="A51" s="43"/>
      <c r="B51" s="46"/>
      <c r="C51" s="44"/>
      <c r="D51" s="44"/>
      <c r="E51" s="44"/>
      <c r="F51" s="44"/>
      <c r="G51" s="44"/>
      <c r="H51" s="44"/>
      <c r="I51" s="44"/>
      <c r="J51" s="44"/>
      <c r="K51" s="45"/>
      <c r="L51" s="44"/>
      <c r="M51" s="43"/>
      <c r="N51" s="43"/>
      <c r="O51" s="43"/>
      <c r="P51" s="43"/>
      <c r="Q51" s="43"/>
      <c r="R51" s="43"/>
      <c r="S51" s="43"/>
      <c r="T51" s="43"/>
      <c r="U51" s="43"/>
    </row>
    <row r="52" spans="1:21">
      <c r="A52" s="43"/>
      <c r="B52" s="46"/>
      <c r="C52" s="44"/>
      <c r="D52" s="44"/>
      <c r="E52" s="44"/>
      <c r="F52" s="44"/>
      <c r="G52" s="44"/>
      <c r="H52" s="44"/>
      <c r="I52" s="44"/>
      <c r="J52" s="44"/>
      <c r="K52" s="45"/>
      <c r="L52" s="44"/>
      <c r="M52" s="43"/>
      <c r="N52" s="43"/>
      <c r="O52" s="43"/>
      <c r="P52" s="43"/>
      <c r="Q52" s="43"/>
      <c r="R52" s="43"/>
      <c r="S52" s="43"/>
      <c r="T52" s="43"/>
      <c r="U52" s="43"/>
    </row>
    <row r="53" spans="1:21">
      <c r="A53" s="43"/>
      <c r="B53" s="46"/>
      <c r="C53" s="44"/>
      <c r="D53" s="44"/>
      <c r="E53" s="44"/>
      <c r="F53" s="44"/>
      <c r="G53" s="44"/>
      <c r="H53" s="44"/>
      <c r="I53" s="44"/>
      <c r="J53" s="44"/>
      <c r="K53" s="45"/>
      <c r="L53" s="44"/>
      <c r="M53" s="43"/>
      <c r="N53" s="43"/>
      <c r="O53" s="43"/>
      <c r="P53" s="43"/>
      <c r="Q53" s="43"/>
      <c r="R53" s="43"/>
      <c r="S53" s="43"/>
      <c r="T53" s="43"/>
      <c r="U53" s="43"/>
    </row>
    <row r="54" spans="1:21">
      <c r="A54" s="43"/>
      <c r="B54" s="46"/>
      <c r="C54" s="44"/>
      <c r="D54" s="44"/>
      <c r="E54" s="44"/>
      <c r="F54" s="44"/>
      <c r="G54" s="44"/>
      <c r="H54" s="44"/>
      <c r="I54" s="44"/>
      <c r="J54" s="44"/>
      <c r="K54" s="45"/>
      <c r="L54" s="44"/>
      <c r="M54" s="43"/>
      <c r="N54" s="43"/>
      <c r="O54" s="43"/>
      <c r="P54" s="43"/>
      <c r="Q54" s="43"/>
      <c r="R54" s="43"/>
      <c r="S54" s="43"/>
      <c r="T54" s="43"/>
      <c r="U54" s="43"/>
    </row>
    <row r="55" spans="1:21">
      <c r="A55" s="43"/>
      <c r="B55" s="46"/>
      <c r="C55" s="44"/>
      <c r="D55" s="44"/>
      <c r="E55" s="44"/>
      <c r="F55" s="44"/>
      <c r="G55" s="44"/>
      <c r="H55" s="44"/>
      <c r="I55" s="44"/>
      <c r="J55" s="44"/>
      <c r="K55" s="45"/>
      <c r="L55" s="44"/>
      <c r="M55" s="43"/>
      <c r="N55" s="43"/>
      <c r="O55" s="43"/>
      <c r="P55" s="43"/>
      <c r="Q55" s="43"/>
      <c r="R55" s="43"/>
      <c r="S55" s="43"/>
      <c r="T55" s="43"/>
      <c r="U55" s="43"/>
    </row>
    <row r="56" spans="1:21">
      <c r="A56" s="43"/>
      <c r="B56" s="46"/>
      <c r="C56" s="44"/>
      <c r="D56" s="44"/>
      <c r="E56" s="44"/>
      <c r="F56" s="44"/>
      <c r="G56" s="44"/>
      <c r="H56" s="44"/>
      <c r="I56" s="44"/>
      <c r="J56" s="44"/>
      <c r="K56" s="45"/>
      <c r="L56" s="44"/>
      <c r="M56" s="43"/>
      <c r="N56" s="43"/>
      <c r="O56" s="43"/>
      <c r="P56" s="43"/>
      <c r="Q56" s="43"/>
      <c r="R56" s="43"/>
      <c r="S56" s="43"/>
      <c r="T56" s="43"/>
      <c r="U56" s="43"/>
    </row>
    <row r="57" spans="1:21">
      <c r="A57" s="43"/>
      <c r="B57" s="46"/>
      <c r="C57" s="44"/>
      <c r="D57" s="44"/>
      <c r="E57" s="44"/>
      <c r="F57" s="44"/>
      <c r="G57" s="44"/>
      <c r="H57" s="44"/>
      <c r="I57" s="44"/>
      <c r="J57" s="44"/>
      <c r="K57" s="45"/>
      <c r="L57" s="44"/>
      <c r="M57" s="43"/>
      <c r="N57" s="43"/>
      <c r="O57" s="43"/>
      <c r="P57" s="43"/>
      <c r="Q57" s="43"/>
      <c r="R57" s="43"/>
      <c r="S57" s="43"/>
      <c r="T57" s="43"/>
      <c r="U57" s="43"/>
    </row>
    <row r="58" spans="1:21">
      <c r="A58" s="43"/>
      <c r="B58" s="46"/>
      <c r="C58" s="44"/>
      <c r="D58" s="44"/>
      <c r="E58" s="44"/>
      <c r="F58" s="44"/>
      <c r="G58" s="44"/>
      <c r="H58" s="44"/>
      <c r="I58" s="44"/>
      <c r="J58" s="44"/>
      <c r="K58" s="45"/>
      <c r="L58" s="44"/>
      <c r="M58" s="43"/>
      <c r="N58" s="43"/>
      <c r="O58" s="43"/>
      <c r="P58" s="43"/>
      <c r="Q58" s="43"/>
      <c r="R58" s="43"/>
      <c r="S58" s="43"/>
      <c r="T58" s="43"/>
      <c r="U58" s="43"/>
    </row>
    <row r="59" spans="1:21">
      <c r="A59" s="43"/>
      <c r="B59" s="46"/>
      <c r="C59" s="44"/>
      <c r="D59" s="44"/>
      <c r="E59" s="44"/>
      <c r="F59" s="44"/>
      <c r="G59" s="44"/>
      <c r="H59" s="44"/>
      <c r="I59" s="44"/>
      <c r="J59" s="44"/>
      <c r="K59" s="45"/>
      <c r="L59" s="44"/>
      <c r="M59" s="43"/>
      <c r="N59" s="43"/>
      <c r="O59" s="43"/>
      <c r="P59" s="43"/>
      <c r="Q59" s="43"/>
      <c r="R59" s="43"/>
      <c r="S59" s="43"/>
      <c r="T59" s="43"/>
      <c r="U59" s="43"/>
    </row>
    <row r="60" spans="1:21">
      <c r="A60" s="43"/>
      <c r="B60" s="46"/>
      <c r="C60" s="44"/>
      <c r="D60" s="44"/>
      <c r="E60" s="44"/>
      <c r="F60" s="44"/>
      <c r="G60" s="44"/>
      <c r="H60" s="44"/>
      <c r="I60" s="44"/>
      <c r="J60" s="44"/>
      <c r="K60" s="45"/>
      <c r="L60" s="44"/>
      <c r="M60" s="43"/>
      <c r="N60" s="43"/>
      <c r="O60" s="43"/>
      <c r="P60" s="43"/>
      <c r="Q60" s="43"/>
      <c r="R60" s="43"/>
      <c r="S60" s="43"/>
      <c r="T60" s="43"/>
      <c r="U60" s="43"/>
    </row>
    <row r="61" spans="1:21">
      <c r="A61" s="43"/>
      <c r="B61" s="46"/>
      <c r="C61" s="44"/>
      <c r="D61" s="44"/>
      <c r="E61" s="44"/>
      <c r="F61" s="44"/>
      <c r="G61" s="44"/>
      <c r="H61" s="44"/>
      <c r="I61" s="44"/>
      <c r="J61" s="44"/>
      <c r="K61" s="45"/>
      <c r="L61" s="44"/>
      <c r="M61" s="43"/>
      <c r="N61" s="43"/>
      <c r="O61" s="43"/>
      <c r="P61" s="43"/>
      <c r="Q61" s="43"/>
      <c r="R61" s="43"/>
      <c r="S61" s="43"/>
      <c r="T61" s="43"/>
      <c r="U61" s="43"/>
    </row>
    <row r="62" spans="1:21">
      <c r="A62" s="43"/>
      <c r="B62" s="46"/>
      <c r="C62" s="44"/>
      <c r="D62" s="44"/>
      <c r="E62" s="44"/>
      <c r="F62" s="44"/>
      <c r="G62" s="44"/>
      <c r="H62" s="44"/>
      <c r="I62" s="44"/>
      <c r="J62" s="44"/>
      <c r="K62" s="45"/>
      <c r="L62" s="44"/>
      <c r="M62" s="43"/>
      <c r="N62" s="43"/>
      <c r="O62" s="43"/>
      <c r="P62" s="43"/>
      <c r="Q62" s="43"/>
      <c r="R62" s="43"/>
      <c r="S62" s="43"/>
      <c r="T62" s="43"/>
      <c r="U62" s="43"/>
    </row>
    <row r="63" spans="1:21">
      <c r="A63" s="43"/>
      <c r="B63" s="46"/>
      <c r="C63" s="44"/>
      <c r="D63" s="44"/>
      <c r="E63" s="44"/>
      <c r="F63" s="44"/>
      <c r="G63" s="44"/>
      <c r="H63" s="44"/>
      <c r="I63" s="44"/>
      <c r="J63" s="44"/>
      <c r="K63" s="45"/>
      <c r="L63" s="44"/>
      <c r="M63" s="43"/>
      <c r="N63" s="43"/>
      <c r="O63" s="43"/>
      <c r="P63" s="43"/>
      <c r="Q63" s="43"/>
      <c r="R63" s="43"/>
      <c r="S63" s="43"/>
      <c r="T63" s="43"/>
      <c r="U63" s="43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600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2026-06-02T06:04:05Z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