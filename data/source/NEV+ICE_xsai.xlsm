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codeName="ThisWorkbook"/>
  <mc:AlternateContent xmlns:mc="http://schemas.openxmlformats.org/markup-compatibility/2006">
    <mc:Choice Requires="x15">
      <x15ac:absPath xmlns:x15ac="http://schemas.microsoft.com/office/spreadsheetml/2010/11/ac" url="D:\WorkCode\AI_Digest\data\source\"/>
    </mc:Choice>
  </mc:AlternateContent>
  <xr:revisionPtr revIDLastSave="0" documentId="13_ncr:1_{5F0637A5-3B98-4EE5-9BB7-F92D374D81DF}" xr6:coauthVersionLast="47" xr6:coauthVersionMax="47" xr10:uidLastSave="{00000000-0000-0000-0000-000000000000}"/>
  <bookViews>
    <workbookView xWindow="-120" yWindow="-120" windowWidth="29040" windowHeight="15720" tabRatio="858" activeTab="6" xr2:uid="{00000000-000D-0000-FFFF-FFFF00000000}"/>
  </bookViews>
  <sheets>
    <sheet name="参数" sheetId="1" r:id="rId1"/>
    <sheet name="目标竖版" sheetId="2" r:id="rId2"/>
    <sheet name="全车有效线索管控" sheetId="3" r:id="rId3"/>
    <sheet name="全国按日NEV" sheetId="4" r:id="rId4"/>
    <sheet name="全国按日ICE" sheetId="5" r:id="rId5"/>
    <sheet name="十五代轩逸按日" sheetId="6" r:id="rId6"/>
    <sheet name="每日NEV早报模板" sheetId="7" r:id="rId7"/>
  </sheets>
  <definedNames>
    <definedName name="_xlnm._FilterDatabase" localSheetId="1" hidden="1">目标竖版!$A$2:$BP$1226</definedName>
    <definedName name="_xlnm._FilterDatabase" localSheetId="4" hidden="1">全国按日ICE!$A$1:$U$1</definedName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226" i="2" l="1"/>
  <c r="M1225" i="2"/>
  <c r="M1224" i="2"/>
  <c r="M1223" i="2"/>
  <c r="M1222" i="2"/>
  <c r="M1221" i="2"/>
  <c r="M1220" i="2"/>
  <c r="M1219" i="2"/>
  <c r="M1218" i="2"/>
  <c r="M1217" i="2"/>
  <c r="M1216" i="2"/>
  <c r="M1215" i="2"/>
  <c r="M1214" i="2"/>
  <c r="M1213" i="2"/>
  <c r="M1212" i="2"/>
  <c r="M1211" i="2"/>
  <c r="M1210" i="2"/>
  <c r="M1209" i="2"/>
  <c r="M1208" i="2"/>
  <c r="M1207" i="2"/>
  <c r="M1206" i="2"/>
  <c r="M1205" i="2"/>
  <c r="M1204" i="2"/>
  <c r="M1203" i="2"/>
  <c r="M1202" i="2"/>
  <c r="M1201" i="2"/>
  <c r="M1200" i="2"/>
  <c r="M1199" i="2"/>
  <c r="M1198" i="2"/>
  <c r="M1197" i="2"/>
  <c r="M1196" i="2"/>
  <c r="M1195" i="2"/>
  <c r="M1194" i="2"/>
  <c r="M1193" i="2"/>
  <c r="M1192" i="2"/>
  <c r="M1191" i="2"/>
  <c r="M1190" i="2"/>
  <c r="M1189" i="2"/>
  <c r="M1188" i="2"/>
  <c r="M1187" i="2"/>
  <c r="M1186" i="2"/>
  <c r="M1185" i="2"/>
  <c r="M1184" i="2"/>
  <c r="M1183" i="2"/>
  <c r="M1182" i="2"/>
  <c r="M1181" i="2"/>
  <c r="M1180" i="2"/>
  <c r="M1179" i="2"/>
  <c r="M1178" i="2"/>
  <c r="M1177" i="2"/>
  <c r="M1176" i="2"/>
  <c r="M1175" i="2"/>
  <c r="M1174" i="2"/>
  <c r="M1173" i="2"/>
  <c r="M1172" i="2"/>
  <c r="M1171" i="2"/>
  <c r="M1170" i="2"/>
  <c r="M1169" i="2"/>
  <c r="M1168" i="2"/>
  <c r="M1167" i="2"/>
  <c r="M1166" i="2"/>
  <c r="M1165" i="2"/>
  <c r="M1164" i="2"/>
  <c r="M1163" i="2"/>
  <c r="M1162" i="2"/>
  <c r="M1161" i="2"/>
  <c r="M1160" i="2"/>
  <c r="M1159" i="2"/>
  <c r="M1158" i="2"/>
  <c r="M1157" i="2"/>
  <c r="M1156" i="2"/>
  <c r="M1155" i="2"/>
  <c r="M1154" i="2"/>
  <c r="M1153" i="2"/>
  <c r="M1152" i="2"/>
  <c r="M1151" i="2"/>
  <c r="M1150" i="2"/>
  <c r="M1149" i="2"/>
  <c r="M1148" i="2"/>
  <c r="M1147" i="2"/>
  <c r="M1146" i="2"/>
  <c r="M1145" i="2"/>
  <c r="M1144" i="2"/>
  <c r="M1143" i="2"/>
  <c r="M1142" i="2"/>
  <c r="M1141" i="2"/>
  <c r="M1140" i="2"/>
  <c r="M1139" i="2"/>
  <c r="M1138" i="2"/>
  <c r="M1137" i="2"/>
  <c r="M1136" i="2"/>
  <c r="M1135" i="2"/>
  <c r="M1134" i="2"/>
  <c r="M1133" i="2"/>
  <c r="M1132" i="2"/>
  <c r="M1131" i="2"/>
  <c r="M1130" i="2"/>
  <c r="M1129" i="2"/>
  <c r="M1128" i="2"/>
  <c r="M1127" i="2"/>
  <c r="M1126" i="2"/>
  <c r="M1125" i="2"/>
  <c r="M1124" i="2"/>
  <c r="M1123" i="2"/>
  <c r="M1122" i="2"/>
  <c r="M1121" i="2"/>
  <c r="M1120" i="2"/>
  <c r="M1119" i="2"/>
  <c r="M1118" i="2"/>
  <c r="M1117" i="2"/>
  <c r="M1116" i="2"/>
  <c r="M1115" i="2"/>
  <c r="M1114" i="2"/>
  <c r="M1113" i="2"/>
  <c r="M1112" i="2"/>
  <c r="M1111" i="2"/>
  <c r="M1110" i="2"/>
  <c r="M1109" i="2"/>
  <c r="M1108" i="2"/>
  <c r="M1107" i="2"/>
  <c r="M1106" i="2"/>
  <c r="M1105" i="2"/>
  <c r="M1104" i="2"/>
  <c r="M1103" i="2"/>
  <c r="M1102" i="2"/>
  <c r="M1101" i="2"/>
  <c r="M1100" i="2"/>
  <c r="M1099" i="2"/>
  <c r="M1098" i="2"/>
  <c r="M1097" i="2"/>
  <c r="M1096" i="2"/>
  <c r="M1095" i="2"/>
  <c r="M1094" i="2"/>
  <c r="M1093" i="2"/>
  <c r="M1092" i="2"/>
  <c r="M1091" i="2"/>
  <c r="M1090" i="2"/>
  <c r="M1089" i="2"/>
  <c r="M1088" i="2"/>
  <c r="M1087" i="2"/>
  <c r="M1086" i="2"/>
  <c r="M1085" i="2"/>
  <c r="M1084" i="2"/>
  <c r="M1083" i="2"/>
  <c r="M1082" i="2"/>
  <c r="M1081" i="2"/>
  <c r="M1080" i="2"/>
  <c r="M1079" i="2"/>
  <c r="M1078" i="2"/>
  <c r="M1077" i="2"/>
  <c r="M1076" i="2"/>
  <c r="M1075" i="2"/>
  <c r="M1074" i="2"/>
  <c r="M1073" i="2"/>
  <c r="M1072" i="2"/>
  <c r="M1071" i="2"/>
  <c r="M1070" i="2"/>
  <c r="M1069" i="2"/>
  <c r="M1068" i="2"/>
  <c r="M1067" i="2"/>
  <c r="M1066" i="2"/>
  <c r="M1065" i="2"/>
  <c r="M1064" i="2"/>
  <c r="M1063" i="2"/>
  <c r="M1062" i="2"/>
  <c r="M1061" i="2"/>
  <c r="M1060" i="2"/>
  <c r="M1059" i="2"/>
  <c r="M1058" i="2"/>
  <c r="M1057" i="2"/>
  <c r="M1056" i="2"/>
  <c r="M1055" i="2"/>
  <c r="M1054" i="2"/>
  <c r="M1053" i="2"/>
  <c r="M1052" i="2"/>
  <c r="M1051" i="2"/>
  <c r="M1050" i="2"/>
  <c r="M1049" i="2"/>
  <c r="M1048" i="2"/>
  <c r="M1047" i="2"/>
  <c r="M1046" i="2"/>
  <c r="M1045" i="2"/>
  <c r="M1044" i="2"/>
  <c r="M1043" i="2"/>
  <c r="M1042" i="2"/>
  <c r="M1041" i="2"/>
  <c r="M1040" i="2"/>
  <c r="M1039" i="2"/>
  <c r="M1038" i="2"/>
  <c r="M1037" i="2"/>
  <c r="M1036" i="2"/>
  <c r="M1035" i="2"/>
  <c r="M1034" i="2"/>
  <c r="M1033" i="2"/>
  <c r="M1032" i="2"/>
  <c r="M1031" i="2"/>
  <c r="M1030" i="2"/>
  <c r="M1029" i="2"/>
  <c r="M1028" i="2"/>
  <c r="M1027" i="2"/>
  <c r="M1026" i="2"/>
  <c r="M1025" i="2"/>
  <c r="M1024" i="2"/>
  <c r="M1023" i="2"/>
  <c r="M1022" i="2"/>
  <c r="M1021" i="2"/>
  <c r="M1020" i="2"/>
  <c r="M1019" i="2"/>
  <c r="M1018" i="2"/>
  <c r="M1017" i="2"/>
  <c r="M1016" i="2"/>
  <c r="M1015" i="2"/>
  <c r="M1014" i="2"/>
  <c r="M1013" i="2"/>
  <c r="M1012" i="2"/>
  <c r="M1011" i="2"/>
  <c r="M1010" i="2"/>
  <c r="M1009" i="2"/>
  <c r="M1008" i="2"/>
  <c r="M1007" i="2"/>
  <c r="M1006" i="2"/>
  <c r="M1005" i="2"/>
  <c r="M1004" i="2"/>
  <c r="M1003" i="2"/>
  <c r="M1002" i="2"/>
  <c r="M1001" i="2"/>
  <c r="M1000" i="2"/>
  <c r="M999" i="2"/>
  <c r="M998" i="2"/>
  <c r="M997" i="2"/>
  <c r="M996" i="2"/>
  <c r="M995" i="2"/>
  <c r="M994" i="2"/>
  <c r="M993" i="2"/>
  <c r="M992" i="2"/>
  <c r="M991" i="2"/>
  <c r="M990" i="2"/>
  <c r="M989" i="2"/>
  <c r="M988" i="2"/>
  <c r="M987" i="2"/>
  <c r="M986" i="2"/>
  <c r="M985" i="2"/>
  <c r="M984" i="2"/>
  <c r="M983" i="2"/>
  <c r="M982" i="2"/>
  <c r="M981" i="2"/>
  <c r="M980" i="2"/>
  <c r="M979" i="2"/>
  <c r="M978" i="2"/>
  <c r="M977" i="2"/>
  <c r="M976" i="2"/>
  <c r="M975" i="2"/>
  <c r="M974" i="2"/>
  <c r="M973" i="2"/>
  <c r="M972" i="2"/>
  <c r="M971" i="2"/>
  <c r="M970" i="2"/>
  <c r="M969" i="2"/>
  <c r="M968" i="2"/>
  <c r="M967" i="2"/>
  <c r="M966" i="2"/>
  <c r="M965" i="2"/>
  <c r="M964" i="2"/>
  <c r="M963" i="2"/>
  <c r="M962" i="2"/>
  <c r="M961" i="2"/>
  <c r="M960" i="2"/>
  <c r="M959" i="2"/>
  <c r="M958" i="2"/>
  <c r="M957" i="2"/>
  <c r="M956" i="2"/>
  <c r="M955" i="2"/>
  <c r="M954" i="2"/>
  <c r="M953" i="2"/>
  <c r="M952" i="2"/>
  <c r="N951" i="2"/>
  <c r="M951" i="2" s="1"/>
  <c r="N950" i="2"/>
  <c r="M950" i="2"/>
  <c r="N949" i="2"/>
  <c r="M949" i="2" s="1"/>
  <c r="N948" i="2"/>
  <c r="M948" i="2"/>
  <c r="N947" i="2"/>
  <c r="M947" i="2" s="1"/>
  <c r="N946" i="2"/>
  <c r="M946" i="2"/>
  <c r="N945" i="2"/>
  <c r="M945" i="2" s="1"/>
  <c r="N944" i="2"/>
  <c r="M944" i="2"/>
  <c r="N943" i="2"/>
  <c r="M943" i="2" s="1"/>
  <c r="N942" i="2"/>
  <c r="M942" i="2"/>
  <c r="N941" i="2"/>
  <c r="M941" i="2" s="1"/>
  <c r="N940" i="2"/>
  <c r="M940" i="2"/>
  <c r="M939" i="2"/>
  <c r="M938" i="2"/>
  <c r="M937" i="2"/>
  <c r="M936" i="2"/>
  <c r="M935" i="2"/>
  <c r="M934" i="2"/>
  <c r="M933" i="2"/>
  <c r="M932" i="2"/>
  <c r="M931" i="2"/>
  <c r="M930" i="2"/>
  <c r="M929" i="2"/>
  <c r="M928" i="2"/>
  <c r="M927" i="2"/>
  <c r="M926" i="2"/>
  <c r="M925" i="2"/>
  <c r="M924" i="2"/>
  <c r="M923" i="2"/>
  <c r="M922" i="2"/>
  <c r="M921" i="2"/>
  <c r="M920" i="2"/>
  <c r="M919" i="2"/>
  <c r="M918" i="2"/>
  <c r="M917" i="2"/>
  <c r="M916" i="2"/>
  <c r="M915" i="2"/>
  <c r="M914" i="2"/>
  <c r="M913" i="2"/>
  <c r="M912" i="2"/>
  <c r="M911" i="2"/>
  <c r="M910" i="2"/>
  <c r="M909" i="2"/>
  <c r="M908" i="2"/>
  <c r="M907" i="2"/>
  <c r="M906" i="2"/>
  <c r="M905" i="2"/>
  <c r="M904" i="2"/>
  <c r="M903" i="2"/>
  <c r="M902" i="2"/>
  <c r="M901" i="2"/>
  <c r="M900" i="2"/>
  <c r="M899" i="2"/>
  <c r="M898" i="2"/>
  <c r="M897" i="2"/>
  <c r="M896" i="2"/>
  <c r="M895" i="2"/>
  <c r="M894" i="2"/>
  <c r="M893" i="2"/>
  <c r="M892" i="2"/>
  <c r="M891" i="2"/>
  <c r="M890" i="2"/>
  <c r="M889" i="2"/>
  <c r="M888" i="2"/>
  <c r="M887" i="2"/>
  <c r="M886" i="2"/>
  <c r="M885" i="2"/>
  <c r="M884" i="2"/>
  <c r="M883" i="2"/>
  <c r="M882" i="2"/>
  <c r="M881" i="2"/>
  <c r="M880" i="2"/>
  <c r="M879" i="2"/>
  <c r="M878" i="2"/>
  <c r="M877" i="2"/>
  <c r="M876" i="2"/>
  <c r="M875" i="2"/>
  <c r="M874" i="2"/>
  <c r="M873" i="2"/>
  <c r="M872" i="2"/>
  <c r="M871" i="2"/>
  <c r="M870" i="2"/>
  <c r="M869" i="2"/>
  <c r="M868" i="2"/>
  <c r="M867" i="2"/>
  <c r="M866" i="2"/>
  <c r="M865" i="2"/>
  <c r="M864" i="2"/>
  <c r="M863" i="2"/>
  <c r="M862" i="2"/>
  <c r="M861" i="2"/>
  <c r="M860" i="2"/>
  <c r="M859" i="2"/>
  <c r="M858" i="2"/>
  <c r="M857" i="2"/>
  <c r="M856" i="2"/>
  <c r="M855" i="2"/>
  <c r="M854" i="2"/>
  <c r="M853" i="2"/>
  <c r="M852" i="2"/>
  <c r="M851" i="2"/>
  <c r="M850" i="2"/>
  <c r="M849" i="2"/>
  <c r="M848" i="2"/>
  <c r="M847" i="2"/>
  <c r="M846" i="2"/>
  <c r="M845" i="2"/>
  <c r="M844" i="2"/>
  <c r="M843" i="2"/>
  <c r="M842" i="2"/>
  <c r="M841" i="2"/>
  <c r="M840" i="2"/>
  <c r="M839" i="2"/>
  <c r="M838" i="2"/>
  <c r="M837" i="2"/>
  <c r="M836" i="2"/>
  <c r="M835" i="2"/>
  <c r="M834" i="2"/>
  <c r="M833" i="2"/>
  <c r="M832" i="2"/>
  <c r="M831" i="2"/>
  <c r="M830" i="2"/>
  <c r="M829" i="2"/>
  <c r="M828" i="2"/>
  <c r="M827" i="2"/>
  <c r="M826" i="2"/>
  <c r="M825" i="2"/>
  <c r="M824" i="2"/>
  <c r="M823" i="2"/>
  <c r="M822" i="2"/>
  <c r="M821" i="2"/>
  <c r="M820" i="2"/>
  <c r="M819" i="2"/>
  <c r="M818" i="2"/>
  <c r="M817" i="2"/>
  <c r="M816" i="2"/>
  <c r="M815" i="2"/>
  <c r="M814" i="2"/>
  <c r="M813" i="2"/>
  <c r="M812" i="2"/>
  <c r="M811" i="2"/>
  <c r="M810" i="2"/>
  <c r="M809" i="2"/>
  <c r="M808" i="2"/>
  <c r="M807" i="2"/>
  <c r="M806" i="2"/>
  <c r="M805" i="2"/>
  <c r="M804" i="2"/>
  <c r="M803" i="2"/>
  <c r="M802" i="2"/>
  <c r="M801" i="2"/>
  <c r="M800" i="2"/>
  <c r="M799" i="2"/>
  <c r="M798" i="2"/>
  <c r="M797" i="2"/>
  <c r="M796" i="2"/>
  <c r="M795" i="2"/>
  <c r="M794" i="2"/>
  <c r="M793" i="2"/>
  <c r="M792" i="2"/>
  <c r="M791" i="2"/>
  <c r="M790" i="2"/>
  <c r="M789" i="2"/>
  <c r="M788" i="2"/>
  <c r="M787" i="2"/>
  <c r="M786" i="2"/>
  <c r="M785" i="2"/>
  <c r="M784" i="2"/>
  <c r="M783" i="2"/>
  <c r="M782" i="2"/>
  <c r="M781" i="2"/>
  <c r="M780" i="2"/>
  <c r="M779" i="2"/>
  <c r="M778" i="2"/>
  <c r="M777" i="2"/>
  <c r="M776" i="2"/>
  <c r="M775" i="2"/>
  <c r="M774" i="2"/>
  <c r="M773" i="2"/>
  <c r="M772" i="2"/>
  <c r="M771" i="2"/>
  <c r="M770" i="2"/>
  <c r="M769" i="2"/>
  <c r="M768" i="2"/>
  <c r="M767" i="2"/>
  <c r="M766" i="2"/>
  <c r="M765" i="2"/>
  <c r="M764" i="2"/>
  <c r="M763" i="2"/>
  <c r="M762" i="2"/>
  <c r="M761" i="2"/>
  <c r="M760" i="2"/>
  <c r="M759" i="2"/>
  <c r="M758" i="2"/>
  <c r="M757" i="2"/>
  <c r="M756" i="2"/>
  <c r="M755" i="2"/>
  <c r="M754" i="2"/>
  <c r="M753" i="2"/>
  <c r="M752" i="2"/>
  <c r="M751" i="2"/>
  <c r="M750" i="2"/>
  <c r="M749" i="2"/>
  <c r="M748" i="2"/>
  <c r="M747" i="2"/>
  <c r="M746" i="2"/>
  <c r="M745" i="2"/>
  <c r="M744" i="2"/>
  <c r="M743" i="2"/>
  <c r="M742" i="2"/>
  <c r="M741" i="2"/>
  <c r="M740" i="2"/>
  <c r="M739" i="2"/>
  <c r="M738" i="2"/>
  <c r="M737" i="2"/>
  <c r="M736" i="2"/>
  <c r="M735" i="2"/>
  <c r="M734" i="2"/>
  <c r="M733" i="2"/>
  <c r="M732" i="2"/>
  <c r="M731" i="2"/>
  <c r="M730" i="2"/>
  <c r="M729" i="2"/>
  <c r="M728" i="2"/>
  <c r="M727" i="2"/>
  <c r="M726" i="2"/>
  <c r="M725" i="2"/>
  <c r="M724" i="2"/>
  <c r="M723" i="2"/>
  <c r="M722" i="2"/>
  <c r="M721" i="2"/>
  <c r="M720" i="2"/>
  <c r="M719" i="2"/>
  <c r="M718" i="2"/>
  <c r="M717" i="2"/>
  <c r="M716" i="2"/>
  <c r="M715" i="2"/>
  <c r="M714" i="2"/>
  <c r="M713" i="2"/>
  <c r="M712" i="2"/>
  <c r="M711" i="2"/>
  <c r="M710" i="2"/>
  <c r="M709" i="2"/>
  <c r="M708" i="2"/>
  <c r="M707" i="2"/>
  <c r="M706" i="2"/>
  <c r="M705" i="2"/>
  <c r="M704" i="2"/>
  <c r="M703" i="2"/>
  <c r="M702" i="2"/>
  <c r="M701" i="2"/>
  <c r="M700" i="2"/>
  <c r="M699" i="2"/>
  <c r="M698" i="2"/>
  <c r="M697" i="2"/>
  <c r="M696" i="2"/>
  <c r="M695" i="2"/>
  <c r="M694" i="2"/>
  <c r="M693" i="2"/>
  <c r="M692" i="2"/>
  <c r="M691" i="2"/>
  <c r="M690" i="2"/>
  <c r="M689" i="2"/>
  <c r="M688" i="2"/>
  <c r="M687" i="2"/>
  <c r="M686" i="2"/>
  <c r="M685" i="2"/>
  <c r="M684" i="2"/>
  <c r="M683" i="2"/>
  <c r="M682" i="2"/>
  <c r="M681" i="2"/>
  <c r="M680" i="2"/>
  <c r="M679" i="2"/>
  <c r="M678" i="2"/>
  <c r="M677" i="2"/>
  <c r="M676" i="2"/>
  <c r="M675" i="2"/>
  <c r="M674" i="2"/>
  <c r="M673" i="2"/>
  <c r="M672" i="2"/>
  <c r="M671" i="2"/>
  <c r="M670" i="2"/>
  <c r="M669" i="2"/>
  <c r="M668" i="2"/>
  <c r="M667" i="2"/>
  <c r="M666" i="2"/>
  <c r="M665" i="2"/>
  <c r="M664" i="2"/>
  <c r="M663" i="2"/>
  <c r="M662" i="2"/>
  <c r="M661" i="2"/>
  <c r="M660" i="2"/>
  <c r="M659" i="2"/>
  <c r="M658" i="2"/>
  <c r="M657" i="2"/>
  <c r="M656" i="2"/>
  <c r="M655" i="2"/>
  <c r="M654" i="2"/>
  <c r="M653" i="2"/>
  <c r="M652" i="2"/>
  <c r="M651" i="2"/>
  <c r="M650" i="2"/>
  <c r="M649" i="2"/>
  <c r="M648" i="2"/>
  <c r="M647" i="2"/>
  <c r="M646" i="2"/>
  <c r="M645" i="2"/>
  <c r="M644" i="2"/>
  <c r="M643" i="2"/>
  <c r="M642" i="2"/>
  <c r="M641" i="2"/>
  <c r="M640" i="2"/>
  <c r="M639" i="2"/>
  <c r="M638" i="2"/>
  <c r="M637" i="2"/>
  <c r="M636" i="2"/>
  <c r="M635" i="2"/>
  <c r="M634" i="2"/>
  <c r="M633" i="2"/>
  <c r="M632" i="2"/>
  <c r="M631" i="2"/>
  <c r="M630" i="2"/>
  <c r="M629" i="2"/>
  <c r="M628" i="2"/>
  <c r="M627" i="2"/>
  <c r="M626" i="2"/>
  <c r="M625" i="2"/>
  <c r="M624" i="2"/>
  <c r="M623" i="2"/>
  <c r="M622" i="2"/>
  <c r="M621" i="2"/>
  <c r="M620" i="2"/>
  <c r="M619" i="2"/>
  <c r="M618" i="2"/>
  <c r="M617" i="2"/>
  <c r="M616" i="2"/>
  <c r="M615" i="2"/>
  <c r="M614" i="2"/>
  <c r="M613" i="2"/>
  <c r="M612" i="2"/>
  <c r="M611" i="2"/>
  <c r="M610" i="2"/>
  <c r="M609" i="2"/>
  <c r="M608" i="2"/>
  <c r="M607" i="2"/>
  <c r="M606" i="2"/>
  <c r="M605" i="2"/>
  <c r="M604" i="2"/>
  <c r="M603" i="2"/>
  <c r="M602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M540" i="2"/>
  <c r="M539" i="2"/>
  <c r="M538" i="2"/>
  <c r="M537" i="2"/>
  <c r="M536" i="2"/>
  <c r="M535" i="2"/>
  <c r="M534" i="2"/>
  <c r="M533" i="2"/>
  <c r="M532" i="2"/>
  <c r="M531" i="2"/>
  <c r="M530" i="2"/>
  <c r="M529" i="2"/>
  <c r="M528" i="2"/>
  <c r="M527" i="2"/>
  <c r="M526" i="2"/>
  <c r="M525" i="2"/>
  <c r="M524" i="2"/>
  <c r="M523" i="2"/>
  <c r="M522" i="2"/>
  <c r="M521" i="2"/>
  <c r="M520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AF9" i="3"/>
  <c r="Z9" i="3"/>
  <c r="Y9" i="3"/>
  <c r="X9" i="3"/>
  <c r="R9" i="3"/>
  <c r="Q9" i="3"/>
  <c r="P9" i="3"/>
  <c r="J9" i="3"/>
  <c r="I9" i="3"/>
  <c r="H9" i="3"/>
  <c r="B9" i="3"/>
  <c r="AE6" i="3"/>
  <c r="AE9" i="3" s="1"/>
  <c r="AD6" i="3"/>
  <c r="AD9" i="3" s="1"/>
  <c r="AC6" i="3"/>
  <c r="AC9" i="3" s="1"/>
  <c r="AB6" i="3"/>
  <c r="AB9" i="3" s="1"/>
  <c r="AA6" i="3"/>
  <c r="AA9" i="3" s="1"/>
  <c r="Z6" i="3"/>
  <c r="Y6" i="3"/>
  <c r="X6" i="3"/>
  <c r="W6" i="3"/>
  <c r="W9" i="3" s="1"/>
  <c r="V6" i="3"/>
  <c r="V9" i="3" s="1"/>
  <c r="U6" i="3"/>
  <c r="U9" i="3" s="1"/>
  <c r="T6" i="3"/>
  <c r="T9" i="3" s="1"/>
  <c r="S6" i="3"/>
  <c r="S9" i="3" s="1"/>
  <c r="R6" i="3"/>
  <c r="Q6" i="3"/>
  <c r="P6" i="3"/>
  <c r="O6" i="3"/>
  <c r="O9" i="3" s="1"/>
  <c r="N6" i="3"/>
  <c r="N9" i="3" s="1"/>
  <c r="M6" i="3"/>
  <c r="M9" i="3" s="1"/>
  <c r="L6" i="3"/>
  <c r="L9" i="3" s="1"/>
  <c r="K6" i="3"/>
  <c r="K9" i="3" s="1"/>
  <c r="J6" i="3"/>
  <c r="I6" i="3"/>
  <c r="H6" i="3"/>
  <c r="G6" i="3"/>
  <c r="G9" i="3" s="1"/>
  <c r="F6" i="3"/>
  <c r="F9" i="3" s="1"/>
  <c r="E6" i="3"/>
  <c r="E9" i="3" s="1"/>
  <c r="D6" i="3"/>
  <c r="D9" i="3" s="1"/>
  <c r="C6" i="3"/>
  <c r="C9" i="3" s="1"/>
  <c r="B6" i="3"/>
  <c r="AD8" i="3" s="1"/>
  <c r="AF5" i="3"/>
  <c r="AE5" i="3"/>
  <c r="AD5" i="3"/>
  <c r="AC5" i="3"/>
  <c r="AB5" i="3"/>
  <c r="AA5" i="3"/>
  <c r="Z5" i="3"/>
  <c r="Y5" i="3"/>
  <c r="X5" i="3"/>
  <c r="W5" i="3"/>
  <c r="V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AF7" i="3" s="1"/>
  <c r="B5" i="3"/>
  <c r="AC7" i="3" s="1"/>
  <c r="C7" i="1"/>
  <c r="C1" i="1"/>
  <c r="C2" i="1" s="1"/>
  <c r="C6" i="1" l="1"/>
  <c r="C3" i="1"/>
  <c r="I2" i="1"/>
  <c r="C5" i="1"/>
  <c r="F2" i="1"/>
  <c r="C4" i="1"/>
  <c r="N7" i="3"/>
  <c r="AD7" i="3"/>
  <c r="AD10" i="3" s="1"/>
  <c r="O8" i="3"/>
  <c r="O10" i="3" s="1"/>
  <c r="AE8" i="3"/>
  <c r="AE10" i="3" s="1"/>
  <c r="G7" i="3"/>
  <c r="O7" i="3"/>
  <c r="W7" i="3"/>
  <c r="AE7" i="3"/>
  <c r="H8" i="3"/>
  <c r="P8" i="3"/>
  <c r="X8" i="3"/>
  <c r="AF8" i="3"/>
  <c r="AF10" i="3" s="1"/>
  <c r="F7" i="3"/>
  <c r="V7" i="3"/>
  <c r="G8" i="3"/>
  <c r="G10" i="3" s="1"/>
  <c r="W8" i="3"/>
  <c r="H7" i="3"/>
  <c r="P7" i="3"/>
  <c r="X7" i="3"/>
  <c r="I8" i="3"/>
  <c r="I10" i="3" s="1"/>
  <c r="Q8" i="3"/>
  <c r="Y8" i="3"/>
  <c r="Y10" i="3" s="1"/>
  <c r="I7" i="3"/>
  <c r="Q7" i="3"/>
  <c r="Y7" i="3"/>
  <c r="B8" i="3"/>
  <c r="B10" i="3" s="1"/>
  <c r="J8" i="3"/>
  <c r="R8" i="3"/>
  <c r="R10" i="3" s="1"/>
  <c r="Z8" i="3"/>
  <c r="Z10" i="3" s="1"/>
  <c r="B7" i="3"/>
  <c r="J7" i="3"/>
  <c r="R7" i="3"/>
  <c r="Z7" i="3"/>
  <c r="C8" i="3"/>
  <c r="C10" i="3" s="1"/>
  <c r="K8" i="3"/>
  <c r="S8" i="3"/>
  <c r="S10" i="3" s="1"/>
  <c r="AA8" i="3"/>
  <c r="AA10" i="3" s="1"/>
  <c r="C7" i="3"/>
  <c r="K7" i="3"/>
  <c r="S7" i="3"/>
  <c r="AA7" i="3"/>
  <c r="D8" i="3"/>
  <c r="D10" i="3" s="1"/>
  <c r="L8" i="3"/>
  <c r="T8" i="3"/>
  <c r="T10" i="3" s="1"/>
  <c r="AB8" i="3"/>
  <c r="AB10" i="3" s="1"/>
  <c r="D7" i="3"/>
  <c r="L7" i="3"/>
  <c r="T7" i="3"/>
  <c r="AB7" i="3"/>
  <c r="E8" i="3"/>
  <c r="E10" i="3" s="1"/>
  <c r="M8" i="3"/>
  <c r="U8" i="3"/>
  <c r="U10" i="3" s="1"/>
  <c r="AC8" i="3"/>
  <c r="AC10" i="3" s="1"/>
  <c r="E7" i="3"/>
  <c r="M7" i="3"/>
  <c r="U7" i="3"/>
  <c r="F8" i="3"/>
  <c r="F10" i="3" s="1"/>
  <c r="N8" i="3"/>
  <c r="N10" i="3" s="1"/>
  <c r="V8" i="3"/>
  <c r="V10" i="3" s="1"/>
  <c r="H10" i="3" l="1"/>
  <c r="W10" i="3"/>
  <c r="F3" i="1"/>
  <c r="F5" i="1"/>
  <c r="F4" i="1"/>
  <c r="F6" i="1"/>
  <c r="Q10" i="3"/>
  <c r="I5" i="1"/>
  <c r="I4" i="1"/>
  <c r="I6" i="1"/>
  <c r="I3" i="1"/>
  <c r="M10" i="3"/>
  <c r="L10" i="3"/>
  <c r="K10" i="3"/>
  <c r="J10" i="3"/>
  <c r="X10" i="3"/>
  <c r="P10" i="3"/>
</calcChain>
</file>

<file path=xl/sharedStrings.xml><?xml version="1.0" encoding="utf-8"?>
<sst xmlns="http://schemas.openxmlformats.org/spreadsheetml/2006/main" count="3418" uniqueCount="965">
  <si>
    <t>今日</t>
  </si>
  <si>
    <t>日报日期</t>
  </si>
  <si>
    <t>上期</t>
  </si>
  <si>
    <t>去年同期</t>
  </si>
  <si>
    <t>时间进度</t>
  </si>
  <si>
    <t>年份</t>
  </si>
  <si>
    <t>月份</t>
  </si>
  <si>
    <t>日</t>
  </si>
  <si>
    <t>当月首日</t>
  </si>
  <si>
    <t>日期</t>
  </si>
  <si>
    <t>合计</t>
  </si>
  <si>
    <t>N7</t>
  </si>
  <si>
    <t>N6</t>
  </si>
  <si>
    <t>天籁·鸿蒙座舱</t>
  </si>
  <si>
    <t>NX8</t>
  </si>
  <si>
    <t>上期日期</t>
  </si>
  <si>
    <t>本期日期</t>
  </si>
  <si>
    <t>上期实绩</t>
  </si>
  <si>
    <t>本期实绩</t>
  </si>
  <si>
    <t>上期累计实绩</t>
  </si>
  <si>
    <t>本期累计实绩</t>
  </si>
  <si>
    <t>环比</t>
  </si>
  <si>
    <t>累计环比</t>
  </si>
  <si>
    <t>序号</t>
  </si>
  <si>
    <t>区域</t>
  </si>
  <si>
    <t>意向基准车系</t>
  </si>
  <si>
    <t>线索开发</t>
  </si>
  <si>
    <t>线索跟进</t>
  </si>
  <si>
    <t>现存线索</t>
  </si>
  <si>
    <t>异常线索</t>
  </si>
  <si>
    <t>到店转化</t>
  </si>
  <si>
    <t>试驾转化</t>
  </si>
  <si>
    <t>订单转化</t>
  </si>
  <si>
    <t>满意度</t>
  </si>
  <si>
    <t>新增线索量</t>
  </si>
  <si>
    <t>有效线索量</t>
  </si>
  <si>
    <t>有效线索率</t>
  </si>
  <si>
    <t>门店线索总量</t>
  </si>
  <si>
    <t>门店线索占比</t>
  </si>
  <si>
    <t>应首访量</t>
  </si>
  <si>
    <t>按时首访量</t>
  </si>
  <si>
    <t>按时首访率</t>
  </si>
  <si>
    <t>应跟进任务量</t>
  </si>
  <si>
    <t>实际跟进任务量</t>
  </si>
  <si>
    <t>按时跟进任务量</t>
  </si>
  <si>
    <t>线索按时跟进率</t>
  </si>
  <si>
    <t>超期未回访数</t>
  </si>
  <si>
    <t>现存线索量</t>
  </si>
  <si>
    <t>现存线索量H级数</t>
  </si>
  <si>
    <t>现存线索量H级占比</t>
  </si>
  <si>
    <t>现存线索企微绑定数</t>
  </si>
  <si>
    <t>现存线索企微绑定率</t>
  </si>
  <si>
    <t>战败线索量</t>
  </si>
  <si>
    <t>战败率</t>
  </si>
  <si>
    <t>休眠线索量</t>
  </si>
  <si>
    <t>休眠率</t>
  </si>
  <si>
    <t>暂败线索量</t>
  </si>
  <si>
    <t>暂败率</t>
  </si>
  <si>
    <t>新增到店量</t>
  </si>
  <si>
    <t>新增到店率</t>
  </si>
  <si>
    <t>再次来店量</t>
  </si>
  <si>
    <t>再次来店占比</t>
  </si>
  <si>
    <t>到店企微绑定数</t>
  </si>
  <si>
    <t>到店企微绑定率</t>
  </si>
  <si>
    <t>线索排程量</t>
  </si>
  <si>
    <t>线索排程率</t>
  </si>
  <si>
    <t>排程试驾量</t>
  </si>
  <si>
    <t>排程试驾率</t>
  </si>
  <si>
    <t xml:space="preserve">试驾量 </t>
  </si>
  <si>
    <t>有效试驾量</t>
  </si>
  <si>
    <t>线索试驾率</t>
  </si>
  <si>
    <t>到店线索试驾率</t>
  </si>
  <si>
    <t>试驾24H回访率</t>
  </si>
  <si>
    <t>新增小订量</t>
  </si>
  <si>
    <t>小订量</t>
  </si>
  <si>
    <t>新增大定量</t>
  </si>
  <si>
    <t>大定量</t>
  </si>
  <si>
    <t>锁单量</t>
  </si>
  <si>
    <t>交车量</t>
  </si>
  <si>
    <t>线索-大定率</t>
  </si>
  <si>
    <t>线索-锁单率</t>
  </si>
  <si>
    <t>线索-交车率</t>
  </si>
  <si>
    <t>试驾-锁单率</t>
  </si>
  <si>
    <t>销售有效客诉量</t>
  </si>
  <si>
    <t>低满数</t>
  </si>
  <si>
    <t>试驾NPS值</t>
  </si>
  <si>
    <t>订单NPS值</t>
  </si>
  <si>
    <t>交付NPS值</t>
  </si>
  <si>
    <t>全国</t>
  </si>
  <si>
    <t>-</t>
  </si>
  <si>
    <t>按日</t>
  </si>
  <si>
    <t>线索总量</t>
  </si>
  <si>
    <t>应回访线索量</t>
  </si>
  <si>
    <t>按时回访量</t>
  </si>
  <si>
    <t>超时回访量</t>
  </si>
  <si>
    <t>到店量</t>
  </si>
  <si>
    <t>订单量</t>
  </si>
  <si>
    <t>成交量</t>
  </si>
  <si>
    <t>总成交量</t>
  </si>
  <si>
    <t>线索有效率</t>
  </si>
  <si>
    <t>有效线索到店率</t>
  </si>
  <si>
    <t>有效线索下订率</t>
  </si>
  <si>
    <t>到店成交率</t>
  </si>
  <si>
    <t>有效线索转化率</t>
  </si>
  <si>
    <t>线索到店率</t>
  </si>
  <si>
    <t>线索下订率</t>
  </si>
  <si>
    <t>线索转化率</t>
  </si>
  <si>
    <t>数营成交贡献度</t>
  </si>
  <si>
    <t>1</t>
  </si>
  <si>
    <t>70.24%</t>
  </si>
  <si>
    <t>7.34%</t>
  </si>
  <si>
    <t>3.74%</t>
  </si>
  <si>
    <t>37.95%</t>
  </si>
  <si>
    <t>2.79%</t>
  </si>
  <si>
    <t>5.16%</t>
  </si>
  <si>
    <t>2.63%</t>
  </si>
  <si>
    <t>1.96%</t>
  </si>
  <si>
    <t>45.10%</t>
  </si>
  <si>
    <t>2</t>
  </si>
  <si>
    <t>61.48%</t>
  </si>
  <si>
    <t>6.48%</t>
  </si>
  <si>
    <t>1.85%</t>
  </si>
  <si>
    <t>19.81%</t>
  </si>
  <si>
    <t>1.28%</t>
  </si>
  <si>
    <t>3.98%</t>
  </si>
  <si>
    <t>1.14%</t>
  </si>
  <si>
    <t>0.79%</t>
  </si>
  <si>
    <t>18.40%</t>
  </si>
  <si>
    <t>3</t>
  </si>
  <si>
    <t>60.94%</t>
  </si>
  <si>
    <t>4.85%</t>
  </si>
  <si>
    <t>1.72%</t>
  </si>
  <si>
    <t>12.35%</t>
  </si>
  <si>
    <t>0.60%</t>
  </si>
  <si>
    <t>2.96%</t>
  </si>
  <si>
    <t>1.05%</t>
  </si>
  <si>
    <t>0.37%</t>
  </si>
  <si>
    <t>31.50%</t>
  </si>
  <si>
    <t>4</t>
  </si>
  <si>
    <t>63.36%</t>
  </si>
  <si>
    <t>4.12%</t>
  </si>
  <si>
    <t>1.18%</t>
  </si>
  <si>
    <t>11.38%</t>
  </si>
  <si>
    <t>0.47%</t>
  </si>
  <si>
    <t>2.61%</t>
  </si>
  <si>
    <t>0.75%</t>
  </si>
  <si>
    <t>0.30%</t>
  </si>
  <si>
    <t>13.64%</t>
  </si>
  <si>
    <t>5</t>
  </si>
  <si>
    <t>62.30%</t>
  </si>
  <si>
    <t>4.95%</t>
  </si>
  <si>
    <t>1.20%</t>
  </si>
  <si>
    <t>4.34%</t>
  </si>
  <si>
    <t>0.21%</t>
  </si>
  <si>
    <t>3.08%</t>
  </si>
  <si>
    <t>0.13%</t>
  </si>
  <si>
    <t>10.00%</t>
  </si>
  <si>
    <t>6</t>
  </si>
  <si>
    <t>63.42%</t>
  </si>
  <si>
    <t>6.30%</t>
  </si>
  <si>
    <t>1.86%</t>
  </si>
  <si>
    <t>10.33%</t>
  </si>
  <si>
    <t>0.65%</t>
  </si>
  <si>
    <t>4.00%</t>
  </si>
  <si>
    <t>0.41%</t>
  </si>
  <si>
    <t>28.76%</t>
  </si>
  <si>
    <t>7</t>
  </si>
  <si>
    <t>63.48%</t>
  </si>
  <si>
    <t>5.28%</t>
  </si>
  <si>
    <t>1.51%</t>
  </si>
  <si>
    <t>6.39%</t>
  </si>
  <si>
    <t>0.34%</t>
  </si>
  <si>
    <t>3.35%</t>
  </si>
  <si>
    <t>0.96%</t>
  </si>
  <si>
    <t>17.52%</t>
  </si>
  <si>
    <t>8</t>
  </si>
  <si>
    <t>63.58%</t>
  </si>
  <si>
    <t>7.50%</t>
  </si>
  <si>
    <t>1.82%</t>
  </si>
  <si>
    <t>5.12%</t>
  </si>
  <si>
    <t>0.38%</t>
  </si>
  <si>
    <t>4.77%</t>
  </si>
  <si>
    <t>1.16%</t>
  </si>
  <si>
    <t>0.24%</t>
  </si>
  <si>
    <t>20.45%</t>
  </si>
  <si>
    <t>9</t>
  </si>
  <si>
    <t>63.43%</t>
  </si>
  <si>
    <t>8.98%</t>
  </si>
  <si>
    <t>6.91%</t>
  </si>
  <si>
    <t>0.62%</t>
  </si>
  <si>
    <t>5.69%</t>
  </si>
  <si>
    <t>0.39%</t>
  </si>
  <si>
    <t>32.17%</t>
  </si>
  <si>
    <t>10</t>
  </si>
  <si>
    <t>65.19%</t>
  </si>
  <si>
    <t>3.90%</t>
  </si>
  <si>
    <t>12.08%</t>
  </si>
  <si>
    <t>0.84%</t>
  </si>
  <si>
    <t>4.51%</t>
  </si>
  <si>
    <t>2.55%</t>
  </si>
  <si>
    <t>0.54%</t>
  </si>
  <si>
    <t>36.29%</t>
  </si>
  <si>
    <t>11</t>
  </si>
  <si>
    <t>65.15%</t>
  </si>
  <si>
    <t>4.62%</t>
  </si>
  <si>
    <t>1.67%</t>
  </si>
  <si>
    <t>12.57%</t>
  </si>
  <si>
    <t>0.58%</t>
  </si>
  <si>
    <t>3.01%</t>
  </si>
  <si>
    <t>1.09%</t>
  </si>
  <si>
    <t>23.72%</t>
  </si>
  <si>
    <t>12</t>
  </si>
  <si>
    <t>65.72%</t>
  </si>
  <si>
    <t>5.48%</t>
  </si>
  <si>
    <t>1.60%</t>
  </si>
  <si>
    <t>20.77%</t>
  </si>
  <si>
    <t>3.60%</t>
  </si>
  <si>
    <t>33.67%</t>
  </si>
  <si>
    <t>13</t>
  </si>
  <si>
    <t>65.87%</t>
  </si>
  <si>
    <t>4.93%</t>
  </si>
  <si>
    <t>1.07%</t>
  </si>
  <si>
    <t>6.44%</t>
  </si>
  <si>
    <t>0.32%</t>
  </si>
  <si>
    <t>3.25%</t>
  </si>
  <si>
    <t>0.71%</t>
  </si>
  <si>
    <t>18.25%</t>
  </si>
  <si>
    <t>14</t>
  </si>
  <si>
    <t>68.10%</t>
  </si>
  <si>
    <t>5.86%</t>
  </si>
  <si>
    <t>0.55%</t>
  </si>
  <si>
    <t>-2.73%</t>
  </si>
  <si>
    <t>-0.16%</t>
  </si>
  <si>
    <t>3.99%</t>
  </si>
  <si>
    <t>-0.11%</t>
  </si>
  <si>
    <t>-13.13%</t>
  </si>
  <si>
    <t>15</t>
  </si>
  <si>
    <t>66.65%</t>
  </si>
  <si>
    <t>10.69%</t>
  </si>
  <si>
    <t>5.08%</t>
  </si>
  <si>
    <t>14.20%</t>
  </si>
  <si>
    <t>1.52%</t>
  </si>
  <si>
    <t>7.13%</t>
  </si>
  <si>
    <t>3.38%</t>
  </si>
  <si>
    <t>1.01%</t>
  </si>
  <si>
    <t>43.07%</t>
  </si>
  <si>
    <t>16</t>
  </si>
  <si>
    <t>68.03%</t>
  </si>
  <si>
    <t>9.92%</t>
  </si>
  <si>
    <t>3.67%</t>
  </si>
  <si>
    <t>18.66%</t>
  </si>
  <si>
    <t>6.75%</t>
  </si>
  <si>
    <t>2.50%</t>
  </si>
  <si>
    <t>1.26%</t>
  </si>
  <si>
    <t>43.82%</t>
  </si>
  <si>
    <t>17</t>
  </si>
  <si>
    <t>68.84%</t>
  </si>
  <si>
    <t>9.53%</t>
  </si>
  <si>
    <t>5.65%</t>
  </si>
  <si>
    <t>43.62%</t>
  </si>
  <si>
    <t>4.16%</t>
  </si>
  <si>
    <t>6.56%</t>
  </si>
  <si>
    <t>3.89%</t>
  </si>
  <si>
    <t>2.86%</t>
  </si>
  <si>
    <t>67.72%</t>
  </si>
  <si>
    <t>18</t>
  </si>
  <si>
    <t>68.70%</t>
  </si>
  <si>
    <t>8.39%</t>
  </si>
  <si>
    <t>5.07%</t>
  </si>
  <si>
    <t>54.59%</t>
  </si>
  <si>
    <t>4.58%</t>
  </si>
  <si>
    <t>5.77%</t>
  </si>
  <si>
    <t>3.48%</t>
  </si>
  <si>
    <t>3.15%</t>
  </si>
  <si>
    <t>60.41%</t>
  </si>
  <si>
    <t>19</t>
  </si>
  <si>
    <t>69.21%</t>
  </si>
  <si>
    <t>8.70%</t>
  </si>
  <si>
    <t>6.47%</t>
  </si>
  <si>
    <t>41.37%</t>
  </si>
  <si>
    <t>6.02%</t>
  </si>
  <si>
    <t>4.48%</t>
  </si>
  <si>
    <t>2.49%</t>
  </si>
  <si>
    <t>54.68%</t>
  </si>
  <si>
    <t>20</t>
  </si>
  <si>
    <t>69.50%</t>
  </si>
  <si>
    <t>7.54%</t>
  </si>
  <si>
    <t>4.81%</t>
  </si>
  <si>
    <t>55.39%</t>
  </si>
  <si>
    <t>4.17%</t>
  </si>
  <si>
    <t>5.24%</t>
  </si>
  <si>
    <t>3.34%</t>
  </si>
  <si>
    <t>2.90%</t>
  </si>
  <si>
    <t>50.46%</t>
  </si>
  <si>
    <t>21</t>
  </si>
  <si>
    <t>69.38%</t>
  </si>
  <si>
    <t>9.91%</t>
  </si>
  <si>
    <t>5.90%</t>
  </si>
  <si>
    <t>54.17%</t>
  </si>
  <si>
    <t>5.37%</t>
  </si>
  <si>
    <t>6.88%</t>
  </si>
  <si>
    <t>4.09%</t>
  </si>
  <si>
    <t>3.73%</t>
  </si>
  <si>
    <t>60.24%</t>
  </si>
  <si>
    <t>22</t>
  </si>
  <si>
    <t>71.35%</t>
  </si>
  <si>
    <t>11.79%</t>
  </si>
  <si>
    <t>6.32%</t>
  </si>
  <si>
    <t>34.00%</t>
  </si>
  <si>
    <t>4.01%</t>
  </si>
  <si>
    <t>8.41%</t>
  </si>
  <si>
    <t>47.63%</t>
  </si>
  <si>
    <t>23</t>
  </si>
  <si>
    <t>73.11%</t>
  </si>
  <si>
    <t>16.44%</t>
  </si>
  <si>
    <t>10.76%</t>
  </si>
  <si>
    <t>25.79%</t>
  </si>
  <si>
    <t>4.24%</t>
  </si>
  <si>
    <t>12.02%</t>
  </si>
  <si>
    <t>7.86%</t>
  </si>
  <si>
    <t>3.10%</t>
  </si>
  <si>
    <t>57.84%</t>
  </si>
  <si>
    <t>24</t>
  </si>
  <si>
    <t>72.05%</t>
  </si>
  <si>
    <t>14.50%</t>
  </si>
  <si>
    <t>13.68%</t>
  </si>
  <si>
    <t>102.42%</t>
  </si>
  <si>
    <t>14.85%</t>
  </si>
  <si>
    <t>10.45%</t>
  </si>
  <si>
    <t>9.85%</t>
  </si>
  <si>
    <t>10.70%</t>
  </si>
  <si>
    <t>67.63%</t>
  </si>
  <si>
    <t>25</t>
  </si>
  <si>
    <t>73.13%</t>
  </si>
  <si>
    <t>12.81%</t>
  </si>
  <si>
    <t>12.83%</t>
  </si>
  <si>
    <t>222.24%</t>
  </si>
  <si>
    <t>28.48%</t>
  </si>
  <si>
    <t>9.37%</t>
  </si>
  <si>
    <t>9.39%</t>
  </si>
  <si>
    <t>20.83%</t>
  </si>
  <si>
    <t>70.22%</t>
  </si>
  <si>
    <t>26</t>
  </si>
  <si>
    <t>74.28%</t>
  </si>
  <si>
    <t>3.39%</t>
  </si>
  <si>
    <t>0.78%</t>
  </si>
  <si>
    <t>27.24%</t>
  </si>
  <si>
    <t>0.92%</t>
  </si>
  <si>
    <t>2.52%</t>
  </si>
  <si>
    <t>0.69%</t>
  </si>
  <si>
    <t>30.65%</t>
  </si>
  <si>
    <t>27</t>
  </si>
  <si>
    <t>73.93%</t>
  </si>
  <si>
    <t>4.80%</t>
  </si>
  <si>
    <t>0.68%</t>
  </si>
  <si>
    <t>7.26%</t>
  </si>
  <si>
    <t>0.35%</t>
  </si>
  <si>
    <t>3.55%</t>
  </si>
  <si>
    <t>0.50%</t>
  </si>
  <si>
    <t>0.26%</t>
  </si>
  <si>
    <t>15.38%</t>
  </si>
  <si>
    <t>28</t>
  </si>
  <si>
    <t>75.96%</t>
  </si>
  <si>
    <t>4.91%</t>
  </si>
  <si>
    <t>1.58%</t>
  </si>
  <si>
    <t>14.38%</t>
  </si>
  <si>
    <t>18.23%</t>
  </si>
  <si>
    <t>29</t>
  </si>
  <si>
    <t>75.89%</t>
  </si>
  <si>
    <t>6.03%</t>
  </si>
  <si>
    <t>1.44%</t>
  </si>
  <si>
    <t>10.11%</t>
  </si>
  <si>
    <t>0.61%</t>
  </si>
  <si>
    <t>0.46%</t>
  </si>
  <si>
    <t>20.22%</t>
  </si>
  <si>
    <t>30</t>
  </si>
  <si>
    <t>77.98%</t>
  </si>
  <si>
    <t>6.84%</t>
  </si>
  <si>
    <t>1.64%</t>
  </si>
  <si>
    <t>3.79%</t>
  </si>
  <si>
    <t>5.34%</t>
  </si>
  <si>
    <t>0.20%</t>
  </si>
  <si>
    <t>17.28%</t>
  </si>
  <si>
    <t>31</t>
  </si>
  <si>
    <t>80.08%</t>
  </si>
  <si>
    <t>8.64%</t>
  </si>
  <si>
    <t>92.63%</t>
  </si>
  <si>
    <t>8.01%</t>
  </si>
  <si>
    <t>6.92%</t>
  </si>
  <si>
    <t>5.19%</t>
  </si>
  <si>
    <t>6.41%</t>
  </si>
  <si>
    <t>34.27%</t>
  </si>
  <si>
    <t>32</t>
  </si>
  <si>
    <t>81.83%</t>
  </si>
  <si>
    <t>15.22%</t>
  </si>
  <si>
    <t>15.77%</t>
  </si>
  <si>
    <t>103.67%</t>
  </si>
  <si>
    <t>15.78%</t>
  </si>
  <si>
    <t>12.45%</t>
  </si>
  <si>
    <t>12.90%</t>
  </si>
  <si>
    <t>12.91%</t>
  </si>
  <si>
    <t>33.35%</t>
  </si>
  <si>
    <t>33</t>
  </si>
  <si>
    <t>61.71%</t>
  </si>
  <si>
    <t>3.93%</t>
  </si>
  <si>
    <t>0.42%</t>
  </si>
  <si>
    <t>6.07%</t>
  </si>
  <si>
    <t>2.43%</t>
  </si>
  <si>
    <t>0.15%</t>
  </si>
  <si>
    <t>7.27%</t>
  </si>
  <si>
    <t>34</t>
  </si>
  <si>
    <t>63.64%</t>
  </si>
  <si>
    <t>3.41%</t>
  </si>
  <si>
    <t>3.81%</t>
  </si>
  <si>
    <t>2.17%</t>
  </si>
  <si>
    <t>0.08%</t>
  </si>
  <si>
    <t>7.49%</t>
  </si>
  <si>
    <t>35</t>
  </si>
  <si>
    <t>63.46%</t>
  </si>
  <si>
    <t>3.52%</t>
  </si>
  <si>
    <t>-2.35%</t>
  </si>
  <si>
    <t>-0.08%</t>
  </si>
  <si>
    <t>2.24%</t>
  </si>
  <si>
    <t>-0.05%</t>
  </si>
  <si>
    <t>-5.62%</t>
  </si>
  <si>
    <t>36</t>
  </si>
  <si>
    <t>65.80%</t>
  </si>
  <si>
    <t>4.98%</t>
  </si>
  <si>
    <t>1.53%</t>
  </si>
  <si>
    <t>3.28%</t>
  </si>
  <si>
    <t>0.05%</t>
  </si>
  <si>
    <t>7.04%</t>
  </si>
  <si>
    <t>37</t>
  </si>
  <si>
    <t>66.55%</t>
  </si>
  <si>
    <t>0.04%</t>
  </si>
  <si>
    <t>3.76%</t>
  </si>
  <si>
    <t>0.17%</t>
  </si>
  <si>
    <t>0.03%</t>
  </si>
  <si>
    <t>6.45%</t>
  </si>
  <si>
    <t>38</t>
  </si>
  <si>
    <t>66.13%</t>
  </si>
  <si>
    <t>4.82%</t>
  </si>
  <si>
    <t>0.56%</t>
  </si>
  <si>
    <t>0.16%</t>
  </si>
  <si>
    <t>3.19%</t>
  </si>
  <si>
    <t>0.11%</t>
  </si>
  <si>
    <t>39</t>
  </si>
  <si>
    <t>65.81%</t>
  </si>
  <si>
    <t>3.91%</t>
  </si>
  <si>
    <t>0.67%</t>
  </si>
  <si>
    <t>0.00%</t>
  </si>
  <si>
    <t>2.57%</t>
  </si>
  <si>
    <t>0.44%</t>
  </si>
  <si>
    <t>40</t>
  </si>
  <si>
    <t>4.03%</t>
  </si>
  <si>
    <t>0.90%</t>
  </si>
  <si>
    <t>3.24%</t>
  </si>
  <si>
    <t>2.69%</t>
  </si>
  <si>
    <t>0.09%</t>
  </si>
  <si>
    <t>8.90%</t>
  </si>
  <si>
    <t>41</t>
  </si>
  <si>
    <t>67.30%</t>
  </si>
  <si>
    <t>0.59%</t>
  </si>
  <si>
    <t>-4.08%</t>
  </si>
  <si>
    <t>-0.14%</t>
  </si>
  <si>
    <t>2.25%</t>
  </si>
  <si>
    <t>0.40%</t>
  </si>
  <si>
    <t>-0.09%</t>
  </si>
  <si>
    <t>-16.07%</t>
  </si>
  <si>
    <t>42</t>
  </si>
  <si>
    <t>67.99%</t>
  </si>
  <si>
    <t>3.69%</t>
  </si>
  <si>
    <t>0.86%</t>
  </si>
  <si>
    <t>2.67%</t>
  </si>
  <si>
    <t>0.10%</t>
  </si>
  <si>
    <t>2.51%</t>
  </si>
  <si>
    <t>0.07%</t>
  </si>
  <si>
    <t>5.31%</t>
  </si>
  <si>
    <t>43</t>
  </si>
  <si>
    <t>68.42%</t>
  </si>
  <si>
    <t>5.36%</t>
  </si>
  <si>
    <t>0.83%</t>
  </si>
  <si>
    <t>4.76%</t>
  </si>
  <si>
    <t>0.57%</t>
  </si>
  <si>
    <t>15.21%</t>
  </si>
  <si>
    <t>44</t>
  </si>
  <si>
    <t>67.98%</t>
  </si>
  <si>
    <t>7.16%</t>
  </si>
  <si>
    <t>5.58%</t>
  </si>
  <si>
    <t>4.87%</t>
  </si>
  <si>
    <t>1.03%</t>
  </si>
  <si>
    <t>0.27%</t>
  </si>
  <si>
    <t>28.88%</t>
  </si>
  <si>
    <t>45</t>
  </si>
  <si>
    <t>69.56%</t>
  </si>
  <si>
    <t>5.51%</t>
  </si>
  <si>
    <t>2.26%</t>
  </si>
  <si>
    <t>5.56%</t>
  </si>
  <si>
    <t>0.31%</t>
  </si>
  <si>
    <t>3.83%</t>
  </si>
  <si>
    <t>1.57%</t>
  </si>
  <si>
    <t>18.83%</t>
  </si>
  <si>
    <t>46</t>
  </si>
  <si>
    <t>68.83%</t>
  </si>
  <si>
    <t>4.35%</t>
  </si>
  <si>
    <t>-1.53%</t>
  </si>
  <si>
    <t>-0.07%</t>
  </si>
  <si>
    <t>3.00%</t>
  </si>
  <si>
    <t>1.04%</t>
  </si>
  <si>
    <t>-8.33%</t>
  </si>
  <si>
    <t>47</t>
  </si>
  <si>
    <t>70.50%</t>
  </si>
  <si>
    <t>4.46%</t>
  </si>
  <si>
    <t>13.03%</t>
  </si>
  <si>
    <t>25.43%</t>
  </si>
  <si>
    <t>48</t>
  </si>
  <si>
    <t>72.39%</t>
  </si>
  <si>
    <t>3.82%</t>
  </si>
  <si>
    <t>0.89%</t>
  </si>
  <si>
    <t>-3.56%</t>
  </si>
  <si>
    <t>2.77%</t>
  </si>
  <si>
    <t>0.64%</t>
  </si>
  <si>
    <t>-0.10%</t>
  </si>
  <si>
    <t>-8.84%</t>
  </si>
  <si>
    <t>49</t>
  </si>
  <si>
    <t>71.80%</t>
  </si>
  <si>
    <t>4.94%</t>
  </si>
  <si>
    <t>-0.12%</t>
  </si>
  <si>
    <t>0.48%</t>
  </si>
  <si>
    <t>50</t>
  </si>
  <si>
    <t>72.98%</t>
  </si>
  <si>
    <t>8.46%</t>
  </si>
  <si>
    <t>6.18%</t>
  </si>
  <si>
    <t>3.04%</t>
  </si>
  <si>
    <t>30.52%</t>
  </si>
  <si>
    <t>51</t>
  </si>
  <si>
    <t>72.84%</t>
  </si>
  <si>
    <t>8.45%</t>
  </si>
  <si>
    <t>9.99%</t>
  </si>
  <si>
    <t>6.15%</t>
  </si>
  <si>
    <t>2.30%</t>
  </si>
  <si>
    <t>44.69%</t>
  </si>
  <si>
    <t>52</t>
  </si>
  <si>
    <t>75.42%</t>
  </si>
  <si>
    <t>6.78%</t>
  </si>
  <si>
    <t>4.26%</t>
  </si>
  <si>
    <t>20.65%</t>
  </si>
  <si>
    <t>1.40%</t>
  </si>
  <si>
    <t>3.21%</t>
  </si>
  <si>
    <t>1.06%</t>
  </si>
  <si>
    <t>46.95%</t>
  </si>
  <si>
    <t>53</t>
  </si>
  <si>
    <t>75.13%</t>
  </si>
  <si>
    <t>3.64%</t>
  </si>
  <si>
    <t>30.74%</t>
  </si>
  <si>
    <t>1.94%</t>
  </si>
  <si>
    <t>4.75%</t>
  </si>
  <si>
    <t>2.73%</t>
  </si>
  <si>
    <t>1.46%</t>
  </si>
  <si>
    <t>67.73%</t>
  </si>
  <si>
    <t>54</t>
  </si>
  <si>
    <t>74.19%</t>
  </si>
  <si>
    <t>4.37%</t>
  </si>
  <si>
    <t>2.34%</t>
  </si>
  <si>
    <t>1.74%</t>
  </si>
  <si>
    <t>55.15%</t>
  </si>
  <si>
    <t>55</t>
  </si>
  <si>
    <t>77.46%</t>
  </si>
  <si>
    <t>5.73%</t>
  </si>
  <si>
    <t>3.45%</t>
  </si>
  <si>
    <t>37.72%</t>
  </si>
  <si>
    <t>2.16%</t>
  </si>
  <si>
    <t>4.44%</t>
  </si>
  <si>
    <t>56.94%</t>
  </si>
  <si>
    <t>56</t>
  </si>
  <si>
    <t>72.57%</t>
  </si>
  <si>
    <t>7.05%</t>
  </si>
  <si>
    <t>33.71%</t>
  </si>
  <si>
    <t>2.38%</t>
  </si>
  <si>
    <t>2.91%</t>
  </si>
  <si>
    <t>1.73%</t>
  </si>
  <si>
    <t>55.11%</t>
  </si>
  <si>
    <t>57</t>
  </si>
  <si>
    <t>70.49%</t>
  </si>
  <si>
    <t>7.91%</t>
  </si>
  <si>
    <t>31.47%</t>
  </si>
  <si>
    <t>5.57%</t>
  </si>
  <si>
    <t>1.75%</t>
  </si>
  <si>
    <t>58.50%</t>
  </si>
  <si>
    <t>58</t>
  </si>
  <si>
    <t>82.25%</t>
  </si>
  <si>
    <t>7.43%</t>
  </si>
  <si>
    <t>13.62%</t>
  </si>
  <si>
    <t>6.11%</t>
  </si>
  <si>
    <t>1.89%</t>
  </si>
  <si>
    <t>42.68%</t>
  </si>
  <si>
    <t>59</t>
  </si>
  <si>
    <t>83.48%</t>
  </si>
  <si>
    <t>7.85%</t>
  </si>
  <si>
    <t>21.05%</t>
  </si>
  <si>
    <t>1.65%</t>
  </si>
  <si>
    <t>6.55%</t>
  </si>
  <si>
    <t>3.56%</t>
  </si>
  <si>
    <t>1.38%</t>
  </si>
  <si>
    <t>46.26%</t>
  </si>
  <si>
    <t>60</t>
  </si>
  <si>
    <t>86.20%</t>
  </si>
  <si>
    <t>10.34%</t>
  </si>
  <si>
    <t>8.02%</t>
  </si>
  <si>
    <t>39.77%</t>
  </si>
  <si>
    <t>4.11%</t>
  </si>
  <si>
    <t>8.91%</t>
  </si>
  <si>
    <t>3.54%</t>
  </si>
  <si>
    <t>58.85%</t>
  </si>
  <si>
    <t>61</t>
  </si>
  <si>
    <t>88.55%</t>
  </si>
  <si>
    <t>9.67%</t>
  </si>
  <si>
    <t>88.57%</t>
  </si>
  <si>
    <t>10.44%</t>
  </si>
  <si>
    <t>8.56%</t>
  </si>
  <si>
    <t>9.24%</t>
  </si>
  <si>
    <t>57.77%</t>
  </si>
  <si>
    <t>62</t>
  </si>
  <si>
    <t>91.63%</t>
  </si>
  <si>
    <t>15.97%</t>
  </si>
  <si>
    <t>15.11%</t>
  </si>
  <si>
    <t>108.23%</t>
  </si>
  <si>
    <t>14.63%</t>
  </si>
  <si>
    <t>13.84%</t>
  </si>
  <si>
    <t>15.83%</t>
  </si>
  <si>
    <t>45.06%</t>
  </si>
  <si>
    <t>72.28%</t>
  </si>
  <si>
    <t>5.83%</t>
  </si>
  <si>
    <t>2.14%</t>
  </si>
  <si>
    <t>26.30%</t>
  </si>
  <si>
    <t>4.21%</t>
  </si>
  <si>
    <t>1.55%</t>
  </si>
  <si>
    <t>1.11%</t>
  </si>
  <si>
    <t>65.42%</t>
  </si>
  <si>
    <t>3.86%</t>
  </si>
  <si>
    <t>21.74%</t>
  </si>
  <si>
    <t>2.53%</t>
  </si>
  <si>
    <t>1.23%</t>
  </si>
  <si>
    <t>62.44%</t>
  </si>
  <si>
    <t>4.40%</t>
  </si>
  <si>
    <t>0.94%</t>
  </si>
  <si>
    <t>8.75%</t>
  </si>
  <si>
    <t>2.75%</t>
  </si>
  <si>
    <t>65.48%</t>
  </si>
  <si>
    <t>2.18%</t>
  </si>
  <si>
    <t>0.73%</t>
  </si>
  <si>
    <t>7.69%</t>
  </si>
  <si>
    <t>1.43%</t>
  </si>
  <si>
    <t>0.52%</t>
  </si>
  <si>
    <t>68.27%</t>
  </si>
  <si>
    <t>5.03%</t>
  </si>
  <si>
    <t>4.60%</t>
  </si>
  <si>
    <t>0.23%</t>
  </si>
  <si>
    <t>3.44%</t>
  </si>
  <si>
    <t>65.41%</t>
  </si>
  <si>
    <t>4.96%</t>
  </si>
  <si>
    <t>0.43%</t>
  </si>
  <si>
    <t>3.70%</t>
  </si>
  <si>
    <t>0.18%</t>
  </si>
  <si>
    <t>0.28%</t>
  </si>
  <si>
    <t>0.12%</t>
  </si>
  <si>
    <t>67.65%</t>
  </si>
  <si>
    <t>5.15%</t>
  </si>
  <si>
    <t>0.80%</t>
  </si>
  <si>
    <t>13.10%</t>
  </si>
  <si>
    <t>3.50%</t>
  </si>
  <si>
    <t>68.06%</t>
  </si>
  <si>
    <t>6.76%</t>
  </si>
  <si>
    <t>2.70%</t>
  </si>
  <si>
    <t>0.97%</t>
  </si>
  <si>
    <t>67.39%</t>
  </si>
  <si>
    <t>0.70%</t>
  </si>
  <si>
    <t>69.62%</t>
  </si>
  <si>
    <t>4.66%</t>
  </si>
  <si>
    <t>0.87%</t>
  </si>
  <si>
    <t>8.00%</t>
  </si>
  <si>
    <t>1.66%</t>
  </si>
  <si>
    <t>70.04%</t>
  </si>
  <si>
    <t>-15.49%</t>
  </si>
  <si>
    <t>-0.76%</t>
  </si>
  <si>
    <t>-0.53%</t>
  </si>
  <si>
    <t>-2.96%</t>
  </si>
  <si>
    <t>67.09%</t>
  </si>
  <si>
    <t>7.14%</t>
  </si>
  <si>
    <t>0.36%</t>
  </si>
  <si>
    <t>3.40%</t>
  </si>
  <si>
    <t>70.03%</t>
  </si>
  <si>
    <t>6.01%</t>
  </si>
  <si>
    <t>1.12%</t>
  </si>
  <si>
    <t>70.65%</t>
  </si>
  <si>
    <t>3.95%</t>
  </si>
  <si>
    <t>-7.46%</t>
  </si>
  <si>
    <t>-0.29%</t>
  </si>
  <si>
    <t>-0.21%</t>
  </si>
  <si>
    <t>-2.53%</t>
  </si>
  <si>
    <t>7.45%</t>
  </si>
  <si>
    <t>2.08%</t>
  </si>
  <si>
    <t>0.51%</t>
  </si>
  <si>
    <t>4.97%</t>
  </si>
  <si>
    <t>1.39%</t>
  </si>
  <si>
    <t>1.31%</t>
  </si>
  <si>
    <t>69.37%</t>
  </si>
  <si>
    <t>9.01%</t>
  </si>
  <si>
    <t>1.56%</t>
  </si>
  <si>
    <t>9.72%</t>
  </si>
  <si>
    <t>0.88%</t>
  </si>
  <si>
    <t>6.25%</t>
  </si>
  <si>
    <t>1.08%</t>
  </si>
  <si>
    <t>1.88%</t>
  </si>
  <si>
    <t>71.94%</t>
  </si>
  <si>
    <t>6.17%</t>
  </si>
  <si>
    <t>2.65%</t>
  </si>
  <si>
    <t>26.89%</t>
  </si>
  <si>
    <t>1.90%</t>
  </si>
  <si>
    <t>1.19%</t>
  </si>
  <si>
    <t>69.39%</t>
  </si>
  <si>
    <t>7.53%</t>
  </si>
  <si>
    <t>2.81%</t>
  </si>
  <si>
    <t>29.57%</t>
  </si>
  <si>
    <t>2.23%</t>
  </si>
  <si>
    <t>5.22%</t>
  </si>
  <si>
    <t>1.95%</t>
  </si>
  <si>
    <t>1.54%</t>
  </si>
  <si>
    <t>72.88%</t>
  </si>
  <si>
    <t>5.89%</t>
  </si>
  <si>
    <t>2.22%</t>
  </si>
  <si>
    <t>28.89%</t>
  </si>
  <si>
    <t>1.70%</t>
  </si>
  <si>
    <t>4.29%</t>
  </si>
  <si>
    <t>1.62%</t>
  </si>
  <si>
    <t>1.24%</t>
  </si>
  <si>
    <t>2.59%</t>
  </si>
  <si>
    <t>72.31%</t>
  </si>
  <si>
    <t>7.82%</t>
  </si>
  <si>
    <t>19.84%</t>
  </si>
  <si>
    <t>5.66%</t>
  </si>
  <si>
    <t>2.60%</t>
  </si>
  <si>
    <t>1.92%</t>
  </si>
  <si>
    <t>71.39%</t>
  </si>
  <si>
    <t>9.08%</t>
  </si>
  <si>
    <t>4.23%</t>
  </si>
  <si>
    <t>33.59%</t>
  </si>
  <si>
    <t>3.05%</t>
  </si>
  <si>
    <t>6.49%</t>
  </si>
  <si>
    <t>3.02%</t>
  </si>
  <si>
    <t>3.16%</t>
  </si>
  <si>
    <t>68.80%</t>
  </si>
  <si>
    <t>31.94%</t>
  </si>
  <si>
    <t>2.31%</t>
  </si>
  <si>
    <t>3.31%</t>
  </si>
  <si>
    <t>71.70%</t>
  </si>
  <si>
    <t>13.05%</t>
  </si>
  <si>
    <t>7.72%</t>
  </si>
  <si>
    <t>15.74%</t>
  </si>
  <si>
    <t>2.05%</t>
  </si>
  <si>
    <t>9.36%</t>
  </si>
  <si>
    <t>5.53%</t>
  </si>
  <si>
    <t>1.47%</t>
  </si>
  <si>
    <t>2.48%</t>
  </si>
  <si>
    <t>73.95%</t>
  </si>
  <si>
    <t>12.42%</t>
  </si>
  <si>
    <t>12.24%</t>
  </si>
  <si>
    <t>86.60%</t>
  </si>
  <si>
    <t>10.75%</t>
  </si>
  <si>
    <t>9.18%</t>
  </si>
  <si>
    <t>9.05%</t>
  </si>
  <si>
    <t>7.95%</t>
  </si>
  <si>
    <t>11.62%</t>
  </si>
  <si>
    <t>10.16%</t>
  </si>
  <si>
    <t>176.63%</t>
  </si>
  <si>
    <t>20.52%</t>
  </si>
  <si>
    <t>8.59%</t>
  </si>
  <si>
    <t>7.52%</t>
  </si>
  <si>
    <t>15.17%</t>
  </si>
  <si>
    <t>5.27%</t>
  </si>
  <si>
    <t>75.05%</t>
  </si>
  <si>
    <t>4.61%</t>
  </si>
  <si>
    <t>0.91%</t>
  </si>
  <si>
    <t>4.55%</t>
  </si>
  <si>
    <t>3.46%</t>
  </si>
  <si>
    <t>77.90%</t>
  </si>
  <si>
    <t>5.85%</t>
  </si>
  <si>
    <t>-1.25%</t>
  </si>
  <si>
    <t>4.56%</t>
  </si>
  <si>
    <t>-0.06%</t>
  </si>
  <si>
    <t>-0.28%</t>
  </si>
  <si>
    <t>77.78%</t>
  </si>
  <si>
    <t>4.90%</t>
  </si>
  <si>
    <t>11.67%</t>
  </si>
  <si>
    <t>1.22%</t>
  </si>
  <si>
    <t>75.99%</t>
  </si>
  <si>
    <t>8.76%</t>
  </si>
  <si>
    <t>2.13%</t>
  </si>
  <si>
    <t>0.19%</t>
  </si>
  <si>
    <t>6.66%</t>
  </si>
  <si>
    <t>1.49%</t>
  </si>
  <si>
    <t>0.14%</t>
  </si>
  <si>
    <t>78.68%</t>
  </si>
  <si>
    <t>1.30%</t>
  </si>
  <si>
    <t>5.10%</t>
  </si>
  <si>
    <t>0.99%</t>
  </si>
  <si>
    <t>82.24%</t>
  </si>
  <si>
    <t>5.70%</t>
  </si>
  <si>
    <t>4.36%</t>
  </si>
  <si>
    <t>67.53%</t>
  </si>
  <si>
    <t>3.85%</t>
  </si>
  <si>
    <t>4.68%</t>
  </si>
  <si>
    <t>3.59%</t>
  </si>
  <si>
    <t>86.04%</t>
  </si>
  <si>
    <t>8.07%</t>
  </si>
  <si>
    <t>7.99%</t>
  </si>
  <si>
    <t>115.46%</t>
  </si>
  <si>
    <t>9.32%</t>
  </si>
  <si>
    <t>6.94%</t>
  </si>
  <si>
    <t>6.87%</t>
  </si>
  <si>
    <t>1.63%</t>
  </si>
  <si>
    <t>65.94%</t>
  </si>
  <si>
    <t>3.66%</t>
  </si>
  <si>
    <t>25.81%</t>
  </si>
  <si>
    <t>2.41%</t>
  </si>
  <si>
    <t>2.33%</t>
  </si>
  <si>
    <t>67.11%</t>
  </si>
  <si>
    <t>5.40%</t>
  </si>
  <si>
    <t>5.26%</t>
  </si>
  <si>
    <t>3.62%</t>
  </si>
  <si>
    <t>66.38%</t>
  </si>
  <si>
    <t>-5.41%</t>
  </si>
  <si>
    <t>-0.26%</t>
  </si>
  <si>
    <t>3.17%</t>
  </si>
  <si>
    <t>-0.17%</t>
  </si>
  <si>
    <t>-1.12%</t>
  </si>
  <si>
    <t>65.06%</t>
  </si>
  <si>
    <t>5.13%</t>
  </si>
  <si>
    <t>69.33%</t>
  </si>
  <si>
    <t>7.03%</t>
  </si>
  <si>
    <t>0.25%</t>
  </si>
  <si>
    <t>69.31%</t>
  </si>
  <si>
    <t>66.30%</t>
  </si>
  <si>
    <t>3.68%</t>
  </si>
  <si>
    <t>2.44%</t>
  </si>
  <si>
    <t>68.77%</t>
  </si>
  <si>
    <t>8.82%</t>
  </si>
  <si>
    <t>3.30%</t>
  </si>
  <si>
    <t>0.29%</t>
  </si>
  <si>
    <t>67.04%</t>
  </si>
  <si>
    <t>3.37%</t>
  </si>
  <si>
    <t>68.63%</t>
  </si>
  <si>
    <t>3.87%</t>
  </si>
  <si>
    <t>15.63%</t>
  </si>
  <si>
    <t>2.66%</t>
  </si>
  <si>
    <t>2.21%</t>
  </si>
  <si>
    <t>66.86%</t>
  </si>
  <si>
    <t>4.54%</t>
  </si>
  <si>
    <t>0.22%</t>
  </si>
  <si>
    <t>3.03%</t>
  </si>
  <si>
    <t>71.04%</t>
  </si>
  <si>
    <t>2.15%</t>
  </si>
  <si>
    <t>0.06%</t>
  </si>
  <si>
    <t>69.74%</t>
  </si>
  <si>
    <t>3.23%</t>
  </si>
  <si>
    <t>-11.63%</t>
  </si>
  <si>
    <t>-0.38%</t>
  </si>
  <si>
    <t>-4.63%</t>
  </si>
  <si>
    <t>69.86%</t>
  </si>
  <si>
    <t>2.94%</t>
  </si>
  <si>
    <t>2.06%</t>
  </si>
  <si>
    <t>77.67%</t>
  </si>
  <si>
    <t>4.31%</t>
  </si>
  <si>
    <t>-27.91%</t>
  </si>
  <si>
    <t>-1.20%</t>
  </si>
  <si>
    <t>-0.93%</t>
  </si>
  <si>
    <t>-5.58%</t>
  </si>
  <si>
    <t>73.83%</t>
  </si>
  <si>
    <t>4.74%</t>
  </si>
  <si>
    <t>-21.43%</t>
  </si>
  <si>
    <t>-1.02%</t>
  </si>
  <si>
    <t>-0.75%</t>
  </si>
  <si>
    <t>-4.97%</t>
  </si>
  <si>
    <t>2.32%</t>
  </si>
  <si>
    <t>10.94%</t>
  </si>
  <si>
    <t>1.59%</t>
  </si>
  <si>
    <t>74.53%</t>
  </si>
  <si>
    <t>5.99%</t>
  </si>
  <si>
    <t>10.81%</t>
  </si>
  <si>
    <t>4.47%</t>
  </si>
  <si>
    <t>0.72%</t>
  </si>
  <si>
    <t>77.08%</t>
  </si>
  <si>
    <t>5.39%</t>
  </si>
  <si>
    <t>2.04%</t>
  </si>
  <si>
    <t>4.15%</t>
  </si>
  <si>
    <t>80.79%</t>
  </si>
  <si>
    <t>5.92%</t>
  </si>
  <si>
    <t>3.71%</t>
  </si>
  <si>
    <t>4.78%</t>
  </si>
  <si>
    <t>77.10%</t>
  </si>
  <si>
    <t>7.48%</t>
  </si>
  <si>
    <t>31.82%</t>
  </si>
  <si>
    <t>1.84%</t>
  </si>
  <si>
    <t>3.18%</t>
  </si>
  <si>
    <t>79.95%</t>
  </si>
  <si>
    <t>4.06%</t>
  </si>
  <si>
    <t>1.32%</t>
  </si>
  <si>
    <t>20.00%</t>
  </si>
  <si>
    <t>0.81%</t>
  </si>
  <si>
    <t>1.41%</t>
  </si>
  <si>
    <t>79.37%</t>
  </si>
  <si>
    <t>20.34%</t>
  </si>
  <si>
    <t>1.50%</t>
  </si>
  <si>
    <t>75.64%</t>
  </si>
  <si>
    <t>4.07%</t>
  </si>
  <si>
    <t>22.45%</t>
  </si>
  <si>
    <t>0.82%</t>
  </si>
  <si>
    <t>1.61%</t>
  </si>
  <si>
    <t>83.33%</t>
  </si>
  <si>
    <t>1.36%</t>
  </si>
  <si>
    <t>14.75%</t>
  </si>
  <si>
    <t>3.63%</t>
  </si>
  <si>
    <t>1.13%</t>
  </si>
  <si>
    <t>2.27%</t>
  </si>
  <si>
    <t>81.57%</t>
  </si>
  <si>
    <t>18.75%</t>
  </si>
  <si>
    <t>87.57%</t>
  </si>
  <si>
    <t>1.99%</t>
  </si>
  <si>
    <t>88.22%</t>
  </si>
  <si>
    <t>4.65%</t>
  </si>
  <si>
    <t>4.10%</t>
  </si>
  <si>
    <t>2.29%</t>
  </si>
  <si>
    <t>92.16%</t>
  </si>
  <si>
    <t>6.85%</t>
  </si>
  <si>
    <t>87.83%</t>
  </si>
  <si>
    <t>6.31%</t>
  </si>
  <si>
    <t>5.54%</t>
  </si>
  <si>
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</si>
  <si>
    <t>车型</t>
    <phoneticPr fontId="5" type="noConversion"/>
  </si>
  <si>
    <t>华东一区</t>
    <phoneticPr fontId="5" type="noConversion"/>
  </si>
  <si>
    <t>华东二区</t>
    <phoneticPr fontId="5" type="noConversion"/>
  </si>
  <si>
    <t>华东三区</t>
    <phoneticPr fontId="5" type="noConversion"/>
  </si>
  <si>
    <t>华南区</t>
    <phoneticPr fontId="5" type="noConversion"/>
  </si>
  <si>
    <t>华中一区</t>
    <phoneticPr fontId="5" type="noConversion"/>
  </si>
  <si>
    <t>华中二区</t>
    <phoneticPr fontId="5" type="noConversion"/>
  </si>
  <si>
    <t>西南区</t>
    <phoneticPr fontId="5" type="noConversion"/>
  </si>
  <si>
    <t>西北区</t>
    <phoneticPr fontId="5" type="noConversion"/>
  </si>
  <si>
    <t>华北区</t>
    <phoneticPr fontId="5" type="noConversion"/>
  </si>
  <si>
    <t>东北区</t>
    <phoneticPr fontId="5" type="noConversion"/>
  </si>
  <si>
    <t>其它</t>
    <phoneticPr fontId="5" type="noConversion"/>
  </si>
  <si>
    <t>合计</t>
    <phoneticPr fontId="5" type="noConversion"/>
  </si>
  <si>
    <t>R1-自有平台</t>
    <phoneticPr fontId="5" type="noConversion"/>
  </si>
  <si>
    <t>R2-总部客服</t>
    <phoneticPr fontId="5" type="noConversion"/>
  </si>
  <si>
    <t>R3-天网行动</t>
    <phoneticPr fontId="5" type="noConversion"/>
  </si>
  <si>
    <t>R4-媒体专案</t>
    <phoneticPr fontId="5" type="noConversion"/>
  </si>
  <si>
    <t>R5-专营店自建</t>
    <phoneticPr fontId="5" type="noConversion"/>
  </si>
  <si>
    <t>R6-1总部新媒体</t>
    <phoneticPr fontId="5" type="noConversion"/>
  </si>
  <si>
    <t>R8-线下活动</t>
    <phoneticPr fontId="5" type="noConversion"/>
  </si>
  <si>
    <t>R9-保客推荐</t>
    <phoneticPr fontId="5" type="noConversion"/>
  </si>
  <si>
    <t>R6-2经销商新媒体</t>
    <phoneticPr fontId="5" type="noConversion"/>
  </si>
  <si>
    <t>R6-3总部自媒体</t>
    <phoneticPr fontId="5" type="noConversion"/>
  </si>
  <si>
    <t>N7</t>
    <phoneticPr fontId="5" type="noConversion"/>
  </si>
  <si>
    <t>N6</t>
    <phoneticPr fontId="5" type="noConversion"/>
  </si>
  <si>
    <t>天籁·鸿蒙座舱</t>
    <phoneticPr fontId="5" type="noConversion"/>
  </si>
  <si>
    <t>NX8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</si>
</sst>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[$-F800]dddd\,\ mmmm\ dd\,\ yyyy"/>
    <numFmt numFmtId="177" formatCode="m/d;@"/>
    <numFmt numFmtId="178" formatCode="0.0%"/>
    <numFmt numFmtId="179" formatCode="#0.0%"/>
    <numFmt numFmtId="180" formatCode="#0.00%"/>
    <numFmt numFmtId="181" formatCode="#0"/>
    <numFmt numFmtId="182" formatCode="0_ "/>
    <numFmt numFmtId="183" formatCode="0.0_ "/>
  </numFmts>
  <fonts count="20">
    <font>
      <sz val="11"/>
      <color theme="1"/>
      <name val="等线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i/>
      <u/>
      <sz val="11"/>
      <color rgb="FFFF0000"/>
      <name val="等线"/>
      <family val="3"/>
      <charset val="134"/>
      <scheme val="minor"/>
    </font>
    <font>
      <sz val="10"/>
      <color theme="1" tint="0.34998626667073579"/>
      <name val="Arial"/>
      <family val="2"/>
    </font>
    <font>
      <sz val="11"/>
      <color theme="1" tint="0.34998626667073579"/>
      <name val="Arial"/>
      <family val="2"/>
    </font>
    <font>
      <sz val="11"/>
      <color rgb="FF000000"/>
      <name val="等线"/>
      <family val="3"/>
      <charset val="134"/>
      <scheme val="minor"/>
    </font>
    <font>
      <sz val="10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b/>
      <sz val="10"/>
      <color rgb="FF000333"/>
      <name val="微软雅黑"/>
      <family val="2"/>
      <charset val="134"/>
    </font>
    <font>
      <b/>
      <sz val="10"/>
      <color rgb="FF000000"/>
      <name val="微软雅黑"/>
      <family val="2"/>
      <charset val="134"/>
    </font>
    <font>
      <b/>
      <sz val="9"/>
      <color rgb="FF000000"/>
      <name val="微软雅黑"/>
      <family val="2"/>
      <charset val="134"/>
    </font>
    <font>
      <sz val="9"/>
      <color rgb="FF333333"/>
      <name val="微软雅黑"/>
      <family val="2"/>
      <charset val="134"/>
    </font>
    <font>
      <sz val="9"/>
      <color rgb="FF000000"/>
      <name val="微软雅黑"/>
      <family val="2"/>
      <charset val="134"/>
    </font>
    <font>
      <b/>
      <sz val="11"/>
      <color indexed="8"/>
      <name val="simsun"/>
      <charset val="134"/>
    </font>
    <font>
      <sz val="11"/>
      <color indexed="8"/>
      <name val="simsun"/>
      <charset val="134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7">
    <xf numFmtId="0" fontId="0" fillId="0" borderId="0"/>
    <xf numFmtId="9" fontId="6" fillId="0" borderId="0">
      <alignment vertical="center"/>
    </xf>
    <xf numFmtId="9" fontId="4" fillId="0" borderId="0">
      <alignment vertical="center"/>
    </xf>
    <xf numFmtId="9" fontId="6" fillId="0" borderId="0">
      <alignment vertical="center"/>
    </xf>
    <xf numFmtId="9" fontId="6" fillId="0" borderId="0">
      <alignment vertical="center"/>
    </xf>
    <xf numFmtId="9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6" fillId="0" borderId="0"/>
    <xf numFmtId="0" fontId="6" fillId="0" borderId="0"/>
    <xf numFmtId="0" fontId="6" fillId="0" borderId="0">
      <alignment vertical="center"/>
    </xf>
    <xf numFmtId="176" fontId="6" fillId="0" borderId="0">
      <alignment vertical="center"/>
    </xf>
    <xf numFmtId="0" fontId="3" fillId="0" borderId="0"/>
    <xf numFmtId="0" fontId="4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2" fillId="0" borderId="0">
      <alignment vertical="center"/>
    </xf>
  </cellStyleXfs>
  <cellXfs count="54">
    <xf numFmtId="0" fontId="0" fillId="0" borderId="0" xfId="0"/>
    <xf numFmtId="0" fontId="6" fillId="2" borderId="1" xfId="0" applyFont="1" applyFill="1" applyBorder="1"/>
    <xf numFmtId="31" fontId="0" fillId="2" borderId="2" xfId="0" applyNumberFormat="1" applyFill="1" applyBorder="1"/>
    <xf numFmtId="0" fontId="6" fillId="2" borderId="3" xfId="0" applyFont="1" applyFill="1" applyBorder="1"/>
    <xf numFmtId="10" fontId="0" fillId="2" borderId="4" xfId="1" applyNumberFormat="1" applyFont="1" applyFill="1" applyBorder="1" applyAlignment="1"/>
    <xf numFmtId="0" fontId="0" fillId="2" borderId="4" xfId="0" applyFill="1" applyBorder="1"/>
    <xf numFmtId="0" fontId="6" fillId="2" borderId="5" xfId="0" applyFont="1" applyFill="1" applyBorder="1"/>
    <xf numFmtId="0" fontId="0" fillId="2" borderId="6" xfId="0" applyFill="1" applyBorder="1"/>
    <xf numFmtId="31" fontId="7" fillId="2" borderId="2" xfId="0" applyNumberFormat="1" applyFont="1" applyFill="1" applyBorder="1"/>
    <xf numFmtId="0" fontId="11" fillId="0" borderId="7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2" fillId="0" borderId="0" xfId="0" applyFont="1"/>
    <xf numFmtId="31" fontId="7" fillId="2" borderId="9" xfId="0" applyNumberFormat="1" applyFont="1" applyFill="1" applyBorder="1"/>
    <xf numFmtId="0" fontId="2" fillId="2" borderId="5" xfId="0" applyFont="1" applyFill="1" applyBorder="1"/>
    <xf numFmtId="14" fontId="0" fillId="0" borderId="6" xfId="0" applyNumberFormat="1" applyBorder="1"/>
    <xf numFmtId="0" fontId="2" fillId="0" borderId="0" xfId="8" applyFont="1" applyAlignment="1">
      <alignment vertical="top" wrapText="1"/>
    </xf>
    <xf numFmtId="177" fontId="0" fillId="0" borderId="0" xfId="0" applyNumberFormat="1"/>
    <xf numFmtId="178" fontId="0" fillId="0" borderId="0" xfId="1" applyNumberFormat="1" applyFont="1" applyAlignment="1"/>
    <xf numFmtId="0" fontId="13" fillId="6" borderId="10" xfId="0" applyFont="1" applyFill="1" applyBorder="1" applyAlignment="1">
      <alignment horizontal="center" vertical="center" wrapText="1"/>
    </xf>
    <xf numFmtId="0" fontId="14" fillId="6" borderId="10" xfId="0" applyFont="1" applyFill="1" applyBorder="1" applyAlignment="1">
      <alignment horizontal="center" vertical="center" wrapText="1"/>
    </xf>
    <xf numFmtId="0" fontId="16" fillId="7" borderId="10" xfId="0" applyFont="1" applyFill="1" applyBorder="1" applyAlignment="1">
      <alignment horizontal="center" vertical="center" wrapText="1"/>
    </xf>
    <xf numFmtId="179" fontId="16" fillId="7" borderId="10" xfId="0" applyNumberFormat="1" applyFont="1" applyFill="1" applyBorder="1" applyAlignment="1">
      <alignment horizontal="center" vertical="center" wrapText="1"/>
    </xf>
    <xf numFmtId="179" fontId="17" fillId="0" borderId="10" xfId="0" applyNumberFormat="1" applyFont="1" applyBorder="1" applyAlignment="1">
      <alignment horizontal="center" vertical="center" wrapText="1"/>
    </xf>
    <xf numFmtId="180" fontId="16" fillId="7" borderId="10" xfId="0" applyNumberFormat="1" applyFont="1" applyFill="1" applyBorder="1" applyAlignment="1">
      <alignment horizontal="center" vertical="center" wrapText="1"/>
    </xf>
    <xf numFmtId="0" fontId="17" fillId="0" borderId="10" xfId="0" applyFont="1" applyBorder="1" applyAlignment="1">
      <alignment horizontal="center" vertical="center" wrapText="1"/>
    </xf>
    <xf numFmtId="181" fontId="16" fillId="7" borderId="10" xfId="0" applyNumberFormat="1" applyFont="1" applyFill="1" applyBorder="1" applyAlignment="1">
      <alignment horizontal="center" vertical="center" wrapText="1"/>
    </xf>
    <xf numFmtId="14" fontId="17" fillId="0" borderId="10" xfId="0" applyNumberFormat="1" applyFont="1" applyBorder="1" applyAlignment="1">
      <alignment horizontal="center" vertical="center" wrapText="1"/>
    </xf>
    <xf numFmtId="0" fontId="18" fillId="3" borderId="14" xfId="0" applyFont="1" applyFill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182" fontId="19" fillId="0" borderId="14" xfId="0" applyNumberFormat="1" applyFont="1" applyBorder="1" applyAlignment="1">
      <alignment horizontal="center" vertical="center"/>
    </xf>
    <xf numFmtId="183" fontId="19" fillId="0" borderId="14" xfId="0" applyNumberFormat="1" applyFont="1" applyBorder="1" applyAlignment="1">
      <alignment horizontal="center" vertical="center"/>
    </xf>
    <xf numFmtId="14" fontId="19" fillId="0" borderId="14" xfId="0" applyNumberFormat="1" applyFont="1" applyBorder="1" applyAlignment="1">
      <alignment horizontal="center" vertical="center"/>
    </xf>
    <xf numFmtId="0" fontId="13" fillId="6" borderId="10" xfId="0" applyFont="1" applyFill="1" applyBorder="1" applyAlignment="1">
      <alignment horizontal="center" vertical="center" wrapText="1"/>
    </xf>
    <xf numFmtId="0" fontId="0" fillId="0" borderId="11" xfId="0" applyBorder="1"/>
    <xf numFmtId="0" fontId="0" fillId="0" borderId="12" xfId="0" applyBorder="1"/>
    <xf numFmtId="0" fontId="15" fillId="0" borderId="10" xfId="0" applyFont="1" applyBorder="1" applyAlignment="1">
      <alignment horizontal="center" vertical="center" wrapText="1"/>
    </xf>
    <xf numFmtId="0" fontId="0" fillId="0" borderId="13" xfId="0" applyBorder="1"/>
    <xf numFmtId="176" fontId="6" fillId="5" borderId="14" xfId="8" applyNumberFormat="1" applyFill="1" applyBorder="1" applyAlignment="1">
      <alignment horizontal="center" vertical="center"/>
    </xf>
    <xf numFmtId="0" fontId="6" fillId="5" borderId="14" xfId="8" applyFill="1" applyBorder="1" applyAlignment="1">
      <alignment horizontal="center" vertical="center"/>
    </xf>
    <xf numFmtId="0" fontId="6" fillId="0" borderId="14" xfId="8" applyBorder="1" applyAlignment="1">
      <alignment horizontal="center" vertical="center"/>
    </xf>
    <xf numFmtId="0" fontId="6" fillId="4" borderId="14" xfId="8" applyFill="1" applyBorder="1" applyAlignment="1">
      <alignment horizontal="center" vertical="center"/>
    </xf>
    <xf numFmtId="0" fontId="6" fillId="0" borderId="0" xfId="8"/>
    <xf numFmtId="176" fontId="6" fillId="0" borderId="14" xfId="8" applyNumberFormat="1" applyBorder="1"/>
    <xf numFmtId="31" fontId="6" fillId="0" borderId="14" xfId="8" applyNumberFormat="1" applyBorder="1"/>
    <xf numFmtId="1" fontId="8" fillId="0" borderId="14" xfId="3" applyNumberFormat="1" applyFont="1" applyBorder="1" applyAlignment="1">
      <alignment horizontal="center" vertical="center" wrapText="1"/>
    </xf>
    <xf numFmtId="1" fontId="8" fillId="4" borderId="14" xfId="3" applyNumberFormat="1" applyFont="1" applyFill="1" applyBorder="1" applyAlignment="1">
      <alignment horizontal="center" vertical="center" wrapText="1"/>
    </xf>
    <xf numFmtId="1" fontId="6" fillId="0" borderId="14" xfId="8" applyNumberFormat="1" applyBorder="1"/>
    <xf numFmtId="1" fontId="6" fillId="4" borderId="14" xfId="8" applyNumberFormat="1" applyFill="1" applyBorder="1"/>
    <xf numFmtId="0" fontId="6" fillId="0" borderId="14" xfId="8" applyBorder="1"/>
    <xf numFmtId="1" fontId="9" fillId="0" borderId="14" xfId="3" applyNumberFormat="1" applyFont="1" applyBorder="1" applyAlignment="1">
      <alignment horizontal="center" vertical="center" wrapText="1"/>
    </xf>
    <xf numFmtId="0" fontId="6" fillId="0" borderId="14" xfId="9" applyBorder="1" applyAlignment="1">
      <alignment horizontal="center" vertical="center"/>
    </xf>
    <xf numFmtId="1" fontId="0" fillId="0" borderId="14" xfId="0" applyNumberFormat="1" applyBorder="1" applyAlignment="1">
      <alignment vertical="center"/>
    </xf>
    <xf numFmtId="1" fontId="0" fillId="0" borderId="14" xfId="0" applyNumberFormat="1" applyBorder="1" applyAlignment="1">
      <alignment horizontal="center" vertical="center"/>
    </xf>
    <xf numFmtId="176" fontId="6" fillId="0" borderId="0" xfId="8" applyNumberFormat="1"/>
  </cellXfs>
  <cellStyles count="17">
    <cellStyle name="百分比" xfId="1" builtinId="5"/>
    <cellStyle name="百分比 2" xfId="2" xr:uid="{00000000-0005-0000-0000-000002000000}"/>
    <cellStyle name="百分比 2 2" xfId="3" xr:uid="{00000000-0005-0000-0000-000003000000}"/>
    <cellStyle name="百分比 4" xfId="4" xr:uid="{00000000-0005-0000-0000-000004000000}"/>
    <cellStyle name="百分比 5" xfId="5" xr:uid="{00000000-0005-0000-0000-000005000000}"/>
    <cellStyle name="常规" xfId="0" builtinId="0"/>
    <cellStyle name="常规 2" xfId="6" xr:uid="{00000000-0005-0000-0000-000006000000}"/>
    <cellStyle name="常规 2 2 2" xfId="7" xr:uid="{00000000-0005-0000-0000-000007000000}"/>
    <cellStyle name="常规 2 3" xfId="8" xr:uid="{00000000-0005-0000-0000-000008000000}"/>
    <cellStyle name="常规 3" xfId="9" xr:uid="{00000000-0005-0000-0000-000009000000}"/>
    <cellStyle name="常规 4" xfId="10" xr:uid="{00000000-0005-0000-0000-00000A000000}"/>
    <cellStyle name="常规 4 2" xfId="11" xr:uid="{00000000-0005-0000-0000-00000B000000}"/>
    <cellStyle name="常规 5" xfId="12" xr:uid="{00000000-0005-0000-0000-00000C000000}"/>
    <cellStyle name="常规 6" xfId="16" xr:uid="{00000000-0005-0000-0000-000010000000}"/>
    <cellStyle name="常规 7" xfId="13" xr:uid="{00000000-0005-0000-0000-00000D000000}"/>
    <cellStyle name="常规 7 2" xfId="15" xr:uid="{00000000-0005-0000-0000-00000F000000}"/>
    <cellStyle name="常规 8" xfId="14" xr:uid="{00000000-0005-0000-0000-00000E000000}"/>
  </cellStyles>
  <dxfs count="8"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全车有效线索管控!$A$5</c:f>
              <c:strCache>
                <c:ptCount val="1"/>
                <c:pt idx="0">
                  <c:v>上期实绩</c:v>
                </c:pt>
              </c:strCache>
            </c:strRef>
          </c:tx>
          <c:spPr>
            <a:solidFill>
              <a:srgbClr val="C00000"/>
            </a:solidFill>
            <a:ln>
              <a:noFill/>
              <a:prstDash val="solid"/>
            </a:ln>
          </c:spPr>
          <c:invertIfNegative val="0"/>
          <c:cat>
            <c:numRef>
              <c:f>全车有效线索管控!$B$4:$AE$4</c:f>
              <c:numCache>
                <c:formatCode>m/d;@</c:formatCode>
                <c:ptCount val="3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</c:numCache>
            </c:numRef>
          </c:cat>
          <c:val>
            <c:numRef>
              <c:f>全车有效线索管控!$B$5:$AF$5</c:f>
              <c:numCache>
                <c:formatCode>General</c:formatCode>
                <c:ptCount val="31"/>
                <c:pt idx="0">
                  <c:v>24950</c:v>
                </c:pt>
                <c:pt idx="1">
                  <c:v>24318</c:v>
                </c:pt>
                <c:pt idx="2">
                  <c:v>23678</c:v>
                </c:pt>
                <c:pt idx="3">
                  <c:v>24720</c:v>
                </c:pt>
                <c:pt idx="4">
                  <c:v>24648</c:v>
                </c:pt>
                <c:pt idx="5">
                  <c:v>23984</c:v>
                </c:pt>
                <c:pt idx="6">
                  <c:v>25178</c:v>
                </c:pt>
                <c:pt idx="7">
                  <c:v>24340</c:v>
                </c:pt>
                <c:pt idx="8">
                  <c:v>23204</c:v>
                </c:pt>
                <c:pt idx="9">
                  <c:v>23202</c:v>
                </c:pt>
                <c:pt idx="10">
                  <c:v>22803</c:v>
                </c:pt>
                <c:pt idx="11">
                  <c:v>23806</c:v>
                </c:pt>
                <c:pt idx="12">
                  <c:v>24682</c:v>
                </c:pt>
                <c:pt idx="13">
                  <c:v>26231</c:v>
                </c:pt>
                <c:pt idx="14">
                  <c:v>26870</c:v>
                </c:pt>
                <c:pt idx="15">
                  <c:v>26721</c:v>
                </c:pt>
                <c:pt idx="16">
                  <c:v>24389</c:v>
                </c:pt>
                <c:pt idx="17">
                  <c:v>24007</c:v>
                </c:pt>
                <c:pt idx="18">
                  <c:v>23839</c:v>
                </c:pt>
                <c:pt idx="19">
                  <c:v>25025</c:v>
                </c:pt>
                <c:pt idx="20">
                  <c:v>25278</c:v>
                </c:pt>
                <c:pt idx="21">
                  <c:v>29573</c:v>
                </c:pt>
                <c:pt idx="22">
                  <c:v>25493</c:v>
                </c:pt>
                <c:pt idx="23">
                  <c:v>23581</c:v>
                </c:pt>
                <c:pt idx="24">
                  <c:v>23291</c:v>
                </c:pt>
                <c:pt idx="25">
                  <c:v>25264</c:v>
                </c:pt>
                <c:pt idx="26">
                  <c:v>23930</c:v>
                </c:pt>
                <c:pt idx="27">
                  <c:v>25716</c:v>
                </c:pt>
                <c:pt idx="28">
                  <c:v>26788</c:v>
                </c:pt>
                <c:pt idx="29">
                  <c:v>25196</c:v>
                </c:pt>
                <c:pt idx="30">
                  <c:v>24234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D7-4238-BD60-1E666D76881D}"/>
            </c:ext>
          </c:extLst>
        </c:ser>
        <c:ser>
          <c:idx val="2"/>
          <c:order val="1"/>
          <c:tx>
            <c:strRef>
              <c:f>全车有效线索管控!$A$6</c:f>
              <c:strCache>
                <c:ptCount val="1"/>
                <c:pt idx="0">
                  <c:v>本期实绩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全车有效线索管控!$B$4:$AE$4</c:f>
              <c:numCache>
                <c:formatCode>m/d;@</c:formatCode>
                <c:ptCount val="3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</c:numCache>
            </c:numRef>
          </c:cat>
          <c:val>
            <c:numRef>
              <c:f>全车有效线索管控!$B$6:$AF$6</c:f>
              <c:numCache>
                <c:formatCode>General</c:formatCode>
                <c:ptCount val="31"/>
                <c:pt idx="0">
                  <c:v>19063</c:v>
                </c:pt>
                <c:pt idx="1">
                  <c:v>19800</c:v>
                </c:pt>
                <c:pt idx="2">
                  <c:v>20622</c:v>
                </c:pt>
                <c:pt idx="3">
                  <c:v>22214</c:v>
                </c:pt>
                <c:pt idx="4">
                  <c:v>24213</c:v>
                </c:pt>
                <c:pt idx="5">
                  <c:v>23293</c:v>
                </c:pt>
                <c:pt idx="6">
                  <c:v>23403</c:v>
                </c:pt>
                <c:pt idx="7">
                  <c:v>27820</c:v>
                </c:pt>
                <c:pt idx="8">
                  <c:v>26179</c:v>
                </c:pt>
                <c:pt idx="9">
                  <c:v>23721</c:v>
                </c:pt>
                <c:pt idx="10">
                  <c:v>27947</c:v>
                </c:pt>
                <c:pt idx="11">
                  <c:v>30430</c:v>
                </c:pt>
                <c:pt idx="12">
                  <c:v>26762</c:v>
                </c:pt>
                <c:pt idx="13">
                  <c:v>25854</c:v>
                </c:pt>
                <c:pt idx="14">
                  <c:v>26715</c:v>
                </c:pt>
                <c:pt idx="15">
                  <c:v>26816</c:v>
                </c:pt>
                <c:pt idx="16">
                  <c:v>26330</c:v>
                </c:pt>
                <c:pt idx="17">
                  <c:v>30850</c:v>
                </c:pt>
                <c:pt idx="18">
                  <c:v>30493</c:v>
                </c:pt>
                <c:pt idx="19">
                  <c:v>27334</c:v>
                </c:pt>
                <c:pt idx="20">
                  <c:v>27158</c:v>
                </c:pt>
                <c:pt idx="21">
                  <c:v>27872</c:v>
                </c:pt>
                <c:pt idx="22">
                  <c:v>27697</c:v>
                </c:pt>
                <c:pt idx="23">
                  <c:v>28397</c:v>
                </c:pt>
                <c:pt idx="24">
                  <c:v>33822</c:v>
                </c:pt>
                <c:pt idx="25">
                  <c:v>32286</c:v>
                </c:pt>
                <c:pt idx="26">
                  <c:v>29505</c:v>
                </c:pt>
                <c:pt idx="27">
                  <c:v>30578</c:v>
                </c:pt>
                <c:pt idx="28">
                  <c:v>31465</c:v>
                </c:pt>
                <c:pt idx="29">
                  <c:v>34259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D7-4238-BD60-1E666D768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4336288"/>
        <c:axId val="20596112"/>
      </c:barChart>
      <c:lineChart>
        <c:grouping val="standard"/>
        <c:varyColors val="0"/>
        <c:ser>
          <c:idx val="3"/>
          <c:order val="2"/>
          <c:tx>
            <c:strRef>
              <c:f>全车有效线索管控!$A$7</c:f>
              <c:strCache>
                <c:ptCount val="1"/>
                <c:pt idx="0">
                  <c:v>上期累计实绩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val>
            <c:numRef>
              <c:f>全车有效线索管控!$B$7:$AF$7</c:f>
              <c:numCache>
                <c:formatCode>General</c:formatCode>
                <c:ptCount val="31"/>
                <c:pt idx="0">
                  <c:v>24950</c:v>
                </c:pt>
                <c:pt idx="1">
                  <c:v>49268</c:v>
                </c:pt>
                <c:pt idx="2">
                  <c:v>72946</c:v>
                </c:pt>
                <c:pt idx="3">
                  <c:v>97666</c:v>
                </c:pt>
                <c:pt idx="4">
                  <c:v>122314</c:v>
                </c:pt>
                <c:pt idx="5">
                  <c:v>146298</c:v>
                </c:pt>
                <c:pt idx="6">
                  <c:v>171476</c:v>
                </c:pt>
                <c:pt idx="7">
                  <c:v>195816</c:v>
                </c:pt>
                <c:pt idx="8">
                  <c:v>219020</c:v>
                </c:pt>
                <c:pt idx="9">
                  <c:v>242222</c:v>
                </c:pt>
                <c:pt idx="10">
                  <c:v>265025</c:v>
                </c:pt>
                <c:pt idx="11">
                  <c:v>288831</c:v>
                </c:pt>
                <c:pt idx="12">
                  <c:v>313513</c:v>
                </c:pt>
                <c:pt idx="13">
                  <c:v>339744</c:v>
                </c:pt>
                <c:pt idx="14">
                  <c:v>366614</c:v>
                </c:pt>
                <c:pt idx="15">
                  <c:v>393335</c:v>
                </c:pt>
                <c:pt idx="16">
                  <c:v>417724</c:v>
                </c:pt>
                <c:pt idx="17">
                  <c:v>441731</c:v>
                </c:pt>
                <c:pt idx="18">
                  <c:v>465570</c:v>
                </c:pt>
                <c:pt idx="19">
                  <c:v>490595</c:v>
                </c:pt>
                <c:pt idx="20">
                  <c:v>515873</c:v>
                </c:pt>
                <c:pt idx="21">
                  <c:v>545446</c:v>
                </c:pt>
                <c:pt idx="22">
                  <c:v>570939</c:v>
                </c:pt>
                <c:pt idx="23">
                  <c:v>594520</c:v>
                </c:pt>
                <c:pt idx="24">
                  <c:v>617811</c:v>
                </c:pt>
                <c:pt idx="25">
                  <c:v>643075</c:v>
                </c:pt>
                <c:pt idx="26">
                  <c:v>667005</c:v>
                </c:pt>
                <c:pt idx="27">
                  <c:v>692721</c:v>
                </c:pt>
                <c:pt idx="28">
                  <c:v>719509</c:v>
                </c:pt>
                <c:pt idx="29">
                  <c:v>744705</c:v>
                </c:pt>
                <c:pt idx="30">
                  <c:v>768939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D7-4238-BD60-1E666D76881D}"/>
            </c:ext>
          </c:extLst>
        </c:ser>
        <c:ser>
          <c:idx val="4"/>
          <c:order val="3"/>
          <c:tx>
            <c:strRef>
              <c:f>全车有效线索管控!$A$8</c:f>
              <c:strCache>
                <c:ptCount val="1"/>
                <c:pt idx="0">
                  <c:v>本期累计实绩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val>
            <c:numRef>
              <c:f>全车有效线索管控!$B$8:$AF$8</c:f>
              <c:numCache>
                <c:formatCode>General</c:formatCode>
                <c:ptCount val="31"/>
                <c:pt idx="0">
                  <c:v>19063</c:v>
                </c:pt>
                <c:pt idx="1">
                  <c:v>38863</c:v>
                </c:pt>
                <c:pt idx="2">
                  <c:v>59485</c:v>
                </c:pt>
                <c:pt idx="3">
                  <c:v>81699</c:v>
                </c:pt>
                <c:pt idx="4">
                  <c:v>105912</c:v>
                </c:pt>
                <c:pt idx="5">
                  <c:v>129205</c:v>
                </c:pt>
                <c:pt idx="6">
                  <c:v>152608</c:v>
                </c:pt>
                <c:pt idx="7">
                  <c:v>180428</c:v>
                </c:pt>
                <c:pt idx="8">
                  <c:v>206607</c:v>
                </c:pt>
                <c:pt idx="9">
                  <c:v>230328</c:v>
                </c:pt>
                <c:pt idx="10">
                  <c:v>258275</c:v>
                </c:pt>
                <c:pt idx="11">
                  <c:v>288705</c:v>
                </c:pt>
                <c:pt idx="12">
                  <c:v>315467</c:v>
                </c:pt>
                <c:pt idx="13">
                  <c:v>341321</c:v>
                </c:pt>
                <c:pt idx="14">
                  <c:v>368036</c:v>
                </c:pt>
                <c:pt idx="15">
                  <c:v>394852</c:v>
                </c:pt>
                <c:pt idx="16">
                  <c:v>421182</c:v>
                </c:pt>
                <c:pt idx="17">
                  <c:v>452032</c:v>
                </c:pt>
                <c:pt idx="18">
                  <c:v>482525</c:v>
                </c:pt>
                <c:pt idx="19">
                  <c:v>509859</c:v>
                </c:pt>
                <c:pt idx="20">
                  <c:v>537017</c:v>
                </c:pt>
                <c:pt idx="21">
                  <c:v>564889</c:v>
                </c:pt>
                <c:pt idx="22">
                  <c:v>592586</c:v>
                </c:pt>
                <c:pt idx="23">
                  <c:v>620983</c:v>
                </c:pt>
                <c:pt idx="24">
                  <c:v>654805</c:v>
                </c:pt>
                <c:pt idx="25">
                  <c:v>687091</c:v>
                </c:pt>
                <c:pt idx="26">
                  <c:v>716596</c:v>
                </c:pt>
                <c:pt idx="27">
                  <c:v>747174</c:v>
                </c:pt>
                <c:pt idx="28">
                  <c:v>778639</c:v>
                </c:pt>
                <c:pt idx="29">
                  <c:v>812898</c:v>
                </c:pt>
                <c:pt idx="30">
                  <c:v>812898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D7-4238-BD60-1E666D768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134048"/>
        <c:axId val="2115135008"/>
      </c:lineChart>
      <c:dateAx>
        <c:axId val="2114336288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20596112"/>
        <c:crosses val="autoZero"/>
        <c:auto val="1"/>
        <c:lblOffset val="100"/>
        <c:baseTimeUnit val="days"/>
      </c:dateAx>
      <c:valAx>
        <c:axId val="205961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4336288"/>
        <c:crosses val="max"/>
        <c:crossBetween val="between"/>
      </c:valAx>
      <c:catAx>
        <c:axId val="2115134048"/>
        <c:scaling>
          <c:orientation val="minMax"/>
        </c:scaling>
        <c:delete val="0"/>
        <c:axPos val="b"/>
        <c:numFmt formatCode="m/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135008"/>
        <c:crosses val="autoZero"/>
        <c:auto val="1"/>
        <c:lblAlgn val="ctr"/>
        <c:lblOffset val="100"/>
        <c:noMultiLvlLbl val="0"/>
      </c:catAx>
      <c:valAx>
        <c:axId val="211513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13404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783167</xdr:colOff>
      <xdr:row>14</xdr:row>
      <xdr:rowOff>14817</xdr:rowOff>
    </xdr:from>
    <xdr:to>
      <xdr:col>32</xdr:col>
      <xdr:colOff>328084</xdr:colOff>
      <xdr:row>36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E54C5E"/>
  </sheetPr>
  <dimension ref="B1:I7"/>
  <sheetViews>
    <sheetView workbookViewId="0">
      <selection activeCell="C2" sqref="C2"/>
    </sheetView>
  </sheetViews>
  <sheetFormatPr defaultRowHeight="14.25"/>
  <cols>
    <col min="1" max="1" width="11" bestFit="1" customWidth="1"/>
    <col min="3" max="3" width="15" bestFit="1" customWidth="1"/>
    <col min="6" max="6" width="15" bestFit="1" customWidth="1"/>
    <col min="9" max="9" width="13.875" bestFit="1" customWidth="1"/>
  </cols>
  <sheetData>
    <row r="1" spans="2:9" ht="15" customHeight="1" thickBot="1">
      <c r="B1" s="11" t="s">
        <v>0</v>
      </c>
      <c r="C1" s="12">
        <f ca="1">TODAY()</f>
        <v>46144</v>
      </c>
    </row>
    <row r="2" spans="2:9">
      <c r="B2" s="1" t="s">
        <v>1</v>
      </c>
      <c r="C2" s="8">
        <f ca="1">C1-1</f>
        <v>46143</v>
      </c>
      <c r="E2" s="1" t="s">
        <v>2</v>
      </c>
      <c r="F2" s="2">
        <f ca="1">EDATE(C2,-1)</f>
        <v>46113</v>
      </c>
      <c r="H2" s="1" t="s">
        <v>3</v>
      </c>
      <c r="I2" s="2">
        <f ca="1">EDATE(C2,-12)</f>
        <v>45778</v>
      </c>
    </row>
    <row r="3" spans="2:9">
      <c r="B3" s="3" t="s">
        <v>4</v>
      </c>
      <c r="C3" s="4">
        <f ca="1">DAY(C2)/DAY(EOMONTH(C2,0))</f>
        <v>3.2258064516129031E-2</v>
      </c>
      <c r="E3" s="3" t="s">
        <v>4</v>
      </c>
      <c r="F3" s="4">
        <f ca="1">DAY(F2)/DAY(EOMONTH(F2,0))</f>
        <v>3.3333333333333333E-2</v>
      </c>
      <c r="H3" s="3" t="s">
        <v>4</v>
      </c>
      <c r="I3" s="4">
        <f ca="1">DAY(I2)/DAY(EOMONTH(I2,0))</f>
        <v>3.2258064516129031E-2</v>
      </c>
    </row>
    <row r="4" spans="2:9">
      <c r="B4" s="3" t="s">
        <v>5</v>
      </c>
      <c r="C4" s="5">
        <f ca="1">YEAR(C2)</f>
        <v>2026</v>
      </c>
      <c r="E4" s="3" t="s">
        <v>5</v>
      </c>
      <c r="F4" s="5">
        <f ca="1">YEAR(F2)</f>
        <v>2026</v>
      </c>
      <c r="H4" s="3" t="s">
        <v>5</v>
      </c>
      <c r="I4" s="5">
        <f ca="1">YEAR(I2)</f>
        <v>2025</v>
      </c>
    </row>
    <row r="5" spans="2:9">
      <c r="B5" s="3" t="s">
        <v>6</v>
      </c>
      <c r="C5" s="5">
        <f ca="1">MONTH(C2)</f>
        <v>5</v>
      </c>
      <c r="E5" s="3" t="s">
        <v>6</v>
      </c>
      <c r="F5" s="5">
        <f ca="1">MONTH(F2)</f>
        <v>4</v>
      </c>
      <c r="H5" s="3" t="s">
        <v>6</v>
      </c>
      <c r="I5" s="5">
        <f ca="1">MONTH(I2)</f>
        <v>5</v>
      </c>
    </row>
    <row r="6" spans="2:9" ht="15" customHeight="1" thickBot="1">
      <c r="B6" s="3" t="s">
        <v>7</v>
      </c>
      <c r="C6" s="5">
        <f ca="1">DAY(C2)</f>
        <v>1</v>
      </c>
      <c r="E6" s="6" t="s">
        <v>7</v>
      </c>
      <c r="F6" s="7">
        <f ca="1">DAY(F2)</f>
        <v>1</v>
      </c>
      <c r="H6" s="6" t="s">
        <v>7</v>
      </c>
      <c r="I6" s="7">
        <f ca="1">DAY(I2)</f>
        <v>1</v>
      </c>
    </row>
    <row r="7" spans="2:9" ht="15" customHeight="1" thickBot="1">
      <c r="B7" s="13" t="s">
        <v>8</v>
      </c>
      <c r="C7" s="14">
        <f ca="1">TODAY() - DAY(TODAY()) + 1</f>
        <v>46143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7" tint="0.79998168889431442"/>
  </sheetPr>
  <dimension ref="A2:X1226"/>
  <sheetViews>
    <sheetView zoomScale="85" zoomScaleNormal="85" workbookViewId="0">
      <pane ySplit="2" topLeftCell="A3" activePane="bottomLeft" state="frozen"/>
      <selection activeCell="K9" sqref="K9"/>
      <selection pane="bottomLeft" sqref="A1:XFD1048576"/>
    </sheetView>
  </sheetViews>
  <sheetFormatPr defaultRowHeight="14.25"/>
  <cols>
    <col min="1" max="1" width="15.625" style="53" bestFit="1" customWidth="1"/>
    <col min="2" max="2" width="15" style="41" customWidth="1"/>
    <col min="3" max="14" width="9" style="41"/>
    <col min="15" max="18" width="16.625" style="41" bestFit="1" customWidth="1"/>
    <col min="19" max="19" width="18.625" style="41" bestFit="1" customWidth="1"/>
    <col min="20" max="20" width="19.625" style="41" bestFit="1" customWidth="1"/>
    <col min="21" max="22" width="16.625" style="41" bestFit="1" customWidth="1"/>
    <col min="23" max="23" width="21.75" style="41" bestFit="1" customWidth="1"/>
    <col min="24" max="24" width="19.625" style="41" bestFit="1" customWidth="1"/>
    <col min="25" max="16384" width="9" style="41"/>
  </cols>
  <sheetData>
    <row r="2" spans="1:24" s="41" customFormat="1">
      <c r="A2" s="37" t="s">
        <v>9</v>
      </c>
      <c r="B2" s="38" t="s">
        <v>938</v>
      </c>
      <c r="C2" s="39" t="s">
        <v>939</v>
      </c>
      <c r="D2" s="39" t="s">
        <v>940</v>
      </c>
      <c r="E2" s="39" t="s">
        <v>941</v>
      </c>
      <c r="F2" s="39" t="s">
        <v>942</v>
      </c>
      <c r="G2" s="39" t="s">
        <v>943</v>
      </c>
      <c r="H2" s="39" t="s">
        <v>944</v>
      </c>
      <c r="I2" s="39" t="s">
        <v>945</v>
      </c>
      <c r="J2" s="39" t="s">
        <v>946</v>
      </c>
      <c r="K2" s="39" t="s">
        <v>947</v>
      </c>
      <c r="L2" s="39" t="s">
        <v>948</v>
      </c>
      <c r="M2" s="39" t="s">
        <v>949</v>
      </c>
      <c r="N2" s="40" t="s">
        <v>950</v>
      </c>
      <c r="O2" s="39" t="s">
        <v>951</v>
      </c>
      <c r="P2" s="39" t="s">
        <v>952</v>
      </c>
      <c r="Q2" s="39" t="s">
        <v>953</v>
      </c>
      <c r="R2" s="39" t="s">
        <v>954</v>
      </c>
      <c r="S2" s="39" t="s">
        <v>955</v>
      </c>
      <c r="T2" s="39" t="s">
        <v>956</v>
      </c>
      <c r="U2" s="39" t="s">
        <v>957</v>
      </c>
      <c r="V2" s="39" t="s">
        <v>958</v>
      </c>
      <c r="W2" s="39" t="s">
        <v>959</v>
      </c>
      <c r="X2" s="39" t="s">
        <v>960</v>
      </c>
    </row>
    <row r="3" spans="1:24" s="41" customFormat="1">
      <c r="A3" s="42">
        <v>46082</v>
      </c>
      <c r="B3" s="43" t="s">
        <v>961</v>
      </c>
      <c r="C3" s="44">
        <v>322</v>
      </c>
      <c r="D3" s="44">
        <v>297</v>
      </c>
      <c r="E3" s="44">
        <v>148</v>
      </c>
      <c r="F3" s="44">
        <v>495</v>
      </c>
      <c r="G3" s="44">
        <v>297</v>
      </c>
      <c r="H3" s="44">
        <v>223</v>
      </c>
      <c r="I3" s="44">
        <v>247</v>
      </c>
      <c r="J3" s="44">
        <v>99</v>
      </c>
      <c r="K3" s="44">
        <v>247</v>
      </c>
      <c r="L3" s="44">
        <v>99</v>
      </c>
      <c r="M3" s="44">
        <f t="shared" ref="M3:M66" si="0">N3-SUM(C3:L3)</f>
        <v>1060</v>
      </c>
      <c r="N3" s="45">
        <v>3534</v>
      </c>
      <c r="O3" s="44">
        <v>134</v>
      </c>
      <c r="P3" s="44">
        <v>6</v>
      </c>
      <c r="Q3" s="44">
        <v>550</v>
      </c>
      <c r="R3" s="44">
        <v>1000</v>
      </c>
      <c r="S3" s="44">
        <v>500</v>
      </c>
      <c r="T3" s="44">
        <v>300</v>
      </c>
      <c r="U3" s="44">
        <v>0</v>
      </c>
      <c r="V3" s="44">
        <v>435</v>
      </c>
      <c r="W3" s="44">
        <v>609</v>
      </c>
      <c r="X3" s="44">
        <v>0</v>
      </c>
    </row>
    <row r="4" spans="1:24" s="41" customFormat="1">
      <c r="A4" s="42">
        <v>46083</v>
      </c>
      <c r="B4" s="43" t="s">
        <v>961</v>
      </c>
      <c r="C4" s="44">
        <v>318</v>
      </c>
      <c r="D4" s="44">
        <v>294</v>
      </c>
      <c r="E4" s="44">
        <v>147</v>
      </c>
      <c r="F4" s="44">
        <v>490</v>
      </c>
      <c r="G4" s="44">
        <v>294</v>
      </c>
      <c r="H4" s="44">
        <v>220</v>
      </c>
      <c r="I4" s="44">
        <v>245</v>
      </c>
      <c r="J4" s="44">
        <v>98</v>
      </c>
      <c r="K4" s="44">
        <v>245</v>
      </c>
      <c r="L4" s="44">
        <v>98</v>
      </c>
      <c r="M4" s="44">
        <f t="shared" si="0"/>
        <v>1050</v>
      </c>
      <c r="N4" s="45">
        <v>3499</v>
      </c>
      <c r="O4" s="44">
        <v>134</v>
      </c>
      <c r="P4" s="44">
        <v>6</v>
      </c>
      <c r="Q4" s="44">
        <v>422</v>
      </c>
      <c r="R4" s="44">
        <v>1000</v>
      </c>
      <c r="S4" s="44">
        <v>450</v>
      </c>
      <c r="T4" s="44">
        <v>300</v>
      </c>
      <c r="U4" s="44">
        <v>0</v>
      </c>
      <c r="V4" s="44">
        <v>435</v>
      </c>
      <c r="W4" s="44">
        <v>729</v>
      </c>
      <c r="X4" s="44">
        <v>23</v>
      </c>
    </row>
    <row r="5" spans="1:24" s="41" customFormat="1">
      <c r="A5" s="42">
        <v>46084</v>
      </c>
      <c r="B5" s="43" t="s">
        <v>961</v>
      </c>
      <c r="C5" s="44">
        <v>321</v>
      </c>
      <c r="D5" s="44">
        <v>297</v>
      </c>
      <c r="E5" s="44">
        <v>148</v>
      </c>
      <c r="F5" s="44">
        <v>494</v>
      </c>
      <c r="G5" s="44">
        <v>297</v>
      </c>
      <c r="H5" s="44">
        <v>222</v>
      </c>
      <c r="I5" s="44">
        <v>247</v>
      </c>
      <c r="J5" s="44">
        <v>99</v>
      </c>
      <c r="K5" s="44">
        <v>247</v>
      </c>
      <c r="L5" s="44">
        <v>99</v>
      </c>
      <c r="M5" s="44">
        <f t="shared" si="0"/>
        <v>1060</v>
      </c>
      <c r="N5" s="45">
        <v>3531</v>
      </c>
      <c r="O5" s="44">
        <v>134</v>
      </c>
      <c r="P5" s="44">
        <v>6</v>
      </c>
      <c r="Q5" s="44">
        <v>422</v>
      </c>
      <c r="R5" s="44">
        <v>1000</v>
      </c>
      <c r="S5" s="44">
        <v>450</v>
      </c>
      <c r="T5" s="44">
        <v>300</v>
      </c>
      <c r="U5" s="44">
        <v>0</v>
      </c>
      <c r="V5" s="44">
        <v>435</v>
      </c>
      <c r="W5" s="44">
        <v>761</v>
      </c>
      <c r="X5" s="44">
        <v>23</v>
      </c>
    </row>
    <row r="6" spans="1:24" s="41" customFormat="1">
      <c r="A6" s="42">
        <v>46085</v>
      </c>
      <c r="B6" s="43" t="s">
        <v>961</v>
      </c>
      <c r="C6" s="44">
        <v>320</v>
      </c>
      <c r="D6" s="44">
        <v>295</v>
      </c>
      <c r="E6" s="44">
        <v>148</v>
      </c>
      <c r="F6" s="44">
        <v>492</v>
      </c>
      <c r="G6" s="44">
        <v>295</v>
      </c>
      <c r="H6" s="44">
        <v>222</v>
      </c>
      <c r="I6" s="44">
        <v>246</v>
      </c>
      <c r="J6" s="44">
        <v>98</v>
      </c>
      <c r="K6" s="44">
        <v>246</v>
      </c>
      <c r="L6" s="44">
        <v>98</v>
      </c>
      <c r="M6" s="44">
        <f t="shared" si="0"/>
        <v>1057</v>
      </c>
      <c r="N6" s="45">
        <v>3517</v>
      </c>
      <c r="O6" s="44">
        <v>134</v>
      </c>
      <c r="P6" s="44">
        <v>6</v>
      </c>
      <c r="Q6" s="44">
        <v>422</v>
      </c>
      <c r="R6" s="44">
        <v>1000</v>
      </c>
      <c r="S6" s="44">
        <v>450</v>
      </c>
      <c r="T6" s="44">
        <v>300</v>
      </c>
      <c r="U6" s="44">
        <v>0</v>
      </c>
      <c r="V6" s="44">
        <v>435</v>
      </c>
      <c r="W6" s="44">
        <v>747</v>
      </c>
      <c r="X6" s="44">
        <v>23</v>
      </c>
    </row>
    <row r="7" spans="1:24" s="41" customFormat="1">
      <c r="A7" s="42">
        <v>46086</v>
      </c>
      <c r="B7" s="43" t="s">
        <v>961</v>
      </c>
      <c r="C7" s="44">
        <v>328</v>
      </c>
      <c r="D7" s="44">
        <v>302</v>
      </c>
      <c r="E7" s="44">
        <v>151</v>
      </c>
      <c r="F7" s="44">
        <v>504</v>
      </c>
      <c r="G7" s="44">
        <v>302</v>
      </c>
      <c r="H7" s="44">
        <v>227</v>
      </c>
      <c r="I7" s="44">
        <v>252</v>
      </c>
      <c r="J7" s="44">
        <v>101</v>
      </c>
      <c r="K7" s="44">
        <v>252</v>
      </c>
      <c r="L7" s="44">
        <v>101</v>
      </c>
      <c r="M7" s="44">
        <f t="shared" si="0"/>
        <v>1079</v>
      </c>
      <c r="N7" s="45">
        <v>3599</v>
      </c>
      <c r="O7" s="44">
        <v>134</v>
      </c>
      <c r="P7" s="44">
        <v>6</v>
      </c>
      <c r="Q7" s="44">
        <v>422</v>
      </c>
      <c r="R7" s="44">
        <v>1000</v>
      </c>
      <c r="S7" s="44">
        <v>450</v>
      </c>
      <c r="T7" s="44">
        <v>300</v>
      </c>
      <c r="U7" s="44">
        <v>0</v>
      </c>
      <c r="V7" s="44">
        <v>435</v>
      </c>
      <c r="W7" s="44">
        <v>829</v>
      </c>
      <c r="X7" s="44">
        <v>23</v>
      </c>
    </row>
    <row r="8" spans="1:24" s="41" customFormat="1">
      <c r="A8" s="42">
        <v>46087</v>
      </c>
      <c r="B8" s="43" t="s">
        <v>961</v>
      </c>
      <c r="C8" s="44">
        <v>336</v>
      </c>
      <c r="D8" s="44">
        <v>310</v>
      </c>
      <c r="E8" s="44">
        <v>155</v>
      </c>
      <c r="F8" s="44">
        <v>517</v>
      </c>
      <c r="G8" s="44">
        <v>310</v>
      </c>
      <c r="H8" s="44">
        <v>233</v>
      </c>
      <c r="I8" s="44">
        <v>259</v>
      </c>
      <c r="J8" s="44">
        <v>103</v>
      </c>
      <c r="K8" s="44">
        <v>259</v>
      </c>
      <c r="L8" s="44">
        <v>103</v>
      </c>
      <c r="M8" s="44">
        <f t="shared" si="0"/>
        <v>1110</v>
      </c>
      <c r="N8" s="45">
        <v>3695</v>
      </c>
      <c r="O8" s="44">
        <v>134</v>
      </c>
      <c r="P8" s="44">
        <v>6</v>
      </c>
      <c r="Q8" s="44">
        <v>422</v>
      </c>
      <c r="R8" s="44">
        <v>1000</v>
      </c>
      <c r="S8" s="44">
        <v>450</v>
      </c>
      <c r="T8" s="44">
        <v>300</v>
      </c>
      <c r="U8" s="44">
        <v>118</v>
      </c>
      <c r="V8" s="44">
        <v>435</v>
      </c>
      <c r="W8" s="44">
        <v>807</v>
      </c>
      <c r="X8" s="44">
        <v>23</v>
      </c>
    </row>
    <row r="9" spans="1:24" s="41" customFormat="1">
      <c r="A9" s="42">
        <v>46088</v>
      </c>
      <c r="B9" s="43" t="s">
        <v>961</v>
      </c>
      <c r="C9" s="44">
        <v>361</v>
      </c>
      <c r="D9" s="44">
        <v>333</v>
      </c>
      <c r="E9" s="44">
        <v>167</v>
      </c>
      <c r="F9" s="44">
        <v>556</v>
      </c>
      <c r="G9" s="44">
        <v>333</v>
      </c>
      <c r="H9" s="44">
        <v>250</v>
      </c>
      <c r="I9" s="44">
        <v>278</v>
      </c>
      <c r="J9" s="44">
        <v>111</v>
      </c>
      <c r="K9" s="44">
        <v>278</v>
      </c>
      <c r="L9" s="44">
        <v>111</v>
      </c>
      <c r="M9" s="44">
        <f t="shared" si="0"/>
        <v>1191</v>
      </c>
      <c r="N9" s="45">
        <v>3969</v>
      </c>
      <c r="O9" s="44">
        <v>134</v>
      </c>
      <c r="P9" s="44">
        <v>6</v>
      </c>
      <c r="Q9" s="44">
        <v>549</v>
      </c>
      <c r="R9" s="44">
        <v>1000</v>
      </c>
      <c r="S9" s="44">
        <v>500</v>
      </c>
      <c r="T9" s="44">
        <v>350</v>
      </c>
      <c r="U9" s="44">
        <v>118</v>
      </c>
      <c r="V9" s="44">
        <v>435</v>
      </c>
      <c r="W9" s="44">
        <v>877</v>
      </c>
      <c r="X9" s="44">
        <v>0</v>
      </c>
    </row>
    <row r="10" spans="1:24" s="41" customFormat="1">
      <c r="A10" s="42">
        <v>46089</v>
      </c>
      <c r="B10" s="43" t="s">
        <v>961</v>
      </c>
      <c r="C10" s="44">
        <v>455</v>
      </c>
      <c r="D10" s="44">
        <v>420</v>
      </c>
      <c r="E10" s="44">
        <v>210</v>
      </c>
      <c r="F10" s="44">
        <v>700</v>
      </c>
      <c r="G10" s="44">
        <v>420</v>
      </c>
      <c r="H10" s="44">
        <v>315</v>
      </c>
      <c r="I10" s="44">
        <v>350</v>
      </c>
      <c r="J10" s="44">
        <v>140</v>
      </c>
      <c r="K10" s="44">
        <v>350</v>
      </c>
      <c r="L10" s="44">
        <v>140</v>
      </c>
      <c r="M10" s="44">
        <f t="shared" si="0"/>
        <v>1499</v>
      </c>
      <c r="N10" s="45">
        <v>4999</v>
      </c>
      <c r="O10" s="44">
        <v>134</v>
      </c>
      <c r="P10" s="44">
        <v>6</v>
      </c>
      <c r="Q10" s="44">
        <v>549</v>
      </c>
      <c r="R10" s="44">
        <v>1941</v>
      </c>
      <c r="S10" s="44">
        <v>550</v>
      </c>
      <c r="T10" s="44">
        <v>350</v>
      </c>
      <c r="U10" s="44">
        <v>118</v>
      </c>
      <c r="V10" s="44">
        <v>435</v>
      </c>
      <c r="W10" s="44">
        <v>916</v>
      </c>
      <c r="X10" s="44">
        <v>0</v>
      </c>
    </row>
    <row r="11" spans="1:24" s="41" customFormat="1">
      <c r="A11" s="42">
        <v>46090</v>
      </c>
      <c r="B11" s="43" t="s">
        <v>961</v>
      </c>
      <c r="C11" s="44">
        <v>432</v>
      </c>
      <c r="D11" s="44">
        <v>399</v>
      </c>
      <c r="E11" s="44">
        <v>200</v>
      </c>
      <c r="F11" s="44">
        <v>665</v>
      </c>
      <c r="G11" s="44">
        <v>399</v>
      </c>
      <c r="H11" s="44">
        <v>299</v>
      </c>
      <c r="I11" s="44">
        <v>333</v>
      </c>
      <c r="J11" s="44">
        <v>133</v>
      </c>
      <c r="K11" s="44">
        <v>333</v>
      </c>
      <c r="L11" s="44">
        <v>133</v>
      </c>
      <c r="M11" s="44">
        <f t="shared" si="0"/>
        <v>1425</v>
      </c>
      <c r="N11" s="45">
        <v>4751</v>
      </c>
      <c r="O11" s="44">
        <v>134</v>
      </c>
      <c r="P11" s="44">
        <v>6</v>
      </c>
      <c r="Q11" s="44">
        <v>422</v>
      </c>
      <c r="R11" s="44">
        <v>1941</v>
      </c>
      <c r="S11" s="44">
        <v>450</v>
      </c>
      <c r="T11" s="44">
        <v>300</v>
      </c>
      <c r="U11" s="44">
        <v>118</v>
      </c>
      <c r="V11" s="44">
        <v>435</v>
      </c>
      <c r="W11" s="44">
        <v>922</v>
      </c>
      <c r="X11" s="44">
        <v>23</v>
      </c>
    </row>
    <row r="12" spans="1:24" s="41" customFormat="1">
      <c r="A12" s="42">
        <v>46091</v>
      </c>
      <c r="B12" s="43" t="s">
        <v>961</v>
      </c>
      <c r="C12" s="44">
        <v>429</v>
      </c>
      <c r="D12" s="44">
        <v>396</v>
      </c>
      <c r="E12" s="44">
        <v>198</v>
      </c>
      <c r="F12" s="44">
        <v>661</v>
      </c>
      <c r="G12" s="44">
        <v>396</v>
      </c>
      <c r="H12" s="44">
        <v>297</v>
      </c>
      <c r="I12" s="44">
        <v>330</v>
      </c>
      <c r="J12" s="44">
        <v>132</v>
      </c>
      <c r="K12" s="44">
        <v>330</v>
      </c>
      <c r="L12" s="44">
        <v>132</v>
      </c>
      <c r="M12" s="44">
        <f t="shared" si="0"/>
        <v>1418</v>
      </c>
      <c r="N12" s="45">
        <v>4719</v>
      </c>
      <c r="O12" s="44">
        <v>134</v>
      </c>
      <c r="P12" s="44">
        <v>6</v>
      </c>
      <c r="Q12" s="44">
        <v>422</v>
      </c>
      <c r="R12" s="44">
        <v>1941</v>
      </c>
      <c r="S12" s="44">
        <v>450</v>
      </c>
      <c r="T12" s="44">
        <v>400</v>
      </c>
      <c r="U12" s="44">
        <v>0</v>
      </c>
      <c r="V12" s="44">
        <v>435</v>
      </c>
      <c r="W12" s="44">
        <v>907</v>
      </c>
      <c r="X12" s="44">
        <v>24</v>
      </c>
    </row>
    <row r="13" spans="1:24" s="41" customFormat="1">
      <c r="A13" s="42">
        <v>46092</v>
      </c>
      <c r="B13" s="43" t="s">
        <v>961</v>
      </c>
      <c r="C13" s="44">
        <v>448</v>
      </c>
      <c r="D13" s="44">
        <v>413</v>
      </c>
      <c r="E13" s="44">
        <v>207</v>
      </c>
      <c r="F13" s="44">
        <v>689</v>
      </c>
      <c r="G13" s="44">
        <v>413</v>
      </c>
      <c r="H13" s="44">
        <v>310</v>
      </c>
      <c r="I13" s="44">
        <v>344</v>
      </c>
      <c r="J13" s="44">
        <v>138</v>
      </c>
      <c r="K13" s="44">
        <v>344</v>
      </c>
      <c r="L13" s="44">
        <v>138</v>
      </c>
      <c r="M13" s="44">
        <f t="shared" si="0"/>
        <v>1474</v>
      </c>
      <c r="N13" s="45">
        <v>4918</v>
      </c>
      <c r="O13" s="44">
        <v>134</v>
      </c>
      <c r="P13" s="44">
        <v>6</v>
      </c>
      <c r="Q13" s="44">
        <v>465</v>
      </c>
      <c r="R13" s="44">
        <v>1941</v>
      </c>
      <c r="S13" s="44">
        <v>450</v>
      </c>
      <c r="T13" s="44">
        <v>400</v>
      </c>
      <c r="U13" s="44">
        <v>226</v>
      </c>
      <c r="V13" s="44">
        <v>435</v>
      </c>
      <c r="W13" s="44">
        <v>837</v>
      </c>
      <c r="X13" s="44">
        <v>24</v>
      </c>
    </row>
    <row r="14" spans="1:24" s="41" customFormat="1">
      <c r="A14" s="42">
        <v>46093</v>
      </c>
      <c r="B14" s="43" t="s">
        <v>961</v>
      </c>
      <c r="C14" s="44">
        <v>596</v>
      </c>
      <c r="D14" s="44">
        <v>550</v>
      </c>
      <c r="E14" s="44">
        <v>275</v>
      </c>
      <c r="F14" s="44">
        <v>917</v>
      </c>
      <c r="G14" s="44">
        <v>550</v>
      </c>
      <c r="H14" s="44">
        <v>412</v>
      </c>
      <c r="I14" s="44">
        <v>458</v>
      </c>
      <c r="J14" s="44">
        <v>183</v>
      </c>
      <c r="K14" s="44">
        <v>458</v>
      </c>
      <c r="L14" s="44">
        <v>183</v>
      </c>
      <c r="M14" s="44">
        <f t="shared" si="0"/>
        <v>1965</v>
      </c>
      <c r="N14" s="45">
        <v>6547</v>
      </c>
      <c r="O14" s="44">
        <v>134</v>
      </c>
      <c r="P14" s="44">
        <v>6</v>
      </c>
      <c r="Q14" s="44">
        <v>465</v>
      </c>
      <c r="R14" s="44">
        <v>3600</v>
      </c>
      <c r="S14" s="44">
        <v>450</v>
      </c>
      <c r="T14" s="44">
        <v>400</v>
      </c>
      <c r="U14" s="44">
        <v>226</v>
      </c>
      <c r="V14" s="44">
        <v>435</v>
      </c>
      <c r="W14" s="44">
        <v>807</v>
      </c>
      <c r="X14" s="44">
        <v>24</v>
      </c>
    </row>
    <row r="15" spans="1:24" s="41" customFormat="1">
      <c r="A15" s="42">
        <v>46094</v>
      </c>
      <c r="B15" s="43" t="s">
        <v>961</v>
      </c>
      <c r="C15" s="44">
        <v>606</v>
      </c>
      <c r="D15" s="44">
        <v>559</v>
      </c>
      <c r="E15" s="44">
        <v>280</v>
      </c>
      <c r="F15" s="44">
        <v>932</v>
      </c>
      <c r="G15" s="44">
        <v>559</v>
      </c>
      <c r="H15" s="44">
        <v>419</v>
      </c>
      <c r="I15" s="44">
        <v>466</v>
      </c>
      <c r="J15" s="44">
        <v>186</v>
      </c>
      <c r="K15" s="44">
        <v>466</v>
      </c>
      <c r="L15" s="44">
        <v>186</v>
      </c>
      <c r="M15" s="44">
        <f t="shared" si="0"/>
        <v>1998</v>
      </c>
      <c r="N15" s="45">
        <v>6657</v>
      </c>
      <c r="O15" s="44">
        <v>134</v>
      </c>
      <c r="P15" s="44">
        <v>6</v>
      </c>
      <c r="Q15" s="44">
        <v>465</v>
      </c>
      <c r="R15" s="44">
        <v>3600</v>
      </c>
      <c r="S15" s="44">
        <v>450</v>
      </c>
      <c r="T15" s="44">
        <v>400</v>
      </c>
      <c r="U15" s="44">
        <v>226</v>
      </c>
      <c r="V15" s="44">
        <v>435</v>
      </c>
      <c r="W15" s="44">
        <v>917</v>
      </c>
      <c r="X15" s="44">
        <v>24</v>
      </c>
    </row>
    <row r="16" spans="1:24" s="41" customFormat="1">
      <c r="A16" s="42">
        <v>46095</v>
      </c>
      <c r="B16" s="43" t="s">
        <v>961</v>
      </c>
      <c r="C16" s="44">
        <v>625</v>
      </c>
      <c r="D16" s="44">
        <v>577</v>
      </c>
      <c r="E16" s="44">
        <v>288</v>
      </c>
      <c r="F16" s="44">
        <v>961</v>
      </c>
      <c r="G16" s="44">
        <v>577</v>
      </c>
      <c r="H16" s="44">
        <v>433</v>
      </c>
      <c r="I16" s="44">
        <v>481</v>
      </c>
      <c r="J16" s="44">
        <v>192</v>
      </c>
      <c r="K16" s="44">
        <v>481</v>
      </c>
      <c r="L16" s="44">
        <v>192</v>
      </c>
      <c r="M16" s="44">
        <f t="shared" si="0"/>
        <v>2059</v>
      </c>
      <c r="N16" s="45">
        <v>6866</v>
      </c>
      <c r="O16" s="44">
        <v>134</v>
      </c>
      <c r="P16" s="44">
        <v>6</v>
      </c>
      <c r="Q16" s="44">
        <v>604</v>
      </c>
      <c r="R16" s="44">
        <v>3600</v>
      </c>
      <c r="S16" s="44">
        <v>500</v>
      </c>
      <c r="T16" s="44">
        <v>400</v>
      </c>
      <c r="U16" s="44">
        <v>226</v>
      </c>
      <c r="V16" s="44">
        <v>435</v>
      </c>
      <c r="W16" s="44">
        <v>961</v>
      </c>
      <c r="X16" s="44">
        <v>0</v>
      </c>
    </row>
    <row r="17" spans="1:24" s="41" customFormat="1">
      <c r="A17" s="42">
        <v>46096</v>
      </c>
      <c r="B17" s="43" t="s">
        <v>961</v>
      </c>
      <c r="C17" s="44">
        <v>637</v>
      </c>
      <c r="D17" s="44">
        <v>588</v>
      </c>
      <c r="E17" s="44">
        <v>294</v>
      </c>
      <c r="F17" s="44">
        <v>980</v>
      </c>
      <c r="G17" s="44">
        <v>588</v>
      </c>
      <c r="H17" s="44">
        <v>441</v>
      </c>
      <c r="I17" s="44">
        <v>490</v>
      </c>
      <c r="J17" s="44">
        <v>196</v>
      </c>
      <c r="K17" s="44">
        <v>490</v>
      </c>
      <c r="L17" s="44">
        <v>196</v>
      </c>
      <c r="M17" s="44">
        <f t="shared" si="0"/>
        <v>2097</v>
      </c>
      <c r="N17" s="45">
        <v>6997</v>
      </c>
      <c r="O17" s="44">
        <v>134</v>
      </c>
      <c r="P17" s="44">
        <v>6</v>
      </c>
      <c r="Q17" s="44">
        <v>604</v>
      </c>
      <c r="R17" s="44">
        <v>3600</v>
      </c>
      <c r="S17" s="44">
        <v>500</v>
      </c>
      <c r="T17" s="44">
        <v>400</v>
      </c>
      <c r="U17" s="44">
        <v>226</v>
      </c>
      <c r="V17" s="44">
        <v>435</v>
      </c>
      <c r="W17" s="44">
        <v>1092</v>
      </c>
      <c r="X17" s="44">
        <v>0</v>
      </c>
    </row>
    <row r="18" spans="1:24" s="41" customFormat="1">
      <c r="A18" s="42">
        <v>46097</v>
      </c>
      <c r="B18" s="43" t="s">
        <v>961</v>
      </c>
      <c r="C18" s="44">
        <v>625</v>
      </c>
      <c r="D18" s="44">
        <v>577</v>
      </c>
      <c r="E18" s="44">
        <v>289</v>
      </c>
      <c r="F18" s="44">
        <v>962</v>
      </c>
      <c r="G18" s="44">
        <v>577</v>
      </c>
      <c r="H18" s="44">
        <v>433</v>
      </c>
      <c r="I18" s="44">
        <v>481</v>
      </c>
      <c r="J18" s="44">
        <v>192</v>
      </c>
      <c r="K18" s="44">
        <v>481</v>
      </c>
      <c r="L18" s="44">
        <v>192</v>
      </c>
      <c r="M18" s="44">
        <f t="shared" si="0"/>
        <v>2062</v>
      </c>
      <c r="N18" s="45">
        <v>6871</v>
      </c>
      <c r="O18" s="44">
        <v>133</v>
      </c>
      <c r="P18" s="44">
        <v>6</v>
      </c>
      <c r="Q18" s="44">
        <v>465</v>
      </c>
      <c r="R18" s="44">
        <v>3600</v>
      </c>
      <c r="S18" s="44">
        <v>450</v>
      </c>
      <c r="T18" s="44">
        <v>400</v>
      </c>
      <c r="U18" s="44">
        <v>226</v>
      </c>
      <c r="V18" s="44">
        <v>435</v>
      </c>
      <c r="W18" s="44">
        <v>1132</v>
      </c>
      <c r="X18" s="44">
        <v>24</v>
      </c>
    </row>
    <row r="19" spans="1:24" s="41" customFormat="1">
      <c r="A19" s="42">
        <v>46098</v>
      </c>
      <c r="B19" s="43" t="s">
        <v>961</v>
      </c>
      <c r="C19" s="44">
        <v>615</v>
      </c>
      <c r="D19" s="44">
        <v>568</v>
      </c>
      <c r="E19" s="44">
        <v>284</v>
      </c>
      <c r="F19" s="44">
        <v>946</v>
      </c>
      <c r="G19" s="44">
        <v>568</v>
      </c>
      <c r="H19" s="44">
        <v>426</v>
      </c>
      <c r="I19" s="44">
        <v>473</v>
      </c>
      <c r="J19" s="44">
        <v>189</v>
      </c>
      <c r="K19" s="44">
        <v>473</v>
      </c>
      <c r="L19" s="44">
        <v>189</v>
      </c>
      <c r="M19" s="44">
        <f t="shared" si="0"/>
        <v>2026</v>
      </c>
      <c r="N19" s="45">
        <v>6757</v>
      </c>
      <c r="O19" s="44">
        <v>133</v>
      </c>
      <c r="P19" s="44">
        <v>6</v>
      </c>
      <c r="Q19" s="44">
        <v>465</v>
      </c>
      <c r="R19" s="44">
        <v>3600</v>
      </c>
      <c r="S19" s="44">
        <v>450</v>
      </c>
      <c r="T19" s="44">
        <v>600</v>
      </c>
      <c r="U19" s="44">
        <v>0</v>
      </c>
      <c r="V19" s="44">
        <v>435</v>
      </c>
      <c r="W19" s="44">
        <v>1044</v>
      </c>
      <c r="X19" s="44">
        <v>24</v>
      </c>
    </row>
    <row r="20" spans="1:24" s="41" customFormat="1">
      <c r="A20" s="42">
        <v>46099</v>
      </c>
      <c r="B20" s="43" t="s">
        <v>961</v>
      </c>
      <c r="C20" s="44">
        <v>520</v>
      </c>
      <c r="D20" s="44">
        <v>480</v>
      </c>
      <c r="E20" s="44">
        <v>240</v>
      </c>
      <c r="F20" s="44">
        <v>800</v>
      </c>
      <c r="G20" s="44">
        <v>480</v>
      </c>
      <c r="H20" s="44">
        <v>360</v>
      </c>
      <c r="I20" s="44">
        <v>400</v>
      </c>
      <c r="J20" s="44">
        <v>160</v>
      </c>
      <c r="K20" s="44">
        <v>400</v>
      </c>
      <c r="L20" s="44">
        <v>160</v>
      </c>
      <c r="M20" s="44">
        <f t="shared" si="0"/>
        <v>1711</v>
      </c>
      <c r="N20" s="45">
        <v>5711</v>
      </c>
      <c r="O20" s="44">
        <v>133</v>
      </c>
      <c r="P20" s="44">
        <v>6</v>
      </c>
      <c r="Q20" s="44">
        <v>465</v>
      </c>
      <c r="R20" s="44">
        <v>2556</v>
      </c>
      <c r="S20" s="44">
        <v>450</v>
      </c>
      <c r="T20" s="44">
        <v>600</v>
      </c>
      <c r="U20" s="44">
        <v>0</v>
      </c>
      <c r="V20" s="44">
        <v>435</v>
      </c>
      <c r="W20" s="44">
        <v>1042</v>
      </c>
      <c r="X20" s="44">
        <v>24</v>
      </c>
    </row>
    <row r="21" spans="1:24" s="41" customFormat="1">
      <c r="A21" s="42">
        <v>46100</v>
      </c>
      <c r="B21" s="43" t="s">
        <v>961</v>
      </c>
      <c r="C21" s="44">
        <v>469</v>
      </c>
      <c r="D21" s="44">
        <v>433</v>
      </c>
      <c r="E21" s="44">
        <v>216</v>
      </c>
      <c r="F21" s="44">
        <v>721</v>
      </c>
      <c r="G21" s="44">
        <v>433</v>
      </c>
      <c r="H21" s="44">
        <v>325</v>
      </c>
      <c r="I21" s="44">
        <v>361</v>
      </c>
      <c r="J21" s="44">
        <v>144</v>
      </c>
      <c r="K21" s="44">
        <v>361</v>
      </c>
      <c r="L21" s="44">
        <v>144</v>
      </c>
      <c r="M21" s="44">
        <f t="shared" si="0"/>
        <v>1544</v>
      </c>
      <c r="N21" s="45">
        <v>5151</v>
      </c>
      <c r="O21" s="44">
        <v>133</v>
      </c>
      <c r="P21" s="44">
        <v>6</v>
      </c>
      <c r="Q21" s="44">
        <v>465</v>
      </c>
      <c r="R21" s="44">
        <v>1941</v>
      </c>
      <c r="S21" s="44">
        <v>450</v>
      </c>
      <c r="T21" s="44">
        <v>600</v>
      </c>
      <c r="U21" s="44">
        <v>0</v>
      </c>
      <c r="V21" s="44">
        <v>435</v>
      </c>
      <c r="W21" s="44">
        <v>1097</v>
      </c>
      <c r="X21" s="44">
        <v>24</v>
      </c>
    </row>
    <row r="22" spans="1:24" s="41" customFormat="1">
      <c r="A22" s="42">
        <v>46101</v>
      </c>
      <c r="B22" s="43" t="s">
        <v>961</v>
      </c>
      <c r="C22" s="44">
        <v>464</v>
      </c>
      <c r="D22" s="44">
        <v>428</v>
      </c>
      <c r="E22" s="44">
        <v>214</v>
      </c>
      <c r="F22" s="44">
        <v>714</v>
      </c>
      <c r="G22" s="44">
        <v>428</v>
      </c>
      <c r="H22" s="44">
        <v>321</v>
      </c>
      <c r="I22" s="44">
        <v>357</v>
      </c>
      <c r="J22" s="44">
        <v>143</v>
      </c>
      <c r="K22" s="44">
        <v>357</v>
      </c>
      <c r="L22" s="44">
        <v>143</v>
      </c>
      <c r="M22" s="44">
        <f t="shared" si="0"/>
        <v>1529</v>
      </c>
      <c r="N22" s="45">
        <v>5098</v>
      </c>
      <c r="O22" s="44">
        <v>133</v>
      </c>
      <c r="P22" s="44">
        <v>6</v>
      </c>
      <c r="Q22" s="44">
        <v>465</v>
      </c>
      <c r="R22" s="44">
        <v>1941</v>
      </c>
      <c r="S22" s="44">
        <v>450</v>
      </c>
      <c r="T22" s="44">
        <v>600</v>
      </c>
      <c r="U22" s="44">
        <v>0</v>
      </c>
      <c r="V22" s="44">
        <v>435</v>
      </c>
      <c r="W22" s="44">
        <v>1044</v>
      </c>
      <c r="X22" s="44">
        <v>24</v>
      </c>
    </row>
    <row r="23" spans="1:24" s="41" customFormat="1">
      <c r="A23" s="42">
        <v>46102</v>
      </c>
      <c r="B23" s="43" t="s">
        <v>961</v>
      </c>
      <c r="C23" s="44">
        <v>494</v>
      </c>
      <c r="D23" s="44">
        <v>456</v>
      </c>
      <c r="E23" s="44">
        <v>228</v>
      </c>
      <c r="F23" s="44">
        <v>760</v>
      </c>
      <c r="G23" s="44">
        <v>456</v>
      </c>
      <c r="H23" s="44">
        <v>342</v>
      </c>
      <c r="I23" s="44">
        <v>380</v>
      </c>
      <c r="J23" s="44">
        <v>152</v>
      </c>
      <c r="K23" s="44">
        <v>380</v>
      </c>
      <c r="L23" s="44">
        <v>152</v>
      </c>
      <c r="M23" s="44">
        <f t="shared" si="0"/>
        <v>1627</v>
      </c>
      <c r="N23" s="45">
        <v>5427</v>
      </c>
      <c r="O23" s="44">
        <v>133</v>
      </c>
      <c r="P23" s="44">
        <v>6</v>
      </c>
      <c r="Q23" s="44">
        <v>659</v>
      </c>
      <c r="R23" s="44">
        <v>1941</v>
      </c>
      <c r="S23" s="44">
        <v>500</v>
      </c>
      <c r="T23" s="44">
        <v>700</v>
      </c>
      <c r="U23" s="44">
        <v>0</v>
      </c>
      <c r="V23" s="44">
        <v>435</v>
      </c>
      <c r="W23" s="44">
        <v>1053</v>
      </c>
      <c r="X23" s="44">
        <v>0</v>
      </c>
    </row>
    <row r="24" spans="1:24" s="41" customFormat="1">
      <c r="A24" s="42">
        <v>46103</v>
      </c>
      <c r="B24" s="43" t="s">
        <v>961</v>
      </c>
      <c r="C24" s="44">
        <v>652</v>
      </c>
      <c r="D24" s="44">
        <v>602</v>
      </c>
      <c r="E24" s="44">
        <v>301</v>
      </c>
      <c r="F24" s="44">
        <v>1004</v>
      </c>
      <c r="G24" s="44">
        <v>602</v>
      </c>
      <c r="H24" s="44">
        <v>452</v>
      </c>
      <c r="I24" s="44">
        <v>502</v>
      </c>
      <c r="J24" s="44">
        <v>201</v>
      </c>
      <c r="K24" s="44">
        <v>502</v>
      </c>
      <c r="L24" s="44">
        <v>201</v>
      </c>
      <c r="M24" s="44">
        <f t="shared" si="0"/>
        <v>2149</v>
      </c>
      <c r="N24" s="45">
        <v>7168</v>
      </c>
      <c r="O24" s="44">
        <v>133</v>
      </c>
      <c r="P24" s="44">
        <v>6</v>
      </c>
      <c r="Q24" s="44">
        <v>659</v>
      </c>
      <c r="R24" s="44">
        <v>3600</v>
      </c>
      <c r="S24" s="44">
        <v>500</v>
      </c>
      <c r="T24" s="44">
        <v>700</v>
      </c>
      <c r="U24" s="44">
        <v>0</v>
      </c>
      <c r="V24" s="44">
        <v>435</v>
      </c>
      <c r="W24" s="44">
        <v>1135</v>
      </c>
      <c r="X24" s="44">
        <v>0</v>
      </c>
    </row>
    <row r="25" spans="1:24" s="41" customFormat="1">
      <c r="A25" s="42">
        <v>46104</v>
      </c>
      <c r="B25" s="43" t="s">
        <v>961</v>
      </c>
      <c r="C25" s="44">
        <v>488</v>
      </c>
      <c r="D25" s="44">
        <v>451</v>
      </c>
      <c r="E25" s="44">
        <v>225</v>
      </c>
      <c r="F25" s="44">
        <v>751</v>
      </c>
      <c r="G25" s="44">
        <v>451</v>
      </c>
      <c r="H25" s="44">
        <v>338</v>
      </c>
      <c r="I25" s="44">
        <v>376</v>
      </c>
      <c r="J25" s="44">
        <v>150</v>
      </c>
      <c r="K25" s="44">
        <v>376</v>
      </c>
      <c r="L25" s="44">
        <v>150</v>
      </c>
      <c r="M25" s="44">
        <f t="shared" si="0"/>
        <v>1611</v>
      </c>
      <c r="N25" s="45">
        <v>5367</v>
      </c>
      <c r="O25" s="44">
        <v>133</v>
      </c>
      <c r="P25" s="44">
        <v>6</v>
      </c>
      <c r="Q25" s="44">
        <v>507</v>
      </c>
      <c r="R25" s="44">
        <v>1941</v>
      </c>
      <c r="S25" s="44">
        <v>450</v>
      </c>
      <c r="T25" s="44">
        <v>700</v>
      </c>
      <c r="U25" s="44">
        <v>0</v>
      </c>
      <c r="V25" s="44">
        <v>435</v>
      </c>
      <c r="W25" s="44">
        <v>1171</v>
      </c>
      <c r="X25" s="44">
        <v>24</v>
      </c>
    </row>
    <row r="26" spans="1:24" s="41" customFormat="1">
      <c r="A26" s="42">
        <v>46105</v>
      </c>
      <c r="B26" s="43" t="s">
        <v>961</v>
      </c>
      <c r="C26" s="44">
        <v>479</v>
      </c>
      <c r="D26" s="44">
        <v>442</v>
      </c>
      <c r="E26" s="44">
        <v>221</v>
      </c>
      <c r="F26" s="44">
        <v>737</v>
      </c>
      <c r="G26" s="44">
        <v>442</v>
      </c>
      <c r="H26" s="44">
        <v>332</v>
      </c>
      <c r="I26" s="44">
        <v>368</v>
      </c>
      <c r="J26" s="44">
        <v>147</v>
      </c>
      <c r="K26" s="44">
        <v>368</v>
      </c>
      <c r="L26" s="44">
        <v>147</v>
      </c>
      <c r="M26" s="44">
        <f t="shared" si="0"/>
        <v>1579</v>
      </c>
      <c r="N26" s="45">
        <v>5262</v>
      </c>
      <c r="O26" s="44">
        <v>133</v>
      </c>
      <c r="P26" s="44">
        <v>6</v>
      </c>
      <c r="Q26" s="44">
        <v>507</v>
      </c>
      <c r="R26" s="44">
        <v>1941</v>
      </c>
      <c r="S26" s="44">
        <v>450</v>
      </c>
      <c r="T26" s="44">
        <v>700</v>
      </c>
      <c r="U26" s="44">
        <v>0</v>
      </c>
      <c r="V26" s="44">
        <v>435</v>
      </c>
      <c r="W26" s="44">
        <v>1066</v>
      </c>
      <c r="X26" s="44">
        <v>24</v>
      </c>
    </row>
    <row r="27" spans="1:24" s="41" customFormat="1">
      <c r="A27" s="42">
        <v>46106</v>
      </c>
      <c r="B27" s="43" t="s">
        <v>961</v>
      </c>
      <c r="C27" s="44">
        <v>479</v>
      </c>
      <c r="D27" s="44">
        <v>442</v>
      </c>
      <c r="E27" s="44">
        <v>221</v>
      </c>
      <c r="F27" s="44">
        <v>737</v>
      </c>
      <c r="G27" s="44">
        <v>442</v>
      </c>
      <c r="H27" s="44">
        <v>332</v>
      </c>
      <c r="I27" s="44">
        <v>368</v>
      </c>
      <c r="J27" s="44">
        <v>147</v>
      </c>
      <c r="K27" s="44">
        <v>368</v>
      </c>
      <c r="L27" s="44">
        <v>147</v>
      </c>
      <c r="M27" s="44">
        <f t="shared" si="0"/>
        <v>1580</v>
      </c>
      <c r="N27" s="45">
        <v>5263</v>
      </c>
      <c r="O27" s="44">
        <v>133</v>
      </c>
      <c r="P27" s="44">
        <v>6</v>
      </c>
      <c r="Q27" s="44">
        <v>507</v>
      </c>
      <c r="R27" s="44">
        <v>1941</v>
      </c>
      <c r="S27" s="44">
        <v>450</v>
      </c>
      <c r="T27" s="44">
        <v>700</v>
      </c>
      <c r="U27" s="44">
        <v>0</v>
      </c>
      <c r="V27" s="44">
        <v>435</v>
      </c>
      <c r="W27" s="44">
        <v>1067</v>
      </c>
      <c r="X27" s="44">
        <v>24</v>
      </c>
    </row>
    <row r="28" spans="1:24" s="41" customFormat="1">
      <c r="A28" s="42">
        <v>46107</v>
      </c>
      <c r="B28" s="43" t="s">
        <v>961</v>
      </c>
      <c r="C28" s="44">
        <v>415</v>
      </c>
      <c r="D28" s="44">
        <v>383</v>
      </c>
      <c r="E28" s="44">
        <v>192</v>
      </c>
      <c r="F28" s="44">
        <v>639</v>
      </c>
      <c r="G28" s="44">
        <v>383</v>
      </c>
      <c r="H28" s="44">
        <v>288</v>
      </c>
      <c r="I28" s="44">
        <v>320</v>
      </c>
      <c r="J28" s="44">
        <v>128</v>
      </c>
      <c r="K28" s="44">
        <v>320</v>
      </c>
      <c r="L28" s="44">
        <v>128</v>
      </c>
      <c r="M28" s="44">
        <f t="shared" si="0"/>
        <v>1369</v>
      </c>
      <c r="N28" s="45">
        <v>4565</v>
      </c>
      <c r="O28" s="44">
        <v>133</v>
      </c>
      <c r="P28" s="44">
        <v>6</v>
      </c>
      <c r="Q28" s="44">
        <v>507</v>
      </c>
      <c r="R28" s="44">
        <v>1000</v>
      </c>
      <c r="S28" s="44">
        <v>450</v>
      </c>
      <c r="T28" s="44">
        <v>700</v>
      </c>
      <c r="U28" s="44">
        <v>240</v>
      </c>
      <c r="V28" s="44">
        <v>438</v>
      </c>
      <c r="W28" s="44">
        <v>1067</v>
      </c>
      <c r="X28" s="44">
        <v>24</v>
      </c>
    </row>
    <row r="29" spans="1:24" s="41" customFormat="1">
      <c r="A29" s="42">
        <v>46108</v>
      </c>
      <c r="B29" s="43" t="s">
        <v>961</v>
      </c>
      <c r="C29" s="44">
        <v>427</v>
      </c>
      <c r="D29" s="44">
        <v>394</v>
      </c>
      <c r="E29" s="44">
        <v>197</v>
      </c>
      <c r="F29" s="44">
        <v>656</v>
      </c>
      <c r="G29" s="44">
        <v>394</v>
      </c>
      <c r="H29" s="44">
        <v>295</v>
      </c>
      <c r="I29" s="44">
        <v>328</v>
      </c>
      <c r="J29" s="44">
        <v>131</v>
      </c>
      <c r="K29" s="44">
        <v>328</v>
      </c>
      <c r="L29" s="44">
        <v>131</v>
      </c>
      <c r="M29" s="44">
        <f t="shared" si="0"/>
        <v>1406</v>
      </c>
      <c r="N29" s="45">
        <v>4687</v>
      </c>
      <c r="O29" s="44">
        <v>133</v>
      </c>
      <c r="P29" s="44">
        <v>6</v>
      </c>
      <c r="Q29" s="44">
        <v>507</v>
      </c>
      <c r="R29" s="44">
        <v>1000</v>
      </c>
      <c r="S29" s="44">
        <v>450</v>
      </c>
      <c r="T29" s="44">
        <v>700</v>
      </c>
      <c r="U29" s="44">
        <v>353</v>
      </c>
      <c r="V29" s="44">
        <v>435</v>
      </c>
      <c r="W29" s="44">
        <v>1079</v>
      </c>
      <c r="X29" s="44">
        <v>24</v>
      </c>
    </row>
    <row r="30" spans="1:24" s="41" customFormat="1">
      <c r="A30" s="42">
        <v>46109</v>
      </c>
      <c r="B30" s="43" t="s">
        <v>961</v>
      </c>
      <c r="C30" s="44">
        <v>450</v>
      </c>
      <c r="D30" s="44">
        <v>415</v>
      </c>
      <c r="E30" s="44">
        <v>208</v>
      </c>
      <c r="F30" s="44">
        <v>692</v>
      </c>
      <c r="G30" s="44">
        <v>415</v>
      </c>
      <c r="H30" s="44">
        <v>312</v>
      </c>
      <c r="I30" s="44">
        <v>346</v>
      </c>
      <c r="J30" s="44">
        <v>138</v>
      </c>
      <c r="K30" s="44">
        <v>346</v>
      </c>
      <c r="L30" s="44">
        <v>138</v>
      </c>
      <c r="M30" s="44">
        <f t="shared" si="0"/>
        <v>1485</v>
      </c>
      <c r="N30" s="45">
        <v>4945</v>
      </c>
      <c r="O30" s="44">
        <v>133</v>
      </c>
      <c r="P30" s="44">
        <v>6</v>
      </c>
      <c r="Q30" s="44">
        <v>659</v>
      </c>
      <c r="R30" s="44">
        <v>1000</v>
      </c>
      <c r="S30" s="44">
        <v>500</v>
      </c>
      <c r="T30" s="44">
        <v>700</v>
      </c>
      <c r="U30" s="44">
        <v>353</v>
      </c>
      <c r="V30" s="44">
        <v>440</v>
      </c>
      <c r="W30" s="44">
        <v>1154</v>
      </c>
      <c r="X30" s="44">
        <v>0</v>
      </c>
    </row>
    <row r="31" spans="1:24" s="41" customFormat="1">
      <c r="A31" s="42">
        <v>46110</v>
      </c>
      <c r="B31" s="43" t="s">
        <v>961</v>
      </c>
      <c r="C31" s="44">
        <v>453</v>
      </c>
      <c r="D31" s="44">
        <v>418</v>
      </c>
      <c r="E31" s="44">
        <v>209</v>
      </c>
      <c r="F31" s="44">
        <v>697</v>
      </c>
      <c r="G31" s="44">
        <v>418</v>
      </c>
      <c r="H31" s="44">
        <v>313</v>
      </c>
      <c r="I31" s="44">
        <v>348</v>
      </c>
      <c r="J31" s="44">
        <v>139</v>
      </c>
      <c r="K31" s="44">
        <v>348</v>
      </c>
      <c r="L31" s="44">
        <v>139</v>
      </c>
      <c r="M31" s="44">
        <f t="shared" si="0"/>
        <v>1493</v>
      </c>
      <c r="N31" s="45">
        <v>4975</v>
      </c>
      <c r="O31" s="44">
        <v>133</v>
      </c>
      <c r="P31" s="44">
        <v>6</v>
      </c>
      <c r="Q31" s="44">
        <v>659</v>
      </c>
      <c r="R31" s="44">
        <v>1000</v>
      </c>
      <c r="S31" s="44">
        <v>500</v>
      </c>
      <c r="T31" s="44">
        <v>700</v>
      </c>
      <c r="U31" s="44">
        <v>347</v>
      </c>
      <c r="V31" s="44">
        <v>440</v>
      </c>
      <c r="W31" s="44">
        <v>1190</v>
      </c>
      <c r="X31" s="44">
        <v>0</v>
      </c>
    </row>
    <row r="32" spans="1:24" s="41" customFormat="1">
      <c r="A32" s="42">
        <v>46111</v>
      </c>
      <c r="B32" s="43" t="s">
        <v>961</v>
      </c>
      <c r="C32" s="44">
        <v>390</v>
      </c>
      <c r="D32" s="44">
        <v>360</v>
      </c>
      <c r="E32" s="44">
        <v>180</v>
      </c>
      <c r="F32" s="44">
        <v>600</v>
      </c>
      <c r="G32" s="44">
        <v>360</v>
      </c>
      <c r="H32" s="44">
        <v>270</v>
      </c>
      <c r="I32" s="44">
        <v>300</v>
      </c>
      <c r="J32" s="44">
        <v>120</v>
      </c>
      <c r="K32" s="44">
        <v>300</v>
      </c>
      <c r="L32" s="44">
        <v>120</v>
      </c>
      <c r="M32" s="44">
        <f t="shared" si="0"/>
        <v>1288</v>
      </c>
      <c r="N32" s="45">
        <v>4288</v>
      </c>
      <c r="O32" s="44">
        <v>133</v>
      </c>
      <c r="P32" s="44">
        <v>6</v>
      </c>
      <c r="Q32" s="44">
        <v>507</v>
      </c>
      <c r="R32" s="44">
        <v>1000</v>
      </c>
      <c r="S32" s="44">
        <v>400</v>
      </c>
      <c r="T32" s="44">
        <v>700</v>
      </c>
      <c r="U32" s="44">
        <v>0</v>
      </c>
      <c r="V32" s="44">
        <v>440</v>
      </c>
      <c r="W32" s="44">
        <v>1079</v>
      </c>
      <c r="X32" s="44">
        <v>23</v>
      </c>
    </row>
    <row r="33" spans="1:24" s="41" customFormat="1">
      <c r="A33" s="42">
        <v>46112</v>
      </c>
      <c r="B33" s="43" t="s">
        <v>961</v>
      </c>
      <c r="C33" s="44">
        <v>397</v>
      </c>
      <c r="D33" s="44">
        <v>366</v>
      </c>
      <c r="E33" s="44">
        <v>183</v>
      </c>
      <c r="F33" s="44">
        <v>610</v>
      </c>
      <c r="G33" s="44">
        <v>366</v>
      </c>
      <c r="H33" s="44">
        <v>275</v>
      </c>
      <c r="I33" s="44">
        <v>305</v>
      </c>
      <c r="J33" s="44">
        <v>122</v>
      </c>
      <c r="K33" s="44">
        <v>305</v>
      </c>
      <c r="L33" s="44">
        <v>122</v>
      </c>
      <c r="M33" s="44">
        <f t="shared" si="0"/>
        <v>1308</v>
      </c>
      <c r="N33" s="45">
        <v>4359</v>
      </c>
      <c r="O33" s="44">
        <v>133</v>
      </c>
      <c r="P33" s="44">
        <v>6</v>
      </c>
      <c r="Q33" s="44">
        <v>507</v>
      </c>
      <c r="R33" s="44">
        <v>1000</v>
      </c>
      <c r="S33" s="44">
        <v>410</v>
      </c>
      <c r="T33" s="44">
        <v>827</v>
      </c>
      <c r="U33" s="44">
        <v>0</v>
      </c>
      <c r="V33" s="44">
        <v>440</v>
      </c>
      <c r="W33" s="44">
        <v>1013</v>
      </c>
      <c r="X33" s="44">
        <v>23</v>
      </c>
    </row>
    <row r="34" spans="1:24" s="41" customFormat="1">
      <c r="A34" s="42">
        <v>46113</v>
      </c>
      <c r="B34" s="43" t="s">
        <v>961</v>
      </c>
      <c r="C34" s="46">
        <v>234.11240968885247</v>
      </c>
      <c r="D34" s="46">
        <v>229.78918775837769</v>
      </c>
      <c r="E34" s="46">
        <v>174.5381789356677</v>
      </c>
      <c r="F34" s="46">
        <v>438.30651220300882</v>
      </c>
      <c r="G34" s="46">
        <v>250.3104272747496</v>
      </c>
      <c r="H34" s="46">
        <v>202.61099217698893</v>
      </c>
      <c r="I34" s="46">
        <v>223.1316444426958</v>
      </c>
      <c r="J34" s="46">
        <v>125.62137321362084</v>
      </c>
      <c r="K34" s="46">
        <v>247.08207548027244</v>
      </c>
      <c r="L34" s="46">
        <v>84.397198825764434</v>
      </c>
      <c r="M34" s="44">
        <f>N34-SUM(C34:L34)</f>
        <v>947.10000000000127</v>
      </c>
      <c r="N34" s="47">
        <v>3157</v>
      </c>
      <c r="O34" s="46">
        <v>158</v>
      </c>
      <c r="P34" s="46">
        <v>3</v>
      </c>
      <c r="Q34" s="46">
        <v>391</v>
      </c>
      <c r="R34" s="46">
        <v>813</v>
      </c>
      <c r="S34" s="46">
        <v>260</v>
      </c>
      <c r="T34" s="46">
        <v>261</v>
      </c>
      <c r="U34" s="46">
        <v>182</v>
      </c>
      <c r="V34" s="46">
        <v>477</v>
      </c>
      <c r="W34" s="46">
        <v>548</v>
      </c>
      <c r="X34" s="46">
        <v>64</v>
      </c>
    </row>
    <row r="35" spans="1:24" s="41" customFormat="1">
      <c r="A35" s="42">
        <v>46114</v>
      </c>
      <c r="B35" s="43" t="s">
        <v>961</v>
      </c>
      <c r="C35" s="46">
        <v>236.26295130461958</v>
      </c>
      <c r="D35" s="46">
        <v>231.90001653411193</v>
      </c>
      <c r="E35" s="46">
        <v>176.14147547958103</v>
      </c>
      <c r="F35" s="46">
        <v>442.33276777915307</v>
      </c>
      <c r="G35" s="46">
        <v>252.60976284363392</v>
      </c>
      <c r="H35" s="46">
        <v>204.47216378710382</v>
      </c>
      <c r="I35" s="46">
        <v>225.18131745151373</v>
      </c>
      <c r="J35" s="46">
        <v>126.77532311010327</v>
      </c>
      <c r="K35" s="46">
        <v>249.35175561613812</v>
      </c>
      <c r="L35" s="46">
        <v>85.172466094040388</v>
      </c>
      <c r="M35" s="44">
        <f t="shared" si="0"/>
        <v>955.80000000000109</v>
      </c>
      <c r="N35" s="47">
        <v>3186</v>
      </c>
      <c r="O35" s="46">
        <v>164</v>
      </c>
      <c r="P35" s="46">
        <v>6</v>
      </c>
      <c r="Q35" s="46">
        <v>391</v>
      </c>
      <c r="R35" s="46">
        <v>820</v>
      </c>
      <c r="S35" s="46">
        <v>268</v>
      </c>
      <c r="T35" s="46">
        <v>268</v>
      </c>
      <c r="U35" s="46">
        <v>182</v>
      </c>
      <c r="V35" s="46">
        <v>477</v>
      </c>
      <c r="W35" s="46">
        <v>546</v>
      </c>
      <c r="X35" s="46">
        <v>64</v>
      </c>
    </row>
    <row r="36" spans="1:24" s="41" customFormat="1">
      <c r="A36" s="42">
        <v>46115</v>
      </c>
      <c r="B36" s="43" t="s">
        <v>961</v>
      </c>
      <c r="C36" s="46">
        <v>236.11463808973909</v>
      </c>
      <c r="D36" s="46">
        <v>231.75444213578544</v>
      </c>
      <c r="E36" s="46">
        <v>176.03090330413875</v>
      </c>
      <c r="F36" s="46">
        <v>442.05509498079829</v>
      </c>
      <c r="G36" s="46">
        <v>252.45118797681431</v>
      </c>
      <c r="H36" s="46">
        <v>204.34380712433727</v>
      </c>
      <c r="I36" s="46">
        <v>225.03996069228489</v>
      </c>
      <c r="J36" s="46">
        <v>126.69574035862172</v>
      </c>
      <c r="K36" s="46">
        <v>249.19522595159563</v>
      </c>
      <c r="L36" s="46">
        <v>85.118999385883427</v>
      </c>
      <c r="M36" s="44">
        <f t="shared" si="0"/>
        <v>955.20000000000118</v>
      </c>
      <c r="N36" s="47">
        <v>3184</v>
      </c>
      <c r="O36" s="46">
        <v>164</v>
      </c>
      <c r="P36" s="46">
        <v>6</v>
      </c>
      <c r="Q36" s="46">
        <v>391</v>
      </c>
      <c r="R36" s="46">
        <v>820</v>
      </c>
      <c r="S36" s="46">
        <v>268</v>
      </c>
      <c r="T36" s="46">
        <v>268</v>
      </c>
      <c r="U36" s="46">
        <v>182</v>
      </c>
      <c r="V36" s="46">
        <v>477</v>
      </c>
      <c r="W36" s="46">
        <v>544</v>
      </c>
      <c r="X36" s="46">
        <v>64</v>
      </c>
    </row>
    <row r="37" spans="1:24" s="41" customFormat="1">
      <c r="A37" s="42">
        <v>46116</v>
      </c>
      <c r="B37" s="43" t="s">
        <v>961</v>
      </c>
      <c r="C37" s="46">
        <v>252.05830868939171</v>
      </c>
      <c r="D37" s="46">
        <v>247.403689955884</v>
      </c>
      <c r="E37" s="46">
        <v>187.91741216418581</v>
      </c>
      <c r="F37" s="46">
        <v>471.90492080393636</v>
      </c>
      <c r="G37" s="46">
        <v>269.49798615992205</v>
      </c>
      <c r="H37" s="46">
        <v>218.14214837174072</v>
      </c>
      <c r="I37" s="46">
        <v>240.23581230938328</v>
      </c>
      <c r="J37" s="46">
        <v>135.25088614288794</v>
      </c>
      <c r="K37" s="46">
        <v>266.02216488991007</v>
      </c>
      <c r="L37" s="46">
        <v>90.866670512756841</v>
      </c>
      <c r="M37" s="44">
        <f t="shared" si="0"/>
        <v>1019.7000000000012</v>
      </c>
      <c r="N37" s="47">
        <v>3399</v>
      </c>
      <c r="O37" s="46">
        <v>188</v>
      </c>
      <c r="P37" s="46">
        <v>7</v>
      </c>
      <c r="Q37" s="46">
        <v>450</v>
      </c>
      <c r="R37" s="46">
        <v>820</v>
      </c>
      <c r="S37" s="46">
        <v>308</v>
      </c>
      <c r="T37" s="46">
        <v>308</v>
      </c>
      <c r="U37" s="46">
        <v>209</v>
      </c>
      <c r="V37" s="46">
        <v>549</v>
      </c>
      <c r="W37" s="46">
        <v>560</v>
      </c>
      <c r="X37" s="46">
        <v>0</v>
      </c>
    </row>
    <row r="38" spans="1:24" s="41" customFormat="1">
      <c r="A38" s="42">
        <v>46117</v>
      </c>
      <c r="B38" s="43" t="s">
        <v>961</v>
      </c>
      <c r="C38" s="46">
        <v>251.98415208195146</v>
      </c>
      <c r="D38" s="46">
        <v>247.33090275672077</v>
      </c>
      <c r="E38" s="46">
        <v>187.86212607646465</v>
      </c>
      <c r="F38" s="46">
        <v>471.766084404759</v>
      </c>
      <c r="G38" s="46">
        <v>269.41869872651228</v>
      </c>
      <c r="H38" s="46">
        <v>218.07797004035746</v>
      </c>
      <c r="I38" s="46">
        <v>240.1651339297689</v>
      </c>
      <c r="J38" s="46">
        <v>135.21109476714719</v>
      </c>
      <c r="K38" s="46">
        <v>265.94390005763881</v>
      </c>
      <c r="L38" s="46">
        <v>90.839937158678367</v>
      </c>
      <c r="M38" s="44">
        <f t="shared" si="0"/>
        <v>1019.400000000001</v>
      </c>
      <c r="N38" s="47">
        <v>3398</v>
      </c>
      <c r="O38" s="46">
        <v>188</v>
      </c>
      <c r="P38" s="46">
        <v>7</v>
      </c>
      <c r="Q38" s="46">
        <v>450</v>
      </c>
      <c r="R38" s="46">
        <v>820</v>
      </c>
      <c r="S38" s="46">
        <v>308</v>
      </c>
      <c r="T38" s="46">
        <v>308</v>
      </c>
      <c r="U38" s="46">
        <v>209</v>
      </c>
      <c r="V38" s="46">
        <v>549</v>
      </c>
      <c r="W38" s="46">
        <v>559</v>
      </c>
      <c r="X38" s="46">
        <v>0</v>
      </c>
    </row>
    <row r="39" spans="1:24" s="41" customFormat="1">
      <c r="A39" s="42">
        <v>46118</v>
      </c>
      <c r="B39" s="43" t="s">
        <v>961</v>
      </c>
      <c r="C39" s="46">
        <v>250.05608028850509</v>
      </c>
      <c r="D39" s="46">
        <v>245.43843557847629</v>
      </c>
      <c r="E39" s="46">
        <v>186.42468779571476</v>
      </c>
      <c r="F39" s="46">
        <v>468.1563380261469</v>
      </c>
      <c r="G39" s="46">
        <v>267.35722545785734</v>
      </c>
      <c r="H39" s="46">
        <v>216.40933342439237</v>
      </c>
      <c r="I39" s="46">
        <v>238.32749605979419</v>
      </c>
      <c r="J39" s="46">
        <v>134.17651899788706</v>
      </c>
      <c r="K39" s="46">
        <v>263.90901441858682</v>
      </c>
      <c r="L39" s="46">
        <v>90.144869952637848</v>
      </c>
      <c r="M39" s="44">
        <f t="shared" si="0"/>
        <v>1011.6000000000017</v>
      </c>
      <c r="N39" s="47">
        <v>3372</v>
      </c>
      <c r="O39" s="46">
        <v>188</v>
      </c>
      <c r="P39" s="46">
        <v>7</v>
      </c>
      <c r="Q39" s="46">
        <v>450</v>
      </c>
      <c r="R39" s="46">
        <v>820</v>
      </c>
      <c r="S39" s="46">
        <v>308</v>
      </c>
      <c r="T39" s="46">
        <v>308</v>
      </c>
      <c r="U39" s="46">
        <v>209</v>
      </c>
      <c r="V39" s="46">
        <v>549</v>
      </c>
      <c r="W39" s="46">
        <v>533</v>
      </c>
      <c r="X39" s="46">
        <v>0</v>
      </c>
    </row>
    <row r="40" spans="1:24" s="41" customFormat="1">
      <c r="A40" s="42">
        <v>46119</v>
      </c>
      <c r="B40" s="43" t="s">
        <v>961</v>
      </c>
      <c r="C40" s="46">
        <v>234.26072290373298</v>
      </c>
      <c r="D40" s="46">
        <v>229.93476215670421</v>
      </c>
      <c r="E40" s="46">
        <v>174.64875111111002</v>
      </c>
      <c r="F40" s="46">
        <v>438.58418500136361</v>
      </c>
      <c r="G40" s="46">
        <v>250.46900214156923</v>
      </c>
      <c r="H40" s="46">
        <v>202.73934883975548</v>
      </c>
      <c r="I40" s="46">
        <v>223.27300120192461</v>
      </c>
      <c r="J40" s="46">
        <v>125.70095596510239</v>
      </c>
      <c r="K40" s="46">
        <v>247.2386051448149</v>
      </c>
      <c r="L40" s="46">
        <v>84.450665533921395</v>
      </c>
      <c r="M40" s="44">
        <f t="shared" si="0"/>
        <v>947.70000000000118</v>
      </c>
      <c r="N40" s="47">
        <v>3159</v>
      </c>
      <c r="O40" s="46">
        <v>164</v>
      </c>
      <c r="P40" s="46">
        <v>6</v>
      </c>
      <c r="Q40" s="46">
        <v>391</v>
      </c>
      <c r="R40" s="46">
        <v>820</v>
      </c>
      <c r="S40" s="46">
        <v>268</v>
      </c>
      <c r="T40" s="46">
        <v>268</v>
      </c>
      <c r="U40" s="46">
        <v>182</v>
      </c>
      <c r="V40" s="46">
        <v>477</v>
      </c>
      <c r="W40" s="46">
        <v>519</v>
      </c>
      <c r="X40" s="46">
        <v>64</v>
      </c>
    </row>
    <row r="41" spans="1:24" s="41" customFormat="1">
      <c r="A41" s="42">
        <v>46120</v>
      </c>
      <c r="B41" s="43" t="s">
        <v>961</v>
      </c>
      <c r="C41" s="46">
        <v>218.76199194872186</v>
      </c>
      <c r="D41" s="46">
        <v>214.72223753158514</v>
      </c>
      <c r="E41" s="46">
        <v>163.09395877738987</v>
      </c>
      <c r="F41" s="46">
        <v>409.56737757328989</v>
      </c>
      <c r="G41" s="46">
        <v>233.89792855892031</v>
      </c>
      <c r="H41" s="46">
        <v>189.32607758065171</v>
      </c>
      <c r="I41" s="46">
        <v>208.50121986251273</v>
      </c>
      <c r="J41" s="46">
        <v>117.38455843528081</v>
      </c>
      <c r="K41" s="46">
        <v>230.8812552001279</v>
      </c>
      <c r="L41" s="46">
        <v>78.863394531518892</v>
      </c>
      <c r="M41" s="44">
        <f t="shared" si="0"/>
        <v>885.00000000000091</v>
      </c>
      <c r="N41" s="47">
        <v>2950</v>
      </c>
      <c r="O41" s="46">
        <v>164</v>
      </c>
      <c r="P41" s="46">
        <v>6</v>
      </c>
      <c r="Q41" s="46">
        <v>391</v>
      </c>
      <c r="R41" s="46">
        <v>820</v>
      </c>
      <c r="S41" s="46">
        <v>268</v>
      </c>
      <c r="T41" s="46">
        <v>100</v>
      </c>
      <c r="U41" s="46">
        <v>182</v>
      </c>
      <c r="V41" s="46">
        <v>477</v>
      </c>
      <c r="W41" s="46">
        <v>478</v>
      </c>
      <c r="X41" s="46">
        <v>64</v>
      </c>
    </row>
    <row r="42" spans="1:24" s="41" customFormat="1">
      <c r="A42" s="42">
        <v>46121</v>
      </c>
      <c r="B42" s="43" t="s">
        <v>961</v>
      </c>
      <c r="C42" s="46">
        <v>233.0000605772488</v>
      </c>
      <c r="D42" s="46">
        <v>228.69737977092896</v>
      </c>
      <c r="E42" s="46">
        <v>173.70888761985046</v>
      </c>
      <c r="F42" s="46">
        <v>436.22396621534801</v>
      </c>
      <c r="G42" s="46">
        <v>249.12111577360255</v>
      </c>
      <c r="H42" s="46">
        <v>201.64831720623985</v>
      </c>
      <c r="I42" s="46">
        <v>222.07146874847962</v>
      </c>
      <c r="J42" s="46">
        <v>125.02450257750924</v>
      </c>
      <c r="K42" s="46">
        <v>245.90810299620398</v>
      </c>
      <c r="L42" s="46">
        <v>83.996198514587221</v>
      </c>
      <c r="M42" s="44">
        <f t="shared" si="0"/>
        <v>942.60000000000127</v>
      </c>
      <c r="N42" s="47">
        <v>3142</v>
      </c>
      <c r="O42" s="46">
        <v>164</v>
      </c>
      <c r="P42" s="46">
        <v>6</v>
      </c>
      <c r="Q42" s="46">
        <v>391</v>
      </c>
      <c r="R42" s="46">
        <v>820</v>
      </c>
      <c r="S42" s="46">
        <v>268</v>
      </c>
      <c r="T42" s="46">
        <v>268</v>
      </c>
      <c r="U42" s="46">
        <v>182</v>
      </c>
      <c r="V42" s="46">
        <v>477</v>
      </c>
      <c r="W42" s="46">
        <v>502</v>
      </c>
      <c r="X42" s="46">
        <v>64</v>
      </c>
    </row>
    <row r="43" spans="1:24" s="41" customFormat="1">
      <c r="A43" s="42">
        <v>46122</v>
      </c>
      <c r="B43" s="43" t="s">
        <v>961</v>
      </c>
      <c r="C43" s="46">
        <v>233.37084361445002</v>
      </c>
      <c r="D43" s="46">
        <v>229.0613157667452</v>
      </c>
      <c r="E43" s="46">
        <v>173.98531805845622</v>
      </c>
      <c r="F43" s="46">
        <v>436.91814821123495</v>
      </c>
      <c r="G43" s="46">
        <v>249.51755294065157</v>
      </c>
      <c r="H43" s="46">
        <v>201.96920886315621</v>
      </c>
      <c r="I43" s="46">
        <v>222.42486064655168</v>
      </c>
      <c r="J43" s="46">
        <v>125.22345945621311</v>
      </c>
      <c r="K43" s="46">
        <v>246.29942715756013</v>
      </c>
      <c r="L43" s="46">
        <v>84.12986528497963</v>
      </c>
      <c r="M43" s="44">
        <f t="shared" si="0"/>
        <v>944.10000000000127</v>
      </c>
      <c r="N43" s="47">
        <v>3147</v>
      </c>
      <c r="O43" s="46">
        <v>164</v>
      </c>
      <c r="P43" s="46">
        <v>6</v>
      </c>
      <c r="Q43" s="46">
        <v>391</v>
      </c>
      <c r="R43" s="46">
        <v>820</v>
      </c>
      <c r="S43" s="46">
        <v>268</v>
      </c>
      <c r="T43" s="46">
        <v>268</v>
      </c>
      <c r="U43" s="46">
        <v>182</v>
      </c>
      <c r="V43" s="46">
        <v>477</v>
      </c>
      <c r="W43" s="46">
        <v>507</v>
      </c>
      <c r="X43" s="46">
        <v>64</v>
      </c>
    </row>
    <row r="44" spans="1:24" s="41" customFormat="1">
      <c r="A44" s="42">
        <v>46123</v>
      </c>
      <c r="B44" s="43" t="s">
        <v>961</v>
      </c>
      <c r="C44" s="46">
        <v>259.91890907805765</v>
      </c>
      <c r="D44" s="46">
        <v>255.11913306718844</v>
      </c>
      <c r="E44" s="46">
        <v>193.77773746262761</v>
      </c>
      <c r="F44" s="46">
        <v>486.62157911673938</v>
      </c>
      <c r="G44" s="46">
        <v>277.90245410136129</v>
      </c>
      <c r="H44" s="46">
        <v>224.94505149836755</v>
      </c>
      <c r="I44" s="46">
        <v>247.72772054851089</v>
      </c>
      <c r="J44" s="46">
        <v>139.46877197140992</v>
      </c>
      <c r="K44" s="46">
        <v>274.31823711066045</v>
      </c>
      <c r="L44" s="46">
        <v>93.700406045075837</v>
      </c>
      <c r="M44" s="44">
        <f t="shared" si="0"/>
        <v>1051.5000000000009</v>
      </c>
      <c r="N44" s="47">
        <v>3505</v>
      </c>
      <c r="O44" s="46">
        <v>188</v>
      </c>
      <c r="P44" s="46">
        <v>7</v>
      </c>
      <c r="Q44" s="46">
        <v>450</v>
      </c>
      <c r="R44" s="46">
        <v>960</v>
      </c>
      <c r="S44" s="46">
        <v>308</v>
      </c>
      <c r="T44" s="46">
        <v>308</v>
      </c>
      <c r="U44" s="46">
        <v>209</v>
      </c>
      <c r="V44" s="46">
        <v>549</v>
      </c>
      <c r="W44" s="46">
        <v>526</v>
      </c>
      <c r="X44" s="46">
        <v>0</v>
      </c>
    </row>
    <row r="45" spans="1:24" s="41" customFormat="1">
      <c r="A45" s="42">
        <v>46124</v>
      </c>
      <c r="B45" s="43" t="s">
        <v>961</v>
      </c>
      <c r="C45" s="46">
        <v>260.51216193757961</v>
      </c>
      <c r="D45" s="46">
        <v>255.70143066049445</v>
      </c>
      <c r="E45" s="46">
        <v>194.22002616439681</v>
      </c>
      <c r="F45" s="46">
        <v>487.73227031015841</v>
      </c>
      <c r="G45" s="46">
        <v>278.53675356863971</v>
      </c>
      <c r="H45" s="46">
        <v>225.45847814943372</v>
      </c>
      <c r="I45" s="46">
        <v>248.29314758542617</v>
      </c>
      <c r="J45" s="46">
        <v>139.7871029773361</v>
      </c>
      <c r="K45" s="46">
        <v>274.94435576883029</v>
      </c>
      <c r="L45" s="46">
        <v>93.914272877703681</v>
      </c>
      <c r="M45" s="44">
        <f t="shared" si="0"/>
        <v>1053.900000000001</v>
      </c>
      <c r="N45" s="47">
        <v>3513</v>
      </c>
      <c r="O45" s="46">
        <v>188</v>
      </c>
      <c r="P45" s="46">
        <v>7</v>
      </c>
      <c r="Q45" s="46">
        <v>450</v>
      </c>
      <c r="R45" s="46">
        <v>960</v>
      </c>
      <c r="S45" s="46">
        <v>308</v>
      </c>
      <c r="T45" s="46">
        <v>308</v>
      </c>
      <c r="U45" s="46">
        <v>209</v>
      </c>
      <c r="V45" s="46">
        <v>549</v>
      </c>
      <c r="W45" s="46">
        <v>534</v>
      </c>
      <c r="X45" s="46">
        <v>0</v>
      </c>
    </row>
    <row r="46" spans="1:24" s="41" customFormat="1">
      <c r="A46" s="42">
        <v>46125</v>
      </c>
      <c r="B46" s="43" t="s">
        <v>961</v>
      </c>
      <c r="C46" s="46">
        <v>244.04939508584528</v>
      </c>
      <c r="D46" s="46">
        <v>239.54267244625311</v>
      </c>
      <c r="E46" s="46">
        <v>181.94651469030171</v>
      </c>
      <c r="F46" s="46">
        <v>456.91058969277861</v>
      </c>
      <c r="G46" s="46">
        <v>260.93494335166332</v>
      </c>
      <c r="H46" s="46">
        <v>211.21088858234737</v>
      </c>
      <c r="I46" s="46">
        <v>232.60254731102691</v>
      </c>
      <c r="J46" s="46">
        <v>130.95341756288445</v>
      </c>
      <c r="K46" s="46">
        <v>257.56956300461724</v>
      </c>
      <c r="L46" s="46">
        <v>87.979468272280897</v>
      </c>
      <c r="M46" s="44">
        <f t="shared" si="0"/>
        <v>987.30000000000109</v>
      </c>
      <c r="N46" s="47">
        <v>3291</v>
      </c>
      <c r="O46" s="46">
        <v>164</v>
      </c>
      <c r="P46" s="46">
        <v>6</v>
      </c>
      <c r="Q46" s="46">
        <v>391</v>
      </c>
      <c r="R46" s="46">
        <v>960</v>
      </c>
      <c r="S46" s="46">
        <v>268</v>
      </c>
      <c r="T46" s="46">
        <v>268</v>
      </c>
      <c r="U46" s="46">
        <v>182</v>
      </c>
      <c r="V46" s="46">
        <v>477</v>
      </c>
      <c r="W46" s="46">
        <v>511</v>
      </c>
      <c r="X46" s="46">
        <v>64</v>
      </c>
    </row>
    <row r="47" spans="1:24" s="41" customFormat="1">
      <c r="A47" s="42">
        <v>46126</v>
      </c>
      <c r="B47" s="43" t="s">
        <v>961</v>
      </c>
      <c r="C47" s="46">
        <v>244.86511776768796</v>
      </c>
      <c r="D47" s="46">
        <v>240.34333163704883</v>
      </c>
      <c r="E47" s="46">
        <v>182.55466165523433</v>
      </c>
      <c r="F47" s="46">
        <v>458.43779008372985</v>
      </c>
      <c r="G47" s="46">
        <v>261.80710511917113</v>
      </c>
      <c r="H47" s="46">
        <v>211.91685022756334</v>
      </c>
      <c r="I47" s="46">
        <v>233.38000948678541</v>
      </c>
      <c r="J47" s="46">
        <v>131.39112269603294</v>
      </c>
      <c r="K47" s="46">
        <v>258.43047615960074</v>
      </c>
      <c r="L47" s="46">
        <v>88.273535167144175</v>
      </c>
      <c r="M47" s="44">
        <f t="shared" si="0"/>
        <v>990.60000000000127</v>
      </c>
      <c r="N47" s="47">
        <v>3302</v>
      </c>
      <c r="O47" s="46">
        <v>164</v>
      </c>
      <c r="P47" s="46">
        <v>6</v>
      </c>
      <c r="Q47" s="46">
        <v>391</v>
      </c>
      <c r="R47" s="46">
        <v>960</v>
      </c>
      <c r="S47" s="46">
        <v>268</v>
      </c>
      <c r="T47" s="46">
        <v>268</v>
      </c>
      <c r="U47" s="46">
        <v>182</v>
      </c>
      <c r="V47" s="46">
        <v>477</v>
      </c>
      <c r="W47" s="46">
        <v>522</v>
      </c>
      <c r="X47" s="46">
        <v>64</v>
      </c>
    </row>
    <row r="48" spans="1:24" s="41" customFormat="1">
      <c r="A48" s="42">
        <v>46127</v>
      </c>
      <c r="B48" s="43" t="s">
        <v>961</v>
      </c>
      <c r="C48" s="46">
        <v>245.01343098256845</v>
      </c>
      <c r="D48" s="46">
        <v>240.48890603537535</v>
      </c>
      <c r="E48" s="46">
        <v>182.66523383067664</v>
      </c>
      <c r="F48" s="46">
        <v>458.71546288208464</v>
      </c>
      <c r="G48" s="46">
        <v>261.96567998599073</v>
      </c>
      <c r="H48" s="46">
        <v>212.04520689032989</v>
      </c>
      <c r="I48" s="46">
        <v>233.52136624601422</v>
      </c>
      <c r="J48" s="46">
        <v>131.47070544751449</v>
      </c>
      <c r="K48" s="46">
        <v>258.5870058241432</v>
      </c>
      <c r="L48" s="46">
        <v>88.32700187530115</v>
      </c>
      <c r="M48" s="44">
        <f t="shared" si="0"/>
        <v>991.20000000000164</v>
      </c>
      <c r="N48" s="47">
        <v>3304</v>
      </c>
      <c r="O48" s="46">
        <v>164</v>
      </c>
      <c r="P48" s="46">
        <v>6</v>
      </c>
      <c r="Q48" s="46">
        <v>391</v>
      </c>
      <c r="R48" s="46">
        <v>960</v>
      </c>
      <c r="S48" s="46">
        <v>268</v>
      </c>
      <c r="T48" s="46">
        <v>268</v>
      </c>
      <c r="U48" s="46">
        <v>182</v>
      </c>
      <c r="V48" s="46">
        <v>477</v>
      </c>
      <c r="W48" s="46">
        <v>524</v>
      </c>
      <c r="X48" s="46">
        <v>64</v>
      </c>
    </row>
    <row r="49" spans="1:24" s="41" customFormat="1">
      <c r="A49" s="42">
        <v>46128</v>
      </c>
      <c r="B49" s="43" t="s">
        <v>961</v>
      </c>
      <c r="C49" s="46">
        <v>244.86511776768796</v>
      </c>
      <c r="D49" s="46">
        <v>240.34333163704883</v>
      </c>
      <c r="E49" s="46">
        <v>182.55466165523433</v>
      </c>
      <c r="F49" s="46">
        <v>458.43779008372985</v>
      </c>
      <c r="G49" s="46">
        <v>261.80710511917113</v>
      </c>
      <c r="H49" s="46">
        <v>211.91685022756334</v>
      </c>
      <c r="I49" s="46">
        <v>233.38000948678541</v>
      </c>
      <c r="J49" s="46">
        <v>131.39112269603294</v>
      </c>
      <c r="K49" s="46">
        <v>258.43047615960074</v>
      </c>
      <c r="L49" s="46">
        <v>88.273535167144175</v>
      </c>
      <c r="M49" s="44">
        <f t="shared" si="0"/>
        <v>990.60000000000127</v>
      </c>
      <c r="N49" s="47">
        <v>3302</v>
      </c>
      <c r="O49" s="46">
        <v>164</v>
      </c>
      <c r="P49" s="46">
        <v>6</v>
      </c>
      <c r="Q49" s="46">
        <v>391</v>
      </c>
      <c r="R49" s="46">
        <v>960</v>
      </c>
      <c r="S49" s="46">
        <v>268</v>
      </c>
      <c r="T49" s="46">
        <v>268</v>
      </c>
      <c r="U49" s="46">
        <v>182</v>
      </c>
      <c r="V49" s="46">
        <v>477</v>
      </c>
      <c r="W49" s="46">
        <v>522</v>
      </c>
      <c r="X49" s="46">
        <v>64</v>
      </c>
    </row>
    <row r="50" spans="1:24" s="41" customFormat="1">
      <c r="A50" s="42">
        <v>46129</v>
      </c>
      <c r="B50" s="43" t="s">
        <v>961</v>
      </c>
      <c r="C50" s="46">
        <v>246.12578009417211</v>
      </c>
      <c r="D50" s="46">
        <v>241.58071402282408</v>
      </c>
      <c r="E50" s="46">
        <v>183.49452514649386</v>
      </c>
      <c r="F50" s="46">
        <v>460.79800886974544</v>
      </c>
      <c r="G50" s="46">
        <v>263.15499148713781</v>
      </c>
      <c r="H50" s="46">
        <v>213.00788186107897</v>
      </c>
      <c r="I50" s="46">
        <v>234.58154194023041</v>
      </c>
      <c r="J50" s="46">
        <v>132.06757608362611</v>
      </c>
      <c r="K50" s="46">
        <v>259.76097830821169</v>
      </c>
      <c r="L50" s="46">
        <v>88.728002186478363</v>
      </c>
      <c r="M50" s="44">
        <f t="shared" si="0"/>
        <v>995.70000000000118</v>
      </c>
      <c r="N50" s="47">
        <v>3319</v>
      </c>
      <c r="O50" s="46">
        <v>164</v>
      </c>
      <c r="P50" s="46">
        <v>6</v>
      </c>
      <c r="Q50" s="46">
        <v>391</v>
      </c>
      <c r="R50" s="46">
        <v>960</v>
      </c>
      <c r="S50" s="46">
        <v>268</v>
      </c>
      <c r="T50" s="46">
        <v>268</v>
      </c>
      <c r="U50" s="46">
        <v>182</v>
      </c>
      <c r="V50" s="46">
        <v>477</v>
      </c>
      <c r="W50" s="46">
        <v>539</v>
      </c>
      <c r="X50" s="46">
        <v>64</v>
      </c>
    </row>
    <row r="51" spans="1:24" s="41" customFormat="1">
      <c r="A51" s="42">
        <v>46130</v>
      </c>
      <c r="B51" s="43" t="s">
        <v>961</v>
      </c>
      <c r="C51" s="46">
        <v>263.1817998054284</v>
      </c>
      <c r="D51" s="46">
        <v>258.32176983037141</v>
      </c>
      <c r="E51" s="46">
        <v>196.21032532235816</v>
      </c>
      <c r="F51" s="46">
        <v>492.73038068054433</v>
      </c>
      <c r="G51" s="46">
        <v>281.39110117139256</v>
      </c>
      <c r="H51" s="46">
        <v>227.76889807923149</v>
      </c>
      <c r="I51" s="46">
        <v>250.83756925154495</v>
      </c>
      <c r="J51" s="46">
        <v>141.21959250400391</v>
      </c>
      <c r="K51" s="46">
        <v>277.76188973059453</v>
      </c>
      <c r="L51" s="46">
        <v>94.876673624528976</v>
      </c>
      <c r="M51" s="44">
        <f t="shared" si="0"/>
        <v>1064.7000000000012</v>
      </c>
      <c r="N51" s="47">
        <v>3549</v>
      </c>
      <c r="O51" s="46">
        <v>188</v>
      </c>
      <c r="P51" s="46">
        <v>7</v>
      </c>
      <c r="Q51" s="46">
        <v>450</v>
      </c>
      <c r="R51" s="46">
        <v>960</v>
      </c>
      <c r="S51" s="46">
        <v>308</v>
      </c>
      <c r="T51" s="46">
        <v>308</v>
      </c>
      <c r="U51" s="46">
        <v>209</v>
      </c>
      <c r="V51" s="46">
        <v>549</v>
      </c>
      <c r="W51" s="46">
        <v>570</v>
      </c>
      <c r="X51" s="46">
        <v>0</v>
      </c>
    </row>
    <row r="52" spans="1:24" s="41" customFormat="1">
      <c r="A52" s="42">
        <v>46131</v>
      </c>
      <c r="B52" s="43" t="s">
        <v>961</v>
      </c>
      <c r="C52" s="46">
        <v>263.47842623518943</v>
      </c>
      <c r="D52" s="46">
        <v>258.61291862702438</v>
      </c>
      <c r="E52" s="46">
        <v>196.43146967324276</v>
      </c>
      <c r="F52" s="46">
        <v>493.2857262772539</v>
      </c>
      <c r="G52" s="46">
        <v>281.70825090503183</v>
      </c>
      <c r="H52" s="46">
        <v>228.02561140476459</v>
      </c>
      <c r="I52" s="46">
        <v>251.1202827700026</v>
      </c>
      <c r="J52" s="46">
        <v>141.37875800696702</v>
      </c>
      <c r="K52" s="46">
        <v>278.07494905967945</v>
      </c>
      <c r="L52" s="46">
        <v>94.983607040842912</v>
      </c>
      <c r="M52" s="44">
        <f t="shared" si="0"/>
        <v>1065.900000000001</v>
      </c>
      <c r="N52" s="47">
        <v>3553</v>
      </c>
      <c r="O52" s="46">
        <v>188</v>
      </c>
      <c r="P52" s="46">
        <v>7</v>
      </c>
      <c r="Q52" s="46">
        <v>450</v>
      </c>
      <c r="R52" s="46">
        <v>960</v>
      </c>
      <c r="S52" s="46">
        <v>308</v>
      </c>
      <c r="T52" s="46">
        <v>308</v>
      </c>
      <c r="U52" s="46">
        <v>209</v>
      </c>
      <c r="V52" s="46">
        <v>549</v>
      </c>
      <c r="W52" s="46">
        <v>574</v>
      </c>
      <c r="X52" s="46">
        <v>0</v>
      </c>
    </row>
    <row r="53" spans="1:24" s="41" customFormat="1">
      <c r="A53" s="42">
        <v>46132</v>
      </c>
      <c r="B53" s="43" t="s">
        <v>961</v>
      </c>
      <c r="C53" s="46">
        <v>248.49879153225996</v>
      </c>
      <c r="D53" s="46">
        <v>243.90990439604806</v>
      </c>
      <c r="E53" s="46">
        <v>185.26367995357066</v>
      </c>
      <c r="F53" s="46">
        <v>465.24077364342179</v>
      </c>
      <c r="G53" s="46">
        <v>265.6921893562515</v>
      </c>
      <c r="H53" s="46">
        <v>215.06158846534368</v>
      </c>
      <c r="I53" s="46">
        <v>236.84325008789156</v>
      </c>
      <c r="J53" s="46">
        <v>133.34090010733084</v>
      </c>
      <c r="K53" s="46">
        <v>262.26545294089101</v>
      </c>
      <c r="L53" s="46">
        <v>89.583469516989751</v>
      </c>
      <c r="M53" s="44">
        <f t="shared" si="0"/>
        <v>1005.3000000000011</v>
      </c>
      <c r="N53" s="47">
        <v>3351</v>
      </c>
      <c r="O53" s="46">
        <v>164</v>
      </c>
      <c r="P53" s="46">
        <v>6</v>
      </c>
      <c r="Q53" s="46">
        <v>391</v>
      </c>
      <c r="R53" s="46">
        <v>960</v>
      </c>
      <c r="S53" s="46">
        <v>268</v>
      </c>
      <c r="T53" s="46">
        <v>268</v>
      </c>
      <c r="U53" s="46">
        <v>182</v>
      </c>
      <c r="V53" s="46">
        <v>477</v>
      </c>
      <c r="W53" s="46">
        <v>571</v>
      </c>
      <c r="X53" s="46">
        <v>64</v>
      </c>
    </row>
    <row r="54" spans="1:24" s="41" customFormat="1">
      <c r="A54" s="42">
        <v>46133</v>
      </c>
      <c r="B54" s="43" t="s">
        <v>961</v>
      </c>
      <c r="C54" s="46">
        <v>262.88517337566748</v>
      </c>
      <c r="D54" s="46">
        <v>258.03062103371843</v>
      </c>
      <c r="E54" s="46">
        <v>195.98918097147359</v>
      </c>
      <c r="F54" s="46">
        <v>492.17503508383481</v>
      </c>
      <c r="G54" s="46">
        <v>281.07395143775341</v>
      </c>
      <c r="H54" s="46">
        <v>227.51218475369842</v>
      </c>
      <c r="I54" s="46">
        <v>250.55485573308735</v>
      </c>
      <c r="J54" s="46">
        <v>141.06042700104084</v>
      </c>
      <c r="K54" s="46">
        <v>277.44883040150961</v>
      </c>
      <c r="L54" s="46">
        <v>94.769740208215069</v>
      </c>
      <c r="M54" s="44">
        <f t="shared" si="0"/>
        <v>1063.5000000000014</v>
      </c>
      <c r="N54" s="47">
        <v>3545</v>
      </c>
      <c r="O54" s="46">
        <v>164</v>
      </c>
      <c r="P54" s="46">
        <v>7</v>
      </c>
      <c r="Q54" s="46">
        <v>391</v>
      </c>
      <c r="R54" s="46">
        <v>1136</v>
      </c>
      <c r="S54" s="46">
        <v>268</v>
      </c>
      <c r="T54" s="46">
        <v>268</v>
      </c>
      <c r="U54" s="46">
        <v>182</v>
      </c>
      <c r="V54" s="46">
        <v>477</v>
      </c>
      <c r="W54" s="46">
        <v>588</v>
      </c>
      <c r="X54" s="46">
        <v>64</v>
      </c>
    </row>
    <row r="55" spans="1:24" s="41" customFormat="1">
      <c r="A55" s="42">
        <v>46134</v>
      </c>
      <c r="B55" s="43" t="s">
        <v>961</v>
      </c>
      <c r="C55" s="46">
        <v>265.1098715988748</v>
      </c>
      <c r="D55" s="46">
        <v>260.2142370086159</v>
      </c>
      <c r="E55" s="46">
        <v>197.64776360310805</v>
      </c>
      <c r="F55" s="46">
        <v>496.34012705915643</v>
      </c>
      <c r="G55" s="46">
        <v>283.4525744400475</v>
      </c>
      <c r="H55" s="46">
        <v>229.43753469519658</v>
      </c>
      <c r="I55" s="46">
        <v>252.67520712151966</v>
      </c>
      <c r="J55" s="46">
        <v>142.25416827326404</v>
      </c>
      <c r="K55" s="46">
        <v>279.79677536964653</v>
      </c>
      <c r="L55" s="46">
        <v>95.571740830569496</v>
      </c>
      <c r="M55" s="44">
        <f t="shared" si="0"/>
        <v>1072.5000000000009</v>
      </c>
      <c r="N55" s="47">
        <v>3575</v>
      </c>
      <c r="O55" s="46">
        <v>164</v>
      </c>
      <c r="P55" s="46">
        <v>7</v>
      </c>
      <c r="Q55" s="46">
        <v>391</v>
      </c>
      <c r="R55" s="46">
        <v>1136</v>
      </c>
      <c r="S55" s="46">
        <v>268</v>
      </c>
      <c r="T55" s="46">
        <v>268</v>
      </c>
      <c r="U55" s="46">
        <v>182</v>
      </c>
      <c r="V55" s="46">
        <v>477</v>
      </c>
      <c r="W55" s="46">
        <v>618</v>
      </c>
      <c r="X55" s="46">
        <v>64</v>
      </c>
    </row>
    <row r="56" spans="1:24" s="41" customFormat="1">
      <c r="A56" s="42">
        <v>46135</v>
      </c>
      <c r="B56" s="43" t="s">
        <v>961</v>
      </c>
      <c r="C56" s="46">
        <v>265.92559428071746</v>
      </c>
      <c r="D56" s="46">
        <v>261.01489619941162</v>
      </c>
      <c r="E56" s="46">
        <v>198.25591056804069</v>
      </c>
      <c r="F56" s="46">
        <v>497.86732745010761</v>
      </c>
      <c r="G56" s="46">
        <v>284.3247362075553</v>
      </c>
      <c r="H56" s="46">
        <v>230.14349634041255</v>
      </c>
      <c r="I56" s="46">
        <v>253.45266929727816</v>
      </c>
      <c r="J56" s="46">
        <v>142.69187340641253</v>
      </c>
      <c r="K56" s="46">
        <v>280.65768852463003</v>
      </c>
      <c r="L56" s="46">
        <v>95.865807725432788</v>
      </c>
      <c r="M56" s="44">
        <f t="shared" si="0"/>
        <v>1075.8000000000015</v>
      </c>
      <c r="N56" s="47">
        <v>3586</v>
      </c>
      <c r="O56" s="46">
        <v>164</v>
      </c>
      <c r="P56" s="46">
        <v>7</v>
      </c>
      <c r="Q56" s="46">
        <v>391</v>
      </c>
      <c r="R56" s="46">
        <v>1136</v>
      </c>
      <c r="S56" s="46">
        <v>268</v>
      </c>
      <c r="T56" s="46">
        <v>268</v>
      </c>
      <c r="U56" s="46">
        <v>182</v>
      </c>
      <c r="V56" s="46">
        <v>477</v>
      </c>
      <c r="W56" s="46">
        <v>629</v>
      </c>
      <c r="X56" s="46">
        <v>64</v>
      </c>
    </row>
    <row r="57" spans="1:24" s="41" customFormat="1">
      <c r="A57" s="42">
        <v>46136</v>
      </c>
      <c r="B57" s="43" t="s">
        <v>961</v>
      </c>
      <c r="C57" s="46">
        <v>266.6671603551199</v>
      </c>
      <c r="D57" s="46">
        <v>261.74276819104409</v>
      </c>
      <c r="E57" s="46">
        <v>198.80877144525218</v>
      </c>
      <c r="F57" s="46">
        <v>499.25569144188148</v>
      </c>
      <c r="G57" s="46">
        <v>285.11761054165339</v>
      </c>
      <c r="H57" s="46">
        <v>230.78527965424527</v>
      </c>
      <c r="I57" s="46">
        <v>254.15945309342229</v>
      </c>
      <c r="J57" s="46">
        <v>143.08978716382026</v>
      </c>
      <c r="K57" s="46">
        <v>281.44033684734234</v>
      </c>
      <c r="L57" s="46">
        <v>96.133141266217592</v>
      </c>
      <c r="M57" s="44">
        <f t="shared" si="0"/>
        <v>1078.8000000000015</v>
      </c>
      <c r="N57" s="47">
        <v>3596</v>
      </c>
      <c r="O57" s="46">
        <v>164</v>
      </c>
      <c r="P57" s="46">
        <v>7</v>
      </c>
      <c r="Q57" s="46">
        <v>391</v>
      </c>
      <c r="R57" s="46">
        <v>1136</v>
      </c>
      <c r="S57" s="46">
        <v>268</v>
      </c>
      <c r="T57" s="46">
        <v>268</v>
      </c>
      <c r="U57" s="46">
        <v>182</v>
      </c>
      <c r="V57" s="46">
        <v>477</v>
      </c>
      <c r="W57" s="46">
        <v>639</v>
      </c>
      <c r="X57" s="46">
        <v>64</v>
      </c>
    </row>
    <row r="58" spans="1:24" s="41" customFormat="1">
      <c r="A58" s="42">
        <v>46137</v>
      </c>
      <c r="B58" s="43" t="s">
        <v>961</v>
      </c>
      <c r="C58" s="46">
        <v>287.43101043838845</v>
      </c>
      <c r="D58" s="46">
        <v>282.12318395675391</v>
      </c>
      <c r="E58" s="46">
        <v>214.28887600717394</v>
      </c>
      <c r="F58" s="46">
        <v>538.12988321154967</v>
      </c>
      <c r="G58" s="46">
        <v>307.31809189639836</v>
      </c>
      <c r="H58" s="46">
        <v>248.75521244156135</v>
      </c>
      <c r="I58" s="46">
        <v>273.94939938545741</v>
      </c>
      <c r="J58" s="46">
        <v>154.23137237123674</v>
      </c>
      <c r="K58" s="46">
        <v>303.35448988328665</v>
      </c>
      <c r="L58" s="46">
        <v>103.61848040819227</v>
      </c>
      <c r="M58" s="44">
        <f t="shared" si="0"/>
        <v>1162.8000000000015</v>
      </c>
      <c r="N58" s="47">
        <v>3876</v>
      </c>
      <c r="O58" s="46">
        <v>188</v>
      </c>
      <c r="P58" s="46">
        <v>7</v>
      </c>
      <c r="Q58" s="46">
        <v>450</v>
      </c>
      <c r="R58" s="46">
        <v>1136</v>
      </c>
      <c r="S58" s="46">
        <v>308</v>
      </c>
      <c r="T58" s="46">
        <v>308</v>
      </c>
      <c r="U58" s="46">
        <v>209</v>
      </c>
      <c r="V58" s="46">
        <v>549</v>
      </c>
      <c r="W58" s="46">
        <v>721</v>
      </c>
      <c r="X58" s="46">
        <v>0</v>
      </c>
    </row>
    <row r="59" spans="1:24" s="41" customFormat="1">
      <c r="A59" s="42">
        <v>46138</v>
      </c>
      <c r="B59" s="43" t="s">
        <v>961</v>
      </c>
      <c r="C59" s="46">
        <v>278.82884397532007</v>
      </c>
      <c r="D59" s="46">
        <v>273.67986885381703</v>
      </c>
      <c r="E59" s="46">
        <v>207.87568983152065</v>
      </c>
      <c r="F59" s="46">
        <v>522.02486090697289</v>
      </c>
      <c r="G59" s="46">
        <v>298.12074962086115</v>
      </c>
      <c r="H59" s="46">
        <v>241.31052600110183</v>
      </c>
      <c r="I59" s="46">
        <v>265.75070735018573</v>
      </c>
      <c r="J59" s="46">
        <v>149.61557278530708</v>
      </c>
      <c r="K59" s="46">
        <v>294.27576933982402</v>
      </c>
      <c r="L59" s="46">
        <v>100.51741133508848</v>
      </c>
      <c r="M59" s="44">
        <f t="shared" si="0"/>
        <v>1128.0000000000009</v>
      </c>
      <c r="N59" s="47">
        <v>3760</v>
      </c>
      <c r="O59" s="46">
        <v>188</v>
      </c>
      <c r="P59" s="46">
        <v>7</v>
      </c>
      <c r="Q59" s="46">
        <v>450</v>
      </c>
      <c r="R59" s="46">
        <v>1136</v>
      </c>
      <c r="S59" s="46">
        <v>308</v>
      </c>
      <c r="T59" s="46">
        <v>308</v>
      </c>
      <c r="U59" s="46">
        <v>209</v>
      </c>
      <c r="V59" s="46">
        <v>549</v>
      </c>
      <c r="W59" s="46">
        <v>605</v>
      </c>
      <c r="X59" s="46">
        <v>0</v>
      </c>
    </row>
    <row r="60" spans="1:24" s="41" customFormat="1">
      <c r="A60" s="42">
        <v>46139</v>
      </c>
      <c r="B60" s="43" t="s">
        <v>961</v>
      </c>
      <c r="C60" s="46">
        <v>276.38167592979192</v>
      </c>
      <c r="D60" s="46">
        <v>271.27789128142973</v>
      </c>
      <c r="E60" s="46">
        <v>206.05124893672269</v>
      </c>
      <c r="F60" s="46">
        <v>517.44325973411912</v>
      </c>
      <c r="G60" s="46">
        <v>295.50426431833762</v>
      </c>
      <c r="H60" s="46">
        <v>239.19264106545384</v>
      </c>
      <c r="I60" s="46">
        <v>263.41832082291012</v>
      </c>
      <c r="J60" s="46">
        <v>148.30245738586154</v>
      </c>
      <c r="K60" s="46">
        <v>291.69302987487339</v>
      </c>
      <c r="L60" s="46">
        <v>99.635210650498593</v>
      </c>
      <c r="M60" s="44">
        <f t="shared" si="0"/>
        <v>1118.1000000000013</v>
      </c>
      <c r="N60" s="47">
        <v>3727</v>
      </c>
      <c r="O60" s="46">
        <v>164</v>
      </c>
      <c r="P60" s="46">
        <v>6</v>
      </c>
      <c r="Q60" s="46">
        <v>391</v>
      </c>
      <c r="R60" s="46">
        <v>1136</v>
      </c>
      <c r="S60" s="46">
        <v>268</v>
      </c>
      <c r="T60" s="46">
        <v>436</v>
      </c>
      <c r="U60" s="46">
        <v>182</v>
      </c>
      <c r="V60" s="46">
        <v>477</v>
      </c>
      <c r="W60" s="46">
        <v>603</v>
      </c>
      <c r="X60" s="46">
        <v>64</v>
      </c>
    </row>
    <row r="61" spans="1:24" s="41" customFormat="1">
      <c r="A61" s="42">
        <v>46140</v>
      </c>
      <c r="B61" s="43" t="s">
        <v>961</v>
      </c>
      <c r="C61" s="46">
        <v>264.88740177655404</v>
      </c>
      <c r="D61" s="46">
        <v>259.99587541112612</v>
      </c>
      <c r="E61" s="46">
        <v>197.48190533994457</v>
      </c>
      <c r="F61" s="46">
        <v>495.92361786162417</v>
      </c>
      <c r="G61" s="46">
        <v>283.21471213981806</v>
      </c>
      <c r="H61" s="46">
        <v>229.24499970104671</v>
      </c>
      <c r="I61" s="46">
        <v>252.46317198267641</v>
      </c>
      <c r="J61" s="46">
        <v>142.13479414604168</v>
      </c>
      <c r="K61" s="46">
        <v>279.56198087283281</v>
      </c>
      <c r="L61" s="46">
        <v>95.491540768334048</v>
      </c>
      <c r="M61" s="44">
        <f t="shared" si="0"/>
        <v>1071.6000000000017</v>
      </c>
      <c r="N61" s="47">
        <v>3572</v>
      </c>
      <c r="O61" s="46">
        <v>164</v>
      </c>
      <c r="P61" s="46">
        <v>6</v>
      </c>
      <c r="Q61" s="46">
        <v>391</v>
      </c>
      <c r="R61" s="46">
        <v>1136</v>
      </c>
      <c r="S61" s="46">
        <v>268</v>
      </c>
      <c r="T61" s="46">
        <v>268</v>
      </c>
      <c r="U61" s="46">
        <v>182</v>
      </c>
      <c r="V61" s="46">
        <v>477</v>
      </c>
      <c r="W61" s="46">
        <v>616</v>
      </c>
      <c r="X61" s="46">
        <v>64</v>
      </c>
    </row>
    <row r="62" spans="1:24" s="41" customFormat="1">
      <c r="A62" s="42">
        <v>46141</v>
      </c>
      <c r="B62" s="43" t="s">
        <v>961</v>
      </c>
      <c r="C62" s="46">
        <v>264.73908856167355</v>
      </c>
      <c r="D62" s="46">
        <v>259.85030101279966</v>
      </c>
      <c r="E62" s="46">
        <v>197.37133316450232</v>
      </c>
      <c r="F62" s="46">
        <v>495.64594506326949</v>
      </c>
      <c r="G62" s="46">
        <v>283.05613727299851</v>
      </c>
      <c r="H62" s="46">
        <v>229.11664303828022</v>
      </c>
      <c r="I62" s="46">
        <v>252.3218152234476</v>
      </c>
      <c r="J62" s="46">
        <v>142.05521139456016</v>
      </c>
      <c r="K62" s="46">
        <v>279.4054512082904</v>
      </c>
      <c r="L62" s="46">
        <v>95.438074060177101</v>
      </c>
      <c r="M62" s="44">
        <f t="shared" si="0"/>
        <v>1071.0000000000009</v>
      </c>
      <c r="N62" s="47">
        <v>3570</v>
      </c>
      <c r="O62" s="46">
        <v>164</v>
      </c>
      <c r="P62" s="46">
        <v>6</v>
      </c>
      <c r="Q62" s="46">
        <v>391</v>
      </c>
      <c r="R62" s="46">
        <v>1136</v>
      </c>
      <c r="S62" s="46">
        <v>268</v>
      </c>
      <c r="T62" s="46">
        <v>268</v>
      </c>
      <c r="U62" s="46">
        <v>182</v>
      </c>
      <c r="V62" s="46">
        <v>477</v>
      </c>
      <c r="W62" s="46">
        <v>614</v>
      </c>
      <c r="X62" s="46">
        <v>64</v>
      </c>
    </row>
    <row r="63" spans="1:24" s="41" customFormat="1">
      <c r="A63" s="42">
        <v>46142</v>
      </c>
      <c r="B63" s="43" t="s">
        <v>961</v>
      </c>
      <c r="C63" s="46">
        <v>267.70535285928338</v>
      </c>
      <c r="D63" s="46">
        <v>262.76178897932959</v>
      </c>
      <c r="E63" s="46">
        <v>199.58277667334829</v>
      </c>
      <c r="F63" s="46">
        <v>501.19940103036492</v>
      </c>
      <c r="G63" s="46">
        <v>286.22763460939063</v>
      </c>
      <c r="H63" s="46">
        <v>231.68377629361109</v>
      </c>
      <c r="I63" s="46">
        <v>255.14895040802406</v>
      </c>
      <c r="J63" s="46">
        <v>143.6468664241911</v>
      </c>
      <c r="K63" s="46">
        <v>282.53604449913956</v>
      </c>
      <c r="L63" s="46">
        <v>96.507408223316332</v>
      </c>
      <c r="M63" s="44">
        <f t="shared" si="0"/>
        <v>1083.0000000000009</v>
      </c>
      <c r="N63" s="47">
        <v>3610</v>
      </c>
      <c r="O63" s="46">
        <v>164</v>
      </c>
      <c r="P63" s="46">
        <v>6</v>
      </c>
      <c r="Q63" s="46">
        <v>400</v>
      </c>
      <c r="R63" s="46">
        <v>1136</v>
      </c>
      <c r="S63" s="46">
        <v>268</v>
      </c>
      <c r="T63" s="46">
        <v>268</v>
      </c>
      <c r="U63" s="46">
        <v>190</v>
      </c>
      <c r="V63" s="46">
        <v>482</v>
      </c>
      <c r="W63" s="46">
        <v>629</v>
      </c>
      <c r="X63" s="46">
        <v>67</v>
      </c>
    </row>
    <row r="64" spans="1:24" s="41" customFormat="1">
      <c r="A64" s="42">
        <v>46143</v>
      </c>
      <c r="B64" s="43" t="s">
        <v>961</v>
      </c>
      <c r="C64" s="46">
        <v>354.14373913043477</v>
      </c>
      <c r="D64" s="46">
        <v>401.06021739130432</v>
      </c>
      <c r="E64" s="46">
        <v>286.03917391304344</v>
      </c>
      <c r="F64" s="46">
        <v>632.61573913043469</v>
      </c>
      <c r="G64" s="46">
        <v>354.14373913043477</v>
      </c>
      <c r="H64" s="46">
        <v>308.74069565217388</v>
      </c>
      <c r="I64" s="46">
        <v>348.09</v>
      </c>
      <c r="J64" s="46">
        <v>217.93460869565217</v>
      </c>
      <c r="K64" s="46">
        <v>422.24830434782604</v>
      </c>
      <c r="L64" s="46">
        <v>155.88378260869564</v>
      </c>
      <c r="M64" s="44">
        <f t="shared" si="0"/>
        <v>764.10000000000036</v>
      </c>
      <c r="N64" s="47">
        <v>4245</v>
      </c>
      <c r="O64" s="46">
        <v>204</v>
      </c>
      <c r="P64" s="46">
        <v>15</v>
      </c>
      <c r="Q64" s="46">
        <v>645</v>
      </c>
      <c r="R64" s="46">
        <v>62</v>
      </c>
      <c r="S64" s="46">
        <v>350</v>
      </c>
      <c r="T64" s="46">
        <v>150</v>
      </c>
      <c r="U64" s="46">
        <v>1162</v>
      </c>
      <c r="V64" s="46">
        <v>553</v>
      </c>
      <c r="W64" s="46">
        <v>1104</v>
      </c>
      <c r="X64" s="46">
        <v>0</v>
      </c>
    </row>
    <row r="65" spans="1:24" s="41" customFormat="1">
      <c r="A65" s="42">
        <v>46144</v>
      </c>
      <c r="B65" s="43" t="s">
        <v>961</v>
      </c>
      <c r="C65" s="46">
        <v>353.55975652173913</v>
      </c>
      <c r="D65" s="46">
        <v>400.39886956521735</v>
      </c>
      <c r="E65" s="46">
        <v>285.56749565217393</v>
      </c>
      <c r="F65" s="46">
        <v>631.5725565217391</v>
      </c>
      <c r="G65" s="46">
        <v>353.55975652173913</v>
      </c>
      <c r="H65" s="46">
        <v>308.23158260869559</v>
      </c>
      <c r="I65" s="46">
        <v>347.51600000000002</v>
      </c>
      <c r="J65" s="46">
        <v>217.5752347826087</v>
      </c>
      <c r="K65" s="46">
        <v>421.55201739130433</v>
      </c>
      <c r="L65" s="46">
        <v>155.62673043478262</v>
      </c>
      <c r="M65" s="44">
        <f t="shared" si="0"/>
        <v>762.8400000000006</v>
      </c>
      <c r="N65" s="47">
        <v>4238</v>
      </c>
      <c r="O65" s="46">
        <v>204</v>
      </c>
      <c r="P65" s="46">
        <v>15</v>
      </c>
      <c r="Q65" s="46">
        <v>645</v>
      </c>
      <c r="R65" s="46">
        <v>102</v>
      </c>
      <c r="S65" s="46">
        <v>350</v>
      </c>
      <c r="T65" s="46">
        <v>150</v>
      </c>
      <c r="U65" s="46">
        <v>1160</v>
      </c>
      <c r="V65" s="46">
        <v>553</v>
      </c>
      <c r="W65" s="46">
        <v>1059</v>
      </c>
      <c r="X65" s="46">
        <v>0</v>
      </c>
    </row>
    <row r="66" spans="1:24" s="41" customFormat="1">
      <c r="A66" s="42">
        <v>46145</v>
      </c>
      <c r="B66" s="43" t="s">
        <v>961</v>
      </c>
      <c r="C66" s="46">
        <v>364.07144347826085</v>
      </c>
      <c r="D66" s="46">
        <v>412.30313043478259</v>
      </c>
      <c r="E66" s="46">
        <v>294.05770434782607</v>
      </c>
      <c r="F66" s="46">
        <v>650.34984347826071</v>
      </c>
      <c r="G66" s="46">
        <v>364.07144347826085</v>
      </c>
      <c r="H66" s="46">
        <v>317.39561739130426</v>
      </c>
      <c r="I66" s="46">
        <v>357.84799999999996</v>
      </c>
      <c r="J66" s="46">
        <v>224.0439652173913</v>
      </c>
      <c r="K66" s="46">
        <v>434.08518260869562</v>
      </c>
      <c r="L66" s="46">
        <v>160.25366956521739</v>
      </c>
      <c r="M66" s="44">
        <f t="shared" si="0"/>
        <v>785.52000000000044</v>
      </c>
      <c r="N66" s="47">
        <v>4364</v>
      </c>
      <c r="O66" s="46">
        <v>204</v>
      </c>
      <c r="P66" s="46">
        <v>15</v>
      </c>
      <c r="Q66" s="46">
        <v>645</v>
      </c>
      <c r="R66" s="46">
        <v>223</v>
      </c>
      <c r="S66" s="46">
        <v>350</v>
      </c>
      <c r="T66" s="46">
        <v>150</v>
      </c>
      <c r="U66" s="46">
        <v>1149</v>
      </c>
      <c r="V66" s="46">
        <v>553</v>
      </c>
      <c r="W66" s="46">
        <v>1075</v>
      </c>
      <c r="X66" s="46">
        <v>0</v>
      </c>
    </row>
    <row r="67" spans="1:24" s="41" customFormat="1">
      <c r="A67" s="42">
        <v>46146</v>
      </c>
      <c r="B67" s="43" t="s">
        <v>961</v>
      </c>
      <c r="C67" s="46">
        <v>353.14262608695651</v>
      </c>
      <c r="D67" s="46">
        <v>399.92647826086954</v>
      </c>
      <c r="E67" s="46">
        <v>285.23058260869567</v>
      </c>
      <c r="F67" s="46">
        <v>630.82742608695651</v>
      </c>
      <c r="G67" s="46">
        <v>353.14262608695651</v>
      </c>
      <c r="H67" s="46">
        <v>307.86793043478258</v>
      </c>
      <c r="I67" s="46">
        <v>347.10599999999999</v>
      </c>
      <c r="J67" s="46">
        <v>217.3185391304348</v>
      </c>
      <c r="K67" s="46">
        <v>421.05466956521741</v>
      </c>
      <c r="L67" s="46">
        <v>155.44312173913045</v>
      </c>
      <c r="M67" s="44">
        <f t="shared" ref="M67:M130" si="1">N67-SUM(C67:L67)</f>
        <v>761.9399999999996</v>
      </c>
      <c r="N67" s="47">
        <v>4233</v>
      </c>
      <c r="O67" s="46">
        <v>204</v>
      </c>
      <c r="P67" s="46">
        <v>15</v>
      </c>
      <c r="Q67" s="46">
        <v>645</v>
      </c>
      <c r="R67" s="46">
        <v>300</v>
      </c>
      <c r="S67" s="46">
        <v>350</v>
      </c>
      <c r="T67" s="46">
        <v>150</v>
      </c>
      <c r="U67" s="46">
        <v>966</v>
      </c>
      <c r="V67" s="46">
        <v>553</v>
      </c>
      <c r="W67" s="46">
        <v>1050</v>
      </c>
      <c r="X67" s="46">
        <v>0</v>
      </c>
    </row>
    <row r="68" spans="1:24" s="41" customFormat="1">
      <c r="A68" s="42">
        <v>46147</v>
      </c>
      <c r="B68" s="43" t="s">
        <v>961</v>
      </c>
      <c r="C68" s="46">
        <v>315.76773913043479</v>
      </c>
      <c r="D68" s="46">
        <v>357.60021739130434</v>
      </c>
      <c r="E68" s="46">
        <v>255.04317391304346</v>
      </c>
      <c r="F68" s="46">
        <v>564.06373913043467</v>
      </c>
      <c r="G68" s="46">
        <v>315.76773913043479</v>
      </c>
      <c r="H68" s="46">
        <v>275.28469565217387</v>
      </c>
      <c r="I68" s="46">
        <v>310.37</v>
      </c>
      <c r="J68" s="46">
        <v>194.31860869565219</v>
      </c>
      <c r="K68" s="46">
        <v>376.49230434782606</v>
      </c>
      <c r="L68" s="46">
        <v>138.99178260869564</v>
      </c>
      <c r="M68" s="44">
        <f t="shared" si="1"/>
        <v>681.30000000000018</v>
      </c>
      <c r="N68" s="47">
        <v>3785</v>
      </c>
      <c r="O68" s="46">
        <v>204</v>
      </c>
      <c r="P68" s="46">
        <v>15</v>
      </c>
      <c r="Q68" s="46">
        <v>645</v>
      </c>
      <c r="R68" s="46">
        <v>300</v>
      </c>
      <c r="S68" s="46">
        <v>350</v>
      </c>
      <c r="T68" s="46">
        <v>150</v>
      </c>
      <c r="U68" s="46">
        <v>588</v>
      </c>
      <c r="V68" s="46">
        <v>553</v>
      </c>
      <c r="W68" s="46">
        <v>980</v>
      </c>
      <c r="X68" s="46">
        <v>0</v>
      </c>
    </row>
    <row r="69" spans="1:24" s="41" customFormat="1">
      <c r="A69" s="42">
        <v>46148</v>
      </c>
      <c r="B69" s="43" t="s">
        <v>961</v>
      </c>
      <c r="C69" s="46">
        <v>234.09360000000001</v>
      </c>
      <c r="D69" s="46">
        <v>265.10599999999999</v>
      </c>
      <c r="E69" s="46">
        <v>189.07560000000001</v>
      </c>
      <c r="F69" s="46">
        <v>418.16719999999998</v>
      </c>
      <c r="G69" s="46">
        <v>234.09360000000001</v>
      </c>
      <c r="H69" s="46">
        <v>204.08159999999998</v>
      </c>
      <c r="I69" s="46">
        <v>230.09200000000001</v>
      </c>
      <c r="J69" s="46">
        <v>144.05760000000001</v>
      </c>
      <c r="K69" s="46">
        <v>279.11160000000001</v>
      </c>
      <c r="L69" s="46">
        <v>103.0412</v>
      </c>
      <c r="M69" s="44">
        <f t="shared" si="1"/>
        <v>505.07999999999993</v>
      </c>
      <c r="N69" s="47">
        <v>2806</v>
      </c>
      <c r="O69" s="46">
        <v>106</v>
      </c>
      <c r="P69" s="46">
        <v>9</v>
      </c>
      <c r="Q69" s="46">
        <v>430</v>
      </c>
      <c r="R69" s="46">
        <v>300</v>
      </c>
      <c r="S69" s="46">
        <v>200</v>
      </c>
      <c r="T69" s="46">
        <v>160</v>
      </c>
      <c r="U69" s="46">
        <v>35</v>
      </c>
      <c r="V69" s="46">
        <v>553</v>
      </c>
      <c r="W69" s="46">
        <v>928</v>
      </c>
      <c r="X69" s="46">
        <v>85</v>
      </c>
    </row>
    <row r="70" spans="1:24" s="41" customFormat="1">
      <c r="A70" s="42">
        <v>46149</v>
      </c>
      <c r="B70" s="43" t="s">
        <v>961</v>
      </c>
      <c r="C70" s="46">
        <v>229.00460869565219</v>
      </c>
      <c r="D70" s="46">
        <v>259.34282608695651</v>
      </c>
      <c r="E70" s="46">
        <v>184.96526086956524</v>
      </c>
      <c r="F70" s="46">
        <v>409.07660869565217</v>
      </c>
      <c r="G70" s="46">
        <v>229.00460869565219</v>
      </c>
      <c r="H70" s="46">
        <v>199.64504347826087</v>
      </c>
      <c r="I70" s="46">
        <v>225.09000000000003</v>
      </c>
      <c r="J70" s="46">
        <v>140.92591304347829</v>
      </c>
      <c r="K70" s="46">
        <v>273.04395652173912</v>
      </c>
      <c r="L70" s="46">
        <v>100.80117391304348</v>
      </c>
      <c r="M70" s="44">
        <f t="shared" si="1"/>
        <v>494.09999999999991</v>
      </c>
      <c r="N70" s="47">
        <v>2745</v>
      </c>
      <c r="O70" s="46">
        <v>105</v>
      </c>
      <c r="P70" s="46">
        <v>9</v>
      </c>
      <c r="Q70" s="46">
        <v>430</v>
      </c>
      <c r="R70" s="46">
        <v>300</v>
      </c>
      <c r="S70" s="46">
        <v>200</v>
      </c>
      <c r="T70" s="46">
        <v>162</v>
      </c>
      <c r="U70" s="46">
        <v>0</v>
      </c>
      <c r="V70" s="46">
        <v>553</v>
      </c>
      <c r="W70" s="46">
        <v>901</v>
      </c>
      <c r="X70" s="46">
        <v>85</v>
      </c>
    </row>
    <row r="71" spans="1:24" s="41" customFormat="1">
      <c r="A71" s="42">
        <v>46150</v>
      </c>
      <c r="B71" s="43" t="s">
        <v>961</v>
      </c>
      <c r="C71" s="46">
        <v>233.92674782608694</v>
      </c>
      <c r="D71" s="46">
        <v>264.91704347826084</v>
      </c>
      <c r="E71" s="46">
        <v>188.94083478260868</v>
      </c>
      <c r="F71" s="46">
        <v>417.86914782608687</v>
      </c>
      <c r="G71" s="46">
        <v>233.92674782608694</v>
      </c>
      <c r="H71" s="46">
        <v>203.93613913043475</v>
      </c>
      <c r="I71" s="46">
        <v>229.928</v>
      </c>
      <c r="J71" s="46">
        <v>143.95492173913044</v>
      </c>
      <c r="K71" s="46">
        <v>278.91266086956517</v>
      </c>
      <c r="L71" s="46">
        <v>102.96775652173912</v>
      </c>
      <c r="M71" s="44">
        <f t="shared" si="1"/>
        <v>504.72000000000071</v>
      </c>
      <c r="N71" s="47">
        <v>2804</v>
      </c>
      <c r="O71" s="46">
        <v>105</v>
      </c>
      <c r="P71" s="46">
        <v>7</v>
      </c>
      <c r="Q71" s="46">
        <v>430</v>
      </c>
      <c r="R71" s="46">
        <v>300</v>
      </c>
      <c r="S71" s="46">
        <v>241</v>
      </c>
      <c r="T71" s="46">
        <v>200</v>
      </c>
      <c r="U71" s="46">
        <v>0</v>
      </c>
      <c r="V71" s="46">
        <v>553</v>
      </c>
      <c r="W71" s="46">
        <v>883</v>
      </c>
      <c r="X71" s="46">
        <v>85</v>
      </c>
    </row>
    <row r="72" spans="1:24" s="41" customFormat="1">
      <c r="A72" s="42">
        <v>46151</v>
      </c>
      <c r="B72" s="43" t="s">
        <v>961</v>
      </c>
      <c r="C72" s="46">
        <v>242.51963478260868</v>
      </c>
      <c r="D72" s="46">
        <v>274.64830434782607</v>
      </c>
      <c r="E72" s="46">
        <v>195.88124347826087</v>
      </c>
      <c r="F72" s="46">
        <v>433.21883478260861</v>
      </c>
      <c r="G72" s="46">
        <v>242.51963478260868</v>
      </c>
      <c r="H72" s="46">
        <v>211.42737391304345</v>
      </c>
      <c r="I72" s="46">
        <v>238.374</v>
      </c>
      <c r="J72" s="46">
        <v>149.24285217391304</v>
      </c>
      <c r="K72" s="46">
        <v>289.15802608695651</v>
      </c>
      <c r="L72" s="46">
        <v>106.75009565217391</v>
      </c>
      <c r="M72" s="44">
        <f t="shared" si="1"/>
        <v>523.26000000000022</v>
      </c>
      <c r="N72" s="47">
        <v>2907</v>
      </c>
      <c r="O72" s="46">
        <v>105</v>
      </c>
      <c r="P72" s="46">
        <v>7</v>
      </c>
      <c r="Q72" s="46">
        <v>430</v>
      </c>
      <c r="R72" s="46">
        <v>300</v>
      </c>
      <c r="S72" s="46">
        <v>250</v>
      </c>
      <c r="T72" s="46">
        <v>200</v>
      </c>
      <c r="U72" s="46">
        <v>37</v>
      </c>
      <c r="V72" s="46">
        <v>553</v>
      </c>
      <c r="W72" s="46">
        <v>940</v>
      </c>
      <c r="X72" s="46">
        <v>85</v>
      </c>
    </row>
    <row r="73" spans="1:24" s="41" customFormat="1">
      <c r="A73" s="42">
        <v>46152</v>
      </c>
      <c r="B73" s="43" t="s">
        <v>961</v>
      </c>
      <c r="C73" s="46">
        <v>265.96236521739127</v>
      </c>
      <c r="D73" s="46">
        <v>301.1966956521739</v>
      </c>
      <c r="E73" s="46">
        <v>214.81575652173913</v>
      </c>
      <c r="F73" s="46">
        <v>475.09516521739124</v>
      </c>
      <c r="G73" s="46">
        <v>265.96236521739127</v>
      </c>
      <c r="H73" s="46">
        <v>231.86462608695649</v>
      </c>
      <c r="I73" s="46">
        <v>261.416</v>
      </c>
      <c r="J73" s="46">
        <v>163.66914782608697</v>
      </c>
      <c r="K73" s="46">
        <v>317.10897391304349</v>
      </c>
      <c r="L73" s="46">
        <v>117.06890434782609</v>
      </c>
      <c r="M73" s="44">
        <f t="shared" si="1"/>
        <v>573.8400000000006</v>
      </c>
      <c r="N73" s="47">
        <v>3188</v>
      </c>
      <c r="O73" s="46">
        <v>151</v>
      </c>
      <c r="P73" s="46">
        <v>10</v>
      </c>
      <c r="Q73" s="46">
        <v>645</v>
      </c>
      <c r="R73" s="46">
        <v>300</v>
      </c>
      <c r="S73" s="46">
        <v>350</v>
      </c>
      <c r="T73" s="46">
        <v>200</v>
      </c>
      <c r="U73" s="46">
        <v>37</v>
      </c>
      <c r="V73" s="46">
        <v>553</v>
      </c>
      <c r="W73" s="46">
        <v>942</v>
      </c>
      <c r="X73" s="46">
        <v>0</v>
      </c>
    </row>
    <row r="74" spans="1:24" s="41" customFormat="1">
      <c r="A74" s="42">
        <v>46153</v>
      </c>
      <c r="B74" s="43" t="s">
        <v>961</v>
      </c>
      <c r="C74" s="46">
        <v>241.93565217391304</v>
      </c>
      <c r="D74" s="46">
        <v>273.98695652173916</v>
      </c>
      <c r="E74" s="46">
        <v>195.4095652173913</v>
      </c>
      <c r="F74" s="46">
        <v>432.17565217391302</v>
      </c>
      <c r="G74" s="46">
        <v>241.93565217391304</v>
      </c>
      <c r="H74" s="46">
        <v>210.91826086956519</v>
      </c>
      <c r="I74" s="46">
        <v>237.8</v>
      </c>
      <c r="J74" s="46">
        <v>148.88347826086957</v>
      </c>
      <c r="K74" s="46">
        <v>288.46173913043481</v>
      </c>
      <c r="L74" s="46">
        <v>106.49304347826087</v>
      </c>
      <c r="M74" s="44">
        <f t="shared" si="1"/>
        <v>522</v>
      </c>
      <c r="N74" s="47">
        <v>2900</v>
      </c>
      <c r="O74" s="46">
        <v>105</v>
      </c>
      <c r="P74" s="46">
        <v>7</v>
      </c>
      <c r="Q74" s="46">
        <v>430</v>
      </c>
      <c r="R74" s="46">
        <v>300</v>
      </c>
      <c r="S74" s="46">
        <v>250</v>
      </c>
      <c r="T74" s="46">
        <v>200</v>
      </c>
      <c r="U74" s="46">
        <v>26</v>
      </c>
      <c r="V74" s="46">
        <v>553</v>
      </c>
      <c r="W74" s="46">
        <v>943</v>
      </c>
      <c r="X74" s="46">
        <v>86</v>
      </c>
    </row>
    <row r="75" spans="1:24" s="41" customFormat="1">
      <c r="A75" s="42">
        <v>46154</v>
      </c>
      <c r="B75" s="43" t="s">
        <v>961</v>
      </c>
      <c r="C75" s="46">
        <v>237.01351304347824</v>
      </c>
      <c r="D75" s="46">
        <v>268.41273913043477</v>
      </c>
      <c r="E75" s="46">
        <v>191.43399130434781</v>
      </c>
      <c r="F75" s="46">
        <v>423.3831130434782</v>
      </c>
      <c r="G75" s="46">
        <v>237.01351304347824</v>
      </c>
      <c r="H75" s="46">
        <v>206.62716521739128</v>
      </c>
      <c r="I75" s="46">
        <v>232.96199999999999</v>
      </c>
      <c r="J75" s="46">
        <v>145.85446956521739</v>
      </c>
      <c r="K75" s="46">
        <v>282.5930347826087</v>
      </c>
      <c r="L75" s="46">
        <v>104.32646086956522</v>
      </c>
      <c r="M75" s="44">
        <f t="shared" si="1"/>
        <v>511.38000000000011</v>
      </c>
      <c r="N75" s="47">
        <v>2841</v>
      </c>
      <c r="O75" s="46">
        <v>105</v>
      </c>
      <c r="P75" s="46">
        <v>7</v>
      </c>
      <c r="Q75" s="46">
        <v>430</v>
      </c>
      <c r="R75" s="46">
        <v>308</v>
      </c>
      <c r="S75" s="46">
        <v>250</v>
      </c>
      <c r="T75" s="46">
        <v>200</v>
      </c>
      <c r="U75" s="46">
        <v>0</v>
      </c>
      <c r="V75" s="46">
        <v>553</v>
      </c>
      <c r="W75" s="46">
        <v>902</v>
      </c>
      <c r="X75" s="46">
        <v>86</v>
      </c>
    </row>
    <row r="76" spans="1:24" s="41" customFormat="1">
      <c r="A76" s="42">
        <v>46155</v>
      </c>
      <c r="B76" s="43" t="s">
        <v>961</v>
      </c>
      <c r="C76" s="46">
        <v>238.09805217391303</v>
      </c>
      <c r="D76" s="46">
        <v>269.6409565217391</v>
      </c>
      <c r="E76" s="46">
        <v>192.30996521739129</v>
      </c>
      <c r="F76" s="46">
        <v>425.320452173913</v>
      </c>
      <c r="G76" s="46">
        <v>238.09805217391303</v>
      </c>
      <c r="H76" s="46">
        <v>207.57266086956517</v>
      </c>
      <c r="I76" s="46">
        <v>234.02799999999999</v>
      </c>
      <c r="J76" s="46">
        <v>146.52187826086956</v>
      </c>
      <c r="K76" s="46">
        <v>283.88613913043474</v>
      </c>
      <c r="L76" s="46">
        <v>104.80384347826086</v>
      </c>
      <c r="M76" s="44">
        <f t="shared" si="1"/>
        <v>513.72000000000025</v>
      </c>
      <c r="N76" s="47">
        <v>2854</v>
      </c>
      <c r="O76" s="46">
        <v>105</v>
      </c>
      <c r="P76" s="46">
        <v>7</v>
      </c>
      <c r="Q76" s="46">
        <v>430</v>
      </c>
      <c r="R76" s="46">
        <v>319</v>
      </c>
      <c r="S76" s="46">
        <v>250</v>
      </c>
      <c r="T76" s="46">
        <v>200</v>
      </c>
      <c r="U76" s="46">
        <v>0</v>
      </c>
      <c r="V76" s="46">
        <v>553</v>
      </c>
      <c r="W76" s="46">
        <v>904</v>
      </c>
      <c r="X76" s="46">
        <v>86</v>
      </c>
    </row>
    <row r="77" spans="1:24" s="41" customFormat="1">
      <c r="A77" s="42">
        <v>46156</v>
      </c>
      <c r="B77" s="43" t="s">
        <v>961</v>
      </c>
      <c r="C77" s="46">
        <v>249.52742608695652</v>
      </c>
      <c r="D77" s="46">
        <v>282.58447826086956</v>
      </c>
      <c r="E77" s="46">
        <v>201.54138260869564</v>
      </c>
      <c r="F77" s="46">
        <v>445.73702608695646</v>
      </c>
      <c r="G77" s="46">
        <v>249.52742608695652</v>
      </c>
      <c r="H77" s="46">
        <v>217.53673043478258</v>
      </c>
      <c r="I77" s="46">
        <v>245.262</v>
      </c>
      <c r="J77" s="46">
        <v>153.55533913043479</v>
      </c>
      <c r="K77" s="46">
        <v>297.51346956521735</v>
      </c>
      <c r="L77" s="46">
        <v>109.83472173913043</v>
      </c>
      <c r="M77" s="44">
        <f t="shared" si="1"/>
        <v>538.38000000000011</v>
      </c>
      <c r="N77" s="47">
        <v>2991</v>
      </c>
      <c r="O77" s="46">
        <v>105</v>
      </c>
      <c r="P77" s="46">
        <v>7</v>
      </c>
      <c r="Q77" s="46">
        <v>430</v>
      </c>
      <c r="R77" s="46">
        <v>330</v>
      </c>
      <c r="S77" s="46">
        <v>250</v>
      </c>
      <c r="T77" s="46">
        <v>250</v>
      </c>
      <c r="U77" s="46">
        <v>48</v>
      </c>
      <c r="V77" s="46">
        <v>553</v>
      </c>
      <c r="W77" s="46">
        <v>933</v>
      </c>
      <c r="X77" s="46">
        <v>85</v>
      </c>
    </row>
    <row r="78" spans="1:24" s="41" customFormat="1">
      <c r="A78" s="42">
        <v>46157</v>
      </c>
      <c r="B78" s="43" t="s">
        <v>961</v>
      </c>
      <c r="C78" s="46">
        <v>251.02909565217388</v>
      </c>
      <c r="D78" s="46">
        <v>284.2850869565217</v>
      </c>
      <c r="E78" s="46">
        <v>202.75426956521736</v>
      </c>
      <c r="F78" s="46">
        <v>448.41949565217385</v>
      </c>
      <c r="G78" s="46">
        <v>251.02909565217388</v>
      </c>
      <c r="H78" s="46">
        <v>218.84587826086951</v>
      </c>
      <c r="I78" s="46">
        <v>246.73799999999997</v>
      </c>
      <c r="J78" s="46">
        <v>154.47944347826086</v>
      </c>
      <c r="K78" s="46">
        <v>299.30392173913037</v>
      </c>
      <c r="L78" s="46">
        <v>110.49571304347825</v>
      </c>
      <c r="M78" s="44">
        <f t="shared" si="1"/>
        <v>541.62000000000035</v>
      </c>
      <c r="N78" s="47">
        <v>3009</v>
      </c>
      <c r="O78" s="46">
        <v>105</v>
      </c>
      <c r="P78" s="46">
        <v>7</v>
      </c>
      <c r="Q78" s="46">
        <v>430</v>
      </c>
      <c r="R78" s="46">
        <v>311</v>
      </c>
      <c r="S78" s="46">
        <v>250</v>
      </c>
      <c r="T78" s="46">
        <v>250</v>
      </c>
      <c r="U78" s="46">
        <v>64</v>
      </c>
      <c r="V78" s="46">
        <v>553</v>
      </c>
      <c r="W78" s="46">
        <v>954</v>
      </c>
      <c r="X78" s="46">
        <v>85</v>
      </c>
    </row>
    <row r="79" spans="1:24" s="41" customFormat="1">
      <c r="A79" s="42">
        <v>46158</v>
      </c>
      <c r="B79" s="43" t="s">
        <v>961</v>
      </c>
      <c r="C79" s="46">
        <v>294.24380869565215</v>
      </c>
      <c r="D79" s="46">
        <v>333.22482608695651</v>
      </c>
      <c r="E79" s="46">
        <v>237.6584608695652</v>
      </c>
      <c r="F79" s="46">
        <v>525.61500869565214</v>
      </c>
      <c r="G79" s="46">
        <v>294.24380869565215</v>
      </c>
      <c r="H79" s="46">
        <v>256.52024347826085</v>
      </c>
      <c r="I79" s="46">
        <v>289.214</v>
      </c>
      <c r="J79" s="46">
        <v>181.07311304347826</v>
      </c>
      <c r="K79" s="46">
        <v>350.82915652173909</v>
      </c>
      <c r="L79" s="46">
        <v>129.51757391304349</v>
      </c>
      <c r="M79" s="44">
        <f t="shared" si="1"/>
        <v>634.85999999999967</v>
      </c>
      <c r="N79" s="47">
        <v>3527</v>
      </c>
      <c r="O79" s="46">
        <v>151</v>
      </c>
      <c r="P79" s="46">
        <v>10</v>
      </c>
      <c r="Q79" s="46">
        <v>645</v>
      </c>
      <c r="R79" s="46">
        <v>410</v>
      </c>
      <c r="S79" s="46">
        <v>350</v>
      </c>
      <c r="T79" s="46">
        <v>250</v>
      </c>
      <c r="U79" s="46">
        <v>97</v>
      </c>
      <c r="V79" s="46">
        <v>553</v>
      </c>
      <c r="W79" s="46">
        <v>1061</v>
      </c>
      <c r="X79" s="46">
        <v>0</v>
      </c>
    </row>
    <row r="80" spans="1:24" s="41" customFormat="1">
      <c r="A80" s="42">
        <v>46159</v>
      </c>
      <c r="B80" s="43" t="s">
        <v>961</v>
      </c>
      <c r="C80" s="46">
        <v>299.9167826086956</v>
      </c>
      <c r="D80" s="46">
        <v>339.64934782608691</v>
      </c>
      <c r="E80" s="46">
        <v>242.24047826086954</v>
      </c>
      <c r="F80" s="46">
        <v>535.74878260869559</v>
      </c>
      <c r="G80" s="46">
        <v>299.9167826086956</v>
      </c>
      <c r="H80" s="46">
        <v>261.46591304347822</v>
      </c>
      <c r="I80" s="46">
        <v>294.78999999999996</v>
      </c>
      <c r="J80" s="46">
        <v>184.56417391304348</v>
      </c>
      <c r="K80" s="46">
        <v>357.59308695652169</v>
      </c>
      <c r="L80" s="46">
        <v>132.01465217391302</v>
      </c>
      <c r="M80" s="44">
        <f t="shared" si="1"/>
        <v>647.10000000000082</v>
      </c>
      <c r="N80" s="47">
        <v>3595</v>
      </c>
      <c r="O80" s="46">
        <v>151</v>
      </c>
      <c r="P80" s="46">
        <v>10</v>
      </c>
      <c r="Q80" s="46">
        <v>645</v>
      </c>
      <c r="R80" s="46">
        <v>410</v>
      </c>
      <c r="S80" s="46">
        <v>350</v>
      </c>
      <c r="T80" s="46">
        <v>250</v>
      </c>
      <c r="U80" s="46">
        <v>97</v>
      </c>
      <c r="V80" s="46">
        <v>553</v>
      </c>
      <c r="W80" s="46">
        <v>1129</v>
      </c>
      <c r="X80" s="46">
        <v>0</v>
      </c>
    </row>
    <row r="81" spans="1:24" s="41" customFormat="1">
      <c r="A81" s="42">
        <v>46160</v>
      </c>
      <c r="B81" s="43" t="s">
        <v>961</v>
      </c>
      <c r="C81" s="46">
        <v>265.04467826086955</v>
      </c>
      <c r="D81" s="46">
        <v>300.15743478260868</v>
      </c>
      <c r="E81" s="46">
        <v>214.07454782608696</v>
      </c>
      <c r="F81" s="46">
        <v>473.4558782608695</v>
      </c>
      <c r="G81" s="46">
        <v>265.04467826086955</v>
      </c>
      <c r="H81" s="46">
        <v>231.0645913043478</v>
      </c>
      <c r="I81" s="46">
        <v>260.51400000000001</v>
      </c>
      <c r="J81" s="46">
        <v>163.10441739130437</v>
      </c>
      <c r="K81" s="46">
        <v>316.01480869565216</v>
      </c>
      <c r="L81" s="46">
        <v>116.6649652173913</v>
      </c>
      <c r="M81" s="44">
        <f t="shared" si="1"/>
        <v>571.86000000000013</v>
      </c>
      <c r="N81" s="47">
        <v>3177</v>
      </c>
      <c r="O81" s="46">
        <v>105</v>
      </c>
      <c r="P81" s="46">
        <v>7</v>
      </c>
      <c r="Q81" s="46">
        <v>430</v>
      </c>
      <c r="R81" s="46">
        <v>333</v>
      </c>
      <c r="S81" s="46">
        <v>250</v>
      </c>
      <c r="T81" s="46">
        <v>250</v>
      </c>
      <c r="U81" s="46">
        <v>58</v>
      </c>
      <c r="V81" s="46">
        <v>553</v>
      </c>
      <c r="W81" s="46">
        <v>1106</v>
      </c>
      <c r="X81" s="46">
        <v>85</v>
      </c>
    </row>
    <row r="82" spans="1:24" s="41" customFormat="1">
      <c r="A82" s="42">
        <v>46161</v>
      </c>
      <c r="B82" s="43" t="s">
        <v>961</v>
      </c>
      <c r="C82" s="46">
        <v>267.29718260869561</v>
      </c>
      <c r="D82" s="46">
        <v>302.70834782608694</v>
      </c>
      <c r="E82" s="46">
        <v>215.89387826086954</v>
      </c>
      <c r="F82" s="46">
        <v>477.47958260869558</v>
      </c>
      <c r="G82" s="46">
        <v>267.29718260869561</v>
      </c>
      <c r="H82" s="46">
        <v>233.02831304347822</v>
      </c>
      <c r="I82" s="46">
        <v>262.72800000000001</v>
      </c>
      <c r="J82" s="46">
        <v>164.49057391304348</v>
      </c>
      <c r="K82" s="46">
        <v>318.70048695652173</v>
      </c>
      <c r="L82" s="46">
        <v>117.65645217391304</v>
      </c>
      <c r="M82" s="44">
        <f t="shared" si="1"/>
        <v>576.72000000000025</v>
      </c>
      <c r="N82" s="47">
        <v>3204</v>
      </c>
      <c r="O82" s="46">
        <v>105</v>
      </c>
      <c r="P82" s="46">
        <v>7</v>
      </c>
      <c r="Q82" s="46">
        <v>430</v>
      </c>
      <c r="R82" s="46">
        <v>333</v>
      </c>
      <c r="S82" s="46">
        <v>250</v>
      </c>
      <c r="T82" s="46">
        <v>300</v>
      </c>
      <c r="U82" s="46">
        <v>15</v>
      </c>
      <c r="V82" s="46">
        <v>553</v>
      </c>
      <c r="W82" s="46">
        <v>1126</v>
      </c>
      <c r="X82" s="46">
        <v>85</v>
      </c>
    </row>
    <row r="83" spans="1:24" s="41" customFormat="1">
      <c r="A83" s="42">
        <v>46162</v>
      </c>
      <c r="B83" s="43" t="s">
        <v>961</v>
      </c>
      <c r="C83" s="46">
        <v>267.38060869565214</v>
      </c>
      <c r="D83" s="46">
        <v>302.80282608695649</v>
      </c>
      <c r="E83" s="46">
        <v>215.96126086956522</v>
      </c>
      <c r="F83" s="46">
        <v>477.62860869565213</v>
      </c>
      <c r="G83" s="46">
        <v>267.38060869565214</v>
      </c>
      <c r="H83" s="46">
        <v>233.10104347826083</v>
      </c>
      <c r="I83" s="46">
        <v>262.81</v>
      </c>
      <c r="J83" s="46">
        <v>164.54191304347827</v>
      </c>
      <c r="K83" s="46">
        <v>318.79995652173909</v>
      </c>
      <c r="L83" s="46">
        <v>117.69317391304348</v>
      </c>
      <c r="M83" s="44">
        <f t="shared" si="1"/>
        <v>576.89999999999964</v>
      </c>
      <c r="N83" s="47">
        <v>3205</v>
      </c>
      <c r="O83" s="46">
        <v>105</v>
      </c>
      <c r="P83" s="46">
        <v>7</v>
      </c>
      <c r="Q83" s="46">
        <v>430</v>
      </c>
      <c r="R83" s="46">
        <v>333</v>
      </c>
      <c r="S83" s="46">
        <v>250</v>
      </c>
      <c r="T83" s="46">
        <v>300</v>
      </c>
      <c r="U83" s="46">
        <v>0</v>
      </c>
      <c r="V83" s="46">
        <v>553</v>
      </c>
      <c r="W83" s="46">
        <v>1142</v>
      </c>
      <c r="X83" s="46">
        <v>85</v>
      </c>
    </row>
    <row r="84" spans="1:24" s="41" customFormat="1">
      <c r="A84" s="42">
        <v>46163</v>
      </c>
      <c r="B84" s="43" t="s">
        <v>961</v>
      </c>
      <c r="C84" s="46">
        <v>270.63422608695652</v>
      </c>
      <c r="D84" s="46">
        <v>306.48747826086958</v>
      </c>
      <c r="E84" s="46">
        <v>218.58918260869567</v>
      </c>
      <c r="F84" s="46">
        <v>483.44062608695646</v>
      </c>
      <c r="G84" s="46">
        <v>270.63422608695652</v>
      </c>
      <c r="H84" s="46">
        <v>235.93753043478259</v>
      </c>
      <c r="I84" s="46">
        <v>266.00799999999998</v>
      </c>
      <c r="J84" s="46">
        <v>166.54413913043479</v>
      </c>
      <c r="K84" s="46">
        <v>322.6792695652174</v>
      </c>
      <c r="L84" s="46">
        <v>119.12532173913044</v>
      </c>
      <c r="M84" s="44">
        <f t="shared" si="1"/>
        <v>583.92000000000007</v>
      </c>
      <c r="N84" s="47">
        <v>3244</v>
      </c>
      <c r="O84" s="46">
        <v>105</v>
      </c>
      <c r="P84" s="46">
        <v>7</v>
      </c>
      <c r="Q84" s="46">
        <v>430</v>
      </c>
      <c r="R84" s="46">
        <v>333</v>
      </c>
      <c r="S84" s="46">
        <v>250</v>
      </c>
      <c r="T84" s="46">
        <v>300</v>
      </c>
      <c r="U84" s="46">
        <v>0</v>
      </c>
      <c r="V84" s="46">
        <v>553</v>
      </c>
      <c r="W84" s="46">
        <v>1181</v>
      </c>
      <c r="X84" s="46">
        <v>85</v>
      </c>
    </row>
    <row r="85" spans="1:24" s="41" customFormat="1">
      <c r="A85" s="42">
        <v>46164</v>
      </c>
      <c r="B85" s="43" t="s">
        <v>961</v>
      </c>
      <c r="C85" s="46">
        <v>271.38506086956522</v>
      </c>
      <c r="D85" s="46">
        <v>307.33778260869565</v>
      </c>
      <c r="E85" s="46">
        <v>219.19562608695654</v>
      </c>
      <c r="F85" s="46">
        <v>484.78186086956521</v>
      </c>
      <c r="G85" s="46">
        <v>271.38506086956522</v>
      </c>
      <c r="H85" s="46">
        <v>236.59210434782608</v>
      </c>
      <c r="I85" s="46">
        <v>266.74600000000004</v>
      </c>
      <c r="J85" s="46">
        <v>167.00619130434785</v>
      </c>
      <c r="K85" s="46">
        <v>323.57449565217394</v>
      </c>
      <c r="L85" s="46">
        <v>119.45581739130435</v>
      </c>
      <c r="M85" s="44">
        <f t="shared" si="1"/>
        <v>585.54</v>
      </c>
      <c r="N85" s="47">
        <v>3253</v>
      </c>
      <c r="O85" s="46">
        <v>105</v>
      </c>
      <c r="P85" s="46">
        <v>7</v>
      </c>
      <c r="Q85" s="46">
        <v>430</v>
      </c>
      <c r="R85" s="46">
        <v>333</v>
      </c>
      <c r="S85" s="46">
        <v>250</v>
      </c>
      <c r="T85" s="46">
        <v>300</v>
      </c>
      <c r="U85" s="46">
        <v>8</v>
      </c>
      <c r="V85" s="46">
        <v>553</v>
      </c>
      <c r="W85" s="46">
        <v>1182</v>
      </c>
      <c r="X85" s="46">
        <v>85</v>
      </c>
    </row>
    <row r="86" spans="1:24" s="41" customFormat="1">
      <c r="A86" s="42">
        <v>46165</v>
      </c>
      <c r="B86" s="43" t="s">
        <v>961</v>
      </c>
      <c r="C86" s="46">
        <v>312.76439999999997</v>
      </c>
      <c r="D86" s="46">
        <v>354.19900000000001</v>
      </c>
      <c r="E86" s="46">
        <v>252.6174</v>
      </c>
      <c r="F86" s="46">
        <v>558.69879999999989</v>
      </c>
      <c r="G86" s="46">
        <v>312.76439999999997</v>
      </c>
      <c r="H86" s="46">
        <v>272.66639999999995</v>
      </c>
      <c r="I86" s="46">
        <v>307.41800000000001</v>
      </c>
      <c r="J86" s="46">
        <v>192.47040000000001</v>
      </c>
      <c r="K86" s="46">
        <v>372.91139999999996</v>
      </c>
      <c r="L86" s="46">
        <v>137.66980000000001</v>
      </c>
      <c r="M86" s="44">
        <f t="shared" si="1"/>
        <v>674.81999999999971</v>
      </c>
      <c r="N86" s="47">
        <v>3749</v>
      </c>
      <c r="O86" s="46">
        <v>151</v>
      </c>
      <c r="P86" s="46">
        <v>10</v>
      </c>
      <c r="Q86" s="46">
        <v>645</v>
      </c>
      <c r="R86" s="46">
        <v>431</v>
      </c>
      <c r="S86" s="46">
        <v>350</v>
      </c>
      <c r="T86" s="46">
        <v>300</v>
      </c>
      <c r="U86" s="46">
        <v>79</v>
      </c>
      <c r="V86" s="46">
        <v>553</v>
      </c>
      <c r="W86" s="46">
        <v>1230</v>
      </c>
      <c r="X86" s="46">
        <v>0</v>
      </c>
    </row>
    <row r="87" spans="1:24" s="41" customFormat="1">
      <c r="A87" s="42">
        <v>46166</v>
      </c>
      <c r="B87" s="43" t="s">
        <v>961</v>
      </c>
      <c r="C87" s="46">
        <v>313.84893913043476</v>
      </c>
      <c r="D87" s="46">
        <v>355.42721739130434</v>
      </c>
      <c r="E87" s="46">
        <v>253.49337391304346</v>
      </c>
      <c r="F87" s="46">
        <v>560.63613913043469</v>
      </c>
      <c r="G87" s="46">
        <v>313.84893913043476</v>
      </c>
      <c r="H87" s="46">
        <v>273.61189565217387</v>
      </c>
      <c r="I87" s="46">
        <v>308.48399999999998</v>
      </c>
      <c r="J87" s="46">
        <v>193.13780869565218</v>
      </c>
      <c r="K87" s="46">
        <v>374.20450434782606</v>
      </c>
      <c r="L87" s="46">
        <v>138.14718260869566</v>
      </c>
      <c r="M87" s="44">
        <f t="shared" si="1"/>
        <v>677.16000000000031</v>
      </c>
      <c r="N87" s="47">
        <v>3762</v>
      </c>
      <c r="O87" s="46">
        <v>151</v>
      </c>
      <c r="P87" s="46">
        <v>10</v>
      </c>
      <c r="Q87" s="46">
        <v>645</v>
      </c>
      <c r="R87" s="46">
        <v>431</v>
      </c>
      <c r="S87" s="46">
        <v>350</v>
      </c>
      <c r="T87" s="46">
        <v>300</v>
      </c>
      <c r="U87" s="46">
        <v>79</v>
      </c>
      <c r="V87" s="46">
        <v>553</v>
      </c>
      <c r="W87" s="46">
        <v>1243</v>
      </c>
      <c r="X87" s="46">
        <v>0</v>
      </c>
    </row>
    <row r="88" spans="1:24" s="41" customFormat="1">
      <c r="A88" s="42">
        <v>46167</v>
      </c>
      <c r="B88" s="43" t="s">
        <v>961</v>
      </c>
      <c r="C88" s="46">
        <v>278.30942608695653</v>
      </c>
      <c r="D88" s="46">
        <v>315.17947826086959</v>
      </c>
      <c r="E88" s="46">
        <v>224.78838260869566</v>
      </c>
      <c r="F88" s="46">
        <v>497.15102608695651</v>
      </c>
      <c r="G88" s="46">
        <v>278.30942608695653</v>
      </c>
      <c r="H88" s="46">
        <v>242.6287304347826</v>
      </c>
      <c r="I88" s="46">
        <v>273.55200000000002</v>
      </c>
      <c r="J88" s="46">
        <v>171.26733913043481</v>
      </c>
      <c r="K88" s="46">
        <v>331.83046956521741</v>
      </c>
      <c r="L88" s="46">
        <v>122.50372173913044</v>
      </c>
      <c r="M88" s="44">
        <f t="shared" si="1"/>
        <v>600.48</v>
      </c>
      <c r="N88" s="47">
        <v>3336</v>
      </c>
      <c r="O88" s="46">
        <v>105</v>
      </c>
      <c r="P88" s="46">
        <v>7</v>
      </c>
      <c r="Q88" s="46">
        <v>430</v>
      </c>
      <c r="R88" s="46">
        <v>354</v>
      </c>
      <c r="S88" s="46">
        <v>250</v>
      </c>
      <c r="T88" s="46">
        <v>350</v>
      </c>
      <c r="U88" s="46">
        <v>26</v>
      </c>
      <c r="V88" s="46">
        <v>553</v>
      </c>
      <c r="W88" s="46">
        <v>1176</v>
      </c>
      <c r="X88" s="46">
        <v>85</v>
      </c>
    </row>
    <row r="89" spans="1:24" s="41" customFormat="1">
      <c r="A89" s="42">
        <v>46168</v>
      </c>
      <c r="B89" s="43" t="s">
        <v>961</v>
      </c>
      <c r="C89" s="46">
        <v>274.13812173913044</v>
      </c>
      <c r="D89" s="46">
        <v>310.45556521739132</v>
      </c>
      <c r="E89" s="46">
        <v>221.41925217391304</v>
      </c>
      <c r="F89" s="46">
        <v>489.69972173913038</v>
      </c>
      <c r="G89" s="46">
        <v>274.13812173913044</v>
      </c>
      <c r="H89" s="46">
        <v>238.99220869565215</v>
      </c>
      <c r="I89" s="46">
        <v>269.452</v>
      </c>
      <c r="J89" s="46">
        <v>168.70038260869566</v>
      </c>
      <c r="K89" s="46">
        <v>326.85699130434784</v>
      </c>
      <c r="L89" s="46">
        <v>120.6676347826087</v>
      </c>
      <c r="M89" s="44">
        <f t="shared" si="1"/>
        <v>591.48</v>
      </c>
      <c r="N89" s="47">
        <v>3286</v>
      </c>
      <c r="O89" s="46">
        <v>105</v>
      </c>
      <c r="P89" s="46">
        <v>7</v>
      </c>
      <c r="Q89" s="46">
        <v>430</v>
      </c>
      <c r="R89" s="46">
        <v>343</v>
      </c>
      <c r="S89" s="46">
        <v>250</v>
      </c>
      <c r="T89" s="46">
        <v>350</v>
      </c>
      <c r="U89" s="46">
        <v>0</v>
      </c>
      <c r="V89" s="46">
        <v>553</v>
      </c>
      <c r="W89" s="46">
        <v>1163</v>
      </c>
      <c r="X89" s="46">
        <v>85</v>
      </c>
    </row>
    <row r="90" spans="1:24" s="41" customFormat="1">
      <c r="A90" s="42">
        <v>46169</v>
      </c>
      <c r="B90" s="43" t="s">
        <v>961</v>
      </c>
      <c r="C90" s="46">
        <v>272.46960000000001</v>
      </c>
      <c r="D90" s="46">
        <v>308.56599999999997</v>
      </c>
      <c r="E90" s="46">
        <v>220.07159999999999</v>
      </c>
      <c r="F90" s="46">
        <v>486.71919999999994</v>
      </c>
      <c r="G90" s="46">
        <v>272.46960000000001</v>
      </c>
      <c r="H90" s="46">
        <v>237.53759999999997</v>
      </c>
      <c r="I90" s="46">
        <v>267.81200000000001</v>
      </c>
      <c r="J90" s="46">
        <v>167.67359999999999</v>
      </c>
      <c r="K90" s="46">
        <v>324.86759999999998</v>
      </c>
      <c r="L90" s="46">
        <v>119.9332</v>
      </c>
      <c r="M90" s="44">
        <f t="shared" si="1"/>
        <v>587.88000000000011</v>
      </c>
      <c r="N90" s="47">
        <v>3266</v>
      </c>
      <c r="O90" s="46">
        <v>105</v>
      </c>
      <c r="P90" s="46">
        <v>7</v>
      </c>
      <c r="Q90" s="46">
        <v>430</v>
      </c>
      <c r="R90" s="46">
        <v>343</v>
      </c>
      <c r="S90" s="46">
        <v>250</v>
      </c>
      <c r="T90" s="46">
        <v>350</v>
      </c>
      <c r="U90" s="46">
        <v>0</v>
      </c>
      <c r="V90" s="46">
        <v>553</v>
      </c>
      <c r="W90" s="46">
        <v>1143</v>
      </c>
      <c r="X90" s="46">
        <v>85</v>
      </c>
    </row>
    <row r="91" spans="1:24" s="41" customFormat="1">
      <c r="A91" s="42">
        <v>46170</v>
      </c>
      <c r="B91" s="43" t="s">
        <v>961</v>
      </c>
      <c r="C91" s="46">
        <v>275.47293913043478</v>
      </c>
      <c r="D91" s="46">
        <v>311.96721739130436</v>
      </c>
      <c r="E91" s="46">
        <v>222.49737391304348</v>
      </c>
      <c r="F91" s="46">
        <v>492.08413913043472</v>
      </c>
      <c r="G91" s="46">
        <v>275.47293913043478</v>
      </c>
      <c r="H91" s="46">
        <v>240.15589565217388</v>
      </c>
      <c r="I91" s="46">
        <v>270.76400000000001</v>
      </c>
      <c r="J91" s="46">
        <v>169.52180869565217</v>
      </c>
      <c r="K91" s="46">
        <v>328.44850434782609</v>
      </c>
      <c r="L91" s="46">
        <v>121.25518260869565</v>
      </c>
      <c r="M91" s="44">
        <f t="shared" si="1"/>
        <v>594.36000000000013</v>
      </c>
      <c r="N91" s="47">
        <v>3302</v>
      </c>
      <c r="O91" s="46">
        <v>105</v>
      </c>
      <c r="P91" s="46">
        <v>7</v>
      </c>
      <c r="Q91" s="46">
        <v>430</v>
      </c>
      <c r="R91" s="46">
        <v>343</v>
      </c>
      <c r="S91" s="46">
        <v>250</v>
      </c>
      <c r="T91" s="46">
        <v>350</v>
      </c>
      <c r="U91" s="46">
        <v>0</v>
      </c>
      <c r="V91" s="46">
        <v>553</v>
      </c>
      <c r="W91" s="46">
        <v>1179</v>
      </c>
      <c r="X91" s="46">
        <v>85</v>
      </c>
    </row>
    <row r="92" spans="1:24" s="41" customFormat="1">
      <c r="A92" s="42">
        <v>46171</v>
      </c>
      <c r="B92" s="43" t="s">
        <v>961</v>
      </c>
      <c r="C92" s="46">
        <v>275.97349565217394</v>
      </c>
      <c r="D92" s="46">
        <v>312.53408695652172</v>
      </c>
      <c r="E92" s="46">
        <v>222.90166956521739</v>
      </c>
      <c r="F92" s="46">
        <v>492.97829565217387</v>
      </c>
      <c r="G92" s="46">
        <v>275.97349565217394</v>
      </c>
      <c r="H92" s="46">
        <v>240.59227826086953</v>
      </c>
      <c r="I92" s="46">
        <v>271.25600000000003</v>
      </c>
      <c r="J92" s="46">
        <v>169.82984347826087</v>
      </c>
      <c r="K92" s="46">
        <v>329.04532173913043</v>
      </c>
      <c r="L92" s="46">
        <v>121.47551304347826</v>
      </c>
      <c r="M92" s="44">
        <f t="shared" si="1"/>
        <v>595.44000000000005</v>
      </c>
      <c r="N92" s="47">
        <v>3308</v>
      </c>
      <c r="O92" s="46">
        <v>105</v>
      </c>
      <c r="P92" s="46">
        <v>7</v>
      </c>
      <c r="Q92" s="46">
        <v>430</v>
      </c>
      <c r="R92" s="46">
        <v>343</v>
      </c>
      <c r="S92" s="46">
        <v>250</v>
      </c>
      <c r="T92" s="46">
        <v>350</v>
      </c>
      <c r="U92" s="46">
        <v>0</v>
      </c>
      <c r="V92" s="46">
        <v>553</v>
      </c>
      <c r="W92" s="46">
        <v>1185</v>
      </c>
      <c r="X92" s="46">
        <v>85</v>
      </c>
    </row>
    <row r="93" spans="1:24" s="41" customFormat="1">
      <c r="A93" s="42">
        <v>46172</v>
      </c>
      <c r="B93" s="43" t="s">
        <v>961</v>
      </c>
      <c r="C93" s="46">
        <v>309.67763478260866</v>
      </c>
      <c r="D93" s="46">
        <v>350.70330434782608</v>
      </c>
      <c r="E93" s="46">
        <v>250.12424347826087</v>
      </c>
      <c r="F93" s="46">
        <v>553.18483478260862</v>
      </c>
      <c r="G93" s="46">
        <v>309.67763478260866</v>
      </c>
      <c r="H93" s="46">
        <v>269.97537391304343</v>
      </c>
      <c r="I93" s="46">
        <v>304.38399999999996</v>
      </c>
      <c r="J93" s="46">
        <v>190.57085217391304</v>
      </c>
      <c r="K93" s="46">
        <v>369.23102608695649</v>
      </c>
      <c r="L93" s="46">
        <v>136.31109565217392</v>
      </c>
      <c r="M93" s="44">
        <f t="shared" si="1"/>
        <v>668.15999999999985</v>
      </c>
      <c r="N93" s="47">
        <v>3712</v>
      </c>
      <c r="O93" s="46">
        <v>151</v>
      </c>
      <c r="P93" s="46">
        <v>10</v>
      </c>
      <c r="Q93" s="46">
        <v>645</v>
      </c>
      <c r="R93" s="46">
        <v>420</v>
      </c>
      <c r="S93" s="46">
        <v>350</v>
      </c>
      <c r="T93" s="46">
        <v>350</v>
      </c>
      <c r="U93" s="46">
        <v>34</v>
      </c>
      <c r="V93" s="46">
        <v>553</v>
      </c>
      <c r="W93" s="46">
        <v>1199</v>
      </c>
      <c r="X93" s="46">
        <v>0</v>
      </c>
    </row>
    <row r="94" spans="1:24" s="41" customFormat="1">
      <c r="A94" s="42">
        <v>46173</v>
      </c>
      <c r="B94" s="43" t="s">
        <v>961</v>
      </c>
      <c r="C94" s="46">
        <v>309.42735652173911</v>
      </c>
      <c r="D94" s="46">
        <v>350.41986956521737</v>
      </c>
      <c r="E94" s="46">
        <v>249.92209565217388</v>
      </c>
      <c r="F94" s="46">
        <v>552.73775652173902</v>
      </c>
      <c r="G94" s="46">
        <v>309.42735652173911</v>
      </c>
      <c r="H94" s="46">
        <v>269.75718260869559</v>
      </c>
      <c r="I94" s="46">
        <v>304.13799999999998</v>
      </c>
      <c r="J94" s="46">
        <v>190.4168347826087</v>
      </c>
      <c r="K94" s="46">
        <v>368.93261739130429</v>
      </c>
      <c r="L94" s="46">
        <v>136.20093043478261</v>
      </c>
      <c r="M94" s="44">
        <f t="shared" si="1"/>
        <v>667.62000000000035</v>
      </c>
      <c r="N94" s="47">
        <v>3709</v>
      </c>
      <c r="O94" s="46">
        <v>151</v>
      </c>
      <c r="P94" s="46">
        <v>10</v>
      </c>
      <c r="Q94" s="46">
        <v>655</v>
      </c>
      <c r="R94" s="46">
        <v>420</v>
      </c>
      <c r="S94" s="46">
        <v>350</v>
      </c>
      <c r="T94" s="46">
        <v>350</v>
      </c>
      <c r="U94" s="46">
        <v>34</v>
      </c>
      <c r="V94" s="46">
        <v>552</v>
      </c>
      <c r="W94" s="46">
        <v>1187</v>
      </c>
      <c r="X94" s="46">
        <v>0</v>
      </c>
    </row>
    <row r="95" spans="1:24" s="41" customFormat="1">
      <c r="A95" s="42">
        <v>46174</v>
      </c>
      <c r="B95" s="43" t="s">
        <v>961</v>
      </c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4">
        <f t="shared" si="1"/>
        <v>0</v>
      </c>
      <c r="N95" s="47"/>
      <c r="O95" s="46"/>
      <c r="P95" s="46"/>
      <c r="Q95" s="46"/>
      <c r="R95" s="46"/>
      <c r="S95" s="46"/>
      <c r="T95" s="46"/>
      <c r="U95" s="46"/>
      <c r="V95" s="46"/>
      <c r="W95" s="46"/>
      <c r="X95" s="46"/>
    </row>
    <row r="96" spans="1:24" s="41" customFormat="1">
      <c r="A96" s="42">
        <v>46175</v>
      </c>
      <c r="B96" s="43" t="s">
        <v>961</v>
      </c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4">
        <f t="shared" si="1"/>
        <v>0</v>
      </c>
      <c r="N96" s="47"/>
      <c r="O96" s="46"/>
      <c r="P96" s="46"/>
      <c r="Q96" s="46"/>
      <c r="R96" s="46"/>
      <c r="S96" s="46"/>
      <c r="T96" s="46"/>
      <c r="U96" s="46"/>
      <c r="V96" s="46"/>
      <c r="W96" s="46"/>
      <c r="X96" s="46"/>
    </row>
    <row r="97" spans="1:24" s="41" customFormat="1">
      <c r="A97" s="42">
        <v>46176</v>
      </c>
      <c r="B97" s="43" t="s">
        <v>961</v>
      </c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4">
        <f t="shared" si="1"/>
        <v>0</v>
      </c>
      <c r="N97" s="47"/>
      <c r="O97" s="46"/>
      <c r="P97" s="46"/>
      <c r="Q97" s="46"/>
      <c r="R97" s="46"/>
      <c r="S97" s="46"/>
      <c r="T97" s="46"/>
      <c r="U97" s="46"/>
      <c r="V97" s="46"/>
      <c r="W97" s="46"/>
      <c r="X97" s="46"/>
    </row>
    <row r="98" spans="1:24" s="41" customFormat="1">
      <c r="A98" s="42">
        <v>46177</v>
      </c>
      <c r="B98" s="43" t="s">
        <v>961</v>
      </c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4">
        <f t="shared" si="1"/>
        <v>0</v>
      </c>
      <c r="N98" s="47"/>
      <c r="O98" s="46"/>
      <c r="P98" s="46"/>
      <c r="Q98" s="46"/>
      <c r="R98" s="46"/>
      <c r="S98" s="46"/>
      <c r="T98" s="46"/>
      <c r="U98" s="46"/>
      <c r="V98" s="46"/>
      <c r="W98" s="46"/>
      <c r="X98" s="46"/>
    </row>
    <row r="99" spans="1:24" s="41" customFormat="1">
      <c r="A99" s="42">
        <v>46178</v>
      </c>
      <c r="B99" s="43" t="s">
        <v>961</v>
      </c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4">
        <f t="shared" si="1"/>
        <v>0</v>
      </c>
      <c r="N99" s="47"/>
      <c r="O99" s="46"/>
      <c r="P99" s="46"/>
      <c r="Q99" s="46"/>
      <c r="R99" s="46"/>
      <c r="S99" s="46"/>
      <c r="T99" s="46"/>
      <c r="U99" s="46"/>
      <c r="V99" s="46"/>
      <c r="W99" s="46"/>
      <c r="X99" s="46"/>
    </row>
    <row r="100" spans="1:24" s="41" customFormat="1">
      <c r="A100" s="42">
        <v>46179</v>
      </c>
      <c r="B100" s="43" t="s">
        <v>961</v>
      </c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4">
        <f t="shared" si="1"/>
        <v>0</v>
      </c>
      <c r="N100" s="47"/>
      <c r="O100" s="46"/>
      <c r="P100" s="46"/>
      <c r="Q100" s="46"/>
      <c r="R100" s="46"/>
      <c r="S100" s="46"/>
      <c r="T100" s="46"/>
      <c r="U100" s="46"/>
      <c r="V100" s="46"/>
      <c r="W100" s="46"/>
      <c r="X100" s="46"/>
    </row>
    <row r="101" spans="1:24" s="41" customFormat="1">
      <c r="A101" s="42">
        <v>46180</v>
      </c>
      <c r="B101" s="43" t="s">
        <v>961</v>
      </c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4">
        <f t="shared" si="1"/>
        <v>0</v>
      </c>
      <c r="N101" s="47"/>
      <c r="O101" s="46"/>
      <c r="P101" s="46"/>
      <c r="Q101" s="46"/>
      <c r="R101" s="46"/>
      <c r="S101" s="46"/>
      <c r="T101" s="46"/>
      <c r="U101" s="46"/>
      <c r="V101" s="46"/>
      <c r="W101" s="46"/>
      <c r="X101" s="46"/>
    </row>
    <row r="102" spans="1:24" s="41" customFormat="1">
      <c r="A102" s="42">
        <v>46181</v>
      </c>
      <c r="B102" s="43" t="s">
        <v>961</v>
      </c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4">
        <f t="shared" si="1"/>
        <v>0</v>
      </c>
      <c r="N102" s="47"/>
      <c r="O102" s="46"/>
      <c r="P102" s="46"/>
      <c r="Q102" s="46"/>
      <c r="R102" s="46"/>
      <c r="S102" s="46"/>
      <c r="T102" s="46"/>
      <c r="U102" s="46"/>
      <c r="V102" s="46"/>
      <c r="W102" s="46"/>
      <c r="X102" s="46"/>
    </row>
    <row r="103" spans="1:24" s="41" customFormat="1">
      <c r="A103" s="42">
        <v>46182</v>
      </c>
      <c r="B103" s="43" t="s">
        <v>961</v>
      </c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4">
        <f t="shared" si="1"/>
        <v>0</v>
      </c>
      <c r="N103" s="47"/>
      <c r="O103" s="46"/>
      <c r="P103" s="46"/>
      <c r="Q103" s="46"/>
      <c r="R103" s="46"/>
      <c r="S103" s="46"/>
      <c r="T103" s="46"/>
      <c r="U103" s="46"/>
      <c r="V103" s="46"/>
      <c r="W103" s="46"/>
      <c r="X103" s="46"/>
    </row>
    <row r="104" spans="1:24" s="41" customFormat="1">
      <c r="A104" s="42">
        <v>46183</v>
      </c>
      <c r="B104" s="43" t="s">
        <v>961</v>
      </c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4">
        <f t="shared" si="1"/>
        <v>0</v>
      </c>
      <c r="N104" s="47"/>
      <c r="O104" s="46"/>
      <c r="P104" s="46"/>
      <c r="Q104" s="46"/>
      <c r="R104" s="46"/>
      <c r="S104" s="46"/>
      <c r="T104" s="46"/>
      <c r="U104" s="46"/>
      <c r="V104" s="46"/>
      <c r="W104" s="46"/>
      <c r="X104" s="46"/>
    </row>
    <row r="105" spans="1:24" s="41" customFormat="1">
      <c r="A105" s="42">
        <v>46184</v>
      </c>
      <c r="B105" s="43" t="s">
        <v>961</v>
      </c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4">
        <f t="shared" si="1"/>
        <v>0</v>
      </c>
      <c r="N105" s="47"/>
      <c r="O105" s="46"/>
      <c r="P105" s="46"/>
      <c r="Q105" s="46"/>
      <c r="R105" s="46"/>
      <c r="S105" s="46"/>
      <c r="T105" s="46"/>
      <c r="U105" s="46"/>
      <c r="V105" s="46"/>
      <c r="W105" s="46"/>
      <c r="X105" s="46"/>
    </row>
    <row r="106" spans="1:24" s="41" customFormat="1">
      <c r="A106" s="42">
        <v>46185</v>
      </c>
      <c r="B106" s="43" t="s">
        <v>961</v>
      </c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4">
        <f t="shared" si="1"/>
        <v>0</v>
      </c>
      <c r="N106" s="47"/>
      <c r="O106" s="46"/>
      <c r="P106" s="46"/>
      <c r="Q106" s="46"/>
      <c r="R106" s="46"/>
      <c r="S106" s="46"/>
      <c r="T106" s="46"/>
      <c r="U106" s="46"/>
      <c r="V106" s="46"/>
      <c r="W106" s="46"/>
      <c r="X106" s="46"/>
    </row>
    <row r="107" spans="1:24" s="41" customFormat="1">
      <c r="A107" s="42">
        <v>46186</v>
      </c>
      <c r="B107" s="43" t="s">
        <v>961</v>
      </c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4">
        <f t="shared" si="1"/>
        <v>0</v>
      </c>
      <c r="N107" s="47"/>
      <c r="O107" s="46"/>
      <c r="P107" s="46"/>
      <c r="Q107" s="46"/>
      <c r="R107" s="46"/>
      <c r="S107" s="46"/>
      <c r="T107" s="46"/>
      <c r="U107" s="46"/>
      <c r="V107" s="46"/>
      <c r="W107" s="46"/>
      <c r="X107" s="46"/>
    </row>
    <row r="108" spans="1:24" s="41" customFormat="1">
      <c r="A108" s="42">
        <v>46187</v>
      </c>
      <c r="B108" s="43" t="s">
        <v>961</v>
      </c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4">
        <f t="shared" si="1"/>
        <v>0</v>
      </c>
      <c r="N108" s="47"/>
      <c r="O108" s="46"/>
      <c r="P108" s="46"/>
      <c r="Q108" s="46"/>
      <c r="R108" s="46"/>
      <c r="S108" s="46"/>
      <c r="T108" s="46"/>
      <c r="U108" s="46"/>
      <c r="V108" s="46"/>
      <c r="W108" s="46"/>
      <c r="X108" s="46"/>
    </row>
    <row r="109" spans="1:24" s="41" customFormat="1">
      <c r="A109" s="42">
        <v>46188</v>
      </c>
      <c r="B109" s="43" t="s">
        <v>961</v>
      </c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4">
        <f t="shared" si="1"/>
        <v>0</v>
      </c>
      <c r="N109" s="47"/>
      <c r="O109" s="46"/>
      <c r="P109" s="46"/>
      <c r="Q109" s="46"/>
      <c r="R109" s="46"/>
      <c r="S109" s="46"/>
      <c r="T109" s="46"/>
      <c r="U109" s="46"/>
      <c r="V109" s="46"/>
      <c r="W109" s="46"/>
      <c r="X109" s="46"/>
    </row>
    <row r="110" spans="1:24" s="41" customFormat="1">
      <c r="A110" s="42">
        <v>46189</v>
      </c>
      <c r="B110" s="43" t="s">
        <v>961</v>
      </c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4">
        <f t="shared" si="1"/>
        <v>0</v>
      </c>
      <c r="N110" s="47"/>
      <c r="O110" s="46"/>
      <c r="P110" s="46"/>
      <c r="Q110" s="46"/>
      <c r="R110" s="46"/>
      <c r="S110" s="46"/>
      <c r="T110" s="46"/>
      <c r="U110" s="46"/>
      <c r="V110" s="46"/>
      <c r="W110" s="46"/>
      <c r="X110" s="46"/>
    </row>
    <row r="111" spans="1:24" s="41" customFormat="1">
      <c r="A111" s="42">
        <v>46190</v>
      </c>
      <c r="B111" s="43" t="s">
        <v>961</v>
      </c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4">
        <f t="shared" si="1"/>
        <v>0</v>
      </c>
      <c r="N111" s="47"/>
      <c r="O111" s="46"/>
      <c r="P111" s="46"/>
      <c r="Q111" s="46"/>
      <c r="R111" s="46"/>
      <c r="S111" s="46"/>
      <c r="T111" s="46"/>
      <c r="U111" s="46"/>
      <c r="V111" s="46"/>
      <c r="W111" s="46"/>
      <c r="X111" s="46"/>
    </row>
    <row r="112" spans="1:24" s="41" customFormat="1">
      <c r="A112" s="42">
        <v>46191</v>
      </c>
      <c r="B112" s="43" t="s">
        <v>961</v>
      </c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4">
        <f t="shared" si="1"/>
        <v>0</v>
      </c>
      <c r="N112" s="47"/>
      <c r="O112" s="46"/>
      <c r="P112" s="46"/>
      <c r="Q112" s="46"/>
      <c r="R112" s="46"/>
      <c r="S112" s="46"/>
      <c r="T112" s="46"/>
      <c r="U112" s="46"/>
      <c r="V112" s="46"/>
      <c r="W112" s="46"/>
      <c r="X112" s="46"/>
    </row>
    <row r="113" spans="1:24" s="41" customFormat="1">
      <c r="A113" s="42">
        <v>46192</v>
      </c>
      <c r="B113" s="43" t="s">
        <v>961</v>
      </c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4">
        <f t="shared" si="1"/>
        <v>0</v>
      </c>
      <c r="N113" s="47"/>
      <c r="O113" s="46"/>
      <c r="P113" s="46"/>
      <c r="Q113" s="46"/>
      <c r="R113" s="46"/>
      <c r="S113" s="46"/>
      <c r="T113" s="46"/>
      <c r="U113" s="46"/>
      <c r="V113" s="46"/>
      <c r="W113" s="46"/>
      <c r="X113" s="46"/>
    </row>
    <row r="114" spans="1:24" s="41" customFormat="1">
      <c r="A114" s="42">
        <v>46193</v>
      </c>
      <c r="B114" s="43" t="s">
        <v>961</v>
      </c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4">
        <f t="shared" si="1"/>
        <v>0</v>
      </c>
      <c r="N114" s="47"/>
      <c r="O114" s="46"/>
      <c r="P114" s="46"/>
      <c r="Q114" s="46"/>
      <c r="R114" s="46"/>
      <c r="S114" s="46"/>
      <c r="T114" s="46"/>
      <c r="U114" s="46"/>
      <c r="V114" s="46"/>
      <c r="W114" s="46"/>
      <c r="X114" s="46"/>
    </row>
    <row r="115" spans="1:24" s="41" customFormat="1">
      <c r="A115" s="42">
        <v>46194</v>
      </c>
      <c r="B115" s="43" t="s">
        <v>961</v>
      </c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4">
        <f t="shared" si="1"/>
        <v>0</v>
      </c>
      <c r="N115" s="47"/>
      <c r="O115" s="46"/>
      <c r="P115" s="46"/>
      <c r="Q115" s="46"/>
      <c r="R115" s="46"/>
      <c r="S115" s="46"/>
      <c r="T115" s="46"/>
      <c r="U115" s="46"/>
      <c r="V115" s="46"/>
      <c r="W115" s="46"/>
      <c r="X115" s="46"/>
    </row>
    <row r="116" spans="1:24" s="41" customFormat="1">
      <c r="A116" s="42">
        <v>46195</v>
      </c>
      <c r="B116" s="43" t="s">
        <v>961</v>
      </c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4">
        <f t="shared" si="1"/>
        <v>0</v>
      </c>
      <c r="N116" s="47"/>
      <c r="O116" s="46"/>
      <c r="P116" s="46"/>
      <c r="Q116" s="46"/>
      <c r="R116" s="46"/>
      <c r="S116" s="46"/>
      <c r="T116" s="46"/>
      <c r="U116" s="46"/>
      <c r="V116" s="46"/>
      <c r="W116" s="46"/>
      <c r="X116" s="46"/>
    </row>
    <row r="117" spans="1:24" s="41" customFormat="1">
      <c r="A117" s="42">
        <v>46196</v>
      </c>
      <c r="B117" s="43" t="s">
        <v>961</v>
      </c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4">
        <f t="shared" si="1"/>
        <v>0</v>
      </c>
      <c r="N117" s="47"/>
      <c r="O117" s="46"/>
      <c r="P117" s="46"/>
      <c r="Q117" s="46"/>
      <c r="R117" s="46"/>
      <c r="S117" s="46"/>
      <c r="T117" s="46"/>
      <c r="U117" s="46"/>
      <c r="V117" s="46"/>
      <c r="W117" s="46"/>
      <c r="X117" s="46"/>
    </row>
    <row r="118" spans="1:24" s="41" customFormat="1">
      <c r="A118" s="42">
        <v>46197</v>
      </c>
      <c r="B118" s="43" t="s">
        <v>961</v>
      </c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4">
        <f t="shared" si="1"/>
        <v>0</v>
      </c>
      <c r="N118" s="47"/>
      <c r="O118" s="46"/>
      <c r="P118" s="46"/>
      <c r="Q118" s="46"/>
      <c r="R118" s="46"/>
      <c r="S118" s="46"/>
      <c r="T118" s="46"/>
      <c r="U118" s="46"/>
      <c r="V118" s="46"/>
      <c r="W118" s="46"/>
      <c r="X118" s="46"/>
    </row>
    <row r="119" spans="1:24" s="41" customFormat="1">
      <c r="A119" s="42">
        <v>46198</v>
      </c>
      <c r="B119" s="43" t="s">
        <v>961</v>
      </c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4">
        <f t="shared" si="1"/>
        <v>0</v>
      </c>
      <c r="N119" s="47"/>
      <c r="O119" s="46"/>
      <c r="P119" s="46"/>
      <c r="Q119" s="46"/>
      <c r="R119" s="46"/>
      <c r="S119" s="46"/>
      <c r="T119" s="46"/>
      <c r="U119" s="46"/>
      <c r="V119" s="46"/>
      <c r="W119" s="46"/>
      <c r="X119" s="46"/>
    </row>
    <row r="120" spans="1:24" s="41" customFormat="1">
      <c r="A120" s="42">
        <v>46199</v>
      </c>
      <c r="B120" s="43" t="s">
        <v>961</v>
      </c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4">
        <f t="shared" si="1"/>
        <v>0</v>
      </c>
      <c r="N120" s="47"/>
      <c r="O120" s="46"/>
      <c r="P120" s="46"/>
      <c r="Q120" s="46"/>
      <c r="R120" s="46"/>
      <c r="S120" s="46"/>
      <c r="T120" s="46"/>
      <c r="U120" s="46"/>
      <c r="V120" s="46"/>
      <c r="W120" s="46"/>
      <c r="X120" s="46"/>
    </row>
    <row r="121" spans="1:24" s="41" customFormat="1">
      <c r="A121" s="42">
        <v>46200</v>
      </c>
      <c r="B121" s="43" t="s">
        <v>961</v>
      </c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4">
        <f t="shared" si="1"/>
        <v>0</v>
      </c>
      <c r="N121" s="47"/>
      <c r="O121" s="46"/>
      <c r="P121" s="46"/>
      <c r="Q121" s="46"/>
      <c r="R121" s="46"/>
      <c r="S121" s="46"/>
      <c r="T121" s="46"/>
      <c r="U121" s="46"/>
      <c r="V121" s="46"/>
      <c r="W121" s="46"/>
      <c r="X121" s="46"/>
    </row>
    <row r="122" spans="1:24" s="41" customFormat="1">
      <c r="A122" s="42">
        <v>46201</v>
      </c>
      <c r="B122" s="43" t="s">
        <v>961</v>
      </c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4">
        <f t="shared" si="1"/>
        <v>0</v>
      </c>
      <c r="N122" s="47"/>
      <c r="O122" s="46"/>
      <c r="P122" s="46"/>
      <c r="Q122" s="46"/>
      <c r="R122" s="46"/>
      <c r="S122" s="46"/>
      <c r="T122" s="46"/>
      <c r="U122" s="46"/>
      <c r="V122" s="46"/>
      <c r="W122" s="46"/>
      <c r="X122" s="46"/>
    </row>
    <row r="123" spans="1:24" s="41" customFormat="1">
      <c r="A123" s="42">
        <v>46202</v>
      </c>
      <c r="B123" s="43" t="s">
        <v>961</v>
      </c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4">
        <f t="shared" si="1"/>
        <v>0</v>
      </c>
      <c r="N123" s="47"/>
      <c r="O123" s="46"/>
      <c r="P123" s="46"/>
      <c r="Q123" s="46"/>
      <c r="R123" s="46"/>
      <c r="S123" s="46"/>
      <c r="T123" s="46"/>
      <c r="U123" s="46"/>
      <c r="V123" s="46"/>
      <c r="W123" s="46"/>
      <c r="X123" s="46"/>
    </row>
    <row r="124" spans="1:24" s="41" customFormat="1">
      <c r="A124" s="42">
        <v>46203</v>
      </c>
      <c r="B124" s="43" t="s">
        <v>961</v>
      </c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4">
        <f t="shared" si="1"/>
        <v>0</v>
      </c>
      <c r="N124" s="47"/>
      <c r="O124" s="46"/>
      <c r="P124" s="46"/>
      <c r="Q124" s="46"/>
      <c r="R124" s="46"/>
      <c r="S124" s="46"/>
      <c r="T124" s="46"/>
      <c r="U124" s="46"/>
      <c r="V124" s="46"/>
      <c r="W124" s="46"/>
      <c r="X124" s="46"/>
    </row>
    <row r="125" spans="1:24" s="41" customFormat="1">
      <c r="A125" s="42">
        <v>46204</v>
      </c>
      <c r="B125" s="43" t="s">
        <v>961</v>
      </c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4">
        <f t="shared" si="1"/>
        <v>0</v>
      </c>
      <c r="N125" s="47"/>
      <c r="O125" s="46"/>
      <c r="P125" s="46"/>
      <c r="Q125" s="46"/>
      <c r="R125" s="46"/>
      <c r="S125" s="46"/>
      <c r="T125" s="46"/>
      <c r="U125" s="46"/>
      <c r="V125" s="46"/>
      <c r="W125" s="46"/>
      <c r="X125" s="46"/>
    </row>
    <row r="126" spans="1:24" s="41" customFormat="1">
      <c r="A126" s="42">
        <v>46205</v>
      </c>
      <c r="B126" s="43" t="s">
        <v>961</v>
      </c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4">
        <f t="shared" si="1"/>
        <v>0</v>
      </c>
      <c r="N126" s="47"/>
      <c r="O126" s="46"/>
      <c r="P126" s="46"/>
      <c r="Q126" s="46"/>
      <c r="R126" s="46"/>
      <c r="S126" s="46"/>
      <c r="T126" s="46"/>
      <c r="U126" s="46"/>
      <c r="V126" s="46"/>
      <c r="W126" s="46"/>
      <c r="X126" s="46"/>
    </row>
    <row r="127" spans="1:24" s="41" customFormat="1">
      <c r="A127" s="42">
        <v>46206</v>
      </c>
      <c r="B127" s="43" t="s">
        <v>961</v>
      </c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4">
        <f t="shared" si="1"/>
        <v>0</v>
      </c>
      <c r="N127" s="47"/>
      <c r="O127" s="46"/>
      <c r="P127" s="46"/>
      <c r="Q127" s="46"/>
      <c r="R127" s="46"/>
      <c r="S127" s="46"/>
      <c r="T127" s="46"/>
      <c r="U127" s="46"/>
      <c r="V127" s="46"/>
      <c r="W127" s="46"/>
      <c r="X127" s="46"/>
    </row>
    <row r="128" spans="1:24" s="41" customFormat="1">
      <c r="A128" s="42">
        <v>46207</v>
      </c>
      <c r="B128" s="43" t="s">
        <v>961</v>
      </c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4">
        <f t="shared" si="1"/>
        <v>0</v>
      </c>
      <c r="N128" s="47"/>
      <c r="O128" s="46"/>
      <c r="P128" s="46"/>
      <c r="Q128" s="46"/>
      <c r="R128" s="46"/>
      <c r="S128" s="46"/>
      <c r="T128" s="46"/>
      <c r="U128" s="46"/>
      <c r="V128" s="46"/>
      <c r="W128" s="46"/>
      <c r="X128" s="46"/>
    </row>
    <row r="129" spans="1:24" s="41" customFormat="1">
      <c r="A129" s="42">
        <v>46208</v>
      </c>
      <c r="B129" s="43" t="s">
        <v>961</v>
      </c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4">
        <f t="shared" si="1"/>
        <v>0</v>
      </c>
      <c r="N129" s="47"/>
      <c r="O129" s="46"/>
      <c r="P129" s="46"/>
      <c r="Q129" s="46"/>
      <c r="R129" s="46"/>
      <c r="S129" s="46"/>
      <c r="T129" s="46"/>
      <c r="U129" s="46"/>
      <c r="V129" s="46"/>
      <c r="W129" s="46"/>
      <c r="X129" s="46"/>
    </row>
    <row r="130" spans="1:24" s="41" customFormat="1">
      <c r="A130" s="42">
        <v>46209</v>
      </c>
      <c r="B130" s="43" t="s">
        <v>961</v>
      </c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4">
        <f t="shared" si="1"/>
        <v>0</v>
      </c>
      <c r="N130" s="47"/>
      <c r="O130" s="46"/>
      <c r="P130" s="46"/>
      <c r="Q130" s="46"/>
      <c r="R130" s="46"/>
      <c r="S130" s="46"/>
      <c r="T130" s="46"/>
      <c r="U130" s="46"/>
      <c r="V130" s="46"/>
      <c r="W130" s="46"/>
      <c r="X130" s="46"/>
    </row>
    <row r="131" spans="1:24" s="41" customFormat="1">
      <c r="A131" s="42">
        <v>46210</v>
      </c>
      <c r="B131" s="43" t="s">
        <v>961</v>
      </c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4">
        <f t="shared" ref="M131:M194" si="2">N131-SUM(C131:L131)</f>
        <v>0</v>
      </c>
      <c r="N131" s="47"/>
      <c r="O131" s="46"/>
      <c r="P131" s="46"/>
      <c r="Q131" s="46"/>
      <c r="R131" s="46"/>
      <c r="S131" s="46"/>
      <c r="T131" s="46"/>
      <c r="U131" s="46"/>
      <c r="V131" s="46"/>
      <c r="W131" s="46"/>
      <c r="X131" s="46"/>
    </row>
    <row r="132" spans="1:24" s="41" customFormat="1">
      <c r="A132" s="42">
        <v>46211</v>
      </c>
      <c r="B132" s="43" t="s">
        <v>961</v>
      </c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4">
        <f t="shared" si="2"/>
        <v>0</v>
      </c>
      <c r="N132" s="47"/>
      <c r="O132" s="46"/>
      <c r="P132" s="46"/>
      <c r="Q132" s="46"/>
      <c r="R132" s="46"/>
      <c r="S132" s="46"/>
      <c r="T132" s="46"/>
      <c r="U132" s="46"/>
      <c r="V132" s="46"/>
      <c r="W132" s="46"/>
      <c r="X132" s="46"/>
    </row>
    <row r="133" spans="1:24" s="41" customFormat="1">
      <c r="A133" s="42">
        <v>46212</v>
      </c>
      <c r="B133" s="43" t="s">
        <v>961</v>
      </c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4">
        <f t="shared" si="2"/>
        <v>0</v>
      </c>
      <c r="N133" s="47"/>
      <c r="O133" s="46"/>
      <c r="P133" s="46"/>
      <c r="Q133" s="46"/>
      <c r="R133" s="46"/>
      <c r="S133" s="46"/>
      <c r="T133" s="46"/>
      <c r="U133" s="46"/>
      <c r="V133" s="46"/>
      <c r="W133" s="46"/>
      <c r="X133" s="46"/>
    </row>
    <row r="134" spans="1:24" s="41" customFormat="1">
      <c r="A134" s="42">
        <v>46213</v>
      </c>
      <c r="B134" s="43" t="s">
        <v>961</v>
      </c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4">
        <f t="shared" si="2"/>
        <v>0</v>
      </c>
      <c r="N134" s="47"/>
      <c r="O134" s="46"/>
      <c r="P134" s="46"/>
      <c r="Q134" s="46"/>
      <c r="R134" s="46"/>
      <c r="S134" s="46"/>
      <c r="T134" s="46"/>
      <c r="U134" s="46"/>
      <c r="V134" s="46"/>
      <c r="W134" s="46"/>
      <c r="X134" s="46"/>
    </row>
    <row r="135" spans="1:24" s="41" customFormat="1">
      <c r="A135" s="42">
        <v>46214</v>
      </c>
      <c r="B135" s="43" t="s">
        <v>961</v>
      </c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4">
        <f t="shared" si="2"/>
        <v>0</v>
      </c>
      <c r="N135" s="47"/>
      <c r="O135" s="46"/>
      <c r="P135" s="46"/>
      <c r="Q135" s="46"/>
      <c r="R135" s="46"/>
      <c r="S135" s="46"/>
      <c r="T135" s="46"/>
      <c r="U135" s="46"/>
      <c r="V135" s="46"/>
      <c r="W135" s="46"/>
      <c r="X135" s="46"/>
    </row>
    <row r="136" spans="1:24" s="41" customFormat="1">
      <c r="A136" s="42">
        <v>46215</v>
      </c>
      <c r="B136" s="43" t="s">
        <v>961</v>
      </c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4">
        <f t="shared" si="2"/>
        <v>0</v>
      </c>
      <c r="N136" s="47"/>
      <c r="O136" s="46"/>
      <c r="P136" s="46"/>
      <c r="Q136" s="46"/>
      <c r="R136" s="46"/>
      <c r="S136" s="46"/>
      <c r="T136" s="46"/>
      <c r="U136" s="46"/>
      <c r="V136" s="46"/>
      <c r="W136" s="46"/>
      <c r="X136" s="46"/>
    </row>
    <row r="137" spans="1:24" s="41" customFormat="1">
      <c r="A137" s="42">
        <v>46216</v>
      </c>
      <c r="B137" s="43" t="s">
        <v>961</v>
      </c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4">
        <f t="shared" si="2"/>
        <v>0</v>
      </c>
      <c r="N137" s="47"/>
      <c r="O137" s="46"/>
      <c r="P137" s="46"/>
      <c r="Q137" s="46"/>
      <c r="R137" s="46"/>
      <c r="S137" s="46"/>
      <c r="T137" s="46"/>
      <c r="U137" s="46"/>
      <c r="V137" s="46"/>
      <c r="W137" s="46"/>
      <c r="X137" s="46"/>
    </row>
    <row r="138" spans="1:24" s="41" customFormat="1">
      <c r="A138" s="42">
        <v>46217</v>
      </c>
      <c r="B138" s="43" t="s">
        <v>961</v>
      </c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4">
        <f t="shared" si="2"/>
        <v>0</v>
      </c>
      <c r="N138" s="47"/>
      <c r="O138" s="46"/>
      <c r="P138" s="46"/>
      <c r="Q138" s="46"/>
      <c r="R138" s="46"/>
      <c r="S138" s="46"/>
      <c r="T138" s="46"/>
      <c r="U138" s="46"/>
      <c r="V138" s="46"/>
      <c r="W138" s="46"/>
      <c r="X138" s="46"/>
    </row>
    <row r="139" spans="1:24" s="41" customFormat="1">
      <c r="A139" s="42">
        <v>46218</v>
      </c>
      <c r="B139" s="43" t="s">
        <v>961</v>
      </c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4">
        <f t="shared" si="2"/>
        <v>0</v>
      </c>
      <c r="N139" s="47"/>
      <c r="O139" s="46"/>
      <c r="P139" s="46"/>
      <c r="Q139" s="46"/>
      <c r="R139" s="46"/>
      <c r="S139" s="46"/>
      <c r="T139" s="46"/>
      <c r="U139" s="46"/>
      <c r="V139" s="46"/>
      <c r="W139" s="46"/>
      <c r="X139" s="46"/>
    </row>
    <row r="140" spans="1:24" s="41" customFormat="1">
      <c r="A140" s="42">
        <v>46219</v>
      </c>
      <c r="B140" s="43" t="s">
        <v>961</v>
      </c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4">
        <f t="shared" si="2"/>
        <v>0</v>
      </c>
      <c r="N140" s="47"/>
      <c r="O140" s="46"/>
      <c r="P140" s="46"/>
      <c r="Q140" s="46"/>
      <c r="R140" s="46"/>
      <c r="S140" s="46"/>
      <c r="T140" s="46"/>
      <c r="U140" s="46"/>
      <c r="V140" s="46"/>
      <c r="W140" s="46"/>
      <c r="X140" s="46"/>
    </row>
    <row r="141" spans="1:24" s="41" customFormat="1">
      <c r="A141" s="42">
        <v>46220</v>
      </c>
      <c r="B141" s="43" t="s">
        <v>961</v>
      </c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4">
        <f t="shared" si="2"/>
        <v>0</v>
      </c>
      <c r="N141" s="47"/>
      <c r="O141" s="46"/>
      <c r="P141" s="46"/>
      <c r="Q141" s="46"/>
      <c r="R141" s="46"/>
      <c r="S141" s="46"/>
      <c r="T141" s="46"/>
      <c r="U141" s="46"/>
      <c r="V141" s="46"/>
      <c r="W141" s="46"/>
      <c r="X141" s="46"/>
    </row>
    <row r="142" spans="1:24" s="41" customFormat="1">
      <c r="A142" s="42">
        <v>46221</v>
      </c>
      <c r="B142" s="43" t="s">
        <v>961</v>
      </c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4">
        <f t="shared" si="2"/>
        <v>0</v>
      </c>
      <c r="N142" s="47"/>
      <c r="O142" s="46"/>
      <c r="P142" s="46"/>
      <c r="Q142" s="46"/>
      <c r="R142" s="46"/>
      <c r="S142" s="46"/>
      <c r="T142" s="46"/>
      <c r="U142" s="46"/>
      <c r="V142" s="46"/>
      <c r="W142" s="46"/>
      <c r="X142" s="46"/>
    </row>
    <row r="143" spans="1:24" s="41" customFormat="1">
      <c r="A143" s="42">
        <v>46222</v>
      </c>
      <c r="B143" s="43" t="s">
        <v>961</v>
      </c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4">
        <f t="shared" si="2"/>
        <v>0</v>
      </c>
      <c r="N143" s="47"/>
      <c r="O143" s="46"/>
      <c r="P143" s="46"/>
      <c r="Q143" s="46"/>
      <c r="R143" s="46"/>
      <c r="S143" s="46"/>
      <c r="T143" s="46"/>
      <c r="U143" s="46"/>
      <c r="V143" s="46"/>
      <c r="W143" s="46"/>
      <c r="X143" s="46"/>
    </row>
    <row r="144" spans="1:24" s="41" customFormat="1">
      <c r="A144" s="42">
        <v>46223</v>
      </c>
      <c r="B144" s="43" t="s">
        <v>961</v>
      </c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4">
        <f t="shared" si="2"/>
        <v>0</v>
      </c>
      <c r="N144" s="47"/>
      <c r="O144" s="46"/>
      <c r="P144" s="46"/>
      <c r="Q144" s="46"/>
      <c r="R144" s="46"/>
      <c r="S144" s="46"/>
      <c r="T144" s="46"/>
      <c r="U144" s="46"/>
      <c r="V144" s="46"/>
      <c r="W144" s="46"/>
      <c r="X144" s="46"/>
    </row>
    <row r="145" spans="1:24" s="41" customFormat="1">
      <c r="A145" s="42">
        <v>46224</v>
      </c>
      <c r="B145" s="43" t="s">
        <v>961</v>
      </c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4">
        <f t="shared" si="2"/>
        <v>0</v>
      </c>
      <c r="N145" s="47"/>
      <c r="O145" s="46"/>
      <c r="P145" s="46"/>
      <c r="Q145" s="46"/>
      <c r="R145" s="46"/>
      <c r="S145" s="46"/>
      <c r="T145" s="46"/>
      <c r="U145" s="46"/>
      <c r="V145" s="46"/>
      <c r="W145" s="46"/>
      <c r="X145" s="46"/>
    </row>
    <row r="146" spans="1:24" s="41" customFormat="1">
      <c r="A146" s="42">
        <v>46225</v>
      </c>
      <c r="B146" s="43" t="s">
        <v>961</v>
      </c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4">
        <f t="shared" si="2"/>
        <v>0</v>
      </c>
      <c r="N146" s="47"/>
      <c r="O146" s="46"/>
      <c r="P146" s="46"/>
      <c r="Q146" s="46"/>
      <c r="R146" s="46"/>
      <c r="S146" s="46"/>
      <c r="T146" s="46"/>
      <c r="U146" s="46"/>
      <c r="V146" s="46"/>
      <c r="W146" s="46"/>
      <c r="X146" s="46"/>
    </row>
    <row r="147" spans="1:24" s="41" customFormat="1">
      <c r="A147" s="42">
        <v>46226</v>
      </c>
      <c r="B147" s="43" t="s">
        <v>961</v>
      </c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4">
        <f t="shared" si="2"/>
        <v>0</v>
      </c>
      <c r="N147" s="47"/>
      <c r="O147" s="46"/>
      <c r="P147" s="46"/>
      <c r="Q147" s="46"/>
      <c r="R147" s="46"/>
      <c r="S147" s="46"/>
      <c r="T147" s="46"/>
      <c r="U147" s="46"/>
      <c r="V147" s="46"/>
      <c r="W147" s="46"/>
      <c r="X147" s="46"/>
    </row>
    <row r="148" spans="1:24" s="41" customFormat="1">
      <c r="A148" s="42">
        <v>46227</v>
      </c>
      <c r="B148" s="43" t="s">
        <v>961</v>
      </c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4">
        <f t="shared" si="2"/>
        <v>0</v>
      </c>
      <c r="N148" s="47"/>
      <c r="O148" s="46"/>
      <c r="P148" s="46"/>
      <c r="Q148" s="46"/>
      <c r="R148" s="46"/>
      <c r="S148" s="46"/>
      <c r="T148" s="46"/>
      <c r="U148" s="46"/>
      <c r="V148" s="46"/>
      <c r="W148" s="46"/>
      <c r="X148" s="46"/>
    </row>
    <row r="149" spans="1:24" s="41" customFormat="1">
      <c r="A149" s="42">
        <v>46228</v>
      </c>
      <c r="B149" s="43" t="s">
        <v>961</v>
      </c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4">
        <f t="shared" si="2"/>
        <v>0</v>
      </c>
      <c r="N149" s="47"/>
      <c r="O149" s="46"/>
      <c r="P149" s="46"/>
      <c r="Q149" s="46"/>
      <c r="R149" s="46"/>
      <c r="S149" s="46"/>
      <c r="T149" s="46"/>
      <c r="U149" s="46"/>
      <c r="V149" s="46"/>
      <c r="W149" s="46"/>
      <c r="X149" s="46"/>
    </row>
    <row r="150" spans="1:24" s="41" customFormat="1">
      <c r="A150" s="42">
        <v>46229</v>
      </c>
      <c r="B150" s="43" t="s">
        <v>961</v>
      </c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4">
        <f t="shared" si="2"/>
        <v>0</v>
      </c>
      <c r="N150" s="47"/>
      <c r="O150" s="46"/>
      <c r="P150" s="46"/>
      <c r="Q150" s="46"/>
      <c r="R150" s="46"/>
      <c r="S150" s="46"/>
      <c r="T150" s="46"/>
      <c r="U150" s="46"/>
      <c r="V150" s="46"/>
      <c r="W150" s="46"/>
      <c r="X150" s="46"/>
    </row>
    <row r="151" spans="1:24" s="41" customFormat="1">
      <c r="A151" s="42">
        <v>46230</v>
      </c>
      <c r="B151" s="43" t="s">
        <v>961</v>
      </c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4">
        <f t="shared" si="2"/>
        <v>0</v>
      </c>
      <c r="N151" s="47"/>
      <c r="O151" s="46"/>
      <c r="P151" s="46"/>
      <c r="Q151" s="46"/>
      <c r="R151" s="46"/>
      <c r="S151" s="46"/>
      <c r="T151" s="46"/>
      <c r="U151" s="46"/>
      <c r="V151" s="46"/>
      <c r="W151" s="46"/>
      <c r="X151" s="46"/>
    </row>
    <row r="152" spans="1:24" s="41" customFormat="1">
      <c r="A152" s="42">
        <v>46231</v>
      </c>
      <c r="B152" s="43" t="s">
        <v>961</v>
      </c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4">
        <f t="shared" si="2"/>
        <v>0</v>
      </c>
      <c r="N152" s="47"/>
      <c r="O152" s="46"/>
      <c r="P152" s="46"/>
      <c r="Q152" s="46"/>
      <c r="R152" s="46"/>
      <c r="S152" s="46"/>
      <c r="T152" s="46"/>
      <c r="U152" s="46"/>
      <c r="V152" s="46"/>
      <c r="W152" s="46"/>
      <c r="X152" s="46"/>
    </row>
    <row r="153" spans="1:24" s="41" customFormat="1">
      <c r="A153" s="42">
        <v>46232</v>
      </c>
      <c r="B153" s="43" t="s">
        <v>961</v>
      </c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4">
        <f t="shared" si="2"/>
        <v>0</v>
      </c>
      <c r="N153" s="47"/>
      <c r="O153" s="46"/>
      <c r="P153" s="46"/>
      <c r="Q153" s="46"/>
      <c r="R153" s="46"/>
      <c r="S153" s="46"/>
      <c r="T153" s="46"/>
      <c r="U153" s="46"/>
      <c r="V153" s="46"/>
      <c r="W153" s="46"/>
      <c r="X153" s="46"/>
    </row>
    <row r="154" spans="1:24" s="41" customFormat="1">
      <c r="A154" s="42">
        <v>46233</v>
      </c>
      <c r="B154" s="43" t="s">
        <v>961</v>
      </c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4">
        <f t="shared" si="2"/>
        <v>0</v>
      </c>
      <c r="N154" s="47"/>
      <c r="O154" s="46"/>
      <c r="P154" s="46"/>
      <c r="Q154" s="46"/>
      <c r="R154" s="46"/>
      <c r="S154" s="46"/>
      <c r="T154" s="46"/>
      <c r="U154" s="46"/>
      <c r="V154" s="46"/>
      <c r="W154" s="46"/>
      <c r="X154" s="46"/>
    </row>
    <row r="155" spans="1:24" s="41" customFormat="1">
      <c r="A155" s="42">
        <v>46234</v>
      </c>
      <c r="B155" s="43" t="s">
        <v>961</v>
      </c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4">
        <f t="shared" si="2"/>
        <v>0</v>
      </c>
      <c r="N155" s="47"/>
      <c r="O155" s="46"/>
      <c r="P155" s="46"/>
      <c r="Q155" s="46"/>
      <c r="R155" s="46"/>
      <c r="S155" s="46"/>
      <c r="T155" s="46"/>
      <c r="U155" s="46"/>
      <c r="V155" s="46"/>
      <c r="W155" s="46"/>
      <c r="X155" s="46"/>
    </row>
    <row r="156" spans="1:24" s="41" customFormat="1">
      <c r="A156" s="42">
        <v>46235</v>
      </c>
      <c r="B156" s="43" t="s">
        <v>961</v>
      </c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4">
        <f t="shared" si="2"/>
        <v>0</v>
      </c>
      <c r="N156" s="47"/>
      <c r="O156" s="46"/>
      <c r="P156" s="46"/>
      <c r="Q156" s="46"/>
      <c r="R156" s="46"/>
      <c r="S156" s="46"/>
      <c r="T156" s="46"/>
      <c r="U156" s="46"/>
      <c r="V156" s="46"/>
      <c r="W156" s="46"/>
      <c r="X156" s="46"/>
    </row>
    <row r="157" spans="1:24" s="41" customFormat="1">
      <c r="A157" s="42">
        <v>46236</v>
      </c>
      <c r="B157" s="43" t="s">
        <v>961</v>
      </c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4">
        <f t="shared" si="2"/>
        <v>0</v>
      </c>
      <c r="N157" s="47"/>
      <c r="O157" s="46"/>
      <c r="P157" s="46"/>
      <c r="Q157" s="46"/>
      <c r="R157" s="46"/>
      <c r="S157" s="46"/>
      <c r="T157" s="46"/>
      <c r="U157" s="46"/>
      <c r="V157" s="46"/>
      <c r="W157" s="46"/>
      <c r="X157" s="46"/>
    </row>
    <row r="158" spans="1:24" s="41" customFormat="1">
      <c r="A158" s="42">
        <v>46237</v>
      </c>
      <c r="B158" s="43" t="s">
        <v>961</v>
      </c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4">
        <f t="shared" si="2"/>
        <v>0</v>
      </c>
      <c r="N158" s="47"/>
      <c r="O158" s="46"/>
      <c r="P158" s="46"/>
      <c r="Q158" s="46"/>
      <c r="R158" s="46"/>
      <c r="S158" s="46"/>
      <c r="T158" s="46"/>
      <c r="U158" s="46"/>
      <c r="V158" s="46"/>
      <c r="W158" s="46"/>
      <c r="X158" s="46"/>
    </row>
    <row r="159" spans="1:24" s="41" customFormat="1">
      <c r="A159" s="42">
        <v>46238</v>
      </c>
      <c r="B159" s="43" t="s">
        <v>961</v>
      </c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4">
        <f t="shared" si="2"/>
        <v>0</v>
      </c>
      <c r="N159" s="47"/>
      <c r="O159" s="46"/>
      <c r="P159" s="46"/>
      <c r="Q159" s="46"/>
      <c r="R159" s="46"/>
      <c r="S159" s="46"/>
      <c r="T159" s="46"/>
      <c r="U159" s="46"/>
      <c r="V159" s="46"/>
      <c r="W159" s="46"/>
      <c r="X159" s="46"/>
    </row>
    <row r="160" spans="1:24" s="41" customFormat="1">
      <c r="A160" s="42">
        <v>46239</v>
      </c>
      <c r="B160" s="43" t="s">
        <v>961</v>
      </c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4">
        <f t="shared" si="2"/>
        <v>0</v>
      </c>
      <c r="N160" s="47"/>
      <c r="O160" s="46"/>
      <c r="P160" s="46"/>
      <c r="Q160" s="46"/>
      <c r="R160" s="46"/>
      <c r="S160" s="46"/>
      <c r="T160" s="46"/>
      <c r="U160" s="46"/>
      <c r="V160" s="46"/>
      <c r="W160" s="46"/>
      <c r="X160" s="46"/>
    </row>
    <row r="161" spans="1:24" s="41" customFormat="1">
      <c r="A161" s="42">
        <v>46240</v>
      </c>
      <c r="B161" s="43" t="s">
        <v>961</v>
      </c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4">
        <f t="shared" si="2"/>
        <v>0</v>
      </c>
      <c r="N161" s="47"/>
      <c r="O161" s="46"/>
      <c r="P161" s="46"/>
      <c r="Q161" s="46"/>
      <c r="R161" s="46"/>
      <c r="S161" s="46"/>
      <c r="T161" s="46"/>
      <c r="U161" s="46"/>
      <c r="V161" s="46"/>
      <c r="W161" s="46"/>
      <c r="X161" s="46"/>
    </row>
    <row r="162" spans="1:24" s="41" customFormat="1">
      <c r="A162" s="42">
        <v>46241</v>
      </c>
      <c r="B162" s="43" t="s">
        <v>961</v>
      </c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4">
        <f t="shared" si="2"/>
        <v>0</v>
      </c>
      <c r="N162" s="47"/>
      <c r="O162" s="46"/>
      <c r="P162" s="46"/>
      <c r="Q162" s="46"/>
      <c r="R162" s="46"/>
      <c r="S162" s="46"/>
      <c r="T162" s="46"/>
      <c r="U162" s="46"/>
      <c r="V162" s="46"/>
      <c r="W162" s="46"/>
      <c r="X162" s="46"/>
    </row>
    <row r="163" spans="1:24" s="41" customFormat="1">
      <c r="A163" s="42">
        <v>46242</v>
      </c>
      <c r="B163" s="43" t="s">
        <v>961</v>
      </c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4">
        <f t="shared" si="2"/>
        <v>0</v>
      </c>
      <c r="N163" s="47"/>
      <c r="O163" s="46"/>
      <c r="P163" s="46"/>
      <c r="Q163" s="46"/>
      <c r="R163" s="46"/>
      <c r="S163" s="46"/>
      <c r="T163" s="46"/>
      <c r="U163" s="46"/>
      <c r="V163" s="46"/>
      <c r="W163" s="46"/>
      <c r="X163" s="46"/>
    </row>
    <row r="164" spans="1:24" s="41" customFormat="1">
      <c r="A164" s="42">
        <v>46243</v>
      </c>
      <c r="B164" s="43" t="s">
        <v>961</v>
      </c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4">
        <f t="shared" si="2"/>
        <v>0</v>
      </c>
      <c r="N164" s="47"/>
      <c r="O164" s="46"/>
      <c r="P164" s="46"/>
      <c r="Q164" s="46"/>
      <c r="R164" s="46"/>
      <c r="S164" s="46"/>
      <c r="T164" s="46"/>
      <c r="U164" s="46"/>
      <c r="V164" s="46"/>
      <c r="W164" s="46"/>
      <c r="X164" s="46"/>
    </row>
    <row r="165" spans="1:24" s="41" customFormat="1">
      <c r="A165" s="42">
        <v>46244</v>
      </c>
      <c r="B165" s="43" t="s">
        <v>961</v>
      </c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4">
        <f t="shared" si="2"/>
        <v>0</v>
      </c>
      <c r="N165" s="47"/>
      <c r="O165" s="46"/>
      <c r="P165" s="46"/>
      <c r="Q165" s="46"/>
      <c r="R165" s="46"/>
      <c r="S165" s="46"/>
      <c r="T165" s="46"/>
      <c r="U165" s="46"/>
      <c r="V165" s="46"/>
      <c r="W165" s="46"/>
      <c r="X165" s="46"/>
    </row>
    <row r="166" spans="1:24" s="41" customFormat="1">
      <c r="A166" s="42">
        <v>46245</v>
      </c>
      <c r="B166" s="43" t="s">
        <v>961</v>
      </c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4">
        <f t="shared" si="2"/>
        <v>0</v>
      </c>
      <c r="N166" s="47"/>
      <c r="O166" s="46"/>
      <c r="P166" s="46"/>
      <c r="Q166" s="46"/>
      <c r="R166" s="46"/>
      <c r="S166" s="46"/>
      <c r="T166" s="46"/>
      <c r="U166" s="46"/>
      <c r="V166" s="46"/>
      <c r="W166" s="46"/>
      <c r="X166" s="46"/>
    </row>
    <row r="167" spans="1:24" s="41" customFormat="1">
      <c r="A167" s="42">
        <v>46246</v>
      </c>
      <c r="B167" s="43" t="s">
        <v>961</v>
      </c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4">
        <f t="shared" si="2"/>
        <v>0</v>
      </c>
      <c r="N167" s="47"/>
      <c r="O167" s="46"/>
      <c r="P167" s="46"/>
      <c r="Q167" s="46"/>
      <c r="R167" s="46"/>
      <c r="S167" s="46"/>
      <c r="T167" s="46"/>
      <c r="U167" s="46"/>
      <c r="V167" s="46"/>
      <c r="W167" s="46"/>
      <c r="X167" s="46"/>
    </row>
    <row r="168" spans="1:24" s="41" customFormat="1">
      <c r="A168" s="42">
        <v>46247</v>
      </c>
      <c r="B168" s="43" t="s">
        <v>961</v>
      </c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4">
        <f t="shared" si="2"/>
        <v>0</v>
      </c>
      <c r="N168" s="47"/>
      <c r="O168" s="46"/>
      <c r="P168" s="46"/>
      <c r="Q168" s="46"/>
      <c r="R168" s="46"/>
      <c r="S168" s="46"/>
      <c r="T168" s="46"/>
      <c r="U168" s="46"/>
      <c r="V168" s="46"/>
      <c r="W168" s="46"/>
      <c r="X168" s="46"/>
    </row>
    <row r="169" spans="1:24" s="41" customFormat="1">
      <c r="A169" s="42">
        <v>46248</v>
      </c>
      <c r="B169" s="43" t="s">
        <v>961</v>
      </c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4">
        <f t="shared" si="2"/>
        <v>0</v>
      </c>
      <c r="N169" s="47"/>
      <c r="O169" s="46"/>
      <c r="P169" s="46"/>
      <c r="Q169" s="46"/>
      <c r="R169" s="46"/>
      <c r="S169" s="46"/>
      <c r="T169" s="46"/>
      <c r="U169" s="46"/>
      <c r="V169" s="46"/>
      <c r="W169" s="46"/>
      <c r="X169" s="46"/>
    </row>
    <row r="170" spans="1:24" s="41" customFormat="1">
      <c r="A170" s="42">
        <v>46249</v>
      </c>
      <c r="B170" s="43" t="s">
        <v>961</v>
      </c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4">
        <f t="shared" si="2"/>
        <v>0</v>
      </c>
      <c r="N170" s="47"/>
      <c r="O170" s="46"/>
      <c r="P170" s="46"/>
      <c r="Q170" s="46"/>
      <c r="R170" s="46"/>
      <c r="S170" s="46"/>
      <c r="T170" s="46"/>
      <c r="U170" s="46"/>
      <c r="V170" s="46"/>
      <c r="W170" s="46"/>
      <c r="X170" s="46"/>
    </row>
    <row r="171" spans="1:24" s="41" customFormat="1">
      <c r="A171" s="42">
        <v>46250</v>
      </c>
      <c r="B171" s="43" t="s">
        <v>961</v>
      </c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4">
        <f t="shared" si="2"/>
        <v>0</v>
      </c>
      <c r="N171" s="47"/>
      <c r="O171" s="46"/>
      <c r="P171" s="46"/>
      <c r="Q171" s="46"/>
      <c r="R171" s="46"/>
      <c r="S171" s="46"/>
      <c r="T171" s="46"/>
      <c r="U171" s="46"/>
      <c r="V171" s="46"/>
      <c r="W171" s="46"/>
      <c r="X171" s="46"/>
    </row>
    <row r="172" spans="1:24" s="41" customFormat="1">
      <c r="A172" s="42">
        <v>46251</v>
      </c>
      <c r="B172" s="43" t="s">
        <v>961</v>
      </c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4">
        <f t="shared" si="2"/>
        <v>0</v>
      </c>
      <c r="N172" s="47"/>
      <c r="O172" s="46"/>
      <c r="P172" s="46"/>
      <c r="Q172" s="46"/>
      <c r="R172" s="46"/>
      <c r="S172" s="46"/>
      <c r="T172" s="46"/>
      <c r="U172" s="46"/>
      <c r="V172" s="46"/>
      <c r="W172" s="46"/>
      <c r="X172" s="46"/>
    </row>
    <row r="173" spans="1:24" s="41" customFormat="1">
      <c r="A173" s="42">
        <v>46252</v>
      </c>
      <c r="B173" s="43" t="s">
        <v>961</v>
      </c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4">
        <f t="shared" si="2"/>
        <v>0</v>
      </c>
      <c r="N173" s="47"/>
      <c r="O173" s="46"/>
      <c r="P173" s="46"/>
      <c r="Q173" s="46"/>
      <c r="R173" s="46"/>
      <c r="S173" s="46"/>
      <c r="T173" s="46"/>
      <c r="U173" s="46"/>
      <c r="V173" s="46"/>
      <c r="W173" s="46"/>
      <c r="X173" s="46"/>
    </row>
    <row r="174" spans="1:24" s="41" customFormat="1">
      <c r="A174" s="42">
        <v>46253</v>
      </c>
      <c r="B174" s="43" t="s">
        <v>961</v>
      </c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4">
        <f t="shared" si="2"/>
        <v>0</v>
      </c>
      <c r="N174" s="47"/>
      <c r="O174" s="46"/>
      <c r="P174" s="46"/>
      <c r="Q174" s="46"/>
      <c r="R174" s="46"/>
      <c r="S174" s="46"/>
      <c r="T174" s="46"/>
      <c r="U174" s="46"/>
      <c r="V174" s="46"/>
      <c r="W174" s="46"/>
      <c r="X174" s="46"/>
    </row>
    <row r="175" spans="1:24" s="41" customFormat="1">
      <c r="A175" s="42">
        <v>46254</v>
      </c>
      <c r="B175" s="43" t="s">
        <v>961</v>
      </c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4">
        <f t="shared" si="2"/>
        <v>0</v>
      </c>
      <c r="N175" s="47"/>
      <c r="O175" s="46"/>
      <c r="P175" s="46"/>
      <c r="Q175" s="46"/>
      <c r="R175" s="46"/>
      <c r="S175" s="46"/>
      <c r="T175" s="46"/>
      <c r="U175" s="46"/>
      <c r="V175" s="46"/>
      <c r="W175" s="46"/>
      <c r="X175" s="46"/>
    </row>
    <row r="176" spans="1:24" s="41" customFormat="1">
      <c r="A176" s="42">
        <v>46255</v>
      </c>
      <c r="B176" s="43" t="s">
        <v>961</v>
      </c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4">
        <f t="shared" si="2"/>
        <v>0</v>
      </c>
      <c r="N176" s="47"/>
      <c r="O176" s="46"/>
      <c r="P176" s="46"/>
      <c r="Q176" s="46"/>
      <c r="R176" s="46"/>
      <c r="S176" s="46"/>
      <c r="T176" s="46"/>
      <c r="U176" s="46"/>
      <c r="V176" s="46"/>
      <c r="W176" s="46"/>
      <c r="X176" s="46"/>
    </row>
    <row r="177" spans="1:24" s="41" customFormat="1">
      <c r="A177" s="42">
        <v>46256</v>
      </c>
      <c r="B177" s="43" t="s">
        <v>961</v>
      </c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4">
        <f t="shared" si="2"/>
        <v>0</v>
      </c>
      <c r="N177" s="47"/>
      <c r="O177" s="46"/>
      <c r="P177" s="46"/>
      <c r="Q177" s="46"/>
      <c r="R177" s="46"/>
      <c r="S177" s="46"/>
      <c r="T177" s="46"/>
      <c r="U177" s="46"/>
      <c r="V177" s="46"/>
      <c r="W177" s="46"/>
      <c r="X177" s="46"/>
    </row>
    <row r="178" spans="1:24" s="41" customFormat="1">
      <c r="A178" s="42">
        <v>46257</v>
      </c>
      <c r="B178" s="43" t="s">
        <v>961</v>
      </c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4">
        <f t="shared" si="2"/>
        <v>0</v>
      </c>
      <c r="N178" s="47"/>
      <c r="O178" s="46"/>
      <c r="P178" s="46"/>
      <c r="Q178" s="46"/>
      <c r="R178" s="46"/>
      <c r="S178" s="46"/>
      <c r="T178" s="46"/>
      <c r="U178" s="46"/>
      <c r="V178" s="46"/>
      <c r="W178" s="46"/>
      <c r="X178" s="46"/>
    </row>
    <row r="179" spans="1:24" s="41" customFormat="1">
      <c r="A179" s="42">
        <v>46258</v>
      </c>
      <c r="B179" s="43" t="s">
        <v>961</v>
      </c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4">
        <f t="shared" si="2"/>
        <v>0</v>
      </c>
      <c r="N179" s="47"/>
      <c r="O179" s="46"/>
      <c r="P179" s="46"/>
      <c r="Q179" s="46"/>
      <c r="R179" s="46"/>
      <c r="S179" s="46"/>
      <c r="T179" s="46"/>
      <c r="U179" s="46"/>
      <c r="V179" s="46"/>
      <c r="W179" s="46"/>
      <c r="X179" s="46"/>
    </row>
    <row r="180" spans="1:24" s="41" customFormat="1">
      <c r="A180" s="42">
        <v>46259</v>
      </c>
      <c r="B180" s="43" t="s">
        <v>961</v>
      </c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4">
        <f t="shared" si="2"/>
        <v>0</v>
      </c>
      <c r="N180" s="47"/>
      <c r="O180" s="46"/>
      <c r="P180" s="46"/>
      <c r="Q180" s="46"/>
      <c r="R180" s="46"/>
      <c r="S180" s="46"/>
      <c r="T180" s="46"/>
      <c r="U180" s="46"/>
      <c r="V180" s="46"/>
      <c r="W180" s="46"/>
      <c r="X180" s="46"/>
    </row>
    <row r="181" spans="1:24" s="41" customFormat="1">
      <c r="A181" s="42">
        <v>46260</v>
      </c>
      <c r="B181" s="43" t="s">
        <v>961</v>
      </c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4">
        <f t="shared" si="2"/>
        <v>0</v>
      </c>
      <c r="N181" s="47"/>
      <c r="O181" s="46"/>
      <c r="P181" s="46"/>
      <c r="Q181" s="46"/>
      <c r="R181" s="46"/>
      <c r="S181" s="46"/>
      <c r="T181" s="46"/>
      <c r="U181" s="46"/>
      <c r="V181" s="46"/>
      <c r="W181" s="46"/>
      <c r="X181" s="46"/>
    </row>
    <row r="182" spans="1:24" s="41" customFormat="1">
      <c r="A182" s="42">
        <v>46261</v>
      </c>
      <c r="B182" s="43" t="s">
        <v>961</v>
      </c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4">
        <f t="shared" si="2"/>
        <v>0</v>
      </c>
      <c r="N182" s="47"/>
      <c r="O182" s="46"/>
      <c r="P182" s="46"/>
      <c r="Q182" s="46"/>
      <c r="R182" s="46"/>
      <c r="S182" s="46"/>
      <c r="T182" s="46"/>
      <c r="U182" s="46"/>
      <c r="V182" s="46"/>
      <c r="W182" s="46"/>
      <c r="X182" s="46"/>
    </row>
    <row r="183" spans="1:24" s="41" customFormat="1">
      <c r="A183" s="42">
        <v>46262</v>
      </c>
      <c r="B183" s="43" t="s">
        <v>961</v>
      </c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4">
        <f t="shared" si="2"/>
        <v>0</v>
      </c>
      <c r="N183" s="47"/>
      <c r="O183" s="46"/>
      <c r="P183" s="46"/>
      <c r="Q183" s="46"/>
      <c r="R183" s="46"/>
      <c r="S183" s="46"/>
      <c r="T183" s="46"/>
      <c r="U183" s="46"/>
      <c r="V183" s="46"/>
      <c r="W183" s="46"/>
      <c r="X183" s="46"/>
    </row>
    <row r="184" spans="1:24" s="41" customFormat="1">
      <c r="A184" s="42">
        <v>46263</v>
      </c>
      <c r="B184" s="43" t="s">
        <v>961</v>
      </c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4">
        <f t="shared" si="2"/>
        <v>0</v>
      </c>
      <c r="N184" s="47"/>
      <c r="O184" s="46"/>
      <c r="P184" s="46"/>
      <c r="Q184" s="46"/>
      <c r="R184" s="46"/>
      <c r="S184" s="46"/>
      <c r="T184" s="46"/>
      <c r="U184" s="46"/>
      <c r="V184" s="46"/>
      <c r="W184" s="46"/>
      <c r="X184" s="46"/>
    </row>
    <row r="185" spans="1:24" s="41" customFormat="1">
      <c r="A185" s="42">
        <v>46264</v>
      </c>
      <c r="B185" s="43" t="s">
        <v>961</v>
      </c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4">
        <f t="shared" si="2"/>
        <v>0</v>
      </c>
      <c r="N185" s="47"/>
      <c r="O185" s="46"/>
      <c r="P185" s="46"/>
      <c r="Q185" s="46"/>
      <c r="R185" s="46"/>
      <c r="S185" s="46"/>
      <c r="T185" s="46"/>
      <c r="U185" s="46"/>
      <c r="V185" s="46"/>
      <c r="W185" s="46"/>
      <c r="X185" s="46"/>
    </row>
    <row r="186" spans="1:24" s="41" customFormat="1">
      <c r="A186" s="42">
        <v>46265</v>
      </c>
      <c r="B186" s="43" t="s">
        <v>961</v>
      </c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4">
        <f t="shared" si="2"/>
        <v>0</v>
      </c>
      <c r="N186" s="47"/>
      <c r="O186" s="46"/>
      <c r="P186" s="46"/>
      <c r="Q186" s="46"/>
      <c r="R186" s="46"/>
      <c r="S186" s="46"/>
      <c r="T186" s="46"/>
      <c r="U186" s="46"/>
      <c r="V186" s="46"/>
      <c r="W186" s="46"/>
      <c r="X186" s="46"/>
    </row>
    <row r="187" spans="1:24" s="41" customFormat="1">
      <c r="A187" s="42">
        <v>46266</v>
      </c>
      <c r="B187" s="43" t="s">
        <v>961</v>
      </c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4">
        <f t="shared" si="2"/>
        <v>0</v>
      </c>
      <c r="N187" s="47"/>
      <c r="O187" s="46"/>
      <c r="P187" s="46"/>
      <c r="Q187" s="46"/>
      <c r="R187" s="46"/>
      <c r="S187" s="46"/>
      <c r="T187" s="46"/>
      <c r="U187" s="46"/>
      <c r="V187" s="46"/>
      <c r="W187" s="46"/>
      <c r="X187" s="46"/>
    </row>
    <row r="188" spans="1:24" s="41" customFormat="1">
      <c r="A188" s="42">
        <v>46267</v>
      </c>
      <c r="B188" s="43" t="s">
        <v>961</v>
      </c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4">
        <f t="shared" si="2"/>
        <v>0</v>
      </c>
      <c r="N188" s="47"/>
      <c r="O188" s="46"/>
      <c r="P188" s="46"/>
      <c r="Q188" s="46"/>
      <c r="R188" s="46"/>
      <c r="S188" s="46"/>
      <c r="T188" s="46"/>
      <c r="U188" s="46"/>
      <c r="V188" s="46"/>
      <c r="W188" s="46"/>
      <c r="X188" s="46"/>
    </row>
    <row r="189" spans="1:24" s="41" customFormat="1">
      <c r="A189" s="42">
        <v>46268</v>
      </c>
      <c r="B189" s="43" t="s">
        <v>961</v>
      </c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4">
        <f t="shared" si="2"/>
        <v>0</v>
      </c>
      <c r="N189" s="47"/>
      <c r="O189" s="46"/>
      <c r="P189" s="46"/>
      <c r="Q189" s="46"/>
      <c r="R189" s="46"/>
      <c r="S189" s="46"/>
      <c r="T189" s="46"/>
      <c r="U189" s="46"/>
      <c r="V189" s="46"/>
      <c r="W189" s="46"/>
      <c r="X189" s="46"/>
    </row>
    <row r="190" spans="1:24" s="41" customFormat="1">
      <c r="A190" s="42">
        <v>46269</v>
      </c>
      <c r="B190" s="43" t="s">
        <v>961</v>
      </c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4">
        <f t="shared" si="2"/>
        <v>0</v>
      </c>
      <c r="N190" s="47"/>
      <c r="O190" s="46"/>
      <c r="P190" s="46"/>
      <c r="Q190" s="46"/>
      <c r="R190" s="46"/>
      <c r="S190" s="46"/>
      <c r="T190" s="46"/>
      <c r="U190" s="46"/>
      <c r="V190" s="46"/>
      <c r="W190" s="46"/>
      <c r="X190" s="46"/>
    </row>
    <row r="191" spans="1:24" s="41" customFormat="1">
      <c r="A191" s="42">
        <v>46270</v>
      </c>
      <c r="B191" s="43" t="s">
        <v>961</v>
      </c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4">
        <f t="shared" si="2"/>
        <v>0</v>
      </c>
      <c r="N191" s="47"/>
      <c r="O191" s="46"/>
      <c r="P191" s="46"/>
      <c r="Q191" s="46"/>
      <c r="R191" s="46"/>
      <c r="S191" s="46"/>
      <c r="T191" s="46"/>
      <c r="U191" s="46"/>
      <c r="V191" s="46"/>
      <c r="W191" s="46"/>
      <c r="X191" s="46"/>
    </row>
    <row r="192" spans="1:24" s="41" customFormat="1">
      <c r="A192" s="42">
        <v>46271</v>
      </c>
      <c r="B192" s="43" t="s">
        <v>961</v>
      </c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4">
        <f t="shared" si="2"/>
        <v>0</v>
      </c>
      <c r="N192" s="47"/>
      <c r="O192" s="46"/>
      <c r="P192" s="46"/>
      <c r="Q192" s="46"/>
      <c r="R192" s="46"/>
      <c r="S192" s="46"/>
      <c r="T192" s="46"/>
      <c r="U192" s="46"/>
      <c r="V192" s="46"/>
      <c r="W192" s="46"/>
      <c r="X192" s="46"/>
    </row>
    <row r="193" spans="1:24" s="41" customFormat="1">
      <c r="A193" s="42">
        <v>46272</v>
      </c>
      <c r="B193" s="43" t="s">
        <v>961</v>
      </c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4">
        <f t="shared" si="2"/>
        <v>0</v>
      </c>
      <c r="N193" s="47"/>
      <c r="O193" s="46"/>
      <c r="P193" s="46"/>
      <c r="Q193" s="46"/>
      <c r="R193" s="46"/>
      <c r="S193" s="46"/>
      <c r="T193" s="46"/>
      <c r="U193" s="46"/>
      <c r="V193" s="46"/>
      <c r="W193" s="46"/>
      <c r="X193" s="46"/>
    </row>
    <row r="194" spans="1:24" s="41" customFormat="1">
      <c r="A194" s="42">
        <v>46273</v>
      </c>
      <c r="B194" s="43" t="s">
        <v>961</v>
      </c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4">
        <f t="shared" si="2"/>
        <v>0</v>
      </c>
      <c r="N194" s="47"/>
      <c r="O194" s="46"/>
      <c r="P194" s="46"/>
      <c r="Q194" s="46"/>
      <c r="R194" s="46"/>
      <c r="S194" s="46"/>
      <c r="T194" s="46"/>
      <c r="U194" s="46"/>
      <c r="V194" s="46"/>
      <c r="W194" s="46"/>
      <c r="X194" s="46"/>
    </row>
    <row r="195" spans="1:24" s="41" customFormat="1">
      <c r="A195" s="42">
        <v>46274</v>
      </c>
      <c r="B195" s="43" t="s">
        <v>961</v>
      </c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4">
        <f t="shared" ref="M195:M258" si="3">N195-SUM(C195:L195)</f>
        <v>0</v>
      </c>
      <c r="N195" s="47"/>
      <c r="O195" s="46"/>
      <c r="P195" s="46"/>
      <c r="Q195" s="46"/>
      <c r="R195" s="46"/>
      <c r="S195" s="46"/>
      <c r="T195" s="46"/>
      <c r="U195" s="46"/>
      <c r="V195" s="46"/>
      <c r="W195" s="46"/>
      <c r="X195" s="46"/>
    </row>
    <row r="196" spans="1:24" s="41" customFormat="1">
      <c r="A196" s="42">
        <v>46275</v>
      </c>
      <c r="B196" s="43" t="s">
        <v>961</v>
      </c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4">
        <f t="shared" si="3"/>
        <v>0</v>
      </c>
      <c r="N196" s="47"/>
      <c r="O196" s="48"/>
      <c r="P196" s="48"/>
      <c r="Q196" s="48"/>
      <c r="R196" s="48"/>
      <c r="S196" s="48"/>
      <c r="T196" s="48"/>
      <c r="U196" s="48"/>
      <c r="V196" s="48"/>
      <c r="W196" s="48"/>
      <c r="X196" s="48"/>
    </row>
    <row r="197" spans="1:24" s="41" customFormat="1">
      <c r="A197" s="42">
        <v>46276</v>
      </c>
      <c r="B197" s="43" t="s">
        <v>961</v>
      </c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4">
        <f t="shared" si="3"/>
        <v>0</v>
      </c>
      <c r="N197" s="47"/>
      <c r="O197" s="48"/>
      <c r="P197" s="48"/>
      <c r="Q197" s="48"/>
      <c r="R197" s="48"/>
      <c r="S197" s="48"/>
      <c r="T197" s="48"/>
      <c r="U197" s="48"/>
      <c r="V197" s="48"/>
      <c r="W197" s="48"/>
      <c r="X197" s="48"/>
    </row>
    <row r="198" spans="1:24" s="41" customFormat="1">
      <c r="A198" s="42">
        <v>46277</v>
      </c>
      <c r="B198" s="43" t="s">
        <v>961</v>
      </c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4">
        <f t="shared" si="3"/>
        <v>0</v>
      </c>
      <c r="N198" s="47"/>
      <c r="O198" s="48"/>
      <c r="P198" s="48"/>
      <c r="Q198" s="48"/>
      <c r="R198" s="48"/>
      <c r="S198" s="48"/>
      <c r="T198" s="48"/>
      <c r="U198" s="48"/>
      <c r="V198" s="48"/>
      <c r="W198" s="48"/>
      <c r="X198" s="48"/>
    </row>
    <row r="199" spans="1:24" s="41" customFormat="1">
      <c r="A199" s="42">
        <v>46278</v>
      </c>
      <c r="B199" s="43" t="s">
        <v>961</v>
      </c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4">
        <f t="shared" si="3"/>
        <v>0</v>
      </c>
      <c r="N199" s="47"/>
      <c r="O199" s="48"/>
      <c r="P199" s="48"/>
      <c r="Q199" s="48"/>
      <c r="R199" s="48"/>
      <c r="S199" s="48"/>
      <c r="T199" s="48"/>
      <c r="U199" s="48"/>
      <c r="V199" s="48"/>
      <c r="W199" s="48"/>
      <c r="X199" s="48"/>
    </row>
    <row r="200" spans="1:24" s="41" customFormat="1">
      <c r="A200" s="42">
        <v>46279</v>
      </c>
      <c r="B200" s="43" t="s">
        <v>961</v>
      </c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4">
        <f t="shared" si="3"/>
        <v>0</v>
      </c>
      <c r="N200" s="47"/>
      <c r="O200" s="48"/>
      <c r="P200" s="48"/>
      <c r="Q200" s="48"/>
      <c r="R200" s="48"/>
      <c r="S200" s="48"/>
      <c r="T200" s="48"/>
      <c r="U200" s="48"/>
      <c r="V200" s="48"/>
      <c r="W200" s="48"/>
      <c r="X200" s="48"/>
    </row>
    <row r="201" spans="1:24" s="41" customFormat="1">
      <c r="A201" s="42">
        <v>46280</v>
      </c>
      <c r="B201" s="43" t="s">
        <v>961</v>
      </c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4">
        <f t="shared" si="3"/>
        <v>0</v>
      </c>
      <c r="N201" s="47"/>
      <c r="O201" s="48"/>
      <c r="P201" s="48"/>
      <c r="Q201" s="48"/>
      <c r="R201" s="48"/>
      <c r="S201" s="48"/>
      <c r="T201" s="48"/>
      <c r="U201" s="48"/>
      <c r="V201" s="48"/>
      <c r="W201" s="48"/>
      <c r="X201" s="48"/>
    </row>
    <row r="202" spans="1:24" s="41" customFormat="1">
      <c r="A202" s="42">
        <v>46281</v>
      </c>
      <c r="B202" s="43" t="s">
        <v>961</v>
      </c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4">
        <f t="shared" si="3"/>
        <v>0</v>
      </c>
      <c r="N202" s="47"/>
      <c r="O202" s="48"/>
      <c r="P202" s="48"/>
      <c r="Q202" s="48"/>
      <c r="R202" s="48"/>
      <c r="S202" s="48"/>
      <c r="T202" s="48"/>
      <c r="U202" s="48"/>
      <c r="V202" s="48"/>
      <c r="W202" s="48"/>
      <c r="X202" s="48"/>
    </row>
    <row r="203" spans="1:24" s="41" customFormat="1">
      <c r="A203" s="42">
        <v>46282</v>
      </c>
      <c r="B203" s="43" t="s">
        <v>961</v>
      </c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4">
        <f t="shared" si="3"/>
        <v>0</v>
      </c>
      <c r="N203" s="47"/>
      <c r="O203" s="48"/>
      <c r="P203" s="48"/>
      <c r="Q203" s="48"/>
      <c r="R203" s="48"/>
      <c r="S203" s="48"/>
      <c r="T203" s="48"/>
      <c r="U203" s="48"/>
      <c r="V203" s="48"/>
      <c r="W203" s="48"/>
      <c r="X203" s="48"/>
    </row>
    <row r="204" spans="1:24" s="41" customFormat="1">
      <c r="A204" s="42">
        <v>46283</v>
      </c>
      <c r="B204" s="43" t="s">
        <v>961</v>
      </c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4">
        <f t="shared" si="3"/>
        <v>0</v>
      </c>
      <c r="N204" s="47"/>
      <c r="O204" s="48"/>
      <c r="P204" s="48"/>
      <c r="Q204" s="48"/>
      <c r="R204" s="48"/>
      <c r="S204" s="48"/>
      <c r="T204" s="48"/>
      <c r="U204" s="48"/>
      <c r="V204" s="48"/>
      <c r="W204" s="48"/>
      <c r="X204" s="48"/>
    </row>
    <row r="205" spans="1:24" s="41" customFormat="1">
      <c r="A205" s="42">
        <v>46284</v>
      </c>
      <c r="B205" s="43" t="s">
        <v>961</v>
      </c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4">
        <f t="shared" si="3"/>
        <v>0</v>
      </c>
      <c r="N205" s="47"/>
      <c r="O205" s="48"/>
      <c r="P205" s="48"/>
      <c r="Q205" s="48"/>
      <c r="R205" s="48"/>
      <c r="S205" s="48"/>
      <c r="T205" s="48"/>
      <c r="U205" s="48"/>
      <c r="V205" s="48"/>
      <c r="W205" s="48"/>
      <c r="X205" s="48"/>
    </row>
    <row r="206" spans="1:24" s="41" customFormat="1">
      <c r="A206" s="42">
        <v>46285</v>
      </c>
      <c r="B206" s="43" t="s">
        <v>961</v>
      </c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4">
        <f t="shared" si="3"/>
        <v>0</v>
      </c>
      <c r="N206" s="47"/>
      <c r="O206" s="48"/>
      <c r="P206" s="48"/>
      <c r="Q206" s="48"/>
      <c r="R206" s="48"/>
      <c r="S206" s="48"/>
      <c r="T206" s="48"/>
      <c r="U206" s="48"/>
      <c r="V206" s="48"/>
      <c r="W206" s="48"/>
      <c r="X206" s="48"/>
    </row>
    <row r="207" spans="1:24" s="41" customFormat="1">
      <c r="A207" s="42">
        <v>46286</v>
      </c>
      <c r="B207" s="43" t="s">
        <v>961</v>
      </c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4">
        <f t="shared" si="3"/>
        <v>0</v>
      </c>
      <c r="N207" s="47"/>
      <c r="O207" s="48"/>
      <c r="P207" s="48"/>
      <c r="Q207" s="48"/>
      <c r="R207" s="48"/>
      <c r="S207" s="48"/>
      <c r="T207" s="48"/>
      <c r="U207" s="48"/>
      <c r="V207" s="48"/>
      <c r="W207" s="48"/>
      <c r="X207" s="48"/>
    </row>
    <row r="208" spans="1:24" s="41" customFormat="1">
      <c r="A208" s="42">
        <v>46287</v>
      </c>
      <c r="B208" s="43" t="s">
        <v>961</v>
      </c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4">
        <f t="shared" si="3"/>
        <v>0</v>
      </c>
      <c r="N208" s="47"/>
      <c r="O208" s="48"/>
      <c r="P208" s="48"/>
      <c r="Q208" s="48"/>
      <c r="R208" s="48"/>
      <c r="S208" s="48"/>
      <c r="T208" s="48"/>
      <c r="U208" s="48"/>
      <c r="V208" s="48"/>
      <c r="W208" s="48"/>
      <c r="X208" s="48"/>
    </row>
    <row r="209" spans="1:24" s="41" customFormat="1">
      <c r="A209" s="42">
        <v>46288</v>
      </c>
      <c r="B209" s="43" t="s">
        <v>961</v>
      </c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4">
        <f t="shared" si="3"/>
        <v>0</v>
      </c>
      <c r="N209" s="47"/>
      <c r="O209" s="48"/>
      <c r="P209" s="48"/>
      <c r="Q209" s="48"/>
      <c r="R209" s="48"/>
      <c r="S209" s="48"/>
      <c r="T209" s="48"/>
      <c r="U209" s="48"/>
      <c r="V209" s="48"/>
      <c r="W209" s="48"/>
      <c r="X209" s="48"/>
    </row>
    <row r="210" spans="1:24" s="41" customFormat="1">
      <c r="A210" s="42">
        <v>46289</v>
      </c>
      <c r="B210" s="43" t="s">
        <v>961</v>
      </c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4">
        <f t="shared" si="3"/>
        <v>0</v>
      </c>
      <c r="N210" s="47"/>
      <c r="O210" s="48"/>
      <c r="P210" s="48"/>
      <c r="Q210" s="48"/>
      <c r="R210" s="48"/>
      <c r="S210" s="48"/>
      <c r="T210" s="48"/>
      <c r="U210" s="48"/>
      <c r="V210" s="48"/>
      <c r="W210" s="48"/>
      <c r="X210" s="48"/>
    </row>
    <row r="211" spans="1:24" s="41" customFormat="1">
      <c r="A211" s="42">
        <v>46290</v>
      </c>
      <c r="B211" s="43" t="s">
        <v>961</v>
      </c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4">
        <f t="shared" si="3"/>
        <v>0</v>
      </c>
      <c r="N211" s="47"/>
      <c r="O211" s="48"/>
      <c r="P211" s="48"/>
      <c r="Q211" s="48"/>
      <c r="R211" s="48"/>
      <c r="S211" s="48"/>
      <c r="T211" s="48"/>
      <c r="U211" s="48"/>
      <c r="V211" s="48"/>
      <c r="W211" s="48"/>
      <c r="X211" s="48"/>
    </row>
    <row r="212" spans="1:24" s="41" customFormat="1">
      <c r="A212" s="42">
        <v>46291</v>
      </c>
      <c r="B212" s="43" t="s">
        <v>961</v>
      </c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4">
        <f t="shared" si="3"/>
        <v>0</v>
      </c>
      <c r="N212" s="47"/>
      <c r="O212" s="48"/>
      <c r="P212" s="48"/>
      <c r="Q212" s="48"/>
      <c r="R212" s="48"/>
      <c r="S212" s="48"/>
      <c r="T212" s="48"/>
      <c r="U212" s="48"/>
      <c r="V212" s="48"/>
      <c r="W212" s="48"/>
      <c r="X212" s="48"/>
    </row>
    <row r="213" spans="1:24" s="41" customFormat="1">
      <c r="A213" s="42">
        <v>46292</v>
      </c>
      <c r="B213" s="43" t="s">
        <v>961</v>
      </c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4">
        <f t="shared" si="3"/>
        <v>0</v>
      </c>
      <c r="N213" s="47"/>
      <c r="O213" s="48"/>
      <c r="P213" s="48"/>
      <c r="Q213" s="48"/>
      <c r="R213" s="48"/>
      <c r="S213" s="48"/>
      <c r="T213" s="48"/>
      <c r="U213" s="48"/>
      <c r="V213" s="48"/>
      <c r="W213" s="48"/>
      <c r="X213" s="48"/>
    </row>
    <row r="214" spans="1:24" s="41" customFormat="1">
      <c r="A214" s="42">
        <v>46293</v>
      </c>
      <c r="B214" s="43" t="s">
        <v>961</v>
      </c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4">
        <f t="shared" si="3"/>
        <v>0</v>
      </c>
      <c r="N214" s="47"/>
      <c r="O214" s="48"/>
      <c r="P214" s="48"/>
      <c r="Q214" s="48"/>
      <c r="R214" s="48"/>
      <c r="S214" s="48"/>
      <c r="T214" s="48"/>
      <c r="U214" s="48"/>
      <c r="V214" s="48"/>
      <c r="W214" s="48"/>
      <c r="X214" s="48"/>
    </row>
    <row r="215" spans="1:24" s="41" customFormat="1">
      <c r="A215" s="42">
        <v>46294</v>
      </c>
      <c r="B215" s="43" t="s">
        <v>961</v>
      </c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4">
        <f t="shared" si="3"/>
        <v>0</v>
      </c>
      <c r="N215" s="47"/>
      <c r="O215" s="48"/>
      <c r="P215" s="48"/>
      <c r="Q215" s="48"/>
      <c r="R215" s="48"/>
      <c r="S215" s="48"/>
      <c r="T215" s="48"/>
      <c r="U215" s="48"/>
      <c r="V215" s="48"/>
      <c r="W215" s="48"/>
      <c r="X215" s="48"/>
    </row>
    <row r="216" spans="1:24" s="41" customFormat="1">
      <c r="A216" s="42">
        <v>46295</v>
      </c>
      <c r="B216" s="43" t="s">
        <v>961</v>
      </c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4">
        <f t="shared" si="3"/>
        <v>0</v>
      </c>
      <c r="N216" s="47"/>
      <c r="O216" s="48"/>
      <c r="P216" s="48"/>
      <c r="Q216" s="48"/>
      <c r="R216" s="48"/>
      <c r="S216" s="48"/>
      <c r="T216" s="48"/>
      <c r="U216" s="48"/>
      <c r="V216" s="48"/>
      <c r="W216" s="48"/>
      <c r="X216" s="48"/>
    </row>
    <row r="217" spans="1:24" s="41" customFormat="1">
      <c r="A217" s="42">
        <v>46296</v>
      </c>
      <c r="B217" s="43" t="s">
        <v>961</v>
      </c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4">
        <f t="shared" si="3"/>
        <v>0</v>
      </c>
      <c r="N217" s="47"/>
      <c r="O217" s="48"/>
      <c r="P217" s="48"/>
      <c r="Q217" s="48"/>
      <c r="R217" s="48"/>
      <c r="S217" s="48"/>
      <c r="T217" s="48"/>
      <c r="U217" s="48"/>
      <c r="V217" s="48"/>
      <c r="W217" s="48"/>
      <c r="X217" s="48"/>
    </row>
    <row r="218" spans="1:24" s="41" customFormat="1">
      <c r="A218" s="42">
        <v>46297</v>
      </c>
      <c r="B218" s="43" t="s">
        <v>961</v>
      </c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4">
        <f t="shared" si="3"/>
        <v>0</v>
      </c>
      <c r="N218" s="47"/>
      <c r="O218" s="48"/>
      <c r="P218" s="48"/>
      <c r="Q218" s="48"/>
      <c r="R218" s="48"/>
      <c r="S218" s="48"/>
      <c r="T218" s="48"/>
      <c r="U218" s="48"/>
      <c r="V218" s="48"/>
      <c r="W218" s="48"/>
      <c r="X218" s="48"/>
    </row>
    <row r="219" spans="1:24" s="41" customFormat="1">
      <c r="A219" s="42">
        <v>46298</v>
      </c>
      <c r="B219" s="43" t="s">
        <v>961</v>
      </c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4">
        <f t="shared" si="3"/>
        <v>0</v>
      </c>
      <c r="N219" s="47"/>
      <c r="O219" s="48"/>
      <c r="P219" s="48"/>
      <c r="Q219" s="48"/>
      <c r="R219" s="48"/>
      <c r="S219" s="48"/>
      <c r="T219" s="48"/>
      <c r="U219" s="48"/>
      <c r="V219" s="48"/>
      <c r="W219" s="48"/>
      <c r="X219" s="48"/>
    </row>
    <row r="220" spans="1:24" s="41" customFormat="1">
      <c r="A220" s="42">
        <v>46299</v>
      </c>
      <c r="B220" s="43" t="s">
        <v>961</v>
      </c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4">
        <f t="shared" si="3"/>
        <v>0</v>
      </c>
      <c r="N220" s="47"/>
      <c r="O220" s="48"/>
      <c r="P220" s="48"/>
      <c r="Q220" s="48"/>
      <c r="R220" s="48"/>
      <c r="S220" s="48"/>
      <c r="T220" s="48"/>
      <c r="U220" s="48"/>
      <c r="V220" s="48"/>
      <c r="W220" s="48"/>
      <c r="X220" s="48"/>
    </row>
    <row r="221" spans="1:24" s="41" customFormat="1">
      <c r="A221" s="42">
        <v>46300</v>
      </c>
      <c r="B221" s="43" t="s">
        <v>961</v>
      </c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4">
        <f t="shared" si="3"/>
        <v>0</v>
      </c>
      <c r="N221" s="47"/>
      <c r="O221" s="48"/>
      <c r="P221" s="48"/>
      <c r="Q221" s="48"/>
      <c r="R221" s="48"/>
      <c r="S221" s="48"/>
      <c r="T221" s="48"/>
      <c r="U221" s="48"/>
      <c r="V221" s="48"/>
      <c r="W221" s="48"/>
      <c r="X221" s="48"/>
    </row>
    <row r="222" spans="1:24" s="41" customFormat="1">
      <c r="A222" s="42">
        <v>46301</v>
      </c>
      <c r="B222" s="43" t="s">
        <v>961</v>
      </c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4">
        <f t="shared" si="3"/>
        <v>0</v>
      </c>
      <c r="N222" s="47"/>
      <c r="O222" s="48"/>
      <c r="P222" s="48"/>
      <c r="Q222" s="48"/>
      <c r="R222" s="48"/>
      <c r="S222" s="48"/>
      <c r="T222" s="48"/>
      <c r="U222" s="48"/>
      <c r="V222" s="48"/>
      <c r="W222" s="48"/>
      <c r="X222" s="48"/>
    </row>
    <row r="223" spans="1:24" s="41" customFormat="1">
      <c r="A223" s="42">
        <v>46302</v>
      </c>
      <c r="B223" s="43" t="s">
        <v>961</v>
      </c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4">
        <f t="shared" si="3"/>
        <v>0</v>
      </c>
      <c r="N223" s="47"/>
      <c r="O223" s="48"/>
      <c r="P223" s="48"/>
      <c r="Q223" s="48"/>
      <c r="R223" s="48"/>
      <c r="S223" s="48"/>
      <c r="T223" s="48"/>
      <c r="U223" s="48"/>
      <c r="V223" s="48"/>
      <c r="W223" s="48"/>
      <c r="X223" s="48"/>
    </row>
    <row r="224" spans="1:24" s="41" customFormat="1">
      <c r="A224" s="42">
        <v>46303</v>
      </c>
      <c r="B224" s="43" t="s">
        <v>961</v>
      </c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4">
        <f t="shared" si="3"/>
        <v>0</v>
      </c>
      <c r="N224" s="47"/>
      <c r="O224" s="48"/>
      <c r="P224" s="48"/>
      <c r="Q224" s="48"/>
      <c r="R224" s="48"/>
      <c r="S224" s="48"/>
      <c r="T224" s="48"/>
      <c r="U224" s="48"/>
      <c r="V224" s="48"/>
      <c r="W224" s="48"/>
      <c r="X224" s="48"/>
    </row>
    <row r="225" spans="1:24" s="41" customFormat="1">
      <c r="A225" s="42">
        <v>46304</v>
      </c>
      <c r="B225" s="43" t="s">
        <v>961</v>
      </c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4">
        <f t="shared" si="3"/>
        <v>0</v>
      </c>
      <c r="N225" s="47"/>
      <c r="O225" s="48"/>
      <c r="P225" s="48"/>
      <c r="Q225" s="48"/>
      <c r="R225" s="48"/>
      <c r="S225" s="48"/>
      <c r="T225" s="48"/>
      <c r="U225" s="48"/>
      <c r="V225" s="48"/>
      <c r="W225" s="48"/>
      <c r="X225" s="48"/>
    </row>
    <row r="226" spans="1:24" s="41" customFormat="1">
      <c r="A226" s="42">
        <v>46305</v>
      </c>
      <c r="B226" s="43" t="s">
        <v>961</v>
      </c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4">
        <f t="shared" si="3"/>
        <v>0</v>
      </c>
      <c r="N226" s="47"/>
      <c r="O226" s="48"/>
      <c r="P226" s="48"/>
      <c r="Q226" s="48"/>
      <c r="R226" s="48"/>
      <c r="S226" s="48"/>
      <c r="T226" s="48"/>
      <c r="U226" s="48"/>
      <c r="V226" s="48"/>
      <c r="W226" s="48"/>
      <c r="X226" s="48"/>
    </row>
    <row r="227" spans="1:24" s="41" customFormat="1">
      <c r="A227" s="42">
        <v>46306</v>
      </c>
      <c r="B227" s="43" t="s">
        <v>961</v>
      </c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4">
        <f t="shared" si="3"/>
        <v>0</v>
      </c>
      <c r="N227" s="47"/>
      <c r="O227" s="48"/>
      <c r="P227" s="48"/>
      <c r="Q227" s="48"/>
      <c r="R227" s="48"/>
      <c r="S227" s="48"/>
      <c r="T227" s="48"/>
      <c r="U227" s="48"/>
      <c r="V227" s="48"/>
      <c r="W227" s="48"/>
      <c r="X227" s="48"/>
    </row>
    <row r="228" spans="1:24" s="41" customFormat="1">
      <c r="A228" s="42">
        <v>46307</v>
      </c>
      <c r="B228" s="43" t="s">
        <v>961</v>
      </c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4">
        <f t="shared" si="3"/>
        <v>0</v>
      </c>
      <c r="N228" s="47"/>
      <c r="O228" s="48"/>
      <c r="P228" s="48"/>
      <c r="Q228" s="48"/>
      <c r="R228" s="48"/>
      <c r="S228" s="48"/>
      <c r="T228" s="48"/>
      <c r="U228" s="48"/>
      <c r="V228" s="48"/>
      <c r="W228" s="48"/>
      <c r="X228" s="48"/>
    </row>
    <row r="229" spans="1:24" s="41" customFormat="1">
      <c r="A229" s="42">
        <v>46308</v>
      </c>
      <c r="B229" s="43" t="s">
        <v>961</v>
      </c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4">
        <f t="shared" si="3"/>
        <v>0</v>
      </c>
      <c r="N229" s="47"/>
      <c r="O229" s="48"/>
      <c r="P229" s="48"/>
      <c r="Q229" s="48"/>
      <c r="R229" s="48"/>
      <c r="S229" s="48"/>
      <c r="T229" s="48"/>
      <c r="U229" s="48"/>
      <c r="V229" s="48"/>
      <c r="W229" s="48"/>
      <c r="X229" s="48"/>
    </row>
    <row r="230" spans="1:24" s="41" customFormat="1">
      <c r="A230" s="42">
        <v>46309</v>
      </c>
      <c r="B230" s="43" t="s">
        <v>961</v>
      </c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4">
        <f t="shared" si="3"/>
        <v>0</v>
      </c>
      <c r="N230" s="47"/>
      <c r="O230" s="48"/>
      <c r="P230" s="48"/>
      <c r="Q230" s="48"/>
      <c r="R230" s="48"/>
      <c r="S230" s="48"/>
      <c r="T230" s="48"/>
      <c r="U230" s="48"/>
      <c r="V230" s="48"/>
      <c r="W230" s="48"/>
      <c r="X230" s="48"/>
    </row>
    <row r="231" spans="1:24" s="41" customFormat="1">
      <c r="A231" s="42">
        <v>46310</v>
      </c>
      <c r="B231" s="43" t="s">
        <v>961</v>
      </c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4">
        <f t="shared" si="3"/>
        <v>0</v>
      </c>
      <c r="N231" s="47"/>
      <c r="O231" s="48"/>
      <c r="P231" s="48"/>
      <c r="Q231" s="48"/>
      <c r="R231" s="48"/>
      <c r="S231" s="48"/>
      <c r="T231" s="48"/>
      <c r="U231" s="48"/>
      <c r="V231" s="48"/>
      <c r="W231" s="48"/>
      <c r="X231" s="48"/>
    </row>
    <row r="232" spans="1:24" s="41" customFormat="1">
      <c r="A232" s="42">
        <v>46311</v>
      </c>
      <c r="B232" s="43" t="s">
        <v>961</v>
      </c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4">
        <f t="shared" si="3"/>
        <v>0</v>
      </c>
      <c r="N232" s="47"/>
      <c r="O232" s="48"/>
      <c r="P232" s="48"/>
      <c r="Q232" s="48"/>
      <c r="R232" s="48"/>
      <c r="S232" s="48"/>
      <c r="T232" s="48"/>
      <c r="U232" s="48"/>
      <c r="V232" s="48"/>
      <c r="W232" s="48"/>
      <c r="X232" s="48"/>
    </row>
    <row r="233" spans="1:24" s="41" customFormat="1">
      <c r="A233" s="42">
        <v>46312</v>
      </c>
      <c r="B233" s="43" t="s">
        <v>961</v>
      </c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4">
        <f t="shared" si="3"/>
        <v>0</v>
      </c>
      <c r="N233" s="47"/>
      <c r="O233" s="48"/>
      <c r="P233" s="48"/>
      <c r="Q233" s="48"/>
      <c r="R233" s="48"/>
      <c r="S233" s="48"/>
      <c r="T233" s="48"/>
      <c r="U233" s="48"/>
      <c r="V233" s="48"/>
      <c r="W233" s="48"/>
      <c r="X233" s="48"/>
    </row>
    <row r="234" spans="1:24" s="41" customFormat="1">
      <c r="A234" s="42">
        <v>46313</v>
      </c>
      <c r="B234" s="43" t="s">
        <v>961</v>
      </c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4">
        <f t="shared" si="3"/>
        <v>0</v>
      </c>
      <c r="N234" s="47"/>
      <c r="O234" s="48"/>
      <c r="P234" s="48"/>
      <c r="Q234" s="48"/>
      <c r="R234" s="48"/>
      <c r="S234" s="48"/>
      <c r="T234" s="48"/>
      <c r="U234" s="48"/>
      <c r="V234" s="48"/>
      <c r="W234" s="48"/>
      <c r="X234" s="48"/>
    </row>
    <row r="235" spans="1:24" s="41" customFormat="1">
      <c r="A235" s="42">
        <v>46314</v>
      </c>
      <c r="B235" s="43" t="s">
        <v>961</v>
      </c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4">
        <f t="shared" si="3"/>
        <v>0</v>
      </c>
      <c r="N235" s="47"/>
      <c r="O235" s="48"/>
      <c r="P235" s="48"/>
      <c r="Q235" s="48"/>
      <c r="R235" s="48"/>
      <c r="S235" s="48"/>
      <c r="T235" s="48"/>
      <c r="U235" s="48"/>
      <c r="V235" s="48"/>
      <c r="W235" s="48"/>
      <c r="X235" s="48"/>
    </row>
    <row r="236" spans="1:24" s="41" customFormat="1">
      <c r="A236" s="42">
        <v>46315</v>
      </c>
      <c r="B236" s="43" t="s">
        <v>961</v>
      </c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4">
        <f t="shared" si="3"/>
        <v>0</v>
      </c>
      <c r="N236" s="47"/>
      <c r="O236" s="48"/>
      <c r="P236" s="48"/>
      <c r="Q236" s="48"/>
      <c r="R236" s="48"/>
      <c r="S236" s="48"/>
      <c r="T236" s="48"/>
      <c r="U236" s="48"/>
      <c r="V236" s="48"/>
      <c r="W236" s="48"/>
      <c r="X236" s="48"/>
    </row>
    <row r="237" spans="1:24" s="41" customFormat="1">
      <c r="A237" s="42">
        <v>46316</v>
      </c>
      <c r="B237" s="43" t="s">
        <v>961</v>
      </c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4">
        <f t="shared" si="3"/>
        <v>0</v>
      </c>
      <c r="N237" s="47"/>
      <c r="O237" s="48"/>
      <c r="P237" s="48"/>
      <c r="Q237" s="48"/>
      <c r="R237" s="48"/>
      <c r="S237" s="48"/>
      <c r="T237" s="48"/>
      <c r="U237" s="48"/>
      <c r="V237" s="48"/>
      <c r="W237" s="48"/>
      <c r="X237" s="48"/>
    </row>
    <row r="238" spans="1:24" s="41" customFormat="1">
      <c r="A238" s="42">
        <v>46317</v>
      </c>
      <c r="B238" s="43" t="s">
        <v>961</v>
      </c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4">
        <f t="shared" si="3"/>
        <v>0</v>
      </c>
      <c r="N238" s="47"/>
      <c r="O238" s="48"/>
      <c r="P238" s="48"/>
      <c r="Q238" s="48"/>
      <c r="R238" s="48"/>
      <c r="S238" s="48"/>
      <c r="T238" s="48"/>
      <c r="U238" s="48"/>
      <c r="V238" s="48"/>
      <c r="W238" s="48"/>
      <c r="X238" s="48"/>
    </row>
    <row r="239" spans="1:24" s="41" customFormat="1">
      <c r="A239" s="42">
        <v>46318</v>
      </c>
      <c r="B239" s="43" t="s">
        <v>961</v>
      </c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4">
        <f t="shared" si="3"/>
        <v>0</v>
      </c>
      <c r="N239" s="47"/>
      <c r="O239" s="48"/>
      <c r="P239" s="48"/>
      <c r="Q239" s="48"/>
      <c r="R239" s="48"/>
      <c r="S239" s="48"/>
      <c r="T239" s="48"/>
      <c r="U239" s="48"/>
      <c r="V239" s="48"/>
      <c r="W239" s="48"/>
      <c r="X239" s="48"/>
    </row>
    <row r="240" spans="1:24" s="41" customFormat="1">
      <c r="A240" s="42">
        <v>46319</v>
      </c>
      <c r="B240" s="43" t="s">
        <v>961</v>
      </c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4">
        <f t="shared" si="3"/>
        <v>0</v>
      </c>
      <c r="N240" s="47"/>
      <c r="O240" s="48"/>
      <c r="P240" s="48"/>
      <c r="Q240" s="48"/>
      <c r="R240" s="48"/>
      <c r="S240" s="48"/>
      <c r="T240" s="48"/>
      <c r="U240" s="48"/>
      <c r="V240" s="48"/>
      <c r="W240" s="48"/>
      <c r="X240" s="48"/>
    </row>
    <row r="241" spans="1:24" s="41" customFormat="1">
      <c r="A241" s="42">
        <v>46320</v>
      </c>
      <c r="B241" s="43" t="s">
        <v>961</v>
      </c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4">
        <f t="shared" si="3"/>
        <v>0</v>
      </c>
      <c r="N241" s="47"/>
      <c r="O241" s="48"/>
      <c r="P241" s="48"/>
      <c r="Q241" s="48"/>
      <c r="R241" s="48"/>
      <c r="S241" s="48"/>
      <c r="T241" s="48"/>
      <c r="U241" s="48"/>
      <c r="V241" s="48"/>
      <c r="W241" s="48"/>
      <c r="X241" s="48"/>
    </row>
    <row r="242" spans="1:24" s="41" customFormat="1">
      <c r="A242" s="42">
        <v>46321</v>
      </c>
      <c r="B242" s="43" t="s">
        <v>961</v>
      </c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4">
        <f t="shared" si="3"/>
        <v>0</v>
      </c>
      <c r="N242" s="47"/>
      <c r="O242" s="48"/>
      <c r="P242" s="48"/>
      <c r="Q242" s="48"/>
      <c r="R242" s="48"/>
      <c r="S242" s="48"/>
      <c r="T242" s="48"/>
      <c r="U242" s="48"/>
      <c r="V242" s="48"/>
      <c r="W242" s="48"/>
      <c r="X242" s="48"/>
    </row>
    <row r="243" spans="1:24" s="41" customFormat="1">
      <c r="A243" s="42">
        <v>46322</v>
      </c>
      <c r="B243" s="43" t="s">
        <v>961</v>
      </c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4">
        <f t="shared" si="3"/>
        <v>0</v>
      </c>
      <c r="N243" s="47"/>
      <c r="O243" s="48"/>
      <c r="P243" s="48"/>
      <c r="Q243" s="48"/>
      <c r="R243" s="48"/>
      <c r="S243" s="48"/>
      <c r="T243" s="48"/>
      <c r="U243" s="48"/>
      <c r="V243" s="48"/>
      <c r="W243" s="48"/>
      <c r="X243" s="48"/>
    </row>
    <row r="244" spans="1:24" s="41" customFormat="1">
      <c r="A244" s="42">
        <v>46323</v>
      </c>
      <c r="B244" s="43" t="s">
        <v>961</v>
      </c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4">
        <f t="shared" si="3"/>
        <v>0</v>
      </c>
      <c r="N244" s="47"/>
      <c r="O244" s="48"/>
      <c r="P244" s="48"/>
      <c r="Q244" s="48"/>
      <c r="R244" s="48"/>
      <c r="S244" s="48"/>
      <c r="T244" s="48"/>
      <c r="U244" s="48"/>
      <c r="V244" s="48"/>
      <c r="W244" s="48"/>
      <c r="X244" s="48"/>
    </row>
    <row r="245" spans="1:24" s="41" customFormat="1">
      <c r="A245" s="42">
        <v>46324</v>
      </c>
      <c r="B245" s="43" t="s">
        <v>961</v>
      </c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4">
        <f t="shared" si="3"/>
        <v>0</v>
      </c>
      <c r="N245" s="47"/>
      <c r="O245" s="48"/>
      <c r="P245" s="48"/>
      <c r="Q245" s="48"/>
      <c r="R245" s="48"/>
      <c r="S245" s="48"/>
      <c r="T245" s="48"/>
      <c r="U245" s="48"/>
      <c r="V245" s="48"/>
      <c r="W245" s="48"/>
      <c r="X245" s="48"/>
    </row>
    <row r="246" spans="1:24" s="41" customFormat="1">
      <c r="A246" s="42">
        <v>46325</v>
      </c>
      <c r="B246" s="43" t="s">
        <v>961</v>
      </c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4">
        <f t="shared" si="3"/>
        <v>0</v>
      </c>
      <c r="N246" s="47"/>
      <c r="O246" s="48"/>
      <c r="P246" s="48"/>
      <c r="Q246" s="48"/>
      <c r="R246" s="48"/>
      <c r="S246" s="48"/>
      <c r="T246" s="48"/>
      <c r="U246" s="48"/>
      <c r="V246" s="48"/>
      <c r="W246" s="48"/>
      <c r="X246" s="48"/>
    </row>
    <row r="247" spans="1:24" s="41" customFormat="1">
      <c r="A247" s="42">
        <v>46326</v>
      </c>
      <c r="B247" s="43" t="s">
        <v>961</v>
      </c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4">
        <f t="shared" si="3"/>
        <v>0</v>
      </c>
      <c r="N247" s="47"/>
      <c r="O247" s="48"/>
      <c r="P247" s="48"/>
      <c r="Q247" s="48"/>
      <c r="R247" s="48"/>
      <c r="S247" s="48"/>
      <c r="T247" s="48"/>
      <c r="U247" s="48"/>
      <c r="V247" s="48"/>
      <c r="W247" s="48"/>
      <c r="X247" s="48"/>
    </row>
    <row r="248" spans="1:24" s="41" customFormat="1">
      <c r="A248" s="42">
        <v>46327</v>
      </c>
      <c r="B248" s="43" t="s">
        <v>961</v>
      </c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4">
        <f t="shared" si="3"/>
        <v>0</v>
      </c>
      <c r="N248" s="47"/>
      <c r="O248" s="48"/>
      <c r="P248" s="48"/>
      <c r="Q248" s="48"/>
      <c r="R248" s="48"/>
      <c r="S248" s="48"/>
      <c r="T248" s="48"/>
      <c r="U248" s="48"/>
      <c r="V248" s="48"/>
      <c r="W248" s="48"/>
      <c r="X248" s="48"/>
    </row>
    <row r="249" spans="1:24" s="41" customFormat="1">
      <c r="A249" s="42">
        <v>46328</v>
      </c>
      <c r="B249" s="43" t="s">
        <v>961</v>
      </c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4">
        <f t="shared" si="3"/>
        <v>0</v>
      </c>
      <c r="N249" s="47"/>
      <c r="O249" s="48"/>
      <c r="P249" s="48"/>
      <c r="Q249" s="48"/>
      <c r="R249" s="48"/>
      <c r="S249" s="48"/>
      <c r="T249" s="48"/>
      <c r="U249" s="48"/>
      <c r="V249" s="48"/>
      <c r="W249" s="48"/>
      <c r="X249" s="48"/>
    </row>
    <row r="250" spans="1:24" s="41" customFormat="1">
      <c r="A250" s="42">
        <v>46329</v>
      </c>
      <c r="B250" s="43" t="s">
        <v>961</v>
      </c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4">
        <f t="shared" si="3"/>
        <v>0</v>
      </c>
      <c r="N250" s="47"/>
      <c r="O250" s="48"/>
      <c r="P250" s="48"/>
      <c r="Q250" s="48"/>
      <c r="R250" s="48"/>
      <c r="S250" s="48"/>
      <c r="T250" s="48"/>
      <c r="U250" s="48"/>
      <c r="V250" s="48"/>
      <c r="W250" s="48"/>
      <c r="X250" s="48"/>
    </row>
    <row r="251" spans="1:24" s="41" customFormat="1">
      <c r="A251" s="42">
        <v>46330</v>
      </c>
      <c r="B251" s="43" t="s">
        <v>961</v>
      </c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4">
        <f t="shared" si="3"/>
        <v>0</v>
      </c>
      <c r="N251" s="47"/>
      <c r="O251" s="48"/>
      <c r="P251" s="48"/>
      <c r="Q251" s="48"/>
      <c r="R251" s="48"/>
      <c r="S251" s="48"/>
      <c r="T251" s="48"/>
      <c r="U251" s="48"/>
      <c r="V251" s="48"/>
      <c r="W251" s="48"/>
      <c r="X251" s="48"/>
    </row>
    <row r="252" spans="1:24" s="41" customFormat="1">
      <c r="A252" s="42">
        <v>46331</v>
      </c>
      <c r="B252" s="43" t="s">
        <v>961</v>
      </c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4">
        <f t="shared" si="3"/>
        <v>0</v>
      </c>
      <c r="N252" s="47"/>
      <c r="O252" s="48"/>
      <c r="P252" s="48"/>
      <c r="Q252" s="48"/>
      <c r="R252" s="48"/>
      <c r="S252" s="48"/>
      <c r="T252" s="48"/>
      <c r="U252" s="48"/>
      <c r="V252" s="48"/>
      <c r="W252" s="48"/>
      <c r="X252" s="48"/>
    </row>
    <row r="253" spans="1:24" s="41" customFormat="1">
      <c r="A253" s="42">
        <v>46332</v>
      </c>
      <c r="B253" s="43" t="s">
        <v>961</v>
      </c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4">
        <f t="shared" si="3"/>
        <v>0</v>
      </c>
      <c r="N253" s="47"/>
      <c r="O253" s="48"/>
      <c r="P253" s="48"/>
      <c r="Q253" s="48"/>
      <c r="R253" s="48"/>
      <c r="S253" s="48"/>
      <c r="T253" s="48"/>
      <c r="U253" s="48"/>
      <c r="V253" s="48"/>
      <c r="W253" s="48"/>
      <c r="X253" s="48"/>
    </row>
    <row r="254" spans="1:24" s="41" customFormat="1">
      <c r="A254" s="42">
        <v>46333</v>
      </c>
      <c r="B254" s="43" t="s">
        <v>961</v>
      </c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4">
        <f t="shared" si="3"/>
        <v>0</v>
      </c>
      <c r="N254" s="47"/>
      <c r="O254" s="48"/>
      <c r="P254" s="48"/>
      <c r="Q254" s="48"/>
      <c r="R254" s="48"/>
      <c r="S254" s="48"/>
      <c r="T254" s="48"/>
      <c r="U254" s="48"/>
      <c r="V254" s="48"/>
      <c r="W254" s="48"/>
      <c r="X254" s="48"/>
    </row>
    <row r="255" spans="1:24" s="41" customFormat="1">
      <c r="A255" s="42">
        <v>46334</v>
      </c>
      <c r="B255" s="43" t="s">
        <v>961</v>
      </c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4">
        <f t="shared" si="3"/>
        <v>0</v>
      </c>
      <c r="N255" s="47"/>
      <c r="O255" s="48"/>
      <c r="P255" s="48"/>
      <c r="Q255" s="48"/>
      <c r="R255" s="48"/>
      <c r="S255" s="48"/>
      <c r="T255" s="48"/>
      <c r="U255" s="48"/>
      <c r="V255" s="48"/>
      <c r="W255" s="48"/>
      <c r="X255" s="48"/>
    </row>
    <row r="256" spans="1:24" s="41" customFormat="1">
      <c r="A256" s="42">
        <v>46335</v>
      </c>
      <c r="B256" s="43" t="s">
        <v>961</v>
      </c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4">
        <f t="shared" si="3"/>
        <v>0</v>
      </c>
      <c r="N256" s="47"/>
      <c r="O256" s="48"/>
      <c r="P256" s="48"/>
      <c r="Q256" s="48"/>
      <c r="R256" s="48"/>
      <c r="S256" s="48"/>
      <c r="T256" s="48"/>
      <c r="U256" s="48"/>
      <c r="V256" s="48"/>
      <c r="W256" s="48"/>
      <c r="X256" s="48"/>
    </row>
    <row r="257" spans="1:24" s="41" customFormat="1">
      <c r="A257" s="42">
        <v>46336</v>
      </c>
      <c r="B257" s="43" t="s">
        <v>961</v>
      </c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4">
        <f t="shared" si="3"/>
        <v>0</v>
      </c>
      <c r="N257" s="47"/>
      <c r="O257" s="48"/>
      <c r="P257" s="48"/>
      <c r="Q257" s="48"/>
      <c r="R257" s="48"/>
      <c r="S257" s="48"/>
      <c r="T257" s="48"/>
      <c r="U257" s="48"/>
      <c r="V257" s="48"/>
      <c r="W257" s="48"/>
      <c r="X257" s="48"/>
    </row>
    <row r="258" spans="1:24" s="41" customFormat="1">
      <c r="A258" s="42">
        <v>46337</v>
      </c>
      <c r="B258" s="43" t="s">
        <v>961</v>
      </c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4">
        <f t="shared" si="3"/>
        <v>0</v>
      </c>
      <c r="N258" s="47"/>
      <c r="O258" s="48"/>
      <c r="P258" s="48"/>
      <c r="Q258" s="48"/>
      <c r="R258" s="48"/>
      <c r="S258" s="48"/>
      <c r="T258" s="48"/>
      <c r="U258" s="48"/>
      <c r="V258" s="48"/>
      <c r="W258" s="48"/>
      <c r="X258" s="48"/>
    </row>
    <row r="259" spans="1:24" s="41" customFormat="1">
      <c r="A259" s="42">
        <v>46338</v>
      </c>
      <c r="B259" s="43" t="s">
        <v>961</v>
      </c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4">
        <f t="shared" ref="M259:M322" si="4">N259-SUM(C259:L259)</f>
        <v>0</v>
      </c>
      <c r="N259" s="47"/>
      <c r="O259" s="48"/>
      <c r="P259" s="48"/>
      <c r="Q259" s="48"/>
      <c r="R259" s="48"/>
      <c r="S259" s="48"/>
      <c r="T259" s="48"/>
      <c r="U259" s="48"/>
      <c r="V259" s="48"/>
      <c r="W259" s="48"/>
      <c r="X259" s="48"/>
    </row>
    <row r="260" spans="1:24" s="41" customFormat="1">
      <c r="A260" s="42">
        <v>46339</v>
      </c>
      <c r="B260" s="43" t="s">
        <v>961</v>
      </c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4">
        <f t="shared" si="4"/>
        <v>0</v>
      </c>
      <c r="N260" s="47"/>
      <c r="O260" s="48"/>
      <c r="P260" s="48"/>
      <c r="Q260" s="48"/>
      <c r="R260" s="48"/>
      <c r="S260" s="48"/>
      <c r="T260" s="48"/>
      <c r="U260" s="48"/>
      <c r="V260" s="48"/>
      <c r="W260" s="48"/>
      <c r="X260" s="48"/>
    </row>
    <row r="261" spans="1:24" s="41" customFormat="1">
      <c r="A261" s="42">
        <v>46340</v>
      </c>
      <c r="B261" s="43" t="s">
        <v>961</v>
      </c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4">
        <f t="shared" si="4"/>
        <v>0</v>
      </c>
      <c r="N261" s="47"/>
      <c r="O261" s="48"/>
      <c r="P261" s="48"/>
      <c r="Q261" s="48"/>
      <c r="R261" s="48"/>
      <c r="S261" s="48"/>
      <c r="T261" s="48"/>
      <c r="U261" s="48"/>
      <c r="V261" s="48"/>
      <c r="W261" s="48"/>
      <c r="X261" s="48"/>
    </row>
    <row r="262" spans="1:24" s="41" customFormat="1">
      <c r="A262" s="42">
        <v>46341</v>
      </c>
      <c r="B262" s="43" t="s">
        <v>961</v>
      </c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4">
        <f t="shared" si="4"/>
        <v>0</v>
      </c>
      <c r="N262" s="47"/>
      <c r="O262" s="48"/>
      <c r="P262" s="48"/>
      <c r="Q262" s="48"/>
      <c r="R262" s="48"/>
      <c r="S262" s="48"/>
      <c r="T262" s="48"/>
      <c r="U262" s="48"/>
      <c r="V262" s="48"/>
      <c r="W262" s="48"/>
      <c r="X262" s="48"/>
    </row>
    <row r="263" spans="1:24" s="41" customFormat="1">
      <c r="A263" s="42">
        <v>46342</v>
      </c>
      <c r="B263" s="43" t="s">
        <v>961</v>
      </c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4">
        <f t="shared" si="4"/>
        <v>0</v>
      </c>
      <c r="N263" s="47"/>
      <c r="O263" s="48"/>
      <c r="P263" s="48"/>
      <c r="Q263" s="48"/>
      <c r="R263" s="48"/>
      <c r="S263" s="48"/>
      <c r="T263" s="48"/>
      <c r="U263" s="48"/>
      <c r="V263" s="48"/>
      <c r="W263" s="48"/>
      <c r="X263" s="48"/>
    </row>
    <row r="264" spans="1:24" s="41" customFormat="1">
      <c r="A264" s="42">
        <v>46343</v>
      </c>
      <c r="B264" s="43" t="s">
        <v>961</v>
      </c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4">
        <f t="shared" si="4"/>
        <v>0</v>
      </c>
      <c r="N264" s="47"/>
      <c r="O264" s="48"/>
      <c r="P264" s="48"/>
      <c r="Q264" s="48"/>
      <c r="R264" s="48"/>
      <c r="S264" s="48"/>
      <c r="T264" s="48"/>
      <c r="U264" s="48"/>
      <c r="V264" s="48"/>
      <c r="W264" s="48"/>
      <c r="X264" s="48"/>
    </row>
    <row r="265" spans="1:24" s="41" customFormat="1">
      <c r="A265" s="42">
        <v>46344</v>
      </c>
      <c r="B265" s="43" t="s">
        <v>961</v>
      </c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4">
        <f t="shared" si="4"/>
        <v>0</v>
      </c>
      <c r="N265" s="47"/>
      <c r="O265" s="48"/>
      <c r="P265" s="48"/>
      <c r="Q265" s="48"/>
      <c r="R265" s="48"/>
      <c r="S265" s="48"/>
      <c r="T265" s="48"/>
      <c r="U265" s="48"/>
      <c r="V265" s="48"/>
      <c r="W265" s="48"/>
      <c r="X265" s="48"/>
    </row>
    <row r="266" spans="1:24" s="41" customFormat="1">
      <c r="A266" s="42">
        <v>46345</v>
      </c>
      <c r="B266" s="43" t="s">
        <v>961</v>
      </c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4">
        <f t="shared" si="4"/>
        <v>0</v>
      </c>
      <c r="N266" s="47"/>
      <c r="O266" s="48"/>
      <c r="P266" s="48"/>
      <c r="Q266" s="48"/>
      <c r="R266" s="48"/>
      <c r="S266" s="48"/>
      <c r="T266" s="48"/>
      <c r="U266" s="48"/>
      <c r="V266" s="48"/>
      <c r="W266" s="48"/>
      <c r="X266" s="48"/>
    </row>
    <row r="267" spans="1:24" s="41" customFormat="1">
      <c r="A267" s="42">
        <v>46346</v>
      </c>
      <c r="B267" s="43" t="s">
        <v>961</v>
      </c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4">
        <f t="shared" si="4"/>
        <v>0</v>
      </c>
      <c r="N267" s="47"/>
      <c r="O267" s="48"/>
      <c r="P267" s="48"/>
      <c r="Q267" s="48"/>
      <c r="R267" s="48"/>
      <c r="S267" s="48"/>
      <c r="T267" s="48"/>
      <c r="U267" s="48"/>
      <c r="V267" s="48"/>
      <c r="W267" s="48"/>
      <c r="X267" s="48"/>
    </row>
    <row r="268" spans="1:24" s="41" customFormat="1">
      <c r="A268" s="42">
        <v>46347</v>
      </c>
      <c r="B268" s="43" t="s">
        <v>961</v>
      </c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4">
        <f t="shared" si="4"/>
        <v>0</v>
      </c>
      <c r="N268" s="47"/>
      <c r="O268" s="48"/>
      <c r="P268" s="48"/>
      <c r="Q268" s="48"/>
      <c r="R268" s="48"/>
      <c r="S268" s="48"/>
      <c r="T268" s="48"/>
      <c r="U268" s="48"/>
      <c r="V268" s="48"/>
      <c r="W268" s="48"/>
      <c r="X268" s="48"/>
    </row>
    <row r="269" spans="1:24" s="41" customFormat="1">
      <c r="A269" s="42">
        <v>46348</v>
      </c>
      <c r="B269" s="43" t="s">
        <v>961</v>
      </c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4">
        <f t="shared" si="4"/>
        <v>0</v>
      </c>
      <c r="N269" s="47"/>
      <c r="O269" s="48"/>
      <c r="P269" s="48"/>
      <c r="Q269" s="48"/>
      <c r="R269" s="48"/>
      <c r="S269" s="48"/>
      <c r="T269" s="48"/>
      <c r="U269" s="48"/>
      <c r="V269" s="48"/>
      <c r="W269" s="48"/>
      <c r="X269" s="48"/>
    </row>
    <row r="270" spans="1:24" s="41" customFormat="1">
      <c r="A270" s="42">
        <v>46349</v>
      </c>
      <c r="B270" s="43" t="s">
        <v>961</v>
      </c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4">
        <f t="shared" si="4"/>
        <v>0</v>
      </c>
      <c r="N270" s="47"/>
      <c r="O270" s="48"/>
      <c r="P270" s="48"/>
      <c r="Q270" s="48"/>
      <c r="R270" s="48"/>
      <c r="S270" s="48"/>
      <c r="T270" s="48"/>
      <c r="U270" s="48"/>
      <c r="V270" s="48"/>
      <c r="W270" s="48"/>
      <c r="X270" s="48"/>
    </row>
    <row r="271" spans="1:24" s="41" customFormat="1">
      <c r="A271" s="42">
        <v>46350</v>
      </c>
      <c r="B271" s="43" t="s">
        <v>961</v>
      </c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4">
        <f t="shared" si="4"/>
        <v>0</v>
      </c>
      <c r="N271" s="47"/>
      <c r="O271" s="48"/>
      <c r="P271" s="48"/>
      <c r="Q271" s="48"/>
      <c r="R271" s="48"/>
      <c r="S271" s="48"/>
      <c r="T271" s="48"/>
      <c r="U271" s="48"/>
      <c r="V271" s="48"/>
      <c r="W271" s="48"/>
      <c r="X271" s="48"/>
    </row>
    <row r="272" spans="1:24" s="41" customFormat="1">
      <c r="A272" s="42">
        <v>46351</v>
      </c>
      <c r="B272" s="43" t="s">
        <v>961</v>
      </c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4">
        <f t="shared" si="4"/>
        <v>0</v>
      </c>
      <c r="N272" s="47"/>
      <c r="O272" s="48"/>
      <c r="P272" s="48"/>
      <c r="Q272" s="48"/>
      <c r="R272" s="48"/>
      <c r="S272" s="48"/>
      <c r="T272" s="48"/>
      <c r="U272" s="48"/>
      <c r="V272" s="48"/>
      <c r="W272" s="48"/>
      <c r="X272" s="48"/>
    </row>
    <row r="273" spans="1:24" s="41" customFormat="1">
      <c r="A273" s="42">
        <v>46352</v>
      </c>
      <c r="B273" s="43" t="s">
        <v>961</v>
      </c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4">
        <f t="shared" si="4"/>
        <v>0</v>
      </c>
      <c r="N273" s="47"/>
      <c r="O273" s="48"/>
      <c r="P273" s="48"/>
      <c r="Q273" s="48"/>
      <c r="R273" s="48"/>
      <c r="S273" s="48"/>
      <c r="T273" s="48"/>
      <c r="U273" s="48"/>
      <c r="V273" s="48"/>
      <c r="W273" s="48"/>
      <c r="X273" s="48"/>
    </row>
    <row r="274" spans="1:24" s="41" customFormat="1">
      <c r="A274" s="42">
        <v>46353</v>
      </c>
      <c r="B274" s="43" t="s">
        <v>961</v>
      </c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4">
        <f t="shared" si="4"/>
        <v>0</v>
      </c>
      <c r="N274" s="47"/>
      <c r="O274" s="48"/>
      <c r="P274" s="48"/>
      <c r="Q274" s="48"/>
      <c r="R274" s="48"/>
      <c r="S274" s="48"/>
      <c r="T274" s="48"/>
      <c r="U274" s="48"/>
      <c r="V274" s="48"/>
      <c r="W274" s="48"/>
      <c r="X274" s="48"/>
    </row>
    <row r="275" spans="1:24" s="41" customFormat="1">
      <c r="A275" s="42">
        <v>46354</v>
      </c>
      <c r="B275" s="43" t="s">
        <v>961</v>
      </c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4">
        <f t="shared" si="4"/>
        <v>0</v>
      </c>
      <c r="N275" s="47"/>
      <c r="O275" s="48"/>
      <c r="P275" s="48"/>
      <c r="Q275" s="48"/>
      <c r="R275" s="48"/>
      <c r="S275" s="48"/>
      <c r="T275" s="48"/>
      <c r="U275" s="48"/>
      <c r="V275" s="48"/>
      <c r="W275" s="48"/>
      <c r="X275" s="48"/>
    </row>
    <row r="276" spans="1:24" s="41" customFormat="1">
      <c r="A276" s="42">
        <v>46355</v>
      </c>
      <c r="B276" s="43" t="s">
        <v>961</v>
      </c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4">
        <f t="shared" si="4"/>
        <v>0</v>
      </c>
      <c r="N276" s="47"/>
      <c r="O276" s="48"/>
      <c r="P276" s="48"/>
      <c r="Q276" s="48"/>
      <c r="R276" s="48"/>
      <c r="S276" s="48"/>
      <c r="T276" s="48"/>
      <c r="U276" s="48"/>
      <c r="V276" s="48"/>
      <c r="W276" s="48"/>
      <c r="X276" s="48"/>
    </row>
    <row r="277" spans="1:24" s="41" customFormat="1">
      <c r="A277" s="42">
        <v>46356</v>
      </c>
      <c r="B277" s="43" t="s">
        <v>961</v>
      </c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4">
        <f t="shared" si="4"/>
        <v>0</v>
      </c>
      <c r="N277" s="47"/>
      <c r="O277" s="48"/>
      <c r="P277" s="48"/>
      <c r="Q277" s="48"/>
      <c r="R277" s="48"/>
      <c r="S277" s="48"/>
      <c r="T277" s="48"/>
      <c r="U277" s="48"/>
      <c r="V277" s="48"/>
      <c r="W277" s="48"/>
      <c r="X277" s="48"/>
    </row>
    <row r="278" spans="1:24" s="41" customFormat="1">
      <c r="A278" s="42">
        <v>46357</v>
      </c>
      <c r="B278" s="43" t="s">
        <v>961</v>
      </c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4">
        <f t="shared" si="4"/>
        <v>0</v>
      </c>
      <c r="N278" s="47"/>
      <c r="O278" s="48"/>
      <c r="P278" s="48"/>
      <c r="Q278" s="48"/>
      <c r="R278" s="48"/>
      <c r="S278" s="48"/>
      <c r="T278" s="48"/>
      <c r="U278" s="48"/>
      <c r="V278" s="48"/>
      <c r="W278" s="48"/>
      <c r="X278" s="48"/>
    </row>
    <row r="279" spans="1:24" s="41" customFormat="1">
      <c r="A279" s="42">
        <v>46358</v>
      </c>
      <c r="B279" s="43" t="s">
        <v>961</v>
      </c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4">
        <f t="shared" si="4"/>
        <v>0</v>
      </c>
      <c r="N279" s="47"/>
      <c r="O279" s="48"/>
      <c r="P279" s="48"/>
      <c r="Q279" s="48"/>
      <c r="R279" s="48"/>
      <c r="S279" s="48"/>
      <c r="T279" s="48"/>
      <c r="U279" s="48"/>
      <c r="V279" s="48"/>
      <c r="W279" s="48"/>
      <c r="X279" s="48"/>
    </row>
    <row r="280" spans="1:24" s="41" customFormat="1">
      <c r="A280" s="42">
        <v>46359</v>
      </c>
      <c r="B280" s="43" t="s">
        <v>961</v>
      </c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4">
        <f t="shared" si="4"/>
        <v>0</v>
      </c>
      <c r="N280" s="47"/>
      <c r="O280" s="48"/>
      <c r="P280" s="48"/>
      <c r="Q280" s="48"/>
      <c r="R280" s="48"/>
      <c r="S280" s="48"/>
      <c r="T280" s="48"/>
      <c r="U280" s="48"/>
      <c r="V280" s="48"/>
      <c r="W280" s="48"/>
      <c r="X280" s="48"/>
    </row>
    <row r="281" spans="1:24" s="41" customFormat="1">
      <c r="A281" s="42">
        <v>46360</v>
      </c>
      <c r="B281" s="43" t="s">
        <v>961</v>
      </c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4">
        <f t="shared" si="4"/>
        <v>0</v>
      </c>
      <c r="N281" s="47"/>
      <c r="O281" s="48"/>
      <c r="P281" s="48"/>
      <c r="Q281" s="48"/>
      <c r="R281" s="48"/>
      <c r="S281" s="48"/>
      <c r="T281" s="48"/>
      <c r="U281" s="48"/>
      <c r="V281" s="48"/>
      <c r="W281" s="48"/>
      <c r="X281" s="48"/>
    </row>
    <row r="282" spans="1:24" s="41" customFormat="1">
      <c r="A282" s="42">
        <v>46361</v>
      </c>
      <c r="B282" s="43" t="s">
        <v>961</v>
      </c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4">
        <f t="shared" si="4"/>
        <v>0</v>
      </c>
      <c r="N282" s="47"/>
      <c r="O282" s="48"/>
      <c r="P282" s="48"/>
      <c r="Q282" s="48"/>
      <c r="R282" s="48"/>
      <c r="S282" s="48"/>
      <c r="T282" s="48"/>
      <c r="U282" s="48"/>
      <c r="V282" s="48"/>
      <c r="W282" s="48"/>
      <c r="X282" s="48"/>
    </row>
    <row r="283" spans="1:24" s="41" customFormat="1">
      <c r="A283" s="42">
        <v>46362</v>
      </c>
      <c r="B283" s="43" t="s">
        <v>961</v>
      </c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4">
        <f t="shared" si="4"/>
        <v>0</v>
      </c>
      <c r="N283" s="47"/>
      <c r="O283" s="48"/>
      <c r="P283" s="48"/>
      <c r="Q283" s="48"/>
      <c r="R283" s="48"/>
      <c r="S283" s="48"/>
      <c r="T283" s="48"/>
      <c r="U283" s="48"/>
      <c r="V283" s="48"/>
      <c r="W283" s="48"/>
      <c r="X283" s="48"/>
    </row>
    <row r="284" spans="1:24" s="41" customFormat="1">
      <c r="A284" s="42">
        <v>46363</v>
      </c>
      <c r="B284" s="43" t="s">
        <v>961</v>
      </c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4">
        <f t="shared" si="4"/>
        <v>0</v>
      </c>
      <c r="N284" s="47"/>
      <c r="O284" s="48"/>
      <c r="P284" s="48"/>
      <c r="Q284" s="48"/>
      <c r="R284" s="48"/>
      <c r="S284" s="48"/>
      <c r="T284" s="48"/>
      <c r="U284" s="48"/>
      <c r="V284" s="48"/>
      <c r="W284" s="48"/>
      <c r="X284" s="48"/>
    </row>
    <row r="285" spans="1:24" s="41" customFormat="1">
      <c r="A285" s="42">
        <v>46364</v>
      </c>
      <c r="B285" s="43" t="s">
        <v>961</v>
      </c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4">
        <f t="shared" si="4"/>
        <v>0</v>
      </c>
      <c r="N285" s="47"/>
      <c r="O285" s="48"/>
      <c r="P285" s="48"/>
      <c r="Q285" s="48"/>
      <c r="R285" s="48"/>
      <c r="S285" s="48"/>
      <c r="T285" s="48"/>
      <c r="U285" s="48"/>
      <c r="V285" s="48"/>
      <c r="W285" s="48"/>
      <c r="X285" s="48"/>
    </row>
    <row r="286" spans="1:24" s="41" customFormat="1">
      <c r="A286" s="42">
        <v>46365</v>
      </c>
      <c r="B286" s="43" t="s">
        <v>961</v>
      </c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4">
        <f t="shared" si="4"/>
        <v>0</v>
      </c>
      <c r="N286" s="47"/>
      <c r="O286" s="48"/>
      <c r="P286" s="48"/>
      <c r="Q286" s="48"/>
      <c r="R286" s="48"/>
      <c r="S286" s="48"/>
      <c r="T286" s="48"/>
      <c r="U286" s="48"/>
      <c r="V286" s="48"/>
      <c r="W286" s="48"/>
      <c r="X286" s="48"/>
    </row>
    <row r="287" spans="1:24" s="41" customFormat="1">
      <c r="A287" s="42">
        <v>46366</v>
      </c>
      <c r="B287" s="43" t="s">
        <v>961</v>
      </c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4">
        <f t="shared" si="4"/>
        <v>0</v>
      </c>
      <c r="N287" s="47"/>
      <c r="O287" s="48"/>
      <c r="P287" s="48"/>
      <c r="Q287" s="48"/>
      <c r="R287" s="48"/>
      <c r="S287" s="48"/>
      <c r="T287" s="48"/>
      <c r="U287" s="48"/>
      <c r="V287" s="48"/>
      <c r="W287" s="48"/>
      <c r="X287" s="48"/>
    </row>
    <row r="288" spans="1:24" s="41" customFormat="1">
      <c r="A288" s="42">
        <v>46367</v>
      </c>
      <c r="B288" s="43" t="s">
        <v>961</v>
      </c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4">
        <f t="shared" si="4"/>
        <v>0</v>
      </c>
      <c r="N288" s="47"/>
      <c r="O288" s="48"/>
      <c r="P288" s="48"/>
      <c r="Q288" s="48"/>
      <c r="R288" s="48"/>
      <c r="S288" s="48"/>
      <c r="T288" s="48"/>
      <c r="U288" s="48"/>
      <c r="V288" s="48"/>
      <c r="W288" s="48"/>
      <c r="X288" s="48"/>
    </row>
    <row r="289" spans="1:24" s="41" customFormat="1">
      <c r="A289" s="42">
        <v>46368</v>
      </c>
      <c r="B289" s="43" t="s">
        <v>961</v>
      </c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4">
        <f t="shared" si="4"/>
        <v>0</v>
      </c>
      <c r="N289" s="47"/>
      <c r="O289" s="48"/>
      <c r="P289" s="48"/>
      <c r="Q289" s="48"/>
      <c r="R289" s="48"/>
      <c r="S289" s="48"/>
      <c r="T289" s="48"/>
      <c r="U289" s="48"/>
      <c r="V289" s="48"/>
      <c r="W289" s="48"/>
      <c r="X289" s="48"/>
    </row>
    <row r="290" spans="1:24" s="41" customFormat="1">
      <c r="A290" s="42">
        <v>46369</v>
      </c>
      <c r="B290" s="43" t="s">
        <v>961</v>
      </c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4">
        <f t="shared" si="4"/>
        <v>0</v>
      </c>
      <c r="N290" s="47"/>
      <c r="O290" s="48"/>
      <c r="P290" s="48"/>
      <c r="Q290" s="48"/>
      <c r="R290" s="48"/>
      <c r="S290" s="48"/>
      <c r="T290" s="48"/>
      <c r="U290" s="48"/>
      <c r="V290" s="48"/>
      <c r="W290" s="48"/>
      <c r="X290" s="48"/>
    </row>
    <row r="291" spans="1:24" s="41" customFormat="1">
      <c r="A291" s="42">
        <v>46370</v>
      </c>
      <c r="B291" s="43" t="s">
        <v>961</v>
      </c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4">
        <f t="shared" si="4"/>
        <v>0</v>
      </c>
      <c r="N291" s="47"/>
      <c r="O291" s="48"/>
      <c r="P291" s="48"/>
      <c r="Q291" s="48"/>
      <c r="R291" s="48"/>
      <c r="S291" s="48"/>
      <c r="T291" s="48"/>
      <c r="U291" s="48"/>
      <c r="V291" s="48"/>
      <c r="W291" s="48"/>
      <c r="X291" s="48"/>
    </row>
    <row r="292" spans="1:24" s="41" customFormat="1">
      <c r="A292" s="42">
        <v>46371</v>
      </c>
      <c r="B292" s="43" t="s">
        <v>961</v>
      </c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4">
        <f t="shared" si="4"/>
        <v>0</v>
      </c>
      <c r="N292" s="47"/>
      <c r="O292" s="48"/>
      <c r="P292" s="48"/>
      <c r="Q292" s="48"/>
      <c r="R292" s="48"/>
      <c r="S292" s="48"/>
      <c r="T292" s="48"/>
      <c r="U292" s="48"/>
      <c r="V292" s="48"/>
      <c r="W292" s="48"/>
      <c r="X292" s="48"/>
    </row>
    <row r="293" spans="1:24" s="41" customFormat="1">
      <c r="A293" s="42">
        <v>46372</v>
      </c>
      <c r="B293" s="43" t="s">
        <v>961</v>
      </c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4">
        <f t="shared" si="4"/>
        <v>0</v>
      </c>
      <c r="N293" s="47"/>
      <c r="O293" s="48"/>
      <c r="P293" s="48"/>
      <c r="Q293" s="48"/>
      <c r="R293" s="48"/>
      <c r="S293" s="48"/>
      <c r="T293" s="48"/>
      <c r="U293" s="48"/>
      <c r="V293" s="48"/>
      <c r="W293" s="48"/>
      <c r="X293" s="48"/>
    </row>
    <row r="294" spans="1:24" s="41" customFormat="1">
      <c r="A294" s="42">
        <v>46373</v>
      </c>
      <c r="B294" s="43" t="s">
        <v>961</v>
      </c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4">
        <f t="shared" si="4"/>
        <v>0</v>
      </c>
      <c r="N294" s="47"/>
      <c r="O294" s="48"/>
      <c r="P294" s="48"/>
      <c r="Q294" s="48"/>
      <c r="R294" s="48"/>
      <c r="S294" s="48"/>
      <c r="T294" s="48"/>
      <c r="U294" s="48"/>
      <c r="V294" s="48"/>
      <c r="W294" s="48"/>
      <c r="X294" s="48"/>
    </row>
    <row r="295" spans="1:24" s="41" customFormat="1">
      <c r="A295" s="42">
        <v>46374</v>
      </c>
      <c r="B295" s="43" t="s">
        <v>961</v>
      </c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4">
        <f t="shared" si="4"/>
        <v>0</v>
      </c>
      <c r="N295" s="47"/>
      <c r="O295" s="48"/>
      <c r="P295" s="48"/>
      <c r="Q295" s="48"/>
      <c r="R295" s="48"/>
      <c r="S295" s="48"/>
      <c r="T295" s="48"/>
      <c r="U295" s="48"/>
      <c r="V295" s="48"/>
      <c r="W295" s="48"/>
      <c r="X295" s="48"/>
    </row>
    <row r="296" spans="1:24" s="41" customFormat="1">
      <c r="A296" s="42">
        <v>46375</v>
      </c>
      <c r="B296" s="43" t="s">
        <v>961</v>
      </c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4">
        <f t="shared" si="4"/>
        <v>0</v>
      </c>
      <c r="N296" s="47"/>
      <c r="O296" s="48"/>
      <c r="P296" s="48"/>
      <c r="Q296" s="48"/>
      <c r="R296" s="48"/>
      <c r="S296" s="48"/>
      <c r="T296" s="48"/>
      <c r="U296" s="48"/>
      <c r="V296" s="48"/>
      <c r="W296" s="48"/>
      <c r="X296" s="48"/>
    </row>
    <row r="297" spans="1:24" s="41" customFormat="1">
      <c r="A297" s="42">
        <v>46376</v>
      </c>
      <c r="B297" s="43" t="s">
        <v>961</v>
      </c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4">
        <f t="shared" si="4"/>
        <v>0</v>
      </c>
      <c r="N297" s="47"/>
      <c r="O297" s="48"/>
      <c r="P297" s="48"/>
      <c r="Q297" s="48"/>
      <c r="R297" s="48"/>
      <c r="S297" s="48"/>
      <c r="T297" s="48"/>
      <c r="U297" s="48"/>
      <c r="V297" s="48"/>
      <c r="W297" s="48"/>
      <c r="X297" s="48"/>
    </row>
    <row r="298" spans="1:24" s="41" customFormat="1">
      <c r="A298" s="42">
        <v>46377</v>
      </c>
      <c r="B298" s="43" t="s">
        <v>961</v>
      </c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4">
        <f t="shared" si="4"/>
        <v>0</v>
      </c>
      <c r="N298" s="47"/>
      <c r="O298" s="48"/>
      <c r="P298" s="48"/>
      <c r="Q298" s="48"/>
      <c r="R298" s="48"/>
      <c r="S298" s="48"/>
      <c r="T298" s="48"/>
      <c r="U298" s="48"/>
      <c r="V298" s="48"/>
      <c r="W298" s="48"/>
      <c r="X298" s="48"/>
    </row>
    <row r="299" spans="1:24" s="41" customFormat="1">
      <c r="A299" s="42">
        <v>46378</v>
      </c>
      <c r="B299" s="43" t="s">
        <v>961</v>
      </c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4">
        <f t="shared" si="4"/>
        <v>0</v>
      </c>
      <c r="N299" s="47"/>
      <c r="O299" s="48"/>
      <c r="P299" s="48"/>
      <c r="Q299" s="48"/>
      <c r="R299" s="48"/>
      <c r="S299" s="48"/>
      <c r="T299" s="48"/>
      <c r="U299" s="48"/>
      <c r="V299" s="48"/>
      <c r="W299" s="48"/>
      <c r="X299" s="48"/>
    </row>
    <row r="300" spans="1:24" s="41" customFormat="1">
      <c r="A300" s="42">
        <v>46379</v>
      </c>
      <c r="B300" s="43" t="s">
        <v>961</v>
      </c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4">
        <f t="shared" si="4"/>
        <v>0</v>
      </c>
      <c r="N300" s="47"/>
      <c r="O300" s="48"/>
      <c r="P300" s="48"/>
      <c r="Q300" s="48"/>
      <c r="R300" s="48"/>
      <c r="S300" s="48"/>
      <c r="T300" s="48"/>
      <c r="U300" s="48"/>
      <c r="V300" s="48"/>
      <c r="W300" s="48"/>
      <c r="X300" s="48"/>
    </row>
    <row r="301" spans="1:24" s="41" customFormat="1">
      <c r="A301" s="42">
        <v>46380</v>
      </c>
      <c r="B301" s="43" t="s">
        <v>961</v>
      </c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4">
        <f t="shared" si="4"/>
        <v>0</v>
      </c>
      <c r="N301" s="47"/>
      <c r="O301" s="48"/>
      <c r="P301" s="48"/>
      <c r="Q301" s="48"/>
      <c r="R301" s="48"/>
      <c r="S301" s="48"/>
      <c r="T301" s="48"/>
      <c r="U301" s="48"/>
      <c r="V301" s="48"/>
      <c r="W301" s="48"/>
      <c r="X301" s="48"/>
    </row>
    <row r="302" spans="1:24" s="41" customFormat="1">
      <c r="A302" s="42">
        <v>46381</v>
      </c>
      <c r="B302" s="43" t="s">
        <v>961</v>
      </c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4">
        <f t="shared" si="4"/>
        <v>0</v>
      </c>
      <c r="N302" s="47"/>
      <c r="O302" s="48"/>
      <c r="P302" s="48"/>
      <c r="Q302" s="48"/>
      <c r="R302" s="48"/>
      <c r="S302" s="48"/>
      <c r="T302" s="48"/>
      <c r="U302" s="48"/>
      <c r="V302" s="48"/>
      <c r="W302" s="48"/>
      <c r="X302" s="48"/>
    </row>
    <row r="303" spans="1:24" s="41" customFormat="1">
      <c r="A303" s="42">
        <v>46382</v>
      </c>
      <c r="B303" s="43" t="s">
        <v>961</v>
      </c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4">
        <f t="shared" si="4"/>
        <v>0</v>
      </c>
      <c r="N303" s="47"/>
      <c r="O303" s="48"/>
      <c r="P303" s="48"/>
      <c r="Q303" s="48"/>
      <c r="R303" s="48"/>
      <c r="S303" s="48"/>
      <c r="T303" s="48"/>
      <c r="U303" s="48"/>
      <c r="V303" s="48"/>
      <c r="W303" s="48"/>
      <c r="X303" s="48"/>
    </row>
    <row r="304" spans="1:24" s="41" customFormat="1">
      <c r="A304" s="42">
        <v>46383</v>
      </c>
      <c r="B304" s="43" t="s">
        <v>961</v>
      </c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4">
        <f t="shared" si="4"/>
        <v>0</v>
      </c>
      <c r="N304" s="47"/>
      <c r="O304" s="48"/>
      <c r="P304" s="48"/>
      <c r="Q304" s="48"/>
      <c r="R304" s="48"/>
      <c r="S304" s="48"/>
      <c r="T304" s="48"/>
      <c r="U304" s="48"/>
      <c r="V304" s="48"/>
      <c r="W304" s="48"/>
      <c r="X304" s="48"/>
    </row>
    <row r="305" spans="1:24" s="41" customFormat="1">
      <c r="A305" s="42">
        <v>46384</v>
      </c>
      <c r="B305" s="43" t="s">
        <v>961</v>
      </c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4">
        <f t="shared" si="4"/>
        <v>0</v>
      </c>
      <c r="N305" s="47"/>
      <c r="O305" s="48"/>
      <c r="P305" s="48"/>
      <c r="Q305" s="48"/>
      <c r="R305" s="48"/>
      <c r="S305" s="48"/>
      <c r="T305" s="48"/>
      <c r="U305" s="48"/>
      <c r="V305" s="48"/>
      <c r="W305" s="48"/>
      <c r="X305" s="48"/>
    </row>
    <row r="306" spans="1:24" s="41" customFormat="1">
      <c r="A306" s="42">
        <v>46385</v>
      </c>
      <c r="B306" s="43" t="s">
        <v>961</v>
      </c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4">
        <f t="shared" si="4"/>
        <v>0</v>
      </c>
      <c r="N306" s="47"/>
      <c r="O306" s="48"/>
      <c r="P306" s="48"/>
      <c r="Q306" s="48"/>
      <c r="R306" s="48"/>
      <c r="S306" s="48"/>
      <c r="T306" s="48"/>
      <c r="U306" s="48"/>
      <c r="V306" s="48"/>
      <c r="W306" s="48"/>
      <c r="X306" s="48"/>
    </row>
    <row r="307" spans="1:24" s="41" customFormat="1">
      <c r="A307" s="42">
        <v>46386</v>
      </c>
      <c r="B307" s="43" t="s">
        <v>961</v>
      </c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4">
        <f t="shared" si="4"/>
        <v>0</v>
      </c>
      <c r="N307" s="47"/>
      <c r="O307" s="48"/>
      <c r="P307" s="48"/>
      <c r="Q307" s="48"/>
      <c r="R307" s="48"/>
      <c r="S307" s="48"/>
      <c r="T307" s="48"/>
      <c r="U307" s="48"/>
      <c r="V307" s="48"/>
      <c r="W307" s="48"/>
      <c r="X307" s="48"/>
    </row>
    <row r="308" spans="1:24" s="41" customFormat="1">
      <c r="A308" s="42">
        <v>46387</v>
      </c>
      <c r="B308" s="43" t="s">
        <v>961</v>
      </c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4">
        <f t="shared" si="4"/>
        <v>0</v>
      </c>
      <c r="N308" s="47"/>
      <c r="O308" s="48"/>
      <c r="P308" s="48"/>
      <c r="Q308" s="48"/>
      <c r="R308" s="48"/>
      <c r="S308" s="48"/>
      <c r="T308" s="48"/>
      <c r="U308" s="48"/>
      <c r="V308" s="48"/>
      <c r="W308" s="48"/>
      <c r="X308" s="48"/>
    </row>
    <row r="309" spans="1:24" s="41" customFormat="1">
      <c r="A309" s="42">
        <v>46082</v>
      </c>
      <c r="B309" s="43" t="s">
        <v>962</v>
      </c>
      <c r="C309" s="44">
        <v>111</v>
      </c>
      <c r="D309" s="44">
        <v>142</v>
      </c>
      <c r="E309" s="44">
        <v>126</v>
      </c>
      <c r="F309" s="44">
        <v>253</v>
      </c>
      <c r="G309" s="44">
        <v>174</v>
      </c>
      <c r="H309" s="44">
        <v>190</v>
      </c>
      <c r="I309" s="44">
        <v>142</v>
      </c>
      <c r="J309" s="44">
        <v>126</v>
      </c>
      <c r="K309" s="44">
        <v>205</v>
      </c>
      <c r="L309" s="44">
        <v>142</v>
      </c>
      <c r="M309" s="44">
        <f t="shared" si="4"/>
        <v>596</v>
      </c>
      <c r="N309" s="45">
        <v>2207</v>
      </c>
      <c r="O309" s="44">
        <v>81</v>
      </c>
      <c r="P309" s="44">
        <v>1</v>
      </c>
      <c r="Q309" s="44">
        <v>333</v>
      </c>
      <c r="R309" s="44">
        <v>500</v>
      </c>
      <c r="S309" s="44">
        <v>350</v>
      </c>
      <c r="T309" s="44">
        <v>350</v>
      </c>
      <c r="U309" s="44">
        <v>0</v>
      </c>
      <c r="V309" s="44">
        <v>220</v>
      </c>
      <c r="W309" s="44">
        <v>372</v>
      </c>
      <c r="X309" s="44">
        <v>0</v>
      </c>
    </row>
    <row r="310" spans="1:24" s="41" customFormat="1">
      <c r="A310" s="42">
        <v>46083</v>
      </c>
      <c r="B310" s="43" t="s">
        <v>962</v>
      </c>
      <c r="C310" s="44">
        <v>109</v>
      </c>
      <c r="D310" s="44">
        <v>140</v>
      </c>
      <c r="E310" s="44">
        <v>124</v>
      </c>
      <c r="F310" s="44">
        <v>249</v>
      </c>
      <c r="G310" s="44">
        <v>171</v>
      </c>
      <c r="H310" s="44">
        <v>187</v>
      </c>
      <c r="I310" s="44">
        <v>140</v>
      </c>
      <c r="J310" s="44">
        <v>124</v>
      </c>
      <c r="K310" s="44">
        <v>202</v>
      </c>
      <c r="L310" s="44">
        <v>140</v>
      </c>
      <c r="M310" s="44">
        <f t="shared" si="4"/>
        <v>588</v>
      </c>
      <c r="N310" s="45">
        <v>2174</v>
      </c>
      <c r="O310" s="44">
        <v>81</v>
      </c>
      <c r="P310" s="44">
        <v>1</v>
      </c>
      <c r="Q310" s="44">
        <v>262</v>
      </c>
      <c r="R310" s="44">
        <v>500</v>
      </c>
      <c r="S310" s="44">
        <v>250</v>
      </c>
      <c r="T310" s="44">
        <v>350</v>
      </c>
      <c r="U310" s="44">
        <v>0</v>
      </c>
      <c r="V310" s="44">
        <v>220</v>
      </c>
      <c r="W310" s="44">
        <v>443</v>
      </c>
      <c r="X310" s="44">
        <v>67</v>
      </c>
    </row>
    <row r="311" spans="1:24" s="41" customFormat="1">
      <c r="A311" s="42">
        <v>46084</v>
      </c>
      <c r="B311" s="43" t="s">
        <v>962</v>
      </c>
      <c r="C311" s="44">
        <v>110</v>
      </c>
      <c r="D311" s="44">
        <v>141</v>
      </c>
      <c r="E311" s="44">
        <v>126</v>
      </c>
      <c r="F311" s="44">
        <v>251</v>
      </c>
      <c r="G311" s="44">
        <v>173</v>
      </c>
      <c r="H311" s="44">
        <v>188</v>
      </c>
      <c r="I311" s="44">
        <v>141</v>
      </c>
      <c r="J311" s="44">
        <v>126</v>
      </c>
      <c r="K311" s="44">
        <v>204</v>
      </c>
      <c r="L311" s="44">
        <v>141</v>
      </c>
      <c r="M311" s="44">
        <f t="shared" si="4"/>
        <v>593</v>
      </c>
      <c r="N311" s="45">
        <v>2194</v>
      </c>
      <c r="O311" s="44">
        <v>81</v>
      </c>
      <c r="P311" s="44">
        <v>1</v>
      </c>
      <c r="Q311" s="44">
        <v>262</v>
      </c>
      <c r="R311" s="44">
        <v>500</v>
      </c>
      <c r="S311" s="44">
        <v>250</v>
      </c>
      <c r="T311" s="44">
        <v>350</v>
      </c>
      <c r="U311" s="44">
        <v>0</v>
      </c>
      <c r="V311" s="44">
        <v>220</v>
      </c>
      <c r="W311" s="44">
        <v>463</v>
      </c>
      <c r="X311" s="44">
        <v>67</v>
      </c>
    </row>
    <row r="312" spans="1:24" s="41" customFormat="1">
      <c r="A312" s="42">
        <v>46085</v>
      </c>
      <c r="B312" s="43" t="s">
        <v>962</v>
      </c>
      <c r="C312" s="44">
        <v>109</v>
      </c>
      <c r="D312" s="44">
        <v>141</v>
      </c>
      <c r="E312" s="44">
        <v>125</v>
      </c>
      <c r="F312" s="44">
        <v>250</v>
      </c>
      <c r="G312" s="44">
        <v>172</v>
      </c>
      <c r="H312" s="44">
        <v>188</v>
      </c>
      <c r="I312" s="44">
        <v>141</v>
      </c>
      <c r="J312" s="44">
        <v>125</v>
      </c>
      <c r="K312" s="44">
        <v>203</v>
      </c>
      <c r="L312" s="44">
        <v>141</v>
      </c>
      <c r="M312" s="44">
        <f t="shared" si="4"/>
        <v>590</v>
      </c>
      <c r="N312" s="45">
        <v>2185</v>
      </c>
      <c r="O312" s="44">
        <v>81</v>
      </c>
      <c r="P312" s="44">
        <v>1</v>
      </c>
      <c r="Q312" s="44">
        <v>262</v>
      </c>
      <c r="R312" s="44">
        <v>500</v>
      </c>
      <c r="S312" s="44">
        <v>250</v>
      </c>
      <c r="T312" s="44">
        <v>350</v>
      </c>
      <c r="U312" s="44">
        <v>0</v>
      </c>
      <c r="V312" s="44">
        <v>220</v>
      </c>
      <c r="W312" s="44">
        <v>454</v>
      </c>
      <c r="X312" s="44">
        <v>67</v>
      </c>
    </row>
    <row r="313" spans="1:24" s="41" customFormat="1">
      <c r="A313" s="42">
        <v>46086</v>
      </c>
      <c r="B313" s="43" t="s">
        <v>962</v>
      </c>
      <c r="C313" s="44">
        <v>112</v>
      </c>
      <c r="D313" s="44">
        <v>144</v>
      </c>
      <c r="E313" s="44">
        <v>128</v>
      </c>
      <c r="F313" s="44">
        <v>256</v>
      </c>
      <c r="G313" s="44">
        <v>176</v>
      </c>
      <c r="H313" s="44">
        <v>192</v>
      </c>
      <c r="I313" s="44">
        <v>144</v>
      </c>
      <c r="J313" s="44">
        <v>128</v>
      </c>
      <c r="K313" s="44">
        <v>208</v>
      </c>
      <c r="L313" s="44">
        <v>144</v>
      </c>
      <c r="M313" s="44">
        <f t="shared" si="4"/>
        <v>603</v>
      </c>
      <c r="N313" s="45">
        <v>2235</v>
      </c>
      <c r="O313" s="44">
        <v>81</v>
      </c>
      <c r="P313" s="44">
        <v>1</v>
      </c>
      <c r="Q313" s="44">
        <v>262</v>
      </c>
      <c r="R313" s="44">
        <v>500</v>
      </c>
      <c r="S313" s="44">
        <v>250</v>
      </c>
      <c r="T313" s="44">
        <v>350</v>
      </c>
      <c r="U313" s="44">
        <v>0</v>
      </c>
      <c r="V313" s="44">
        <v>220</v>
      </c>
      <c r="W313" s="44">
        <v>504</v>
      </c>
      <c r="X313" s="44">
        <v>67</v>
      </c>
    </row>
    <row r="314" spans="1:24" s="41" customFormat="1">
      <c r="A314" s="42">
        <v>46087</v>
      </c>
      <c r="B314" s="43" t="s">
        <v>962</v>
      </c>
      <c r="C314" s="44">
        <v>128</v>
      </c>
      <c r="D314" s="44">
        <v>164</v>
      </c>
      <c r="E314" s="44">
        <v>146</v>
      </c>
      <c r="F314" s="44">
        <v>292</v>
      </c>
      <c r="G314" s="44">
        <v>201</v>
      </c>
      <c r="H314" s="44">
        <v>219</v>
      </c>
      <c r="I314" s="44">
        <v>164</v>
      </c>
      <c r="J314" s="44">
        <v>146</v>
      </c>
      <c r="K314" s="44">
        <v>237</v>
      </c>
      <c r="L314" s="44">
        <v>164</v>
      </c>
      <c r="M314" s="44">
        <f t="shared" si="4"/>
        <v>691</v>
      </c>
      <c r="N314" s="45">
        <v>2552</v>
      </c>
      <c r="O314" s="44">
        <v>81</v>
      </c>
      <c r="P314" s="44">
        <v>1</v>
      </c>
      <c r="Q314" s="44">
        <v>262</v>
      </c>
      <c r="R314" s="44">
        <v>500</v>
      </c>
      <c r="S314" s="44">
        <v>250</v>
      </c>
      <c r="T314" s="44">
        <v>350</v>
      </c>
      <c r="U314" s="44">
        <v>330</v>
      </c>
      <c r="V314" s="44">
        <v>220</v>
      </c>
      <c r="W314" s="44">
        <v>491</v>
      </c>
      <c r="X314" s="44">
        <v>67</v>
      </c>
    </row>
    <row r="315" spans="1:24" s="41" customFormat="1">
      <c r="A315" s="42">
        <v>46088</v>
      </c>
      <c r="B315" s="43" t="s">
        <v>962</v>
      </c>
      <c r="C315" s="44">
        <v>138</v>
      </c>
      <c r="D315" s="44">
        <v>177</v>
      </c>
      <c r="E315" s="44">
        <v>158</v>
      </c>
      <c r="F315" s="44">
        <v>315</v>
      </c>
      <c r="G315" s="44">
        <v>217</v>
      </c>
      <c r="H315" s="44">
        <v>237</v>
      </c>
      <c r="I315" s="44">
        <v>177</v>
      </c>
      <c r="J315" s="44">
        <v>158</v>
      </c>
      <c r="K315" s="44">
        <v>256</v>
      </c>
      <c r="L315" s="44">
        <v>177</v>
      </c>
      <c r="M315" s="44">
        <f t="shared" si="4"/>
        <v>745</v>
      </c>
      <c r="N315" s="45">
        <v>2755</v>
      </c>
      <c r="O315" s="44">
        <v>81</v>
      </c>
      <c r="P315" s="44">
        <v>1</v>
      </c>
      <c r="Q315" s="44">
        <v>340</v>
      </c>
      <c r="R315" s="44">
        <v>500</v>
      </c>
      <c r="S315" s="44">
        <v>350</v>
      </c>
      <c r="T315" s="44">
        <v>400</v>
      </c>
      <c r="U315" s="44">
        <v>330</v>
      </c>
      <c r="V315" s="44">
        <v>220</v>
      </c>
      <c r="W315" s="44">
        <v>533</v>
      </c>
      <c r="X315" s="44">
        <v>0</v>
      </c>
    </row>
    <row r="316" spans="1:24" s="41" customFormat="1">
      <c r="A316" s="42">
        <v>46089</v>
      </c>
      <c r="B316" s="43" t="s">
        <v>962</v>
      </c>
      <c r="C316" s="44">
        <v>155</v>
      </c>
      <c r="D316" s="44">
        <v>199</v>
      </c>
      <c r="E316" s="44">
        <v>177</v>
      </c>
      <c r="F316" s="44">
        <v>354</v>
      </c>
      <c r="G316" s="44">
        <v>244</v>
      </c>
      <c r="H316" s="44">
        <v>266</v>
      </c>
      <c r="I316" s="44">
        <v>199</v>
      </c>
      <c r="J316" s="44">
        <v>177</v>
      </c>
      <c r="K316" s="44">
        <v>288</v>
      </c>
      <c r="L316" s="44">
        <v>199</v>
      </c>
      <c r="M316" s="44">
        <f t="shared" si="4"/>
        <v>837</v>
      </c>
      <c r="N316" s="45">
        <v>3095</v>
      </c>
      <c r="O316" s="44">
        <v>81</v>
      </c>
      <c r="P316" s="44">
        <v>1</v>
      </c>
      <c r="Q316" s="44">
        <v>340</v>
      </c>
      <c r="R316" s="44">
        <v>816</v>
      </c>
      <c r="S316" s="44">
        <v>350</v>
      </c>
      <c r="T316" s="44">
        <v>400</v>
      </c>
      <c r="U316" s="44">
        <v>330</v>
      </c>
      <c r="V316" s="44">
        <v>220</v>
      </c>
      <c r="W316" s="44">
        <v>557</v>
      </c>
      <c r="X316" s="44">
        <v>0</v>
      </c>
    </row>
    <row r="317" spans="1:24" s="41" customFormat="1">
      <c r="A317" s="42">
        <v>46090</v>
      </c>
      <c r="B317" s="43" t="s">
        <v>962</v>
      </c>
      <c r="C317" s="44">
        <v>199</v>
      </c>
      <c r="D317" s="44">
        <v>256</v>
      </c>
      <c r="E317" s="44">
        <v>227</v>
      </c>
      <c r="F317" s="44">
        <v>455</v>
      </c>
      <c r="G317" s="44">
        <v>313</v>
      </c>
      <c r="H317" s="44">
        <v>341</v>
      </c>
      <c r="I317" s="44">
        <v>256</v>
      </c>
      <c r="J317" s="44">
        <v>227</v>
      </c>
      <c r="K317" s="44">
        <v>369</v>
      </c>
      <c r="L317" s="44">
        <v>256</v>
      </c>
      <c r="M317" s="44">
        <f t="shared" si="4"/>
        <v>1072</v>
      </c>
      <c r="N317" s="45">
        <v>3971</v>
      </c>
      <c r="O317" s="44">
        <v>81</v>
      </c>
      <c r="P317" s="44">
        <v>1</v>
      </c>
      <c r="Q317" s="44">
        <v>262</v>
      </c>
      <c r="R317" s="44">
        <v>1849</v>
      </c>
      <c r="S317" s="44">
        <v>250</v>
      </c>
      <c r="T317" s="44">
        <v>350</v>
      </c>
      <c r="U317" s="44">
        <v>330</v>
      </c>
      <c r="V317" s="44">
        <v>220</v>
      </c>
      <c r="W317" s="44">
        <v>561</v>
      </c>
      <c r="X317" s="44">
        <v>67</v>
      </c>
    </row>
    <row r="318" spans="1:24" s="41" customFormat="1">
      <c r="A318" s="42">
        <v>46091</v>
      </c>
      <c r="B318" s="43" t="s">
        <v>962</v>
      </c>
      <c r="C318" s="44">
        <v>147</v>
      </c>
      <c r="D318" s="44">
        <v>189</v>
      </c>
      <c r="E318" s="44">
        <v>168</v>
      </c>
      <c r="F318" s="44">
        <v>336</v>
      </c>
      <c r="G318" s="44">
        <v>231</v>
      </c>
      <c r="H318" s="44">
        <v>252</v>
      </c>
      <c r="I318" s="44">
        <v>189</v>
      </c>
      <c r="J318" s="44">
        <v>168</v>
      </c>
      <c r="K318" s="44">
        <v>273</v>
      </c>
      <c r="L318" s="44">
        <v>189</v>
      </c>
      <c r="M318" s="44">
        <f t="shared" si="4"/>
        <v>791</v>
      </c>
      <c r="N318" s="45">
        <v>2933</v>
      </c>
      <c r="O318" s="44">
        <v>81</v>
      </c>
      <c r="P318" s="44">
        <v>1</v>
      </c>
      <c r="Q318" s="44">
        <v>262</v>
      </c>
      <c r="R318" s="44">
        <v>1000</v>
      </c>
      <c r="S318" s="44">
        <v>250</v>
      </c>
      <c r="T318" s="44">
        <v>500</v>
      </c>
      <c r="U318" s="44">
        <v>0</v>
      </c>
      <c r="V318" s="44">
        <v>220</v>
      </c>
      <c r="W318" s="44">
        <v>552</v>
      </c>
      <c r="X318" s="44">
        <v>67</v>
      </c>
    </row>
    <row r="319" spans="1:24" s="41" customFormat="1">
      <c r="A319" s="42">
        <v>46092</v>
      </c>
      <c r="B319" s="43" t="s">
        <v>962</v>
      </c>
      <c r="C319" s="44">
        <v>178</v>
      </c>
      <c r="D319" s="44">
        <v>229</v>
      </c>
      <c r="E319" s="44">
        <v>203</v>
      </c>
      <c r="F319" s="44">
        <v>406</v>
      </c>
      <c r="G319" s="44">
        <v>279</v>
      </c>
      <c r="H319" s="44">
        <v>305</v>
      </c>
      <c r="I319" s="44">
        <v>229</v>
      </c>
      <c r="J319" s="44">
        <v>203</v>
      </c>
      <c r="K319" s="44">
        <v>330</v>
      </c>
      <c r="L319" s="44">
        <v>229</v>
      </c>
      <c r="M319" s="44">
        <f t="shared" si="4"/>
        <v>958</v>
      </c>
      <c r="N319" s="45">
        <v>3549</v>
      </c>
      <c r="O319" s="44">
        <v>81</v>
      </c>
      <c r="P319" s="44">
        <v>1</v>
      </c>
      <c r="Q319" s="44">
        <v>288</v>
      </c>
      <c r="R319" s="44">
        <v>1000</v>
      </c>
      <c r="S319" s="44">
        <v>250</v>
      </c>
      <c r="T319" s="44">
        <v>500</v>
      </c>
      <c r="U319" s="44">
        <v>633</v>
      </c>
      <c r="V319" s="44">
        <v>220</v>
      </c>
      <c r="W319" s="44">
        <v>509</v>
      </c>
      <c r="X319" s="44">
        <v>67</v>
      </c>
    </row>
    <row r="320" spans="1:24" s="41" customFormat="1">
      <c r="A320" s="42">
        <v>46093</v>
      </c>
      <c r="B320" s="43" t="s">
        <v>962</v>
      </c>
      <c r="C320" s="44">
        <v>177</v>
      </c>
      <c r="D320" s="44">
        <v>227</v>
      </c>
      <c r="E320" s="44">
        <v>202</v>
      </c>
      <c r="F320" s="44">
        <v>404</v>
      </c>
      <c r="G320" s="44">
        <v>278</v>
      </c>
      <c r="H320" s="44">
        <v>303</v>
      </c>
      <c r="I320" s="44">
        <v>227</v>
      </c>
      <c r="J320" s="44">
        <v>202</v>
      </c>
      <c r="K320" s="44">
        <v>328</v>
      </c>
      <c r="L320" s="44">
        <v>227</v>
      </c>
      <c r="M320" s="44">
        <f t="shared" si="4"/>
        <v>955</v>
      </c>
      <c r="N320" s="45">
        <v>3530</v>
      </c>
      <c r="O320" s="44">
        <v>81</v>
      </c>
      <c r="P320" s="44">
        <v>1</v>
      </c>
      <c r="Q320" s="44">
        <v>288</v>
      </c>
      <c r="R320" s="44">
        <v>1000</v>
      </c>
      <c r="S320" s="44">
        <v>250</v>
      </c>
      <c r="T320" s="44">
        <v>500</v>
      </c>
      <c r="U320" s="44">
        <v>633</v>
      </c>
      <c r="V320" s="44">
        <v>220</v>
      </c>
      <c r="W320" s="44">
        <v>491</v>
      </c>
      <c r="X320" s="44">
        <v>66</v>
      </c>
    </row>
    <row r="321" spans="1:24" s="41" customFormat="1">
      <c r="A321" s="42">
        <v>46094</v>
      </c>
      <c r="B321" s="43" t="s">
        <v>962</v>
      </c>
      <c r="C321" s="44">
        <v>180</v>
      </c>
      <c r="D321" s="44">
        <v>232</v>
      </c>
      <c r="E321" s="44">
        <v>206</v>
      </c>
      <c r="F321" s="44">
        <v>412</v>
      </c>
      <c r="G321" s="44">
        <v>283</v>
      </c>
      <c r="H321" s="44">
        <v>309</v>
      </c>
      <c r="I321" s="44">
        <v>232</v>
      </c>
      <c r="J321" s="44">
        <v>206</v>
      </c>
      <c r="K321" s="44">
        <v>335</v>
      </c>
      <c r="L321" s="44">
        <v>232</v>
      </c>
      <c r="M321" s="44">
        <f t="shared" si="4"/>
        <v>970</v>
      </c>
      <c r="N321" s="45">
        <v>3597</v>
      </c>
      <c r="O321" s="44">
        <v>81</v>
      </c>
      <c r="P321" s="44">
        <v>1</v>
      </c>
      <c r="Q321" s="44">
        <v>288</v>
      </c>
      <c r="R321" s="44">
        <v>1000</v>
      </c>
      <c r="S321" s="44">
        <v>250</v>
      </c>
      <c r="T321" s="44">
        <v>500</v>
      </c>
      <c r="U321" s="44">
        <v>633</v>
      </c>
      <c r="V321" s="44">
        <v>220</v>
      </c>
      <c r="W321" s="44">
        <v>558</v>
      </c>
      <c r="X321" s="44">
        <v>66</v>
      </c>
    </row>
    <row r="322" spans="1:24" s="41" customFormat="1">
      <c r="A322" s="42">
        <v>46095</v>
      </c>
      <c r="B322" s="43" t="s">
        <v>962</v>
      </c>
      <c r="C322" s="44">
        <v>188</v>
      </c>
      <c r="D322" s="44">
        <v>241</v>
      </c>
      <c r="E322" s="44">
        <v>214</v>
      </c>
      <c r="F322" s="44">
        <v>429</v>
      </c>
      <c r="G322" s="44">
        <v>295</v>
      </c>
      <c r="H322" s="44">
        <v>322</v>
      </c>
      <c r="I322" s="44">
        <v>241</v>
      </c>
      <c r="J322" s="44">
        <v>214</v>
      </c>
      <c r="K322" s="44">
        <v>349</v>
      </c>
      <c r="L322" s="44">
        <v>241</v>
      </c>
      <c r="M322" s="44">
        <f t="shared" si="4"/>
        <v>1012</v>
      </c>
      <c r="N322" s="45">
        <v>3746</v>
      </c>
      <c r="O322" s="44">
        <v>82</v>
      </c>
      <c r="P322" s="44">
        <v>2</v>
      </c>
      <c r="Q322" s="44">
        <v>374</v>
      </c>
      <c r="R322" s="44">
        <v>1000</v>
      </c>
      <c r="S322" s="44">
        <v>350</v>
      </c>
      <c r="T322" s="44">
        <v>500</v>
      </c>
      <c r="U322" s="44">
        <v>633</v>
      </c>
      <c r="V322" s="44">
        <v>220</v>
      </c>
      <c r="W322" s="44">
        <v>585</v>
      </c>
      <c r="X322" s="44">
        <v>0</v>
      </c>
    </row>
    <row r="323" spans="1:24" s="41" customFormat="1">
      <c r="A323" s="42">
        <v>46096</v>
      </c>
      <c r="B323" s="43" t="s">
        <v>962</v>
      </c>
      <c r="C323" s="44">
        <v>202</v>
      </c>
      <c r="D323" s="44">
        <v>259</v>
      </c>
      <c r="E323" s="44">
        <v>230</v>
      </c>
      <c r="F323" s="44">
        <v>461</v>
      </c>
      <c r="G323" s="44">
        <v>317</v>
      </c>
      <c r="H323" s="44">
        <v>346</v>
      </c>
      <c r="I323" s="44">
        <v>259</v>
      </c>
      <c r="J323" s="44">
        <v>230</v>
      </c>
      <c r="K323" s="44">
        <v>374</v>
      </c>
      <c r="L323" s="44">
        <v>259</v>
      </c>
      <c r="M323" s="44">
        <f t="shared" ref="M323:M386" si="5">N323-SUM(C323:L323)</f>
        <v>1088</v>
      </c>
      <c r="N323" s="45">
        <v>4025</v>
      </c>
      <c r="O323" s="44">
        <v>82</v>
      </c>
      <c r="P323" s="44">
        <v>2</v>
      </c>
      <c r="Q323" s="44">
        <v>374</v>
      </c>
      <c r="R323" s="44">
        <v>1000</v>
      </c>
      <c r="S323" s="44">
        <v>350</v>
      </c>
      <c r="T323" s="44">
        <v>700</v>
      </c>
      <c r="U323" s="44">
        <v>633</v>
      </c>
      <c r="V323" s="44">
        <v>220</v>
      </c>
      <c r="W323" s="44">
        <v>664</v>
      </c>
      <c r="X323" s="44">
        <v>0</v>
      </c>
    </row>
    <row r="324" spans="1:24" s="41" customFormat="1">
      <c r="A324" s="42">
        <v>46097</v>
      </c>
      <c r="B324" s="43" t="s">
        <v>962</v>
      </c>
      <c r="C324" s="44">
        <v>197</v>
      </c>
      <c r="D324" s="44">
        <v>253</v>
      </c>
      <c r="E324" s="44">
        <v>225</v>
      </c>
      <c r="F324" s="44">
        <v>450</v>
      </c>
      <c r="G324" s="44">
        <v>309</v>
      </c>
      <c r="H324" s="44">
        <v>337</v>
      </c>
      <c r="I324" s="44">
        <v>253</v>
      </c>
      <c r="J324" s="44">
        <v>225</v>
      </c>
      <c r="K324" s="44">
        <v>366</v>
      </c>
      <c r="L324" s="44">
        <v>253</v>
      </c>
      <c r="M324" s="44">
        <f t="shared" si="5"/>
        <v>1061</v>
      </c>
      <c r="N324" s="45">
        <v>3929</v>
      </c>
      <c r="O324" s="44">
        <v>82</v>
      </c>
      <c r="P324" s="44">
        <v>2</v>
      </c>
      <c r="Q324" s="44">
        <v>288</v>
      </c>
      <c r="R324" s="44">
        <v>1000</v>
      </c>
      <c r="S324" s="44">
        <v>250</v>
      </c>
      <c r="T324" s="44">
        <v>700</v>
      </c>
      <c r="U324" s="44">
        <v>633</v>
      </c>
      <c r="V324" s="44">
        <v>220</v>
      </c>
      <c r="W324" s="44">
        <v>688</v>
      </c>
      <c r="X324" s="44">
        <v>66</v>
      </c>
    </row>
    <row r="325" spans="1:24" s="41" customFormat="1">
      <c r="A325" s="42">
        <v>46098</v>
      </c>
      <c r="B325" s="43" t="s">
        <v>962</v>
      </c>
      <c r="C325" s="49">
        <v>162</v>
      </c>
      <c r="D325" s="49">
        <v>209</v>
      </c>
      <c r="E325" s="49">
        <v>186</v>
      </c>
      <c r="F325" s="49">
        <v>371</v>
      </c>
      <c r="G325" s="49">
        <v>255</v>
      </c>
      <c r="H325" s="49">
        <v>279</v>
      </c>
      <c r="I325" s="49">
        <v>209</v>
      </c>
      <c r="J325" s="49">
        <v>186</v>
      </c>
      <c r="K325" s="49">
        <v>302</v>
      </c>
      <c r="L325" s="44">
        <v>209</v>
      </c>
      <c r="M325" s="44">
        <f t="shared" si="5"/>
        <v>875</v>
      </c>
      <c r="N325" s="45">
        <v>3243</v>
      </c>
      <c r="O325" s="49">
        <v>82</v>
      </c>
      <c r="P325" s="49">
        <v>2</v>
      </c>
      <c r="Q325" s="49">
        <v>288</v>
      </c>
      <c r="R325" s="49">
        <v>1000</v>
      </c>
      <c r="S325" s="49">
        <v>250</v>
      </c>
      <c r="T325" s="49">
        <v>700</v>
      </c>
      <c r="U325" s="49">
        <v>0</v>
      </c>
      <c r="V325" s="49">
        <v>220</v>
      </c>
      <c r="W325" s="49">
        <v>635</v>
      </c>
      <c r="X325" s="49">
        <v>66</v>
      </c>
    </row>
    <row r="326" spans="1:24" s="41" customFormat="1">
      <c r="A326" s="42">
        <v>46099</v>
      </c>
      <c r="B326" s="43" t="s">
        <v>962</v>
      </c>
      <c r="C326" s="44">
        <v>162</v>
      </c>
      <c r="D326" s="44">
        <v>209</v>
      </c>
      <c r="E326" s="44">
        <v>186</v>
      </c>
      <c r="F326" s="44">
        <v>371</v>
      </c>
      <c r="G326" s="44">
        <v>255</v>
      </c>
      <c r="H326" s="44">
        <v>278</v>
      </c>
      <c r="I326" s="44">
        <v>209</v>
      </c>
      <c r="J326" s="44">
        <v>186</v>
      </c>
      <c r="K326" s="44">
        <v>302</v>
      </c>
      <c r="L326" s="44">
        <v>209</v>
      </c>
      <c r="M326" s="44">
        <f t="shared" si="5"/>
        <v>875</v>
      </c>
      <c r="N326" s="45">
        <v>3242</v>
      </c>
      <c r="O326" s="44">
        <v>82</v>
      </c>
      <c r="P326" s="44">
        <v>2</v>
      </c>
      <c r="Q326" s="44">
        <v>288</v>
      </c>
      <c r="R326" s="44">
        <v>1000</v>
      </c>
      <c r="S326" s="44">
        <v>250</v>
      </c>
      <c r="T326" s="44">
        <v>700</v>
      </c>
      <c r="U326" s="44">
        <v>0</v>
      </c>
      <c r="V326" s="44">
        <v>220</v>
      </c>
      <c r="W326" s="44">
        <v>634</v>
      </c>
      <c r="X326" s="44">
        <v>66</v>
      </c>
    </row>
    <row r="327" spans="1:24" s="41" customFormat="1">
      <c r="A327" s="42">
        <v>46100</v>
      </c>
      <c r="B327" s="43" t="s">
        <v>962</v>
      </c>
      <c r="C327" s="44">
        <v>164</v>
      </c>
      <c r="D327" s="44">
        <v>211</v>
      </c>
      <c r="E327" s="44">
        <v>188</v>
      </c>
      <c r="F327" s="44">
        <v>375</v>
      </c>
      <c r="G327" s="44">
        <v>258</v>
      </c>
      <c r="H327" s="44">
        <v>281</v>
      </c>
      <c r="I327" s="44">
        <v>211</v>
      </c>
      <c r="J327" s="44">
        <v>188</v>
      </c>
      <c r="K327" s="44">
        <v>305</v>
      </c>
      <c r="L327" s="44">
        <v>211</v>
      </c>
      <c r="M327" s="44">
        <f t="shared" si="5"/>
        <v>883</v>
      </c>
      <c r="N327" s="45">
        <v>3275</v>
      </c>
      <c r="O327" s="44">
        <v>82</v>
      </c>
      <c r="P327" s="44">
        <v>2</v>
      </c>
      <c r="Q327" s="44">
        <v>288</v>
      </c>
      <c r="R327" s="44">
        <v>1000</v>
      </c>
      <c r="S327" s="44">
        <v>250</v>
      </c>
      <c r="T327" s="44">
        <v>700</v>
      </c>
      <c r="U327" s="44">
        <v>0</v>
      </c>
      <c r="V327" s="44">
        <v>220</v>
      </c>
      <c r="W327" s="44">
        <v>667</v>
      </c>
      <c r="X327" s="44">
        <v>66</v>
      </c>
    </row>
    <row r="328" spans="1:24" s="41" customFormat="1">
      <c r="A328" s="42">
        <v>46101</v>
      </c>
      <c r="B328" s="43" t="s">
        <v>962</v>
      </c>
      <c r="C328" s="44">
        <v>137</v>
      </c>
      <c r="D328" s="44">
        <v>177</v>
      </c>
      <c r="E328" s="44">
        <v>157</v>
      </c>
      <c r="F328" s="44">
        <v>314</v>
      </c>
      <c r="G328" s="44">
        <v>216</v>
      </c>
      <c r="H328" s="44">
        <v>236</v>
      </c>
      <c r="I328" s="44">
        <v>177</v>
      </c>
      <c r="J328" s="44">
        <v>157</v>
      </c>
      <c r="K328" s="44">
        <v>255</v>
      </c>
      <c r="L328" s="44">
        <v>177</v>
      </c>
      <c r="M328" s="44">
        <f t="shared" si="5"/>
        <v>740</v>
      </c>
      <c r="N328" s="45">
        <v>2743</v>
      </c>
      <c r="O328" s="44">
        <v>82</v>
      </c>
      <c r="P328" s="44">
        <v>2</v>
      </c>
      <c r="Q328" s="44">
        <v>288</v>
      </c>
      <c r="R328" s="44">
        <v>1000</v>
      </c>
      <c r="S328" s="44">
        <v>250</v>
      </c>
      <c r="T328" s="44">
        <v>200</v>
      </c>
      <c r="U328" s="44">
        <v>0</v>
      </c>
      <c r="V328" s="44">
        <v>220</v>
      </c>
      <c r="W328" s="44">
        <v>635</v>
      </c>
      <c r="X328" s="44">
        <v>66</v>
      </c>
    </row>
    <row r="329" spans="1:24" s="41" customFormat="1">
      <c r="A329" s="42">
        <v>46102</v>
      </c>
      <c r="B329" s="43" t="s">
        <v>962</v>
      </c>
      <c r="C329" s="44">
        <v>150</v>
      </c>
      <c r="D329" s="44">
        <v>193</v>
      </c>
      <c r="E329" s="44">
        <v>172</v>
      </c>
      <c r="F329" s="44">
        <v>344</v>
      </c>
      <c r="G329" s="44">
        <v>236</v>
      </c>
      <c r="H329" s="44">
        <v>258</v>
      </c>
      <c r="I329" s="44">
        <v>193</v>
      </c>
      <c r="J329" s="44">
        <v>172</v>
      </c>
      <c r="K329" s="44">
        <v>279</v>
      </c>
      <c r="L329" s="44">
        <v>193</v>
      </c>
      <c r="M329" s="44">
        <f t="shared" si="5"/>
        <v>812</v>
      </c>
      <c r="N329" s="45">
        <v>3002</v>
      </c>
      <c r="O329" s="44">
        <v>82</v>
      </c>
      <c r="P329" s="44">
        <v>2</v>
      </c>
      <c r="Q329" s="44">
        <v>408</v>
      </c>
      <c r="R329" s="44">
        <v>1000</v>
      </c>
      <c r="S329" s="44">
        <v>350</v>
      </c>
      <c r="T329" s="44">
        <v>300</v>
      </c>
      <c r="U329" s="44">
        <v>0</v>
      </c>
      <c r="V329" s="44">
        <v>220</v>
      </c>
      <c r="W329" s="44">
        <v>640</v>
      </c>
      <c r="X329" s="44">
        <v>0</v>
      </c>
    </row>
    <row r="330" spans="1:24" s="41" customFormat="1">
      <c r="A330" s="42">
        <v>46103</v>
      </c>
      <c r="B330" s="43" t="s">
        <v>962</v>
      </c>
      <c r="C330" s="44">
        <v>163</v>
      </c>
      <c r="D330" s="44">
        <v>209</v>
      </c>
      <c r="E330" s="44">
        <v>186</v>
      </c>
      <c r="F330" s="44">
        <v>372</v>
      </c>
      <c r="G330" s="44">
        <v>256</v>
      </c>
      <c r="H330" s="44">
        <v>279</v>
      </c>
      <c r="I330" s="44">
        <v>209</v>
      </c>
      <c r="J330" s="44">
        <v>186</v>
      </c>
      <c r="K330" s="44">
        <v>303</v>
      </c>
      <c r="L330" s="44">
        <v>209</v>
      </c>
      <c r="M330" s="44">
        <f t="shared" si="5"/>
        <v>880</v>
      </c>
      <c r="N330" s="45">
        <v>3252</v>
      </c>
      <c r="O330" s="44">
        <v>82</v>
      </c>
      <c r="P330" s="44">
        <v>2</v>
      </c>
      <c r="Q330" s="44">
        <v>408</v>
      </c>
      <c r="R330" s="44">
        <v>1000</v>
      </c>
      <c r="S330" s="44">
        <v>350</v>
      </c>
      <c r="T330" s="44">
        <v>500</v>
      </c>
      <c r="U330" s="44">
        <v>0</v>
      </c>
      <c r="V330" s="44">
        <v>220</v>
      </c>
      <c r="W330" s="44">
        <v>690</v>
      </c>
      <c r="X330" s="44">
        <v>0</v>
      </c>
    </row>
    <row r="331" spans="1:24" s="41" customFormat="1">
      <c r="A331" s="42">
        <v>46104</v>
      </c>
      <c r="B331" s="43" t="s">
        <v>962</v>
      </c>
      <c r="C331" s="44">
        <v>158</v>
      </c>
      <c r="D331" s="44">
        <v>203</v>
      </c>
      <c r="E331" s="44">
        <v>180</v>
      </c>
      <c r="F331" s="44">
        <v>360</v>
      </c>
      <c r="G331" s="44">
        <v>248</v>
      </c>
      <c r="H331" s="44">
        <v>270</v>
      </c>
      <c r="I331" s="44">
        <v>203</v>
      </c>
      <c r="J331" s="44">
        <v>180</v>
      </c>
      <c r="K331" s="44">
        <v>293</v>
      </c>
      <c r="L331" s="44">
        <v>203</v>
      </c>
      <c r="M331" s="44">
        <f t="shared" si="5"/>
        <v>848</v>
      </c>
      <c r="N331" s="45">
        <v>3146</v>
      </c>
      <c r="O331" s="44">
        <v>82</v>
      </c>
      <c r="P331" s="44">
        <v>2</v>
      </c>
      <c r="Q331" s="44">
        <v>314</v>
      </c>
      <c r="R331" s="44">
        <v>1000</v>
      </c>
      <c r="S331" s="44">
        <v>250</v>
      </c>
      <c r="T331" s="44">
        <v>500</v>
      </c>
      <c r="U331" s="44">
        <v>0</v>
      </c>
      <c r="V331" s="44">
        <v>220</v>
      </c>
      <c r="W331" s="44">
        <v>712</v>
      </c>
      <c r="X331" s="44">
        <v>66</v>
      </c>
    </row>
    <row r="332" spans="1:24" s="41" customFormat="1">
      <c r="A332" s="42">
        <v>46105</v>
      </c>
      <c r="B332" s="43" t="s">
        <v>962</v>
      </c>
      <c r="C332" s="44">
        <v>154</v>
      </c>
      <c r="D332" s="44">
        <v>199</v>
      </c>
      <c r="E332" s="44">
        <v>177</v>
      </c>
      <c r="F332" s="44">
        <v>353</v>
      </c>
      <c r="G332" s="44">
        <v>243</v>
      </c>
      <c r="H332" s="44">
        <v>265</v>
      </c>
      <c r="I332" s="44">
        <v>199</v>
      </c>
      <c r="J332" s="44">
        <v>177</v>
      </c>
      <c r="K332" s="44">
        <v>287</v>
      </c>
      <c r="L332" s="44">
        <v>199</v>
      </c>
      <c r="M332" s="44">
        <f t="shared" si="5"/>
        <v>830</v>
      </c>
      <c r="N332" s="45">
        <v>3083</v>
      </c>
      <c r="O332" s="44">
        <v>82</v>
      </c>
      <c r="P332" s="44">
        <v>2</v>
      </c>
      <c r="Q332" s="44">
        <v>314</v>
      </c>
      <c r="R332" s="44">
        <v>1000</v>
      </c>
      <c r="S332" s="44">
        <v>250</v>
      </c>
      <c r="T332" s="44">
        <v>500</v>
      </c>
      <c r="U332" s="44">
        <v>0</v>
      </c>
      <c r="V332" s="44">
        <v>220</v>
      </c>
      <c r="W332" s="44">
        <v>649</v>
      </c>
      <c r="X332" s="44">
        <v>66</v>
      </c>
    </row>
    <row r="333" spans="1:24" s="41" customFormat="1">
      <c r="A333" s="42">
        <v>46106</v>
      </c>
      <c r="B333" s="43" t="s">
        <v>962</v>
      </c>
      <c r="C333" s="44">
        <v>145</v>
      </c>
      <c r="D333" s="44">
        <v>187</v>
      </c>
      <c r="E333" s="44">
        <v>166</v>
      </c>
      <c r="F333" s="44">
        <v>332</v>
      </c>
      <c r="G333" s="44">
        <v>228</v>
      </c>
      <c r="H333" s="44">
        <v>249</v>
      </c>
      <c r="I333" s="44">
        <v>187</v>
      </c>
      <c r="J333" s="44">
        <v>166</v>
      </c>
      <c r="K333" s="44">
        <v>270</v>
      </c>
      <c r="L333" s="44">
        <v>187</v>
      </c>
      <c r="M333" s="44">
        <f t="shared" si="5"/>
        <v>782</v>
      </c>
      <c r="N333" s="45">
        <v>2899</v>
      </c>
      <c r="O333" s="44">
        <v>82</v>
      </c>
      <c r="P333" s="44">
        <v>2</v>
      </c>
      <c r="Q333" s="44">
        <v>314</v>
      </c>
      <c r="R333" s="44">
        <v>816</v>
      </c>
      <c r="S333" s="44">
        <v>250</v>
      </c>
      <c r="T333" s="44">
        <v>500</v>
      </c>
      <c r="U333" s="44">
        <v>0</v>
      </c>
      <c r="V333" s="44">
        <v>220</v>
      </c>
      <c r="W333" s="44">
        <v>649</v>
      </c>
      <c r="X333" s="44">
        <v>66</v>
      </c>
    </row>
    <row r="334" spans="1:24" s="41" customFormat="1">
      <c r="A334" s="42">
        <v>46107</v>
      </c>
      <c r="B334" s="43" t="s">
        <v>962</v>
      </c>
      <c r="C334" s="44">
        <v>179</v>
      </c>
      <c r="D334" s="44">
        <v>230</v>
      </c>
      <c r="E334" s="44">
        <v>205</v>
      </c>
      <c r="F334" s="44">
        <v>409</v>
      </c>
      <c r="G334" s="44">
        <v>281</v>
      </c>
      <c r="H334" s="44">
        <v>307</v>
      </c>
      <c r="I334" s="44">
        <v>230</v>
      </c>
      <c r="J334" s="44">
        <v>205</v>
      </c>
      <c r="K334" s="44">
        <v>332</v>
      </c>
      <c r="L334" s="44">
        <v>230</v>
      </c>
      <c r="M334" s="44">
        <f t="shared" si="5"/>
        <v>964</v>
      </c>
      <c r="N334" s="45">
        <v>3572</v>
      </c>
      <c r="O334" s="44">
        <v>82</v>
      </c>
      <c r="P334" s="44">
        <v>2</v>
      </c>
      <c r="Q334" s="44">
        <v>314</v>
      </c>
      <c r="R334" s="44">
        <v>816</v>
      </c>
      <c r="S334" s="44">
        <v>250</v>
      </c>
      <c r="T334" s="44">
        <v>500</v>
      </c>
      <c r="U334" s="44">
        <v>673</v>
      </c>
      <c r="V334" s="44">
        <v>220</v>
      </c>
      <c r="W334" s="44">
        <v>649</v>
      </c>
      <c r="X334" s="44">
        <v>66</v>
      </c>
    </row>
    <row r="335" spans="1:24" s="41" customFormat="1">
      <c r="A335" s="42">
        <v>46108</v>
      </c>
      <c r="B335" s="43" t="s">
        <v>962</v>
      </c>
      <c r="C335" s="44">
        <v>184</v>
      </c>
      <c r="D335" s="44">
        <v>237</v>
      </c>
      <c r="E335" s="44">
        <v>211</v>
      </c>
      <c r="F335" s="44">
        <v>421</v>
      </c>
      <c r="G335" s="44">
        <v>290</v>
      </c>
      <c r="H335" s="44">
        <v>316</v>
      </c>
      <c r="I335" s="44">
        <v>237</v>
      </c>
      <c r="J335" s="44">
        <v>211</v>
      </c>
      <c r="K335" s="44">
        <v>342</v>
      </c>
      <c r="L335" s="44">
        <v>237</v>
      </c>
      <c r="M335" s="44">
        <f t="shared" si="5"/>
        <v>994</v>
      </c>
      <c r="N335" s="45">
        <v>3680</v>
      </c>
      <c r="O335" s="44">
        <v>82</v>
      </c>
      <c r="P335" s="44">
        <v>2</v>
      </c>
      <c r="Q335" s="44">
        <v>314</v>
      </c>
      <c r="R335" s="44">
        <v>500</v>
      </c>
      <c r="S335" s="44">
        <v>250</v>
      </c>
      <c r="T335" s="44">
        <v>600</v>
      </c>
      <c r="U335" s="44">
        <v>989</v>
      </c>
      <c r="V335" s="44">
        <v>220</v>
      </c>
      <c r="W335" s="44">
        <v>657</v>
      </c>
      <c r="X335" s="44">
        <v>66</v>
      </c>
    </row>
    <row r="336" spans="1:24" s="41" customFormat="1">
      <c r="A336" s="42">
        <v>46109</v>
      </c>
      <c r="B336" s="43" t="s">
        <v>962</v>
      </c>
      <c r="C336" s="44">
        <v>199</v>
      </c>
      <c r="D336" s="44">
        <v>256</v>
      </c>
      <c r="E336" s="44">
        <v>227</v>
      </c>
      <c r="F336" s="44">
        <v>455</v>
      </c>
      <c r="G336" s="44">
        <v>313</v>
      </c>
      <c r="H336" s="44">
        <v>341</v>
      </c>
      <c r="I336" s="44">
        <v>256</v>
      </c>
      <c r="J336" s="44">
        <v>227</v>
      </c>
      <c r="K336" s="44">
        <v>370</v>
      </c>
      <c r="L336" s="44">
        <v>256</v>
      </c>
      <c r="M336" s="44">
        <f t="shared" si="5"/>
        <v>1073</v>
      </c>
      <c r="N336" s="45">
        <v>3973</v>
      </c>
      <c r="O336" s="44">
        <v>82</v>
      </c>
      <c r="P336" s="44">
        <v>2</v>
      </c>
      <c r="Q336" s="44">
        <v>408</v>
      </c>
      <c r="R336" s="44">
        <v>500</v>
      </c>
      <c r="S336" s="44">
        <v>370</v>
      </c>
      <c r="T336" s="44">
        <v>700</v>
      </c>
      <c r="U336" s="44">
        <v>989</v>
      </c>
      <c r="V336" s="44">
        <v>220</v>
      </c>
      <c r="W336" s="44">
        <v>702</v>
      </c>
      <c r="X336" s="44">
        <v>0</v>
      </c>
    </row>
    <row r="337" spans="1:24" s="41" customFormat="1">
      <c r="A337" s="42">
        <v>46110</v>
      </c>
      <c r="B337" s="43" t="s">
        <v>962</v>
      </c>
      <c r="C337" s="44">
        <v>200</v>
      </c>
      <c r="D337" s="44">
        <v>257</v>
      </c>
      <c r="E337" s="44">
        <v>229</v>
      </c>
      <c r="F337" s="44">
        <v>458</v>
      </c>
      <c r="G337" s="44">
        <v>315</v>
      </c>
      <c r="H337" s="44">
        <v>343</v>
      </c>
      <c r="I337" s="44">
        <v>257</v>
      </c>
      <c r="J337" s="44">
        <v>229</v>
      </c>
      <c r="K337" s="44">
        <v>372</v>
      </c>
      <c r="L337" s="44">
        <v>257</v>
      </c>
      <c r="M337" s="44">
        <f t="shared" si="5"/>
        <v>1080</v>
      </c>
      <c r="N337" s="45">
        <v>3997</v>
      </c>
      <c r="O337" s="44">
        <v>82</v>
      </c>
      <c r="P337" s="44">
        <v>2</v>
      </c>
      <c r="Q337" s="44">
        <v>408</v>
      </c>
      <c r="R337" s="44">
        <v>500</v>
      </c>
      <c r="S337" s="44">
        <v>373</v>
      </c>
      <c r="T337" s="44">
        <v>700</v>
      </c>
      <c r="U337" s="44">
        <v>988</v>
      </c>
      <c r="V337" s="44">
        <v>220</v>
      </c>
      <c r="W337" s="44">
        <v>724</v>
      </c>
      <c r="X337" s="44">
        <v>0</v>
      </c>
    </row>
    <row r="338" spans="1:24" s="41" customFormat="1">
      <c r="A338" s="42">
        <v>46111</v>
      </c>
      <c r="B338" s="43" t="s">
        <v>962</v>
      </c>
      <c r="C338" s="44">
        <v>141</v>
      </c>
      <c r="D338" s="44">
        <v>182</v>
      </c>
      <c r="E338" s="44">
        <v>162</v>
      </c>
      <c r="F338" s="44">
        <v>323</v>
      </c>
      <c r="G338" s="44">
        <v>222</v>
      </c>
      <c r="H338" s="44">
        <v>242</v>
      </c>
      <c r="I338" s="44">
        <v>182</v>
      </c>
      <c r="J338" s="44">
        <v>162</v>
      </c>
      <c r="K338" s="44">
        <v>263</v>
      </c>
      <c r="L338" s="44">
        <v>182</v>
      </c>
      <c r="M338" s="44">
        <f t="shared" si="5"/>
        <v>761</v>
      </c>
      <c r="N338" s="45">
        <v>2822</v>
      </c>
      <c r="O338" s="44">
        <v>82</v>
      </c>
      <c r="P338" s="44">
        <v>2</v>
      </c>
      <c r="Q338" s="44">
        <v>314</v>
      </c>
      <c r="R338" s="44">
        <v>500</v>
      </c>
      <c r="S338" s="44">
        <v>282</v>
      </c>
      <c r="T338" s="44">
        <v>700</v>
      </c>
      <c r="U338" s="44">
        <v>0</v>
      </c>
      <c r="V338" s="44">
        <v>220</v>
      </c>
      <c r="W338" s="44">
        <v>656</v>
      </c>
      <c r="X338" s="44">
        <v>66</v>
      </c>
    </row>
    <row r="339" spans="1:24" s="41" customFormat="1">
      <c r="A339" s="42">
        <v>46112</v>
      </c>
      <c r="B339" s="43" t="s">
        <v>962</v>
      </c>
      <c r="C339" s="44">
        <v>135</v>
      </c>
      <c r="D339" s="44">
        <v>173</v>
      </c>
      <c r="E339" s="44">
        <v>154</v>
      </c>
      <c r="F339" s="44">
        <v>308</v>
      </c>
      <c r="G339" s="44">
        <v>212</v>
      </c>
      <c r="H339" s="44">
        <v>231</v>
      </c>
      <c r="I339" s="44">
        <v>173</v>
      </c>
      <c r="J339" s="44">
        <v>154</v>
      </c>
      <c r="K339" s="44">
        <v>250</v>
      </c>
      <c r="L339" s="44">
        <v>173</v>
      </c>
      <c r="M339" s="44">
        <f t="shared" si="5"/>
        <v>728</v>
      </c>
      <c r="N339" s="45">
        <v>2691</v>
      </c>
      <c r="O339" s="44">
        <v>82</v>
      </c>
      <c r="P339" s="44">
        <v>2</v>
      </c>
      <c r="Q339" s="44">
        <v>314</v>
      </c>
      <c r="R339" s="44">
        <v>500</v>
      </c>
      <c r="S339" s="44">
        <v>282</v>
      </c>
      <c r="T339" s="44">
        <v>618</v>
      </c>
      <c r="U339" s="44">
        <v>0</v>
      </c>
      <c r="V339" s="44">
        <v>210</v>
      </c>
      <c r="W339" s="44">
        <v>617</v>
      </c>
      <c r="X339" s="44">
        <v>66</v>
      </c>
    </row>
    <row r="340" spans="1:24" s="41" customFormat="1">
      <c r="A340" s="42">
        <v>46113</v>
      </c>
      <c r="B340" s="43" t="s">
        <v>962</v>
      </c>
      <c r="C340" s="44">
        <v>145.9308540921397</v>
      </c>
      <c r="D340" s="44">
        <v>188.00621904770591</v>
      </c>
      <c r="E340" s="44">
        <v>194.1983532099182</v>
      </c>
      <c r="F340" s="44">
        <v>409.0908519769128</v>
      </c>
      <c r="G340" s="44">
        <v>247.11340992465864</v>
      </c>
      <c r="H340" s="44">
        <v>274.90403438313598</v>
      </c>
      <c r="I340" s="44">
        <v>190.05015569543261</v>
      </c>
      <c r="J340" s="44">
        <v>235.79682842247567</v>
      </c>
      <c r="K340" s="44">
        <v>372.01634749424539</v>
      </c>
      <c r="L340" s="44">
        <v>206.64294575337507</v>
      </c>
      <c r="M340" s="44">
        <f t="shared" si="5"/>
        <v>911.25</v>
      </c>
      <c r="N340" s="45">
        <v>3375</v>
      </c>
      <c r="O340" s="44">
        <v>135</v>
      </c>
      <c r="P340" s="44">
        <v>0</v>
      </c>
      <c r="Q340" s="44">
        <v>481</v>
      </c>
      <c r="R340" s="44">
        <v>520</v>
      </c>
      <c r="S340" s="44">
        <v>288</v>
      </c>
      <c r="T340" s="44">
        <v>692</v>
      </c>
      <c r="U340" s="44">
        <v>84</v>
      </c>
      <c r="V340" s="44">
        <v>300</v>
      </c>
      <c r="W340" s="44">
        <v>801</v>
      </c>
      <c r="X340" s="44">
        <v>74</v>
      </c>
    </row>
    <row r="341" spans="1:24" s="41" customFormat="1">
      <c r="A341" s="42">
        <v>46114</v>
      </c>
      <c r="B341" s="43" t="s">
        <v>962</v>
      </c>
      <c r="C341" s="44">
        <v>146.3200030363854</v>
      </c>
      <c r="D341" s="44">
        <v>188.50756896516646</v>
      </c>
      <c r="E341" s="44">
        <v>194.71621548514466</v>
      </c>
      <c r="F341" s="44">
        <v>410.18176091551794</v>
      </c>
      <c r="G341" s="44">
        <v>247.77237901779108</v>
      </c>
      <c r="H341" s="44">
        <v>275.63711180815767</v>
      </c>
      <c r="I341" s="44">
        <v>190.55695611062043</v>
      </c>
      <c r="J341" s="44">
        <v>236.42561996493563</v>
      </c>
      <c r="K341" s="44">
        <v>373.00839108756344</v>
      </c>
      <c r="L341" s="44">
        <v>207.19399360871742</v>
      </c>
      <c r="M341" s="44">
        <f t="shared" si="5"/>
        <v>913.68000000000029</v>
      </c>
      <c r="N341" s="45">
        <v>3384</v>
      </c>
      <c r="O341" s="44">
        <v>135</v>
      </c>
      <c r="P341" s="44">
        <v>0</v>
      </c>
      <c r="Q341" s="44">
        <v>486</v>
      </c>
      <c r="R341" s="44">
        <v>520</v>
      </c>
      <c r="S341" s="44">
        <v>288</v>
      </c>
      <c r="T341" s="44">
        <v>693</v>
      </c>
      <c r="U341" s="44">
        <v>84</v>
      </c>
      <c r="V341" s="44">
        <v>306</v>
      </c>
      <c r="W341" s="44">
        <v>798</v>
      </c>
      <c r="X341" s="44">
        <v>74</v>
      </c>
    </row>
    <row r="342" spans="1:24" s="41" customFormat="1">
      <c r="A342" s="42">
        <v>46115</v>
      </c>
      <c r="B342" s="43" t="s">
        <v>962</v>
      </c>
      <c r="C342" s="44">
        <v>146.19028672163685</v>
      </c>
      <c r="D342" s="44">
        <v>188.34045232601295</v>
      </c>
      <c r="E342" s="44">
        <v>194.54359472673585</v>
      </c>
      <c r="F342" s="44">
        <v>409.81812460264956</v>
      </c>
      <c r="G342" s="44">
        <v>247.55272265341361</v>
      </c>
      <c r="H342" s="44">
        <v>275.39275266648377</v>
      </c>
      <c r="I342" s="44">
        <v>190.38802263889116</v>
      </c>
      <c r="J342" s="44">
        <v>236.21602278411564</v>
      </c>
      <c r="K342" s="44">
        <v>372.67770988979072</v>
      </c>
      <c r="L342" s="44">
        <v>207.01031099026997</v>
      </c>
      <c r="M342" s="44">
        <f t="shared" si="5"/>
        <v>912.86999999999989</v>
      </c>
      <c r="N342" s="45">
        <v>3381</v>
      </c>
      <c r="O342" s="44">
        <v>135</v>
      </c>
      <c r="P342" s="44">
        <v>0</v>
      </c>
      <c r="Q342" s="44">
        <v>486</v>
      </c>
      <c r="R342" s="44">
        <v>520</v>
      </c>
      <c r="S342" s="44">
        <v>288</v>
      </c>
      <c r="T342" s="44">
        <v>693</v>
      </c>
      <c r="U342" s="44">
        <v>84</v>
      </c>
      <c r="V342" s="44">
        <v>306</v>
      </c>
      <c r="W342" s="44">
        <v>795</v>
      </c>
      <c r="X342" s="44">
        <v>74</v>
      </c>
    </row>
    <row r="343" spans="1:24" s="41" customFormat="1">
      <c r="A343" s="42">
        <v>46116</v>
      </c>
      <c r="B343" s="43" t="s">
        <v>962</v>
      </c>
      <c r="C343" s="44">
        <v>156.95674084576802</v>
      </c>
      <c r="D343" s="44">
        <v>202.2111333757548</v>
      </c>
      <c r="E343" s="44">
        <v>208.87111767466757</v>
      </c>
      <c r="F343" s="44">
        <v>439.999938570724</v>
      </c>
      <c r="G343" s="44">
        <v>265.78420089674398</v>
      </c>
      <c r="H343" s="44">
        <v>295.67456142541738</v>
      </c>
      <c r="I343" s="44">
        <v>204.40950079242086</v>
      </c>
      <c r="J343" s="44">
        <v>253.61258879217385</v>
      </c>
      <c r="K343" s="44">
        <v>400.12424930492176</v>
      </c>
      <c r="L343" s="44">
        <v>222.25596832140789</v>
      </c>
      <c r="M343" s="44">
        <f t="shared" si="5"/>
        <v>980.09999999999945</v>
      </c>
      <c r="N343" s="45">
        <v>3630</v>
      </c>
      <c r="O343" s="44">
        <v>156</v>
      </c>
      <c r="P343" s="44">
        <v>2</v>
      </c>
      <c r="Q343" s="44">
        <v>558</v>
      </c>
      <c r="R343" s="44">
        <v>520</v>
      </c>
      <c r="S343" s="44">
        <v>331</v>
      </c>
      <c r="T343" s="44">
        <v>797</v>
      </c>
      <c r="U343" s="44">
        <v>97</v>
      </c>
      <c r="V343" s="44">
        <v>351</v>
      </c>
      <c r="W343" s="44">
        <v>818</v>
      </c>
      <c r="X343" s="44">
        <v>0</v>
      </c>
    </row>
    <row r="344" spans="1:24" s="41" customFormat="1">
      <c r="A344" s="42">
        <v>46117</v>
      </c>
      <c r="B344" s="43" t="s">
        <v>962</v>
      </c>
      <c r="C344" s="44">
        <v>156.87026330260232</v>
      </c>
      <c r="D344" s="44">
        <v>202.09972228298579</v>
      </c>
      <c r="E344" s="44">
        <v>208.7560371690617</v>
      </c>
      <c r="F344" s="44">
        <v>439.75751436214506</v>
      </c>
      <c r="G344" s="44">
        <v>265.63776332049235</v>
      </c>
      <c r="H344" s="44">
        <v>295.5116553309681</v>
      </c>
      <c r="I344" s="44">
        <v>204.29687847793468</v>
      </c>
      <c r="J344" s="44">
        <v>253.47285733829386</v>
      </c>
      <c r="K344" s="44">
        <v>399.90379517307326</v>
      </c>
      <c r="L344" s="44">
        <v>222.13351324244292</v>
      </c>
      <c r="M344" s="44">
        <f t="shared" si="5"/>
        <v>979.5600000000004</v>
      </c>
      <c r="N344" s="45">
        <v>3628</v>
      </c>
      <c r="O344" s="44">
        <v>156</v>
      </c>
      <c r="P344" s="44">
        <v>2</v>
      </c>
      <c r="Q344" s="44">
        <v>558</v>
      </c>
      <c r="R344" s="44">
        <v>520</v>
      </c>
      <c r="S344" s="44">
        <v>331</v>
      </c>
      <c r="T344" s="44">
        <v>797</v>
      </c>
      <c r="U344" s="44">
        <v>97</v>
      </c>
      <c r="V344" s="44">
        <v>351</v>
      </c>
      <c r="W344" s="44">
        <v>816</v>
      </c>
      <c r="X344" s="44">
        <v>0</v>
      </c>
    </row>
    <row r="345" spans="1:24" s="41" customFormat="1">
      <c r="A345" s="42">
        <v>46118</v>
      </c>
      <c r="B345" s="43" t="s">
        <v>962</v>
      </c>
      <c r="C345" s="44">
        <v>155.22718998245378</v>
      </c>
      <c r="D345" s="44">
        <v>199.98291152037456</v>
      </c>
      <c r="E345" s="44">
        <v>206.56950756255</v>
      </c>
      <c r="F345" s="44">
        <v>435.15145439914573</v>
      </c>
      <c r="G345" s="44">
        <v>262.85544937171096</v>
      </c>
      <c r="H345" s="44">
        <v>292.41643953643205</v>
      </c>
      <c r="I345" s="44">
        <v>202.15705450269718</v>
      </c>
      <c r="J345" s="44">
        <v>250.8179597145741</v>
      </c>
      <c r="K345" s="44">
        <v>395.71516666795287</v>
      </c>
      <c r="L345" s="44">
        <v>219.80686674210858</v>
      </c>
      <c r="M345" s="44">
        <f t="shared" si="5"/>
        <v>969.30000000000018</v>
      </c>
      <c r="N345" s="45">
        <v>3590</v>
      </c>
      <c r="O345" s="44">
        <v>156</v>
      </c>
      <c r="P345" s="44">
        <v>2</v>
      </c>
      <c r="Q345" s="44">
        <v>558</v>
      </c>
      <c r="R345" s="44">
        <v>520</v>
      </c>
      <c r="S345" s="44">
        <v>331</v>
      </c>
      <c r="T345" s="44">
        <v>797</v>
      </c>
      <c r="U345" s="44">
        <v>97</v>
      </c>
      <c r="V345" s="44">
        <v>351</v>
      </c>
      <c r="W345" s="44">
        <v>778</v>
      </c>
      <c r="X345" s="44">
        <v>0</v>
      </c>
    </row>
    <row r="346" spans="1:24" s="41" customFormat="1">
      <c r="A346" s="42">
        <v>46119</v>
      </c>
      <c r="B346" s="43" t="s">
        <v>962</v>
      </c>
      <c r="C346" s="44">
        <v>144.63369094465401</v>
      </c>
      <c r="D346" s="44">
        <v>186.33505265617075</v>
      </c>
      <c r="E346" s="44">
        <v>192.47214562583002</v>
      </c>
      <c r="F346" s="44">
        <v>405.45448884822912</v>
      </c>
      <c r="G346" s="44">
        <v>244.9168462808839</v>
      </c>
      <c r="H346" s="44">
        <v>272.46044296639701</v>
      </c>
      <c r="I346" s="44">
        <v>188.36082097813986</v>
      </c>
      <c r="J346" s="44">
        <v>233.70085661427589</v>
      </c>
      <c r="K346" s="44">
        <v>368.70953551651877</v>
      </c>
      <c r="L346" s="44">
        <v>204.80611956890064</v>
      </c>
      <c r="M346" s="44">
        <f t="shared" si="5"/>
        <v>903.15000000000009</v>
      </c>
      <c r="N346" s="45">
        <v>3345</v>
      </c>
      <c r="O346" s="44">
        <v>135</v>
      </c>
      <c r="P346" s="44">
        <v>1</v>
      </c>
      <c r="Q346" s="44">
        <v>486</v>
      </c>
      <c r="R346" s="44">
        <v>520</v>
      </c>
      <c r="S346" s="44">
        <v>288</v>
      </c>
      <c r="T346" s="44">
        <v>693</v>
      </c>
      <c r="U346" s="44">
        <v>84</v>
      </c>
      <c r="V346" s="44">
        <v>306</v>
      </c>
      <c r="W346" s="44">
        <v>758</v>
      </c>
      <c r="X346" s="44">
        <v>74</v>
      </c>
    </row>
    <row r="347" spans="1:24" s="41" customFormat="1">
      <c r="A347" s="42">
        <v>46120</v>
      </c>
      <c r="B347" s="43" t="s">
        <v>962</v>
      </c>
      <c r="C347" s="44">
        <v>116.44201187263175</v>
      </c>
      <c r="D347" s="44">
        <v>150.01503641347318</v>
      </c>
      <c r="E347" s="44">
        <v>154.95590079831396</v>
      </c>
      <c r="F347" s="44">
        <v>326.42419685150401</v>
      </c>
      <c r="G347" s="44">
        <v>197.17819642284613</v>
      </c>
      <c r="H347" s="44">
        <v>219.35305617593633</v>
      </c>
      <c r="I347" s="44">
        <v>151.64594645564443</v>
      </c>
      <c r="J347" s="44">
        <v>188.14840264940059</v>
      </c>
      <c r="K347" s="44">
        <v>296.84148853392674</v>
      </c>
      <c r="L347" s="44">
        <v>164.88576382632269</v>
      </c>
      <c r="M347" s="44">
        <f t="shared" si="5"/>
        <v>727.1099999999999</v>
      </c>
      <c r="N347" s="45">
        <v>2693</v>
      </c>
      <c r="O347" s="44">
        <v>135</v>
      </c>
      <c r="P347" s="44">
        <v>1</v>
      </c>
      <c r="Q347" s="44">
        <v>486</v>
      </c>
      <c r="R347" s="44">
        <v>520</v>
      </c>
      <c r="S347" s="44">
        <v>288</v>
      </c>
      <c r="T347" s="44">
        <v>100</v>
      </c>
      <c r="U347" s="44">
        <v>84</v>
      </c>
      <c r="V347" s="44">
        <v>306</v>
      </c>
      <c r="W347" s="44">
        <v>699</v>
      </c>
      <c r="X347" s="44">
        <v>74</v>
      </c>
    </row>
    <row r="348" spans="1:24" s="41" customFormat="1">
      <c r="A348" s="42">
        <v>46121</v>
      </c>
      <c r="B348" s="43" t="s">
        <v>962</v>
      </c>
      <c r="C348" s="44">
        <v>143.55272165508259</v>
      </c>
      <c r="D348" s="44">
        <v>184.94241399655809</v>
      </c>
      <c r="E348" s="44">
        <v>191.03363930575657</v>
      </c>
      <c r="F348" s="44">
        <v>402.4241862409927</v>
      </c>
      <c r="G348" s="44">
        <v>243.08637657773829</v>
      </c>
      <c r="H348" s="44">
        <v>270.42411678578117</v>
      </c>
      <c r="I348" s="44">
        <v>186.95304204706258</v>
      </c>
      <c r="J348" s="44">
        <v>231.95421344077607</v>
      </c>
      <c r="K348" s="44">
        <v>365.95385886841325</v>
      </c>
      <c r="L348" s="44">
        <v>203.2754310818386</v>
      </c>
      <c r="M348" s="44">
        <f t="shared" si="5"/>
        <v>896.40000000000009</v>
      </c>
      <c r="N348" s="45">
        <v>3320</v>
      </c>
      <c r="O348" s="44">
        <v>135</v>
      </c>
      <c r="P348" s="44">
        <v>1</v>
      </c>
      <c r="Q348" s="44">
        <v>486</v>
      </c>
      <c r="R348" s="44">
        <v>520</v>
      </c>
      <c r="S348" s="44">
        <v>288</v>
      </c>
      <c r="T348" s="44">
        <v>693</v>
      </c>
      <c r="U348" s="44">
        <v>84</v>
      </c>
      <c r="V348" s="44">
        <v>306</v>
      </c>
      <c r="W348" s="44">
        <v>733</v>
      </c>
      <c r="X348" s="44">
        <v>74</v>
      </c>
    </row>
    <row r="349" spans="1:24" s="41" customFormat="1">
      <c r="A349" s="42">
        <v>46122</v>
      </c>
      <c r="B349" s="43" t="s">
        <v>962</v>
      </c>
      <c r="C349" s="44">
        <v>143.89863182774545</v>
      </c>
      <c r="D349" s="44">
        <v>185.38805836763416</v>
      </c>
      <c r="E349" s="44">
        <v>191.49396132818006</v>
      </c>
      <c r="F349" s="44">
        <v>403.39388307530839</v>
      </c>
      <c r="G349" s="44">
        <v>243.67212688274489</v>
      </c>
      <c r="H349" s="44">
        <v>271.07574116357824</v>
      </c>
      <c r="I349" s="44">
        <v>187.40353130500733</v>
      </c>
      <c r="J349" s="44">
        <v>232.51313925629603</v>
      </c>
      <c r="K349" s="44">
        <v>366.83567539580702</v>
      </c>
      <c r="L349" s="44">
        <v>203.76525139769845</v>
      </c>
      <c r="M349" s="44">
        <f t="shared" si="5"/>
        <v>898.56</v>
      </c>
      <c r="N349" s="45">
        <v>3328</v>
      </c>
      <c r="O349" s="44">
        <v>135</v>
      </c>
      <c r="P349" s="44">
        <v>1</v>
      </c>
      <c r="Q349" s="44">
        <v>486</v>
      </c>
      <c r="R349" s="44">
        <v>520</v>
      </c>
      <c r="S349" s="44">
        <v>288</v>
      </c>
      <c r="T349" s="44">
        <v>693</v>
      </c>
      <c r="U349" s="44">
        <v>84</v>
      </c>
      <c r="V349" s="44">
        <v>306</v>
      </c>
      <c r="W349" s="44">
        <v>741</v>
      </c>
      <c r="X349" s="44">
        <v>74</v>
      </c>
    </row>
    <row r="350" spans="1:24" s="41" customFormat="1">
      <c r="A350" s="42">
        <v>46123</v>
      </c>
      <c r="B350" s="43" t="s">
        <v>962</v>
      </c>
      <c r="C350" s="44">
        <v>158.29714276483656</v>
      </c>
      <c r="D350" s="44">
        <v>203.93800531367444</v>
      </c>
      <c r="E350" s="44">
        <v>210.65486551155865</v>
      </c>
      <c r="F350" s="44">
        <v>443.75751380369707</v>
      </c>
      <c r="G350" s="44">
        <v>268.05398332864451</v>
      </c>
      <c r="H350" s="44">
        <v>298.19960588938096</v>
      </c>
      <c r="I350" s="44">
        <v>206.15514666695665</v>
      </c>
      <c r="J350" s="44">
        <v>255.77842632731358</v>
      </c>
      <c r="K350" s="44">
        <v>403.54128834857255</v>
      </c>
      <c r="L350" s="44">
        <v>224.15402204536477</v>
      </c>
      <c r="M350" s="44">
        <f t="shared" si="5"/>
        <v>988.47000000000025</v>
      </c>
      <c r="N350" s="45">
        <v>3661</v>
      </c>
      <c r="O350" s="44">
        <v>156</v>
      </c>
      <c r="P350" s="44">
        <v>2</v>
      </c>
      <c r="Q350" s="44">
        <v>558</v>
      </c>
      <c r="R350" s="44">
        <v>600</v>
      </c>
      <c r="S350" s="44">
        <v>331</v>
      </c>
      <c r="T350" s="44">
        <v>797</v>
      </c>
      <c r="U350" s="44">
        <v>97</v>
      </c>
      <c r="V350" s="44">
        <v>351</v>
      </c>
      <c r="W350" s="44">
        <v>769</v>
      </c>
      <c r="X350" s="44">
        <v>0</v>
      </c>
    </row>
    <row r="351" spans="1:24" s="41" customFormat="1">
      <c r="A351" s="42">
        <v>46124</v>
      </c>
      <c r="B351" s="43" t="s">
        <v>962</v>
      </c>
      <c r="C351" s="44">
        <v>158.772769252248</v>
      </c>
      <c r="D351" s="44">
        <v>204.55076632390401</v>
      </c>
      <c r="E351" s="44">
        <v>211.28780829239099</v>
      </c>
      <c r="F351" s="44">
        <v>445.09084695088109</v>
      </c>
      <c r="G351" s="44">
        <v>268.85938999802863</v>
      </c>
      <c r="H351" s="44">
        <v>299.09558940885194</v>
      </c>
      <c r="I351" s="44">
        <v>206.77456939663068</v>
      </c>
      <c r="J351" s="44">
        <v>256.54694932365351</v>
      </c>
      <c r="K351" s="44">
        <v>404.75378607373898</v>
      </c>
      <c r="L351" s="44">
        <v>224.82752497967209</v>
      </c>
      <c r="M351" s="44">
        <f t="shared" si="5"/>
        <v>991.44000000000051</v>
      </c>
      <c r="N351" s="45">
        <v>3672</v>
      </c>
      <c r="O351" s="44">
        <v>156</v>
      </c>
      <c r="P351" s="44">
        <v>2</v>
      </c>
      <c r="Q351" s="44">
        <v>558</v>
      </c>
      <c r="R351" s="44">
        <v>600</v>
      </c>
      <c r="S351" s="44">
        <v>331</v>
      </c>
      <c r="T351" s="44">
        <v>797</v>
      </c>
      <c r="U351" s="44">
        <v>97</v>
      </c>
      <c r="V351" s="44">
        <v>351</v>
      </c>
      <c r="W351" s="44">
        <v>780</v>
      </c>
      <c r="X351" s="44">
        <v>0</v>
      </c>
    </row>
    <row r="352" spans="1:24" s="41" customFormat="1">
      <c r="A352" s="42">
        <v>46125</v>
      </c>
      <c r="B352" s="43" t="s">
        <v>962</v>
      </c>
      <c r="C352" s="44">
        <v>147.57392741228821</v>
      </c>
      <c r="D352" s="44">
        <v>190.12302981031709</v>
      </c>
      <c r="E352" s="44">
        <v>196.38488281642984</v>
      </c>
      <c r="F352" s="44">
        <v>413.69691193991207</v>
      </c>
      <c r="G352" s="44">
        <v>249.89572387343998</v>
      </c>
      <c r="H352" s="44">
        <v>277.99925017767202</v>
      </c>
      <c r="I352" s="44">
        <v>192.18997967067006</v>
      </c>
      <c r="J352" s="44">
        <v>238.45172604619538</v>
      </c>
      <c r="K352" s="44">
        <v>376.20497599936579</v>
      </c>
      <c r="L352" s="44">
        <v>208.96959225370938</v>
      </c>
      <c r="M352" s="44">
        <f t="shared" si="5"/>
        <v>921.51000000000022</v>
      </c>
      <c r="N352" s="45">
        <v>3413</v>
      </c>
      <c r="O352" s="44">
        <v>135</v>
      </c>
      <c r="P352" s="44">
        <v>1</v>
      </c>
      <c r="Q352" s="44">
        <v>486</v>
      </c>
      <c r="R352" s="44">
        <v>600</v>
      </c>
      <c r="S352" s="44">
        <v>288</v>
      </c>
      <c r="T352" s="44">
        <v>693</v>
      </c>
      <c r="U352" s="44">
        <v>84</v>
      </c>
      <c r="V352" s="44">
        <v>306</v>
      </c>
      <c r="W352" s="44">
        <v>746</v>
      </c>
      <c r="X352" s="44">
        <v>74</v>
      </c>
    </row>
    <row r="353" spans="1:24" s="41" customFormat="1">
      <c r="A353" s="42">
        <v>46126</v>
      </c>
      <c r="B353" s="43" t="s">
        <v>962</v>
      </c>
      <c r="C353" s="44">
        <v>148.26574775761392</v>
      </c>
      <c r="D353" s="44">
        <v>191.01431855246921</v>
      </c>
      <c r="E353" s="44">
        <v>197.30552686127689</v>
      </c>
      <c r="F353" s="44">
        <v>415.63630560854341</v>
      </c>
      <c r="G353" s="44">
        <v>251.0672244834532</v>
      </c>
      <c r="H353" s="44">
        <v>279.30249893326618</v>
      </c>
      <c r="I353" s="44">
        <v>193.09095818655953</v>
      </c>
      <c r="J353" s="44">
        <v>239.56957767723529</v>
      </c>
      <c r="K353" s="44">
        <v>377.96860905415332</v>
      </c>
      <c r="L353" s="44">
        <v>209.9492328854291</v>
      </c>
      <c r="M353" s="44">
        <f t="shared" si="5"/>
        <v>925.82999999999993</v>
      </c>
      <c r="N353" s="45">
        <v>3429</v>
      </c>
      <c r="O353" s="44">
        <v>135</v>
      </c>
      <c r="P353" s="44">
        <v>1</v>
      </c>
      <c r="Q353" s="44">
        <v>486</v>
      </c>
      <c r="R353" s="44">
        <v>600</v>
      </c>
      <c r="S353" s="44">
        <v>288</v>
      </c>
      <c r="T353" s="44">
        <v>693</v>
      </c>
      <c r="U353" s="44">
        <v>84</v>
      </c>
      <c r="V353" s="44">
        <v>306</v>
      </c>
      <c r="W353" s="44">
        <v>762</v>
      </c>
      <c r="X353" s="44">
        <v>74</v>
      </c>
    </row>
    <row r="354" spans="1:24" s="41" customFormat="1">
      <c r="A354" s="42">
        <v>46127</v>
      </c>
      <c r="B354" s="43" t="s">
        <v>962</v>
      </c>
      <c r="C354" s="44">
        <v>148.43870284394538</v>
      </c>
      <c r="D354" s="44">
        <v>191.23714073800724</v>
      </c>
      <c r="E354" s="44">
        <v>197.53568787248864</v>
      </c>
      <c r="F354" s="44">
        <v>416.12115402570123</v>
      </c>
      <c r="G354" s="44">
        <v>251.36009963595652</v>
      </c>
      <c r="H354" s="44">
        <v>279.62831112216469</v>
      </c>
      <c r="I354" s="44">
        <v>193.31620281553191</v>
      </c>
      <c r="J354" s="44">
        <v>239.84904058499527</v>
      </c>
      <c r="K354" s="44">
        <v>378.40951731785026</v>
      </c>
      <c r="L354" s="44">
        <v>210.19414304335902</v>
      </c>
      <c r="M354" s="44">
        <f t="shared" si="5"/>
        <v>926.90999999999985</v>
      </c>
      <c r="N354" s="45">
        <v>3433</v>
      </c>
      <c r="O354" s="44">
        <v>135</v>
      </c>
      <c r="P354" s="44">
        <v>1</v>
      </c>
      <c r="Q354" s="44">
        <v>486</v>
      </c>
      <c r="R354" s="44">
        <v>600</v>
      </c>
      <c r="S354" s="44">
        <v>288</v>
      </c>
      <c r="T354" s="44">
        <v>693</v>
      </c>
      <c r="U354" s="44">
        <v>84</v>
      </c>
      <c r="V354" s="44">
        <v>306</v>
      </c>
      <c r="W354" s="44">
        <v>766</v>
      </c>
      <c r="X354" s="44">
        <v>74</v>
      </c>
    </row>
    <row r="355" spans="1:24" s="41" customFormat="1">
      <c r="A355" s="42">
        <v>46128</v>
      </c>
      <c r="B355" s="43" t="s">
        <v>962</v>
      </c>
      <c r="C355" s="44">
        <v>148.3089865291968</v>
      </c>
      <c r="D355" s="44">
        <v>191.07002409885371</v>
      </c>
      <c r="E355" s="44">
        <v>197.36306711407983</v>
      </c>
      <c r="F355" s="44">
        <v>415.75751771283285</v>
      </c>
      <c r="G355" s="44">
        <v>251.14044327157902</v>
      </c>
      <c r="H355" s="44">
        <v>279.38395198049079</v>
      </c>
      <c r="I355" s="44">
        <v>193.14726934380263</v>
      </c>
      <c r="J355" s="44">
        <v>239.6394434041753</v>
      </c>
      <c r="K355" s="44">
        <v>378.07883612007754</v>
      </c>
      <c r="L355" s="44">
        <v>210.01046042491157</v>
      </c>
      <c r="M355" s="44">
        <f t="shared" si="5"/>
        <v>926.09999999999945</v>
      </c>
      <c r="N355" s="45">
        <v>3430</v>
      </c>
      <c r="O355" s="44">
        <v>135</v>
      </c>
      <c r="P355" s="44">
        <v>1</v>
      </c>
      <c r="Q355" s="44">
        <v>486</v>
      </c>
      <c r="R355" s="44">
        <v>600</v>
      </c>
      <c r="S355" s="44">
        <v>288</v>
      </c>
      <c r="T355" s="44">
        <v>693</v>
      </c>
      <c r="U355" s="44">
        <v>84</v>
      </c>
      <c r="V355" s="44">
        <v>306</v>
      </c>
      <c r="W355" s="44">
        <v>763</v>
      </c>
      <c r="X355" s="44">
        <v>74</v>
      </c>
    </row>
    <row r="356" spans="1:24" s="41" customFormat="1">
      <c r="A356" s="42">
        <v>46129</v>
      </c>
      <c r="B356" s="43" t="s">
        <v>962</v>
      </c>
      <c r="C356" s="44">
        <v>149.34671704718534</v>
      </c>
      <c r="D356" s="44">
        <v>192.40695721208183</v>
      </c>
      <c r="E356" s="44">
        <v>198.74403318135035</v>
      </c>
      <c r="F356" s="44">
        <v>418.66660821577983</v>
      </c>
      <c r="G356" s="44">
        <v>252.89769418659881</v>
      </c>
      <c r="H356" s="44">
        <v>281.33882511388197</v>
      </c>
      <c r="I356" s="44">
        <v>194.49873711763681</v>
      </c>
      <c r="J356" s="44">
        <v>241.31622085073511</v>
      </c>
      <c r="K356" s="44">
        <v>380.72428570225884</v>
      </c>
      <c r="L356" s="44">
        <v>211.47992137249113</v>
      </c>
      <c r="M356" s="44">
        <f t="shared" si="5"/>
        <v>932.57999999999993</v>
      </c>
      <c r="N356" s="45">
        <v>3454</v>
      </c>
      <c r="O356" s="44">
        <v>135</v>
      </c>
      <c r="P356" s="44">
        <v>1</v>
      </c>
      <c r="Q356" s="44">
        <v>486</v>
      </c>
      <c r="R356" s="44">
        <v>600</v>
      </c>
      <c r="S356" s="44">
        <v>288</v>
      </c>
      <c r="T356" s="44">
        <v>693</v>
      </c>
      <c r="U356" s="44">
        <v>84</v>
      </c>
      <c r="V356" s="44">
        <v>306</v>
      </c>
      <c r="W356" s="44">
        <v>787</v>
      </c>
      <c r="X356" s="44">
        <v>74</v>
      </c>
    </row>
    <row r="357" spans="1:24" s="41" customFormat="1">
      <c r="A357" s="42">
        <v>46130</v>
      </c>
      <c r="B357" s="43" t="s">
        <v>962</v>
      </c>
      <c r="C357" s="44">
        <v>161.06442414613937</v>
      </c>
      <c r="D357" s="44">
        <v>207.50316028228281</v>
      </c>
      <c r="E357" s="44">
        <v>214.33744169094675</v>
      </c>
      <c r="F357" s="44">
        <v>451.51508847822225</v>
      </c>
      <c r="G357" s="44">
        <v>272.73998576869735</v>
      </c>
      <c r="H357" s="44">
        <v>303.41260091175747</v>
      </c>
      <c r="I357" s="44">
        <v>209.75906073051451</v>
      </c>
      <c r="J357" s="44">
        <v>260.24983285147317</v>
      </c>
      <c r="K357" s="44">
        <v>410.59582056772268</v>
      </c>
      <c r="L357" s="44">
        <v>228.07258457224361</v>
      </c>
      <c r="M357" s="44">
        <f t="shared" si="5"/>
        <v>1005.7500000000005</v>
      </c>
      <c r="N357" s="45">
        <v>3725</v>
      </c>
      <c r="O357" s="44">
        <v>156</v>
      </c>
      <c r="P357" s="44">
        <v>2</v>
      </c>
      <c r="Q357" s="44">
        <v>558</v>
      </c>
      <c r="R357" s="44">
        <v>600</v>
      </c>
      <c r="S357" s="44">
        <v>331</v>
      </c>
      <c r="T357" s="44">
        <v>797</v>
      </c>
      <c r="U357" s="44">
        <v>97</v>
      </c>
      <c r="V357" s="44">
        <v>351</v>
      </c>
      <c r="W357" s="44">
        <v>833</v>
      </c>
      <c r="X357" s="44">
        <v>0</v>
      </c>
    </row>
    <row r="358" spans="1:24" s="41" customFormat="1">
      <c r="A358" s="42">
        <v>46131</v>
      </c>
      <c r="B358" s="43" t="s">
        <v>962</v>
      </c>
      <c r="C358" s="44">
        <v>161.3238567756365</v>
      </c>
      <c r="D358" s="44">
        <v>207.83739356058985</v>
      </c>
      <c r="E358" s="44">
        <v>214.6826832077644</v>
      </c>
      <c r="F358" s="44">
        <v>452.24236110395901</v>
      </c>
      <c r="G358" s="44">
        <v>273.17929849745229</v>
      </c>
      <c r="H358" s="44">
        <v>303.90131919510532</v>
      </c>
      <c r="I358" s="44">
        <v>210.09692767397306</v>
      </c>
      <c r="J358" s="44">
        <v>260.66902721311311</v>
      </c>
      <c r="K358" s="44">
        <v>411.25718296326806</v>
      </c>
      <c r="L358" s="44">
        <v>228.43994980913851</v>
      </c>
      <c r="M358" s="44">
        <f t="shared" si="5"/>
        <v>1007.3700000000003</v>
      </c>
      <c r="N358" s="45">
        <v>3731</v>
      </c>
      <c r="O358" s="44">
        <v>156</v>
      </c>
      <c r="P358" s="44">
        <v>2</v>
      </c>
      <c r="Q358" s="44">
        <v>558</v>
      </c>
      <c r="R358" s="44">
        <v>600</v>
      </c>
      <c r="S358" s="44">
        <v>331</v>
      </c>
      <c r="T358" s="44">
        <v>797</v>
      </c>
      <c r="U358" s="44">
        <v>97</v>
      </c>
      <c r="V358" s="44">
        <v>351</v>
      </c>
      <c r="W358" s="44">
        <v>839</v>
      </c>
      <c r="X358" s="44">
        <v>0</v>
      </c>
    </row>
    <row r="359" spans="1:24" s="41" customFormat="1">
      <c r="A359" s="42">
        <v>46132</v>
      </c>
      <c r="B359" s="43" t="s">
        <v>962</v>
      </c>
      <c r="C359" s="44">
        <v>151.37893931157959</v>
      </c>
      <c r="D359" s="44">
        <v>195.02511789215359</v>
      </c>
      <c r="E359" s="44">
        <v>201.44842506308848</v>
      </c>
      <c r="F359" s="44">
        <v>424.36357711738424</v>
      </c>
      <c r="G359" s="44">
        <v>256.33897722851259</v>
      </c>
      <c r="H359" s="44">
        <v>285.1671183334397</v>
      </c>
      <c r="I359" s="44">
        <v>197.14536150806208</v>
      </c>
      <c r="J359" s="44">
        <v>244.59991001691478</v>
      </c>
      <c r="K359" s="44">
        <v>385.90495780069722</v>
      </c>
      <c r="L359" s="44">
        <v>214.35761572816776</v>
      </c>
      <c r="M359" s="44">
        <f t="shared" si="5"/>
        <v>945.27</v>
      </c>
      <c r="N359" s="45">
        <v>3501</v>
      </c>
      <c r="O359" s="44">
        <v>135</v>
      </c>
      <c r="P359" s="44">
        <v>1</v>
      </c>
      <c r="Q359" s="44">
        <v>486</v>
      </c>
      <c r="R359" s="44">
        <v>600</v>
      </c>
      <c r="S359" s="44">
        <v>288</v>
      </c>
      <c r="T359" s="44">
        <v>693</v>
      </c>
      <c r="U359" s="44">
        <v>84</v>
      </c>
      <c r="V359" s="44">
        <v>306</v>
      </c>
      <c r="W359" s="44">
        <v>834</v>
      </c>
      <c r="X359" s="44">
        <v>74</v>
      </c>
    </row>
    <row r="360" spans="1:24" s="41" customFormat="1">
      <c r="A360" s="42">
        <v>46133</v>
      </c>
      <c r="B360" s="43" t="s">
        <v>962</v>
      </c>
      <c r="C360" s="44">
        <v>156.09196541411089</v>
      </c>
      <c r="D360" s="44">
        <v>201.09702244806468</v>
      </c>
      <c r="E360" s="44">
        <v>207.72031261860877</v>
      </c>
      <c r="F360" s="44">
        <v>437.57569648493484</v>
      </c>
      <c r="G360" s="44">
        <v>264.31982513422747</v>
      </c>
      <c r="H360" s="44">
        <v>294.04550048092466</v>
      </c>
      <c r="I360" s="44">
        <v>203.283277647559</v>
      </c>
      <c r="J360" s="44">
        <v>252.21527425337396</v>
      </c>
      <c r="K360" s="44">
        <v>397.91970798643729</v>
      </c>
      <c r="L360" s="44">
        <v>221.03141753175822</v>
      </c>
      <c r="M360" s="44">
        <f t="shared" si="5"/>
        <v>974.70000000000027</v>
      </c>
      <c r="N360" s="45">
        <v>3610</v>
      </c>
      <c r="O360" s="44">
        <v>135</v>
      </c>
      <c r="P360" s="44">
        <v>2</v>
      </c>
      <c r="Q360" s="44">
        <v>486</v>
      </c>
      <c r="R360" s="44">
        <v>683</v>
      </c>
      <c r="S360" s="44">
        <v>288</v>
      </c>
      <c r="T360" s="44">
        <v>693</v>
      </c>
      <c r="U360" s="44">
        <v>84</v>
      </c>
      <c r="V360" s="44">
        <v>306</v>
      </c>
      <c r="W360" s="44">
        <v>859</v>
      </c>
      <c r="X360" s="44">
        <v>74</v>
      </c>
    </row>
    <row r="361" spans="1:24" s="41" customFormat="1">
      <c r="A361" s="42">
        <v>46134</v>
      </c>
      <c r="B361" s="43" t="s">
        <v>962</v>
      </c>
      <c r="C361" s="44">
        <v>157.95123259217374</v>
      </c>
      <c r="D361" s="44">
        <v>203.49236094259842</v>
      </c>
      <c r="E361" s="44">
        <v>210.19454348913516</v>
      </c>
      <c r="F361" s="44">
        <v>442.78781696938148</v>
      </c>
      <c r="G361" s="44">
        <v>267.46823302363794</v>
      </c>
      <c r="H361" s="44">
        <v>297.54798151158394</v>
      </c>
      <c r="I361" s="44">
        <v>205.70465740901196</v>
      </c>
      <c r="J361" s="44">
        <v>255.21950051179368</v>
      </c>
      <c r="K361" s="44">
        <v>402.65947182117878</v>
      </c>
      <c r="L361" s="44">
        <v>223.66420172950495</v>
      </c>
      <c r="M361" s="44">
        <f t="shared" si="5"/>
        <v>986.31</v>
      </c>
      <c r="N361" s="45">
        <v>3653</v>
      </c>
      <c r="O361" s="44">
        <v>135</v>
      </c>
      <c r="P361" s="44">
        <v>2</v>
      </c>
      <c r="Q361" s="44">
        <v>486</v>
      </c>
      <c r="R361" s="44">
        <v>683</v>
      </c>
      <c r="S361" s="44">
        <v>288</v>
      </c>
      <c r="T361" s="44">
        <v>693</v>
      </c>
      <c r="U361" s="44">
        <v>84</v>
      </c>
      <c r="V361" s="44">
        <v>306</v>
      </c>
      <c r="W361" s="44">
        <v>902</v>
      </c>
      <c r="X361" s="44">
        <v>74</v>
      </c>
    </row>
    <row r="362" spans="1:24" s="41" customFormat="1">
      <c r="A362" s="42">
        <v>46135</v>
      </c>
      <c r="B362" s="43" t="s">
        <v>962</v>
      </c>
      <c r="C362" s="44">
        <v>158.64305293749942</v>
      </c>
      <c r="D362" s="44">
        <v>204.38364968475051</v>
      </c>
      <c r="E362" s="44">
        <v>211.11518753398218</v>
      </c>
      <c r="F362" s="44">
        <v>444.72721063801276</v>
      </c>
      <c r="G362" s="44">
        <v>268.63973363365113</v>
      </c>
      <c r="H362" s="44">
        <v>298.85123026717804</v>
      </c>
      <c r="I362" s="44">
        <v>206.60563592490141</v>
      </c>
      <c r="J362" s="44">
        <v>256.33735214283354</v>
      </c>
      <c r="K362" s="44">
        <v>404.42310487596632</v>
      </c>
      <c r="L362" s="44">
        <v>224.64384236122464</v>
      </c>
      <c r="M362" s="44">
        <f t="shared" si="5"/>
        <v>990.63000000000011</v>
      </c>
      <c r="N362" s="45">
        <v>3669</v>
      </c>
      <c r="O362" s="44">
        <v>135</v>
      </c>
      <c r="P362" s="44">
        <v>2</v>
      </c>
      <c r="Q362" s="44">
        <v>486</v>
      </c>
      <c r="R362" s="44">
        <v>683</v>
      </c>
      <c r="S362" s="44">
        <v>288</v>
      </c>
      <c r="T362" s="44">
        <v>693</v>
      </c>
      <c r="U362" s="44">
        <v>84</v>
      </c>
      <c r="V362" s="44">
        <v>306</v>
      </c>
      <c r="W362" s="44">
        <v>918</v>
      </c>
      <c r="X362" s="44">
        <v>74</v>
      </c>
    </row>
    <row r="363" spans="1:24" s="41" customFormat="1">
      <c r="A363" s="42">
        <v>46136</v>
      </c>
      <c r="B363" s="43" t="s">
        <v>962</v>
      </c>
      <c r="C363" s="44">
        <v>159.29163451124225</v>
      </c>
      <c r="D363" s="44">
        <v>205.21923288051806</v>
      </c>
      <c r="E363" s="44">
        <v>211.97829132602624</v>
      </c>
      <c r="F363" s="44">
        <v>446.54539220235455</v>
      </c>
      <c r="G363" s="44">
        <v>269.73801545553846</v>
      </c>
      <c r="H363" s="44">
        <v>300.07302597554752</v>
      </c>
      <c r="I363" s="44">
        <v>207.45030328354775</v>
      </c>
      <c r="J363" s="44">
        <v>257.38533804693344</v>
      </c>
      <c r="K363" s="44">
        <v>406.07651086482963</v>
      </c>
      <c r="L363" s="44">
        <v>225.56225545346186</v>
      </c>
      <c r="M363" s="44">
        <f t="shared" si="5"/>
        <v>994.67999999999984</v>
      </c>
      <c r="N363" s="45">
        <v>3684</v>
      </c>
      <c r="O363" s="44">
        <v>135</v>
      </c>
      <c r="P363" s="44">
        <v>2</v>
      </c>
      <c r="Q363" s="44">
        <v>486</v>
      </c>
      <c r="R363" s="44">
        <v>683</v>
      </c>
      <c r="S363" s="44">
        <v>288</v>
      </c>
      <c r="T363" s="44">
        <v>693</v>
      </c>
      <c r="U363" s="44">
        <v>84</v>
      </c>
      <c r="V363" s="44">
        <v>306</v>
      </c>
      <c r="W363" s="44">
        <v>933</v>
      </c>
      <c r="X363" s="44">
        <v>74</v>
      </c>
    </row>
    <row r="364" spans="1:24" s="41" customFormat="1">
      <c r="A364" s="42">
        <v>46137</v>
      </c>
      <c r="B364" s="43" t="s">
        <v>962</v>
      </c>
      <c r="C364" s="44">
        <v>174.1657719357448</v>
      </c>
      <c r="D364" s="44">
        <v>224.38194083678798</v>
      </c>
      <c r="E364" s="44">
        <v>231.77213829023719</v>
      </c>
      <c r="F364" s="44">
        <v>488.24235607792735</v>
      </c>
      <c r="G364" s="44">
        <v>294.92527857082223</v>
      </c>
      <c r="H364" s="44">
        <v>328.09287422082127</v>
      </c>
      <c r="I364" s="44">
        <v>226.82134137517113</v>
      </c>
      <c r="J364" s="44">
        <v>281.41914811429098</v>
      </c>
      <c r="K364" s="44">
        <v>443.99462154276165</v>
      </c>
      <c r="L364" s="44">
        <v>246.62452903543553</v>
      </c>
      <c r="M364" s="44">
        <f t="shared" si="5"/>
        <v>1087.56</v>
      </c>
      <c r="N364" s="45">
        <v>4028</v>
      </c>
      <c r="O364" s="44">
        <v>156</v>
      </c>
      <c r="P364" s="44">
        <v>2</v>
      </c>
      <c r="Q364" s="44">
        <v>558</v>
      </c>
      <c r="R364" s="44">
        <v>683</v>
      </c>
      <c r="S364" s="44">
        <v>331</v>
      </c>
      <c r="T364" s="44">
        <v>797</v>
      </c>
      <c r="U364" s="44">
        <v>97</v>
      </c>
      <c r="V364" s="44">
        <v>351</v>
      </c>
      <c r="W364" s="44">
        <v>1053</v>
      </c>
      <c r="X364" s="44">
        <v>0</v>
      </c>
    </row>
    <row r="365" spans="1:24" s="41" customFormat="1">
      <c r="A365" s="42">
        <v>46138</v>
      </c>
      <c r="B365" s="43" t="s">
        <v>962</v>
      </c>
      <c r="C365" s="44">
        <v>166.81518076665927</v>
      </c>
      <c r="D365" s="44">
        <v>214.91199795142205</v>
      </c>
      <c r="E365" s="44">
        <v>221.99029531373762</v>
      </c>
      <c r="F365" s="44">
        <v>467.63629834871989</v>
      </c>
      <c r="G365" s="44">
        <v>282.47808458943206</v>
      </c>
      <c r="H365" s="44">
        <v>314.24585619263371</v>
      </c>
      <c r="I365" s="44">
        <v>217.24844464384563</v>
      </c>
      <c r="J365" s="44">
        <v>269.54197453449223</v>
      </c>
      <c r="K365" s="44">
        <v>425.25602033564411</v>
      </c>
      <c r="L365" s="44">
        <v>236.21584732341367</v>
      </c>
      <c r="M365" s="44">
        <f t="shared" si="5"/>
        <v>1041.6599999999999</v>
      </c>
      <c r="N365" s="45">
        <v>3858</v>
      </c>
      <c r="O365" s="44">
        <v>156</v>
      </c>
      <c r="P365" s="44">
        <v>2</v>
      </c>
      <c r="Q365" s="44">
        <v>558</v>
      </c>
      <c r="R365" s="44">
        <v>683</v>
      </c>
      <c r="S365" s="44">
        <v>331</v>
      </c>
      <c r="T365" s="44">
        <v>797</v>
      </c>
      <c r="U365" s="44">
        <v>97</v>
      </c>
      <c r="V365" s="44">
        <v>351</v>
      </c>
      <c r="W365" s="44">
        <v>883</v>
      </c>
      <c r="X365" s="44">
        <v>0</v>
      </c>
    </row>
    <row r="366" spans="1:24" s="41" customFormat="1">
      <c r="A366" s="42">
        <v>46139</v>
      </c>
      <c r="B366" s="43" t="s">
        <v>962</v>
      </c>
      <c r="C366" s="44">
        <v>169.97161109220775</v>
      </c>
      <c r="D366" s="44">
        <v>218.97850283749094</v>
      </c>
      <c r="E366" s="44">
        <v>226.19073376835212</v>
      </c>
      <c r="F366" s="44">
        <v>476.48478196185016</v>
      </c>
      <c r="G366" s="44">
        <v>287.82305612261723</v>
      </c>
      <c r="H366" s="44">
        <v>320.1919286400319</v>
      </c>
      <c r="I366" s="44">
        <v>221.35915912259128</v>
      </c>
      <c r="J366" s="44">
        <v>274.64217260111167</v>
      </c>
      <c r="K366" s="44">
        <v>433.30259614811223</v>
      </c>
      <c r="L366" s="44">
        <v>240.6854577056348</v>
      </c>
      <c r="M366" s="44">
        <f t="shared" si="5"/>
        <v>1061.3700000000003</v>
      </c>
      <c r="N366" s="45">
        <v>3931</v>
      </c>
      <c r="O366" s="44">
        <v>135</v>
      </c>
      <c r="P366" s="44">
        <v>2</v>
      </c>
      <c r="Q366" s="44">
        <v>486</v>
      </c>
      <c r="R366" s="44">
        <v>683</v>
      </c>
      <c r="S366" s="44">
        <v>288</v>
      </c>
      <c r="T366" s="44">
        <v>993</v>
      </c>
      <c r="U366" s="44">
        <v>84</v>
      </c>
      <c r="V366" s="44">
        <v>306</v>
      </c>
      <c r="W366" s="44">
        <v>880</v>
      </c>
      <c r="X366" s="44">
        <v>74</v>
      </c>
    </row>
    <row r="367" spans="1:24" s="41" customFormat="1">
      <c r="A367" s="42">
        <v>46140</v>
      </c>
      <c r="B367" s="43" t="s">
        <v>962</v>
      </c>
      <c r="C367" s="44">
        <v>170.53371512278488</v>
      </c>
      <c r="D367" s="44">
        <v>219.70267494048949</v>
      </c>
      <c r="E367" s="44">
        <v>226.93875705479033</v>
      </c>
      <c r="F367" s="44">
        <v>478.06053931761306</v>
      </c>
      <c r="G367" s="44">
        <v>288.77490036825293</v>
      </c>
      <c r="H367" s="44">
        <v>321.2508182539521</v>
      </c>
      <c r="I367" s="44">
        <v>222.09120416675145</v>
      </c>
      <c r="J367" s="44">
        <v>275.55042705133155</v>
      </c>
      <c r="K367" s="44">
        <v>434.73554800512704</v>
      </c>
      <c r="L367" s="44">
        <v>241.48141571890704</v>
      </c>
      <c r="M367" s="44">
        <f t="shared" si="5"/>
        <v>1064.8800000000001</v>
      </c>
      <c r="N367" s="45">
        <v>3944</v>
      </c>
      <c r="O367" s="44">
        <v>135</v>
      </c>
      <c r="P367" s="44">
        <v>2</v>
      </c>
      <c r="Q367" s="44">
        <v>486</v>
      </c>
      <c r="R367" s="44">
        <v>683</v>
      </c>
      <c r="S367" s="44">
        <v>288</v>
      </c>
      <c r="T367" s="44">
        <v>986</v>
      </c>
      <c r="U367" s="44">
        <v>84</v>
      </c>
      <c r="V367" s="44">
        <v>306</v>
      </c>
      <c r="W367" s="44">
        <v>900</v>
      </c>
      <c r="X367" s="44">
        <v>74</v>
      </c>
    </row>
    <row r="368" spans="1:24" s="41" customFormat="1">
      <c r="A368" s="42">
        <v>46141</v>
      </c>
      <c r="B368" s="43" t="s">
        <v>962</v>
      </c>
      <c r="C368" s="44">
        <v>157.73503873425943</v>
      </c>
      <c r="D368" s="44">
        <v>203.21383321067589</v>
      </c>
      <c r="E368" s="44">
        <v>209.90684222512047</v>
      </c>
      <c r="F368" s="44">
        <v>442.18175644793416</v>
      </c>
      <c r="G368" s="44">
        <v>267.10213908300881</v>
      </c>
      <c r="H368" s="44">
        <v>297.14071627546076</v>
      </c>
      <c r="I368" s="44">
        <v>205.42310162279648</v>
      </c>
      <c r="J368" s="44">
        <v>254.8701718770937</v>
      </c>
      <c r="K368" s="44">
        <v>402.10833649155768</v>
      </c>
      <c r="L368" s="44">
        <v>223.35806403209253</v>
      </c>
      <c r="M368" s="44">
        <f t="shared" si="5"/>
        <v>984.96</v>
      </c>
      <c r="N368" s="45">
        <v>3648</v>
      </c>
      <c r="O368" s="44">
        <v>135</v>
      </c>
      <c r="P368" s="44">
        <v>2</v>
      </c>
      <c r="Q368" s="44">
        <v>486</v>
      </c>
      <c r="R368" s="44">
        <v>683</v>
      </c>
      <c r="S368" s="44">
        <v>288</v>
      </c>
      <c r="T368" s="44">
        <v>693</v>
      </c>
      <c r="U368" s="44">
        <v>84</v>
      </c>
      <c r="V368" s="44">
        <v>306</v>
      </c>
      <c r="W368" s="44">
        <v>897</v>
      </c>
      <c r="X368" s="44">
        <v>74</v>
      </c>
    </row>
    <row r="369" spans="1:24" s="41" customFormat="1">
      <c r="A369" s="42">
        <v>46142</v>
      </c>
      <c r="B369" s="43" t="s">
        <v>962</v>
      </c>
      <c r="C369" s="44">
        <v>160.02669362815081</v>
      </c>
      <c r="D369" s="44">
        <v>206.16622716905468</v>
      </c>
      <c r="E369" s="44">
        <v>212.95647562367623</v>
      </c>
      <c r="F369" s="44">
        <v>448.60599797527533</v>
      </c>
      <c r="G369" s="44">
        <v>270.98273485367753</v>
      </c>
      <c r="H369" s="44">
        <v>301.45772777836629</v>
      </c>
      <c r="I369" s="44">
        <v>208.40759295668033</v>
      </c>
      <c r="J369" s="44">
        <v>258.5730554049133</v>
      </c>
      <c r="K369" s="44">
        <v>407.95037098554138</v>
      </c>
      <c r="L369" s="44">
        <v>226.60312362466405</v>
      </c>
      <c r="M369" s="44">
        <f t="shared" si="5"/>
        <v>999.27000000000044</v>
      </c>
      <c r="N369" s="45">
        <v>3701</v>
      </c>
      <c r="O369" s="44">
        <v>143</v>
      </c>
      <c r="P369" s="44">
        <v>2</v>
      </c>
      <c r="Q369" s="44">
        <v>486</v>
      </c>
      <c r="R369" s="44">
        <v>685</v>
      </c>
      <c r="S369" s="44">
        <v>295</v>
      </c>
      <c r="T369" s="44">
        <v>693</v>
      </c>
      <c r="U369" s="44">
        <v>89</v>
      </c>
      <c r="V369" s="44">
        <v>306</v>
      </c>
      <c r="W369" s="44">
        <v>919</v>
      </c>
      <c r="X369" s="44">
        <v>83</v>
      </c>
    </row>
    <row r="370" spans="1:24" s="41" customFormat="1">
      <c r="A370" s="42">
        <v>46143</v>
      </c>
      <c r="B370" s="43" t="s">
        <v>962</v>
      </c>
      <c r="C370" s="44">
        <v>273.21812999999997</v>
      </c>
      <c r="D370" s="44">
        <v>347.09255999999993</v>
      </c>
      <c r="E370" s="44">
        <v>325.98558000000003</v>
      </c>
      <c r="F370" s="44">
        <v>816.13655999999992</v>
      </c>
      <c r="G370" s="44">
        <v>566.37062999999989</v>
      </c>
      <c r="H370" s="44">
        <v>590.99543999999992</v>
      </c>
      <c r="I370" s="44">
        <v>344.74733999999995</v>
      </c>
      <c r="J370" s="44">
        <v>425.65742999999998</v>
      </c>
      <c r="K370" s="44">
        <v>593.34065999999996</v>
      </c>
      <c r="L370" s="44">
        <v>406.89566999999994</v>
      </c>
      <c r="M370" s="44">
        <f t="shared" si="5"/>
        <v>763.5600000000004</v>
      </c>
      <c r="N370" s="45">
        <v>5454</v>
      </c>
      <c r="O370" s="50">
        <v>306</v>
      </c>
      <c r="P370" s="50">
        <v>2</v>
      </c>
      <c r="Q370" s="50">
        <v>796</v>
      </c>
      <c r="R370" s="50">
        <v>769</v>
      </c>
      <c r="S370" s="50">
        <v>550</v>
      </c>
      <c r="T370" s="50">
        <v>600</v>
      </c>
      <c r="U370" s="50">
        <v>688</v>
      </c>
      <c r="V370" s="50">
        <v>644</v>
      </c>
      <c r="W370" s="50">
        <v>1099</v>
      </c>
      <c r="X370" s="50">
        <v>0</v>
      </c>
    </row>
    <row r="371" spans="1:24" s="41" customFormat="1">
      <c r="A371" s="42">
        <v>46144</v>
      </c>
      <c r="B371" s="43" t="s">
        <v>962</v>
      </c>
      <c r="C371" s="44">
        <v>268.35891499999997</v>
      </c>
      <c r="D371" s="44">
        <v>340.91947999999996</v>
      </c>
      <c r="E371" s="44">
        <v>320.18788999999998</v>
      </c>
      <c r="F371" s="44">
        <v>801.62147999999991</v>
      </c>
      <c r="G371" s="44">
        <v>556.29766499999994</v>
      </c>
      <c r="H371" s="44">
        <v>580.48451999999997</v>
      </c>
      <c r="I371" s="44">
        <v>338.61596999999995</v>
      </c>
      <c r="J371" s="44">
        <v>418.08706499999994</v>
      </c>
      <c r="K371" s="44">
        <v>582.78802999999994</v>
      </c>
      <c r="L371" s="44">
        <v>399.65898499999992</v>
      </c>
      <c r="M371" s="44">
        <f t="shared" si="5"/>
        <v>749.98000000000047</v>
      </c>
      <c r="N371" s="45">
        <v>5357</v>
      </c>
      <c r="O371" s="50">
        <v>306</v>
      </c>
      <c r="P371" s="50">
        <v>2</v>
      </c>
      <c r="Q371" s="50">
        <v>796</v>
      </c>
      <c r="R371" s="50">
        <v>769</v>
      </c>
      <c r="S371" s="50">
        <v>500</v>
      </c>
      <c r="T371" s="50">
        <v>600</v>
      </c>
      <c r="U371" s="50">
        <v>687</v>
      </c>
      <c r="V371" s="50">
        <v>644</v>
      </c>
      <c r="W371" s="50">
        <v>1053</v>
      </c>
      <c r="X371" s="50">
        <v>0</v>
      </c>
    </row>
    <row r="372" spans="1:24" s="41" customFormat="1">
      <c r="A372" s="42">
        <v>46145</v>
      </c>
      <c r="B372" s="43" t="s">
        <v>962</v>
      </c>
      <c r="C372" s="44">
        <v>268.85986500000001</v>
      </c>
      <c r="D372" s="44">
        <v>341.55588</v>
      </c>
      <c r="E372" s="44">
        <v>320.78559000000001</v>
      </c>
      <c r="F372" s="44">
        <v>803.1178799999999</v>
      </c>
      <c r="G372" s="44">
        <v>557.33611499999995</v>
      </c>
      <c r="H372" s="44">
        <v>581.56812000000002</v>
      </c>
      <c r="I372" s="44">
        <v>339.24806999999998</v>
      </c>
      <c r="J372" s="44">
        <v>418.86751499999997</v>
      </c>
      <c r="K372" s="44">
        <v>583.87593000000004</v>
      </c>
      <c r="L372" s="44">
        <v>400.40503499999994</v>
      </c>
      <c r="M372" s="44">
        <f t="shared" si="5"/>
        <v>751.38000000000011</v>
      </c>
      <c r="N372" s="45">
        <v>5367</v>
      </c>
      <c r="O372" s="50">
        <v>306</v>
      </c>
      <c r="P372" s="50">
        <v>2</v>
      </c>
      <c r="Q372" s="50">
        <v>796</v>
      </c>
      <c r="R372" s="50">
        <v>769</v>
      </c>
      <c r="S372" s="50">
        <v>500</v>
      </c>
      <c r="T372" s="50">
        <v>600</v>
      </c>
      <c r="U372" s="50">
        <v>680</v>
      </c>
      <c r="V372" s="50">
        <v>644</v>
      </c>
      <c r="W372" s="50">
        <v>1070</v>
      </c>
      <c r="X372" s="50">
        <v>0</v>
      </c>
    </row>
    <row r="373" spans="1:24" s="41" customFormat="1">
      <c r="A373" s="42">
        <v>46146</v>
      </c>
      <c r="B373" s="43" t="s">
        <v>962</v>
      </c>
      <c r="C373" s="44">
        <v>262.24732500000005</v>
      </c>
      <c r="D373" s="44">
        <v>333.15539999999999</v>
      </c>
      <c r="E373" s="44">
        <v>312.89595000000003</v>
      </c>
      <c r="F373" s="44">
        <v>783.36540000000002</v>
      </c>
      <c r="G373" s="44">
        <v>543.62857500000007</v>
      </c>
      <c r="H373" s="44">
        <v>567.26460000000009</v>
      </c>
      <c r="I373" s="44">
        <v>330.90435000000002</v>
      </c>
      <c r="J373" s="44">
        <v>408.56557500000002</v>
      </c>
      <c r="K373" s="44">
        <v>569.51565000000005</v>
      </c>
      <c r="L373" s="44">
        <v>390.55717500000003</v>
      </c>
      <c r="M373" s="44">
        <f t="shared" si="5"/>
        <v>732.89999999999964</v>
      </c>
      <c r="N373" s="45">
        <v>5235</v>
      </c>
      <c r="O373" s="50">
        <v>306</v>
      </c>
      <c r="P373" s="50">
        <v>2</v>
      </c>
      <c r="Q373" s="50">
        <v>796</v>
      </c>
      <c r="R373" s="50">
        <v>769</v>
      </c>
      <c r="S373" s="50">
        <v>500</v>
      </c>
      <c r="T373" s="50">
        <v>600</v>
      </c>
      <c r="U373" s="50">
        <v>572</v>
      </c>
      <c r="V373" s="50">
        <v>644</v>
      </c>
      <c r="W373" s="50">
        <v>1046</v>
      </c>
      <c r="X373" s="50">
        <v>0</v>
      </c>
    </row>
    <row r="374" spans="1:24" s="41" customFormat="1">
      <c r="A374" s="42">
        <v>46147</v>
      </c>
      <c r="B374" s="43" t="s">
        <v>962</v>
      </c>
      <c r="C374" s="44">
        <v>247.51939500000003</v>
      </c>
      <c r="D374" s="44">
        <v>314.44524000000001</v>
      </c>
      <c r="E374" s="44">
        <v>295.32357000000002</v>
      </c>
      <c r="F374" s="44">
        <v>739.37123999999994</v>
      </c>
      <c r="G374" s="44">
        <v>513.09814500000005</v>
      </c>
      <c r="H374" s="44">
        <v>535.40676000000008</v>
      </c>
      <c r="I374" s="44">
        <v>312.32060999999999</v>
      </c>
      <c r="J374" s="44">
        <v>385.62034499999999</v>
      </c>
      <c r="K374" s="44">
        <v>537.53138999999999</v>
      </c>
      <c r="L374" s="44">
        <v>368.62330500000002</v>
      </c>
      <c r="M374" s="44">
        <f t="shared" si="5"/>
        <v>691.74000000000069</v>
      </c>
      <c r="N374" s="45">
        <v>4941</v>
      </c>
      <c r="O374" s="50">
        <v>306</v>
      </c>
      <c r="P374" s="50">
        <v>2</v>
      </c>
      <c r="Q374" s="50">
        <v>796</v>
      </c>
      <c r="R374" s="50">
        <v>769</v>
      </c>
      <c r="S374" s="50">
        <v>500</v>
      </c>
      <c r="T374" s="50">
        <v>600</v>
      </c>
      <c r="U374" s="50">
        <v>348</v>
      </c>
      <c r="V374" s="50">
        <v>644</v>
      </c>
      <c r="W374" s="50">
        <v>976</v>
      </c>
      <c r="X374" s="50">
        <v>0</v>
      </c>
    </row>
    <row r="375" spans="1:24" s="41" customFormat="1">
      <c r="A375" s="42">
        <v>46148</v>
      </c>
      <c r="B375" s="43" t="s">
        <v>962</v>
      </c>
      <c r="C375" s="44">
        <v>204.33750500000002</v>
      </c>
      <c r="D375" s="44">
        <v>259.58756</v>
      </c>
      <c r="E375" s="44">
        <v>243.80183000000002</v>
      </c>
      <c r="F375" s="44">
        <v>610.38155999999992</v>
      </c>
      <c r="G375" s="44">
        <v>423.583755</v>
      </c>
      <c r="H375" s="44">
        <v>442.00044000000003</v>
      </c>
      <c r="I375" s="44">
        <v>257.83359000000002</v>
      </c>
      <c r="J375" s="44">
        <v>318.34555499999999</v>
      </c>
      <c r="K375" s="44">
        <v>443.75441000000001</v>
      </c>
      <c r="L375" s="44">
        <v>304.31379499999997</v>
      </c>
      <c r="M375" s="44">
        <f t="shared" si="5"/>
        <v>571.05999999999995</v>
      </c>
      <c r="N375" s="45">
        <v>4079</v>
      </c>
      <c r="O375" s="50">
        <v>156</v>
      </c>
      <c r="P375" s="50">
        <v>1</v>
      </c>
      <c r="Q375" s="50">
        <v>530</v>
      </c>
      <c r="R375" s="50">
        <v>769</v>
      </c>
      <c r="S375" s="50">
        <v>350</v>
      </c>
      <c r="T375" s="50">
        <v>600</v>
      </c>
      <c r="U375" s="50">
        <v>21</v>
      </c>
      <c r="V375" s="50">
        <v>644</v>
      </c>
      <c r="W375" s="50">
        <v>924</v>
      </c>
      <c r="X375" s="50">
        <v>84</v>
      </c>
    </row>
    <row r="376" spans="1:24" s="41" customFormat="1">
      <c r="A376" s="42">
        <v>46149</v>
      </c>
      <c r="B376" s="43" t="s">
        <v>962</v>
      </c>
      <c r="C376" s="44">
        <v>204.48779000000002</v>
      </c>
      <c r="D376" s="44">
        <v>259.77848</v>
      </c>
      <c r="E376" s="44">
        <v>243.98114000000001</v>
      </c>
      <c r="F376" s="44">
        <v>610.83047999999997</v>
      </c>
      <c r="G376" s="44">
        <v>423.89528999999999</v>
      </c>
      <c r="H376" s="44">
        <v>442.32551999999998</v>
      </c>
      <c r="I376" s="44">
        <v>258.02321999999998</v>
      </c>
      <c r="J376" s="44">
        <v>318.57968999999997</v>
      </c>
      <c r="K376" s="44">
        <v>444.08078</v>
      </c>
      <c r="L376" s="44">
        <v>304.53760999999997</v>
      </c>
      <c r="M376" s="44">
        <f t="shared" si="5"/>
        <v>571.48</v>
      </c>
      <c r="N376" s="45">
        <v>4082</v>
      </c>
      <c r="O376" s="50">
        <v>156</v>
      </c>
      <c r="P376" s="50">
        <v>1</v>
      </c>
      <c r="Q376" s="50">
        <v>530</v>
      </c>
      <c r="R376" s="50">
        <v>769</v>
      </c>
      <c r="S376" s="50">
        <v>350</v>
      </c>
      <c r="T376" s="50">
        <v>650</v>
      </c>
      <c r="U376" s="50">
        <v>0</v>
      </c>
      <c r="V376" s="50">
        <v>644</v>
      </c>
      <c r="W376" s="50">
        <v>898</v>
      </c>
      <c r="X376" s="50">
        <v>84</v>
      </c>
    </row>
    <row r="377" spans="1:24" s="41" customFormat="1">
      <c r="A377" s="42">
        <v>46150</v>
      </c>
      <c r="B377" s="43" t="s">
        <v>962</v>
      </c>
      <c r="C377" s="44">
        <v>206.641875</v>
      </c>
      <c r="D377" s="44">
        <v>262.51499999999999</v>
      </c>
      <c r="E377" s="44">
        <v>246.55125000000001</v>
      </c>
      <c r="F377" s="44">
        <v>617.26499999999999</v>
      </c>
      <c r="G377" s="44">
        <v>428.36062499999997</v>
      </c>
      <c r="H377" s="44">
        <v>446.98500000000001</v>
      </c>
      <c r="I377" s="44">
        <v>260.74124999999998</v>
      </c>
      <c r="J377" s="44">
        <v>321.93562500000002</v>
      </c>
      <c r="K377" s="44">
        <v>448.75875000000002</v>
      </c>
      <c r="L377" s="44">
        <v>307.74562499999996</v>
      </c>
      <c r="M377" s="44">
        <f t="shared" si="5"/>
        <v>577.5</v>
      </c>
      <c r="N377" s="45">
        <v>4125</v>
      </c>
      <c r="O377" s="50">
        <v>156</v>
      </c>
      <c r="P377" s="50">
        <v>1</v>
      </c>
      <c r="Q377" s="50">
        <v>530</v>
      </c>
      <c r="R377" s="50">
        <v>769</v>
      </c>
      <c r="S377" s="50">
        <v>412</v>
      </c>
      <c r="T377" s="50">
        <v>650</v>
      </c>
      <c r="U377" s="50">
        <v>0</v>
      </c>
      <c r="V377" s="50">
        <v>644</v>
      </c>
      <c r="W377" s="50">
        <v>879</v>
      </c>
      <c r="X377" s="50">
        <v>84</v>
      </c>
    </row>
    <row r="378" spans="1:24" s="41" customFormat="1">
      <c r="A378" s="42">
        <v>46151</v>
      </c>
      <c r="B378" s="43" t="s">
        <v>962</v>
      </c>
      <c r="C378" s="44">
        <v>212.80356</v>
      </c>
      <c r="D378" s="44">
        <v>270.34271999999999</v>
      </c>
      <c r="E378" s="44">
        <v>253.90296000000001</v>
      </c>
      <c r="F378" s="44">
        <v>635.67071999999996</v>
      </c>
      <c r="G378" s="44">
        <v>441.13355999999993</v>
      </c>
      <c r="H378" s="44">
        <v>460.31327999999996</v>
      </c>
      <c r="I378" s="44">
        <v>268.51607999999999</v>
      </c>
      <c r="J378" s="44">
        <v>331.53515999999996</v>
      </c>
      <c r="K378" s="44">
        <v>462.13991999999996</v>
      </c>
      <c r="L378" s="44">
        <v>316.92203999999998</v>
      </c>
      <c r="M378" s="44">
        <f t="shared" si="5"/>
        <v>594.72000000000025</v>
      </c>
      <c r="N378" s="45">
        <v>4248</v>
      </c>
      <c r="O378" s="50">
        <v>156</v>
      </c>
      <c r="P378" s="50">
        <v>1</v>
      </c>
      <c r="Q378" s="50">
        <v>530</v>
      </c>
      <c r="R378" s="50">
        <v>769</v>
      </c>
      <c r="S378" s="50">
        <v>456</v>
      </c>
      <c r="T378" s="50">
        <v>650</v>
      </c>
      <c r="U378" s="50">
        <v>22</v>
      </c>
      <c r="V378" s="50">
        <v>644</v>
      </c>
      <c r="W378" s="50">
        <v>936</v>
      </c>
      <c r="X378" s="50">
        <v>84</v>
      </c>
    </row>
    <row r="379" spans="1:24" s="41" customFormat="1">
      <c r="A379" s="42">
        <v>46152</v>
      </c>
      <c r="B379" s="43" t="s">
        <v>962</v>
      </c>
      <c r="C379" s="44">
        <v>225.47759500000001</v>
      </c>
      <c r="D379" s="44">
        <v>286.44364000000002</v>
      </c>
      <c r="E379" s="44">
        <v>269.02477000000005</v>
      </c>
      <c r="F379" s="44">
        <v>673.52963999999997</v>
      </c>
      <c r="G379" s="44">
        <v>467.40634499999999</v>
      </c>
      <c r="H379" s="44">
        <v>487.72836000000001</v>
      </c>
      <c r="I379" s="44">
        <v>284.50821000000002</v>
      </c>
      <c r="J379" s="44">
        <v>351.28054500000002</v>
      </c>
      <c r="K379" s="44">
        <v>489.66379000000001</v>
      </c>
      <c r="L379" s="44">
        <v>335.79710499999999</v>
      </c>
      <c r="M379" s="44">
        <f t="shared" si="5"/>
        <v>630.13999999999987</v>
      </c>
      <c r="N379" s="45">
        <v>4501</v>
      </c>
      <c r="O379" s="50">
        <v>225</v>
      </c>
      <c r="P379" s="50">
        <v>1</v>
      </c>
      <c r="Q379" s="50">
        <v>796</v>
      </c>
      <c r="R379" s="50">
        <v>769</v>
      </c>
      <c r="S379" s="50">
        <v>456</v>
      </c>
      <c r="T379" s="50">
        <v>650</v>
      </c>
      <c r="U379" s="50">
        <v>22</v>
      </c>
      <c r="V379" s="50">
        <v>644</v>
      </c>
      <c r="W379" s="50">
        <v>938</v>
      </c>
      <c r="X379" s="50">
        <v>0</v>
      </c>
    </row>
    <row r="380" spans="1:24" s="41" customFormat="1">
      <c r="A380" s="42">
        <v>46153</v>
      </c>
      <c r="B380" s="43" t="s">
        <v>962</v>
      </c>
      <c r="C380" s="44">
        <v>212.55308500000001</v>
      </c>
      <c r="D380" s="44">
        <v>270.02452</v>
      </c>
      <c r="E380" s="44">
        <v>253.60411000000002</v>
      </c>
      <c r="F380" s="44">
        <v>634.92251999999996</v>
      </c>
      <c r="G380" s="44">
        <v>440.61433499999998</v>
      </c>
      <c r="H380" s="44">
        <v>459.77148</v>
      </c>
      <c r="I380" s="44">
        <v>268.20002999999997</v>
      </c>
      <c r="J380" s="44">
        <v>331.14493499999998</v>
      </c>
      <c r="K380" s="44">
        <v>461.59597000000002</v>
      </c>
      <c r="L380" s="44">
        <v>316.549015</v>
      </c>
      <c r="M380" s="44">
        <f t="shared" si="5"/>
        <v>594.02000000000044</v>
      </c>
      <c r="N380" s="45">
        <v>4243</v>
      </c>
      <c r="O380" s="50">
        <v>155</v>
      </c>
      <c r="P380" s="50">
        <v>1</v>
      </c>
      <c r="Q380" s="50">
        <v>530</v>
      </c>
      <c r="R380" s="50">
        <v>769</v>
      </c>
      <c r="S380" s="50">
        <v>456</v>
      </c>
      <c r="T380" s="50">
        <v>650</v>
      </c>
      <c r="U380" s="50">
        <v>15</v>
      </c>
      <c r="V380" s="50">
        <v>644</v>
      </c>
      <c r="W380" s="50">
        <v>939</v>
      </c>
      <c r="X380" s="50">
        <v>84</v>
      </c>
    </row>
    <row r="381" spans="1:24" s="41" customFormat="1">
      <c r="A381" s="42">
        <v>46154</v>
      </c>
      <c r="B381" s="43" t="s">
        <v>962</v>
      </c>
      <c r="C381" s="44">
        <v>209.74776500000002</v>
      </c>
      <c r="D381" s="44">
        <v>266.46068000000002</v>
      </c>
      <c r="E381" s="44">
        <v>250.25699000000003</v>
      </c>
      <c r="F381" s="44">
        <v>626.54268000000002</v>
      </c>
      <c r="G381" s="44">
        <v>434.799015</v>
      </c>
      <c r="H381" s="44">
        <v>453.70332000000002</v>
      </c>
      <c r="I381" s="44">
        <v>264.66027000000003</v>
      </c>
      <c r="J381" s="44">
        <v>326.77441500000003</v>
      </c>
      <c r="K381" s="44">
        <v>455.50373000000002</v>
      </c>
      <c r="L381" s="44">
        <v>312.37113499999998</v>
      </c>
      <c r="M381" s="44">
        <f t="shared" si="5"/>
        <v>586.18000000000029</v>
      </c>
      <c r="N381" s="45">
        <v>4187</v>
      </c>
      <c r="O381" s="50">
        <v>155</v>
      </c>
      <c r="P381" s="50">
        <v>1</v>
      </c>
      <c r="Q381" s="50">
        <v>530</v>
      </c>
      <c r="R381" s="50">
        <v>769</v>
      </c>
      <c r="S381" s="50">
        <v>456</v>
      </c>
      <c r="T381" s="50">
        <v>650</v>
      </c>
      <c r="U381" s="50">
        <v>0</v>
      </c>
      <c r="V381" s="50">
        <v>644</v>
      </c>
      <c r="W381" s="50">
        <v>898</v>
      </c>
      <c r="X381" s="50">
        <v>84</v>
      </c>
    </row>
    <row r="382" spans="1:24" s="41" customFormat="1">
      <c r="A382" s="42">
        <v>46155</v>
      </c>
      <c r="B382" s="43" t="s">
        <v>962</v>
      </c>
      <c r="C382" s="44">
        <v>214.85745500000002</v>
      </c>
      <c r="D382" s="44">
        <v>272.95195999999999</v>
      </c>
      <c r="E382" s="44">
        <v>256.35353000000003</v>
      </c>
      <c r="F382" s="44">
        <v>641.80595999999991</v>
      </c>
      <c r="G382" s="44">
        <v>445.39120499999996</v>
      </c>
      <c r="H382" s="44">
        <v>464.75603999999998</v>
      </c>
      <c r="I382" s="44">
        <v>271.10768999999999</v>
      </c>
      <c r="J382" s="44">
        <v>334.735005</v>
      </c>
      <c r="K382" s="44">
        <v>466.60030999999998</v>
      </c>
      <c r="L382" s="44">
        <v>319.98084499999999</v>
      </c>
      <c r="M382" s="44">
        <f t="shared" si="5"/>
        <v>600.46000000000049</v>
      </c>
      <c r="N382" s="45">
        <v>4289</v>
      </c>
      <c r="O382" s="50">
        <v>155</v>
      </c>
      <c r="P382" s="50">
        <v>1</v>
      </c>
      <c r="Q382" s="50">
        <v>530</v>
      </c>
      <c r="R382" s="50">
        <v>769</v>
      </c>
      <c r="S382" s="50">
        <v>456</v>
      </c>
      <c r="T382" s="50">
        <v>750</v>
      </c>
      <c r="U382" s="50">
        <v>0</v>
      </c>
      <c r="V382" s="50">
        <v>644</v>
      </c>
      <c r="W382" s="50">
        <v>900</v>
      </c>
      <c r="X382" s="50">
        <v>84</v>
      </c>
    </row>
    <row r="383" spans="1:24" s="41" customFormat="1">
      <c r="A383" s="42">
        <v>46156</v>
      </c>
      <c r="B383" s="43" t="s">
        <v>962</v>
      </c>
      <c r="C383" s="44">
        <v>217.71287000000001</v>
      </c>
      <c r="D383" s="44">
        <v>276.57943999999998</v>
      </c>
      <c r="E383" s="44">
        <v>259.76042000000001</v>
      </c>
      <c r="F383" s="44">
        <v>650.33543999999995</v>
      </c>
      <c r="G383" s="44">
        <v>451.31036999999998</v>
      </c>
      <c r="H383" s="44">
        <v>470.93256000000002</v>
      </c>
      <c r="I383" s="44">
        <v>274.71065999999996</v>
      </c>
      <c r="J383" s="44">
        <v>339.18356999999997</v>
      </c>
      <c r="K383" s="44">
        <v>472.80133999999998</v>
      </c>
      <c r="L383" s="44">
        <v>324.23332999999997</v>
      </c>
      <c r="M383" s="44">
        <f t="shared" si="5"/>
        <v>608.4399999999996</v>
      </c>
      <c r="N383" s="45">
        <v>4346</v>
      </c>
      <c r="O383" s="50">
        <v>155</v>
      </c>
      <c r="P383" s="50">
        <v>1</v>
      </c>
      <c r="Q383" s="50">
        <v>530</v>
      </c>
      <c r="R383" s="50">
        <v>769</v>
      </c>
      <c r="S383" s="50">
        <v>456</v>
      </c>
      <c r="T383" s="50">
        <v>750</v>
      </c>
      <c r="U383" s="50">
        <v>29</v>
      </c>
      <c r="V383" s="50">
        <v>644</v>
      </c>
      <c r="W383" s="50">
        <v>929</v>
      </c>
      <c r="X383" s="50">
        <v>83</v>
      </c>
    </row>
    <row r="384" spans="1:24" s="41" customFormat="1">
      <c r="A384" s="42">
        <v>46157</v>
      </c>
      <c r="B384" s="43" t="s">
        <v>962</v>
      </c>
      <c r="C384" s="44">
        <v>219.21572000000003</v>
      </c>
      <c r="D384" s="44">
        <v>278.48863999999998</v>
      </c>
      <c r="E384" s="44">
        <v>261.55352000000005</v>
      </c>
      <c r="F384" s="44">
        <v>654.82463999999993</v>
      </c>
      <c r="G384" s="44">
        <v>454.42572000000001</v>
      </c>
      <c r="H384" s="44">
        <v>474.18335999999999</v>
      </c>
      <c r="I384" s="44">
        <v>276.60696000000002</v>
      </c>
      <c r="J384" s="44">
        <v>341.52492000000001</v>
      </c>
      <c r="K384" s="44">
        <v>476.06504000000001</v>
      </c>
      <c r="L384" s="44">
        <v>326.47147999999999</v>
      </c>
      <c r="M384" s="44">
        <f t="shared" si="5"/>
        <v>612.63999999999987</v>
      </c>
      <c r="N384" s="45">
        <v>4376</v>
      </c>
      <c r="O384" s="50">
        <v>155</v>
      </c>
      <c r="P384" s="50">
        <v>1</v>
      </c>
      <c r="Q384" s="50">
        <v>530</v>
      </c>
      <c r="R384" s="50">
        <v>769</v>
      </c>
      <c r="S384" s="50">
        <v>456</v>
      </c>
      <c r="T384" s="50">
        <v>750</v>
      </c>
      <c r="U384" s="50">
        <v>38</v>
      </c>
      <c r="V384" s="50">
        <v>644</v>
      </c>
      <c r="W384" s="50">
        <v>950</v>
      </c>
      <c r="X384" s="50">
        <v>83</v>
      </c>
    </row>
    <row r="385" spans="1:24" s="41" customFormat="1">
      <c r="A385" s="42">
        <v>46158</v>
      </c>
      <c r="B385" s="43" t="s">
        <v>962</v>
      </c>
      <c r="C385" s="44">
        <v>238.25182000000001</v>
      </c>
      <c r="D385" s="44">
        <v>302.67183999999997</v>
      </c>
      <c r="E385" s="44">
        <v>284.26612</v>
      </c>
      <c r="F385" s="44">
        <v>711.68783999999994</v>
      </c>
      <c r="G385" s="44">
        <v>493.88681999999994</v>
      </c>
      <c r="H385" s="44">
        <v>515.36015999999995</v>
      </c>
      <c r="I385" s="44">
        <v>300.62675999999999</v>
      </c>
      <c r="J385" s="44">
        <v>371.18201999999997</v>
      </c>
      <c r="K385" s="44">
        <v>517.40523999999994</v>
      </c>
      <c r="L385" s="44">
        <v>354.82137999999998</v>
      </c>
      <c r="M385" s="44">
        <f t="shared" si="5"/>
        <v>665.8400000000006</v>
      </c>
      <c r="N385" s="45">
        <v>4756</v>
      </c>
      <c r="O385" s="50">
        <v>225</v>
      </c>
      <c r="P385" s="50">
        <v>1</v>
      </c>
      <c r="Q385" s="50">
        <v>796</v>
      </c>
      <c r="R385" s="50">
        <v>769</v>
      </c>
      <c r="S385" s="50">
        <v>456</v>
      </c>
      <c r="T385" s="50">
        <v>750</v>
      </c>
      <c r="U385" s="50">
        <v>58</v>
      </c>
      <c r="V385" s="50">
        <v>644</v>
      </c>
      <c r="W385" s="50">
        <v>1057</v>
      </c>
      <c r="X385" s="50">
        <v>0</v>
      </c>
    </row>
    <row r="386" spans="1:24" s="41" customFormat="1">
      <c r="A386" s="42">
        <v>46159</v>
      </c>
      <c r="B386" s="43" t="s">
        <v>962</v>
      </c>
      <c r="C386" s="44">
        <v>241.65828000000002</v>
      </c>
      <c r="D386" s="44">
        <v>306.99936000000002</v>
      </c>
      <c r="E386" s="44">
        <v>288.33048000000002</v>
      </c>
      <c r="F386" s="44">
        <v>721.86336000000006</v>
      </c>
      <c r="G386" s="44">
        <v>500.94828000000001</v>
      </c>
      <c r="H386" s="44">
        <v>522.72864000000004</v>
      </c>
      <c r="I386" s="44">
        <v>304.92504000000002</v>
      </c>
      <c r="J386" s="44">
        <v>376.48908</v>
      </c>
      <c r="K386" s="44">
        <v>524.8029600000001</v>
      </c>
      <c r="L386" s="44">
        <v>359.89452</v>
      </c>
      <c r="M386" s="44">
        <f t="shared" si="5"/>
        <v>675.35999999999967</v>
      </c>
      <c r="N386" s="45">
        <v>4824</v>
      </c>
      <c r="O386" s="50">
        <v>225</v>
      </c>
      <c r="P386" s="50">
        <v>1</v>
      </c>
      <c r="Q386" s="50">
        <v>796</v>
      </c>
      <c r="R386" s="50">
        <v>769</v>
      </c>
      <c r="S386" s="50">
        <v>456</v>
      </c>
      <c r="T386" s="50">
        <v>750</v>
      </c>
      <c r="U386" s="50">
        <v>58</v>
      </c>
      <c r="V386" s="50">
        <v>644</v>
      </c>
      <c r="W386" s="50">
        <v>1125</v>
      </c>
      <c r="X386" s="50">
        <v>0</v>
      </c>
    </row>
    <row r="387" spans="1:24" s="41" customFormat="1">
      <c r="A387" s="42">
        <v>46160</v>
      </c>
      <c r="B387" s="43" t="s">
        <v>962</v>
      </c>
      <c r="C387" s="44">
        <v>226.67987500000001</v>
      </c>
      <c r="D387" s="44">
        <v>287.971</v>
      </c>
      <c r="E387" s="44">
        <v>270.45925</v>
      </c>
      <c r="F387" s="44">
        <v>677.12099999999998</v>
      </c>
      <c r="G387" s="44">
        <v>469.89862499999998</v>
      </c>
      <c r="H387" s="44">
        <v>490.32900000000001</v>
      </c>
      <c r="I387" s="44">
        <v>286.02524999999997</v>
      </c>
      <c r="J387" s="44">
        <v>353.15362499999998</v>
      </c>
      <c r="K387" s="44">
        <v>492.27474999999998</v>
      </c>
      <c r="L387" s="44">
        <v>337.587625</v>
      </c>
      <c r="M387" s="44">
        <f t="shared" ref="M387:M450" si="6">N387-SUM(C387:L387)</f>
        <v>633.49999999999955</v>
      </c>
      <c r="N387" s="45">
        <v>4525</v>
      </c>
      <c r="O387" s="50">
        <v>155</v>
      </c>
      <c r="P387" s="50">
        <v>1</v>
      </c>
      <c r="Q387" s="50">
        <v>530</v>
      </c>
      <c r="R387" s="50">
        <v>769</v>
      </c>
      <c r="S387" s="50">
        <v>456</v>
      </c>
      <c r="T387" s="50">
        <v>750</v>
      </c>
      <c r="U387" s="50">
        <v>35</v>
      </c>
      <c r="V387" s="50">
        <v>644</v>
      </c>
      <c r="W387" s="50">
        <v>1102</v>
      </c>
      <c r="X387" s="50">
        <v>83</v>
      </c>
    </row>
    <row r="388" spans="1:24" s="41" customFormat="1">
      <c r="A388" s="42">
        <v>46161</v>
      </c>
      <c r="B388" s="43" t="s">
        <v>962</v>
      </c>
      <c r="C388" s="44">
        <v>231.38880500000002</v>
      </c>
      <c r="D388" s="44">
        <v>293.95315999999997</v>
      </c>
      <c r="E388" s="44">
        <v>276.07763000000006</v>
      </c>
      <c r="F388" s="44">
        <v>691.18715999999995</v>
      </c>
      <c r="G388" s="44">
        <v>479.660055</v>
      </c>
      <c r="H388" s="44">
        <v>500.51484000000005</v>
      </c>
      <c r="I388" s="44">
        <v>291.96699000000001</v>
      </c>
      <c r="J388" s="44">
        <v>360.48985499999998</v>
      </c>
      <c r="K388" s="44">
        <v>502.50101000000001</v>
      </c>
      <c r="L388" s="44">
        <v>344.60049499999997</v>
      </c>
      <c r="M388" s="44">
        <f t="shared" si="6"/>
        <v>646.66000000000031</v>
      </c>
      <c r="N388" s="45">
        <v>4619</v>
      </c>
      <c r="O388" s="50">
        <v>155</v>
      </c>
      <c r="P388" s="50">
        <v>1</v>
      </c>
      <c r="Q388" s="50">
        <v>530</v>
      </c>
      <c r="R388" s="50">
        <v>769</v>
      </c>
      <c r="S388" s="50">
        <v>456</v>
      </c>
      <c r="T388" s="50">
        <v>850</v>
      </c>
      <c r="U388" s="50">
        <v>9</v>
      </c>
      <c r="V388" s="50">
        <v>644</v>
      </c>
      <c r="W388" s="50">
        <v>1122</v>
      </c>
      <c r="X388" s="50">
        <v>83</v>
      </c>
    </row>
    <row r="389" spans="1:24" s="41" customFormat="1">
      <c r="A389" s="42">
        <v>46162</v>
      </c>
      <c r="B389" s="43" t="s">
        <v>962</v>
      </c>
      <c r="C389" s="44">
        <v>231.68937500000001</v>
      </c>
      <c r="D389" s="44">
        <v>294.33499999999998</v>
      </c>
      <c r="E389" s="44">
        <v>276.43625000000003</v>
      </c>
      <c r="F389" s="44">
        <v>692.08499999999992</v>
      </c>
      <c r="G389" s="44">
        <v>480.28312499999998</v>
      </c>
      <c r="H389" s="44">
        <v>501.16500000000002</v>
      </c>
      <c r="I389" s="44">
        <v>292.34625</v>
      </c>
      <c r="J389" s="44">
        <v>360.958125</v>
      </c>
      <c r="K389" s="44">
        <v>503.15375</v>
      </c>
      <c r="L389" s="44">
        <v>345.04812499999997</v>
      </c>
      <c r="M389" s="44">
        <f t="shared" si="6"/>
        <v>647.50000000000045</v>
      </c>
      <c r="N389" s="45">
        <v>4625</v>
      </c>
      <c r="O389" s="50">
        <v>155</v>
      </c>
      <c r="P389" s="50">
        <v>1</v>
      </c>
      <c r="Q389" s="50">
        <v>530</v>
      </c>
      <c r="R389" s="50">
        <v>769</v>
      </c>
      <c r="S389" s="50">
        <v>456</v>
      </c>
      <c r="T389" s="50">
        <v>850</v>
      </c>
      <c r="U389" s="50">
        <v>0</v>
      </c>
      <c r="V389" s="50">
        <v>644</v>
      </c>
      <c r="W389" s="50">
        <v>1137</v>
      </c>
      <c r="X389" s="50">
        <v>83</v>
      </c>
    </row>
    <row r="390" spans="1:24" s="41" customFormat="1">
      <c r="A390" s="42">
        <v>46163</v>
      </c>
      <c r="B390" s="43" t="s">
        <v>962</v>
      </c>
      <c r="C390" s="44">
        <v>233.64308</v>
      </c>
      <c r="D390" s="44">
        <v>296.81695999999999</v>
      </c>
      <c r="E390" s="44">
        <v>278.76728000000003</v>
      </c>
      <c r="F390" s="44">
        <v>697.92095999999992</v>
      </c>
      <c r="G390" s="44">
        <v>484.33308</v>
      </c>
      <c r="H390" s="44">
        <v>505.39103999999998</v>
      </c>
      <c r="I390" s="44">
        <v>294.81144</v>
      </c>
      <c r="J390" s="44">
        <v>364.00187999999997</v>
      </c>
      <c r="K390" s="44">
        <v>507.39656000000002</v>
      </c>
      <c r="L390" s="44">
        <v>347.95771999999999</v>
      </c>
      <c r="M390" s="44">
        <f t="shared" si="6"/>
        <v>652.96000000000049</v>
      </c>
      <c r="N390" s="45">
        <v>4664</v>
      </c>
      <c r="O390" s="50">
        <v>155</v>
      </c>
      <c r="P390" s="50">
        <v>1</v>
      </c>
      <c r="Q390" s="50">
        <v>530</v>
      </c>
      <c r="R390" s="50">
        <v>769</v>
      </c>
      <c r="S390" s="50">
        <v>456</v>
      </c>
      <c r="T390" s="50">
        <v>850</v>
      </c>
      <c r="U390" s="50">
        <v>0</v>
      </c>
      <c r="V390" s="50">
        <v>644</v>
      </c>
      <c r="W390" s="50">
        <v>1176</v>
      </c>
      <c r="X390" s="50">
        <v>83</v>
      </c>
    </row>
    <row r="391" spans="1:24" s="41" customFormat="1">
      <c r="A391" s="42">
        <v>46164</v>
      </c>
      <c r="B391" s="43" t="s">
        <v>962</v>
      </c>
      <c r="C391" s="44">
        <v>233.94364999999999</v>
      </c>
      <c r="D391" s="44">
        <v>297.19879999999995</v>
      </c>
      <c r="E391" s="44">
        <v>279.1259</v>
      </c>
      <c r="F391" s="44">
        <v>698.8187999999999</v>
      </c>
      <c r="G391" s="44">
        <v>484.95614999999998</v>
      </c>
      <c r="H391" s="44">
        <v>506.0412</v>
      </c>
      <c r="I391" s="44">
        <v>295.19069999999999</v>
      </c>
      <c r="J391" s="44">
        <v>364.47014999999999</v>
      </c>
      <c r="K391" s="44">
        <v>508.04929999999996</v>
      </c>
      <c r="L391" s="44">
        <v>348.40534999999994</v>
      </c>
      <c r="M391" s="44">
        <f t="shared" si="6"/>
        <v>653.79999999999973</v>
      </c>
      <c r="N391" s="45">
        <v>4670</v>
      </c>
      <c r="O391" s="50">
        <v>155</v>
      </c>
      <c r="P391" s="50">
        <v>1</v>
      </c>
      <c r="Q391" s="50">
        <v>530</v>
      </c>
      <c r="R391" s="50">
        <v>769</v>
      </c>
      <c r="S391" s="50">
        <v>456</v>
      </c>
      <c r="T391" s="50">
        <v>850</v>
      </c>
      <c r="U391" s="50">
        <v>5</v>
      </c>
      <c r="V391" s="50">
        <v>644</v>
      </c>
      <c r="W391" s="50">
        <v>1177</v>
      </c>
      <c r="X391" s="50">
        <v>83</v>
      </c>
    </row>
    <row r="392" spans="1:24" s="41" customFormat="1">
      <c r="A392" s="42">
        <v>46165</v>
      </c>
      <c r="B392" s="43" t="s">
        <v>962</v>
      </c>
      <c r="C392" s="44">
        <v>251.07614000000001</v>
      </c>
      <c r="D392" s="44">
        <v>318.96367999999995</v>
      </c>
      <c r="E392" s="44">
        <v>299.56724000000003</v>
      </c>
      <c r="F392" s="44">
        <v>749.99567999999988</v>
      </c>
      <c r="G392" s="44">
        <v>520.47113999999999</v>
      </c>
      <c r="H392" s="44">
        <v>543.10032000000001</v>
      </c>
      <c r="I392" s="44">
        <v>316.80851999999999</v>
      </c>
      <c r="J392" s="44">
        <v>391.16153999999995</v>
      </c>
      <c r="K392" s="44">
        <v>545.25547999999992</v>
      </c>
      <c r="L392" s="44">
        <v>373.92025999999993</v>
      </c>
      <c r="M392" s="44">
        <f t="shared" si="6"/>
        <v>701.68000000000029</v>
      </c>
      <c r="N392" s="45">
        <v>5012</v>
      </c>
      <c r="O392" s="50">
        <v>225</v>
      </c>
      <c r="P392" s="50">
        <v>1</v>
      </c>
      <c r="Q392" s="50">
        <v>796</v>
      </c>
      <c r="R392" s="50">
        <v>769</v>
      </c>
      <c r="S392" s="50">
        <v>456</v>
      </c>
      <c r="T392" s="50">
        <v>850</v>
      </c>
      <c r="U392" s="50">
        <v>46</v>
      </c>
      <c r="V392" s="50">
        <v>644</v>
      </c>
      <c r="W392" s="50">
        <v>1225</v>
      </c>
      <c r="X392" s="50">
        <v>0</v>
      </c>
    </row>
    <row r="393" spans="1:24" s="41" customFormat="1">
      <c r="A393" s="42">
        <v>46166</v>
      </c>
      <c r="B393" s="43" t="s">
        <v>962</v>
      </c>
      <c r="C393" s="44">
        <v>251.67728000000002</v>
      </c>
      <c r="D393" s="44">
        <v>319.72736000000003</v>
      </c>
      <c r="E393" s="44">
        <v>300.28448000000003</v>
      </c>
      <c r="F393" s="44">
        <v>751.79136000000005</v>
      </c>
      <c r="G393" s="44">
        <v>521.71728000000007</v>
      </c>
      <c r="H393" s="44">
        <v>544.40064000000007</v>
      </c>
      <c r="I393" s="44">
        <v>317.56704000000002</v>
      </c>
      <c r="J393" s="44">
        <v>392.09808000000004</v>
      </c>
      <c r="K393" s="44">
        <v>546.56096000000002</v>
      </c>
      <c r="L393" s="44">
        <v>374.81551999999999</v>
      </c>
      <c r="M393" s="44">
        <f t="shared" si="6"/>
        <v>703.35999999999967</v>
      </c>
      <c r="N393" s="45">
        <v>5024</v>
      </c>
      <c r="O393" s="50">
        <v>225</v>
      </c>
      <c r="P393" s="50">
        <v>1</v>
      </c>
      <c r="Q393" s="50">
        <v>796</v>
      </c>
      <c r="R393" s="50">
        <v>769</v>
      </c>
      <c r="S393" s="50">
        <v>456</v>
      </c>
      <c r="T393" s="50">
        <v>850</v>
      </c>
      <c r="U393" s="50">
        <v>46</v>
      </c>
      <c r="V393" s="50">
        <v>644</v>
      </c>
      <c r="W393" s="50">
        <v>1237</v>
      </c>
      <c r="X393" s="50">
        <v>0</v>
      </c>
    </row>
    <row r="394" spans="1:24" s="41" customFormat="1">
      <c r="A394" s="42">
        <v>46167</v>
      </c>
      <c r="B394" s="43" t="s">
        <v>962</v>
      </c>
      <c r="C394" s="44">
        <v>254.18203000000003</v>
      </c>
      <c r="D394" s="44">
        <v>322.90935999999999</v>
      </c>
      <c r="E394" s="44">
        <v>303.27298000000008</v>
      </c>
      <c r="F394" s="44">
        <v>759.27336000000003</v>
      </c>
      <c r="G394" s="44">
        <v>526.90953000000002</v>
      </c>
      <c r="H394" s="44">
        <v>549.81864000000007</v>
      </c>
      <c r="I394" s="44">
        <v>320.72754000000003</v>
      </c>
      <c r="J394" s="44">
        <v>396.00033000000002</v>
      </c>
      <c r="K394" s="44">
        <v>552.00046000000009</v>
      </c>
      <c r="L394" s="44">
        <v>378.54577</v>
      </c>
      <c r="M394" s="44">
        <f t="shared" si="6"/>
        <v>710.35999999999967</v>
      </c>
      <c r="N394" s="45">
        <v>5074</v>
      </c>
      <c r="O394" s="50">
        <v>155</v>
      </c>
      <c r="P394" s="50">
        <v>1</v>
      </c>
      <c r="Q394" s="50">
        <v>530</v>
      </c>
      <c r="R394" s="50">
        <v>769</v>
      </c>
      <c r="S394" s="50">
        <v>456</v>
      </c>
      <c r="T394" s="50">
        <v>1250</v>
      </c>
      <c r="U394" s="50">
        <v>15</v>
      </c>
      <c r="V394" s="50">
        <v>644</v>
      </c>
      <c r="W394" s="50">
        <v>1171</v>
      </c>
      <c r="X394" s="50">
        <v>83</v>
      </c>
    </row>
    <row r="395" spans="1:24" s="41" customFormat="1">
      <c r="A395" s="42">
        <v>46168</v>
      </c>
      <c r="B395" s="43" t="s">
        <v>962</v>
      </c>
      <c r="C395" s="44">
        <v>252.729275</v>
      </c>
      <c r="D395" s="44">
        <v>321.06379999999996</v>
      </c>
      <c r="E395" s="44">
        <v>301.53964999999999</v>
      </c>
      <c r="F395" s="44">
        <v>754.93379999999991</v>
      </c>
      <c r="G395" s="44">
        <v>523.89802499999996</v>
      </c>
      <c r="H395" s="44">
        <v>546.67619999999999</v>
      </c>
      <c r="I395" s="44">
        <v>318.89444999999995</v>
      </c>
      <c r="J395" s="44">
        <v>393.73702499999996</v>
      </c>
      <c r="K395" s="44">
        <v>548.84555</v>
      </c>
      <c r="L395" s="44">
        <v>376.38222499999995</v>
      </c>
      <c r="M395" s="44">
        <f t="shared" si="6"/>
        <v>706.30000000000018</v>
      </c>
      <c r="N395" s="45">
        <v>5045</v>
      </c>
      <c r="O395" s="50">
        <v>155</v>
      </c>
      <c r="P395" s="50">
        <v>0</v>
      </c>
      <c r="Q395" s="50">
        <v>530</v>
      </c>
      <c r="R395" s="50">
        <v>769</v>
      </c>
      <c r="S395" s="50">
        <v>456</v>
      </c>
      <c r="T395" s="50">
        <v>1250</v>
      </c>
      <c r="U395" s="50">
        <v>0</v>
      </c>
      <c r="V395" s="50">
        <v>644</v>
      </c>
      <c r="W395" s="50">
        <v>1158</v>
      </c>
      <c r="X395" s="50">
        <v>83</v>
      </c>
    </row>
    <row r="396" spans="1:24" s="41" customFormat="1">
      <c r="A396" s="42">
        <v>46169</v>
      </c>
      <c r="B396" s="43" t="s">
        <v>962</v>
      </c>
      <c r="C396" s="44">
        <v>251.77746999999999</v>
      </c>
      <c r="D396" s="44">
        <v>319.85463999999996</v>
      </c>
      <c r="E396" s="44">
        <v>300.40402</v>
      </c>
      <c r="F396" s="44">
        <v>752.09063999999989</v>
      </c>
      <c r="G396" s="44">
        <v>521.92496999999992</v>
      </c>
      <c r="H396" s="44">
        <v>544.61735999999996</v>
      </c>
      <c r="I396" s="44">
        <v>317.69345999999996</v>
      </c>
      <c r="J396" s="44">
        <v>392.25416999999993</v>
      </c>
      <c r="K396" s="44">
        <v>546.77854000000002</v>
      </c>
      <c r="L396" s="44">
        <v>374.96472999999992</v>
      </c>
      <c r="M396" s="44">
        <f t="shared" si="6"/>
        <v>703.64000000000033</v>
      </c>
      <c r="N396" s="45">
        <v>5026</v>
      </c>
      <c r="O396" s="50">
        <v>155</v>
      </c>
      <c r="P396" s="50">
        <v>0</v>
      </c>
      <c r="Q396" s="50">
        <v>530</v>
      </c>
      <c r="R396" s="50">
        <v>769</v>
      </c>
      <c r="S396" s="50">
        <v>456</v>
      </c>
      <c r="T396" s="50">
        <v>1250</v>
      </c>
      <c r="U396" s="50">
        <v>0</v>
      </c>
      <c r="V396" s="50">
        <v>644</v>
      </c>
      <c r="W396" s="50">
        <v>1139</v>
      </c>
      <c r="X396" s="50">
        <v>83</v>
      </c>
    </row>
    <row r="397" spans="1:24" s="41" customFormat="1">
      <c r="A397" s="42">
        <v>46170</v>
      </c>
      <c r="B397" s="43" t="s">
        <v>962</v>
      </c>
      <c r="C397" s="44">
        <v>253.53079500000001</v>
      </c>
      <c r="D397" s="44">
        <v>322.08204000000001</v>
      </c>
      <c r="E397" s="44">
        <v>302.49597000000006</v>
      </c>
      <c r="F397" s="44">
        <v>757.32803999999999</v>
      </c>
      <c r="G397" s="44">
        <v>525.55954499999996</v>
      </c>
      <c r="H397" s="44">
        <v>548.40995999999996</v>
      </c>
      <c r="I397" s="44">
        <v>319.90580999999997</v>
      </c>
      <c r="J397" s="44">
        <v>394.98574500000001</v>
      </c>
      <c r="K397" s="44">
        <v>550.58618999999999</v>
      </c>
      <c r="L397" s="44">
        <v>377.57590499999998</v>
      </c>
      <c r="M397" s="44">
        <f t="shared" si="6"/>
        <v>708.54</v>
      </c>
      <c r="N397" s="45">
        <v>5061</v>
      </c>
      <c r="O397" s="50">
        <v>155</v>
      </c>
      <c r="P397" s="50">
        <v>0</v>
      </c>
      <c r="Q397" s="50">
        <v>530</v>
      </c>
      <c r="R397" s="50">
        <v>769</v>
      </c>
      <c r="S397" s="50">
        <v>456</v>
      </c>
      <c r="T397" s="50">
        <v>1250</v>
      </c>
      <c r="U397" s="50">
        <v>0</v>
      </c>
      <c r="V397" s="50">
        <v>644</v>
      </c>
      <c r="W397" s="50">
        <v>1174</v>
      </c>
      <c r="X397" s="50">
        <v>83</v>
      </c>
    </row>
    <row r="398" spans="1:24" s="41" customFormat="1">
      <c r="A398" s="42">
        <v>46171</v>
      </c>
      <c r="B398" s="43" t="s">
        <v>962</v>
      </c>
      <c r="C398" s="44">
        <v>253.83136500000001</v>
      </c>
      <c r="D398" s="44">
        <v>322.46387999999996</v>
      </c>
      <c r="E398" s="44">
        <v>302.85459000000003</v>
      </c>
      <c r="F398" s="44">
        <v>758.22587999999996</v>
      </c>
      <c r="G398" s="44">
        <v>526.18261499999994</v>
      </c>
      <c r="H398" s="44">
        <v>549.06011999999998</v>
      </c>
      <c r="I398" s="44">
        <v>320.28506999999996</v>
      </c>
      <c r="J398" s="44">
        <v>395.45401499999997</v>
      </c>
      <c r="K398" s="44">
        <v>551.23892999999998</v>
      </c>
      <c r="L398" s="44">
        <v>378.02353499999998</v>
      </c>
      <c r="M398" s="44">
        <f t="shared" si="6"/>
        <v>709.38000000000011</v>
      </c>
      <c r="N398" s="45">
        <v>5067</v>
      </c>
      <c r="O398" s="50">
        <v>155</v>
      </c>
      <c r="P398" s="50">
        <v>0</v>
      </c>
      <c r="Q398" s="50">
        <v>530</v>
      </c>
      <c r="R398" s="50">
        <v>769</v>
      </c>
      <c r="S398" s="50">
        <v>456</v>
      </c>
      <c r="T398" s="50">
        <v>1250</v>
      </c>
      <c r="U398" s="50">
        <v>0</v>
      </c>
      <c r="V398" s="50">
        <v>644</v>
      </c>
      <c r="W398" s="50">
        <v>1180</v>
      </c>
      <c r="X398" s="50">
        <v>83</v>
      </c>
    </row>
    <row r="399" spans="1:24" s="41" customFormat="1">
      <c r="A399" s="42">
        <v>46172</v>
      </c>
      <c r="B399" s="43" t="s">
        <v>962</v>
      </c>
      <c r="C399" s="44">
        <v>268.25872500000003</v>
      </c>
      <c r="D399" s="44">
        <v>340.79219999999998</v>
      </c>
      <c r="E399" s="44">
        <v>320.06835000000007</v>
      </c>
      <c r="F399" s="44">
        <v>801.32219999999995</v>
      </c>
      <c r="G399" s="44">
        <v>556.08997499999998</v>
      </c>
      <c r="H399" s="44">
        <v>580.26780000000008</v>
      </c>
      <c r="I399" s="44">
        <v>338.48955000000001</v>
      </c>
      <c r="J399" s="44">
        <v>417.93097499999999</v>
      </c>
      <c r="K399" s="44">
        <v>582.57045000000005</v>
      </c>
      <c r="L399" s="44">
        <v>399.50977499999999</v>
      </c>
      <c r="M399" s="44">
        <f t="shared" si="6"/>
        <v>749.69999999999891</v>
      </c>
      <c r="N399" s="45">
        <v>5355</v>
      </c>
      <c r="O399" s="50">
        <v>225</v>
      </c>
      <c r="P399" s="50">
        <v>1</v>
      </c>
      <c r="Q399" s="50">
        <v>796</v>
      </c>
      <c r="R399" s="50">
        <v>769</v>
      </c>
      <c r="S399" s="50">
        <v>456</v>
      </c>
      <c r="T399" s="50">
        <v>1250</v>
      </c>
      <c r="U399" s="50">
        <v>20</v>
      </c>
      <c r="V399" s="50">
        <v>643</v>
      </c>
      <c r="W399" s="50">
        <v>1195</v>
      </c>
      <c r="X399" s="50">
        <v>0</v>
      </c>
    </row>
    <row r="400" spans="1:24" s="41" customFormat="1">
      <c r="A400" s="42">
        <v>46173</v>
      </c>
      <c r="B400" s="43" t="s">
        <v>962</v>
      </c>
      <c r="C400" s="44">
        <v>299.11724499999997</v>
      </c>
      <c r="D400" s="44">
        <v>379.99443999999994</v>
      </c>
      <c r="E400" s="44">
        <v>356.88666999999998</v>
      </c>
      <c r="F400" s="44">
        <v>893.5004399999998</v>
      </c>
      <c r="G400" s="44">
        <v>620.05849499999988</v>
      </c>
      <c r="H400" s="44">
        <v>647.01755999999989</v>
      </c>
      <c r="I400" s="44">
        <v>377.42690999999996</v>
      </c>
      <c r="J400" s="44">
        <v>466.00669499999992</v>
      </c>
      <c r="K400" s="44">
        <v>649.58508999999992</v>
      </c>
      <c r="L400" s="44">
        <v>445.46645499999994</v>
      </c>
      <c r="M400" s="44">
        <f t="shared" si="6"/>
        <v>835.94000000000142</v>
      </c>
      <c r="N400" s="45">
        <v>5971</v>
      </c>
      <c r="O400" s="50">
        <v>225</v>
      </c>
      <c r="P400" s="50">
        <v>1</v>
      </c>
      <c r="Q400" s="50">
        <v>801</v>
      </c>
      <c r="R400" s="50">
        <v>780</v>
      </c>
      <c r="S400" s="50">
        <v>456</v>
      </c>
      <c r="T400" s="50">
        <v>1863</v>
      </c>
      <c r="U400" s="50">
        <v>20</v>
      </c>
      <c r="V400" s="50">
        <v>643</v>
      </c>
      <c r="W400" s="50">
        <v>1182</v>
      </c>
      <c r="X400" s="50">
        <v>0</v>
      </c>
    </row>
    <row r="401" spans="1:24" s="41" customFormat="1">
      <c r="A401" s="42">
        <v>46174</v>
      </c>
      <c r="B401" s="43" t="s">
        <v>962</v>
      </c>
      <c r="C401" s="44"/>
      <c r="D401" s="44"/>
      <c r="E401" s="44"/>
      <c r="F401" s="44"/>
      <c r="G401" s="44"/>
      <c r="H401" s="44"/>
      <c r="I401" s="44"/>
      <c r="J401" s="44"/>
      <c r="K401" s="44"/>
      <c r="L401" s="44"/>
      <c r="M401" s="44">
        <f t="shared" si="6"/>
        <v>0</v>
      </c>
      <c r="N401" s="45"/>
      <c r="O401" s="44"/>
      <c r="P401" s="44"/>
      <c r="Q401" s="44"/>
      <c r="R401" s="44"/>
      <c r="S401" s="44"/>
      <c r="T401" s="44"/>
      <c r="U401" s="44"/>
      <c r="V401" s="44"/>
      <c r="W401" s="44"/>
      <c r="X401" s="44"/>
    </row>
    <row r="402" spans="1:24" s="41" customFormat="1">
      <c r="A402" s="42">
        <v>46175</v>
      </c>
      <c r="B402" s="43" t="s">
        <v>962</v>
      </c>
      <c r="C402" s="44"/>
      <c r="D402" s="44"/>
      <c r="E402" s="44"/>
      <c r="F402" s="44"/>
      <c r="G402" s="44"/>
      <c r="H402" s="44"/>
      <c r="I402" s="44"/>
      <c r="J402" s="44"/>
      <c r="K402" s="44"/>
      <c r="L402" s="44"/>
      <c r="M402" s="44">
        <f t="shared" si="6"/>
        <v>0</v>
      </c>
      <c r="N402" s="45"/>
      <c r="O402" s="44"/>
      <c r="P402" s="44"/>
      <c r="Q402" s="44"/>
      <c r="R402" s="44"/>
      <c r="S402" s="44"/>
      <c r="T402" s="44"/>
      <c r="U402" s="44"/>
      <c r="V402" s="44"/>
      <c r="W402" s="44"/>
      <c r="X402" s="44"/>
    </row>
    <row r="403" spans="1:24" s="41" customFormat="1">
      <c r="A403" s="42">
        <v>46176</v>
      </c>
      <c r="B403" s="43" t="s">
        <v>962</v>
      </c>
      <c r="C403" s="44"/>
      <c r="D403" s="44"/>
      <c r="E403" s="44"/>
      <c r="F403" s="44"/>
      <c r="G403" s="44"/>
      <c r="H403" s="44"/>
      <c r="I403" s="44"/>
      <c r="J403" s="44"/>
      <c r="K403" s="44"/>
      <c r="L403" s="44"/>
      <c r="M403" s="44">
        <f t="shared" si="6"/>
        <v>0</v>
      </c>
      <c r="N403" s="45"/>
      <c r="O403" s="44"/>
      <c r="P403" s="44"/>
      <c r="Q403" s="44"/>
      <c r="R403" s="44"/>
      <c r="S403" s="44"/>
      <c r="T403" s="44"/>
      <c r="U403" s="44"/>
      <c r="V403" s="44"/>
      <c r="W403" s="44"/>
      <c r="X403" s="44"/>
    </row>
    <row r="404" spans="1:24" s="41" customFormat="1">
      <c r="A404" s="42">
        <v>46177</v>
      </c>
      <c r="B404" s="43" t="s">
        <v>962</v>
      </c>
      <c r="C404" s="44"/>
      <c r="D404" s="44"/>
      <c r="E404" s="44"/>
      <c r="F404" s="44"/>
      <c r="G404" s="44"/>
      <c r="H404" s="44"/>
      <c r="I404" s="44"/>
      <c r="J404" s="44"/>
      <c r="K404" s="44"/>
      <c r="L404" s="44"/>
      <c r="M404" s="44">
        <f t="shared" si="6"/>
        <v>0</v>
      </c>
      <c r="N404" s="45"/>
      <c r="O404" s="44"/>
      <c r="P404" s="44"/>
      <c r="Q404" s="44"/>
      <c r="R404" s="44"/>
      <c r="S404" s="44"/>
      <c r="T404" s="44"/>
      <c r="U404" s="44"/>
      <c r="V404" s="44"/>
      <c r="W404" s="44"/>
      <c r="X404" s="44"/>
    </row>
    <row r="405" spans="1:24" s="41" customFormat="1">
      <c r="A405" s="42">
        <v>46178</v>
      </c>
      <c r="B405" s="43" t="s">
        <v>962</v>
      </c>
      <c r="C405" s="44"/>
      <c r="D405" s="44"/>
      <c r="E405" s="44"/>
      <c r="F405" s="44"/>
      <c r="G405" s="44"/>
      <c r="H405" s="44"/>
      <c r="I405" s="44"/>
      <c r="J405" s="44"/>
      <c r="K405" s="44"/>
      <c r="L405" s="44"/>
      <c r="M405" s="44">
        <f t="shared" si="6"/>
        <v>0</v>
      </c>
      <c r="N405" s="45"/>
      <c r="O405" s="44"/>
      <c r="P405" s="44"/>
      <c r="Q405" s="44"/>
      <c r="R405" s="44"/>
      <c r="S405" s="44"/>
      <c r="T405" s="44"/>
      <c r="U405" s="44"/>
      <c r="V405" s="44"/>
      <c r="W405" s="44"/>
      <c r="X405" s="44"/>
    </row>
    <row r="406" spans="1:24" s="41" customFormat="1">
      <c r="A406" s="42">
        <v>46179</v>
      </c>
      <c r="B406" s="43" t="s">
        <v>962</v>
      </c>
      <c r="C406" s="44"/>
      <c r="D406" s="44"/>
      <c r="E406" s="44"/>
      <c r="F406" s="44"/>
      <c r="G406" s="44"/>
      <c r="H406" s="44"/>
      <c r="I406" s="44"/>
      <c r="J406" s="44"/>
      <c r="K406" s="44"/>
      <c r="L406" s="44"/>
      <c r="M406" s="44">
        <f t="shared" si="6"/>
        <v>0</v>
      </c>
      <c r="N406" s="45"/>
      <c r="O406" s="44"/>
      <c r="P406" s="44"/>
      <c r="Q406" s="44"/>
      <c r="R406" s="44"/>
      <c r="S406" s="44"/>
      <c r="T406" s="44"/>
      <c r="U406" s="44"/>
      <c r="V406" s="44"/>
      <c r="W406" s="44"/>
      <c r="X406" s="44"/>
    </row>
    <row r="407" spans="1:24" s="41" customFormat="1">
      <c r="A407" s="42">
        <v>46180</v>
      </c>
      <c r="B407" s="43" t="s">
        <v>962</v>
      </c>
      <c r="C407" s="44"/>
      <c r="D407" s="44"/>
      <c r="E407" s="44"/>
      <c r="F407" s="44"/>
      <c r="G407" s="44"/>
      <c r="H407" s="44"/>
      <c r="I407" s="44"/>
      <c r="J407" s="44"/>
      <c r="K407" s="44"/>
      <c r="L407" s="44"/>
      <c r="M407" s="44">
        <f t="shared" si="6"/>
        <v>0</v>
      </c>
      <c r="N407" s="45"/>
      <c r="O407" s="44"/>
      <c r="P407" s="44"/>
      <c r="Q407" s="44"/>
      <c r="R407" s="44"/>
      <c r="S407" s="44"/>
      <c r="T407" s="44"/>
      <c r="U407" s="44"/>
      <c r="V407" s="44"/>
      <c r="W407" s="44"/>
      <c r="X407" s="44"/>
    </row>
    <row r="408" spans="1:24" s="41" customFormat="1">
      <c r="A408" s="42">
        <v>46181</v>
      </c>
      <c r="B408" s="43" t="s">
        <v>962</v>
      </c>
      <c r="C408" s="44"/>
      <c r="D408" s="44"/>
      <c r="E408" s="44"/>
      <c r="F408" s="44"/>
      <c r="G408" s="44"/>
      <c r="H408" s="44"/>
      <c r="I408" s="44"/>
      <c r="J408" s="44"/>
      <c r="K408" s="44"/>
      <c r="L408" s="44"/>
      <c r="M408" s="44">
        <f t="shared" si="6"/>
        <v>0</v>
      </c>
      <c r="N408" s="45"/>
      <c r="O408" s="44"/>
      <c r="P408" s="44"/>
      <c r="Q408" s="44"/>
      <c r="R408" s="44"/>
      <c r="S408" s="44"/>
      <c r="T408" s="44"/>
      <c r="U408" s="44"/>
      <c r="V408" s="44"/>
      <c r="W408" s="44"/>
      <c r="X408" s="44"/>
    </row>
    <row r="409" spans="1:24" s="41" customFormat="1">
      <c r="A409" s="42">
        <v>46182</v>
      </c>
      <c r="B409" s="43" t="s">
        <v>962</v>
      </c>
      <c r="C409" s="44"/>
      <c r="D409" s="44"/>
      <c r="E409" s="44"/>
      <c r="F409" s="44"/>
      <c r="G409" s="44"/>
      <c r="H409" s="44"/>
      <c r="I409" s="44"/>
      <c r="J409" s="44"/>
      <c r="K409" s="44"/>
      <c r="L409" s="44"/>
      <c r="M409" s="44">
        <f t="shared" si="6"/>
        <v>0</v>
      </c>
      <c r="N409" s="45"/>
      <c r="O409" s="44"/>
      <c r="P409" s="44"/>
      <c r="Q409" s="44"/>
      <c r="R409" s="44"/>
      <c r="S409" s="44"/>
      <c r="T409" s="44"/>
      <c r="U409" s="44"/>
      <c r="V409" s="44"/>
      <c r="W409" s="44"/>
      <c r="X409" s="44"/>
    </row>
    <row r="410" spans="1:24" s="41" customFormat="1">
      <c r="A410" s="42">
        <v>46183</v>
      </c>
      <c r="B410" s="43" t="s">
        <v>962</v>
      </c>
      <c r="C410" s="44"/>
      <c r="D410" s="44"/>
      <c r="E410" s="44"/>
      <c r="F410" s="44"/>
      <c r="G410" s="44"/>
      <c r="H410" s="44"/>
      <c r="I410" s="44"/>
      <c r="J410" s="44"/>
      <c r="K410" s="44"/>
      <c r="L410" s="44"/>
      <c r="M410" s="44">
        <f t="shared" si="6"/>
        <v>0</v>
      </c>
      <c r="N410" s="45"/>
      <c r="O410" s="44"/>
      <c r="P410" s="44"/>
      <c r="Q410" s="44"/>
      <c r="R410" s="44"/>
      <c r="S410" s="44"/>
      <c r="T410" s="44"/>
      <c r="U410" s="44"/>
      <c r="V410" s="44"/>
      <c r="W410" s="44"/>
      <c r="X410" s="44"/>
    </row>
    <row r="411" spans="1:24" s="41" customFormat="1">
      <c r="A411" s="42">
        <v>46184</v>
      </c>
      <c r="B411" s="43" t="s">
        <v>962</v>
      </c>
      <c r="C411" s="44"/>
      <c r="D411" s="44"/>
      <c r="E411" s="44"/>
      <c r="F411" s="44"/>
      <c r="G411" s="44"/>
      <c r="H411" s="44"/>
      <c r="I411" s="44"/>
      <c r="J411" s="44"/>
      <c r="K411" s="44"/>
      <c r="L411" s="44"/>
      <c r="M411" s="44">
        <f t="shared" si="6"/>
        <v>0</v>
      </c>
      <c r="N411" s="45"/>
      <c r="O411" s="44"/>
      <c r="P411" s="44"/>
      <c r="Q411" s="44"/>
      <c r="R411" s="44"/>
      <c r="S411" s="44"/>
      <c r="T411" s="44"/>
      <c r="U411" s="44"/>
      <c r="V411" s="44"/>
      <c r="W411" s="44"/>
      <c r="X411" s="44"/>
    </row>
    <row r="412" spans="1:24" s="41" customFormat="1">
      <c r="A412" s="42">
        <v>46185</v>
      </c>
      <c r="B412" s="43" t="s">
        <v>962</v>
      </c>
      <c r="C412" s="44"/>
      <c r="D412" s="44"/>
      <c r="E412" s="44"/>
      <c r="F412" s="44"/>
      <c r="G412" s="44"/>
      <c r="H412" s="44"/>
      <c r="I412" s="44"/>
      <c r="J412" s="44"/>
      <c r="K412" s="44"/>
      <c r="L412" s="44"/>
      <c r="M412" s="44">
        <f t="shared" si="6"/>
        <v>0</v>
      </c>
      <c r="N412" s="45"/>
      <c r="O412" s="44"/>
      <c r="P412" s="44"/>
      <c r="Q412" s="44"/>
      <c r="R412" s="44"/>
      <c r="S412" s="44"/>
      <c r="T412" s="44"/>
      <c r="U412" s="44"/>
      <c r="V412" s="44"/>
      <c r="W412" s="44"/>
      <c r="X412" s="44"/>
    </row>
    <row r="413" spans="1:24" s="41" customFormat="1">
      <c r="A413" s="42">
        <v>46186</v>
      </c>
      <c r="B413" s="43" t="s">
        <v>962</v>
      </c>
      <c r="C413" s="44"/>
      <c r="D413" s="44"/>
      <c r="E413" s="44"/>
      <c r="F413" s="44"/>
      <c r="G413" s="44"/>
      <c r="H413" s="44"/>
      <c r="I413" s="44"/>
      <c r="J413" s="44"/>
      <c r="K413" s="44"/>
      <c r="L413" s="44"/>
      <c r="M413" s="44">
        <f t="shared" si="6"/>
        <v>0</v>
      </c>
      <c r="N413" s="45"/>
      <c r="O413" s="44"/>
      <c r="P413" s="44"/>
      <c r="Q413" s="44"/>
      <c r="R413" s="44"/>
      <c r="S413" s="44"/>
      <c r="T413" s="44"/>
      <c r="U413" s="44"/>
      <c r="V413" s="44"/>
      <c r="W413" s="44"/>
      <c r="X413" s="44"/>
    </row>
    <row r="414" spans="1:24" s="41" customFormat="1">
      <c r="A414" s="42">
        <v>46187</v>
      </c>
      <c r="B414" s="43" t="s">
        <v>962</v>
      </c>
      <c r="C414" s="44"/>
      <c r="D414" s="44"/>
      <c r="E414" s="44"/>
      <c r="F414" s="44"/>
      <c r="G414" s="44"/>
      <c r="H414" s="44"/>
      <c r="I414" s="44"/>
      <c r="J414" s="44"/>
      <c r="K414" s="44"/>
      <c r="L414" s="44"/>
      <c r="M414" s="44">
        <f t="shared" si="6"/>
        <v>0</v>
      </c>
      <c r="N414" s="45"/>
      <c r="O414" s="44"/>
      <c r="P414" s="44"/>
      <c r="Q414" s="44"/>
      <c r="R414" s="44"/>
      <c r="S414" s="44"/>
      <c r="T414" s="44"/>
      <c r="U414" s="44"/>
      <c r="V414" s="44"/>
      <c r="W414" s="44"/>
      <c r="X414" s="44"/>
    </row>
    <row r="415" spans="1:24" s="41" customFormat="1">
      <c r="A415" s="42">
        <v>46188</v>
      </c>
      <c r="B415" s="43" t="s">
        <v>962</v>
      </c>
      <c r="C415" s="44"/>
      <c r="D415" s="44"/>
      <c r="E415" s="44"/>
      <c r="F415" s="44"/>
      <c r="G415" s="44"/>
      <c r="H415" s="44"/>
      <c r="I415" s="44"/>
      <c r="J415" s="44"/>
      <c r="K415" s="44"/>
      <c r="L415" s="44"/>
      <c r="M415" s="44">
        <f t="shared" si="6"/>
        <v>0</v>
      </c>
      <c r="N415" s="45"/>
      <c r="O415" s="44"/>
      <c r="P415" s="44"/>
      <c r="Q415" s="44"/>
      <c r="R415" s="44"/>
      <c r="S415" s="44"/>
      <c r="T415" s="44"/>
      <c r="U415" s="44"/>
      <c r="V415" s="44"/>
      <c r="W415" s="44"/>
      <c r="X415" s="44"/>
    </row>
    <row r="416" spans="1:24" s="41" customFormat="1">
      <c r="A416" s="42">
        <v>46189</v>
      </c>
      <c r="B416" s="43" t="s">
        <v>962</v>
      </c>
      <c r="C416" s="44"/>
      <c r="D416" s="44"/>
      <c r="E416" s="44"/>
      <c r="F416" s="44"/>
      <c r="G416" s="44"/>
      <c r="H416" s="44"/>
      <c r="I416" s="44"/>
      <c r="J416" s="44"/>
      <c r="K416" s="44"/>
      <c r="L416" s="44"/>
      <c r="M416" s="44">
        <f t="shared" si="6"/>
        <v>0</v>
      </c>
      <c r="N416" s="45"/>
      <c r="O416" s="44"/>
      <c r="P416" s="44"/>
      <c r="Q416" s="44"/>
      <c r="R416" s="44"/>
      <c r="S416" s="44"/>
      <c r="T416" s="44"/>
      <c r="U416" s="44"/>
      <c r="V416" s="44"/>
      <c r="W416" s="44"/>
      <c r="X416" s="44"/>
    </row>
    <row r="417" spans="1:24" s="41" customFormat="1">
      <c r="A417" s="42">
        <v>46190</v>
      </c>
      <c r="B417" s="43" t="s">
        <v>962</v>
      </c>
      <c r="C417" s="44"/>
      <c r="D417" s="44"/>
      <c r="E417" s="44"/>
      <c r="F417" s="44"/>
      <c r="G417" s="44"/>
      <c r="H417" s="44"/>
      <c r="I417" s="44"/>
      <c r="J417" s="44"/>
      <c r="K417" s="44"/>
      <c r="L417" s="44"/>
      <c r="M417" s="44">
        <f t="shared" si="6"/>
        <v>0</v>
      </c>
      <c r="N417" s="45"/>
      <c r="O417" s="44"/>
      <c r="P417" s="44"/>
      <c r="Q417" s="44"/>
      <c r="R417" s="44"/>
      <c r="S417" s="44"/>
      <c r="T417" s="44"/>
      <c r="U417" s="44"/>
      <c r="V417" s="44"/>
      <c r="W417" s="44"/>
      <c r="X417" s="44"/>
    </row>
    <row r="418" spans="1:24" s="41" customFormat="1">
      <c r="A418" s="42">
        <v>46191</v>
      </c>
      <c r="B418" s="43" t="s">
        <v>962</v>
      </c>
      <c r="C418" s="44"/>
      <c r="D418" s="44"/>
      <c r="E418" s="44"/>
      <c r="F418" s="44"/>
      <c r="G418" s="44"/>
      <c r="H418" s="44"/>
      <c r="I418" s="44"/>
      <c r="J418" s="44"/>
      <c r="K418" s="44"/>
      <c r="L418" s="44"/>
      <c r="M418" s="44">
        <f t="shared" si="6"/>
        <v>0</v>
      </c>
      <c r="N418" s="45"/>
      <c r="O418" s="44"/>
      <c r="P418" s="44"/>
      <c r="Q418" s="44"/>
      <c r="R418" s="44"/>
      <c r="S418" s="44"/>
      <c r="T418" s="44"/>
      <c r="U418" s="44"/>
      <c r="V418" s="44"/>
      <c r="W418" s="44"/>
      <c r="X418" s="44"/>
    </row>
    <row r="419" spans="1:24" s="41" customFormat="1">
      <c r="A419" s="42">
        <v>46192</v>
      </c>
      <c r="B419" s="43" t="s">
        <v>962</v>
      </c>
      <c r="C419" s="44"/>
      <c r="D419" s="44"/>
      <c r="E419" s="44"/>
      <c r="F419" s="44"/>
      <c r="G419" s="44"/>
      <c r="H419" s="44"/>
      <c r="I419" s="44"/>
      <c r="J419" s="44"/>
      <c r="K419" s="44"/>
      <c r="L419" s="44"/>
      <c r="M419" s="44">
        <f t="shared" si="6"/>
        <v>0</v>
      </c>
      <c r="N419" s="45"/>
      <c r="O419" s="44"/>
      <c r="P419" s="44"/>
      <c r="Q419" s="44"/>
      <c r="R419" s="44"/>
      <c r="S419" s="44"/>
      <c r="T419" s="44"/>
      <c r="U419" s="44"/>
      <c r="V419" s="44"/>
      <c r="W419" s="44"/>
      <c r="X419" s="44"/>
    </row>
    <row r="420" spans="1:24" s="41" customFormat="1">
      <c r="A420" s="42">
        <v>46193</v>
      </c>
      <c r="B420" s="43" t="s">
        <v>962</v>
      </c>
      <c r="C420" s="44"/>
      <c r="D420" s="44"/>
      <c r="E420" s="44"/>
      <c r="F420" s="44"/>
      <c r="G420" s="44"/>
      <c r="H420" s="44"/>
      <c r="I420" s="44"/>
      <c r="J420" s="44"/>
      <c r="K420" s="44"/>
      <c r="L420" s="44"/>
      <c r="M420" s="44">
        <f t="shared" si="6"/>
        <v>0</v>
      </c>
      <c r="N420" s="45"/>
      <c r="O420" s="44"/>
      <c r="P420" s="44"/>
      <c r="Q420" s="44"/>
      <c r="R420" s="44"/>
      <c r="S420" s="44"/>
      <c r="T420" s="44"/>
      <c r="U420" s="44"/>
      <c r="V420" s="44"/>
      <c r="W420" s="44"/>
      <c r="X420" s="44"/>
    </row>
    <row r="421" spans="1:24" s="41" customFormat="1">
      <c r="A421" s="42">
        <v>46194</v>
      </c>
      <c r="B421" s="43" t="s">
        <v>962</v>
      </c>
      <c r="C421" s="44"/>
      <c r="D421" s="44"/>
      <c r="E421" s="44"/>
      <c r="F421" s="44"/>
      <c r="G421" s="44"/>
      <c r="H421" s="44"/>
      <c r="I421" s="44"/>
      <c r="J421" s="44"/>
      <c r="K421" s="44"/>
      <c r="L421" s="44"/>
      <c r="M421" s="44">
        <f t="shared" si="6"/>
        <v>0</v>
      </c>
      <c r="N421" s="45"/>
      <c r="O421" s="44"/>
      <c r="P421" s="44"/>
      <c r="Q421" s="44"/>
      <c r="R421" s="44"/>
      <c r="S421" s="44"/>
      <c r="T421" s="44"/>
      <c r="U421" s="44"/>
      <c r="V421" s="44"/>
      <c r="W421" s="44"/>
      <c r="X421" s="44"/>
    </row>
    <row r="422" spans="1:24" s="41" customFormat="1">
      <c r="A422" s="42">
        <v>46195</v>
      </c>
      <c r="B422" s="43" t="s">
        <v>962</v>
      </c>
      <c r="C422" s="44"/>
      <c r="D422" s="44"/>
      <c r="E422" s="44"/>
      <c r="F422" s="44"/>
      <c r="G422" s="44"/>
      <c r="H422" s="44"/>
      <c r="I422" s="44"/>
      <c r="J422" s="44"/>
      <c r="K422" s="44"/>
      <c r="L422" s="44"/>
      <c r="M422" s="44">
        <f t="shared" si="6"/>
        <v>0</v>
      </c>
      <c r="N422" s="45"/>
      <c r="O422" s="44"/>
      <c r="P422" s="44"/>
      <c r="Q422" s="44"/>
      <c r="R422" s="44"/>
      <c r="S422" s="44"/>
      <c r="T422" s="44"/>
      <c r="U422" s="44"/>
      <c r="V422" s="44"/>
      <c r="W422" s="44"/>
      <c r="X422" s="44"/>
    </row>
    <row r="423" spans="1:24" s="41" customFormat="1">
      <c r="A423" s="42">
        <v>46196</v>
      </c>
      <c r="B423" s="43" t="s">
        <v>962</v>
      </c>
      <c r="C423" s="44"/>
      <c r="D423" s="44"/>
      <c r="E423" s="44"/>
      <c r="F423" s="44"/>
      <c r="G423" s="44"/>
      <c r="H423" s="44"/>
      <c r="I423" s="44"/>
      <c r="J423" s="44"/>
      <c r="K423" s="44"/>
      <c r="L423" s="44"/>
      <c r="M423" s="44">
        <f t="shared" si="6"/>
        <v>0</v>
      </c>
      <c r="N423" s="45"/>
      <c r="O423" s="44"/>
      <c r="P423" s="44"/>
      <c r="Q423" s="44"/>
      <c r="R423" s="44"/>
      <c r="S423" s="44"/>
      <c r="T423" s="44"/>
      <c r="U423" s="44"/>
      <c r="V423" s="44"/>
      <c r="W423" s="44"/>
      <c r="X423" s="44"/>
    </row>
    <row r="424" spans="1:24" s="41" customFormat="1">
      <c r="A424" s="42">
        <v>46197</v>
      </c>
      <c r="B424" s="43" t="s">
        <v>962</v>
      </c>
      <c r="C424" s="44"/>
      <c r="D424" s="44"/>
      <c r="E424" s="44"/>
      <c r="F424" s="44"/>
      <c r="G424" s="44"/>
      <c r="H424" s="44"/>
      <c r="I424" s="44"/>
      <c r="J424" s="44"/>
      <c r="K424" s="44"/>
      <c r="L424" s="44"/>
      <c r="M424" s="44">
        <f t="shared" si="6"/>
        <v>0</v>
      </c>
      <c r="N424" s="45"/>
      <c r="O424" s="44"/>
      <c r="P424" s="44"/>
      <c r="Q424" s="44"/>
      <c r="R424" s="44"/>
      <c r="S424" s="44"/>
      <c r="T424" s="44"/>
      <c r="U424" s="44"/>
      <c r="V424" s="44"/>
      <c r="W424" s="44"/>
      <c r="X424" s="44"/>
    </row>
    <row r="425" spans="1:24" s="41" customFormat="1">
      <c r="A425" s="42">
        <v>46198</v>
      </c>
      <c r="B425" s="43" t="s">
        <v>962</v>
      </c>
      <c r="C425" s="44"/>
      <c r="D425" s="44"/>
      <c r="E425" s="44"/>
      <c r="F425" s="44"/>
      <c r="G425" s="44"/>
      <c r="H425" s="44"/>
      <c r="I425" s="44"/>
      <c r="J425" s="44"/>
      <c r="K425" s="44"/>
      <c r="L425" s="44"/>
      <c r="M425" s="44">
        <f t="shared" si="6"/>
        <v>0</v>
      </c>
      <c r="N425" s="45"/>
      <c r="O425" s="44"/>
      <c r="P425" s="44"/>
      <c r="Q425" s="44"/>
      <c r="R425" s="44"/>
      <c r="S425" s="44"/>
      <c r="T425" s="44"/>
      <c r="U425" s="44"/>
      <c r="V425" s="44"/>
      <c r="W425" s="44"/>
      <c r="X425" s="44"/>
    </row>
    <row r="426" spans="1:24" s="41" customFormat="1">
      <c r="A426" s="42">
        <v>46199</v>
      </c>
      <c r="B426" s="43" t="s">
        <v>962</v>
      </c>
      <c r="C426" s="44"/>
      <c r="D426" s="44"/>
      <c r="E426" s="44"/>
      <c r="F426" s="44"/>
      <c r="G426" s="44"/>
      <c r="H426" s="44"/>
      <c r="I426" s="44"/>
      <c r="J426" s="44"/>
      <c r="K426" s="44"/>
      <c r="L426" s="44"/>
      <c r="M426" s="44">
        <f t="shared" si="6"/>
        <v>0</v>
      </c>
      <c r="N426" s="45"/>
      <c r="O426" s="44"/>
      <c r="P426" s="44"/>
      <c r="Q426" s="44"/>
      <c r="R426" s="44"/>
      <c r="S426" s="44"/>
      <c r="T426" s="44"/>
      <c r="U426" s="44"/>
      <c r="V426" s="44"/>
      <c r="W426" s="44"/>
      <c r="X426" s="44"/>
    </row>
    <row r="427" spans="1:24" s="41" customFormat="1">
      <c r="A427" s="42">
        <v>46200</v>
      </c>
      <c r="B427" s="43" t="s">
        <v>962</v>
      </c>
      <c r="C427" s="44"/>
      <c r="D427" s="44"/>
      <c r="E427" s="44"/>
      <c r="F427" s="44"/>
      <c r="G427" s="44"/>
      <c r="H427" s="44"/>
      <c r="I427" s="44"/>
      <c r="J427" s="44"/>
      <c r="K427" s="44"/>
      <c r="L427" s="44"/>
      <c r="M427" s="44">
        <f t="shared" si="6"/>
        <v>0</v>
      </c>
      <c r="N427" s="45"/>
      <c r="O427" s="44"/>
      <c r="P427" s="44"/>
      <c r="Q427" s="44"/>
      <c r="R427" s="44"/>
      <c r="S427" s="44"/>
      <c r="T427" s="44"/>
      <c r="U427" s="44"/>
      <c r="V427" s="44"/>
      <c r="W427" s="44"/>
      <c r="X427" s="44"/>
    </row>
    <row r="428" spans="1:24" s="41" customFormat="1">
      <c r="A428" s="42">
        <v>46201</v>
      </c>
      <c r="B428" s="43" t="s">
        <v>962</v>
      </c>
      <c r="C428" s="44"/>
      <c r="D428" s="44"/>
      <c r="E428" s="44"/>
      <c r="F428" s="44"/>
      <c r="G428" s="44"/>
      <c r="H428" s="44"/>
      <c r="I428" s="44"/>
      <c r="J428" s="44"/>
      <c r="K428" s="44"/>
      <c r="L428" s="44"/>
      <c r="M428" s="44">
        <f t="shared" si="6"/>
        <v>0</v>
      </c>
      <c r="N428" s="45"/>
      <c r="O428" s="44"/>
      <c r="P428" s="44"/>
      <c r="Q428" s="44"/>
      <c r="R428" s="44"/>
      <c r="S428" s="44"/>
      <c r="T428" s="44"/>
      <c r="U428" s="44"/>
      <c r="V428" s="44"/>
      <c r="W428" s="44"/>
      <c r="X428" s="44"/>
    </row>
    <row r="429" spans="1:24" s="41" customFormat="1">
      <c r="A429" s="42">
        <v>46202</v>
      </c>
      <c r="B429" s="43" t="s">
        <v>962</v>
      </c>
      <c r="C429" s="44"/>
      <c r="D429" s="44"/>
      <c r="E429" s="44"/>
      <c r="F429" s="44"/>
      <c r="G429" s="44"/>
      <c r="H429" s="44"/>
      <c r="I429" s="44"/>
      <c r="J429" s="44"/>
      <c r="K429" s="44"/>
      <c r="L429" s="44"/>
      <c r="M429" s="44">
        <f t="shared" si="6"/>
        <v>0</v>
      </c>
      <c r="N429" s="45"/>
      <c r="O429" s="44"/>
      <c r="P429" s="44"/>
      <c r="Q429" s="44"/>
      <c r="R429" s="44"/>
      <c r="S429" s="44"/>
      <c r="T429" s="44"/>
      <c r="U429" s="44"/>
      <c r="V429" s="44"/>
      <c r="W429" s="44"/>
      <c r="X429" s="44"/>
    </row>
    <row r="430" spans="1:24" s="41" customFormat="1">
      <c r="A430" s="42">
        <v>46203</v>
      </c>
      <c r="B430" s="43" t="s">
        <v>962</v>
      </c>
      <c r="C430" s="44"/>
      <c r="D430" s="44"/>
      <c r="E430" s="44"/>
      <c r="F430" s="44"/>
      <c r="G430" s="44"/>
      <c r="H430" s="44"/>
      <c r="I430" s="44"/>
      <c r="J430" s="44"/>
      <c r="K430" s="44"/>
      <c r="L430" s="44"/>
      <c r="M430" s="44">
        <f t="shared" si="6"/>
        <v>0</v>
      </c>
      <c r="N430" s="45"/>
      <c r="O430" s="44"/>
      <c r="P430" s="44"/>
      <c r="Q430" s="44"/>
      <c r="R430" s="44"/>
      <c r="S430" s="44"/>
      <c r="T430" s="44"/>
      <c r="U430" s="44"/>
      <c r="V430" s="44"/>
      <c r="W430" s="44"/>
      <c r="X430" s="44"/>
    </row>
    <row r="431" spans="1:24" s="41" customFormat="1">
      <c r="A431" s="42">
        <v>46204</v>
      </c>
      <c r="B431" s="43" t="s">
        <v>962</v>
      </c>
      <c r="C431" s="44"/>
      <c r="D431" s="44"/>
      <c r="E431" s="44"/>
      <c r="F431" s="44"/>
      <c r="G431" s="44"/>
      <c r="H431" s="44"/>
      <c r="I431" s="44"/>
      <c r="J431" s="44"/>
      <c r="K431" s="44"/>
      <c r="L431" s="44"/>
      <c r="M431" s="44">
        <f t="shared" si="6"/>
        <v>0</v>
      </c>
      <c r="N431" s="45"/>
      <c r="O431" s="44"/>
      <c r="P431" s="44"/>
      <c r="Q431" s="44"/>
      <c r="R431" s="44"/>
      <c r="S431" s="44"/>
      <c r="T431" s="44"/>
      <c r="U431" s="44"/>
      <c r="V431" s="44"/>
      <c r="W431" s="44"/>
      <c r="X431" s="44"/>
    </row>
    <row r="432" spans="1:24" s="41" customFormat="1">
      <c r="A432" s="42">
        <v>46205</v>
      </c>
      <c r="B432" s="43" t="s">
        <v>962</v>
      </c>
      <c r="C432" s="44"/>
      <c r="D432" s="44"/>
      <c r="E432" s="44"/>
      <c r="F432" s="44"/>
      <c r="G432" s="44"/>
      <c r="H432" s="44"/>
      <c r="I432" s="44"/>
      <c r="J432" s="44"/>
      <c r="K432" s="44"/>
      <c r="L432" s="44"/>
      <c r="M432" s="44">
        <f t="shared" si="6"/>
        <v>0</v>
      </c>
      <c r="N432" s="45"/>
      <c r="O432" s="44"/>
      <c r="P432" s="44"/>
      <c r="Q432" s="44"/>
      <c r="R432" s="44"/>
      <c r="S432" s="44"/>
      <c r="T432" s="44"/>
      <c r="U432" s="44"/>
      <c r="V432" s="44"/>
      <c r="W432" s="44"/>
      <c r="X432" s="44"/>
    </row>
    <row r="433" spans="1:24" s="41" customFormat="1">
      <c r="A433" s="42">
        <v>46206</v>
      </c>
      <c r="B433" s="43" t="s">
        <v>962</v>
      </c>
      <c r="C433" s="44"/>
      <c r="D433" s="44"/>
      <c r="E433" s="44"/>
      <c r="F433" s="44"/>
      <c r="G433" s="44"/>
      <c r="H433" s="44"/>
      <c r="I433" s="44"/>
      <c r="J433" s="44"/>
      <c r="K433" s="44"/>
      <c r="L433" s="44"/>
      <c r="M433" s="44">
        <f t="shared" si="6"/>
        <v>0</v>
      </c>
      <c r="N433" s="45"/>
      <c r="O433" s="44"/>
      <c r="P433" s="44"/>
      <c r="Q433" s="44"/>
      <c r="R433" s="44"/>
      <c r="S433" s="44"/>
      <c r="T433" s="44"/>
      <c r="U433" s="44"/>
      <c r="V433" s="44"/>
      <c r="W433" s="44"/>
      <c r="X433" s="44"/>
    </row>
    <row r="434" spans="1:24" s="41" customFormat="1">
      <c r="A434" s="42">
        <v>46207</v>
      </c>
      <c r="B434" s="43" t="s">
        <v>962</v>
      </c>
      <c r="C434" s="44"/>
      <c r="D434" s="44"/>
      <c r="E434" s="44"/>
      <c r="F434" s="44"/>
      <c r="G434" s="44"/>
      <c r="H434" s="44"/>
      <c r="I434" s="44"/>
      <c r="J434" s="44"/>
      <c r="K434" s="44"/>
      <c r="L434" s="44"/>
      <c r="M434" s="44">
        <f t="shared" si="6"/>
        <v>0</v>
      </c>
      <c r="N434" s="45"/>
      <c r="O434" s="44"/>
      <c r="P434" s="44"/>
      <c r="Q434" s="44"/>
      <c r="R434" s="44"/>
      <c r="S434" s="44"/>
      <c r="T434" s="44"/>
      <c r="U434" s="44"/>
      <c r="V434" s="44"/>
      <c r="W434" s="44"/>
      <c r="X434" s="44"/>
    </row>
    <row r="435" spans="1:24" s="41" customFormat="1">
      <c r="A435" s="42">
        <v>46208</v>
      </c>
      <c r="B435" s="43" t="s">
        <v>962</v>
      </c>
      <c r="C435" s="44"/>
      <c r="D435" s="44"/>
      <c r="E435" s="44"/>
      <c r="F435" s="44"/>
      <c r="G435" s="44"/>
      <c r="H435" s="44"/>
      <c r="I435" s="44"/>
      <c r="J435" s="44"/>
      <c r="K435" s="44"/>
      <c r="L435" s="44"/>
      <c r="M435" s="44">
        <f t="shared" si="6"/>
        <v>0</v>
      </c>
      <c r="N435" s="45"/>
      <c r="O435" s="44"/>
      <c r="P435" s="44"/>
      <c r="Q435" s="44"/>
      <c r="R435" s="44"/>
      <c r="S435" s="44"/>
      <c r="T435" s="44"/>
      <c r="U435" s="44"/>
      <c r="V435" s="44"/>
      <c r="W435" s="44"/>
      <c r="X435" s="44"/>
    </row>
    <row r="436" spans="1:24" s="41" customFormat="1">
      <c r="A436" s="42">
        <v>46209</v>
      </c>
      <c r="B436" s="43" t="s">
        <v>962</v>
      </c>
      <c r="C436" s="44"/>
      <c r="D436" s="44"/>
      <c r="E436" s="44"/>
      <c r="F436" s="44"/>
      <c r="G436" s="44"/>
      <c r="H436" s="44"/>
      <c r="I436" s="44"/>
      <c r="J436" s="44"/>
      <c r="K436" s="44"/>
      <c r="L436" s="44"/>
      <c r="M436" s="44">
        <f t="shared" si="6"/>
        <v>0</v>
      </c>
      <c r="N436" s="45"/>
      <c r="O436" s="44"/>
      <c r="P436" s="44"/>
      <c r="Q436" s="44"/>
      <c r="R436" s="44"/>
      <c r="S436" s="44"/>
      <c r="T436" s="44"/>
      <c r="U436" s="44"/>
      <c r="V436" s="44"/>
      <c r="W436" s="44"/>
      <c r="X436" s="44"/>
    </row>
    <row r="437" spans="1:24" s="41" customFormat="1">
      <c r="A437" s="42">
        <v>46210</v>
      </c>
      <c r="B437" s="43" t="s">
        <v>962</v>
      </c>
      <c r="C437" s="44"/>
      <c r="D437" s="44"/>
      <c r="E437" s="44"/>
      <c r="F437" s="44"/>
      <c r="G437" s="44"/>
      <c r="H437" s="44"/>
      <c r="I437" s="44"/>
      <c r="J437" s="44"/>
      <c r="K437" s="44"/>
      <c r="L437" s="44"/>
      <c r="M437" s="44">
        <f t="shared" si="6"/>
        <v>0</v>
      </c>
      <c r="N437" s="45"/>
      <c r="O437" s="44"/>
      <c r="P437" s="44"/>
      <c r="Q437" s="44"/>
      <c r="R437" s="44"/>
      <c r="S437" s="44"/>
      <c r="T437" s="44"/>
      <c r="U437" s="44"/>
      <c r="V437" s="44"/>
      <c r="W437" s="44"/>
      <c r="X437" s="44"/>
    </row>
    <row r="438" spans="1:24" s="41" customFormat="1">
      <c r="A438" s="42">
        <v>46211</v>
      </c>
      <c r="B438" s="43" t="s">
        <v>962</v>
      </c>
      <c r="C438" s="44"/>
      <c r="D438" s="44"/>
      <c r="E438" s="44"/>
      <c r="F438" s="44"/>
      <c r="G438" s="44"/>
      <c r="H438" s="44"/>
      <c r="I438" s="44"/>
      <c r="J438" s="44"/>
      <c r="K438" s="44"/>
      <c r="L438" s="44"/>
      <c r="M438" s="44">
        <f t="shared" si="6"/>
        <v>0</v>
      </c>
      <c r="N438" s="45"/>
      <c r="O438" s="44"/>
      <c r="P438" s="44"/>
      <c r="Q438" s="44"/>
      <c r="R438" s="44"/>
      <c r="S438" s="44"/>
      <c r="T438" s="44"/>
      <c r="U438" s="44"/>
      <c r="V438" s="44"/>
      <c r="W438" s="44"/>
      <c r="X438" s="44"/>
    </row>
    <row r="439" spans="1:24" s="41" customFormat="1">
      <c r="A439" s="42">
        <v>46212</v>
      </c>
      <c r="B439" s="43" t="s">
        <v>962</v>
      </c>
      <c r="C439" s="44"/>
      <c r="D439" s="44"/>
      <c r="E439" s="44"/>
      <c r="F439" s="44"/>
      <c r="G439" s="44"/>
      <c r="H439" s="44"/>
      <c r="I439" s="44"/>
      <c r="J439" s="44"/>
      <c r="K439" s="44"/>
      <c r="L439" s="44"/>
      <c r="M439" s="44">
        <f t="shared" si="6"/>
        <v>0</v>
      </c>
      <c r="N439" s="45"/>
      <c r="O439" s="44"/>
      <c r="P439" s="44"/>
      <c r="Q439" s="44"/>
      <c r="R439" s="44"/>
      <c r="S439" s="44"/>
      <c r="T439" s="44"/>
      <c r="U439" s="44"/>
      <c r="V439" s="44"/>
      <c r="W439" s="44"/>
      <c r="X439" s="44"/>
    </row>
    <row r="440" spans="1:24" s="41" customFormat="1">
      <c r="A440" s="42">
        <v>46213</v>
      </c>
      <c r="B440" s="43" t="s">
        <v>962</v>
      </c>
      <c r="C440" s="44"/>
      <c r="D440" s="44"/>
      <c r="E440" s="44"/>
      <c r="F440" s="44"/>
      <c r="G440" s="44"/>
      <c r="H440" s="44"/>
      <c r="I440" s="44"/>
      <c r="J440" s="44"/>
      <c r="K440" s="44"/>
      <c r="L440" s="44"/>
      <c r="M440" s="44">
        <f t="shared" si="6"/>
        <v>0</v>
      </c>
      <c r="N440" s="45"/>
      <c r="O440" s="44"/>
      <c r="P440" s="44"/>
      <c r="Q440" s="44"/>
      <c r="R440" s="44"/>
      <c r="S440" s="44"/>
      <c r="T440" s="44"/>
      <c r="U440" s="44"/>
      <c r="V440" s="44"/>
      <c r="W440" s="44"/>
      <c r="X440" s="44"/>
    </row>
    <row r="441" spans="1:24" s="41" customFormat="1">
      <c r="A441" s="42">
        <v>46214</v>
      </c>
      <c r="B441" s="43" t="s">
        <v>962</v>
      </c>
      <c r="C441" s="44"/>
      <c r="D441" s="44"/>
      <c r="E441" s="44"/>
      <c r="F441" s="44"/>
      <c r="G441" s="44"/>
      <c r="H441" s="44"/>
      <c r="I441" s="44"/>
      <c r="J441" s="44"/>
      <c r="K441" s="44"/>
      <c r="L441" s="44"/>
      <c r="M441" s="44">
        <f t="shared" si="6"/>
        <v>0</v>
      </c>
      <c r="N441" s="45"/>
      <c r="O441" s="44"/>
      <c r="P441" s="44"/>
      <c r="Q441" s="44"/>
      <c r="R441" s="44"/>
      <c r="S441" s="44"/>
      <c r="T441" s="44"/>
      <c r="U441" s="44"/>
      <c r="V441" s="44"/>
      <c r="W441" s="44"/>
      <c r="X441" s="44"/>
    </row>
    <row r="442" spans="1:24" s="41" customFormat="1">
      <c r="A442" s="42">
        <v>46215</v>
      </c>
      <c r="B442" s="43" t="s">
        <v>962</v>
      </c>
      <c r="C442" s="44"/>
      <c r="D442" s="44"/>
      <c r="E442" s="44"/>
      <c r="F442" s="44"/>
      <c r="G442" s="44"/>
      <c r="H442" s="44"/>
      <c r="I442" s="44"/>
      <c r="J442" s="44"/>
      <c r="K442" s="44"/>
      <c r="L442" s="44"/>
      <c r="M442" s="44">
        <f t="shared" si="6"/>
        <v>0</v>
      </c>
      <c r="N442" s="45"/>
      <c r="O442" s="44"/>
      <c r="P442" s="44"/>
      <c r="Q442" s="44"/>
      <c r="R442" s="44"/>
      <c r="S442" s="44"/>
      <c r="T442" s="44"/>
      <c r="U442" s="44"/>
      <c r="V442" s="44"/>
      <c r="W442" s="44"/>
      <c r="X442" s="44"/>
    </row>
    <row r="443" spans="1:24" s="41" customFormat="1">
      <c r="A443" s="42">
        <v>46216</v>
      </c>
      <c r="B443" s="43" t="s">
        <v>962</v>
      </c>
      <c r="C443" s="44"/>
      <c r="D443" s="44"/>
      <c r="E443" s="44"/>
      <c r="F443" s="44"/>
      <c r="G443" s="44"/>
      <c r="H443" s="44"/>
      <c r="I443" s="44"/>
      <c r="J443" s="44"/>
      <c r="K443" s="44"/>
      <c r="L443" s="44"/>
      <c r="M443" s="44">
        <f t="shared" si="6"/>
        <v>0</v>
      </c>
      <c r="N443" s="45"/>
      <c r="O443" s="44"/>
      <c r="P443" s="44"/>
      <c r="Q443" s="44"/>
      <c r="R443" s="44"/>
      <c r="S443" s="44"/>
      <c r="T443" s="44"/>
      <c r="U443" s="44"/>
      <c r="V443" s="44"/>
      <c r="W443" s="44"/>
      <c r="X443" s="44"/>
    </row>
    <row r="444" spans="1:24" s="41" customFormat="1">
      <c r="A444" s="42">
        <v>46217</v>
      </c>
      <c r="B444" s="43" t="s">
        <v>962</v>
      </c>
      <c r="C444" s="44"/>
      <c r="D444" s="44"/>
      <c r="E444" s="44"/>
      <c r="F444" s="44"/>
      <c r="G444" s="44"/>
      <c r="H444" s="44"/>
      <c r="I444" s="44"/>
      <c r="J444" s="44"/>
      <c r="K444" s="44"/>
      <c r="L444" s="44"/>
      <c r="M444" s="44">
        <f t="shared" si="6"/>
        <v>0</v>
      </c>
      <c r="N444" s="45"/>
      <c r="O444" s="44"/>
      <c r="P444" s="44"/>
      <c r="Q444" s="44"/>
      <c r="R444" s="44"/>
      <c r="S444" s="44"/>
      <c r="T444" s="44"/>
      <c r="U444" s="44"/>
      <c r="V444" s="44"/>
      <c r="W444" s="44"/>
      <c r="X444" s="44"/>
    </row>
    <row r="445" spans="1:24" s="41" customFormat="1">
      <c r="A445" s="42">
        <v>46218</v>
      </c>
      <c r="B445" s="43" t="s">
        <v>962</v>
      </c>
      <c r="C445" s="44"/>
      <c r="D445" s="44"/>
      <c r="E445" s="44"/>
      <c r="F445" s="44"/>
      <c r="G445" s="44"/>
      <c r="H445" s="44"/>
      <c r="I445" s="44"/>
      <c r="J445" s="44"/>
      <c r="K445" s="44"/>
      <c r="L445" s="44"/>
      <c r="M445" s="44">
        <f t="shared" si="6"/>
        <v>0</v>
      </c>
      <c r="N445" s="45"/>
      <c r="O445" s="44"/>
      <c r="P445" s="44"/>
      <c r="Q445" s="44"/>
      <c r="R445" s="44"/>
      <c r="S445" s="44"/>
      <c r="T445" s="44"/>
      <c r="U445" s="44"/>
      <c r="V445" s="44"/>
      <c r="W445" s="44"/>
      <c r="X445" s="44"/>
    </row>
    <row r="446" spans="1:24" s="41" customFormat="1">
      <c r="A446" s="42">
        <v>46219</v>
      </c>
      <c r="B446" s="43" t="s">
        <v>962</v>
      </c>
      <c r="C446" s="44"/>
      <c r="D446" s="44"/>
      <c r="E446" s="44"/>
      <c r="F446" s="44"/>
      <c r="G446" s="44"/>
      <c r="H446" s="44"/>
      <c r="I446" s="44"/>
      <c r="J446" s="44"/>
      <c r="K446" s="44"/>
      <c r="L446" s="44"/>
      <c r="M446" s="44">
        <f t="shared" si="6"/>
        <v>0</v>
      </c>
      <c r="N446" s="45"/>
      <c r="O446" s="44"/>
      <c r="P446" s="44"/>
      <c r="Q446" s="44"/>
      <c r="R446" s="44"/>
      <c r="S446" s="44"/>
      <c r="T446" s="44"/>
      <c r="U446" s="44"/>
      <c r="V446" s="44"/>
      <c r="W446" s="44"/>
      <c r="X446" s="44"/>
    </row>
    <row r="447" spans="1:24" s="41" customFormat="1">
      <c r="A447" s="42">
        <v>46220</v>
      </c>
      <c r="B447" s="43" t="s">
        <v>962</v>
      </c>
      <c r="C447" s="44"/>
      <c r="D447" s="44"/>
      <c r="E447" s="44"/>
      <c r="F447" s="44"/>
      <c r="G447" s="44"/>
      <c r="H447" s="44"/>
      <c r="I447" s="44"/>
      <c r="J447" s="44"/>
      <c r="K447" s="44"/>
      <c r="L447" s="44"/>
      <c r="M447" s="44">
        <f t="shared" si="6"/>
        <v>0</v>
      </c>
      <c r="N447" s="45"/>
      <c r="O447" s="44"/>
      <c r="P447" s="44"/>
      <c r="Q447" s="44"/>
      <c r="R447" s="44"/>
      <c r="S447" s="44"/>
      <c r="T447" s="44"/>
      <c r="U447" s="44"/>
      <c r="V447" s="44"/>
      <c r="W447" s="44"/>
      <c r="X447" s="44"/>
    </row>
    <row r="448" spans="1:24" s="41" customFormat="1">
      <c r="A448" s="42">
        <v>46221</v>
      </c>
      <c r="B448" s="43" t="s">
        <v>962</v>
      </c>
      <c r="C448" s="44"/>
      <c r="D448" s="44"/>
      <c r="E448" s="44"/>
      <c r="F448" s="44"/>
      <c r="G448" s="44"/>
      <c r="H448" s="44"/>
      <c r="I448" s="44"/>
      <c r="J448" s="44"/>
      <c r="K448" s="44"/>
      <c r="L448" s="44"/>
      <c r="M448" s="44">
        <f t="shared" si="6"/>
        <v>0</v>
      </c>
      <c r="N448" s="45"/>
      <c r="O448" s="44"/>
      <c r="P448" s="44"/>
      <c r="Q448" s="44"/>
      <c r="R448" s="44"/>
      <c r="S448" s="44"/>
      <c r="T448" s="44"/>
      <c r="U448" s="44"/>
      <c r="V448" s="44"/>
      <c r="W448" s="44"/>
      <c r="X448" s="44"/>
    </row>
    <row r="449" spans="1:24" s="41" customFormat="1">
      <c r="A449" s="42">
        <v>46222</v>
      </c>
      <c r="B449" s="43" t="s">
        <v>962</v>
      </c>
      <c r="C449" s="44"/>
      <c r="D449" s="44"/>
      <c r="E449" s="44"/>
      <c r="F449" s="44"/>
      <c r="G449" s="44"/>
      <c r="H449" s="44"/>
      <c r="I449" s="44"/>
      <c r="J449" s="44"/>
      <c r="K449" s="44"/>
      <c r="L449" s="44"/>
      <c r="M449" s="44">
        <f t="shared" si="6"/>
        <v>0</v>
      </c>
      <c r="N449" s="45"/>
      <c r="O449" s="44"/>
      <c r="P449" s="44"/>
      <c r="Q449" s="44"/>
      <c r="R449" s="44"/>
      <c r="S449" s="44"/>
      <c r="T449" s="44"/>
      <c r="U449" s="44"/>
      <c r="V449" s="44"/>
      <c r="W449" s="44"/>
      <c r="X449" s="44"/>
    </row>
    <row r="450" spans="1:24" s="41" customFormat="1">
      <c r="A450" s="42">
        <v>46223</v>
      </c>
      <c r="B450" s="43" t="s">
        <v>962</v>
      </c>
      <c r="C450" s="44"/>
      <c r="D450" s="44"/>
      <c r="E450" s="44"/>
      <c r="F450" s="44"/>
      <c r="G450" s="44"/>
      <c r="H450" s="44"/>
      <c r="I450" s="44"/>
      <c r="J450" s="44"/>
      <c r="K450" s="44"/>
      <c r="L450" s="44"/>
      <c r="M450" s="44">
        <f t="shared" si="6"/>
        <v>0</v>
      </c>
      <c r="N450" s="45"/>
      <c r="O450" s="44"/>
      <c r="P450" s="44"/>
      <c r="Q450" s="44"/>
      <c r="R450" s="44"/>
      <c r="S450" s="44"/>
      <c r="T450" s="44"/>
      <c r="U450" s="44"/>
      <c r="V450" s="44"/>
      <c r="W450" s="44"/>
      <c r="X450" s="44"/>
    </row>
    <row r="451" spans="1:24" s="41" customFormat="1">
      <c r="A451" s="42">
        <v>46224</v>
      </c>
      <c r="B451" s="43" t="s">
        <v>962</v>
      </c>
      <c r="C451" s="44"/>
      <c r="D451" s="44"/>
      <c r="E451" s="44"/>
      <c r="F451" s="44"/>
      <c r="G451" s="44"/>
      <c r="H451" s="44"/>
      <c r="I451" s="44"/>
      <c r="J451" s="44"/>
      <c r="K451" s="44"/>
      <c r="L451" s="44"/>
      <c r="M451" s="44">
        <f t="shared" ref="M451:M514" si="7">N451-SUM(C451:L451)</f>
        <v>0</v>
      </c>
      <c r="N451" s="45"/>
      <c r="O451" s="44"/>
      <c r="P451" s="44"/>
      <c r="Q451" s="44"/>
      <c r="R451" s="44"/>
      <c r="S451" s="44"/>
      <c r="T451" s="44"/>
      <c r="U451" s="44"/>
      <c r="V451" s="44"/>
      <c r="W451" s="44"/>
      <c r="X451" s="44"/>
    </row>
    <row r="452" spans="1:24" s="41" customFormat="1">
      <c r="A452" s="42">
        <v>46225</v>
      </c>
      <c r="B452" s="43" t="s">
        <v>962</v>
      </c>
      <c r="C452" s="44"/>
      <c r="D452" s="44"/>
      <c r="E452" s="44"/>
      <c r="F452" s="44"/>
      <c r="G452" s="44"/>
      <c r="H452" s="44"/>
      <c r="I452" s="44"/>
      <c r="J452" s="44"/>
      <c r="K452" s="44"/>
      <c r="L452" s="44"/>
      <c r="M452" s="44">
        <f t="shared" si="7"/>
        <v>0</v>
      </c>
      <c r="N452" s="45"/>
      <c r="O452" s="44"/>
      <c r="P452" s="44"/>
      <c r="Q452" s="44"/>
      <c r="R452" s="44"/>
      <c r="S452" s="44"/>
      <c r="T452" s="44"/>
      <c r="U452" s="44"/>
      <c r="V452" s="44"/>
      <c r="W452" s="44"/>
      <c r="X452" s="44"/>
    </row>
    <row r="453" spans="1:24" s="41" customFormat="1">
      <c r="A453" s="42">
        <v>46226</v>
      </c>
      <c r="B453" s="43" t="s">
        <v>962</v>
      </c>
      <c r="C453" s="44"/>
      <c r="D453" s="44"/>
      <c r="E453" s="44"/>
      <c r="F453" s="44"/>
      <c r="G453" s="44"/>
      <c r="H453" s="44"/>
      <c r="I453" s="44"/>
      <c r="J453" s="44"/>
      <c r="K453" s="44"/>
      <c r="L453" s="44"/>
      <c r="M453" s="44">
        <f t="shared" si="7"/>
        <v>0</v>
      </c>
      <c r="N453" s="45"/>
      <c r="O453" s="44"/>
      <c r="P453" s="44"/>
      <c r="Q453" s="44"/>
      <c r="R453" s="44"/>
      <c r="S453" s="44"/>
      <c r="T453" s="44"/>
      <c r="U453" s="44"/>
      <c r="V453" s="44"/>
      <c r="W453" s="44"/>
      <c r="X453" s="44"/>
    </row>
    <row r="454" spans="1:24" s="41" customFormat="1">
      <c r="A454" s="42">
        <v>46227</v>
      </c>
      <c r="B454" s="43" t="s">
        <v>962</v>
      </c>
      <c r="C454" s="44"/>
      <c r="D454" s="44"/>
      <c r="E454" s="44"/>
      <c r="F454" s="44"/>
      <c r="G454" s="44"/>
      <c r="H454" s="44"/>
      <c r="I454" s="44"/>
      <c r="J454" s="44"/>
      <c r="K454" s="44"/>
      <c r="L454" s="44"/>
      <c r="M454" s="44">
        <f t="shared" si="7"/>
        <v>0</v>
      </c>
      <c r="N454" s="45"/>
      <c r="O454" s="44"/>
      <c r="P454" s="44"/>
      <c r="Q454" s="44"/>
      <c r="R454" s="44"/>
      <c r="S454" s="44"/>
      <c r="T454" s="44"/>
      <c r="U454" s="44"/>
      <c r="V454" s="44"/>
      <c r="W454" s="44"/>
      <c r="X454" s="44"/>
    </row>
    <row r="455" spans="1:24" s="41" customFormat="1">
      <c r="A455" s="42">
        <v>46228</v>
      </c>
      <c r="B455" s="43" t="s">
        <v>962</v>
      </c>
      <c r="C455" s="44"/>
      <c r="D455" s="44"/>
      <c r="E455" s="44"/>
      <c r="F455" s="44"/>
      <c r="G455" s="44"/>
      <c r="H455" s="44"/>
      <c r="I455" s="44"/>
      <c r="J455" s="44"/>
      <c r="K455" s="44"/>
      <c r="L455" s="44"/>
      <c r="M455" s="44">
        <f t="shared" si="7"/>
        <v>0</v>
      </c>
      <c r="N455" s="45"/>
      <c r="O455" s="44"/>
      <c r="P455" s="44"/>
      <c r="Q455" s="44"/>
      <c r="R455" s="44"/>
      <c r="S455" s="44"/>
      <c r="T455" s="44"/>
      <c r="U455" s="44"/>
      <c r="V455" s="44"/>
      <c r="W455" s="44"/>
      <c r="X455" s="44"/>
    </row>
    <row r="456" spans="1:24" s="41" customFormat="1">
      <c r="A456" s="42">
        <v>46229</v>
      </c>
      <c r="B456" s="43" t="s">
        <v>962</v>
      </c>
      <c r="C456" s="44"/>
      <c r="D456" s="44"/>
      <c r="E456" s="44"/>
      <c r="F456" s="44"/>
      <c r="G456" s="44"/>
      <c r="H456" s="44"/>
      <c r="I456" s="44"/>
      <c r="J456" s="44"/>
      <c r="K456" s="44"/>
      <c r="L456" s="44"/>
      <c r="M456" s="44">
        <f t="shared" si="7"/>
        <v>0</v>
      </c>
      <c r="N456" s="45"/>
      <c r="O456" s="44"/>
      <c r="P456" s="44"/>
      <c r="Q456" s="44"/>
      <c r="R456" s="44"/>
      <c r="S456" s="44"/>
      <c r="T456" s="44"/>
      <c r="U456" s="44"/>
      <c r="V456" s="44"/>
      <c r="W456" s="44"/>
      <c r="X456" s="44"/>
    </row>
    <row r="457" spans="1:24" s="41" customFormat="1">
      <c r="A457" s="42">
        <v>46230</v>
      </c>
      <c r="B457" s="43" t="s">
        <v>962</v>
      </c>
      <c r="C457" s="44"/>
      <c r="D457" s="44"/>
      <c r="E457" s="44"/>
      <c r="F457" s="44"/>
      <c r="G457" s="44"/>
      <c r="H457" s="44"/>
      <c r="I457" s="44"/>
      <c r="J457" s="44"/>
      <c r="K457" s="44"/>
      <c r="L457" s="44"/>
      <c r="M457" s="44">
        <f t="shared" si="7"/>
        <v>0</v>
      </c>
      <c r="N457" s="45"/>
      <c r="O457" s="44"/>
      <c r="P457" s="44"/>
      <c r="Q457" s="44"/>
      <c r="R457" s="44"/>
      <c r="S457" s="44"/>
      <c r="T457" s="44"/>
      <c r="U457" s="44"/>
      <c r="V457" s="44"/>
      <c r="W457" s="44"/>
      <c r="X457" s="44"/>
    </row>
    <row r="458" spans="1:24" s="41" customFormat="1">
      <c r="A458" s="42">
        <v>46231</v>
      </c>
      <c r="B458" s="43" t="s">
        <v>962</v>
      </c>
      <c r="C458" s="44"/>
      <c r="D458" s="44"/>
      <c r="E458" s="44"/>
      <c r="F458" s="44"/>
      <c r="G458" s="44"/>
      <c r="H458" s="44"/>
      <c r="I458" s="44"/>
      <c r="J458" s="44"/>
      <c r="K458" s="44"/>
      <c r="L458" s="44"/>
      <c r="M458" s="44">
        <f t="shared" si="7"/>
        <v>0</v>
      </c>
      <c r="N458" s="45"/>
      <c r="O458" s="44"/>
      <c r="P458" s="44"/>
      <c r="Q458" s="44"/>
      <c r="R458" s="44"/>
      <c r="S458" s="44"/>
      <c r="T458" s="44"/>
      <c r="U458" s="44"/>
      <c r="V458" s="44"/>
      <c r="W458" s="44"/>
      <c r="X458" s="44"/>
    </row>
    <row r="459" spans="1:24" s="41" customFormat="1">
      <c r="A459" s="42">
        <v>46232</v>
      </c>
      <c r="B459" s="43" t="s">
        <v>962</v>
      </c>
      <c r="C459" s="44"/>
      <c r="D459" s="44"/>
      <c r="E459" s="44"/>
      <c r="F459" s="44"/>
      <c r="G459" s="44"/>
      <c r="H459" s="44"/>
      <c r="I459" s="44"/>
      <c r="J459" s="44"/>
      <c r="K459" s="44"/>
      <c r="L459" s="44"/>
      <c r="M459" s="44">
        <f t="shared" si="7"/>
        <v>0</v>
      </c>
      <c r="N459" s="45"/>
      <c r="O459" s="44"/>
      <c r="P459" s="44"/>
      <c r="Q459" s="44"/>
      <c r="R459" s="44"/>
      <c r="S459" s="44"/>
      <c r="T459" s="44"/>
      <c r="U459" s="44"/>
      <c r="V459" s="44"/>
      <c r="W459" s="44"/>
      <c r="X459" s="44"/>
    </row>
    <row r="460" spans="1:24" s="41" customFormat="1">
      <c r="A460" s="42">
        <v>46233</v>
      </c>
      <c r="B460" s="43" t="s">
        <v>962</v>
      </c>
      <c r="C460" s="44"/>
      <c r="D460" s="44"/>
      <c r="E460" s="44"/>
      <c r="F460" s="44"/>
      <c r="G460" s="44"/>
      <c r="H460" s="44"/>
      <c r="I460" s="44"/>
      <c r="J460" s="44"/>
      <c r="K460" s="44"/>
      <c r="L460" s="44"/>
      <c r="M460" s="44">
        <f t="shared" si="7"/>
        <v>0</v>
      </c>
      <c r="N460" s="45"/>
      <c r="O460" s="44"/>
      <c r="P460" s="44"/>
      <c r="Q460" s="44"/>
      <c r="R460" s="44"/>
      <c r="S460" s="44"/>
      <c r="T460" s="44"/>
      <c r="U460" s="44"/>
      <c r="V460" s="44"/>
      <c r="W460" s="44"/>
      <c r="X460" s="44"/>
    </row>
    <row r="461" spans="1:24" s="41" customFormat="1">
      <c r="A461" s="42">
        <v>46234</v>
      </c>
      <c r="B461" s="43" t="s">
        <v>962</v>
      </c>
      <c r="C461" s="44"/>
      <c r="D461" s="44"/>
      <c r="E461" s="44"/>
      <c r="F461" s="44"/>
      <c r="G461" s="44"/>
      <c r="H461" s="44"/>
      <c r="I461" s="44"/>
      <c r="J461" s="44"/>
      <c r="K461" s="44"/>
      <c r="L461" s="44"/>
      <c r="M461" s="44">
        <f t="shared" si="7"/>
        <v>0</v>
      </c>
      <c r="N461" s="45"/>
      <c r="O461" s="44"/>
      <c r="P461" s="44"/>
      <c r="Q461" s="44"/>
      <c r="R461" s="44"/>
      <c r="S461" s="44"/>
      <c r="T461" s="44"/>
      <c r="U461" s="44"/>
      <c r="V461" s="44"/>
      <c r="W461" s="44"/>
      <c r="X461" s="44"/>
    </row>
    <row r="462" spans="1:24" s="41" customFormat="1">
      <c r="A462" s="42">
        <v>46235</v>
      </c>
      <c r="B462" s="43" t="s">
        <v>962</v>
      </c>
      <c r="C462" s="44"/>
      <c r="D462" s="44"/>
      <c r="E462" s="44"/>
      <c r="F462" s="44"/>
      <c r="G462" s="44"/>
      <c r="H462" s="44"/>
      <c r="I462" s="44"/>
      <c r="J462" s="44"/>
      <c r="K462" s="44"/>
      <c r="L462" s="44"/>
      <c r="M462" s="44">
        <f t="shared" si="7"/>
        <v>0</v>
      </c>
      <c r="N462" s="45"/>
      <c r="O462" s="44"/>
      <c r="P462" s="44"/>
      <c r="Q462" s="44"/>
      <c r="R462" s="44"/>
      <c r="S462" s="44"/>
      <c r="T462" s="44"/>
      <c r="U462" s="44"/>
      <c r="V462" s="44"/>
      <c r="W462" s="44"/>
      <c r="X462" s="44"/>
    </row>
    <row r="463" spans="1:24" s="41" customFormat="1">
      <c r="A463" s="42">
        <v>46236</v>
      </c>
      <c r="B463" s="43" t="s">
        <v>962</v>
      </c>
      <c r="C463" s="44"/>
      <c r="D463" s="44"/>
      <c r="E463" s="44"/>
      <c r="F463" s="44"/>
      <c r="G463" s="44"/>
      <c r="H463" s="44"/>
      <c r="I463" s="44"/>
      <c r="J463" s="44"/>
      <c r="K463" s="44"/>
      <c r="L463" s="44"/>
      <c r="M463" s="44">
        <f t="shared" si="7"/>
        <v>0</v>
      </c>
      <c r="N463" s="45"/>
      <c r="O463" s="44"/>
      <c r="P463" s="44"/>
      <c r="Q463" s="44"/>
      <c r="R463" s="44"/>
      <c r="S463" s="44"/>
      <c r="T463" s="44"/>
      <c r="U463" s="44"/>
      <c r="V463" s="44"/>
      <c r="W463" s="44"/>
      <c r="X463" s="44"/>
    </row>
    <row r="464" spans="1:24" s="41" customFormat="1">
      <c r="A464" s="42">
        <v>46237</v>
      </c>
      <c r="B464" s="43" t="s">
        <v>962</v>
      </c>
      <c r="C464" s="44"/>
      <c r="D464" s="44"/>
      <c r="E464" s="44"/>
      <c r="F464" s="44"/>
      <c r="G464" s="44"/>
      <c r="H464" s="44"/>
      <c r="I464" s="44"/>
      <c r="J464" s="44"/>
      <c r="K464" s="44"/>
      <c r="L464" s="44"/>
      <c r="M464" s="44">
        <f t="shared" si="7"/>
        <v>0</v>
      </c>
      <c r="N464" s="45"/>
      <c r="O464" s="44"/>
      <c r="P464" s="44"/>
      <c r="Q464" s="44"/>
      <c r="R464" s="44"/>
      <c r="S464" s="44"/>
      <c r="T464" s="44"/>
      <c r="U464" s="44"/>
      <c r="V464" s="44"/>
      <c r="W464" s="44"/>
      <c r="X464" s="44"/>
    </row>
    <row r="465" spans="1:24" s="41" customFormat="1">
      <c r="A465" s="42">
        <v>46238</v>
      </c>
      <c r="B465" s="43" t="s">
        <v>962</v>
      </c>
      <c r="C465" s="44"/>
      <c r="D465" s="44"/>
      <c r="E465" s="44"/>
      <c r="F465" s="44"/>
      <c r="G465" s="44"/>
      <c r="H465" s="44"/>
      <c r="I465" s="44"/>
      <c r="J465" s="44"/>
      <c r="K465" s="44"/>
      <c r="L465" s="44"/>
      <c r="M465" s="44">
        <f t="shared" si="7"/>
        <v>0</v>
      </c>
      <c r="N465" s="45"/>
      <c r="O465" s="44"/>
      <c r="P465" s="44"/>
      <c r="Q465" s="44"/>
      <c r="R465" s="44"/>
      <c r="S465" s="44"/>
      <c r="T465" s="44"/>
      <c r="U465" s="44"/>
      <c r="V465" s="44"/>
      <c r="W465" s="44"/>
      <c r="X465" s="44"/>
    </row>
    <row r="466" spans="1:24" s="41" customFormat="1">
      <c r="A466" s="42">
        <v>46239</v>
      </c>
      <c r="B466" s="43" t="s">
        <v>962</v>
      </c>
      <c r="C466" s="44"/>
      <c r="D466" s="44"/>
      <c r="E466" s="44"/>
      <c r="F466" s="44"/>
      <c r="G466" s="44"/>
      <c r="H466" s="44"/>
      <c r="I466" s="44"/>
      <c r="J466" s="44"/>
      <c r="K466" s="44"/>
      <c r="L466" s="44"/>
      <c r="M466" s="44">
        <f t="shared" si="7"/>
        <v>0</v>
      </c>
      <c r="N466" s="45"/>
      <c r="O466" s="44"/>
      <c r="P466" s="44"/>
      <c r="Q466" s="44"/>
      <c r="R466" s="44"/>
      <c r="S466" s="44"/>
      <c r="T466" s="44"/>
      <c r="U466" s="44"/>
      <c r="V466" s="44"/>
      <c r="W466" s="44"/>
      <c r="X466" s="44"/>
    </row>
    <row r="467" spans="1:24" s="41" customFormat="1">
      <c r="A467" s="42">
        <v>46240</v>
      </c>
      <c r="B467" s="43" t="s">
        <v>962</v>
      </c>
      <c r="C467" s="44"/>
      <c r="D467" s="44"/>
      <c r="E467" s="44"/>
      <c r="F467" s="44"/>
      <c r="G467" s="44"/>
      <c r="H467" s="44"/>
      <c r="I467" s="44"/>
      <c r="J467" s="44"/>
      <c r="K467" s="44"/>
      <c r="L467" s="44"/>
      <c r="M467" s="44">
        <f t="shared" si="7"/>
        <v>0</v>
      </c>
      <c r="N467" s="45"/>
      <c r="O467" s="44"/>
      <c r="P467" s="44"/>
      <c r="Q467" s="44"/>
      <c r="R467" s="44"/>
      <c r="S467" s="44"/>
      <c r="T467" s="44"/>
      <c r="U467" s="44"/>
      <c r="V467" s="44"/>
      <c r="W467" s="44"/>
      <c r="X467" s="44"/>
    </row>
    <row r="468" spans="1:24" s="41" customFormat="1">
      <c r="A468" s="42">
        <v>46241</v>
      </c>
      <c r="B468" s="43" t="s">
        <v>962</v>
      </c>
      <c r="C468" s="44"/>
      <c r="D468" s="44"/>
      <c r="E468" s="44"/>
      <c r="F468" s="44"/>
      <c r="G468" s="44"/>
      <c r="H468" s="44"/>
      <c r="I468" s="44"/>
      <c r="J468" s="44"/>
      <c r="K468" s="44"/>
      <c r="L468" s="44"/>
      <c r="M468" s="44">
        <f t="shared" si="7"/>
        <v>0</v>
      </c>
      <c r="N468" s="45"/>
      <c r="O468" s="44"/>
      <c r="P468" s="44"/>
      <c r="Q468" s="44"/>
      <c r="R468" s="44"/>
      <c r="S468" s="44"/>
      <c r="T468" s="44"/>
      <c r="U468" s="44"/>
      <c r="V468" s="44"/>
      <c r="W468" s="44"/>
      <c r="X468" s="44"/>
    </row>
    <row r="469" spans="1:24" s="41" customFormat="1">
      <c r="A469" s="42">
        <v>46242</v>
      </c>
      <c r="B469" s="43" t="s">
        <v>962</v>
      </c>
      <c r="C469" s="44"/>
      <c r="D469" s="44"/>
      <c r="E469" s="44"/>
      <c r="F469" s="44"/>
      <c r="G469" s="44"/>
      <c r="H469" s="44"/>
      <c r="I469" s="44"/>
      <c r="J469" s="44"/>
      <c r="K469" s="44"/>
      <c r="L469" s="44"/>
      <c r="M469" s="44">
        <f t="shared" si="7"/>
        <v>0</v>
      </c>
      <c r="N469" s="45"/>
      <c r="O469" s="44"/>
      <c r="P469" s="44"/>
      <c r="Q469" s="44"/>
      <c r="R469" s="44"/>
      <c r="S469" s="44"/>
      <c r="T469" s="44"/>
      <c r="U469" s="44"/>
      <c r="V469" s="44"/>
      <c r="W469" s="44"/>
      <c r="X469" s="44"/>
    </row>
    <row r="470" spans="1:24" s="41" customFormat="1">
      <c r="A470" s="42">
        <v>46243</v>
      </c>
      <c r="B470" s="43" t="s">
        <v>962</v>
      </c>
      <c r="C470" s="44"/>
      <c r="D470" s="44"/>
      <c r="E470" s="44"/>
      <c r="F470" s="44"/>
      <c r="G470" s="44"/>
      <c r="H470" s="44"/>
      <c r="I470" s="44"/>
      <c r="J470" s="44"/>
      <c r="K470" s="44"/>
      <c r="L470" s="44"/>
      <c r="M470" s="44">
        <f t="shared" si="7"/>
        <v>0</v>
      </c>
      <c r="N470" s="45"/>
      <c r="O470" s="44"/>
      <c r="P470" s="44"/>
      <c r="Q470" s="44"/>
      <c r="R470" s="44"/>
      <c r="S470" s="44"/>
      <c r="T470" s="44"/>
      <c r="U470" s="44"/>
      <c r="V470" s="44"/>
      <c r="W470" s="44"/>
      <c r="X470" s="44"/>
    </row>
    <row r="471" spans="1:24" s="41" customFormat="1">
      <c r="A471" s="42">
        <v>46244</v>
      </c>
      <c r="B471" s="43" t="s">
        <v>962</v>
      </c>
      <c r="C471" s="44"/>
      <c r="D471" s="44"/>
      <c r="E471" s="44"/>
      <c r="F471" s="44"/>
      <c r="G471" s="44"/>
      <c r="H471" s="44"/>
      <c r="I471" s="44"/>
      <c r="J471" s="44"/>
      <c r="K471" s="44"/>
      <c r="L471" s="44"/>
      <c r="M471" s="44">
        <f t="shared" si="7"/>
        <v>0</v>
      </c>
      <c r="N471" s="45"/>
      <c r="O471" s="44"/>
      <c r="P471" s="44"/>
      <c r="Q471" s="44"/>
      <c r="R471" s="44"/>
      <c r="S471" s="44"/>
      <c r="T471" s="44"/>
      <c r="U471" s="44"/>
      <c r="V471" s="44"/>
      <c r="W471" s="44"/>
      <c r="X471" s="44"/>
    </row>
    <row r="472" spans="1:24" s="41" customFormat="1">
      <c r="A472" s="42">
        <v>46245</v>
      </c>
      <c r="B472" s="43" t="s">
        <v>962</v>
      </c>
      <c r="C472" s="44"/>
      <c r="D472" s="44"/>
      <c r="E472" s="44"/>
      <c r="F472" s="44"/>
      <c r="G472" s="44"/>
      <c r="H472" s="44"/>
      <c r="I472" s="44"/>
      <c r="J472" s="44"/>
      <c r="K472" s="44"/>
      <c r="L472" s="44"/>
      <c r="M472" s="44">
        <f t="shared" si="7"/>
        <v>0</v>
      </c>
      <c r="N472" s="45"/>
      <c r="O472" s="44"/>
      <c r="P472" s="44"/>
      <c r="Q472" s="44"/>
      <c r="R472" s="44"/>
      <c r="S472" s="44"/>
      <c r="T472" s="44"/>
      <c r="U472" s="44"/>
      <c r="V472" s="44"/>
      <c r="W472" s="44"/>
      <c r="X472" s="44"/>
    </row>
    <row r="473" spans="1:24" s="41" customFormat="1">
      <c r="A473" s="42">
        <v>46246</v>
      </c>
      <c r="B473" s="43" t="s">
        <v>962</v>
      </c>
      <c r="C473" s="44"/>
      <c r="D473" s="44"/>
      <c r="E473" s="44"/>
      <c r="F473" s="44"/>
      <c r="G473" s="44"/>
      <c r="H473" s="44"/>
      <c r="I473" s="44"/>
      <c r="J473" s="44"/>
      <c r="K473" s="44"/>
      <c r="L473" s="44"/>
      <c r="M473" s="44">
        <f t="shared" si="7"/>
        <v>0</v>
      </c>
      <c r="N473" s="45"/>
      <c r="O473" s="44"/>
      <c r="P473" s="44"/>
      <c r="Q473" s="44"/>
      <c r="R473" s="44"/>
      <c r="S473" s="44"/>
      <c r="T473" s="44"/>
      <c r="U473" s="44"/>
      <c r="V473" s="44"/>
      <c r="W473" s="44"/>
      <c r="X473" s="44"/>
    </row>
    <row r="474" spans="1:24" s="41" customFormat="1">
      <c r="A474" s="42">
        <v>46247</v>
      </c>
      <c r="B474" s="43" t="s">
        <v>962</v>
      </c>
      <c r="C474" s="44"/>
      <c r="D474" s="44"/>
      <c r="E474" s="44"/>
      <c r="F474" s="44"/>
      <c r="G474" s="44"/>
      <c r="H474" s="44"/>
      <c r="I474" s="44"/>
      <c r="J474" s="44"/>
      <c r="K474" s="44"/>
      <c r="L474" s="44"/>
      <c r="M474" s="44">
        <f t="shared" si="7"/>
        <v>0</v>
      </c>
      <c r="N474" s="45"/>
      <c r="O474" s="44"/>
      <c r="P474" s="44"/>
      <c r="Q474" s="44"/>
      <c r="R474" s="44"/>
      <c r="S474" s="44"/>
      <c r="T474" s="44"/>
      <c r="U474" s="44"/>
      <c r="V474" s="44"/>
      <c r="W474" s="44"/>
      <c r="X474" s="44"/>
    </row>
    <row r="475" spans="1:24" s="41" customFormat="1">
      <c r="A475" s="42">
        <v>46248</v>
      </c>
      <c r="B475" s="43" t="s">
        <v>962</v>
      </c>
      <c r="C475" s="44"/>
      <c r="D475" s="44"/>
      <c r="E475" s="44"/>
      <c r="F475" s="44"/>
      <c r="G475" s="44"/>
      <c r="H475" s="44"/>
      <c r="I475" s="44"/>
      <c r="J475" s="44"/>
      <c r="K475" s="44"/>
      <c r="L475" s="44"/>
      <c r="M475" s="44">
        <f t="shared" si="7"/>
        <v>0</v>
      </c>
      <c r="N475" s="45"/>
      <c r="O475" s="44"/>
      <c r="P475" s="44"/>
      <c r="Q475" s="44"/>
      <c r="R475" s="44"/>
      <c r="S475" s="44"/>
      <c r="T475" s="44"/>
      <c r="U475" s="44"/>
      <c r="V475" s="44"/>
      <c r="W475" s="44"/>
      <c r="X475" s="44"/>
    </row>
    <row r="476" spans="1:24" s="41" customFormat="1">
      <c r="A476" s="42">
        <v>46249</v>
      </c>
      <c r="B476" s="43" t="s">
        <v>962</v>
      </c>
      <c r="C476" s="44"/>
      <c r="D476" s="44"/>
      <c r="E476" s="44"/>
      <c r="F476" s="44"/>
      <c r="G476" s="44"/>
      <c r="H476" s="44"/>
      <c r="I476" s="44"/>
      <c r="J476" s="44"/>
      <c r="K476" s="44"/>
      <c r="L476" s="44"/>
      <c r="M476" s="44">
        <f t="shared" si="7"/>
        <v>0</v>
      </c>
      <c r="N476" s="45"/>
      <c r="O476" s="44"/>
      <c r="P476" s="44"/>
      <c r="Q476" s="44"/>
      <c r="R476" s="44"/>
      <c r="S476" s="44"/>
      <c r="T476" s="44"/>
      <c r="U476" s="44"/>
      <c r="V476" s="44"/>
      <c r="W476" s="44"/>
      <c r="X476" s="44"/>
    </row>
    <row r="477" spans="1:24" s="41" customFormat="1">
      <c r="A477" s="42">
        <v>46250</v>
      </c>
      <c r="B477" s="43" t="s">
        <v>962</v>
      </c>
      <c r="C477" s="44"/>
      <c r="D477" s="44"/>
      <c r="E477" s="44"/>
      <c r="F477" s="44"/>
      <c r="G477" s="44"/>
      <c r="H477" s="44"/>
      <c r="I477" s="44"/>
      <c r="J477" s="44"/>
      <c r="K477" s="44"/>
      <c r="L477" s="44"/>
      <c r="M477" s="44">
        <f t="shared" si="7"/>
        <v>0</v>
      </c>
      <c r="N477" s="45"/>
      <c r="O477" s="44"/>
      <c r="P477" s="44"/>
      <c r="Q477" s="44"/>
      <c r="R477" s="44"/>
      <c r="S477" s="44"/>
      <c r="T477" s="44"/>
      <c r="U477" s="44"/>
      <c r="V477" s="44"/>
      <c r="W477" s="44"/>
      <c r="X477" s="44"/>
    </row>
    <row r="478" spans="1:24" s="41" customFormat="1">
      <c r="A478" s="42">
        <v>46251</v>
      </c>
      <c r="B478" s="43" t="s">
        <v>962</v>
      </c>
      <c r="C478" s="44"/>
      <c r="D478" s="44"/>
      <c r="E478" s="44"/>
      <c r="F478" s="44"/>
      <c r="G478" s="44"/>
      <c r="H478" s="44"/>
      <c r="I478" s="44"/>
      <c r="J478" s="44"/>
      <c r="K478" s="44"/>
      <c r="L478" s="44"/>
      <c r="M478" s="44">
        <f t="shared" si="7"/>
        <v>0</v>
      </c>
      <c r="N478" s="45"/>
      <c r="O478" s="44"/>
      <c r="P478" s="44"/>
      <c r="Q478" s="44"/>
      <c r="R478" s="44"/>
      <c r="S478" s="44"/>
      <c r="T478" s="44"/>
      <c r="U478" s="44"/>
      <c r="V478" s="44"/>
      <c r="W478" s="44"/>
      <c r="X478" s="44"/>
    </row>
    <row r="479" spans="1:24" s="41" customFormat="1">
      <c r="A479" s="42">
        <v>46252</v>
      </c>
      <c r="B479" s="43" t="s">
        <v>962</v>
      </c>
      <c r="C479" s="44"/>
      <c r="D479" s="44"/>
      <c r="E479" s="44"/>
      <c r="F479" s="44"/>
      <c r="G479" s="44"/>
      <c r="H479" s="44"/>
      <c r="I479" s="44"/>
      <c r="J479" s="44"/>
      <c r="K479" s="44"/>
      <c r="L479" s="44"/>
      <c r="M479" s="44">
        <f t="shared" si="7"/>
        <v>0</v>
      </c>
      <c r="N479" s="45"/>
      <c r="O479" s="44"/>
      <c r="P479" s="44"/>
      <c r="Q479" s="44"/>
      <c r="R479" s="44"/>
      <c r="S479" s="44"/>
      <c r="T479" s="44"/>
      <c r="U479" s="44"/>
      <c r="V479" s="44"/>
      <c r="W479" s="44"/>
      <c r="X479" s="44"/>
    </row>
    <row r="480" spans="1:24" s="41" customFormat="1">
      <c r="A480" s="42">
        <v>46253</v>
      </c>
      <c r="B480" s="43" t="s">
        <v>962</v>
      </c>
      <c r="C480" s="44"/>
      <c r="D480" s="44"/>
      <c r="E480" s="44"/>
      <c r="F480" s="44"/>
      <c r="G480" s="44"/>
      <c r="H480" s="44"/>
      <c r="I480" s="44"/>
      <c r="J480" s="44"/>
      <c r="K480" s="44"/>
      <c r="L480" s="44"/>
      <c r="M480" s="44">
        <f t="shared" si="7"/>
        <v>0</v>
      </c>
      <c r="N480" s="45"/>
      <c r="O480" s="44"/>
      <c r="P480" s="44"/>
      <c r="Q480" s="44"/>
      <c r="R480" s="44"/>
      <c r="S480" s="44"/>
      <c r="T480" s="44"/>
      <c r="U480" s="44"/>
      <c r="V480" s="44"/>
      <c r="W480" s="44"/>
      <c r="X480" s="44"/>
    </row>
    <row r="481" spans="1:24" s="41" customFormat="1">
      <c r="A481" s="42">
        <v>46254</v>
      </c>
      <c r="B481" s="43" t="s">
        <v>962</v>
      </c>
      <c r="C481" s="44"/>
      <c r="D481" s="44"/>
      <c r="E481" s="44"/>
      <c r="F481" s="44"/>
      <c r="G481" s="44"/>
      <c r="H481" s="44"/>
      <c r="I481" s="44"/>
      <c r="J481" s="44"/>
      <c r="K481" s="44"/>
      <c r="L481" s="44"/>
      <c r="M481" s="44">
        <f t="shared" si="7"/>
        <v>0</v>
      </c>
      <c r="N481" s="45"/>
      <c r="O481" s="44"/>
      <c r="P481" s="44"/>
      <c r="Q481" s="44"/>
      <c r="R481" s="44"/>
      <c r="S481" s="44"/>
      <c r="T481" s="44"/>
      <c r="U481" s="44"/>
      <c r="V481" s="44"/>
      <c r="W481" s="44"/>
      <c r="X481" s="44"/>
    </row>
    <row r="482" spans="1:24" s="41" customFormat="1">
      <c r="A482" s="42">
        <v>46255</v>
      </c>
      <c r="B482" s="43" t="s">
        <v>962</v>
      </c>
      <c r="C482" s="44"/>
      <c r="D482" s="44"/>
      <c r="E482" s="44"/>
      <c r="F482" s="44"/>
      <c r="G482" s="44"/>
      <c r="H482" s="44"/>
      <c r="I482" s="44"/>
      <c r="J482" s="44"/>
      <c r="K482" s="44"/>
      <c r="L482" s="44"/>
      <c r="M482" s="44">
        <f t="shared" si="7"/>
        <v>0</v>
      </c>
      <c r="N482" s="45"/>
      <c r="O482" s="44"/>
      <c r="P482" s="44"/>
      <c r="Q482" s="44"/>
      <c r="R482" s="44"/>
      <c r="S482" s="44"/>
      <c r="T482" s="44"/>
      <c r="U482" s="44"/>
      <c r="V482" s="44"/>
      <c r="W482" s="44"/>
      <c r="X482" s="44"/>
    </row>
    <row r="483" spans="1:24" s="41" customFormat="1">
      <c r="A483" s="42">
        <v>46256</v>
      </c>
      <c r="B483" s="43" t="s">
        <v>962</v>
      </c>
      <c r="C483" s="44"/>
      <c r="D483" s="44"/>
      <c r="E483" s="44"/>
      <c r="F483" s="44"/>
      <c r="G483" s="44"/>
      <c r="H483" s="44"/>
      <c r="I483" s="44"/>
      <c r="J483" s="44"/>
      <c r="K483" s="44"/>
      <c r="L483" s="44"/>
      <c r="M483" s="44">
        <f t="shared" si="7"/>
        <v>0</v>
      </c>
      <c r="N483" s="45"/>
      <c r="O483" s="44"/>
      <c r="P483" s="44"/>
      <c r="Q483" s="44"/>
      <c r="R483" s="44"/>
      <c r="S483" s="44"/>
      <c r="T483" s="44"/>
      <c r="U483" s="44"/>
      <c r="V483" s="44"/>
      <c r="W483" s="44"/>
      <c r="X483" s="44"/>
    </row>
    <row r="484" spans="1:24" s="41" customFormat="1">
      <c r="A484" s="42">
        <v>46257</v>
      </c>
      <c r="B484" s="43" t="s">
        <v>962</v>
      </c>
      <c r="C484" s="44"/>
      <c r="D484" s="44"/>
      <c r="E484" s="44"/>
      <c r="F484" s="44"/>
      <c r="G484" s="44"/>
      <c r="H484" s="44"/>
      <c r="I484" s="44"/>
      <c r="J484" s="44"/>
      <c r="K484" s="44"/>
      <c r="L484" s="44"/>
      <c r="M484" s="44">
        <f t="shared" si="7"/>
        <v>0</v>
      </c>
      <c r="N484" s="45"/>
      <c r="O484" s="44"/>
      <c r="P484" s="44"/>
      <c r="Q484" s="44"/>
      <c r="R484" s="44"/>
      <c r="S484" s="44"/>
      <c r="T484" s="44"/>
      <c r="U484" s="44"/>
      <c r="V484" s="44"/>
      <c r="W484" s="44"/>
      <c r="X484" s="44"/>
    </row>
    <row r="485" spans="1:24" s="41" customFormat="1">
      <c r="A485" s="42">
        <v>46258</v>
      </c>
      <c r="B485" s="43" t="s">
        <v>962</v>
      </c>
      <c r="C485" s="44"/>
      <c r="D485" s="44"/>
      <c r="E485" s="44"/>
      <c r="F485" s="44"/>
      <c r="G485" s="44"/>
      <c r="H485" s="44"/>
      <c r="I485" s="44"/>
      <c r="J485" s="44"/>
      <c r="K485" s="44"/>
      <c r="L485" s="44"/>
      <c r="M485" s="44">
        <f t="shared" si="7"/>
        <v>0</v>
      </c>
      <c r="N485" s="45"/>
      <c r="O485" s="44"/>
      <c r="P485" s="44"/>
      <c r="Q485" s="44"/>
      <c r="R485" s="44"/>
      <c r="S485" s="44"/>
      <c r="T485" s="44"/>
      <c r="U485" s="44"/>
      <c r="V485" s="44"/>
      <c r="W485" s="44"/>
      <c r="X485" s="44"/>
    </row>
    <row r="486" spans="1:24" s="41" customFormat="1">
      <c r="A486" s="42">
        <v>46259</v>
      </c>
      <c r="B486" s="43" t="s">
        <v>962</v>
      </c>
      <c r="C486" s="44"/>
      <c r="D486" s="44"/>
      <c r="E486" s="44"/>
      <c r="F486" s="44"/>
      <c r="G486" s="44"/>
      <c r="H486" s="44"/>
      <c r="I486" s="44"/>
      <c r="J486" s="44"/>
      <c r="K486" s="44"/>
      <c r="L486" s="44"/>
      <c r="M486" s="44">
        <f t="shared" si="7"/>
        <v>0</v>
      </c>
      <c r="N486" s="45"/>
      <c r="O486" s="44"/>
      <c r="P486" s="44"/>
      <c r="Q486" s="44"/>
      <c r="R486" s="44"/>
      <c r="S486" s="44"/>
      <c r="T486" s="44"/>
      <c r="U486" s="44"/>
      <c r="V486" s="44"/>
      <c r="W486" s="44"/>
      <c r="X486" s="44"/>
    </row>
    <row r="487" spans="1:24" s="41" customFormat="1">
      <c r="A487" s="42">
        <v>46260</v>
      </c>
      <c r="B487" s="43" t="s">
        <v>962</v>
      </c>
      <c r="C487" s="44"/>
      <c r="D487" s="44"/>
      <c r="E487" s="44"/>
      <c r="F487" s="44"/>
      <c r="G487" s="44"/>
      <c r="H487" s="44"/>
      <c r="I487" s="44"/>
      <c r="J487" s="44"/>
      <c r="K487" s="44"/>
      <c r="L487" s="44"/>
      <c r="M487" s="44">
        <f t="shared" si="7"/>
        <v>0</v>
      </c>
      <c r="N487" s="45"/>
      <c r="O487" s="44"/>
      <c r="P487" s="44"/>
      <c r="Q487" s="44"/>
      <c r="R487" s="44"/>
      <c r="S487" s="44"/>
      <c r="T487" s="44"/>
      <c r="U487" s="44"/>
      <c r="V487" s="44"/>
      <c r="W487" s="44"/>
      <c r="X487" s="44"/>
    </row>
    <row r="488" spans="1:24" s="41" customFormat="1">
      <c r="A488" s="42">
        <v>46261</v>
      </c>
      <c r="B488" s="43" t="s">
        <v>962</v>
      </c>
      <c r="C488" s="44"/>
      <c r="D488" s="44"/>
      <c r="E488" s="44"/>
      <c r="F488" s="44"/>
      <c r="G488" s="44"/>
      <c r="H488" s="44"/>
      <c r="I488" s="44"/>
      <c r="J488" s="44"/>
      <c r="K488" s="44"/>
      <c r="L488" s="44"/>
      <c r="M488" s="44">
        <f t="shared" si="7"/>
        <v>0</v>
      </c>
      <c r="N488" s="45"/>
      <c r="O488" s="44"/>
      <c r="P488" s="44"/>
      <c r="Q488" s="44"/>
      <c r="R488" s="44"/>
      <c r="S488" s="44"/>
      <c r="T488" s="44"/>
      <c r="U488" s="44"/>
      <c r="V488" s="44"/>
      <c r="W488" s="44"/>
      <c r="X488" s="44"/>
    </row>
    <row r="489" spans="1:24" s="41" customFormat="1">
      <c r="A489" s="42">
        <v>46262</v>
      </c>
      <c r="B489" s="43" t="s">
        <v>962</v>
      </c>
      <c r="C489" s="44"/>
      <c r="D489" s="44"/>
      <c r="E489" s="44"/>
      <c r="F489" s="44"/>
      <c r="G489" s="44"/>
      <c r="H489" s="44"/>
      <c r="I489" s="44"/>
      <c r="J489" s="44"/>
      <c r="K489" s="44"/>
      <c r="L489" s="44"/>
      <c r="M489" s="44">
        <f t="shared" si="7"/>
        <v>0</v>
      </c>
      <c r="N489" s="45"/>
      <c r="O489" s="44"/>
      <c r="P489" s="44"/>
      <c r="Q489" s="44"/>
      <c r="R489" s="44"/>
      <c r="S489" s="44"/>
      <c r="T489" s="44"/>
      <c r="U489" s="44"/>
      <c r="V489" s="44"/>
      <c r="W489" s="44"/>
      <c r="X489" s="44"/>
    </row>
    <row r="490" spans="1:24" s="41" customFormat="1">
      <c r="A490" s="42">
        <v>46263</v>
      </c>
      <c r="B490" s="43" t="s">
        <v>962</v>
      </c>
      <c r="C490" s="44"/>
      <c r="D490" s="44"/>
      <c r="E490" s="44"/>
      <c r="F490" s="44"/>
      <c r="G490" s="44"/>
      <c r="H490" s="44"/>
      <c r="I490" s="44"/>
      <c r="J490" s="44"/>
      <c r="K490" s="44"/>
      <c r="L490" s="44"/>
      <c r="M490" s="44">
        <f t="shared" si="7"/>
        <v>0</v>
      </c>
      <c r="N490" s="45"/>
      <c r="O490" s="44"/>
      <c r="P490" s="44"/>
      <c r="Q490" s="44"/>
      <c r="R490" s="44"/>
      <c r="S490" s="44"/>
      <c r="T490" s="44"/>
      <c r="U490" s="44"/>
      <c r="V490" s="44"/>
      <c r="W490" s="44"/>
      <c r="X490" s="44"/>
    </row>
    <row r="491" spans="1:24" s="41" customFormat="1">
      <c r="A491" s="42">
        <v>46264</v>
      </c>
      <c r="B491" s="43" t="s">
        <v>962</v>
      </c>
      <c r="C491" s="44"/>
      <c r="D491" s="44"/>
      <c r="E491" s="44"/>
      <c r="F491" s="44"/>
      <c r="G491" s="44"/>
      <c r="H491" s="44"/>
      <c r="I491" s="44"/>
      <c r="J491" s="44"/>
      <c r="K491" s="44"/>
      <c r="L491" s="44"/>
      <c r="M491" s="44">
        <f t="shared" si="7"/>
        <v>0</v>
      </c>
      <c r="N491" s="45"/>
      <c r="O491" s="44"/>
      <c r="P491" s="44"/>
      <c r="Q491" s="44"/>
      <c r="R491" s="44"/>
      <c r="S491" s="44"/>
      <c r="T491" s="44"/>
      <c r="U491" s="44"/>
      <c r="V491" s="44"/>
      <c r="W491" s="44"/>
      <c r="X491" s="44"/>
    </row>
    <row r="492" spans="1:24" s="41" customFormat="1">
      <c r="A492" s="42">
        <v>46265</v>
      </c>
      <c r="B492" s="43" t="s">
        <v>962</v>
      </c>
      <c r="C492" s="44"/>
      <c r="D492" s="44"/>
      <c r="E492" s="44"/>
      <c r="F492" s="44"/>
      <c r="G492" s="44"/>
      <c r="H492" s="44"/>
      <c r="I492" s="44"/>
      <c r="J492" s="44"/>
      <c r="K492" s="44"/>
      <c r="L492" s="44"/>
      <c r="M492" s="44">
        <f t="shared" si="7"/>
        <v>0</v>
      </c>
      <c r="N492" s="45"/>
      <c r="O492" s="44"/>
      <c r="P492" s="44"/>
      <c r="Q492" s="44"/>
      <c r="R492" s="44"/>
      <c r="S492" s="44"/>
      <c r="T492" s="44"/>
      <c r="U492" s="44"/>
      <c r="V492" s="44"/>
      <c r="W492" s="44"/>
      <c r="X492" s="44"/>
    </row>
    <row r="493" spans="1:24" s="41" customFormat="1">
      <c r="A493" s="42">
        <v>46266</v>
      </c>
      <c r="B493" s="43" t="s">
        <v>962</v>
      </c>
      <c r="C493" s="44"/>
      <c r="D493" s="44"/>
      <c r="E493" s="44"/>
      <c r="F493" s="44"/>
      <c r="G493" s="44"/>
      <c r="H493" s="44"/>
      <c r="I493" s="44"/>
      <c r="J493" s="44"/>
      <c r="K493" s="44"/>
      <c r="L493" s="44"/>
      <c r="M493" s="44">
        <f t="shared" si="7"/>
        <v>0</v>
      </c>
      <c r="N493" s="45"/>
      <c r="O493" s="44"/>
      <c r="P493" s="44"/>
      <c r="Q493" s="44"/>
      <c r="R493" s="44"/>
      <c r="S493" s="44"/>
      <c r="T493" s="44"/>
      <c r="U493" s="44"/>
      <c r="V493" s="44"/>
      <c r="W493" s="44"/>
      <c r="X493" s="44"/>
    </row>
    <row r="494" spans="1:24" s="41" customFormat="1">
      <c r="A494" s="42">
        <v>46267</v>
      </c>
      <c r="B494" s="43" t="s">
        <v>962</v>
      </c>
      <c r="C494" s="44"/>
      <c r="D494" s="44"/>
      <c r="E494" s="44"/>
      <c r="F494" s="44"/>
      <c r="G494" s="44"/>
      <c r="H494" s="44"/>
      <c r="I494" s="44"/>
      <c r="J494" s="44"/>
      <c r="K494" s="44"/>
      <c r="L494" s="44"/>
      <c r="M494" s="44">
        <f t="shared" si="7"/>
        <v>0</v>
      </c>
      <c r="N494" s="45"/>
      <c r="O494" s="44"/>
      <c r="P494" s="44"/>
      <c r="Q494" s="44"/>
      <c r="R494" s="44"/>
      <c r="S494" s="44"/>
      <c r="T494" s="44"/>
      <c r="U494" s="44"/>
      <c r="V494" s="44"/>
      <c r="W494" s="44"/>
      <c r="X494" s="44"/>
    </row>
    <row r="495" spans="1:24" s="41" customFormat="1">
      <c r="A495" s="42">
        <v>46268</v>
      </c>
      <c r="B495" s="43" t="s">
        <v>962</v>
      </c>
      <c r="C495" s="44"/>
      <c r="D495" s="44"/>
      <c r="E495" s="44"/>
      <c r="F495" s="44"/>
      <c r="G495" s="44"/>
      <c r="H495" s="44"/>
      <c r="I495" s="44"/>
      <c r="J495" s="44"/>
      <c r="K495" s="44"/>
      <c r="L495" s="44"/>
      <c r="M495" s="44">
        <f t="shared" si="7"/>
        <v>0</v>
      </c>
      <c r="N495" s="45"/>
      <c r="O495" s="44"/>
      <c r="P495" s="44"/>
      <c r="Q495" s="44"/>
      <c r="R495" s="44"/>
      <c r="S495" s="44"/>
      <c r="T495" s="44"/>
      <c r="U495" s="44"/>
      <c r="V495" s="44"/>
      <c r="W495" s="44"/>
      <c r="X495" s="44"/>
    </row>
    <row r="496" spans="1:24" s="41" customFormat="1">
      <c r="A496" s="42">
        <v>46269</v>
      </c>
      <c r="B496" s="43" t="s">
        <v>962</v>
      </c>
      <c r="C496" s="44"/>
      <c r="D496" s="44"/>
      <c r="E496" s="44"/>
      <c r="F496" s="44"/>
      <c r="G496" s="44"/>
      <c r="H496" s="44"/>
      <c r="I496" s="44"/>
      <c r="J496" s="44"/>
      <c r="K496" s="44"/>
      <c r="L496" s="44"/>
      <c r="M496" s="44">
        <f t="shared" si="7"/>
        <v>0</v>
      </c>
      <c r="N496" s="45"/>
      <c r="O496" s="44"/>
      <c r="P496" s="44"/>
      <c r="Q496" s="44"/>
      <c r="R496" s="44"/>
      <c r="S496" s="44"/>
      <c r="T496" s="44"/>
      <c r="U496" s="44"/>
      <c r="V496" s="44"/>
      <c r="W496" s="44"/>
      <c r="X496" s="44"/>
    </row>
    <row r="497" spans="1:24" s="41" customFormat="1">
      <c r="A497" s="42">
        <v>46270</v>
      </c>
      <c r="B497" s="43" t="s">
        <v>962</v>
      </c>
      <c r="C497" s="44"/>
      <c r="D497" s="44"/>
      <c r="E497" s="44"/>
      <c r="F497" s="44"/>
      <c r="G497" s="44"/>
      <c r="H497" s="44"/>
      <c r="I497" s="44"/>
      <c r="J497" s="44"/>
      <c r="K497" s="44"/>
      <c r="L497" s="44"/>
      <c r="M497" s="44">
        <f t="shared" si="7"/>
        <v>0</v>
      </c>
      <c r="N497" s="45"/>
      <c r="O497" s="44"/>
      <c r="P497" s="44"/>
      <c r="Q497" s="44"/>
      <c r="R497" s="44"/>
      <c r="S497" s="44"/>
      <c r="T497" s="44"/>
      <c r="U497" s="44"/>
      <c r="V497" s="44"/>
      <c r="W497" s="44"/>
      <c r="X497" s="44"/>
    </row>
    <row r="498" spans="1:24" s="41" customFormat="1">
      <c r="A498" s="42">
        <v>46271</v>
      </c>
      <c r="B498" s="43" t="s">
        <v>962</v>
      </c>
      <c r="C498" s="44"/>
      <c r="D498" s="44"/>
      <c r="E498" s="44"/>
      <c r="F498" s="44"/>
      <c r="G498" s="44"/>
      <c r="H498" s="44"/>
      <c r="I498" s="44"/>
      <c r="J498" s="44"/>
      <c r="K498" s="44"/>
      <c r="L498" s="44"/>
      <c r="M498" s="44">
        <f t="shared" si="7"/>
        <v>0</v>
      </c>
      <c r="N498" s="45"/>
      <c r="O498" s="44"/>
      <c r="P498" s="44"/>
      <c r="Q498" s="44"/>
      <c r="R498" s="44"/>
      <c r="S498" s="44"/>
      <c r="T498" s="44"/>
      <c r="U498" s="44"/>
      <c r="V498" s="44"/>
      <c r="W498" s="44"/>
      <c r="X498" s="44"/>
    </row>
    <row r="499" spans="1:24" s="41" customFormat="1">
      <c r="A499" s="42">
        <v>46272</v>
      </c>
      <c r="B499" s="43" t="s">
        <v>962</v>
      </c>
      <c r="C499" s="44"/>
      <c r="D499" s="44"/>
      <c r="E499" s="44"/>
      <c r="F499" s="44"/>
      <c r="G499" s="44"/>
      <c r="H499" s="44"/>
      <c r="I499" s="44"/>
      <c r="J499" s="44"/>
      <c r="K499" s="44"/>
      <c r="L499" s="44"/>
      <c r="M499" s="44">
        <f t="shared" si="7"/>
        <v>0</v>
      </c>
      <c r="N499" s="45"/>
      <c r="O499" s="44"/>
      <c r="P499" s="44"/>
      <c r="Q499" s="44"/>
      <c r="R499" s="44"/>
      <c r="S499" s="44"/>
      <c r="T499" s="44"/>
      <c r="U499" s="44"/>
      <c r="V499" s="44"/>
      <c r="W499" s="44"/>
      <c r="X499" s="44"/>
    </row>
    <row r="500" spans="1:24" s="41" customFormat="1">
      <c r="A500" s="42">
        <v>46273</v>
      </c>
      <c r="B500" s="43" t="s">
        <v>962</v>
      </c>
      <c r="C500" s="44"/>
      <c r="D500" s="44"/>
      <c r="E500" s="44"/>
      <c r="F500" s="44"/>
      <c r="G500" s="44"/>
      <c r="H500" s="44"/>
      <c r="I500" s="44"/>
      <c r="J500" s="44"/>
      <c r="K500" s="44"/>
      <c r="L500" s="44"/>
      <c r="M500" s="44">
        <f t="shared" si="7"/>
        <v>0</v>
      </c>
      <c r="N500" s="45"/>
      <c r="O500" s="44"/>
      <c r="P500" s="44"/>
      <c r="Q500" s="44"/>
      <c r="R500" s="44"/>
      <c r="S500" s="44"/>
      <c r="T500" s="44"/>
      <c r="U500" s="44"/>
      <c r="V500" s="44"/>
      <c r="W500" s="44"/>
      <c r="X500" s="44"/>
    </row>
    <row r="501" spans="1:24" s="41" customFormat="1">
      <c r="A501" s="42">
        <v>46274</v>
      </c>
      <c r="B501" s="43" t="s">
        <v>962</v>
      </c>
      <c r="C501" s="44"/>
      <c r="D501" s="44"/>
      <c r="E501" s="44"/>
      <c r="F501" s="44"/>
      <c r="G501" s="44"/>
      <c r="H501" s="44"/>
      <c r="I501" s="44"/>
      <c r="J501" s="44"/>
      <c r="K501" s="44"/>
      <c r="L501" s="44"/>
      <c r="M501" s="44">
        <f t="shared" si="7"/>
        <v>0</v>
      </c>
      <c r="N501" s="45"/>
      <c r="O501" s="44"/>
      <c r="P501" s="44"/>
      <c r="Q501" s="44"/>
      <c r="R501" s="44"/>
      <c r="S501" s="44"/>
      <c r="T501" s="44"/>
      <c r="U501" s="44"/>
      <c r="V501" s="44"/>
      <c r="W501" s="44"/>
      <c r="X501" s="44"/>
    </row>
    <row r="502" spans="1:24" s="41" customFormat="1">
      <c r="A502" s="42">
        <v>46275</v>
      </c>
      <c r="B502" s="43" t="s">
        <v>962</v>
      </c>
      <c r="C502" s="44"/>
      <c r="D502" s="44"/>
      <c r="E502" s="44"/>
      <c r="F502" s="44"/>
      <c r="G502" s="44"/>
      <c r="H502" s="44"/>
      <c r="I502" s="44"/>
      <c r="J502" s="44"/>
      <c r="K502" s="44"/>
      <c r="L502" s="44"/>
      <c r="M502" s="44">
        <f t="shared" si="7"/>
        <v>0</v>
      </c>
      <c r="N502" s="45"/>
      <c r="O502" s="44"/>
      <c r="P502" s="44"/>
      <c r="Q502" s="44"/>
      <c r="R502" s="44"/>
      <c r="S502" s="44"/>
      <c r="T502" s="44"/>
      <c r="U502" s="44"/>
      <c r="V502" s="44"/>
      <c r="W502" s="44"/>
      <c r="X502" s="44"/>
    </row>
    <row r="503" spans="1:24" s="41" customFormat="1">
      <c r="A503" s="42">
        <v>46276</v>
      </c>
      <c r="B503" s="43" t="s">
        <v>962</v>
      </c>
      <c r="C503" s="44"/>
      <c r="D503" s="44"/>
      <c r="E503" s="44"/>
      <c r="F503" s="44"/>
      <c r="G503" s="44"/>
      <c r="H503" s="44"/>
      <c r="I503" s="44"/>
      <c r="J503" s="44"/>
      <c r="K503" s="44"/>
      <c r="L503" s="44"/>
      <c r="M503" s="44">
        <f t="shared" si="7"/>
        <v>0</v>
      </c>
      <c r="N503" s="45"/>
      <c r="O503" s="44"/>
      <c r="P503" s="44"/>
      <c r="Q503" s="44"/>
      <c r="R503" s="44"/>
      <c r="S503" s="44"/>
      <c r="T503" s="44"/>
      <c r="U503" s="44"/>
      <c r="V503" s="44"/>
      <c r="W503" s="44"/>
      <c r="X503" s="44"/>
    </row>
    <row r="504" spans="1:24" s="41" customFormat="1">
      <c r="A504" s="42">
        <v>46277</v>
      </c>
      <c r="B504" s="43" t="s">
        <v>962</v>
      </c>
      <c r="C504" s="44"/>
      <c r="D504" s="44"/>
      <c r="E504" s="44"/>
      <c r="F504" s="44"/>
      <c r="G504" s="44"/>
      <c r="H504" s="44"/>
      <c r="I504" s="44"/>
      <c r="J504" s="44"/>
      <c r="K504" s="44"/>
      <c r="L504" s="44"/>
      <c r="M504" s="44">
        <f t="shared" si="7"/>
        <v>0</v>
      </c>
      <c r="N504" s="45"/>
      <c r="O504" s="44"/>
      <c r="P504" s="44"/>
      <c r="Q504" s="44"/>
      <c r="R504" s="44"/>
      <c r="S504" s="44"/>
      <c r="T504" s="44"/>
      <c r="U504" s="44"/>
      <c r="V504" s="44"/>
      <c r="W504" s="44"/>
      <c r="X504" s="44"/>
    </row>
    <row r="505" spans="1:24" s="41" customFormat="1">
      <c r="A505" s="42">
        <v>46278</v>
      </c>
      <c r="B505" s="43" t="s">
        <v>962</v>
      </c>
      <c r="C505" s="44"/>
      <c r="D505" s="44"/>
      <c r="E505" s="44"/>
      <c r="F505" s="44"/>
      <c r="G505" s="44"/>
      <c r="H505" s="44"/>
      <c r="I505" s="44"/>
      <c r="J505" s="44"/>
      <c r="K505" s="44"/>
      <c r="L505" s="44"/>
      <c r="M505" s="44">
        <f t="shared" si="7"/>
        <v>0</v>
      </c>
      <c r="N505" s="45"/>
      <c r="O505" s="44"/>
      <c r="P505" s="44"/>
      <c r="Q505" s="44"/>
      <c r="R505" s="44"/>
      <c r="S505" s="44"/>
      <c r="T505" s="44"/>
      <c r="U505" s="44"/>
      <c r="V505" s="44"/>
      <c r="W505" s="44"/>
      <c r="X505" s="44"/>
    </row>
    <row r="506" spans="1:24" s="41" customFormat="1">
      <c r="A506" s="42">
        <v>46279</v>
      </c>
      <c r="B506" s="43" t="s">
        <v>962</v>
      </c>
      <c r="C506" s="44"/>
      <c r="D506" s="44"/>
      <c r="E506" s="44"/>
      <c r="F506" s="44"/>
      <c r="G506" s="44"/>
      <c r="H506" s="44"/>
      <c r="I506" s="44"/>
      <c r="J506" s="44"/>
      <c r="K506" s="44"/>
      <c r="L506" s="44"/>
      <c r="M506" s="44">
        <f t="shared" si="7"/>
        <v>0</v>
      </c>
      <c r="N506" s="45"/>
      <c r="O506" s="44"/>
      <c r="P506" s="44"/>
      <c r="Q506" s="44"/>
      <c r="R506" s="44"/>
      <c r="S506" s="44"/>
      <c r="T506" s="44"/>
      <c r="U506" s="44"/>
      <c r="V506" s="44"/>
      <c r="W506" s="44"/>
      <c r="X506" s="44"/>
    </row>
    <row r="507" spans="1:24" s="41" customFormat="1">
      <c r="A507" s="42">
        <v>46280</v>
      </c>
      <c r="B507" s="43" t="s">
        <v>962</v>
      </c>
      <c r="C507" s="44"/>
      <c r="D507" s="44"/>
      <c r="E507" s="44"/>
      <c r="F507" s="44"/>
      <c r="G507" s="44"/>
      <c r="H507" s="44"/>
      <c r="I507" s="44"/>
      <c r="J507" s="44"/>
      <c r="K507" s="44"/>
      <c r="L507" s="44"/>
      <c r="M507" s="44">
        <f t="shared" si="7"/>
        <v>0</v>
      </c>
      <c r="N507" s="45"/>
      <c r="O507" s="44"/>
      <c r="P507" s="44"/>
      <c r="Q507" s="44"/>
      <c r="R507" s="44"/>
      <c r="S507" s="44"/>
      <c r="T507" s="44"/>
      <c r="U507" s="44"/>
      <c r="V507" s="44"/>
      <c r="W507" s="44"/>
      <c r="X507" s="44"/>
    </row>
    <row r="508" spans="1:24" s="41" customFormat="1">
      <c r="A508" s="42">
        <v>46281</v>
      </c>
      <c r="B508" s="43" t="s">
        <v>962</v>
      </c>
      <c r="C508" s="44"/>
      <c r="D508" s="44"/>
      <c r="E508" s="44"/>
      <c r="F508" s="44"/>
      <c r="G508" s="44"/>
      <c r="H508" s="44"/>
      <c r="I508" s="44"/>
      <c r="J508" s="44"/>
      <c r="K508" s="44"/>
      <c r="L508" s="44"/>
      <c r="M508" s="44">
        <f t="shared" si="7"/>
        <v>0</v>
      </c>
      <c r="N508" s="45"/>
      <c r="O508" s="44"/>
      <c r="P508" s="44"/>
      <c r="Q508" s="44"/>
      <c r="R508" s="44"/>
      <c r="S508" s="44"/>
      <c r="T508" s="44"/>
      <c r="U508" s="44"/>
      <c r="V508" s="44"/>
      <c r="W508" s="44"/>
      <c r="X508" s="44"/>
    </row>
    <row r="509" spans="1:24" s="41" customFormat="1">
      <c r="A509" s="42">
        <v>46282</v>
      </c>
      <c r="B509" s="43" t="s">
        <v>962</v>
      </c>
      <c r="C509" s="44"/>
      <c r="D509" s="44"/>
      <c r="E509" s="44"/>
      <c r="F509" s="44"/>
      <c r="G509" s="44"/>
      <c r="H509" s="44"/>
      <c r="I509" s="44"/>
      <c r="J509" s="44"/>
      <c r="K509" s="44"/>
      <c r="L509" s="44"/>
      <c r="M509" s="44">
        <f t="shared" si="7"/>
        <v>0</v>
      </c>
      <c r="N509" s="45"/>
      <c r="O509" s="44"/>
      <c r="P509" s="44"/>
      <c r="Q509" s="44"/>
      <c r="R509" s="44"/>
      <c r="S509" s="44"/>
      <c r="T509" s="44"/>
      <c r="U509" s="44"/>
      <c r="V509" s="44"/>
      <c r="W509" s="44"/>
      <c r="X509" s="44"/>
    </row>
    <row r="510" spans="1:24" s="41" customFormat="1">
      <c r="A510" s="42">
        <v>46283</v>
      </c>
      <c r="B510" s="43" t="s">
        <v>962</v>
      </c>
      <c r="C510" s="44"/>
      <c r="D510" s="44"/>
      <c r="E510" s="44"/>
      <c r="F510" s="44"/>
      <c r="G510" s="44"/>
      <c r="H510" s="44"/>
      <c r="I510" s="44"/>
      <c r="J510" s="44"/>
      <c r="K510" s="44"/>
      <c r="L510" s="44"/>
      <c r="M510" s="44">
        <f t="shared" si="7"/>
        <v>0</v>
      </c>
      <c r="N510" s="45"/>
      <c r="O510" s="44"/>
      <c r="P510" s="44"/>
      <c r="Q510" s="44"/>
      <c r="R510" s="44"/>
      <c r="S510" s="44"/>
      <c r="T510" s="44"/>
      <c r="U510" s="44"/>
      <c r="V510" s="44"/>
      <c r="W510" s="44"/>
      <c r="X510" s="44"/>
    </row>
    <row r="511" spans="1:24" s="41" customFormat="1">
      <c r="A511" s="42">
        <v>46284</v>
      </c>
      <c r="B511" s="43" t="s">
        <v>962</v>
      </c>
      <c r="C511" s="44"/>
      <c r="D511" s="44"/>
      <c r="E511" s="44"/>
      <c r="F511" s="44"/>
      <c r="G511" s="44"/>
      <c r="H511" s="44"/>
      <c r="I511" s="44"/>
      <c r="J511" s="44"/>
      <c r="K511" s="44"/>
      <c r="L511" s="44"/>
      <c r="M511" s="44">
        <f t="shared" si="7"/>
        <v>0</v>
      </c>
      <c r="N511" s="45"/>
      <c r="O511" s="44"/>
      <c r="P511" s="44"/>
      <c r="Q511" s="44"/>
      <c r="R511" s="44"/>
      <c r="S511" s="44"/>
      <c r="T511" s="44"/>
      <c r="U511" s="44"/>
      <c r="V511" s="44"/>
      <c r="W511" s="44"/>
      <c r="X511" s="44"/>
    </row>
    <row r="512" spans="1:24" s="41" customFormat="1">
      <c r="A512" s="42">
        <v>46285</v>
      </c>
      <c r="B512" s="43" t="s">
        <v>962</v>
      </c>
      <c r="C512" s="44"/>
      <c r="D512" s="44"/>
      <c r="E512" s="44"/>
      <c r="F512" s="44"/>
      <c r="G512" s="44"/>
      <c r="H512" s="44"/>
      <c r="I512" s="44"/>
      <c r="J512" s="44"/>
      <c r="K512" s="44"/>
      <c r="L512" s="44"/>
      <c r="M512" s="44">
        <f t="shared" si="7"/>
        <v>0</v>
      </c>
      <c r="N512" s="45"/>
      <c r="O512" s="44"/>
      <c r="P512" s="44"/>
      <c r="Q512" s="44"/>
      <c r="R512" s="44"/>
      <c r="S512" s="44"/>
      <c r="T512" s="44"/>
      <c r="U512" s="44"/>
      <c r="V512" s="44"/>
      <c r="W512" s="44"/>
      <c r="X512" s="44"/>
    </row>
    <row r="513" spans="1:24" s="41" customFormat="1">
      <c r="A513" s="42">
        <v>46286</v>
      </c>
      <c r="B513" s="43" t="s">
        <v>962</v>
      </c>
      <c r="C513" s="44"/>
      <c r="D513" s="44"/>
      <c r="E513" s="44"/>
      <c r="F513" s="44"/>
      <c r="G513" s="44"/>
      <c r="H513" s="44"/>
      <c r="I513" s="44"/>
      <c r="J513" s="44"/>
      <c r="K513" s="44"/>
      <c r="L513" s="44"/>
      <c r="M513" s="44">
        <f t="shared" si="7"/>
        <v>0</v>
      </c>
      <c r="N513" s="45"/>
      <c r="O513" s="44"/>
      <c r="P513" s="44"/>
      <c r="Q513" s="44"/>
      <c r="R513" s="44"/>
      <c r="S513" s="44"/>
      <c r="T513" s="44"/>
      <c r="U513" s="44"/>
      <c r="V513" s="44"/>
      <c r="W513" s="44"/>
      <c r="X513" s="44"/>
    </row>
    <row r="514" spans="1:24" s="41" customFormat="1">
      <c r="A514" s="42">
        <v>46287</v>
      </c>
      <c r="B514" s="43" t="s">
        <v>962</v>
      </c>
      <c r="C514" s="44"/>
      <c r="D514" s="44"/>
      <c r="E514" s="44"/>
      <c r="F514" s="44"/>
      <c r="G514" s="44"/>
      <c r="H514" s="44"/>
      <c r="I514" s="44"/>
      <c r="J514" s="44"/>
      <c r="K514" s="44"/>
      <c r="L514" s="44"/>
      <c r="M514" s="44">
        <f t="shared" si="7"/>
        <v>0</v>
      </c>
      <c r="N514" s="45"/>
      <c r="O514" s="44"/>
      <c r="P514" s="44"/>
      <c r="Q514" s="44"/>
      <c r="R514" s="44"/>
      <c r="S514" s="44"/>
      <c r="T514" s="44"/>
      <c r="U514" s="44"/>
      <c r="V514" s="44"/>
      <c r="W514" s="44"/>
      <c r="X514" s="44"/>
    </row>
    <row r="515" spans="1:24" s="41" customFormat="1">
      <c r="A515" s="42">
        <v>46288</v>
      </c>
      <c r="B515" s="43" t="s">
        <v>962</v>
      </c>
      <c r="C515" s="44"/>
      <c r="D515" s="44"/>
      <c r="E515" s="44"/>
      <c r="F515" s="44"/>
      <c r="G515" s="44"/>
      <c r="H515" s="44"/>
      <c r="I515" s="44"/>
      <c r="J515" s="44"/>
      <c r="K515" s="44"/>
      <c r="L515" s="44"/>
      <c r="M515" s="44">
        <f t="shared" ref="M515:M578" si="8">N515-SUM(C515:L515)</f>
        <v>0</v>
      </c>
      <c r="N515" s="45"/>
      <c r="O515" s="44"/>
      <c r="P515" s="44"/>
      <c r="Q515" s="44"/>
      <c r="R515" s="44"/>
      <c r="S515" s="44"/>
      <c r="T515" s="44"/>
      <c r="U515" s="44"/>
      <c r="V515" s="44"/>
      <c r="W515" s="44"/>
      <c r="X515" s="44"/>
    </row>
    <row r="516" spans="1:24" s="41" customFormat="1">
      <c r="A516" s="42">
        <v>46289</v>
      </c>
      <c r="B516" s="43" t="s">
        <v>962</v>
      </c>
      <c r="C516" s="44"/>
      <c r="D516" s="44"/>
      <c r="E516" s="44"/>
      <c r="F516" s="44"/>
      <c r="G516" s="44"/>
      <c r="H516" s="44"/>
      <c r="I516" s="44"/>
      <c r="J516" s="44"/>
      <c r="K516" s="44"/>
      <c r="L516" s="44"/>
      <c r="M516" s="44">
        <f t="shared" si="8"/>
        <v>0</v>
      </c>
      <c r="N516" s="45"/>
      <c r="O516" s="44"/>
      <c r="P516" s="44"/>
      <c r="Q516" s="44"/>
      <c r="R516" s="44"/>
      <c r="S516" s="44"/>
      <c r="T516" s="44"/>
      <c r="U516" s="44"/>
      <c r="V516" s="44"/>
      <c r="W516" s="44"/>
      <c r="X516" s="44"/>
    </row>
    <row r="517" spans="1:24" s="41" customFormat="1">
      <c r="A517" s="42">
        <v>46290</v>
      </c>
      <c r="B517" s="43" t="s">
        <v>962</v>
      </c>
      <c r="C517" s="44"/>
      <c r="D517" s="44"/>
      <c r="E517" s="44"/>
      <c r="F517" s="44"/>
      <c r="G517" s="44"/>
      <c r="H517" s="44"/>
      <c r="I517" s="44"/>
      <c r="J517" s="44"/>
      <c r="K517" s="44"/>
      <c r="L517" s="44"/>
      <c r="M517" s="44">
        <f t="shared" si="8"/>
        <v>0</v>
      </c>
      <c r="N517" s="45"/>
      <c r="O517" s="44"/>
      <c r="P517" s="44"/>
      <c r="Q517" s="44"/>
      <c r="R517" s="44"/>
      <c r="S517" s="44"/>
      <c r="T517" s="44"/>
      <c r="U517" s="44"/>
      <c r="V517" s="44"/>
      <c r="W517" s="44"/>
      <c r="X517" s="44"/>
    </row>
    <row r="518" spans="1:24" s="41" customFormat="1">
      <c r="A518" s="42">
        <v>46291</v>
      </c>
      <c r="B518" s="43" t="s">
        <v>962</v>
      </c>
      <c r="C518" s="44"/>
      <c r="D518" s="44"/>
      <c r="E518" s="44"/>
      <c r="F518" s="44"/>
      <c r="G518" s="44"/>
      <c r="H518" s="44"/>
      <c r="I518" s="44"/>
      <c r="J518" s="44"/>
      <c r="K518" s="44"/>
      <c r="L518" s="44"/>
      <c r="M518" s="44">
        <f t="shared" si="8"/>
        <v>0</v>
      </c>
      <c r="N518" s="45"/>
      <c r="O518" s="44"/>
      <c r="P518" s="44"/>
      <c r="Q518" s="44"/>
      <c r="R518" s="44"/>
      <c r="S518" s="44"/>
      <c r="T518" s="44"/>
      <c r="U518" s="44"/>
      <c r="V518" s="44"/>
      <c r="W518" s="44"/>
      <c r="X518" s="44"/>
    </row>
    <row r="519" spans="1:24" s="41" customFormat="1">
      <c r="A519" s="42">
        <v>46292</v>
      </c>
      <c r="B519" s="43" t="s">
        <v>962</v>
      </c>
      <c r="C519" s="44"/>
      <c r="D519" s="44"/>
      <c r="E519" s="44"/>
      <c r="F519" s="44"/>
      <c r="G519" s="44"/>
      <c r="H519" s="44"/>
      <c r="I519" s="44"/>
      <c r="J519" s="44"/>
      <c r="K519" s="44"/>
      <c r="L519" s="44"/>
      <c r="M519" s="44">
        <f t="shared" si="8"/>
        <v>0</v>
      </c>
      <c r="N519" s="45"/>
      <c r="O519" s="44"/>
      <c r="P519" s="44"/>
      <c r="Q519" s="44"/>
      <c r="R519" s="44"/>
      <c r="S519" s="44"/>
      <c r="T519" s="44"/>
      <c r="U519" s="44"/>
      <c r="V519" s="44"/>
      <c r="W519" s="44"/>
      <c r="X519" s="44"/>
    </row>
    <row r="520" spans="1:24" s="41" customFormat="1">
      <c r="A520" s="42">
        <v>46293</v>
      </c>
      <c r="B520" s="43" t="s">
        <v>962</v>
      </c>
      <c r="C520" s="44"/>
      <c r="D520" s="44"/>
      <c r="E520" s="44"/>
      <c r="F520" s="44"/>
      <c r="G520" s="44"/>
      <c r="H520" s="44"/>
      <c r="I520" s="44"/>
      <c r="J520" s="44"/>
      <c r="K520" s="44"/>
      <c r="L520" s="44"/>
      <c r="M520" s="44">
        <f t="shared" si="8"/>
        <v>0</v>
      </c>
      <c r="N520" s="45"/>
      <c r="O520" s="44"/>
      <c r="P520" s="44"/>
      <c r="Q520" s="44"/>
      <c r="R520" s="44"/>
      <c r="S520" s="44"/>
      <c r="T520" s="44"/>
      <c r="U520" s="44"/>
      <c r="V520" s="44"/>
      <c r="W520" s="44"/>
      <c r="X520" s="44"/>
    </row>
    <row r="521" spans="1:24" s="41" customFormat="1">
      <c r="A521" s="42">
        <v>46294</v>
      </c>
      <c r="B521" s="43" t="s">
        <v>962</v>
      </c>
      <c r="C521" s="44"/>
      <c r="D521" s="44"/>
      <c r="E521" s="44"/>
      <c r="F521" s="44"/>
      <c r="G521" s="44"/>
      <c r="H521" s="44"/>
      <c r="I521" s="44"/>
      <c r="J521" s="44"/>
      <c r="K521" s="44"/>
      <c r="L521" s="44"/>
      <c r="M521" s="44">
        <f t="shared" si="8"/>
        <v>0</v>
      </c>
      <c r="N521" s="45"/>
      <c r="O521" s="44"/>
      <c r="P521" s="44"/>
      <c r="Q521" s="44"/>
      <c r="R521" s="44"/>
      <c r="S521" s="44"/>
      <c r="T521" s="44"/>
      <c r="U521" s="44"/>
      <c r="V521" s="44"/>
      <c r="W521" s="44"/>
      <c r="X521" s="44"/>
    </row>
    <row r="522" spans="1:24" s="41" customFormat="1">
      <c r="A522" s="42">
        <v>46295</v>
      </c>
      <c r="B522" s="43" t="s">
        <v>962</v>
      </c>
      <c r="C522" s="44"/>
      <c r="D522" s="44"/>
      <c r="E522" s="44"/>
      <c r="F522" s="44"/>
      <c r="G522" s="44"/>
      <c r="H522" s="44"/>
      <c r="I522" s="44"/>
      <c r="J522" s="44"/>
      <c r="K522" s="44"/>
      <c r="L522" s="44"/>
      <c r="M522" s="44">
        <f t="shared" si="8"/>
        <v>0</v>
      </c>
      <c r="N522" s="45"/>
      <c r="O522" s="44"/>
      <c r="P522" s="44"/>
      <c r="Q522" s="44"/>
      <c r="R522" s="44"/>
      <c r="S522" s="44"/>
      <c r="T522" s="44"/>
      <c r="U522" s="44"/>
      <c r="V522" s="44"/>
      <c r="W522" s="44"/>
      <c r="X522" s="44"/>
    </row>
    <row r="523" spans="1:24" s="41" customFormat="1">
      <c r="A523" s="42">
        <v>46296</v>
      </c>
      <c r="B523" s="43" t="s">
        <v>962</v>
      </c>
      <c r="C523" s="44"/>
      <c r="D523" s="44"/>
      <c r="E523" s="44"/>
      <c r="F523" s="44"/>
      <c r="G523" s="44"/>
      <c r="H523" s="44"/>
      <c r="I523" s="44"/>
      <c r="J523" s="44"/>
      <c r="K523" s="44"/>
      <c r="L523" s="44"/>
      <c r="M523" s="44">
        <f t="shared" si="8"/>
        <v>0</v>
      </c>
      <c r="N523" s="45"/>
      <c r="O523" s="44"/>
      <c r="P523" s="44"/>
      <c r="Q523" s="44"/>
      <c r="R523" s="44"/>
      <c r="S523" s="44"/>
      <c r="T523" s="44"/>
      <c r="U523" s="44"/>
      <c r="V523" s="44"/>
      <c r="W523" s="44"/>
      <c r="X523" s="44"/>
    </row>
    <row r="524" spans="1:24" s="41" customFormat="1">
      <c r="A524" s="42">
        <v>46297</v>
      </c>
      <c r="B524" s="43" t="s">
        <v>962</v>
      </c>
      <c r="C524" s="44"/>
      <c r="D524" s="44"/>
      <c r="E524" s="44"/>
      <c r="F524" s="44"/>
      <c r="G524" s="44"/>
      <c r="H524" s="44"/>
      <c r="I524" s="44"/>
      <c r="J524" s="44"/>
      <c r="K524" s="44"/>
      <c r="L524" s="44"/>
      <c r="M524" s="44">
        <f t="shared" si="8"/>
        <v>0</v>
      </c>
      <c r="N524" s="45"/>
      <c r="O524" s="44"/>
      <c r="P524" s="44"/>
      <c r="Q524" s="44"/>
      <c r="R524" s="44"/>
      <c r="S524" s="44"/>
      <c r="T524" s="44"/>
      <c r="U524" s="44"/>
      <c r="V524" s="44"/>
      <c r="W524" s="44"/>
      <c r="X524" s="44"/>
    </row>
    <row r="525" spans="1:24" s="41" customFormat="1">
      <c r="A525" s="42">
        <v>46298</v>
      </c>
      <c r="B525" s="43" t="s">
        <v>962</v>
      </c>
      <c r="C525" s="44"/>
      <c r="D525" s="44"/>
      <c r="E525" s="44"/>
      <c r="F525" s="44"/>
      <c r="G525" s="44"/>
      <c r="H525" s="44"/>
      <c r="I525" s="44"/>
      <c r="J525" s="44"/>
      <c r="K525" s="44"/>
      <c r="L525" s="44"/>
      <c r="M525" s="44">
        <f t="shared" si="8"/>
        <v>0</v>
      </c>
      <c r="N525" s="45"/>
      <c r="O525" s="44"/>
      <c r="P525" s="44"/>
      <c r="Q525" s="44"/>
      <c r="R525" s="44"/>
      <c r="S525" s="44"/>
      <c r="T525" s="44"/>
      <c r="U525" s="44"/>
      <c r="V525" s="44"/>
      <c r="W525" s="44"/>
      <c r="X525" s="44"/>
    </row>
    <row r="526" spans="1:24" s="41" customFormat="1">
      <c r="A526" s="42">
        <v>46299</v>
      </c>
      <c r="B526" s="43" t="s">
        <v>962</v>
      </c>
      <c r="C526" s="44"/>
      <c r="D526" s="44"/>
      <c r="E526" s="44"/>
      <c r="F526" s="44"/>
      <c r="G526" s="44"/>
      <c r="H526" s="44"/>
      <c r="I526" s="44"/>
      <c r="J526" s="44"/>
      <c r="K526" s="44"/>
      <c r="L526" s="44"/>
      <c r="M526" s="44">
        <f t="shared" si="8"/>
        <v>0</v>
      </c>
      <c r="N526" s="45"/>
      <c r="O526" s="44"/>
      <c r="P526" s="44"/>
      <c r="Q526" s="44"/>
      <c r="R526" s="44"/>
      <c r="S526" s="44"/>
      <c r="T526" s="44"/>
      <c r="U526" s="44"/>
      <c r="V526" s="44"/>
      <c r="W526" s="44"/>
      <c r="X526" s="44"/>
    </row>
    <row r="527" spans="1:24" s="41" customFormat="1">
      <c r="A527" s="42">
        <v>46300</v>
      </c>
      <c r="B527" s="43" t="s">
        <v>962</v>
      </c>
      <c r="C527" s="44"/>
      <c r="D527" s="44"/>
      <c r="E527" s="44"/>
      <c r="F527" s="44"/>
      <c r="G527" s="44"/>
      <c r="H527" s="44"/>
      <c r="I527" s="44"/>
      <c r="J527" s="44"/>
      <c r="K527" s="44"/>
      <c r="L527" s="44"/>
      <c r="M527" s="44">
        <f t="shared" si="8"/>
        <v>0</v>
      </c>
      <c r="N527" s="45"/>
      <c r="O527" s="44"/>
      <c r="P527" s="44"/>
      <c r="Q527" s="44"/>
      <c r="R527" s="44"/>
      <c r="S527" s="44"/>
      <c r="T527" s="44"/>
      <c r="U527" s="44"/>
      <c r="V527" s="44"/>
      <c r="W527" s="44"/>
      <c r="X527" s="44"/>
    </row>
    <row r="528" spans="1:24" s="41" customFormat="1">
      <c r="A528" s="42">
        <v>46301</v>
      </c>
      <c r="B528" s="43" t="s">
        <v>962</v>
      </c>
      <c r="C528" s="44"/>
      <c r="D528" s="44"/>
      <c r="E528" s="44"/>
      <c r="F528" s="44"/>
      <c r="G528" s="44"/>
      <c r="H528" s="44"/>
      <c r="I528" s="44"/>
      <c r="J528" s="44"/>
      <c r="K528" s="44"/>
      <c r="L528" s="44"/>
      <c r="M528" s="44">
        <f t="shared" si="8"/>
        <v>0</v>
      </c>
      <c r="N528" s="45"/>
      <c r="O528" s="44"/>
      <c r="P528" s="44"/>
      <c r="Q528" s="44"/>
      <c r="R528" s="44"/>
      <c r="S528" s="44"/>
      <c r="T528" s="44"/>
      <c r="U528" s="44"/>
      <c r="V528" s="44"/>
      <c r="W528" s="44"/>
      <c r="X528" s="44"/>
    </row>
    <row r="529" spans="1:24" s="41" customFormat="1">
      <c r="A529" s="42">
        <v>46302</v>
      </c>
      <c r="B529" s="43" t="s">
        <v>962</v>
      </c>
      <c r="C529" s="44"/>
      <c r="D529" s="44"/>
      <c r="E529" s="44"/>
      <c r="F529" s="44"/>
      <c r="G529" s="44"/>
      <c r="H529" s="44"/>
      <c r="I529" s="44"/>
      <c r="J529" s="44"/>
      <c r="K529" s="44"/>
      <c r="L529" s="44"/>
      <c r="M529" s="44">
        <f t="shared" si="8"/>
        <v>0</v>
      </c>
      <c r="N529" s="45"/>
      <c r="O529" s="44"/>
      <c r="P529" s="44"/>
      <c r="Q529" s="44"/>
      <c r="R529" s="44"/>
      <c r="S529" s="44"/>
      <c r="T529" s="44"/>
      <c r="U529" s="44"/>
      <c r="V529" s="44"/>
      <c r="W529" s="44"/>
      <c r="X529" s="44"/>
    </row>
    <row r="530" spans="1:24" s="41" customFormat="1">
      <c r="A530" s="42">
        <v>46303</v>
      </c>
      <c r="B530" s="43" t="s">
        <v>962</v>
      </c>
      <c r="C530" s="44"/>
      <c r="D530" s="44"/>
      <c r="E530" s="44"/>
      <c r="F530" s="44"/>
      <c r="G530" s="44"/>
      <c r="H530" s="44"/>
      <c r="I530" s="44"/>
      <c r="J530" s="44"/>
      <c r="K530" s="44"/>
      <c r="L530" s="44"/>
      <c r="M530" s="44">
        <f t="shared" si="8"/>
        <v>0</v>
      </c>
      <c r="N530" s="45"/>
      <c r="O530" s="44"/>
      <c r="P530" s="44"/>
      <c r="Q530" s="44"/>
      <c r="R530" s="44"/>
      <c r="S530" s="44"/>
      <c r="T530" s="44"/>
      <c r="U530" s="44"/>
      <c r="V530" s="44"/>
      <c r="W530" s="44"/>
      <c r="X530" s="44"/>
    </row>
    <row r="531" spans="1:24" s="41" customFormat="1">
      <c r="A531" s="42">
        <v>46304</v>
      </c>
      <c r="B531" s="43" t="s">
        <v>962</v>
      </c>
      <c r="C531" s="44"/>
      <c r="D531" s="44"/>
      <c r="E531" s="44"/>
      <c r="F531" s="44"/>
      <c r="G531" s="44"/>
      <c r="H531" s="44"/>
      <c r="I531" s="44"/>
      <c r="J531" s="44"/>
      <c r="K531" s="44"/>
      <c r="L531" s="44"/>
      <c r="M531" s="44">
        <f t="shared" si="8"/>
        <v>0</v>
      </c>
      <c r="N531" s="45"/>
      <c r="O531" s="44"/>
      <c r="P531" s="44"/>
      <c r="Q531" s="44"/>
      <c r="R531" s="44"/>
      <c r="S531" s="44"/>
      <c r="T531" s="44"/>
      <c r="U531" s="44"/>
      <c r="V531" s="44"/>
      <c r="W531" s="44"/>
      <c r="X531" s="44"/>
    </row>
    <row r="532" spans="1:24" s="41" customFormat="1">
      <c r="A532" s="42">
        <v>46305</v>
      </c>
      <c r="B532" s="43" t="s">
        <v>962</v>
      </c>
      <c r="C532" s="44"/>
      <c r="D532" s="44"/>
      <c r="E532" s="44"/>
      <c r="F532" s="44"/>
      <c r="G532" s="44"/>
      <c r="H532" s="44"/>
      <c r="I532" s="44"/>
      <c r="J532" s="44"/>
      <c r="K532" s="44"/>
      <c r="L532" s="44"/>
      <c r="M532" s="44">
        <f t="shared" si="8"/>
        <v>0</v>
      </c>
      <c r="N532" s="45"/>
      <c r="O532" s="44"/>
      <c r="P532" s="44"/>
      <c r="Q532" s="44"/>
      <c r="R532" s="44"/>
      <c r="S532" s="44"/>
      <c r="T532" s="44"/>
      <c r="U532" s="44"/>
      <c r="V532" s="44"/>
      <c r="W532" s="44"/>
      <c r="X532" s="44"/>
    </row>
    <row r="533" spans="1:24" s="41" customFormat="1">
      <c r="A533" s="42">
        <v>46306</v>
      </c>
      <c r="B533" s="43" t="s">
        <v>962</v>
      </c>
      <c r="C533" s="44"/>
      <c r="D533" s="44"/>
      <c r="E533" s="44"/>
      <c r="F533" s="44"/>
      <c r="G533" s="44"/>
      <c r="H533" s="44"/>
      <c r="I533" s="44"/>
      <c r="J533" s="44"/>
      <c r="K533" s="44"/>
      <c r="L533" s="44"/>
      <c r="M533" s="44">
        <f t="shared" si="8"/>
        <v>0</v>
      </c>
      <c r="N533" s="45"/>
      <c r="O533" s="44"/>
      <c r="P533" s="44"/>
      <c r="Q533" s="44"/>
      <c r="R533" s="44"/>
      <c r="S533" s="44"/>
      <c r="T533" s="44"/>
      <c r="U533" s="44"/>
      <c r="V533" s="44"/>
      <c r="W533" s="44"/>
      <c r="X533" s="44"/>
    </row>
    <row r="534" spans="1:24" s="41" customFormat="1">
      <c r="A534" s="42">
        <v>46307</v>
      </c>
      <c r="B534" s="43" t="s">
        <v>962</v>
      </c>
      <c r="C534" s="44"/>
      <c r="D534" s="44"/>
      <c r="E534" s="44"/>
      <c r="F534" s="44"/>
      <c r="G534" s="44"/>
      <c r="H534" s="44"/>
      <c r="I534" s="44"/>
      <c r="J534" s="44"/>
      <c r="K534" s="44"/>
      <c r="L534" s="44"/>
      <c r="M534" s="44">
        <f t="shared" si="8"/>
        <v>0</v>
      </c>
      <c r="N534" s="45"/>
      <c r="O534" s="44"/>
      <c r="P534" s="44"/>
      <c r="Q534" s="44"/>
      <c r="R534" s="44"/>
      <c r="S534" s="44"/>
      <c r="T534" s="44"/>
      <c r="U534" s="44"/>
      <c r="V534" s="44"/>
      <c r="W534" s="44"/>
      <c r="X534" s="44"/>
    </row>
    <row r="535" spans="1:24" s="41" customFormat="1">
      <c r="A535" s="42">
        <v>46308</v>
      </c>
      <c r="B535" s="43" t="s">
        <v>962</v>
      </c>
      <c r="C535" s="44"/>
      <c r="D535" s="44"/>
      <c r="E535" s="44"/>
      <c r="F535" s="44"/>
      <c r="G535" s="44"/>
      <c r="H535" s="44"/>
      <c r="I535" s="44"/>
      <c r="J535" s="44"/>
      <c r="K535" s="44"/>
      <c r="L535" s="44"/>
      <c r="M535" s="44">
        <f t="shared" si="8"/>
        <v>0</v>
      </c>
      <c r="N535" s="45"/>
      <c r="O535" s="44"/>
      <c r="P535" s="44"/>
      <c r="Q535" s="44"/>
      <c r="R535" s="44"/>
      <c r="S535" s="44"/>
      <c r="T535" s="44"/>
      <c r="U535" s="44"/>
      <c r="V535" s="44"/>
      <c r="W535" s="44"/>
      <c r="X535" s="44"/>
    </row>
    <row r="536" spans="1:24" s="41" customFormat="1">
      <c r="A536" s="42">
        <v>46309</v>
      </c>
      <c r="B536" s="43" t="s">
        <v>962</v>
      </c>
      <c r="C536" s="44"/>
      <c r="D536" s="44"/>
      <c r="E536" s="44"/>
      <c r="F536" s="44"/>
      <c r="G536" s="44"/>
      <c r="H536" s="44"/>
      <c r="I536" s="44"/>
      <c r="J536" s="44"/>
      <c r="K536" s="44"/>
      <c r="L536" s="44"/>
      <c r="M536" s="44">
        <f t="shared" si="8"/>
        <v>0</v>
      </c>
      <c r="N536" s="45"/>
      <c r="O536" s="44"/>
      <c r="P536" s="44"/>
      <c r="Q536" s="44"/>
      <c r="R536" s="44"/>
      <c r="S536" s="44"/>
      <c r="T536" s="44"/>
      <c r="U536" s="44"/>
      <c r="V536" s="44"/>
      <c r="W536" s="44"/>
      <c r="X536" s="44"/>
    </row>
    <row r="537" spans="1:24" s="41" customFormat="1">
      <c r="A537" s="42">
        <v>46310</v>
      </c>
      <c r="B537" s="43" t="s">
        <v>962</v>
      </c>
      <c r="C537" s="44"/>
      <c r="D537" s="44"/>
      <c r="E537" s="44"/>
      <c r="F537" s="44"/>
      <c r="G537" s="44"/>
      <c r="H537" s="44"/>
      <c r="I537" s="44"/>
      <c r="J537" s="44"/>
      <c r="K537" s="44"/>
      <c r="L537" s="44"/>
      <c r="M537" s="44">
        <f t="shared" si="8"/>
        <v>0</v>
      </c>
      <c r="N537" s="45"/>
      <c r="O537" s="44"/>
      <c r="P537" s="44"/>
      <c r="Q537" s="44"/>
      <c r="R537" s="44"/>
      <c r="S537" s="44"/>
      <c r="T537" s="44"/>
      <c r="U537" s="44"/>
      <c r="V537" s="44"/>
      <c r="W537" s="44"/>
      <c r="X537" s="44"/>
    </row>
    <row r="538" spans="1:24" s="41" customFormat="1">
      <c r="A538" s="42">
        <v>46311</v>
      </c>
      <c r="B538" s="43" t="s">
        <v>962</v>
      </c>
      <c r="C538" s="44"/>
      <c r="D538" s="44"/>
      <c r="E538" s="44"/>
      <c r="F538" s="44"/>
      <c r="G538" s="44"/>
      <c r="H538" s="44"/>
      <c r="I538" s="44"/>
      <c r="J538" s="44"/>
      <c r="K538" s="44"/>
      <c r="L538" s="44"/>
      <c r="M538" s="44">
        <f t="shared" si="8"/>
        <v>0</v>
      </c>
      <c r="N538" s="45"/>
      <c r="O538" s="44"/>
      <c r="P538" s="44"/>
      <c r="Q538" s="44"/>
      <c r="R538" s="44"/>
      <c r="S538" s="44"/>
      <c r="T538" s="44"/>
      <c r="U538" s="44"/>
      <c r="V538" s="44"/>
      <c r="W538" s="44"/>
      <c r="X538" s="44"/>
    </row>
    <row r="539" spans="1:24" s="41" customFormat="1">
      <c r="A539" s="42">
        <v>46312</v>
      </c>
      <c r="B539" s="43" t="s">
        <v>962</v>
      </c>
      <c r="C539" s="44"/>
      <c r="D539" s="44"/>
      <c r="E539" s="44"/>
      <c r="F539" s="44"/>
      <c r="G539" s="44"/>
      <c r="H539" s="44"/>
      <c r="I539" s="44"/>
      <c r="J539" s="44"/>
      <c r="K539" s="44"/>
      <c r="L539" s="44"/>
      <c r="M539" s="44">
        <f t="shared" si="8"/>
        <v>0</v>
      </c>
      <c r="N539" s="45"/>
      <c r="O539" s="44"/>
      <c r="P539" s="44"/>
      <c r="Q539" s="44"/>
      <c r="R539" s="44"/>
      <c r="S539" s="44"/>
      <c r="T539" s="44"/>
      <c r="U539" s="44"/>
      <c r="V539" s="44"/>
      <c r="W539" s="44"/>
      <c r="X539" s="44"/>
    </row>
    <row r="540" spans="1:24" s="41" customFormat="1">
      <c r="A540" s="42">
        <v>46313</v>
      </c>
      <c r="B540" s="43" t="s">
        <v>962</v>
      </c>
      <c r="C540" s="44"/>
      <c r="D540" s="44"/>
      <c r="E540" s="44"/>
      <c r="F540" s="44"/>
      <c r="G540" s="44"/>
      <c r="H540" s="44"/>
      <c r="I540" s="44"/>
      <c r="J540" s="44"/>
      <c r="K540" s="44"/>
      <c r="L540" s="44"/>
      <c r="M540" s="44">
        <f t="shared" si="8"/>
        <v>0</v>
      </c>
      <c r="N540" s="45"/>
      <c r="O540" s="44"/>
      <c r="P540" s="44"/>
      <c r="Q540" s="44"/>
      <c r="R540" s="44"/>
      <c r="S540" s="44"/>
      <c r="T540" s="44"/>
      <c r="U540" s="44"/>
      <c r="V540" s="44"/>
      <c r="W540" s="44"/>
      <c r="X540" s="44"/>
    </row>
    <row r="541" spans="1:24" s="41" customFormat="1">
      <c r="A541" s="42">
        <v>46314</v>
      </c>
      <c r="B541" s="43" t="s">
        <v>962</v>
      </c>
      <c r="C541" s="44"/>
      <c r="D541" s="44"/>
      <c r="E541" s="44"/>
      <c r="F541" s="44"/>
      <c r="G541" s="44"/>
      <c r="H541" s="44"/>
      <c r="I541" s="44"/>
      <c r="J541" s="44"/>
      <c r="K541" s="44"/>
      <c r="L541" s="44"/>
      <c r="M541" s="44">
        <f t="shared" si="8"/>
        <v>0</v>
      </c>
      <c r="N541" s="45"/>
      <c r="O541" s="44"/>
      <c r="P541" s="44"/>
      <c r="Q541" s="44"/>
      <c r="R541" s="44"/>
      <c r="S541" s="44"/>
      <c r="T541" s="44"/>
      <c r="U541" s="44"/>
      <c r="V541" s="44"/>
      <c r="W541" s="44"/>
      <c r="X541" s="44"/>
    </row>
    <row r="542" spans="1:24" s="41" customFormat="1">
      <c r="A542" s="42">
        <v>46315</v>
      </c>
      <c r="B542" s="43" t="s">
        <v>962</v>
      </c>
      <c r="C542" s="44"/>
      <c r="D542" s="44"/>
      <c r="E542" s="44"/>
      <c r="F542" s="44"/>
      <c r="G542" s="44"/>
      <c r="H542" s="44"/>
      <c r="I542" s="44"/>
      <c r="J542" s="44"/>
      <c r="K542" s="44"/>
      <c r="L542" s="44"/>
      <c r="M542" s="44">
        <f t="shared" si="8"/>
        <v>0</v>
      </c>
      <c r="N542" s="45"/>
      <c r="O542" s="44"/>
      <c r="P542" s="44"/>
      <c r="Q542" s="44"/>
      <c r="R542" s="44"/>
      <c r="S542" s="44"/>
      <c r="T542" s="44"/>
      <c r="U542" s="44"/>
      <c r="V542" s="44"/>
      <c r="W542" s="44"/>
      <c r="X542" s="44"/>
    </row>
    <row r="543" spans="1:24" s="41" customFormat="1">
      <c r="A543" s="42">
        <v>46316</v>
      </c>
      <c r="B543" s="43" t="s">
        <v>962</v>
      </c>
      <c r="C543" s="44"/>
      <c r="D543" s="44"/>
      <c r="E543" s="44"/>
      <c r="F543" s="44"/>
      <c r="G543" s="44"/>
      <c r="H543" s="44"/>
      <c r="I543" s="44"/>
      <c r="J543" s="44"/>
      <c r="K543" s="44"/>
      <c r="L543" s="44"/>
      <c r="M543" s="44">
        <f t="shared" si="8"/>
        <v>0</v>
      </c>
      <c r="N543" s="45"/>
      <c r="O543" s="44"/>
      <c r="P543" s="44"/>
      <c r="Q543" s="44"/>
      <c r="R543" s="44"/>
      <c r="S543" s="44"/>
      <c r="T543" s="44"/>
      <c r="U543" s="44"/>
      <c r="V543" s="44"/>
      <c r="W543" s="44"/>
      <c r="X543" s="44"/>
    </row>
    <row r="544" spans="1:24" s="41" customFormat="1">
      <c r="A544" s="42">
        <v>46317</v>
      </c>
      <c r="B544" s="43" t="s">
        <v>962</v>
      </c>
      <c r="C544" s="44"/>
      <c r="D544" s="44"/>
      <c r="E544" s="44"/>
      <c r="F544" s="44"/>
      <c r="G544" s="44"/>
      <c r="H544" s="44"/>
      <c r="I544" s="44"/>
      <c r="J544" s="44"/>
      <c r="K544" s="44"/>
      <c r="L544" s="44"/>
      <c r="M544" s="44">
        <f t="shared" si="8"/>
        <v>0</v>
      </c>
      <c r="N544" s="45"/>
      <c r="O544" s="44"/>
      <c r="P544" s="44"/>
      <c r="Q544" s="44"/>
      <c r="R544" s="44"/>
      <c r="S544" s="44"/>
      <c r="T544" s="44"/>
      <c r="U544" s="44"/>
      <c r="V544" s="44"/>
      <c r="W544" s="44"/>
      <c r="X544" s="44"/>
    </row>
    <row r="545" spans="1:24" s="41" customFormat="1">
      <c r="A545" s="42">
        <v>46318</v>
      </c>
      <c r="B545" s="43" t="s">
        <v>962</v>
      </c>
      <c r="C545" s="44"/>
      <c r="D545" s="44"/>
      <c r="E545" s="44"/>
      <c r="F545" s="44"/>
      <c r="G545" s="44"/>
      <c r="H545" s="44"/>
      <c r="I545" s="44"/>
      <c r="J545" s="44"/>
      <c r="K545" s="44"/>
      <c r="L545" s="44"/>
      <c r="M545" s="44">
        <f t="shared" si="8"/>
        <v>0</v>
      </c>
      <c r="N545" s="45"/>
      <c r="O545" s="44"/>
      <c r="P545" s="44"/>
      <c r="Q545" s="44"/>
      <c r="R545" s="44"/>
      <c r="S545" s="44"/>
      <c r="T545" s="44"/>
      <c r="U545" s="44"/>
      <c r="V545" s="44"/>
      <c r="W545" s="44"/>
      <c r="X545" s="44"/>
    </row>
    <row r="546" spans="1:24" s="41" customFormat="1">
      <c r="A546" s="42">
        <v>46319</v>
      </c>
      <c r="B546" s="43" t="s">
        <v>962</v>
      </c>
      <c r="C546" s="44"/>
      <c r="D546" s="44"/>
      <c r="E546" s="44"/>
      <c r="F546" s="44"/>
      <c r="G546" s="44"/>
      <c r="H546" s="44"/>
      <c r="I546" s="44"/>
      <c r="J546" s="44"/>
      <c r="K546" s="44"/>
      <c r="L546" s="44"/>
      <c r="M546" s="44">
        <f t="shared" si="8"/>
        <v>0</v>
      </c>
      <c r="N546" s="45"/>
      <c r="O546" s="44"/>
      <c r="P546" s="44"/>
      <c r="Q546" s="44"/>
      <c r="R546" s="44"/>
      <c r="S546" s="44"/>
      <c r="T546" s="44"/>
      <c r="U546" s="44"/>
      <c r="V546" s="44"/>
      <c r="W546" s="44"/>
      <c r="X546" s="44"/>
    </row>
    <row r="547" spans="1:24" s="41" customFormat="1">
      <c r="A547" s="42">
        <v>46320</v>
      </c>
      <c r="B547" s="43" t="s">
        <v>962</v>
      </c>
      <c r="C547" s="44"/>
      <c r="D547" s="44"/>
      <c r="E547" s="44"/>
      <c r="F547" s="44"/>
      <c r="G547" s="44"/>
      <c r="H547" s="44"/>
      <c r="I547" s="44"/>
      <c r="J547" s="44"/>
      <c r="K547" s="44"/>
      <c r="L547" s="44"/>
      <c r="M547" s="44">
        <f t="shared" si="8"/>
        <v>0</v>
      </c>
      <c r="N547" s="45"/>
      <c r="O547" s="44"/>
      <c r="P547" s="44"/>
      <c r="Q547" s="44"/>
      <c r="R547" s="44"/>
      <c r="S547" s="44"/>
      <c r="T547" s="44"/>
      <c r="U547" s="44"/>
      <c r="V547" s="44"/>
      <c r="W547" s="44"/>
      <c r="X547" s="44"/>
    </row>
    <row r="548" spans="1:24" s="41" customFormat="1">
      <c r="A548" s="42">
        <v>46321</v>
      </c>
      <c r="B548" s="43" t="s">
        <v>962</v>
      </c>
      <c r="C548" s="44"/>
      <c r="D548" s="44"/>
      <c r="E548" s="44"/>
      <c r="F548" s="44"/>
      <c r="G548" s="44"/>
      <c r="H548" s="44"/>
      <c r="I548" s="44"/>
      <c r="J548" s="44"/>
      <c r="K548" s="44"/>
      <c r="L548" s="44"/>
      <c r="M548" s="44">
        <f t="shared" si="8"/>
        <v>0</v>
      </c>
      <c r="N548" s="45"/>
      <c r="O548" s="44"/>
      <c r="P548" s="44"/>
      <c r="Q548" s="44"/>
      <c r="R548" s="44"/>
      <c r="S548" s="44"/>
      <c r="T548" s="44"/>
      <c r="U548" s="44"/>
      <c r="V548" s="44"/>
      <c r="W548" s="44"/>
      <c r="X548" s="44"/>
    </row>
    <row r="549" spans="1:24" s="41" customFormat="1">
      <c r="A549" s="42">
        <v>46322</v>
      </c>
      <c r="B549" s="43" t="s">
        <v>962</v>
      </c>
      <c r="C549" s="44"/>
      <c r="D549" s="44"/>
      <c r="E549" s="44"/>
      <c r="F549" s="44"/>
      <c r="G549" s="44"/>
      <c r="H549" s="44"/>
      <c r="I549" s="44"/>
      <c r="J549" s="44"/>
      <c r="K549" s="44"/>
      <c r="L549" s="44"/>
      <c r="M549" s="44">
        <f t="shared" si="8"/>
        <v>0</v>
      </c>
      <c r="N549" s="45"/>
      <c r="O549" s="44"/>
      <c r="P549" s="44"/>
      <c r="Q549" s="44"/>
      <c r="R549" s="44"/>
      <c r="S549" s="44"/>
      <c r="T549" s="44"/>
      <c r="U549" s="44"/>
      <c r="V549" s="44"/>
      <c r="W549" s="44"/>
      <c r="X549" s="44"/>
    </row>
    <row r="550" spans="1:24" s="41" customFormat="1">
      <c r="A550" s="42">
        <v>46323</v>
      </c>
      <c r="B550" s="43" t="s">
        <v>962</v>
      </c>
      <c r="C550" s="44"/>
      <c r="D550" s="44"/>
      <c r="E550" s="44"/>
      <c r="F550" s="44"/>
      <c r="G550" s="44"/>
      <c r="H550" s="44"/>
      <c r="I550" s="44"/>
      <c r="J550" s="44"/>
      <c r="K550" s="44"/>
      <c r="L550" s="44"/>
      <c r="M550" s="44">
        <f t="shared" si="8"/>
        <v>0</v>
      </c>
      <c r="N550" s="45"/>
      <c r="O550" s="44"/>
      <c r="P550" s="44"/>
      <c r="Q550" s="44"/>
      <c r="R550" s="44"/>
      <c r="S550" s="44"/>
      <c r="T550" s="44"/>
      <c r="U550" s="44"/>
      <c r="V550" s="44"/>
      <c r="W550" s="44"/>
      <c r="X550" s="44"/>
    </row>
    <row r="551" spans="1:24" s="41" customFormat="1">
      <c r="A551" s="42">
        <v>46324</v>
      </c>
      <c r="B551" s="43" t="s">
        <v>962</v>
      </c>
      <c r="C551" s="44"/>
      <c r="D551" s="44"/>
      <c r="E551" s="44"/>
      <c r="F551" s="44"/>
      <c r="G551" s="44"/>
      <c r="H551" s="44"/>
      <c r="I551" s="44"/>
      <c r="J551" s="44"/>
      <c r="K551" s="44"/>
      <c r="L551" s="44"/>
      <c r="M551" s="44">
        <f t="shared" si="8"/>
        <v>0</v>
      </c>
      <c r="N551" s="45"/>
      <c r="O551" s="44"/>
      <c r="P551" s="44"/>
      <c r="Q551" s="44"/>
      <c r="R551" s="44"/>
      <c r="S551" s="44"/>
      <c r="T551" s="44"/>
      <c r="U551" s="44"/>
      <c r="V551" s="44"/>
      <c r="W551" s="44"/>
      <c r="X551" s="44"/>
    </row>
    <row r="552" spans="1:24" s="41" customFormat="1">
      <c r="A552" s="42">
        <v>46325</v>
      </c>
      <c r="B552" s="43" t="s">
        <v>962</v>
      </c>
      <c r="C552" s="44"/>
      <c r="D552" s="44"/>
      <c r="E552" s="44"/>
      <c r="F552" s="44"/>
      <c r="G552" s="44"/>
      <c r="H552" s="44"/>
      <c r="I552" s="44"/>
      <c r="J552" s="44"/>
      <c r="K552" s="44"/>
      <c r="L552" s="44"/>
      <c r="M552" s="44">
        <f t="shared" si="8"/>
        <v>0</v>
      </c>
      <c r="N552" s="45"/>
      <c r="O552" s="44"/>
      <c r="P552" s="44"/>
      <c r="Q552" s="44"/>
      <c r="R552" s="44"/>
      <c r="S552" s="44"/>
      <c r="T552" s="44"/>
      <c r="U552" s="44"/>
      <c r="V552" s="44"/>
      <c r="W552" s="44"/>
      <c r="X552" s="44"/>
    </row>
    <row r="553" spans="1:24" s="41" customFormat="1">
      <c r="A553" s="42">
        <v>46326</v>
      </c>
      <c r="B553" s="43" t="s">
        <v>962</v>
      </c>
      <c r="C553" s="44"/>
      <c r="D553" s="44"/>
      <c r="E553" s="44"/>
      <c r="F553" s="44"/>
      <c r="G553" s="44"/>
      <c r="H553" s="44"/>
      <c r="I553" s="44"/>
      <c r="J553" s="44"/>
      <c r="K553" s="44"/>
      <c r="L553" s="44"/>
      <c r="M553" s="44">
        <f t="shared" si="8"/>
        <v>0</v>
      </c>
      <c r="N553" s="45"/>
      <c r="O553" s="44"/>
      <c r="P553" s="44"/>
      <c r="Q553" s="44"/>
      <c r="R553" s="44"/>
      <c r="S553" s="44"/>
      <c r="T553" s="44"/>
      <c r="U553" s="44"/>
      <c r="V553" s="44"/>
      <c r="W553" s="44"/>
      <c r="X553" s="44"/>
    </row>
    <row r="554" spans="1:24" s="41" customFormat="1">
      <c r="A554" s="42">
        <v>46327</v>
      </c>
      <c r="B554" s="43" t="s">
        <v>962</v>
      </c>
      <c r="C554" s="44"/>
      <c r="D554" s="44"/>
      <c r="E554" s="44"/>
      <c r="F554" s="44"/>
      <c r="G554" s="44"/>
      <c r="H554" s="44"/>
      <c r="I554" s="44"/>
      <c r="J554" s="44"/>
      <c r="K554" s="44"/>
      <c r="L554" s="44"/>
      <c r="M554" s="44">
        <f t="shared" si="8"/>
        <v>0</v>
      </c>
      <c r="N554" s="45"/>
      <c r="O554" s="44"/>
      <c r="P554" s="44"/>
      <c r="Q554" s="44"/>
      <c r="R554" s="44"/>
      <c r="S554" s="44"/>
      <c r="T554" s="44"/>
      <c r="U554" s="44"/>
      <c r="V554" s="44"/>
      <c r="W554" s="44"/>
      <c r="X554" s="44"/>
    </row>
    <row r="555" spans="1:24" s="41" customFormat="1">
      <c r="A555" s="42">
        <v>46328</v>
      </c>
      <c r="B555" s="43" t="s">
        <v>962</v>
      </c>
      <c r="C555" s="44"/>
      <c r="D555" s="44"/>
      <c r="E555" s="44"/>
      <c r="F555" s="44"/>
      <c r="G555" s="44"/>
      <c r="H555" s="44"/>
      <c r="I555" s="44"/>
      <c r="J555" s="44"/>
      <c r="K555" s="44"/>
      <c r="L555" s="44"/>
      <c r="M555" s="44">
        <f t="shared" si="8"/>
        <v>0</v>
      </c>
      <c r="N555" s="45"/>
      <c r="O555" s="44"/>
      <c r="P555" s="44"/>
      <c r="Q555" s="44"/>
      <c r="R555" s="44"/>
      <c r="S555" s="44"/>
      <c r="T555" s="44"/>
      <c r="U555" s="44"/>
      <c r="V555" s="44"/>
      <c r="W555" s="44"/>
      <c r="X555" s="44"/>
    </row>
    <row r="556" spans="1:24" s="41" customFormat="1">
      <c r="A556" s="42">
        <v>46329</v>
      </c>
      <c r="B556" s="43" t="s">
        <v>962</v>
      </c>
      <c r="C556" s="44"/>
      <c r="D556" s="44"/>
      <c r="E556" s="44"/>
      <c r="F556" s="44"/>
      <c r="G556" s="44"/>
      <c r="H556" s="44"/>
      <c r="I556" s="44"/>
      <c r="J556" s="44"/>
      <c r="K556" s="44"/>
      <c r="L556" s="44"/>
      <c r="M556" s="44">
        <f t="shared" si="8"/>
        <v>0</v>
      </c>
      <c r="N556" s="45"/>
      <c r="O556" s="44"/>
      <c r="P556" s="44"/>
      <c r="Q556" s="44"/>
      <c r="R556" s="44"/>
      <c r="S556" s="44"/>
      <c r="T556" s="44"/>
      <c r="U556" s="44"/>
      <c r="V556" s="44"/>
      <c r="W556" s="44"/>
      <c r="X556" s="44"/>
    </row>
    <row r="557" spans="1:24" s="41" customFormat="1">
      <c r="A557" s="42">
        <v>46330</v>
      </c>
      <c r="B557" s="43" t="s">
        <v>962</v>
      </c>
      <c r="C557" s="44"/>
      <c r="D557" s="44"/>
      <c r="E557" s="44"/>
      <c r="F557" s="44"/>
      <c r="G557" s="44"/>
      <c r="H557" s="44"/>
      <c r="I557" s="44"/>
      <c r="J557" s="44"/>
      <c r="K557" s="44"/>
      <c r="L557" s="44"/>
      <c r="M557" s="44">
        <f t="shared" si="8"/>
        <v>0</v>
      </c>
      <c r="N557" s="45"/>
      <c r="O557" s="44"/>
      <c r="P557" s="44"/>
      <c r="Q557" s="44"/>
      <c r="R557" s="44"/>
      <c r="S557" s="44"/>
      <c r="T557" s="44"/>
      <c r="U557" s="44"/>
      <c r="V557" s="44"/>
      <c r="W557" s="44"/>
      <c r="X557" s="44"/>
    </row>
    <row r="558" spans="1:24" s="41" customFormat="1">
      <c r="A558" s="42">
        <v>46331</v>
      </c>
      <c r="B558" s="43" t="s">
        <v>962</v>
      </c>
      <c r="C558" s="44"/>
      <c r="D558" s="44"/>
      <c r="E558" s="44"/>
      <c r="F558" s="44"/>
      <c r="G558" s="44"/>
      <c r="H558" s="44"/>
      <c r="I558" s="44"/>
      <c r="J558" s="44"/>
      <c r="K558" s="44"/>
      <c r="L558" s="44"/>
      <c r="M558" s="44">
        <f t="shared" si="8"/>
        <v>0</v>
      </c>
      <c r="N558" s="45"/>
      <c r="O558" s="44"/>
      <c r="P558" s="44"/>
      <c r="Q558" s="44"/>
      <c r="R558" s="44"/>
      <c r="S558" s="44"/>
      <c r="T558" s="44"/>
      <c r="U558" s="44"/>
      <c r="V558" s="44"/>
      <c r="W558" s="44"/>
      <c r="X558" s="44"/>
    </row>
    <row r="559" spans="1:24" s="41" customFormat="1">
      <c r="A559" s="42">
        <v>46332</v>
      </c>
      <c r="B559" s="43" t="s">
        <v>962</v>
      </c>
      <c r="C559" s="44"/>
      <c r="D559" s="44"/>
      <c r="E559" s="44"/>
      <c r="F559" s="44"/>
      <c r="G559" s="44"/>
      <c r="H559" s="44"/>
      <c r="I559" s="44"/>
      <c r="J559" s="44"/>
      <c r="K559" s="44"/>
      <c r="L559" s="44"/>
      <c r="M559" s="44">
        <f t="shared" si="8"/>
        <v>0</v>
      </c>
      <c r="N559" s="45"/>
      <c r="O559" s="44"/>
      <c r="P559" s="44"/>
      <c r="Q559" s="44"/>
      <c r="R559" s="44"/>
      <c r="S559" s="44"/>
      <c r="T559" s="44"/>
      <c r="U559" s="44"/>
      <c r="V559" s="44"/>
      <c r="W559" s="44"/>
      <c r="X559" s="44"/>
    </row>
    <row r="560" spans="1:24" s="41" customFormat="1">
      <c r="A560" s="42">
        <v>46333</v>
      </c>
      <c r="B560" s="43" t="s">
        <v>962</v>
      </c>
      <c r="C560" s="44"/>
      <c r="D560" s="44"/>
      <c r="E560" s="44"/>
      <c r="F560" s="44"/>
      <c r="G560" s="44"/>
      <c r="H560" s="44"/>
      <c r="I560" s="44"/>
      <c r="J560" s="44"/>
      <c r="K560" s="44"/>
      <c r="L560" s="44"/>
      <c r="M560" s="44">
        <f t="shared" si="8"/>
        <v>0</v>
      </c>
      <c r="N560" s="45"/>
      <c r="O560" s="44"/>
      <c r="P560" s="44"/>
      <c r="Q560" s="44"/>
      <c r="R560" s="44"/>
      <c r="S560" s="44"/>
      <c r="T560" s="44"/>
      <c r="U560" s="44"/>
      <c r="V560" s="44"/>
      <c r="W560" s="44"/>
      <c r="X560" s="44"/>
    </row>
    <row r="561" spans="1:24" s="41" customFormat="1">
      <c r="A561" s="42">
        <v>46334</v>
      </c>
      <c r="B561" s="43" t="s">
        <v>962</v>
      </c>
      <c r="C561" s="44"/>
      <c r="D561" s="44"/>
      <c r="E561" s="44"/>
      <c r="F561" s="44"/>
      <c r="G561" s="44"/>
      <c r="H561" s="44"/>
      <c r="I561" s="44"/>
      <c r="J561" s="44"/>
      <c r="K561" s="44"/>
      <c r="L561" s="44"/>
      <c r="M561" s="44">
        <f t="shared" si="8"/>
        <v>0</v>
      </c>
      <c r="N561" s="45"/>
      <c r="O561" s="44"/>
      <c r="P561" s="44"/>
      <c r="Q561" s="44"/>
      <c r="R561" s="44"/>
      <c r="S561" s="44"/>
      <c r="T561" s="44"/>
      <c r="U561" s="44"/>
      <c r="V561" s="44"/>
      <c r="W561" s="44"/>
      <c r="X561" s="44"/>
    </row>
    <row r="562" spans="1:24" s="41" customFormat="1">
      <c r="A562" s="42">
        <v>46335</v>
      </c>
      <c r="B562" s="43" t="s">
        <v>962</v>
      </c>
      <c r="C562" s="44"/>
      <c r="D562" s="44"/>
      <c r="E562" s="44"/>
      <c r="F562" s="44"/>
      <c r="G562" s="44"/>
      <c r="H562" s="44"/>
      <c r="I562" s="44"/>
      <c r="J562" s="44"/>
      <c r="K562" s="44"/>
      <c r="L562" s="44"/>
      <c r="M562" s="44">
        <f t="shared" si="8"/>
        <v>0</v>
      </c>
      <c r="N562" s="45"/>
      <c r="O562" s="44"/>
      <c r="P562" s="44"/>
      <c r="Q562" s="44"/>
      <c r="R562" s="44"/>
      <c r="S562" s="44"/>
      <c r="T562" s="44"/>
      <c r="U562" s="44"/>
      <c r="V562" s="44"/>
      <c r="W562" s="44"/>
      <c r="X562" s="44"/>
    </row>
    <row r="563" spans="1:24" s="41" customFormat="1">
      <c r="A563" s="42">
        <v>46336</v>
      </c>
      <c r="B563" s="43" t="s">
        <v>962</v>
      </c>
      <c r="C563" s="44"/>
      <c r="D563" s="44"/>
      <c r="E563" s="44"/>
      <c r="F563" s="44"/>
      <c r="G563" s="44"/>
      <c r="H563" s="44"/>
      <c r="I563" s="44"/>
      <c r="J563" s="44"/>
      <c r="K563" s="44"/>
      <c r="L563" s="44"/>
      <c r="M563" s="44">
        <f t="shared" si="8"/>
        <v>0</v>
      </c>
      <c r="N563" s="45"/>
      <c r="O563" s="44"/>
      <c r="P563" s="44"/>
      <c r="Q563" s="44"/>
      <c r="R563" s="44"/>
      <c r="S563" s="44"/>
      <c r="T563" s="44"/>
      <c r="U563" s="44"/>
      <c r="V563" s="44"/>
      <c r="W563" s="44"/>
      <c r="X563" s="44"/>
    </row>
    <row r="564" spans="1:24" s="41" customFormat="1">
      <c r="A564" s="42">
        <v>46337</v>
      </c>
      <c r="B564" s="43" t="s">
        <v>962</v>
      </c>
      <c r="C564" s="44"/>
      <c r="D564" s="44"/>
      <c r="E564" s="44"/>
      <c r="F564" s="44"/>
      <c r="G564" s="44"/>
      <c r="H564" s="44"/>
      <c r="I564" s="44"/>
      <c r="J564" s="44"/>
      <c r="K564" s="44"/>
      <c r="L564" s="44"/>
      <c r="M564" s="44">
        <f t="shared" si="8"/>
        <v>0</v>
      </c>
      <c r="N564" s="45"/>
      <c r="O564" s="44"/>
      <c r="P564" s="44"/>
      <c r="Q564" s="44"/>
      <c r="R564" s="44"/>
      <c r="S564" s="44"/>
      <c r="T564" s="44"/>
      <c r="U564" s="44"/>
      <c r="V564" s="44"/>
      <c r="W564" s="44"/>
      <c r="X564" s="44"/>
    </row>
    <row r="565" spans="1:24" s="41" customFormat="1">
      <c r="A565" s="42">
        <v>46338</v>
      </c>
      <c r="B565" s="43" t="s">
        <v>962</v>
      </c>
      <c r="C565" s="44"/>
      <c r="D565" s="44"/>
      <c r="E565" s="44"/>
      <c r="F565" s="44"/>
      <c r="G565" s="44"/>
      <c r="H565" s="44"/>
      <c r="I565" s="44"/>
      <c r="J565" s="44"/>
      <c r="K565" s="44"/>
      <c r="L565" s="44"/>
      <c r="M565" s="44">
        <f t="shared" si="8"/>
        <v>0</v>
      </c>
      <c r="N565" s="45"/>
      <c r="O565" s="44"/>
      <c r="P565" s="44"/>
      <c r="Q565" s="44"/>
      <c r="R565" s="44"/>
      <c r="S565" s="44"/>
      <c r="T565" s="44"/>
      <c r="U565" s="44"/>
      <c r="V565" s="44"/>
      <c r="W565" s="44"/>
      <c r="X565" s="44"/>
    </row>
    <row r="566" spans="1:24" s="41" customFormat="1">
      <c r="A566" s="42">
        <v>46339</v>
      </c>
      <c r="B566" s="43" t="s">
        <v>962</v>
      </c>
      <c r="C566" s="44"/>
      <c r="D566" s="44"/>
      <c r="E566" s="44"/>
      <c r="F566" s="44"/>
      <c r="G566" s="44"/>
      <c r="H566" s="44"/>
      <c r="I566" s="44"/>
      <c r="J566" s="44"/>
      <c r="K566" s="44"/>
      <c r="L566" s="44"/>
      <c r="M566" s="44">
        <f t="shared" si="8"/>
        <v>0</v>
      </c>
      <c r="N566" s="45"/>
      <c r="O566" s="44"/>
      <c r="P566" s="44"/>
      <c r="Q566" s="44"/>
      <c r="R566" s="44"/>
      <c r="S566" s="44"/>
      <c r="T566" s="44"/>
      <c r="U566" s="44"/>
      <c r="V566" s="44"/>
      <c r="W566" s="44"/>
      <c r="X566" s="44"/>
    </row>
    <row r="567" spans="1:24" s="41" customFormat="1">
      <c r="A567" s="42">
        <v>46340</v>
      </c>
      <c r="B567" s="43" t="s">
        <v>962</v>
      </c>
      <c r="C567" s="44"/>
      <c r="D567" s="44"/>
      <c r="E567" s="44"/>
      <c r="F567" s="44"/>
      <c r="G567" s="44"/>
      <c r="H567" s="44"/>
      <c r="I567" s="44"/>
      <c r="J567" s="44"/>
      <c r="K567" s="44"/>
      <c r="L567" s="44"/>
      <c r="M567" s="44">
        <f t="shared" si="8"/>
        <v>0</v>
      </c>
      <c r="N567" s="45"/>
      <c r="O567" s="44"/>
      <c r="P567" s="44"/>
      <c r="Q567" s="44"/>
      <c r="R567" s="44"/>
      <c r="S567" s="44"/>
      <c r="T567" s="44"/>
      <c r="U567" s="44"/>
      <c r="V567" s="44"/>
      <c r="W567" s="44"/>
      <c r="X567" s="44"/>
    </row>
    <row r="568" spans="1:24" s="41" customFormat="1">
      <c r="A568" s="42">
        <v>46341</v>
      </c>
      <c r="B568" s="43" t="s">
        <v>962</v>
      </c>
      <c r="C568" s="44"/>
      <c r="D568" s="44"/>
      <c r="E568" s="44"/>
      <c r="F568" s="44"/>
      <c r="G568" s="44"/>
      <c r="H568" s="44"/>
      <c r="I568" s="44"/>
      <c r="J568" s="44"/>
      <c r="K568" s="44"/>
      <c r="L568" s="44"/>
      <c r="M568" s="44">
        <f t="shared" si="8"/>
        <v>0</v>
      </c>
      <c r="N568" s="45"/>
      <c r="O568" s="44"/>
      <c r="P568" s="44"/>
      <c r="Q568" s="44"/>
      <c r="R568" s="44"/>
      <c r="S568" s="44"/>
      <c r="T568" s="44"/>
      <c r="U568" s="44"/>
      <c r="V568" s="44"/>
      <c r="W568" s="44"/>
      <c r="X568" s="44"/>
    </row>
    <row r="569" spans="1:24" s="41" customFormat="1">
      <c r="A569" s="42">
        <v>46342</v>
      </c>
      <c r="B569" s="43" t="s">
        <v>962</v>
      </c>
      <c r="C569" s="44"/>
      <c r="D569" s="44"/>
      <c r="E569" s="44"/>
      <c r="F569" s="44"/>
      <c r="G569" s="44"/>
      <c r="H569" s="44"/>
      <c r="I569" s="44"/>
      <c r="J569" s="44"/>
      <c r="K569" s="44"/>
      <c r="L569" s="44"/>
      <c r="M569" s="44">
        <f t="shared" si="8"/>
        <v>0</v>
      </c>
      <c r="N569" s="45"/>
      <c r="O569" s="44"/>
      <c r="P569" s="44"/>
      <c r="Q569" s="44"/>
      <c r="R569" s="44"/>
      <c r="S569" s="44"/>
      <c r="T569" s="44"/>
      <c r="U569" s="44"/>
      <c r="V569" s="44"/>
      <c r="W569" s="44"/>
      <c r="X569" s="44"/>
    </row>
    <row r="570" spans="1:24" s="41" customFormat="1">
      <c r="A570" s="42">
        <v>46343</v>
      </c>
      <c r="B570" s="43" t="s">
        <v>962</v>
      </c>
      <c r="C570" s="44"/>
      <c r="D570" s="44"/>
      <c r="E570" s="44"/>
      <c r="F570" s="44"/>
      <c r="G570" s="44"/>
      <c r="H570" s="44"/>
      <c r="I570" s="44"/>
      <c r="J570" s="44"/>
      <c r="K570" s="44"/>
      <c r="L570" s="44"/>
      <c r="M570" s="44">
        <f t="shared" si="8"/>
        <v>0</v>
      </c>
      <c r="N570" s="45"/>
      <c r="O570" s="44"/>
      <c r="P570" s="44"/>
      <c r="Q570" s="44"/>
      <c r="R570" s="44"/>
      <c r="S570" s="44"/>
      <c r="T570" s="44"/>
      <c r="U570" s="44"/>
      <c r="V570" s="44"/>
      <c r="W570" s="44"/>
      <c r="X570" s="44"/>
    </row>
    <row r="571" spans="1:24" s="41" customFormat="1">
      <c r="A571" s="42">
        <v>46344</v>
      </c>
      <c r="B571" s="43" t="s">
        <v>962</v>
      </c>
      <c r="C571" s="44"/>
      <c r="D571" s="44"/>
      <c r="E571" s="44"/>
      <c r="F571" s="44"/>
      <c r="G571" s="44"/>
      <c r="H571" s="44"/>
      <c r="I571" s="44"/>
      <c r="J571" s="44"/>
      <c r="K571" s="44"/>
      <c r="L571" s="44"/>
      <c r="M571" s="44">
        <f t="shared" si="8"/>
        <v>0</v>
      </c>
      <c r="N571" s="45"/>
      <c r="O571" s="44"/>
      <c r="P571" s="44"/>
      <c r="Q571" s="44"/>
      <c r="R571" s="44"/>
      <c r="S571" s="44"/>
      <c r="T571" s="44"/>
      <c r="U571" s="44"/>
      <c r="V571" s="44"/>
      <c r="W571" s="44"/>
      <c r="X571" s="44"/>
    </row>
    <row r="572" spans="1:24" s="41" customFormat="1">
      <c r="A572" s="42">
        <v>46345</v>
      </c>
      <c r="B572" s="43" t="s">
        <v>962</v>
      </c>
      <c r="C572" s="44"/>
      <c r="D572" s="44"/>
      <c r="E572" s="44"/>
      <c r="F572" s="44"/>
      <c r="G572" s="44"/>
      <c r="H572" s="44"/>
      <c r="I572" s="44"/>
      <c r="J572" s="44"/>
      <c r="K572" s="44"/>
      <c r="L572" s="44"/>
      <c r="M572" s="44">
        <f t="shared" si="8"/>
        <v>0</v>
      </c>
      <c r="N572" s="45"/>
      <c r="O572" s="44"/>
      <c r="P572" s="44"/>
      <c r="Q572" s="44"/>
      <c r="R572" s="44"/>
      <c r="S572" s="44"/>
      <c r="T572" s="44"/>
      <c r="U572" s="44"/>
      <c r="V572" s="44"/>
      <c r="W572" s="44"/>
      <c r="X572" s="44"/>
    </row>
    <row r="573" spans="1:24" s="41" customFormat="1">
      <c r="A573" s="42">
        <v>46346</v>
      </c>
      <c r="B573" s="43" t="s">
        <v>962</v>
      </c>
      <c r="C573" s="44"/>
      <c r="D573" s="44"/>
      <c r="E573" s="44"/>
      <c r="F573" s="44"/>
      <c r="G573" s="44"/>
      <c r="H573" s="44"/>
      <c r="I573" s="44"/>
      <c r="J573" s="44"/>
      <c r="K573" s="44"/>
      <c r="L573" s="44"/>
      <c r="M573" s="44">
        <f t="shared" si="8"/>
        <v>0</v>
      </c>
      <c r="N573" s="45"/>
      <c r="O573" s="44"/>
      <c r="P573" s="44"/>
      <c r="Q573" s="44"/>
      <c r="R573" s="44"/>
      <c r="S573" s="44"/>
      <c r="T573" s="44"/>
      <c r="U573" s="44"/>
      <c r="V573" s="44"/>
      <c r="W573" s="44"/>
      <c r="X573" s="44"/>
    </row>
    <row r="574" spans="1:24" s="41" customFormat="1">
      <c r="A574" s="42">
        <v>46347</v>
      </c>
      <c r="B574" s="43" t="s">
        <v>962</v>
      </c>
      <c r="C574" s="44"/>
      <c r="D574" s="44"/>
      <c r="E574" s="44"/>
      <c r="F574" s="44"/>
      <c r="G574" s="44"/>
      <c r="H574" s="44"/>
      <c r="I574" s="44"/>
      <c r="J574" s="44"/>
      <c r="K574" s="44"/>
      <c r="L574" s="44"/>
      <c r="M574" s="44">
        <f t="shared" si="8"/>
        <v>0</v>
      </c>
      <c r="N574" s="45"/>
      <c r="O574" s="44"/>
      <c r="P574" s="44"/>
      <c r="Q574" s="44"/>
      <c r="R574" s="44"/>
      <c r="S574" s="44"/>
      <c r="T574" s="44"/>
      <c r="U574" s="44"/>
      <c r="V574" s="44"/>
      <c r="W574" s="44"/>
      <c r="X574" s="44"/>
    </row>
    <row r="575" spans="1:24" s="41" customFormat="1">
      <c r="A575" s="42">
        <v>46348</v>
      </c>
      <c r="B575" s="43" t="s">
        <v>962</v>
      </c>
      <c r="C575" s="44"/>
      <c r="D575" s="44"/>
      <c r="E575" s="44"/>
      <c r="F575" s="44"/>
      <c r="G575" s="44"/>
      <c r="H575" s="44"/>
      <c r="I575" s="44"/>
      <c r="J575" s="44"/>
      <c r="K575" s="44"/>
      <c r="L575" s="44"/>
      <c r="M575" s="44">
        <f t="shared" si="8"/>
        <v>0</v>
      </c>
      <c r="N575" s="45"/>
      <c r="O575" s="44"/>
      <c r="P575" s="44"/>
      <c r="Q575" s="44"/>
      <c r="R575" s="44"/>
      <c r="S575" s="44"/>
      <c r="T575" s="44"/>
      <c r="U575" s="44"/>
      <c r="V575" s="44"/>
      <c r="W575" s="44"/>
      <c r="X575" s="44"/>
    </row>
    <row r="576" spans="1:24" s="41" customFormat="1">
      <c r="A576" s="42">
        <v>46349</v>
      </c>
      <c r="B576" s="43" t="s">
        <v>962</v>
      </c>
      <c r="C576" s="44"/>
      <c r="D576" s="44"/>
      <c r="E576" s="44"/>
      <c r="F576" s="44"/>
      <c r="G576" s="44"/>
      <c r="H576" s="44"/>
      <c r="I576" s="44"/>
      <c r="J576" s="44"/>
      <c r="K576" s="44"/>
      <c r="L576" s="44"/>
      <c r="M576" s="44">
        <f t="shared" si="8"/>
        <v>0</v>
      </c>
      <c r="N576" s="45"/>
      <c r="O576" s="44"/>
      <c r="P576" s="44"/>
      <c r="Q576" s="44"/>
      <c r="R576" s="44"/>
      <c r="S576" s="44"/>
      <c r="T576" s="44"/>
      <c r="U576" s="44"/>
      <c r="V576" s="44"/>
      <c r="W576" s="44"/>
      <c r="X576" s="44"/>
    </row>
    <row r="577" spans="1:24" s="41" customFormat="1">
      <c r="A577" s="42">
        <v>46350</v>
      </c>
      <c r="B577" s="43" t="s">
        <v>962</v>
      </c>
      <c r="C577" s="44"/>
      <c r="D577" s="44"/>
      <c r="E577" s="44"/>
      <c r="F577" s="44"/>
      <c r="G577" s="44"/>
      <c r="H577" s="44"/>
      <c r="I577" s="44"/>
      <c r="J577" s="44"/>
      <c r="K577" s="44"/>
      <c r="L577" s="44"/>
      <c r="M577" s="44">
        <f t="shared" si="8"/>
        <v>0</v>
      </c>
      <c r="N577" s="45"/>
      <c r="O577" s="44"/>
      <c r="P577" s="44"/>
      <c r="Q577" s="44"/>
      <c r="R577" s="44"/>
      <c r="S577" s="44"/>
      <c r="T577" s="44"/>
      <c r="U577" s="44"/>
      <c r="V577" s="44"/>
      <c r="W577" s="44"/>
      <c r="X577" s="44"/>
    </row>
    <row r="578" spans="1:24" s="41" customFormat="1">
      <c r="A578" s="42">
        <v>46351</v>
      </c>
      <c r="B578" s="43" t="s">
        <v>962</v>
      </c>
      <c r="C578" s="44"/>
      <c r="D578" s="44"/>
      <c r="E578" s="44"/>
      <c r="F578" s="44"/>
      <c r="G578" s="44"/>
      <c r="H578" s="44"/>
      <c r="I578" s="44"/>
      <c r="J578" s="44"/>
      <c r="K578" s="44"/>
      <c r="L578" s="44"/>
      <c r="M578" s="44">
        <f t="shared" si="8"/>
        <v>0</v>
      </c>
      <c r="N578" s="45"/>
      <c r="O578" s="44"/>
      <c r="P578" s="44"/>
      <c r="Q578" s="44"/>
      <c r="R578" s="44"/>
      <c r="S578" s="44"/>
      <c r="T578" s="44"/>
      <c r="U578" s="44"/>
      <c r="V578" s="44"/>
      <c r="W578" s="44"/>
      <c r="X578" s="44"/>
    </row>
    <row r="579" spans="1:24" s="41" customFormat="1">
      <c r="A579" s="42">
        <v>46352</v>
      </c>
      <c r="B579" s="43" t="s">
        <v>962</v>
      </c>
      <c r="C579" s="44"/>
      <c r="D579" s="44"/>
      <c r="E579" s="44"/>
      <c r="F579" s="44"/>
      <c r="G579" s="44"/>
      <c r="H579" s="44"/>
      <c r="I579" s="44"/>
      <c r="J579" s="44"/>
      <c r="K579" s="44"/>
      <c r="L579" s="44"/>
      <c r="M579" s="44">
        <f t="shared" ref="M579:M642" si="9">N579-SUM(C579:L579)</f>
        <v>0</v>
      </c>
      <c r="N579" s="45"/>
      <c r="O579" s="44"/>
      <c r="P579" s="44"/>
      <c r="Q579" s="44"/>
      <c r="R579" s="44"/>
      <c r="S579" s="44"/>
      <c r="T579" s="44"/>
      <c r="U579" s="44"/>
      <c r="V579" s="44"/>
      <c r="W579" s="44"/>
      <c r="X579" s="44"/>
    </row>
    <row r="580" spans="1:24" s="41" customFormat="1">
      <c r="A580" s="42">
        <v>46353</v>
      </c>
      <c r="B580" s="43" t="s">
        <v>962</v>
      </c>
      <c r="C580" s="44"/>
      <c r="D580" s="44"/>
      <c r="E580" s="44"/>
      <c r="F580" s="44"/>
      <c r="G580" s="44"/>
      <c r="H580" s="44"/>
      <c r="I580" s="44"/>
      <c r="J580" s="44"/>
      <c r="K580" s="44"/>
      <c r="L580" s="44"/>
      <c r="M580" s="44">
        <f t="shared" si="9"/>
        <v>0</v>
      </c>
      <c r="N580" s="45"/>
      <c r="O580" s="44"/>
      <c r="P580" s="44"/>
      <c r="Q580" s="44"/>
      <c r="R580" s="44"/>
      <c r="S580" s="44"/>
      <c r="T580" s="44"/>
      <c r="U580" s="44"/>
      <c r="V580" s="44"/>
      <c r="W580" s="44"/>
      <c r="X580" s="44"/>
    </row>
    <row r="581" spans="1:24" s="41" customFormat="1">
      <c r="A581" s="42">
        <v>46354</v>
      </c>
      <c r="B581" s="43" t="s">
        <v>962</v>
      </c>
      <c r="C581" s="44"/>
      <c r="D581" s="44"/>
      <c r="E581" s="44"/>
      <c r="F581" s="44"/>
      <c r="G581" s="44"/>
      <c r="H581" s="44"/>
      <c r="I581" s="44"/>
      <c r="J581" s="44"/>
      <c r="K581" s="44"/>
      <c r="L581" s="44"/>
      <c r="M581" s="44">
        <f t="shared" si="9"/>
        <v>0</v>
      </c>
      <c r="N581" s="45"/>
      <c r="O581" s="44"/>
      <c r="P581" s="44"/>
      <c r="Q581" s="44"/>
      <c r="R581" s="44"/>
      <c r="S581" s="44"/>
      <c r="T581" s="44"/>
      <c r="U581" s="44"/>
      <c r="V581" s="44"/>
      <c r="W581" s="44"/>
      <c r="X581" s="44"/>
    </row>
    <row r="582" spans="1:24" s="41" customFormat="1">
      <c r="A582" s="42">
        <v>46355</v>
      </c>
      <c r="B582" s="43" t="s">
        <v>962</v>
      </c>
      <c r="C582" s="44"/>
      <c r="D582" s="44"/>
      <c r="E582" s="44"/>
      <c r="F582" s="44"/>
      <c r="G582" s="44"/>
      <c r="H582" s="44"/>
      <c r="I582" s="44"/>
      <c r="J582" s="44"/>
      <c r="K582" s="44"/>
      <c r="L582" s="44"/>
      <c r="M582" s="44">
        <f t="shared" si="9"/>
        <v>0</v>
      </c>
      <c r="N582" s="45"/>
      <c r="O582" s="44"/>
      <c r="P582" s="44"/>
      <c r="Q582" s="44"/>
      <c r="R582" s="44"/>
      <c r="S582" s="44"/>
      <c r="T582" s="44"/>
      <c r="U582" s="44"/>
      <c r="V582" s="44"/>
      <c r="W582" s="44"/>
      <c r="X582" s="44"/>
    </row>
    <row r="583" spans="1:24" s="41" customFormat="1">
      <c r="A583" s="42">
        <v>46356</v>
      </c>
      <c r="B583" s="43" t="s">
        <v>962</v>
      </c>
      <c r="C583" s="44"/>
      <c r="D583" s="44"/>
      <c r="E583" s="44"/>
      <c r="F583" s="44"/>
      <c r="G583" s="44"/>
      <c r="H583" s="44"/>
      <c r="I583" s="44"/>
      <c r="J583" s="44"/>
      <c r="K583" s="44"/>
      <c r="L583" s="44"/>
      <c r="M583" s="44">
        <f t="shared" si="9"/>
        <v>0</v>
      </c>
      <c r="N583" s="45"/>
      <c r="O583" s="44"/>
      <c r="P583" s="44"/>
      <c r="Q583" s="44"/>
      <c r="R583" s="44"/>
      <c r="S583" s="44"/>
      <c r="T583" s="44"/>
      <c r="U583" s="44"/>
      <c r="V583" s="44"/>
      <c r="W583" s="44"/>
      <c r="X583" s="44"/>
    </row>
    <row r="584" spans="1:24" s="41" customFormat="1">
      <c r="A584" s="42">
        <v>46357</v>
      </c>
      <c r="B584" s="43" t="s">
        <v>962</v>
      </c>
      <c r="C584" s="44"/>
      <c r="D584" s="44"/>
      <c r="E584" s="44"/>
      <c r="F584" s="44"/>
      <c r="G584" s="44"/>
      <c r="H584" s="44"/>
      <c r="I584" s="44"/>
      <c r="J584" s="44"/>
      <c r="K584" s="44"/>
      <c r="L584" s="44"/>
      <c r="M584" s="44">
        <f t="shared" si="9"/>
        <v>0</v>
      </c>
      <c r="N584" s="45"/>
      <c r="O584" s="44"/>
      <c r="P584" s="44"/>
      <c r="Q584" s="44"/>
      <c r="R584" s="44"/>
      <c r="S584" s="44"/>
      <c r="T584" s="44"/>
      <c r="U584" s="44"/>
      <c r="V584" s="44"/>
      <c r="W584" s="44"/>
      <c r="X584" s="44"/>
    </row>
    <row r="585" spans="1:24" s="41" customFormat="1">
      <c r="A585" s="42">
        <v>46358</v>
      </c>
      <c r="B585" s="43" t="s">
        <v>962</v>
      </c>
      <c r="C585" s="44"/>
      <c r="D585" s="44"/>
      <c r="E585" s="44"/>
      <c r="F585" s="44"/>
      <c r="G585" s="44"/>
      <c r="H585" s="44"/>
      <c r="I585" s="44"/>
      <c r="J585" s="44"/>
      <c r="K585" s="44"/>
      <c r="L585" s="44"/>
      <c r="M585" s="44">
        <f t="shared" si="9"/>
        <v>0</v>
      </c>
      <c r="N585" s="45"/>
      <c r="O585" s="44"/>
      <c r="P585" s="44"/>
      <c r="Q585" s="44"/>
      <c r="R585" s="44"/>
      <c r="S585" s="44"/>
      <c r="T585" s="44"/>
      <c r="U585" s="44"/>
      <c r="V585" s="44"/>
      <c r="W585" s="44"/>
      <c r="X585" s="44"/>
    </row>
    <row r="586" spans="1:24" s="41" customFormat="1">
      <c r="A586" s="42">
        <v>46359</v>
      </c>
      <c r="B586" s="43" t="s">
        <v>962</v>
      </c>
      <c r="C586" s="44"/>
      <c r="D586" s="44"/>
      <c r="E586" s="44"/>
      <c r="F586" s="44"/>
      <c r="G586" s="44"/>
      <c r="H586" s="44"/>
      <c r="I586" s="44"/>
      <c r="J586" s="44"/>
      <c r="K586" s="44"/>
      <c r="L586" s="44"/>
      <c r="M586" s="44">
        <f t="shared" si="9"/>
        <v>0</v>
      </c>
      <c r="N586" s="45"/>
      <c r="O586" s="44"/>
      <c r="P586" s="44"/>
      <c r="Q586" s="44"/>
      <c r="R586" s="44"/>
      <c r="S586" s="44"/>
      <c r="T586" s="44"/>
      <c r="U586" s="44"/>
      <c r="V586" s="44"/>
      <c r="W586" s="44"/>
      <c r="X586" s="44"/>
    </row>
    <row r="587" spans="1:24" s="41" customFormat="1">
      <c r="A587" s="42">
        <v>46360</v>
      </c>
      <c r="B587" s="43" t="s">
        <v>962</v>
      </c>
      <c r="C587" s="44"/>
      <c r="D587" s="44"/>
      <c r="E587" s="44"/>
      <c r="F587" s="44"/>
      <c r="G587" s="44"/>
      <c r="H587" s="44"/>
      <c r="I587" s="44"/>
      <c r="J587" s="44"/>
      <c r="K587" s="44"/>
      <c r="L587" s="44"/>
      <c r="M587" s="44">
        <f t="shared" si="9"/>
        <v>0</v>
      </c>
      <c r="N587" s="45"/>
      <c r="O587" s="44"/>
      <c r="P587" s="44"/>
      <c r="Q587" s="44"/>
      <c r="R587" s="44"/>
      <c r="S587" s="44"/>
      <c r="T587" s="44"/>
      <c r="U587" s="44"/>
      <c r="V587" s="44"/>
      <c r="W587" s="44"/>
      <c r="X587" s="44"/>
    </row>
    <row r="588" spans="1:24" s="41" customFormat="1">
      <c r="A588" s="42">
        <v>46361</v>
      </c>
      <c r="B588" s="43" t="s">
        <v>962</v>
      </c>
      <c r="C588" s="44"/>
      <c r="D588" s="44"/>
      <c r="E588" s="44"/>
      <c r="F588" s="44"/>
      <c r="G588" s="44"/>
      <c r="H588" s="44"/>
      <c r="I588" s="44"/>
      <c r="J588" s="44"/>
      <c r="K588" s="44"/>
      <c r="L588" s="44"/>
      <c r="M588" s="44">
        <f t="shared" si="9"/>
        <v>0</v>
      </c>
      <c r="N588" s="45"/>
      <c r="O588" s="44"/>
      <c r="P588" s="44"/>
      <c r="Q588" s="44"/>
      <c r="R588" s="44"/>
      <c r="S588" s="44"/>
      <c r="T588" s="44"/>
      <c r="U588" s="44"/>
      <c r="V588" s="44"/>
      <c r="W588" s="44"/>
      <c r="X588" s="44"/>
    </row>
    <row r="589" spans="1:24" s="41" customFormat="1">
      <c r="A589" s="42">
        <v>46362</v>
      </c>
      <c r="B589" s="43" t="s">
        <v>962</v>
      </c>
      <c r="C589" s="44"/>
      <c r="D589" s="44"/>
      <c r="E589" s="44"/>
      <c r="F589" s="44"/>
      <c r="G589" s="44"/>
      <c r="H589" s="44"/>
      <c r="I589" s="44"/>
      <c r="J589" s="44"/>
      <c r="K589" s="44"/>
      <c r="L589" s="44"/>
      <c r="M589" s="44">
        <f t="shared" si="9"/>
        <v>0</v>
      </c>
      <c r="N589" s="45"/>
      <c r="O589" s="44"/>
      <c r="P589" s="44"/>
      <c r="Q589" s="44"/>
      <c r="R589" s="44"/>
      <c r="S589" s="44"/>
      <c r="T589" s="44"/>
      <c r="U589" s="44"/>
      <c r="V589" s="44"/>
      <c r="W589" s="44"/>
      <c r="X589" s="44"/>
    </row>
    <row r="590" spans="1:24" s="41" customFormat="1">
      <c r="A590" s="42">
        <v>46363</v>
      </c>
      <c r="B590" s="43" t="s">
        <v>962</v>
      </c>
      <c r="C590" s="44"/>
      <c r="D590" s="44"/>
      <c r="E590" s="44"/>
      <c r="F590" s="44"/>
      <c r="G590" s="44"/>
      <c r="H590" s="44"/>
      <c r="I590" s="44"/>
      <c r="J590" s="44"/>
      <c r="K590" s="44"/>
      <c r="L590" s="44"/>
      <c r="M590" s="44">
        <f t="shared" si="9"/>
        <v>0</v>
      </c>
      <c r="N590" s="45"/>
      <c r="O590" s="44"/>
      <c r="P590" s="44"/>
      <c r="Q590" s="44"/>
      <c r="R590" s="44"/>
      <c r="S590" s="44"/>
      <c r="T590" s="44"/>
      <c r="U590" s="44"/>
      <c r="V590" s="44"/>
      <c r="W590" s="44"/>
      <c r="X590" s="44"/>
    </row>
    <row r="591" spans="1:24" s="41" customFormat="1">
      <c r="A591" s="42">
        <v>46364</v>
      </c>
      <c r="B591" s="43" t="s">
        <v>962</v>
      </c>
      <c r="C591" s="44"/>
      <c r="D591" s="44"/>
      <c r="E591" s="44"/>
      <c r="F591" s="44"/>
      <c r="G591" s="44"/>
      <c r="H591" s="44"/>
      <c r="I591" s="44"/>
      <c r="J591" s="44"/>
      <c r="K591" s="44"/>
      <c r="L591" s="44"/>
      <c r="M591" s="44">
        <f t="shared" si="9"/>
        <v>0</v>
      </c>
      <c r="N591" s="45"/>
      <c r="O591" s="44"/>
      <c r="P591" s="44"/>
      <c r="Q591" s="44"/>
      <c r="R591" s="44"/>
      <c r="S591" s="44"/>
      <c r="T591" s="44"/>
      <c r="U591" s="44"/>
      <c r="V591" s="44"/>
      <c r="W591" s="44"/>
      <c r="X591" s="44"/>
    </row>
    <row r="592" spans="1:24" s="41" customFormat="1">
      <c r="A592" s="42">
        <v>46365</v>
      </c>
      <c r="B592" s="43" t="s">
        <v>962</v>
      </c>
      <c r="C592" s="44"/>
      <c r="D592" s="44"/>
      <c r="E592" s="44"/>
      <c r="F592" s="44"/>
      <c r="G592" s="44"/>
      <c r="H592" s="44"/>
      <c r="I592" s="44"/>
      <c r="J592" s="44"/>
      <c r="K592" s="44"/>
      <c r="L592" s="44"/>
      <c r="M592" s="44">
        <f t="shared" si="9"/>
        <v>0</v>
      </c>
      <c r="N592" s="45"/>
      <c r="O592" s="44"/>
      <c r="P592" s="44"/>
      <c r="Q592" s="44"/>
      <c r="R592" s="44"/>
      <c r="S592" s="44"/>
      <c r="T592" s="44"/>
      <c r="U592" s="44"/>
      <c r="V592" s="44"/>
      <c r="W592" s="44"/>
      <c r="X592" s="44"/>
    </row>
    <row r="593" spans="1:24" s="41" customFormat="1">
      <c r="A593" s="42">
        <v>46366</v>
      </c>
      <c r="B593" s="43" t="s">
        <v>962</v>
      </c>
      <c r="C593" s="44"/>
      <c r="D593" s="44"/>
      <c r="E593" s="44"/>
      <c r="F593" s="44"/>
      <c r="G593" s="44"/>
      <c r="H593" s="44"/>
      <c r="I593" s="44"/>
      <c r="J593" s="44"/>
      <c r="K593" s="44"/>
      <c r="L593" s="44"/>
      <c r="M593" s="44">
        <f t="shared" si="9"/>
        <v>0</v>
      </c>
      <c r="N593" s="45"/>
      <c r="O593" s="44"/>
      <c r="P593" s="44"/>
      <c r="Q593" s="44"/>
      <c r="R593" s="44"/>
      <c r="S593" s="44"/>
      <c r="T593" s="44"/>
      <c r="U593" s="44"/>
      <c r="V593" s="44"/>
      <c r="W593" s="44"/>
      <c r="X593" s="44"/>
    </row>
    <row r="594" spans="1:24" s="41" customFormat="1">
      <c r="A594" s="42">
        <v>46367</v>
      </c>
      <c r="B594" s="43" t="s">
        <v>962</v>
      </c>
      <c r="C594" s="44"/>
      <c r="D594" s="44"/>
      <c r="E594" s="44"/>
      <c r="F594" s="44"/>
      <c r="G594" s="44"/>
      <c r="H594" s="44"/>
      <c r="I594" s="44"/>
      <c r="J594" s="44"/>
      <c r="K594" s="44"/>
      <c r="L594" s="44"/>
      <c r="M594" s="44">
        <f t="shared" si="9"/>
        <v>0</v>
      </c>
      <c r="N594" s="45"/>
      <c r="O594" s="44"/>
      <c r="P594" s="44"/>
      <c r="Q594" s="44"/>
      <c r="R594" s="44"/>
      <c r="S594" s="44"/>
      <c r="T594" s="44"/>
      <c r="U594" s="44"/>
      <c r="V594" s="44"/>
      <c r="W594" s="44"/>
      <c r="X594" s="44"/>
    </row>
    <row r="595" spans="1:24" s="41" customFormat="1">
      <c r="A595" s="42">
        <v>46368</v>
      </c>
      <c r="B595" s="43" t="s">
        <v>962</v>
      </c>
      <c r="C595" s="44"/>
      <c r="D595" s="44"/>
      <c r="E595" s="44"/>
      <c r="F595" s="44"/>
      <c r="G595" s="44"/>
      <c r="H595" s="44"/>
      <c r="I595" s="44"/>
      <c r="J595" s="44"/>
      <c r="K595" s="44"/>
      <c r="L595" s="44"/>
      <c r="M595" s="44">
        <f t="shared" si="9"/>
        <v>0</v>
      </c>
      <c r="N595" s="45"/>
      <c r="O595" s="44"/>
      <c r="P595" s="44"/>
      <c r="Q595" s="44"/>
      <c r="R595" s="44"/>
      <c r="S595" s="44"/>
      <c r="T595" s="44"/>
      <c r="U595" s="44"/>
      <c r="V595" s="44"/>
      <c r="W595" s="44"/>
      <c r="X595" s="44"/>
    </row>
    <row r="596" spans="1:24" s="41" customFormat="1">
      <c r="A596" s="42">
        <v>46369</v>
      </c>
      <c r="B596" s="43" t="s">
        <v>962</v>
      </c>
      <c r="C596" s="44"/>
      <c r="D596" s="44"/>
      <c r="E596" s="44"/>
      <c r="F596" s="44"/>
      <c r="G596" s="44"/>
      <c r="H596" s="44"/>
      <c r="I596" s="44"/>
      <c r="J596" s="44"/>
      <c r="K596" s="44"/>
      <c r="L596" s="44"/>
      <c r="M596" s="44">
        <f t="shared" si="9"/>
        <v>0</v>
      </c>
      <c r="N596" s="45"/>
      <c r="O596" s="44"/>
      <c r="P596" s="44"/>
      <c r="Q596" s="44"/>
      <c r="R596" s="44"/>
      <c r="S596" s="44"/>
      <c r="T596" s="44"/>
      <c r="U596" s="44"/>
      <c r="V596" s="44"/>
      <c r="W596" s="44"/>
      <c r="X596" s="44"/>
    </row>
    <row r="597" spans="1:24" s="41" customFormat="1">
      <c r="A597" s="42">
        <v>46370</v>
      </c>
      <c r="B597" s="43" t="s">
        <v>962</v>
      </c>
      <c r="C597" s="44"/>
      <c r="D597" s="44"/>
      <c r="E597" s="44"/>
      <c r="F597" s="44"/>
      <c r="G597" s="44"/>
      <c r="H597" s="44"/>
      <c r="I597" s="44"/>
      <c r="J597" s="44"/>
      <c r="K597" s="44"/>
      <c r="L597" s="44"/>
      <c r="M597" s="44">
        <f t="shared" si="9"/>
        <v>0</v>
      </c>
      <c r="N597" s="45"/>
      <c r="O597" s="44"/>
      <c r="P597" s="44"/>
      <c r="Q597" s="44"/>
      <c r="R597" s="44"/>
      <c r="S597" s="44"/>
      <c r="T597" s="44"/>
      <c r="U597" s="44"/>
      <c r="V597" s="44"/>
      <c r="W597" s="44"/>
      <c r="X597" s="44"/>
    </row>
    <row r="598" spans="1:24" s="41" customFormat="1">
      <c r="A598" s="42">
        <v>46371</v>
      </c>
      <c r="B598" s="43" t="s">
        <v>962</v>
      </c>
      <c r="C598" s="44"/>
      <c r="D598" s="44"/>
      <c r="E598" s="44"/>
      <c r="F598" s="44"/>
      <c r="G598" s="44"/>
      <c r="H598" s="44"/>
      <c r="I598" s="44"/>
      <c r="J598" s="44"/>
      <c r="K598" s="44"/>
      <c r="L598" s="44"/>
      <c r="M598" s="44">
        <f t="shared" si="9"/>
        <v>0</v>
      </c>
      <c r="N598" s="45"/>
      <c r="O598" s="44"/>
      <c r="P598" s="44"/>
      <c r="Q598" s="44"/>
      <c r="R598" s="44"/>
      <c r="S598" s="44"/>
      <c r="T598" s="44"/>
      <c r="U598" s="44"/>
      <c r="V598" s="44"/>
      <c r="W598" s="44"/>
      <c r="X598" s="44"/>
    </row>
    <row r="599" spans="1:24" s="41" customFormat="1">
      <c r="A599" s="42">
        <v>46372</v>
      </c>
      <c r="B599" s="43" t="s">
        <v>962</v>
      </c>
      <c r="C599" s="44"/>
      <c r="D599" s="44"/>
      <c r="E599" s="44"/>
      <c r="F599" s="44"/>
      <c r="G599" s="44"/>
      <c r="H599" s="44"/>
      <c r="I599" s="44"/>
      <c r="J599" s="44"/>
      <c r="K599" s="44"/>
      <c r="L599" s="44"/>
      <c r="M599" s="44">
        <f t="shared" si="9"/>
        <v>0</v>
      </c>
      <c r="N599" s="45"/>
      <c r="O599" s="44"/>
      <c r="P599" s="44"/>
      <c r="Q599" s="44"/>
      <c r="R599" s="44"/>
      <c r="S599" s="44"/>
      <c r="T599" s="44"/>
      <c r="U599" s="44"/>
      <c r="V599" s="44"/>
      <c r="W599" s="44"/>
      <c r="X599" s="44"/>
    </row>
    <row r="600" spans="1:24" s="41" customFormat="1">
      <c r="A600" s="42">
        <v>46373</v>
      </c>
      <c r="B600" s="43" t="s">
        <v>962</v>
      </c>
      <c r="C600" s="44"/>
      <c r="D600" s="44"/>
      <c r="E600" s="44"/>
      <c r="F600" s="44"/>
      <c r="G600" s="44"/>
      <c r="H600" s="44"/>
      <c r="I600" s="44"/>
      <c r="J600" s="44"/>
      <c r="K600" s="44"/>
      <c r="L600" s="44"/>
      <c r="M600" s="44">
        <f t="shared" si="9"/>
        <v>0</v>
      </c>
      <c r="N600" s="45"/>
      <c r="O600" s="44"/>
      <c r="P600" s="44"/>
      <c r="Q600" s="44"/>
      <c r="R600" s="44"/>
      <c r="S600" s="44"/>
      <c r="T600" s="44"/>
      <c r="U600" s="44"/>
      <c r="V600" s="44"/>
      <c r="W600" s="44"/>
      <c r="X600" s="44"/>
    </row>
    <row r="601" spans="1:24" s="41" customFormat="1">
      <c r="A601" s="42">
        <v>46374</v>
      </c>
      <c r="B601" s="43" t="s">
        <v>962</v>
      </c>
      <c r="C601" s="44"/>
      <c r="D601" s="44"/>
      <c r="E601" s="44"/>
      <c r="F601" s="44"/>
      <c r="G601" s="44"/>
      <c r="H601" s="44"/>
      <c r="I601" s="44"/>
      <c r="J601" s="44"/>
      <c r="K601" s="44"/>
      <c r="L601" s="44"/>
      <c r="M601" s="44">
        <f t="shared" si="9"/>
        <v>0</v>
      </c>
      <c r="N601" s="45"/>
      <c r="O601" s="44"/>
      <c r="P601" s="44"/>
      <c r="Q601" s="44"/>
      <c r="R601" s="44"/>
      <c r="S601" s="44"/>
      <c r="T601" s="44"/>
      <c r="U601" s="44"/>
      <c r="V601" s="44"/>
      <c r="W601" s="44"/>
      <c r="X601" s="44"/>
    </row>
    <row r="602" spans="1:24" s="41" customFormat="1">
      <c r="A602" s="42">
        <v>46375</v>
      </c>
      <c r="B602" s="43" t="s">
        <v>962</v>
      </c>
      <c r="C602" s="44"/>
      <c r="D602" s="44"/>
      <c r="E602" s="44"/>
      <c r="F602" s="44"/>
      <c r="G602" s="44"/>
      <c r="H602" s="44"/>
      <c r="I602" s="44"/>
      <c r="J602" s="44"/>
      <c r="K602" s="44"/>
      <c r="L602" s="44"/>
      <c r="M602" s="44">
        <f t="shared" si="9"/>
        <v>0</v>
      </c>
      <c r="N602" s="45"/>
      <c r="O602" s="44"/>
      <c r="P602" s="44"/>
      <c r="Q602" s="44"/>
      <c r="R602" s="44"/>
      <c r="S602" s="44"/>
      <c r="T602" s="44"/>
      <c r="U602" s="44"/>
      <c r="V602" s="44"/>
      <c r="W602" s="44"/>
      <c r="X602" s="44"/>
    </row>
    <row r="603" spans="1:24" s="41" customFormat="1">
      <c r="A603" s="42">
        <v>46376</v>
      </c>
      <c r="B603" s="43" t="s">
        <v>962</v>
      </c>
      <c r="C603" s="44"/>
      <c r="D603" s="44"/>
      <c r="E603" s="44"/>
      <c r="F603" s="44"/>
      <c r="G603" s="44"/>
      <c r="H603" s="44"/>
      <c r="I603" s="44"/>
      <c r="J603" s="44"/>
      <c r="K603" s="44"/>
      <c r="L603" s="44"/>
      <c r="M603" s="44">
        <f t="shared" si="9"/>
        <v>0</v>
      </c>
      <c r="N603" s="45"/>
      <c r="O603" s="44"/>
      <c r="P603" s="44"/>
      <c r="Q603" s="44"/>
      <c r="R603" s="44"/>
      <c r="S603" s="44"/>
      <c r="T603" s="44"/>
      <c r="U603" s="44"/>
      <c r="V603" s="44"/>
      <c r="W603" s="44"/>
      <c r="X603" s="44"/>
    </row>
    <row r="604" spans="1:24" s="41" customFormat="1">
      <c r="A604" s="42">
        <v>46377</v>
      </c>
      <c r="B604" s="43" t="s">
        <v>962</v>
      </c>
      <c r="C604" s="44"/>
      <c r="D604" s="44"/>
      <c r="E604" s="44"/>
      <c r="F604" s="44"/>
      <c r="G604" s="44"/>
      <c r="H604" s="44"/>
      <c r="I604" s="44"/>
      <c r="J604" s="44"/>
      <c r="K604" s="44"/>
      <c r="L604" s="44"/>
      <c r="M604" s="44">
        <f t="shared" si="9"/>
        <v>0</v>
      </c>
      <c r="N604" s="45"/>
      <c r="O604" s="44"/>
      <c r="P604" s="44"/>
      <c r="Q604" s="44"/>
      <c r="R604" s="44"/>
      <c r="S604" s="44"/>
      <c r="T604" s="44"/>
      <c r="U604" s="44"/>
      <c r="V604" s="44"/>
      <c r="W604" s="44"/>
      <c r="X604" s="44"/>
    </row>
    <row r="605" spans="1:24" s="41" customFormat="1">
      <c r="A605" s="42">
        <v>46378</v>
      </c>
      <c r="B605" s="43" t="s">
        <v>962</v>
      </c>
      <c r="C605" s="44"/>
      <c r="D605" s="44"/>
      <c r="E605" s="44"/>
      <c r="F605" s="44"/>
      <c r="G605" s="44"/>
      <c r="H605" s="44"/>
      <c r="I605" s="44"/>
      <c r="J605" s="44"/>
      <c r="K605" s="44"/>
      <c r="L605" s="44"/>
      <c r="M605" s="44">
        <f t="shared" si="9"/>
        <v>0</v>
      </c>
      <c r="N605" s="45"/>
      <c r="O605" s="44"/>
      <c r="P605" s="44"/>
      <c r="Q605" s="44"/>
      <c r="R605" s="44"/>
      <c r="S605" s="44"/>
      <c r="T605" s="44"/>
      <c r="U605" s="44"/>
      <c r="V605" s="44"/>
      <c r="W605" s="44"/>
      <c r="X605" s="44"/>
    </row>
    <row r="606" spans="1:24" s="41" customFormat="1">
      <c r="A606" s="42">
        <v>46379</v>
      </c>
      <c r="B606" s="43" t="s">
        <v>962</v>
      </c>
      <c r="C606" s="44"/>
      <c r="D606" s="44"/>
      <c r="E606" s="44"/>
      <c r="F606" s="44"/>
      <c r="G606" s="44"/>
      <c r="H606" s="44"/>
      <c r="I606" s="44"/>
      <c r="J606" s="44"/>
      <c r="K606" s="44"/>
      <c r="L606" s="44"/>
      <c r="M606" s="44">
        <f t="shared" si="9"/>
        <v>0</v>
      </c>
      <c r="N606" s="45"/>
      <c r="O606" s="44"/>
      <c r="P606" s="44"/>
      <c r="Q606" s="44"/>
      <c r="R606" s="44"/>
      <c r="S606" s="44"/>
      <c r="T606" s="44"/>
      <c r="U606" s="44"/>
      <c r="V606" s="44"/>
      <c r="W606" s="44"/>
      <c r="X606" s="44"/>
    </row>
    <row r="607" spans="1:24" s="41" customFormat="1">
      <c r="A607" s="42">
        <v>46380</v>
      </c>
      <c r="B607" s="43" t="s">
        <v>962</v>
      </c>
      <c r="C607" s="44"/>
      <c r="D607" s="44"/>
      <c r="E607" s="44"/>
      <c r="F607" s="44"/>
      <c r="G607" s="44"/>
      <c r="H607" s="44"/>
      <c r="I607" s="44"/>
      <c r="J607" s="44"/>
      <c r="K607" s="44"/>
      <c r="L607" s="44"/>
      <c r="M607" s="44">
        <f t="shared" si="9"/>
        <v>0</v>
      </c>
      <c r="N607" s="45"/>
      <c r="O607" s="44"/>
      <c r="P607" s="44"/>
      <c r="Q607" s="44"/>
      <c r="R607" s="44"/>
      <c r="S607" s="44"/>
      <c r="T607" s="44"/>
      <c r="U607" s="44"/>
      <c r="V607" s="44"/>
      <c r="W607" s="44"/>
      <c r="X607" s="44"/>
    </row>
    <row r="608" spans="1:24" s="41" customFormat="1">
      <c r="A608" s="42">
        <v>46381</v>
      </c>
      <c r="B608" s="43" t="s">
        <v>962</v>
      </c>
      <c r="C608" s="44"/>
      <c r="D608" s="44"/>
      <c r="E608" s="44"/>
      <c r="F608" s="44"/>
      <c r="G608" s="44"/>
      <c r="H608" s="44"/>
      <c r="I608" s="44"/>
      <c r="J608" s="44"/>
      <c r="K608" s="44"/>
      <c r="L608" s="44"/>
      <c r="M608" s="44">
        <f t="shared" si="9"/>
        <v>0</v>
      </c>
      <c r="N608" s="45"/>
      <c r="O608" s="44"/>
      <c r="P608" s="44"/>
      <c r="Q608" s="44"/>
      <c r="R608" s="44"/>
      <c r="S608" s="44"/>
      <c r="T608" s="44"/>
      <c r="U608" s="44"/>
      <c r="V608" s="44"/>
      <c r="W608" s="44"/>
      <c r="X608" s="44"/>
    </row>
    <row r="609" spans="1:24" s="41" customFormat="1">
      <c r="A609" s="42">
        <v>46382</v>
      </c>
      <c r="B609" s="43" t="s">
        <v>962</v>
      </c>
      <c r="C609" s="44"/>
      <c r="D609" s="44"/>
      <c r="E609" s="44"/>
      <c r="F609" s="44"/>
      <c r="G609" s="44"/>
      <c r="H609" s="44"/>
      <c r="I609" s="44"/>
      <c r="J609" s="44"/>
      <c r="K609" s="44"/>
      <c r="L609" s="44"/>
      <c r="M609" s="44">
        <f t="shared" si="9"/>
        <v>0</v>
      </c>
      <c r="N609" s="45"/>
      <c r="O609" s="44"/>
      <c r="P609" s="44"/>
      <c r="Q609" s="44"/>
      <c r="R609" s="44"/>
      <c r="S609" s="44"/>
      <c r="T609" s="44"/>
      <c r="U609" s="44"/>
      <c r="V609" s="44"/>
      <c r="W609" s="44"/>
      <c r="X609" s="44"/>
    </row>
    <row r="610" spans="1:24" s="41" customFormat="1">
      <c r="A610" s="42">
        <v>46383</v>
      </c>
      <c r="B610" s="43" t="s">
        <v>962</v>
      </c>
      <c r="C610" s="44"/>
      <c r="D610" s="44"/>
      <c r="E610" s="44"/>
      <c r="F610" s="44"/>
      <c r="G610" s="44"/>
      <c r="H610" s="44"/>
      <c r="I610" s="44"/>
      <c r="J610" s="44"/>
      <c r="K610" s="44"/>
      <c r="L610" s="44"/>
      <c r="M610" s="44">
        <f t="shared" si="9"/>
        <v>0</v>
      </c>
      <c r="N610" s="45"/>
      <c r="O610" s="44"/>
      <c r="P610" s="44"/>
      <c r="Q610" s="44"/>
      <c r="R610" s="44"/>
      <c r="S610" s="44"/>
      <c r="T610" s="44"/>
      <c r="U610" s="44"/>
      <c r="V610" s="44"/>
      <c r="W610" s="44"/>
      <c r="X610" s="44"/>
    </row>
    <row r="611" spans="1:24" s="41" customFormat="1">
      <c r="A611" s="42">
        <v>46384</v>
      </c>
      <c r="B611" s="43" t="s">
        <v>962</v>
      </c>
      <c r="C611" s="44"/>
      <c r="D611" s="44"/>
      <c r="E611" s="44"/>
      <c r="F611" s="44"/>
      <c r="G611" s="44"/>
      <c r="H611" s="44"/>
      <c r="I611" s="44"/>
      <c r="J611" s="44"/>
      <c r="K611" s="44"/>
      <c r="L611" s="44"/>
      <c r="M611" s="44">
        <f t="shared" si="9"/>
        <v>0</v>
      </c>
      <c r="N611" s="45"/>
      <c r="O611" s="44"/>
      <c r="P611" s="44"/>
      <c r="Q611" s="44"/>
      <c r="R611" s="44"/>
      <c r="S611" s="44"/>
      <c r="T611" s="44"/>
      <c r="U611" s="44"/>
      <c r="V611" s="44"/>
      <c r="W611" s="44"/>
      <c r="X611" s="44"/>
    </row>
    <row r="612" spans="1:24" s="41" customFormat="1">
      <c r="A612" s="42">
        <v>46385</v>
      </c>
      <c r="B612" s="43" t="s">
        <v>962</v>
      </c>
      <c r="C612" s="44"/>
      <c r="D612" s="44"/>
      <c r="E612" s="44"/>
      <c r="F612" s="44"/>
      <c r="G612" s="44"/>
      <c r="H612" s="44"/>
      <c r="I612" s="44"/>
      <c r="J612" s="44"/>
      <c r="K612" s="44"/>
      <c r="L612" s="44"/>
      <c r="M612" s="44">
        <f t="shared" si="9"/>
        <v>0</v>
      </c>
      <c r="N612" s="45"/>
      <c r="O612" s="44"/>
      <c r="P612" s="44"/>
      <c r="Q612" s="44"/>
      <c r="R612" s="44"/>
      <c r="S612" s="44"/>
      <c r="T612" s="44"/>
      <c r="U612" s="44"/>
      <c r="V612" s="44"/>
      <c r="W612" s="44"/>
      <c r="X612" s="44"/>
    </row>
    <row r="613" spans="1:24" s="41" customFormat="1">
      <c r="A613" s="42">
        <v>46386</v>
      </c>
      <c r="B613" s="43" t="s">
        <v>962</v>
      </c>
      <c r="C613" s="44"/>
      <c r="D613" s="44"/>
      <c r="E613" s="44"/>
      <c r="F613" s="44"/>
      <c r="G613" s="44"/>
      <c r="H613" s="44"/>
      <c r="I613" s="44"/>
      <c r="J613" s="44"/>
      <c r="K613" s="44"/>
      <c r="L613" s="44"/>
      <c r="M613" s="44">
        <f t="shared" si="9"/>
        <v>0</v>
      </c>
      <c r="N613" s="45"/>
      <c r="O613" s="44"/>
      <c r="P613" s="44"/>
      <c r="Q613" s="44"/>
      <c r="R613" s="44"/>
      <c r="S613" s="44"/>
      <c r="T613" s="44"/>
      <c r="U613" s="44"/>
      <c r="V613" s="44"/>
      <c r="W613" s="44"/>
      <c r="X613" s="44"/>
    </row>
    <row r="614" spans="1:24" s="41" customFormat="1">
      <c r="A614" s="42">
        <v>46387</v>
      </c>
      <c r="B614" s="43" t="s">
        <v>962</v>
      </c>
      <c r="C614" s="44"/>
      <c r="D614" s="44"/>
      <c r="E614" s="44"/>
      <c r="F614" s="44"/>
      <c r="G614" s="44"/>
      <c r="H614" s="44"/>
      <c r="I614" s="44"/>
      <c r="J614" s="44"/>
      <c r="K614" s="44"/>
      <c r="L614" s="44"/>
      <c r="M614" s="44">
        <f t="shared" si="9"/>
        <v>0</v>
      </c>
      <c r="N614" s="45"/>
      <c r="O614" s="44"/>
      <c r="P614" s="44"/>
      <c r="Q614" s="44"/>
      <c r="R614" s="44"/>
      <c r="S614" s="44"/>
      <c r="T614" s="44"/>
      <c r="U614" s="44"/>
      <c r="V614" s="44"/>
      <c r="W614" s="44"/>
      <c r="X614" s="44"/>
    </row>
    <row r="615" spans="1:24" s="41" customFormat="1">
      <c r="A615" s="42">
        <v>46082</v>
      </c>
      <c r="B615" s="43" t="s">
        <v>963</v>
      </c>
      <c r="C615" s="44">
        <v>361.3005</v>
      </c>
      <c r="D615" s="44">
        <v>361.3005</v>
      </c>
      <c r="E615" s="44">
        <v>295.60950000000003</v>
      </c>
      <c r="F615" s="44">
        <v>624.06450000000007</v>
      </c>
      <c r="G615" s="44">
        <v>361.3005</v>
      </c>
      <c r="H615" s="44">
        <v>426.99150000000003</v>
      </c>
      <c r="I615" s="44">
        <v>262.76400000000001</v>
      </c>
      <c r="J615" s="44">
        <v>131.38200000000001</v>
      </c>
      <c r="K615" s="44">
        <v>328.45500000000004</v>
      </c>
      <c r="L615" s="44">
        <v>131.38200000000001</v>
      </c>
      <c r="M615" s="44">
        <f t="shared" si="9"/>
        <v>770.44999999999982</v>
      </c>
      <c r="N615" s="45">
        <v>4055</v>
      </c>
      <c r="O615" s="44">
        <v>130</v>
      </c>
      <c r="P615" s="44">
        <v>2</v>
      </c>
      <c r="Q615" s="44">
        <v>955</v>
      </c>
      <c r="R615" s="44">
        <v>900</v>
      </c>
      <c r="S615" s="44">
        <v>500</v>
      </c>
      <c r="T615" s="44">
        <v>500</v>
      </c>
      <c r="U615" s="44">
        <v>0</v>
      </c>
      <c r="V615" s="44">
        <v>424</v>
      </c>
      <c r="W615" s="44">
        <v>644</v>
      </c>
      <c r="X615" s="44">
        <v>0</v>
      </c>
    </row>
    <row r="616" spans="1:24" s="41" customFormat="1">
      <c r="A616" s="42">
        <v>46083</v>
      </c>
      <c r="B616" s="43" t="s">
        <v>13</v>
      </c>
      <c r="C616" s="44">
        <v>357.46920000000006</v>
      </c>
      <c r="D616" s="44">
        <v>357.46920000000006</v>
      </c>
      <c r="E616" s="44">
        <v>292.47480000000002</v>
      </c>
      <c r="F616" s="44">
        <v>617.44680000000005</v>
      </c>
      <c r="G616" s="44">
        <v>357.46920000000006</v>
      </c>
      <c r="H616" s="44">
        <v>422.46360000000004</v>
      </c>
      <c r="I616" s="44">
        <v>259.97760000000005</v>
      </c>
      <c r="J616" s="44">
        <v>129.98880000000003</v>
      </c>
      <c r="K616" s="44">
        <v>324.97200000000004</v>
      </c>
      <c r="L616" s="44">
        <v>129.98880000000003</v>
      </c>
      <c r="M616" s="44">
        <f t="shared" si="9"/>
        <v>762.27999999999929</v>
      </c>
      <c r="N616" s="45">
        <v>4012</v>
      </c>
      <c r="O616" s="44">
        <v>130</v>
      </c>
      <c r="P616" s="44">
        <v>2</v>
      </c>
      <c r="Q616" s="44">
        <v>738</v>
      </c>
      <c r="R616" s="44">
        <v>900</v>
      </c>
      <c r="S616" s="44">
        <v>450</v>
      </c>
      <c r="T616" s="44">
        <v>500</v>
      </c>
      <c r="U616" s="44">
        <v>0</v>
      </c>
      <c r="V616" s="44">
        <v>424</v>
      </c>
      <c r="W616" s="44">
        <v>768</v>
      </c>
      <c r="X616" s="44">
        <v>100</v>
      </c>
    </row>
    <row r="617" spans="1:24" s="41" customFormat="1">
      <c r="A617" s="42">
        <v>46084</v>
      </c>
      <c r="B617" s="43" t="s">
        <v>13</v>
      </c>
      <c r="C617" s="44">
        <v>360.49860000000001</v>
      </c>
      <c r="D617" s="44">
        <v>360.49860000000001</v>
      </c>
      <c r="E617" s="44">
        <v>294.95339999999999</v>
      </c>
      <c r="F617" s="44">
        <v>622.6794000000001</v>
      </c>
      <c r="G617" s="44">
        <v>360.49860000000001</v>
      </c>
      <c r="H617" s="44">
        <v>426.04380000000003</v>
      </c>
      <c r="I617" s="44">
        <v>262.18080000000003</v>
      </c>
      <c r="J617" s="44">
        <v>131.09040000000002</v>
      </c>
      <c r="K617" s="44">
        <v>327.72600000000006</v>
      </c>
      <c r="L617" s="44">
        <v>131.09040000000002</v>
      </c>
      <c r="M617" s="44">
        <f t="shared" si="9"/>
        <v>768.73999999999978</v>
      </c>
      <c r="N617" s="45">
        <v>4046</v>
      </c>
      <c r="O617" s="44">
        <v>130</v>
      </c>
      <c r="P617" s="44">
        <v>2</v>
      </c>
      <c r="Q617" s="44">
        <v>738</v>
      </c>
      <c r="R617" s="44">
        <v>900</v>
      </c>
      <c r="S617" s="44">
        <v>450</v>
      </c>
      <c r="T617" s="44">
        <v>500</v>
      </c>
      <c r="U617" s="44">
        <v>0</v>
      </c>
      <c r="V617" s="44">
        <v>424</v>
      </c>
      <c r="W617" s="44">
        <v>802</v>
      </c>
      <c r="X617" s="44">
        <v>100</v>
      </c>
    </row>
    <row r="618" spans="1:24" s="41" customFormat="1">
      <c r="A618" s="42">
        <v>46085</v>
      </c>
      <c r="B618" s="43" t="s">
        <v>13</v>
      </c>
      <c r="C618" s="44">
        <v>359.16210000000001</v>
      </c>
      <c r="D618" s="44">
        <v>359.16210000000001</v>
      </c>
      <c r="E618" s="44">
        <v>293.85989999999998</v>
      </c>
      <c r="F618" s="44">
        <v>620.37090000000001</v>
      </c>
      <c r="G618" s="44">
        <v>359.16210000000001</v>
      </c>
      <c r="H618" s="44">
        <v>424.46430000000004</v>
      </c>
      <c r="I618" s="44">
        <v>261.2088</v>
      </c>
      <c r="J618" s="44">
        <v>130.6044</v>
      </c>
      <c r="K618" s="44">
        <v>326.51100000000002</v>
      </c>
      <c r="L618" s="44">
        <v>130.6044</v>
      </c>
      <c r="M618" s="44">
        <f t="shared" si="9"/>
        <v>765.88999999999987</v>
      </c>
      <c r="N618" s="45">
        <v>4031</v>
      </c>
      <c r="O618" s="44">
        <v>130</v>
      </c>
      <c r="P618" s="44">
        <v>2</v>
      </c>
      <c r="Q618" s="44">
        <v>738</v>
      </c>
      <c r="R618" s="44">
        <v>900</v>
      </c>
      <c r="S618" s="44">
        <v>450</v>
      </c>
      <c r="T618" s="44">
        <v>500</v>
      </c>
      <c r="U618" s="44">
        <v>0</v>
      </c>
      <c r="V618" s="44">
        <v>424</v>
      </c>
      <c r="W618" s="44">
        <v>787</v>
      </c>
      <c r="X618" s="44">
        <v>100</v>
      </c>
    </row>
    <row r="619" spans="1:24" s="41" customFormat="1">
      <c r="A619" s="42">
        <v>46086</v>
      </c>
      <c r="B619" s="43" t="s">
        <v>13</v>
      </c>
      <c r="C619" s="44">
        <v>366.91380000000004</v>
      </c>
      <c r="D619" s="44">
        <v>366.91380000000004</v>
      </c>
      <c r="E619" s="44">
        <v>300.2022</v>
      </c>
      <c r="F619" s="44">
        <v>633.76020000000005</v>
      </c>
      <c r="G619" s="44">
        <v>366.91380000000004</v>
      </c>
      <c r="H619" s="44">
        <v>433.62540000000007</v>
      </c>
      <c r="I619" s="44">
        <v>266.84640000000002</v>
      </c>
      <c r="J619" s="44">
        <v>133.42320000000001</v>
      </c>
      <c r="K619" s="44">
        <v>333.55800000000005</v>
      </c>
      <c r="L619" s="44">
        <v>133.42320000000001</v>
      </c>
      <c r="M619" s="44">
        <f t="shared" si="9"/>
        <v>782.41999999999962</v>
      </c>
      <c r="N619" s="45">
        <v>4118</v>
      </c>
      <c r="O619" s="44">
        <v>130</v>
      </c>
      <c r="P619" s="44">
        <v>2</v>
      </c>
      <c r="Q619" s="44">
        <v>738</v>
      </c>
      <c r="R619" s="44">
        <v>900</v>
      </c>
      <c r="S619" s="44">
        <v>450</v>
      </c>
      <c r="T619" s="44">
        <v>500</v>
      </c>
      <c r="U619" s="44">
        <v>0</v>
      </c>
      <c r="V619" s="44">
        <v>424</v>
      </c>
      <c r="W619" s="44">
        <v>874</v>
      </c>
      <c r="X619" s="44">
        <v>100</v>
      </c>
    </row>
    <row r="620" spans="1:24" s="41" customFormat="1">
      <c r="A620" s="42">
        <v>46087</v>
      </c>
      <c r="B620" s="43" t="s">
        <v>13</v>
      </c>
      <c r="C620" s="44">
        <v>386.87220000000008</v>
      </c>
      <c r="D620" s="44">
        <v>386.87220000000008</v>
      </c>
      <c r="E620" s="44">
        <v>316.53180000000003</v>
      </c>
      <c r="F620" s="44">
        <v>668.23380000000009</v>
      </c>
      <c r="G620" s="44">
        <v>386.87220000000008</v>
      </c>
      <c r="H620" s="44">
        <v>457.21260000000007</v>
      </c>
      <c r="I620" s="44">
        <v>281.36160000000007</v>
      </c>
      <c r="J620" s="44">
        <v>140.68080000000003</v>
      </c>
      <c r="K620" s="44">
        <v>351.70200000000006</v>
      </c>
      <c r="L620" s="44">
        <v>140.68080000000003</v>
      </c>
      <c r="M620" s="44">
        <f t="shared" si="9"/>
        <v>824.97999999999865</v>
      </c>
      <c r="N620" s="45">
        <v>4342</v>
      </c>
      <c r="O620" s="44">
        <v>130</v>
      </c>
      <c r="P620" s="44">
        <v>2</v>
      </c>
      <c r="Q620" s="44">
        <v>738</v>
      </c>
      <c r="R620" s="44">
        <v>900</v>
      </c>
      <c r="S620" s="44">
        <v>450</v>
      </c>
      <c r="T620" s="44">
        <v>500</v>
      </c>
      <c r="U620" s="44">
        <v>245</v>
      </c>
      <c r="V620" s="44">
        <v>424</v>
      </c>
      <c r="W620" s="44">
        <v>851</v>
      </c>
      <c r="X620" s="44">
        <v>102</v>
      </c>
    </row>
    <row r="621" spans="1:24" s="41" customFormat="1">
      <c r="A621" s="42">
        <v>46088</v>
      </c>
      <c r="B621" s="43" t="s">
        <v>13</v>
      </c>
      <c r="C621" s="44">
        <v>417.34440000000006</v>
      </c>
      <c r="D621" s="44">
        <v>417.34440000000006</v>
      </c>
      <c r="E621" s="44">
        <v>341.46360000000004</v>
      </c>
      <c r="F621" s="44">
        <v>720.86760000000004</v>
      </c>
      <c r="G621" s="44">
        <v>417.34440000000006</v>
      </c>
      <c r="H621" s="44">
        <v>493.22520000000009</v>
      </c>
      <c r="I621" s="44">
        <v>303.52320000000003</v>
      </c>
      <c r="J621" s="44">
        <v>151.76160000000002</v>
      </c>
      <c r="K621" s="44">
        <v>379.40400000000005</v>
      </c>
      <c r="L621" s="44">
        <v>151.76160000000002</v>
      </c>
      <c r="M621" s="44">
        <f t="shared" si="9"/>
        <v>889.96</v>
      </c>
      <c r="N621" s="45">
        <v>4684</v>
      </c>
      <c r="O621" s="44">
        <v>130</v>
      </c>
      <c r="P621" s="44">
        <v>2</v>
      </c>
      <c r="Q621" s="44">
        <v>959</v>
      </c>
      <c r="R621" s="44">
        <v>900</v>
      </c>
      <c r="S621" s="44">
        <v>500</v>
      </c>
      <c r="T621" s="44">
        <v>600</v>
      </c>
      <c r="U621" s="44">
        <v>245</v>
      </c>
      <c r="V621" s="44">
        <v>424</v>
      </c>
      <c r="W621" s="44">
        <v>924</v>
      </c>
      <c r="X621" s="44">
        <v>0</v>
      </c>
    </row>
    <row r="622" spans="1:24" s="41" customFormat="1">
      <c r="A622" s="42">
        <v>46089</v>
      </c>
      <c r="B622" s="43" t="s">
        <v>13</v>
      </c>
      <c r="C622" s="44">
        <v>432.13500000000005</v>
      </c>
      <c r="D622" s="44">
        <v>432.13500000000005</v>
      </c>
      <c r="E622" s="44">
        <v>353.56500000000005</v>
      </c>
      <c r="F622" s="44">
        <v>746.41500000000008</v>
      </c>
      <c r="G622" s="44">
        <v>432.13500000000005</v>
      </c>
      <c r="H622" s="44">
        <v>510.7050000000001</v>
      </c>
      <c r="I622" s="44">
        <v>314.28000000000003</v>
      </c>
      <c r="J622" s="44">
        <v>157.14000000000001</v>
      </c>
      <c r="K622" s="44">
        <v>392.85000000000008</v>
      </c>
      <c r="L622" s="44">
        <v>157.14000000000001</v>
      </c>
      <c r="M622" s="44">
        <f t="shared" si="9"/>
        <v>921.5</v>
      </c>
      <c r="N622" s="45">
        <v>4850</v>
      </c>
      <c r="O622" s="44">
        <v>130</v>
      </c>
      <c r="P622" s="44">
        <v>2</v>
      </c>
      <c r="Q622" s="44">
        <v>959</v>
      </c>
      <c r="R622" s="44">
        <v>1025</v>
      </c>
      <c r="S622" s="44">
        <v>500</v>
      </c>
      <c r="T622" s="44">
        <v>600</v>
      </c>
      <c r="U622" s="44">
        <v>245</v>
      </c>
      <c r="V622" s="44">
        <v>424</v>
      </c>
      <c r="W622" s="44">
        <v>965</v>
      </c>
      <c r="X622" s="44">
        <v>0</v>
      </c>
    </row>
    <row r="623" spans="1:24" s="41" customFormat="1">
      <c r="A623" s="42">
        <v>46090</v>
      </c>
      <c r="B623" s="43" t="s">
        <v>13</v>
      </c>
      <c r="C623" s="44">
        <v>408.79080000000005</v>
      </c>
      <c r="D623" s="44">
        <v>408.79080000000005</v>
      </c>
      <c r="E623" s="44">
        <v>334.46519999999998</v>
      </c>
      <c r="F623" s="44">
        <v>706.09320000000002</v>
      </c>
      <c r="G623" s="44">
        <v>408.79080000000005</v>
      </c>
      <c r="H623" s="44">
        <v>483.11640000000006</v>
      </c>
      <c r="I623" s="44">
        <v>297.30240000000003</v>
      </c>
      <c r="J623" s="44">
        <v>148.65120000000002</v>
      </c>
      <c r="K623" s="44">
        <v>371.62800000000004</v>
      </c>
      <c r="L623" s="44">
        <v>148.65120000000002</v>
      </c>
      <c r="M623" s="44">
        <f t="shared" si="9"/>
        <v>871.72000000000025</v>
      </c>
      <c r="N623" s="45">
        <v>4588</v>
      </c>
      <c r="O623" s="44">
        <v>130</v>
      </c>
      <c r="P623" s="44">
        <v>2</v>
      </c>
      <c r="Q623" s="44">
        <v>738</v>
      </c>
      <c r="R623" s="44">
        <v>1025</v>
      </c>
      <c r="S623" s="44">
        <v>450</v>
      </c>
      <c r="T623" s="44">
        <v>500</v>
      </c>
      <c r="U623" s="44">
        <v>245</v>
      </c>
      <c r="V623" s="44">
        <v>424</v>
      </c>
      <c r="W623" s="44">
        <v>972</v>
      </c>
      <c r="X623" s="44">
        <v>102</v>
      </c>
    </row>
    <row r="624" spans="1:24" s="41" customFormat="1">
      <c r="A624" s="42">
        <v>46091</v>
      </c>
      <c r="B624" s="43" t="s">
        <v>13</v>
      </c>
      <c r="C624" s="44">
        <v>385.53570000000002</v>
      </c>
      <c r="D624" s="44">
        <v>385.53570000000002</v>
      </c>
      <c r="E624" s="44">
        <v>315.43830000000003</v>
      </c>
      <c r="F624" s="44">
        <v>665.92530000000011</v>
      </c>
      <c r="G624" s="44">
        <v>385.53570000000002</v>
      </c>
      <c r="H624" s="44">
        <v>455.63310000000007</v>
      </c>
      <c r="I624" s="44">
        <v>280.38960000000003</v>
      </c>
      <c r="J624" s="44">
        <v>140.19480000000001</v>
      </c>
      <c r="K624" s="44">
        <v>350.48700000000008</v>
      </c>
      <c r="L624" s="44">
        <v>140.19480000000001</v>
      </c>
      <c r="M624" s="44">
        <f t="shared" si="9"/>
        <v>822.1299999999992</v>
      </c>
      <c r="N624" s="45">
        <v>4327</v>
      </c>
      <c r="O624" s="44">
        <v>130</v>
      </c>
      <c r="P624" s="44">
        <v>2</v>
      </c>
      <c r="Q624" s="44">
        <v>738</v>
      </c>
      <c r="R624" s="44">
        <v>1025</v>
      </c>
      <c r="S624" s="44">
        <v>450</v>
      </c>
      <c r="T624" s="44">
        <v>500</v>
      </c>
      <c r="U624" s="44">
        <v>0</v>
      </c>
      <c r="V624" s="44">
        <v>424</v>
      </c>
      <c r="W624" s="44">
        <v>956</v>
      </c>
      <c r="X624" s="44">
        <v>102</v>
      </c>
    </row>
    <row r="625" spans="1:24" s="41" customFormat="1">
      <c r="A625" s="42">
        <v>46092</v>
      </c>
      <c r="B625" s="43" t="s">
        <v>13</v>
      </c>
      <c r="C625" s="44">
        <v>427.41270000000003</v>
      </c>
      <c r="D625" s="44">
        <v>427.41270000000003</v>
      </c>
      <c r="E625" s="44">
        <v>349.7013</v>
      </c>
      <c r="F625" s="44">
        <v>738.25830000000008</v>
      </c>
      <c r="G625" s="44">
        <v>427.41270000000003</v>
      </c>
      <c r="H625" s="44">
        <v>505.12410000000006</v>
      </c>
      <c r="I625" s="44">
        <v>310.84560000000005</v>
      </c>
      <c r="J625" s="44">
        <v>155.42280000000002</v>
      </c>
      <c r="K625" s="44">
        <v>388.55700000000002</v>
      </c>
      <c r="L625" s="44">
        <v>155.42280000000002</v>
      </c>
      <c r="M625" s="44">
        <f t="shared" si="9"/>
        <v>911.42999999999984</v>
      </c>
      <c r="N625" s="45">
        <v>4797</v>
      </c>
      <c r="O625" s="44">
        <v>130</v>
      </c>
      <c r="P625" s="44">
        <v>2</v>
      </c>
      <c r="Q625" s="44">
        <v>812</v>
      </c>
      <c r="R625" s="44">
        <v>1025</v>
      </c>
      <c r="S625" s="44">
        <v>450</v>
      </c>
      <c r="T625" s="44">
        <v>500</v>
      </c>
      <c r="U625" s="44">
        <v>470</v>
      </c>
      <c r="V625" s="44">
        <v>424</v>
      </c>
      <c r="W625" s="44">
        <v>882</v>
      </c>
      <c r="X625" s="44">
        <v>102</v>
      </c>
    </row>
    <row r="626" spans="1:24" s="41" customFormat="1">
      <c r="A626" s="42">
        <v>46093</v>
      </c>
      <c r="B626" s="43" t="s">
        <v>13</v>
      </c>
      <c r="C626" s="44">
        <v>424.6506</v>
      </c>
      <c r="D626" s="44">
        <v>424.6506</v>
      </c>
      <c r="E626" s="44">
        <v>347.44139999999999</v>
      </c>
      <c r="F626" s="44">
        <v>733.48739999999998</v>
      </c>
      <c r="G626" s="44">
        <v>424.6506</v>
      </c>
      <c r="H626" s="44">
        <v>501.85980000000001</v>
      </c>
      <c r="I626" s="44">
        <v>308.83679999999998</v>
      </c>
      <c r="J626" s="44">
        <v>154.41839999999999</v>
      </c>
      <c r="K626" s="44">
        <v>386.04600000000005</v>
      </c>
      <c r="L626" s="44">
        <v>154.41839999999999</v>
      </c>
      <c r="M626" s="44">
        <f t="shared" si="9"/>
        <v>905.53999999999951</v>
      </c>
      <c r="N626" s="45">
        <v>4766</v>
      </c>
      <c r="O626" s="44">
        <v>130</v>
      </c>
      <c r="P626" s="44">
        <v>2</v>
      </c>
      <c r="Q626" s="44">
        <v>812</v>
      </c>
      <c r="R626" s="44">
        <v>1025</v>
      </c>
      <c r="S626" s="44">
        <v>450</v>
      </c>
      <c r="T626" s="44">
        <v>500</v>
      </c>
      <c r="U626" s="44">
        <v>470</v>
      </c>
      <c r="V626" s="44">
        <v>424</v>
      </c>
      <c r="W626" s="44">
        <v>851</v>
      </c>
      <c r="X626" s="44">
        <v>102</v>
      </c>
    </row>
    <row r="627" spans="1:24" s="41" customFormat="1">
      <c r="A627" s="42">
        <v>46094</v>
      </c>
      <c r="B627" s="43" t="s">
        <v>13</v>
      </c>
      <c r="C627" s="44">
        <v>434.89710000000002</v>
      </c>
      <c r="D627" s="44">
        <v>434.89710000000002</v>
      </c>
      <c r="E627" s="44">
        <v>355.82490000000001</v>
      </c>
      <c r="F627" s="44">
        <v>751.18590000000006</v>
      </c>
      <c r="G627" s="44">
        <v>434.89710000000002</v>
      </c>
      <c r="H627" s="44">
        <v>513.96930000000009</v>
      </c>
      <c r="I627" s="44">
        <v>316.28880000000004</v>
      </c>
      <c r="J627" s="44">
        <v>158.14440000000002</v>
      </c>
      <c r="K627" s="44">
        <v>395.36100000000005</v>
      </c>
      <c r="L627" s="44">
        <v>158.14440000000002</v>
      </c>
      <c r="M627" s="44">
        <f t="shared" si="9"/>
        <v>927.38999999999942</v>
      </c>
      <c r="N627" s="45">
        <v>4881</v>
      </c>
      <c r="O627" s="44">
        <v>130</v>
      </c>
      <c r="P627" s="44">
        <v>2</v>
      </c>
      <c r="Q627" s="44">
        <v>812</v>
      </c>
      <c r="R627" s="44">
        <v>1025</v>
      </c>
      <c r="S627" s="44">
        <v>450</v>
      </c>
      <c r="T627" s="44">
        <v>500</v>
      </c>
      <c r="U627" s="44">
        <v>470</v>
      </c>
      <c r="V627" s="44">
        <v>424</v>
      </c>
      <c r="W627" s="44">
        <v>966</v>
      </c>
      <c r="X627" s="44">
        <v>102</v>
      </c>
    </row>
    <row r="628" spans="1:24" s="41" customFormat="1">
      <c r="A628" s="42">
        <v>46095</v>
      </c>
      <c r="B628" s="43" t="s">
        <v>13</v>
      </c>
      <c r="C628" s="44">
        <v>543.06450000000007</v>
      </c>
      <c r="D628" s="44">
        <v>543.06450000000007</v>
      </c>
      <c r="E628" s="44">
        <v>444.32550000000003</v>
      </c>
      <c r="F628" s="44">
        <v>938.0205000000002</v>
      </c>
      <c r="G628" s="44">
        <v>543.06450000000007</v>
      </c>
      <c r="H628" s="44">
        <v>641.8035000000001</v>
      </c>
      <c r="I628" s="44">
        <v>394.95600000000007</v>
      </c>
      <c r="J628" s="44">
        <v>197.47800000000004</v>
      </c>
      <c r="K628" s="44">
        <v>493.69500000000011</v>
      </c>
      <c r="L628" s="44">
        <v>197.47800000000004</v>
      </c>
      <c r="M628" s="44">
        <f t="shared" si="9"/>
        <v>1158.0500000000002</v>
      </c>
      <c r="N628" s="45">
        <v>6095</v>
      </c>
      <c r="O628" s="44">
        <v>130</v>
      </c>
      <c r="P628" s="44">
        <v>2</v>
      </c>
      <c r="Q628" s="44">
        <v>1055</v>
      </c>
      <c r="R628" s="44">
        <v>1901</v>
      </c>
      <c r="S628" s="44">
        <v>500</v>
      </c>
      <c r="T628" s="44">
        <v>600</v>
      </c>
      <c r="U628" s="44">
        <v>470</v>
      </c>
      <c r="V628" s="44">
        <v>424</v>
      </c>
      <c r="W628" s="44">
        <v>1013</v>
      </c>
      <c r="X628" s="44">
        <v>0</v>
      </c>
    </row>
    <row r="629" spans="1:24" s="41" customFormat="1">
      <c r="A629" s="42">
        <v>46096</v>
      </c>
      <c r="B629" s="43" t="s">
        <v>13</v>
      </c>
      <c r="C629" s="44">
        <v>459.48869999999999</v>
      </c>
      <c r="D629" s="44">
        <v>459.48869999999999</v>
      </c>
      <c r="E629" s="44">
        <v>375.94529999999997</v>
      </c>
      <c r="F629" s="44">
        <v>793.66230000000007</v>
      </c>
      <c r="G629" s="44">
        <v>459.48869999999999</v>
      </c>
      <c r="H629" s="44">
        <v>543.03210000000001</v>
      </c>
      <c r="I629" s="44">
        <v>334.17360000000002</v>
      </c>
      <c r="J629" s="44">
        <v>167.08680000000001</v>
      </c>
      <c r="K629" s="44">
        <v>417.71700000000004</v>
      </c>
      <c r="L629" s="44">
        <v>167.08680000000001</v>
      </c>
      <c r="M629" s="44">
        <f t="shared" si="9"/>
        <v>979.82999999999993</v>
      </c>
      <c r="N629" s="45">
        <v>5157</v>
      </c>
      <c r="O629" s="44">
        <v>130</v>
      </c>
      <c r="P629" s="44">
        <v>2</v>
      </c>
      <c r="Q629" s="44">
        <v>1055</v>
      </c>
      <c r="R629" s="44">
        <v>1025</v>
      </c>
      <c r="S629" s="44">
        <v>500</v>
      </c>
      <c r="T629" s="44">
        <v>400</v>
      </c>
      <c r="U629" s="44">
        <v>470</v>
      </c>
      <c r="V629" s="44">
        <v>424</v>
      </c>
      <c r="W629" s="44">
        <v>1151</v>
      </c>
      <c r="X629" s="44">
        <v>0</v>
      </c>
    </row>
    <row r="630" spans="1:24" s="41" customFormat="1">
      <c r="A630" s="42">
        <v>46097</v>
      </c>
      <c r="B630" s="43" t="s">
        <v>13</v>
      </c>
      <c r="C630" s="44">
        <v>446.21280000000007</v>
      </c>
      <c r="D630" s="44">
        <v>446.21280000000007</v>
      </c>
      <c r="E630" s="44">
        <v>365.08320000000003</v>
      </c>
      <c r="F630" s="44">
        <v>770.73120000000006</v>
      </c>
      <c r="G630" s="44">
        <v>446.21280000000007</v>
      </c>
      <c r="H630" s="44">
        <v>527.34240000000011</v>
      </c>
      <c r="I630" s="44">
        <v>324.51840000000004</v>
      </c>
      <c r="J630" s="44">
        <v>162.25920000000002</v>
      </c>
      <c r="K630" s="44">
        <v>405.64800000000008</v>
      </c>
      <c r="L630" s="44">
        <v>162.25920000000002</v>
      </c>
      <c r="M630" s="44">
        <f t="shared" si="9"/>
        <v>951.51999999999953</v>
      </c>
      <c r="N630" s="45">
        <v>5008</v>
      </c>
      <c r="O630" s="44">
        <v>130</v>
      </c>
      <c r="P630" s="44">
        <v>2</v>
      </c>
      <c r="Q630" s="44">
        <v>812</v>
      </c>
      <c r="R630" s="44">
        <v>1025</v>
      </c>
      <c r="S630" s="44">
        <v>450</v>
      </c>
      <c r="T630" s="44">
        <v>400</v>
      </c>
      <c r="U630" s="44">
        <v>470</v>
      </c>
      <c r="V630" s="44">
        <v>424</v>
      </c>
      <c r="W630" s="44">
        <v>1193</v>
      </c>
      <c r="X630" s="44">
        <v>102</v>
      </c>
    </row>
    <row r="631" spans="1:24" s="41" customFormat="1">
      <c r="A631" s="42">
        <v>46098</v>
      </c>
      <c r="B631" s="43" t="s">
        <v>13</v>
      </c>
      <c r="C631" s="44">
        <v>396.04950000000002</v>
      </c>
      <c r="D631" s="44">
        <v>396.04950000000002</v>
      </c>
      <c r="E631" s="44">
        <v>324.04050000000001</v>
      </c>
      <c r="F631" s="44">
        <v>684.08550000000002</v>
      </c>
      <c r="G631" s="44">
        <v>396.04950000000002</v>
      </c>
      <c r="H631" s="44">
        <v>468.05850000000004</v>
      </c>
      <c r="I631" s="44">
        <v>288.036</v>
      </c>
      <c r="J631" s="44">
        <v>144.018</v>
      </c>
      <c r="K631" s="44">
        <v>360.04500000000007</v>
      </c>
      <c r="L631" s="44">
        <v>144.018</v>
      </c>
      <c r="M631" s="44">
        <f t="shared" si="9"/>
        <v>844.54999999999973</v>
      </c>
      <c r="N631" s="45">
        <v>4445</v>
      </c>
      <c r="O631" s="44">
        <v>130</v>
      </c>
      <c r="P631" s="44">
        <v>2</v>
      </c>
      <c r="Q631" s="44">
        <v>812</v>
      </c>
      <c r="R631" s="44">
        <v>1025</v>
      </c>
      <c r="S631" s="44">
        <v>450</v>
      </c>
      <c r="T631" s="44">
        <v>400</v>
      </c>
      <c r="U631" s="44">
        <v>0</v>
      </c>
      <c r="V631" s="44">
        <v>424</v>
      </c>
      <c r="W631" s="44">
        <v>1100</v>
      </c>
      <c r="X631" s="44">
        <v>102</v>
      </c>
    </row>
    <row r="632" spans="1:24" s="41" customFormat="1">
      <c r="A632" s="42">
        <v>46099</v>
      </c>
      <c r="B632" s="43" t="s">
        <v>13</v>
      </c>
      <c r="C632" s="44">
        <v>395.96040000000005</v>
      </c>
      <c r="D632" s="44">
        <v>395.96040000000005</v>
      </c>
      <c r="E632" s="44">
        <v>323.9676</v>
      </c>
      <c r="F632" s="44">
        <v>683.93160000000012</v>
      </c>
      <c r="G632" s="44">
        <v>395.96040000000005</v>
      </c>
      <c r="H632" s="44">
        <v>467.95320000000004</v>
      </c>
      <c r="I632" s="44">
        <v>287.97120000000001</v>
      </c>
      <c r="J632" s="44">
        <v>143.98560000000001</v>
      </c>
      <c r="K632" s="44">
        <v>359.96400000000006</v>
      </c>
      <c r="L632" s="44">
        <v>143.98560000000001</v>
      </c>
      <c r="M632" s="44">
        <f t="shared" si="9"/>
        <v>844.36000000000013</v>
      </c>
      <c r="N632" s="45">
        <v>4444</v>
      </c>
      <c r="O632" s="44">
        <v>131</v>
      </c>
      <c r="P632" s="44">
        <v>2</v>
      </c>
      <c r="Q632" s="44">
        <v>812</v>
      </c>
      <c r="R632" s="44">
        <v>1025</v>
      </c>
      <c r="S632" s="44">
        <v>450</v>
      </c>
      <c r="T632" s="44">
        <v>400</v>
      </c>
      <c r="U632" s="44">
        <v>0</v>
      </c>
      <c r="V632" s="44">
        <v>424</v>
      </c>
      <c r="W632" s="44">
        <v>1098</v>
      </c>
      <c r="X632" s="44">
        <v>102</v>
      </c>
    </row>
    <row r="633" spans="1:24" s="41" customFormat="1">
      <c r="A633" s="42">
        <v>46100</v>
      </c>
      <c r="B633" s="43" t="s">
        <v>13</v>
      </c>
      <c r="C633" s="44">
        <v>401.12820000000005</v>
      </c>
      <c r="D633" s="44">
        <v>401.12820000000005</v>
      </c>
      <c r="E633" s="44">
        <v>328.19580000000002</v>
      </c>
      <c r="F633" s="44">
        <v>692.85780000000011</v>
      </c>
      <c r="G633" s="44">
        <v>401.12820000000005</v>
      </c>
      <c r="H633" s="44">
        <v>474.06060000000008</v>
      </c>
      <c r="I633" s="44">
        <v>291.72960000000006</v>
      </c>
      <c r="J633" s="44">
        <v>145.86480000000003</v>
      </c>
      <c r="K633" s="44">
        <v>364.66200000000003</v>
      </c>
      <c r="L633" s="44">
        <v>145.86480000000003</v>
      </c>
      <c r="M633" s="44">
        <f t="shared" si="9"/>
        <v>855.37999999999965</v>
      </c>
      <c r="N633" s="45">
        <v>4502</v>
      </c>
      <c r="O633" s="44">
        <v>131</v>
      </c>
      <c r="P633" s="44">
        <v>2</v>
      </c>
      <c r="Q633" s="44">
        <v>812</v>
      </c>
      <c r="R633" s="44">
        <v>1025</v>
      </c>
      <c r="S633" s="44">
        <v>450</v>
      </c>
      <c r="T633" s="44">
        <v>400</v>
      </c>
      <c r="U633" s="44">
        <v>0</v>
      </c>
      <c r="V633" s="44">
        <v>424</v>
      </c>
      <c r="W633" s="44">
        <v>1156</v>
      </c>
      <c r="X633" s="44">
        <v>102</v>
      </c>
    </row>
    <row r="634" spans="1:24" s="41" customFormat="1">
      <c r="A634" s="42">
        <v>46101</v>
      </c>
      <c r="B634" s="43" t="s">
        <v>13</v>
      </c>
      <c r="C634" s="44">
        <v>378.3186</v>
      </c>
      <c r="D634" s="44">
        <v>378.3186</v>
      </c>
      <c r="E634" s="44">
        <v>309.53340000000003</v>
      </c>
      <c r="F634" s="44">
        <v>653.45940000000007</v>
      </c>
      <c r="G634" s="44">
        <v>378.3186</v>
      </c>
      <c r="H634" s="44">
        <v>447.10380000000004</v>
      </c>
      <c r="I634" s="44">
        <v>275.14080000000001</v>
      </c>
      <c r="J634" s="44">
        <v>137.57040000000001</v>
      </c>
      <c r="K634" s="44">
        <v>343.92600000000004</v>
      </c>
      <c r="L634" s="44">
        <v>137.57040000000001</v>
      </c>
      <c r="M634" s="44">
        <f t="shared" si="9"/>
        <v>806.73999999999978</v>
      </c>
      <c r="N634" s="45">
        <v>4246</v>
      </c>
      <c r="O634" s="44">
        <v>131</v>
      </c>
      <c r="P634" s="44">
        <v>2</v>
      </c>
      <c r="Q634" s="44">
        <v>812</v>
      </c>
      <c r="R634" s="44">
        <v>1025</v>
      </c>
      <c r="S634" s="44">
        <v>450</v>
      </c>
      <c r="T634" s="44">
        <v>200</v>
      </c>
      <c r="U634" s="44">
        <v>0</v>
      </c>
      <c r="V634" s="44">
        <v>424</v>
      </c>
      <c r="W634" s="44">
        <v>1100</v>
      </c>
      <c r="X634" s="44">
        <v>102</v>
      </c>
    </row>
    <row r="635" spans="1:24" s="41" customFormat="1">
      <c r="A635" s="42">
        <v>46102</v>
      </c>
      <c r="B635" s="43" t="s">
        <v>13</v>
      </c>
      <c r="C635" s="44">
        <v>404.78130000000004</v>
      </c>
      <c r="D635" s="44">
        <v>404.78130000000004</v>
      </c>
      <c r="E635" s="44">
        <v>331.18470000000002</v>
      </c>
      <c r="F635" s="44">
        <v>699.16770000000008</v>
      </c>
      <c r="G635" s="44">
        <v>404.78130000000004</v>
      </c>
      <c r="H635" s="44">
        <v>478.37790000000007</v>
      </c>
      <c r="I635" s="44">
        <v>294.38640000000004</v>
      </c>
      <c r="J635" s="44">
        <v>147.19320000000002</v>
      </c>
      <c r="K635" s="44">
        <v>367.98300000000006</v>
      </c>
      <c r="L635" s="44">
        <v>147.19320000000002</v>
      </c>
      <c r="M635" s="44">
        <f t="shared" si="9"/>
        <v>863.16999999999962</v>
      </c>
      <c r="N635" s="45">
        <v>4543</v>
      </c>
      <c r="O635" s="44">
        <v>131</v>
      </c>
      <c r="P635" s="44">
        <v>2</v>
      </c>
      <c r="Q635" s="44">
        <v>1151</v>
      </c>
      <c r="R635" s="44">
        <v>1025</v>
      </c>
      <c r="S635" s="44">
        <v>500</v>
      </c>
      <c r="T635" s="44">
        <v>200</v>
      </c>
      <c r="U635" s="44">
        <v>0</v>
      </c>
      <c r="V635" s="44">
        <v>424</v>
      </c>
      <c r="W635" s="44">
        <v>1110</v>
      </c>
      <c r="X635" s="44">
        <v>0</v>
      </c>
    </row>
    <row r="636" spans="1:24" s="41" customFormat="1">
      <c r="A636" s="42">
        <v>46103</v>
      </c>
      <c r="B636" s="43" t="s">
        <v>13</v>
      </c>
      <c r="C636" s="44">
        <v>412.53300000000002</v>
      </c>
      <c r="D636" s="44">
        <v>412.53300000000002</v>
      </c>
      <c r="E636" s="44">
        <v>337.52699999999999</v>
      </c>
      <c r="F636" s="44">
        <v>712.55700000000002</v>
      </c>
      <c r="G636" s="44">
        <v>412.53300000000002</v>
      </c>
      <c r="H636" s="44">
        <v>487.53900000000004</v>
      </c>
      <c r="I636" s="44">
        <v>300.024</v>
      </c>
      <c r="J636" s="44">
        <v>150.012</v>
      </c>
      <c r="K636" s="44">
        <v>375.03000000000003</v>
      </c>
      <c r="L636" s="44">
        <v>150.012</v>
      </c>
      <c r="M636" s="44">
        <f t="shared" si="9"/>
        <v>879.69999999999936</v>
      </c>
      <c r="N636" s="45">
        <v>4630</v>
      </c>
      <c r="O636" s="44">
        <v>131</v>
      </c>
      <c r="P636" s="44">
        <v>3</v>
      </c>
      <c r="Q636" s="44">
        <v>1151</v>
      </c>
      <c r="R636" s="44">
        <v>1025</v>
      </c>
      <c r="S636" s="44">
        <v>500</v>
      </c>
      <c r="T636" s="44">
        <v>200</v>
      </c>
      <c r="U636" s="44">
        <v>0</v>
      </c>
      <c r="V636" s="44">
        <v>424</v>
      </c>
      <c r="W636" s="44">
        <v>1196</v>
      </c>
      <c r="X636" s="44">
        <v>0</v>
      </c>
    </row>
    <row r="637" spans="1:24" s="41" customFormat="1">
      <c r="A637" s="42">
        <v>46104</v>
      </c>
      <c r="B637" s="43" t="s">
        <v>13</v>
      </c>
      <c r="C637" s="44">
        <v>414.67140000000001</v>
      </c>
      <c r="D637" s="44">
        <v>414.67140000000001</v>
      </c>
      <c r="E637" s="44">
        <v>339.27660000000003</v>
      </c>
      <c r="F637" s="44">
        <v>716.25060000000008</v>
      </c>
      <c r="G637" s="44">
        <v>414.67140000000001</v>
      </c>
      <c r="H637" s="44">
        <v>490.06620000000004</v>
      </c>
      <c r="I637" s="44">
        <v>301.57920000000001</v>
      </c>
      <c r="J637" s="44">
        <v>150.78960000000001</v>
      </c>
      <c r="K637" s="44">
        <v>376.97400000000005</v>
      </c>
      <c r="L637" s="44">
        <v>150.78960000000001</v>
      </c>
      <c r="M637" s="44">
        <f t="shared" si="9"/>
        <v>884.25999999999931</v>
      </c>
      <c r="N637" s="45">
        <v>4654</v>
      </c>
      <c r="O637" s="44">
        <v>131</v>
      </c>
      <c r="P637" s="44">
        <v>3</v>
      </c>
      <c r="Q637" s="44">
        <v>885</v>
      </c>
      <c r="R637" s="44">
        <v>1025</v>
      </c>
      <c r="S637" s="44">
        <v>450</v>
      </c>
      <c r="T637" s="44">
        <v>400</v>
      </c>
      <c r="U637" s="44">
        <v>0</v>
      </c>
      <c r="V637" s="44">
        <v>424</v>
      </c>
      <c r="W637" s="44">
        <v>1234</v>
      </c>
      <c r="X637" s="44">
        <v>102</v>
      </c>
    </row>
    <row r="638" spans="1:24" s="41" customFormat="1">
      <c r="A638" s="42">
        <v>46105</v>
      </c>
      <c r="B638" s="43" t="s">
        <v>13</v>
      </c>
      <c r="C638" s="44">
        <v>404.87040000000002</v>
      </c>
      <c r="D638" s="44">
        <v>404.87040000000002</v>
      </c>
      <c r="E638" s="44">
        <v>331.25760000000002</v>
      </c>
      <c r="F638" s="44">
        <v>699.3216000000001</v>
      </c>
      <c r="G638" s="44">
        <v>404.87040000000002</v>
      </c>
      <c r="H638" s="44">
        <v>478.48320000000007</v>
      </c>
      <c r="I638" s="44">
        <v>294.45120000000003</v>
      </c>
      <c r="J638" s="44">
        <v>147.22560000000001</v>
      </c>
      <c r="K638" s="44">
        <v>368.06400000000008</v>
      </c>
      <c r="L638" s="44">
        <v>147.22560000000001</v>
      </c>
      <c r="M638" s="44">
        <f t="shared" si="9"/>
        <v>863.35999999999922</v>
      </c>
      <c r="N638" s="45">
        <v>4544</v>
      </c>
      <c r="O638" s="44">
        <v>131</v>
      </c>
      <c r="P638" s="44">
        <v>3</v>
      </c>
      <c r="Q638" s="44">
        <v>885</v>
      </c>
      <c r="R638" s="44">
        <v>1025</v>
      </c>
      <c r="S638" s="44">
        <v>450</v>
      </c>
      <c r="T638" s="44">
        <v>400</v>
      </c>
      <c r="U638" s="44">
        <v>0</v>
      </c>
      <c r="V638" s="44">
        <v>424</v>
      </c>
      <c r="W638" s="44">
        <v>1124</v>
      </c>
      <c r="X638" s="44">
        <v>102</v>
      </c>
    </row>
    <row r="639" spans="1:24" s="41" customFormat="1">
      <c r="A639" s="42">
        <v>46106</v>
      </c>
      <c r="B639" s="43" t="s">
        <v>13</v>
      </c>
      <c r="C639" s="44">
        <v>404.87040000000002</v>
      </c>
      <c r="D639" s="44">
        <v>404.87040000000002</v>
      </c>
      <c r="E639" s="44">
        <v>331.25760000000002</v>
      </c>
      <c r="F639" s="44">
        <v>699.3216000000001</v>
      </c>
      <c r="G639" s="44">
        <v>404.87040000000002</v>
      </c>
      <c r="H639" s="44">
        <v>478.48320000000007</v>
      </c>
      <c r="I639" s="44">
        <v>294.45120000000003</v>
      </c>
      <c r="J639" s="44">
        <v>147.22560000000001</v>
      </c>
      <c r="K639" s="44">
        <v>368.06400000000008</v>
      </c>
      <c r="L639" s="44">
        <v>147.22560000000001</v>
      </c>
      <c r="M639" s="44">
        <f t="shared" si="9"/>
        <v>863.35999999999922</v>
      </c>
      <c r="N639" s="45">
        <v>4544</v>
      </c>
      <c r="O639" s="44">
        <v>131</v>
      </c>
      <c r="P639" s="44">
        <v>3</v>
      </c>
      <c r="Q639" s="44">
        <v>885</v>
      </c>
      <c r="R639" s="44">
        <v>1025</v>
      </c>
      <c r="S639" s="44">
        <v>450</v>
      </c>
      <c r="T639" s="44">
        <v>400</v>
      </c>
      <c r="U639" s="44">
        <v>0</v>
      </c>
      <c r="V639" s="44">
        <v>424</v>
      </c>
      <c r="W639" s="44">
        <v>1124</v>
      </c>
      <c r="X639" s="44">
        <v>102</v>
      </c>
    </row>
    <row r="640" spans="1:24" s="41" customFormat="1">
      <c r="A640" s="42">
        <v>46107</v>
      </c>
      <c r="B640" s="43" t="s">
        <v>13</v>
      </c>
      <c r="C640" s="44">
        <v>449.33130000000006</v>
      </c>
      <c r="D640" s="44">
        <v>449.33130000000006</v>
      </c>
      <c r="E640" s="44">
        <v>367.63470000000001</v>
      </c>
      <c r="F640" s="44">
        <v>776.11770000000013</v>
      </c>
      <c r="G640" s="44">
        <v>449.33130000000006</v>
      </c>
      <c r="H640" s="44">
        <v>531.02790000000005</v>
      </c>
      <c r="I640" s="44">
        <v>326.78640000000001</v>
      </c>
      <c r="J640" s="44">
        <v>163.39320000000001</v>
      </c>
      <c r="K640" s="44">
        <v>408.48300000000006</v>
      </c>
      <c r="L640" s="44">
        <v>163.39320000000001</v>
      </c>
      <c r="M640" s="44">
        <f t="shared" si="9"/>
        <v>958.16999999999916</v>
      </c>
      <c r="N640" s="45">
        <v>5043</v>
      </c>
      <c r="O640" s="44">
        <v>131</v>
      </c>
      <c r="P640" s="44">
        <v>3</v>
      </c>
      <c r="Q640" s="44">
        <v>885</v>
      </c>
      <c r="R640" s="44">
        <v>1025</v>
      </c>
      <c r="S640" s="44">
        <v>450</v>
      </c>
      <c r="T640" s="44">
        <v>400</v>
      </c>
      <c r="U640" s="44">
        <v>499</v>
      </c>
      <c r="V640" s="44">
        <v>424</v>
      </c>
      <c r="W640" s="44">
        <v>1124</v>
      </c>
      <c r="X640" s="44">
        <v>102</v>
      </c>
    </row>
    <row r="641" spans="1:24" s="41" customFormat="1">
      <c r="A641" s="42">
        <v>46108</v>
      </c>
      <c r="B641" s="43" t="s">
        <v>13</v>
      </c>
      <c r="C641" s="44">
        <v>462.60720000000003</v>
      </c>
      <c r="D641" s="44">
        <v>462.60720000000003</v>
      </c>
      <c r="E641" s="44">
        <v>378.49680000000001</v>
      </c>
      <c r="F641" s="44">
        <v>799.04880000000014</v>
      </c>
      <c r="G641" s="44">
        <v>462.60720000000003</v>
      </c>
      <c r="H641" s="44">
        <v>546.71760000000006</v>
      </c>
      <c r="I641" s="44">
        <v>336.44160000000005</v>
      </c>
      <c r="J641" s="44">
        <v>168.22080000000003</v>
      </c>
      <c r="K641" s="44">
        <v>420.55200000000008</v>
      </c>
      <c r="L641" s="44">
        <v>168.22080000000003</v>
      </c>
      <c r="M641" s="44">
        <f t="shared" si="9"/>
        <v>986.47999999999956</v>
      </c>
      <c r="N641" s="45">
        <v>5192</v>
      </c>
      <c r="O641" s="44">
        <v>131</v>
      </c>
      <c r="P641" s="44">
        <v>3</v>
      </c>
      <c r="Q641" s="44">
        <v>885</v>
      </c>
      <c r="R641" s="44">
        <v>1025</v>
      </c>
      <c r="S641" s="44">
        <v>450</v>
      </c>
      <c r="T641" s="44">
        <v>300</v>
      </c>
      <c r="U641" s="44">
        <v>734</v>
      </c>
      <c r="V641" s="44">
        <v>424</v>
      </c>
      <c r="W641" s="44">
        <v>1138</v>
      </c>
      <c r="X641" s="44">
        <v>102</v>
      </c>
    </row>
    <row r="642" spans="1:24" s="41" customFormat="1">
      <c r="A642" s="42">
        <v>46109</v>
      </c>
      <c r="B642" s="43" t="s">
        <v>13</v>
      </c>
      <c r="C642" s="44">
        <v>490.58460000000008</v>
      </c>
      <c r="D642" s="44">
        <v>490.58460000000008</v>
      </c>
      <c r="E642" s="44">
        <v>401.38740000000001</v>
      </c>
      <c r="F642" s="44">
        <v>847.37340000000017</v>
      </c>
      <c r="G642" s="44">
        <v>490.58460000000008</v>
      </c>
      <c r="H642" s="44">
        <v>579.78180000000009</v>
      </c>
      <c r="I642" s="44">
        <v>356.78880000000004</v>
      </c>
      <c r="J642" s="44">
        <v>178.39440000000002</v>
      </c>
      <c r="K642" s="44">
        <v>445.9860000000001</v>
      </c>
      <c r="L642" s="44">
        <v>178.39440000000002</v>
      </c>
      <c r="M642" s="44">
        <f t="shared" si="9"/>
        <v>1046.1399999999994</v>
      </c>
      <c r="N642" s="45">
        <v>5506</v>
      </c>
      <c r="O642" s="44">
        <v>131</v>
      </c>
      <c r="P642" s="44">
        <v>3</v>
      </c>
      <c r="Q642" s="44">
        <v>1151</v>
      </c>
      <c r="R642" s="44">
        <v>1025</v>
      </c>
      <c r="S642" s="44">
        <v>522</v>
      </c>
      <c r="T642" s="44">
        <v>300</v>
      </c>
      <c r="U642" s="44">
        <v>734</v>
      </c>
      <c r="V642" s="44">
        <v>424</v>
      </c>
      <c r="W642" s="44">
        <v>1216</v>
      </c>
      <c r="X642" s="44">
        <v>0</v>
      </c>
    </row>
    <row r="643" spans="1:24" s="41" customFormat="1">
      <c r="A643" s="42">
        <v>46110</v>
      </c>
      <c r="B643" s="43" t="s">
        <v>13</v>
      </c>
      <c r="C643" s="44">
        <v>493.88130000000001</v>
      </c>
      <c r="D643" s="44">
        <v>493.88130000000001</v>
      </c>
      <c r="E643" s="44">
        <v>404.0847</v>
      </c>
      <c r="F643" s="44">
        <v>853.06769999999995</v>
      </c>
      <c r="G643" s="44">
        <v>493.88130000000001</v>
      </c>
      <c r="H643" s="44">
        <v>583.67790000000002</v>
      </c>
      <c r="I643" s="44">
        <v>359.18639999999999</v>
      </c>
      <c r="J643" s="44">
        <v>179.5932</v>
      </c>
      <c r="K643" s="44">
        <v>448.983</v>
      </c>
      <c r="L643" s="44">
        <v>179.5932</v>
      </c>
      <c r="M643" s="44">
        <f t="shared" ref="M643:M706" si="10">N643-SUM(C643:L643)</f>
        <v>1053.17</v>
      </c>
      <c r="N643" s="45">
        <v>5543</v>
      </c>
      <c r="O643" s="44">
        <v>131</v>
      </c>
      <c r="P643" s="44">
        <v>3</v>
      </c>
      <c r="Q643" s="44">
        <v>1151</v>
      </c>
      <c r="R643" s="44">
        <v>1025</v>
      </c>
      <c r="S643" s="44">
        <v>522</v>
      </c>
      <c r="T643" s="44">
        <v>300</v>
      </c>
      <c r="U643" s="44">
        <v>733</v>
      </c>
      <c r="V643" s="44">
        <v>424</v>
      </c>
      <c r="W643" s="44">
        <v>1254</v>
      </c>
      <c r="X643" s="44">
        <v>0</v>
      </c>
    </row>
    <row r="644" spans="1:24" s="41" customFormat="1">
      <c r="A644" s="42">
        <v>46111</v>
      </c>
      <c r="B644" s="43" t="s">
        <v>13</v>
      </c>
      <c r="C644" s="44">
        <v>397.11869999999999</v>
      </c>
      <c r="D644" s="44">
        <v>397.11869999999999</v>
      </c>
      <c r="E644" s="44">
        <v>324.9153</v>
      </c>
      <c r="F644" s="44">
        <v>685.93230000000005</v>
      </c>
      <c r="G644" s="44">
        <v>397.11869999999999</v>
      </c>
      <c r="H644" s="44">
        <v>469.32210000000003</v>
      </c>
      <c r="I644" s="44">
        <v>288.81360000000001</v>
      </c>
      <c r="J644" s="44">
        <v>144.4068</v>
      </c>
      <c r="K644" s="44">
        <v>361.01700000000005</v>
      </c>
      <c r="L644" s="44">
        <v>144.4068</v>
      </c>
      <c r="M644" s="44">
        <f t="shared" si="10"/>
        <v>846.82999999999947</v>
      </c>
      <c r="N644" s="45">
        <v>4457</v>
      </c>
      <c r="O644" s="44">
        <v>131</v>
      </c>
      <c r="P644" s="44">
        <v>3</v>
      </c>
      <c r="Q644" s="44">
        <v>885</v>
      </c>
      <c r="R644" s="44">
        <v>1025</v>
      </c>
      <c r="S644" s="44">
        <v>450</v>
      </c>
      <c r="T644" s="44">
        <v>300</v>
      </c>
      <c r="U644" s="44">
        <v>0</v>
      </c>
      <c r="V644" s="44">
        <v>424</v>
      </c>
      <c r="W644" s="44">
        <v>1137</v>
      </c>
      <c r="X644" s="44">
        <v>102</v>
      </c>
    </row>
    <row r="645" spans="1:24" s="41" customFormat="1">
      <c r="A645" s="42">
        <v>46112</v>
      </c>
      <c r="B645" s="43" t="s">
        <v>13</v>
      </c>
      <c r="C645" s="44">
        <v>391.50540000000007</v>
      </c>
      <c r="D645" s="44">
        <v>391.50540000000007</v>
      </c>
      <c r="E645" s="44">
        <v>320.32260000000002</v>
      </c>
      <c r="F645" s="44">
        <v>676.23660000000007</v>
      </c>
      <c r="G645" s="44">
        <v>391.50540000000007</v>
      </c>
      <c r="H645" s="44">
        <v>462.68820000000005</v>
      </c>
      <c r="I645" s="44">
        <v>284.73120000000006</v>
      </c>
      <c r="J645" s="44">
        <v>142.36560000000003</v>
      </c>
      <c r="K645" s="44">
        <v>355.91400000000004</v>
      </c>
      <c r="L645" s="44">
        <v>142.36560000000003</v>
      </c>
      <c r="M645" s="44">
        <f t="shared" si="10"/>
        <v>834.85999999999922</v>
      </c>
      <c r="N645" s="45">
        <v>4394</v>
      </c>
      <c r="O645" s="44">
        <v>131</v>
      </c>
      <c r="P645" s="44">
        <v>3</v>
      </c>
      <c r="Q645" s="44">
        <v>885</v>
      </c>
      <c r="R645" s="44">
        <v>1027</v>
      </c>
      <c r="S645" s="44">
        <v>450</v>
      </c>
      <c r="T645" s="44">
        <v>300</v>
      </c>
      <c r="U645" s="44">
        <v>0</v>
      </c>
      <c r="V645" s="44">
        <v>424</v>
      </c>
      <c r="W645" s="44">
        <v>1068</v>
      </c>
      <c r="X645" s="44">
        <v>106</v>
      </c>
    </row>
    <row r="646" spans="1:24" s="41" customFormat="1">
      <c r="A646" s="42">
        <v>46113</v>
      </c>
      <c r="B646" s="43" t="s">
        <v>13</v>
      </c>
      <c r="C646" s="44">
        <v>311.56488000000002</v>
      </c>
      <c r="D646" s="44">
        <v>311.56487999999996</v>
      </c>
      <c r="E646" s="44">
        <v>283.24080000000004</v>
      </c>
      <c r="F646" s="44">
        <v>481.50936000000007</v>
      </c>
      <c r="G646" s="44">
        <v>311.56488000000002</v>
      </c>
      <c r="H646" s="44">
        <v>368.21304000000003</v>
      </c>
      <c r="I646" s="44">
        <v>254.91672000000003</v>
      </c>
      <c r="J646" s="44">
        <v>84.972239999999999</v>
      </c>
      <c r="K646" s="44">
        <v>311.56488000000002</v>
      </c>
      <c r="L646" s="44">
        <v>113.29632000000002</v>
      </c>
      <c r="M646" s="44">
        <f t="shared" si="10"/>
        <v>662.59199999999964</v>
      </c>
      <c r="N646" s="45">
        <v>3495</v>
      </c>
      <c r="O646" s="44">
        <v>108</v>
      </c>
      <c r="P646" s="44">
        <v>0</v>
      </c>
      <c r="Q646" s="44">
        <v>770</v>
      </c>
      <c r="R646" s="44">
        <v>509</v>
      </c>
      <c r="S646" s="44">
        <v>310</v>
      </c>
      <c r="T646" s="44">
        <v>309</v>
      </c>
      <c r="U646" s="44">
        <v>112</v>
      </c>
      <c r="V646" s="44">
        <v>333</v>
      </c>
      <c r="W646" s="44">
        <v>937</v>
      </c>
      <c r="X646" s="44">
        <v>107</v>
      </c>
    </row>
    <row r="647" spans="1:24" s="41" customFormat="1">
      <c r="A647" s="42">
        <v>46114</v>
      </c>
      <c r="B647" s="43" t="s">
        <v>13</v>
      </c>
      <c r="C647" s="44">
        <v>312.66971999999998</v>
      </c>
      <c r="D647" s="44">
        <v>312.66971999999998</v>
      </c>
      <c r="E647" s="44">
        <v>284.24520000000001</v>
      </c>
      <c r="F647" s="44">
        <v>483.2168400000001</v>
      </c>
      <c r="G647" s="44">
        <v>312.66971999999998</v>
      </c>
      <c r="H647" s="44">
        <v>369.51876000000004</v>
      </c>
      <c r="I647" s="44">
        <v>255.82067999999998</v>
      </c>
      <c r="J647" s="44">
        <v>85.273560000000003</v>
      </c>
      <c r="K647" s="44">
        <v>312.66971999999998</v>
      </c>
      <c r="L647" s="44">
        <v>113.69808</v>
      </c>
      <c r="M647" s="44">
        <f t="shared" si="10"/>
        <v>665.54800000000023</v>
      </c>
      <c r="N647" s="45">
        <v>3508</v>
      </c>
      <c r="O647" s="44">
        <v>109</v>
      </c>
      <c r="P647" s="44">
        <v>0</v>
      </c>
      <c r="Q647" s="44">
        <v>770</v>
      </c>
      <c r="R647" s="44">
        <v>513</v>
      </c>
      <c r="S647" s="44">
        <v>313</v>
      </c>
      <c r="T647" s="44">
        <v>316</v>
      </c>
      <c r="U647" s="44">
        <v>112</v>
      </c>
      <c r="V647" s="44">
        <v>333</v>
      </c>
      <c r="W647" s="44">
        <v>935</v>
      </c>
      <c r="X647" s="44">
        <v>107</v>
      </c>
    </row>
    <row r="648" spans="1:24" s="41" customFormat="1">
      <c r="A648" s="42">
        <v>46115</v>
      </c>
      <c r="B648" s="43" t="s">
        <v>13</v>
      </c>
      <c r="C648" s="44">
        <v>312.66971999999998</v>
      </c>
      <c r="D648" s="44">
        <v>312.66971999999998</v>
      </c>
      <c r="E648" s="44">
        <v>284.24520000000001</v>
      </c>
      <c r="F648" s="44">
        <v>483.2168400000001</v>
      </c>
      <c r="G648" s="44">
        <v>312.66971999999998</v>
      </c>
      <c r="H648" s="44">
        <v>369.51876000000004</v>
      </c>
      <c r="I648" s="44">
        <v>255.82067999999998</v>
      </c>
      <c r="J648" s="44">
        <v>85.273560000000003</v>
      </c>
      <c r="K648" s="44">
        <v>312.66971999999998</v>
      </c>
      <c r="L648" s="44">
        <v>113.69808</v>
      </c>
      <c r="M648" s="44">
        <f t="shared" si="10"/>
        <v>665.54800000000023</v>
      </c>
      <c r="N648" s="45">
        <v>3508</v>
      </c>
      <c r="O648" s="44">
        <v>109</v>
      </c>
      <c r="P648" s="44">
        <v>0</v>
      </c>
      <c r="Q648" s="44">
        <v>770</v>
      </c>
      <c r="R648" s="44">
        <v>513</v>
      </c>
      <c r="S648" s="44">
        <v>313</v>
      </c>
      <c r="T648" s="44">
        <v>316</v>
      </c>
      <c r="U648" s="44">
        <v>112</v>
      </c>
      <c r="V648" s="44">
        <v>333</v>
      </c>
      <c r="W648" s="44">
        <v>935</v>
      </c>
      <c r="X648" s="44">
        <v>107</v>
      </c>
    </row>
    <row r="649" spans="1:24" s="41" customFormat="1">
      <c r="A649" s="42">
        <v>46116</v>
      </c>
      <c r="B649" s="43" t="s">
        <v>13</v>
      </c>
      <c r="C649" s="44">
        <v>348.63839999999999</v>
      </c>
      <c r="D649" s="44">
        <v>348.63839999999999</v>
      </c>
      <c r="E649" s="44">
        <v>316.94400000000002</v>
      </c>
      <c r="F649" s="44">
        <v>538.8048</v>
      </c>
      <c r="G649" s="44">
        <v>348.63839999999999</v>
      </c>
      <c r="H649" s="44">
        <v>412.02720000000005</v>
      </c>
      <c r="I649" s="44">
        <v>285.24959999999999</v>
      </c>
      <c r="J649" s="44">
        <v>95.083200000000005</v>
      </c>
      <c r="K649" s="44">
        <v>348.63839999999999</v>
      </c>
      <c r="L649" s="44">
        <v>126.77760000000001</v>
      </c>
      <c r="M649" s="44">
        <f t="shared" si="10"/>
        <v>744.56</v>
      </c>
      <c r="N649" s="45">
        <v>3914</v>
      </c>
      <c r="O649" s="44">
        <v>125</v>
      </c>
      <c r="P649" s="44">
        <v>0</v>
      </c>
      <c r="Q649" s="44">
        <v>886</v>
      </c>
      <c r="R649" s="44">
        <v>590</v>
      </c>
      <c r="S649" s="44">
        <v>360</v>
      </c>
      <c r="T649" s="44">
        <v>364</v>
      </c>
      <c r="U649" s="44">
        <v>130</v>
      </c>
      <c r="V649" s="44">
        <v>384</v>
      </c>
      <c r="W649" s="44">
        <v>1075</v>
      </c>
      <c r="X649" s="44">
        <v>0</v>
      </c>
    </row>
    <row r="650" spans="1:24" s="41" customFormat="1">
      <c r="A650" s="42">
        <v>46117</v>
      </c>
      <c r="B650" s="43" t="s">
        <v>13</v>
      </c>
      <c r="C650" s="44">
        <v>348.63839999999999</v>
      </c>
      <c r="D650" s="44">
        <v>348.63839999999999</v>
      </c>
      <c r="E650" s="44">
        <v>316.94400000000002</v>
      </c>
      <c r="F650" s="44">
        <v>538.8048</v>
      </c>
      <c r="G650" s="44">
        <v>348.63839999999999</v>
      </c>
      <c r="H650" s="44">
        <v>412.02720000000005</v>
      </c>
      <c r="I650" s="44">
        <v>285.24959999999999</v>
      </c>
      <c r="J650" s="44">
        <v>95.083200000000005</v>
      </c>
      <c r="K650" s="44">
        <v>348.63839999999999</v>
      </c>
      <c r="L650" s="44">
        <v>126.77760000000001</v>
      </c>
      <c r="M650" s="44">
        <f t="shared" si="10"/>
        <v>744.56</v>
      </c>
      <c r="N650" s="45">
        <v>3914</v>
      </c>
      <c r="O650" s="44">
        <v>125</v>
      </c>
      <c r="P650" s="44">
        <v>0</v>
      </c>
      <c r="Q650" s="44">
        <v>886</v>
      </c>
      <c r="R650" s="44">
        <v>590</v>
      </c>
      <c r="S650" s="44">
        <v>360</v>
      </c>
      <c r="T650" s="44">
        <v>364</v>
      </c>
      <c r="U650" s="44">
        <v>130</v>
      </c>
      <c r="V650" s="44">
        <v>384</v>
      </c>
      <c r="W650" s="44">
        <v>1075</v>
      </c>
      <c r="X650" s="44">
        <v>0</v>
      </c>
    </row>
    <row r="651" spans="1:24" s="41" customFormat="1">
      <c r="A651" s="42">
        <v>46118</v>
      </c>
      <c r="B651" s="43" t="s">
        <v>13</v>
      </c>
      <c r="C651" s="44">
        <v>348.63839999999999</v>
      </c>
      <c r="D651" s="44">
        <v>348.63839999999999</v>
      </c>
      <c r="E651" s="44">
        <v>316.94400000000002</v>
      </c>
      <c r="F651" s="44">
        <v>538.8048</v>
      </c>
      <c r="G651" s="44">
        <v>348.63839999999999</v>
      </c>
      <c r="H651" s="44">
        <v>412.02720000000005</v>
      </c>
      <c r="I651" s="44">
        <v>285.24959999999999</v>
      </c>
      <c r="J651" s="44">
        <v>95.083200000000005</v>
      </c>
      <c r="K651" s="44">
        <v>348.63839999999999</v>
      </c>
      <c r="L651" s="44">
        <v>126.77760000000001</v>
      </c>
      <c r="M651" s="44">
        <f t="shared" si="10"/>
        <v>744.56</v>
      </c>
      <c r="N651" s="45">
        <v>3914</v>
      </c>
      <c r="O651" s="44">
        <v>125</v>
      </c>
      <c r="P651" s="44">
        <v>0</v>
      </c>
      <c r="Q651" s="44">
        <v>886</v>
      </c>
      <c r="R651" s="44">
        <v>590</v>
      </c>
      <c r="S651" s="44">
        <v>360</v>
      </c>
      <c r="T651" s="44">
        <v>364</v>
      </c>
      <c r="U651" s="44">
        <v>130</v>
      </c>
      <c r="V651" s="44">
        <v>384</v>
      </c>
      <c r="W651" s="44">
        <v>1075</v>
      </c>
      <c r="X651" s="44">
        <v>0</v>
      </c>
    </row>
    <row r="652" spans="1:24" s="41" customFormat="1">
      <c r="A652" s="42">
        <v>46119</v>
      </c>
      <c r="B652" s="43" t="s">
        <v>13</v>
      </c>
      <c r="C652" s="44">
        <v>312.66971999999998</v>
      </c>
      <c r="D652" s="44">
        <v>312.66971999999998</v>
      </c>
      <c r="E652" s="44">
        <v>284.24520000000001</v>
      </c>
      <c r="F652" s="44">
        <v>483.2168400000001</v>
      </c>
      <c r="G652" s="44">
        <v>312.66971999999998</v>
      </c>
      <c r="H652" s="44">
        <v>369.51876000000004</v>
      </c>
      <c r="I652" s="44">
        <v>255.82067999999998</v>
      </c>
      <c r="J652" s="44">
        <v>85.273560000000003</v>
      </c>
      <c r="K652" s="44">
        <v>312.66971999999998</v>
      </c>
      <c r="L652" s="44">
        <v>113.69808</v>
      </c>
      <c r="M652" s="44">
        <f t="shared" si="10"/>
        <v>665.54800000000023</v>
      </c>
      <c r="N652" s="45">
        <v>3508</v>
      </c>
      <c r="O652" s="44">
        <v>109</v>
      </c>
      <c r="P652" s="44">
        <v>0</v>
      </c>
      <c r="Q652" s="44">
        <v>770</v>
      </c>
      <c r="R652" s="44">
        <v>513</v>
      </c>
      <c r="S652" s="44">
        <v>313</v>
      </c>
      <c r="T652" s="44">
        <v>316</v>
      </c>
      <c r="U652" s="44">
        <v>112</v>
      </c>
      <c r="V652" s="44">
        <v>333</v>
      </c>
      <c r="W652" s="44">
        <v>935</v>
      </c>
      <c r="X652" s="44">
        <v>107</v>
      </c>
    </row>
    <row r="653" spans="1:24" s="41" customFormat="1">
      <c r="A653" s="42">
        <v>46120</v>
      </c>
      <c r="B653" s="43" t="s">
        <v>13</v>
      </c>
      <c r="C653" s="44">
        <v>312.66971999999998</v>
      </c>
      <c r="D653" s="44">
        <v>312.66971999999998</v>
      </c>
      <c r="E653" s="44">
        <v>284.24520000000001</v>
      </c>
      <c r="F653" s="44">
        <v>483.2168400000001</v>
      </c>
      <c r="G653" s="44">
        <v>312.66971999999998</v>
      </c>
      <c r="H653" s="44">
        <v>369.51876000000004</v>
      </c>
      <c r="I653" s="44">
        <v>255.82067999999998</v>
      </c>
      <c r="J653" s="44">
        <v>85.273560000000003</v>
      </c>
      <c r="K653" s="44">
        <v>312.66971999999998</v>
      </c>
      <c r="L653" s="44">
        <v>113.69808</v>
      </c>
      <c r="M653" s="44">
        <f t="shared" si="10"/>
        <v>665.54800000000023</v>
      </c>
      <c r="N653" s="45">
        <v>3508</v>
      </c>
      <c r="O653" s="44">
        <v>109</v>
      </c>
      <c r="P653" s="44">
        <v>0</v>
      </c>
      <c r="Q653" s="44">
        <v>770</v>
      </c>
      <c r="R653" s="44">
        <v>513</v>
      </c>
      <c r="S653" s="44">
        <v>313</v>
      </c>
      <c r="T653" s="44">
        <v>316</v>
      </c>
      <c r="U653" s="44">
        <v>112</v>
      </c>
      <c r="V653" s="44">
        <v>333</v>
      </c>
      <c r="W653" s="44">
        <v>935</v>
      </c>
      <c r="X653" s="44">
        <v>107</v>
      </c>
    </row>
    <row r="654" spans="1:24" s="41" customFormat="1">
      <c r="A654" s="42">
        <v>46121</v>
      </c>
      <c r="B654" s="43" t="s">
        <v>13</v>
      </c>
      <c r="C654" s="44">
        <v>312.66971999999998</v>
      </c>
      <c r="D654" s="44">
        <v>312.66971999999998</v>
      </c>
      <c r="E654" s="44">
        <v>284.24520000000001</v>
      </c>
      <c r="F654" s="44">
        <v>483.2168400000001</v>
      </c>
      <c r="G654" s="44">
        <v>312.66971999999998</v>
      </c>
      <c r="H654" s="44">
        <v>369.51876000000004</v>
      </c>
      <c r="I654" s="44">
        <v>255.82067999999998</v>
      </c>
      <c r="J654" s="44">
        <v>85.273560000000003</v>
      </c>
      <c r="K654" s="44">
        <v>312.66971999999998</v>
      </c>
      <c r="L654" s="44">
        <v>113.69808</v>
      </c>
      <c r="M654" s="44">
        <f t="shared" si="10"/>
        <v>665.54800000000023</v>
      </c>
      <c r="N654" s="45">
        <v>3508</v>
      </c>
      <c r="O654" s="44">
        <v>109</v>
      </c>
      <c r="P654" s="44">
        <v>0</v>
      </c>
      <c r="Q654" s="44">
        <v>770</v>
      </c>
      <c r="R654" s="44">
        <v>513</v>
      </c>
      <c r="S654" s="44">
        <v>313</v>
      </c>
      <c r="T654" s="44">
        <v>316</v>
      </c>
      <c r="U654" s="44">
        <v>112</v>
      </c>
      <c r="V654" s="44">
        <v>333</v>
      </c>
      <c r="W654" s="44">
        <v>935</v>
      </c>
      <c r="X654" s="44">
        <v>107</v>
      </c>
    </row>
    <row r="655" spans="1:24" s="41" customFormat="1">
      <c r="A655" s="42">
        <v>46122</v>
      </c>
      <c r="B655" s="43" t="s">
        <v>13</v>
      </c>
      <c r="C655" s="44">
        <v>312.66971999999998</v>
      </c>
      <c r="D655" s="44">
        <v>312.66971999999998</v>
      </c>
      <c r="E655" s="44">
        <v>284.24520000000001</v>
      </c>
      <c r="F655" s="44">
        <v>483.2168400000001</v>
      </c>
      <c r="G655" s="44">
        <v>312.66971999999998</v>
      </c>
      <c r="H655" s="44">
        <v>369.51876000000004</v>
      </c>
      <c r="I655" s="44">
        <v>255.82067999999998</v>
      </c>
      <c r="J655" s="44">
        <v>85.273560000000003</v>
      </c>
      <c r="K655" s="44">
        <v>312.66971999999998</v>
      </c>
      <c r="L655" s="44">
        <v>113.69808</v>
      </c>
      <c r="M655" s="44">
        <f t="shared" si="10"/>
        <v>665.54800000000023</v>
      </c>
      <c r="N655" s="45">
        <v>3508</v>
      </c>
      <c r="O655" s="44">
        <v>109</v>
      </c>
      <c r="P655" s="44">
        <v>0</v>
      </c>
      <c r="Q655" s="44">
        <v>770</v>
      </c>
      <c r="R655" s="44">
        <v>513</v>
      </c>
      <c r="S655" s="44">
        <v>313</v>
      </c>
      <c r="T655" s="44">
        <v>316</v>
      </c>
      <c r="U655" s="44">
        <v>112</v>
      </c>
      <c r="V655" s="44">
        <v>333</v>
      </c>
      <c r="W655" s="44">
        <v>935</v>
      </c>
      <c r="X655" s="44">
        <v>107</v>
      </c>
    </row>
    <row r="656" spans="1:24" s="41" customFormat="1">
      <c r="A656" s="42">
        <v>46123</v>
      </c>
      <c r="B656" s="43" t="s">
        <v>13</v>
      </c>
      <c r="C656" s="44">
        <v>348.63839999999999</v>
      </c>
      <c r="D656" s="44">
        <v>348.63839999999999</v>
      </c>
      <c r="E656" s="44">
        <v>316.94400000000002</v>
      </c>
      <c r="F656" s="44">
        <v>538.8048</v>
      </c>
      <c r="G656" s="44">
        <v>348.63839999999999</v>
      </c>
      <c r="H656" s="44">
        <v>412.02720000000005</v>
      </c>
      <c r="I656" s="44">
        <v>285.24959999999999</v>
      </c>
      <c r="J656" s="44">
        <v>95.083200000000005</v>
      </c>
      <c r="K656" s="44">
        <v>348.63839999999999</v>
      </c>
      <c r="L656" s="44">
        <v>126.77760000000001</v>
      </c>
      <c r="M656" s="44">
        <f t="shared" si="10"/>
        <v>744.56</v>
      </c>
      <c r="N656" s="45">
        <v>3914</v>
      </c>
      <c r="O656" s="44">
        <v>125</v>
      </c>
      <c r="P656" s="44">
        <v>0</v>
      </c>
      <c r="Q656" s="44">
        <v>886</v>
      </c>
      <c r="R656" s="44">
        <v>590</v>
      </c>
      <c r="S656" s="44">
        <v>360</v>
      </c>
      <c r="T656" s="44">
        <v>364</v>
      </c>
      <c r="U656" s="44">
        <v>130</v>
      </c>
      <c r="V656" s="44">
        <v>384</v>
      </c>
      <c r="W656" s="44">
        <v>1075</v>
      </c>
      <c r="X656" s="44">
        <v>0</v>
      </c>
    </row>
    <row r="657" spans="1:24" s="41" customFormat="1">
      <c r="A657" s="42">
        <v>46124</v>
      </c>
      <c r="B657" s="43" t="s">
        <v>13</v>
      </c>
      <c r="C657" s="44">
        <v>348.63839999999999</v>
      </c>
      <c r="D657" s="44">
        <v>348.63839999999999</v>
      </c>
      <c r="E657" s="44">
        <v>316.94400000000002</v>
      </c>
      <c r="F657" s="44">
        <v>538.8048</v>
      </c>
      <c r="G657" s="44">
        <v>348.63839999999999</v>
      </c>
      <c r="H657" s="44">
        <v>412.02720000000005</v>
      </c>
      <c r="I657" s="44">
        <v>285.24959999999999</v>
      </c>
      <c r="J657" s="44">
        <v>95.083200000000005</v>
      </c>
      <c r="K657" s="44">
        <v>348.63839999999999</v>
      </c>
      <c r="L657" s="44">
        <v>126.77760000000001</v>
      </c>
      <c r="M657" s="44">
        <f t="shared" si="10"/>
        <v>744.56</v>
      </c>
      <c r="N657" s="45">
        <v>3914</v>
      </c>
      <c r="O657" s="44">
        <v>125</v>
      </c>
      <c r="P657" s="44">
        <v>0</v>
      </c>
      <c r="Q657" s="44">
        <v>886</v>
      </c>
      <c r="R657" s="44">
        <v>590</v>
      </c>
      <c r="S657" s="44">
        <v>360</v>
      </c>
      <c r="T657" s="44">
        <v>364</v>
      </c>
      <c r="U657" s="44">
        <v>130</v>
      </c>
      <c r="V657" s="44">
        <v>384</v>
      </c>
      <c r="W657" s="44">
        <v>1075</v>
      </c>
      <c r="X657" s="44">
        <v>0</v>
      </c>
    </row>
    <row r="658" spans="1:24" s="41" customFormat="1">
      <c r="A658" s="42">
        <v>46125</v>
      </c>
      <c r="B658" s="43" t="s">
        <v>13</v>
      </c>
      <c r="C658" s="44">
        <v>312.66971999999998</v>
      </c>
      <c r="D658" s="44">
        <v>312.66971999999998</v>
      </c>
      <c r="E658" s="44">
        <v>284.24520000000001</v>
      </c>
      <c r="F658" s="44">
        <v>483.2168400000001</v>
      </c>
      <c r="G658" s="44">
        <v>312.66971999999998</v>
      </c>
      <c r="H658" s="44">
        <v>369.51876000000004</v>
      </c>
      <c r="I658" s="44">
        <v>255.82067999999998</v>
      </c>
      <c r="J658" s="44">
        <v>85.273560000000003</v>
      </c>
      <c r="K658" s="44">
        <v>312.66971999999998</v>
      </c>
      <c r="L658" s="44">
        <v>113.69808</v>
      </c>
      <c r="M658" s="44">
        <f t="shared" si="10"/>
        <v>665.54800000000023</v>
      </c>
      <c r="N658" s="45">
        <v>3508</v>
      </c>
      <c r="O658" s="44">
        <v>109</v>
      </c>
      <c r="P658" s="44">
        <v>0</v>
      </c>
      <c r="Q658" s="44">
        <v>770</v>
      </c>
      <c r="R658" s="44">
        <v>513</v>
      </c>
      <c r="S658" s="44">
        <v>313</v>
      </c>
      <c r="T658" s="44">
        <v>316</v>
      </c>
      <c r="U658" s="44">
        <v>112</v>
      </c>
      <c r="V658" s="44">
        <v>333</v>
      </c>
      <c r="W658" s="44">
        <v>935</v>
      </c>
      <c r="X658" s="44">
        <v>107</v>
      </c>
    </row>
    <row r="659" spans="1:24" s="41" customFormat="1">
      <c r="A659" s="42">
        <v>46126</v>
      </c>
      <c r="B659" s="43" t="s">
        <v>13</v>
      </c>
      <c r="C659" s="44">
        <v>312.66971999999998</v>
      </c>
      <c r="D659" s="44">
        <v>312.66971999999998</v>
      </c>
      <c r="E659" s="44">
        <v>284.24520000000001</v>
      </c>
      <c r="F659" s="44">
        <v>483.2168400000001</v>
      </c>
      <c r="G659" s="44">
        <v>312.66971999999998</v>
      </c>
      <c r="H659" s="44">
        <v>369.51876000000004</v>
      </c>
      <c r="I659" s="44">
        <v>255.82067999999998</v>
      </c>
      <c r="J659" s="44">
        <v>85.273560000000003</v>
      </c>
      <c r="K659" s="44">
        <v>312.66971999999998</v>
      </c>
      <c r="L659" s="44">
        <v>113.69808</v>
      </c>
      <c r="M659" s="44">
        <f t="shared" si="10"/>
        <v>665.54800000000023</v>
      </c>
      <c r="N659" s="45">
        <v>3508</v>
      </c>
      <c r="O659" s="44">
        <v>109</v>
      </c>
      <c r="P659" s="44">
        <v>0</v>
      </c>
      <c r="Q659" s="44">
        <v>770</v>
      </c>
      <c r="R659" s="44">
        <v>513</v>
      </c>
      <c r="S659" s="44">
        <v>313</v>
      </c>
      <c r="T659" s="44">
        <v>316</v>
      </c>
      <c r="U659" s="44">
        <v>112</v>
      </c>
      <c r="V659" s="44">
        <v>333</v>
      </c>
      <c r="W659" s="44">
        <v>935</v>
      </c>
      <c r="X659" s="44">
        <v>107</v>
      </c>
    </row>
    <row r="660" spans="1:24" s="41" customFormat="1">
      <c r="A660" s="42">
        <v>46127</v>
      </c>
      <c r="B660" s="43" t="s">
        <v>13</v>
      </c>
      <c r="C660" s="44">
        <v>312.66971999999998</v>
      </c>
      <c r="D660" s="44">
        <v>312.66971999999998</v>
      </c>
      <c r="E660" s="44">
        <v>284.24520000000001</v>
      </c>
      <c r="F660" s="44">
        <v>483.2168400000001</v>
      </c>
      <c r="G660" s="44">
        <v>312.66971999999998</v>
      </c>
      <c r="H660" s="44">
        <v>369.51876000000004</v>
      </c>
      <c r="I660" s="44">
        <v>255.82067999999998</v>
      </c>
      <c r="J660" s="44">
        <v>85.273560000000003</v>
      </c>
      <c r="K660" s="44">
        <v>312.66971999999998</v>
      </c>
      <c r="L660" s="44">
        <v>113.69808</v>
      </c>
      <c r="M660" s="44">
        <f t="shared" si="10"/>
        <v>665.54800000000023</v>
      </c>
      <c r="N660" s="45">
        <v>3508</v>
      </c>
      <c r="O660" s="44">
        <v>109</v>
      </c>
      <c r="P660" s="44">
        <v>0</v>
      </c>
      <c r="Q660" s="44">
        <v>770</v>
      </c>
      <c r="R660" s="44">
        <v>513</v>
      </c>
      <c r="S660" s="44">
        <v>313</v>
      </c>
      <c r="T660" s="44">
        <v>316</v>
      </c>
      <c r="U660" s="44">
        <v>112</v>
      </c>
      <c r="V660" s="44">
        <v>333</v>
      </c>
      <c r="W660" s="44">
        <v>935</v>
      </c>
      <c r="X660" s="44">
        <v>107</v>
      </c>
    </row>
    <row r="661" spans="1:24" s="41" customFormat="1">
      <c r="A661" s="42">
        <v>46128</v>
      </c>
      <c r="B661" s="43" t="s">
        <v>13</v>
      </c>
      <c r="C661" s="44">
        <v>312.66971999999998</v>
      </c>
      <c r="D661" s="44">
        <v>312.66971999999998</v>
      </c>
      <c r="E661" s="44">
        <v>284.24520000000001</v>
      </c>
      <c r="F661" s="44">
        <v>483.2168400000001</v>
      </c>
      <c r="G661" s="44">
        <v>312.66971999999998</v>
      </c>
      <c r="H661" s="44">
        <v>369.51876000000004</v>
      </c>
      <c r="I661" s="44">
        <v>255.82067999999998</v>
      </c>
      <c r="J661" s="44">
        <v>85.273560000000003</v>
      </c>
      <c r="K661" s="44">
        <v>312.66971999999998</v>
      </c>
      <c r="L661" s="44">
        <v>113.69808</v>
      </c>
      <c r="M661" s="44">
        <f t="shared" si="10"/>
        <v>665.54800000000023</v>
      </c>
      <c r="N661" s="45">
        <v>3508</v>
      </c>
      <c r="O661" s="44">
        <v>109</v>
      </c>
      <c r="P661" s="44">
        <v>0</v>
      </c>
      <c r="Q661" s="44">
        <v>770</v>
      </c>
      <c r="R661" s="44">
        <v>513</v>
      </c>
      <c r="S661" s="44">
        <v>313</v>
      </c>
      <c r="T661" s="44">
        <v>316</v>
      </c>
      <c r="U661" s="44">
        <v>112</v>
      </c>
      <c r="V661" s="44">
        <v>333</v>
      </c>
      <c r="W661" s="44">
        <v>935</v>
      </c>
      <c r="X661" s="44">
        <v>107</v>
      </c>
    </row>
    <row r="662" spans="1:24" s="41" customFormat="1">
      <c r="A662" s="42">
        <v>46129</v>
      </c>
      <c r="B662" s="43" t="s">
        <v>13</v>
      </c>
      <c r="C662" s="44">
        <v>312.66971999999998</v>
      </c>
      <c r="D662" s="44">
        <v>312.66971999999998</v>
      </c>
      <c r="E662" s="44">
        <v>284.24520000000001</v>
      </c>
      <c r="F662" s="44">
        <v>483.2168400000001</v>
      </c>
      <c r="G662" s="44">
        <v>312.66971999999998</v>
      </c>
      <c r="H662" s="44">
        <v>369.51876000000004</v>
      </c>
      <c r="I662" s="44">
        <v>255.82067999999998</v>
      </c>
      <c r="J662" s="44">
        <v>85.273560000000003</v>
      </c>
      <c r="K662" s="44">
        <v>312.66971999999998</v>
      </c>
      <c r="L662" s="44">
        <v>113.69808</v>
      </c>
      <c r="M662" s="44">
        <f t="shared" si="10"/>
        <v>665.54800000000023</v>
      </c>
      <c r="N662" s="45">
        <v>3508</v>
      </c>
      <c r="O662" s="44">
        <v>109</v>
      </c>
      <c r="P662" s="44">
        <v>0</v>
      </c>
      <c r="Q662" s="44">
        <v>770</v>
      </c>
      <c r="R662" s="44">
        <v>513</v>
      </c>
      <c r="S662" s="44">
        <v>313</v>
      </c>
      <c r="T662" s="44">
        <v>316</v>
      </c>
      <c r="U662" s="44">
        <v>112</v>
      </c>
      <c r="V662" s="44">
        <v>333</v>
      </c>
      <c r="W662" s="44">
        <v>935</v>
      </c>
      <c r="X662" s="44">
        <v>107</v>
      </c>
    </row>
    <row r="663" spans="1:24" s="41" customFormat="1">
      <c r="A663" s="42">
        <v>46130</v>
      </c>
      <c r="B663" s="43" t="s">
        <v>13</v>
      </c>
      <c r="C663" s="44">
        <v>348.63839999999999</v>
      </c>
      <c r="D663" s="44">
        <v>348.63839999999999</v>
      </c>
      <c r="E663" s="44">
        <v>316.94400000000002</v>
      </c>
      <c r="F663" s="44">
        <v>538.8048</v>
      </c>
      <c r="G663" s="44">
        <v>348.63839999999999</v>
      </c>
      <c r="H663" s="44">
        <v>412.02720000000005</v>
      </c>
      <c r="I663" s="44">
        <v>285.24959999999999</v>
      </c>
      <c r="J663" s="44">
        <v>95.083200000000005</v>
      </c>
      <c r="K663" s="44">
        <v>348.63839999999999</v>
      </c>
      <c r="L663" s="44">
        <v>126.77760000000001</v>
      </c>
      <c r="M663" s="44">
        <f t="shared" si="10"/>
        <v>744.56</v>
      </c>
      <c r="N663" s="45">
        <v>3914</v>
      </c>
      <c r="O663" s="44">
        <v>125</v>
      </c>
      <c r="P663" s="44">
        <v>0</v>
      </c>
      <c r="Q663" s="44">
        <v>886</v>
      </c>
      <c r="R663" s="44">
        <v>590</v>
      </c>
      <c r="S663" s="44">
        <v>360</v>
      </c>
      <c r="T663" s="44">
        <v>364</v>
      </c>
      <c r="U663" s="44">
        <v>130</v>
      </c>
      <c r="V663" s="44">
        <v>384</v>
      </c>
      <c r="W663" s="44">
        <v>1075</v>
      </c>
      <c r="X663" s="44">
        <v>0</v>
      </c>
    </row>
    <row r="664" spans="1:24" s="41" customFormat="1">
      <c r="A664" s="42">
        <v>46131</v>
      </c>
      <c r="B664" s="43" t="s">
        <v>13</v>
      </c>
      <c r="C664" s="44">
        <v>348.63839999999999</v>
      </c>
      <c r="D664" s="44">
        <v>348.63839999999999</v>
      </c>
      <c r="E664" s="44">
        <v>316.94400000000002</v>
      </c>
      <c r="F664" s="44">
        <v>538.8048</v>
      </c>
      <c r="G664" s="44">
        <v>348.63839999999999</v>
      </c>
      <c r="H664" s="44">
        <v>412.02720000000005</v>
      </c>
      <c r="I664" s="44">
        <v>285.24959999999999</v>
      </c>
      <c r="J664" s="44">
        <v>95.083200000000005</v>
      </c>
      <c r="K664" s="44">
        <v>348.63839999999999</v>
      </c>
      <c r="L664" s="44">
        <v>126.77760000000001</v>
      </c>
      <c r="M664" s="44">
        <f t="shared" si="10"/>
        <v>744.56</v>
      </c>
      <c r="N664" s="45">
        <v>3914</v>
      </c>
      <c r="O664" s="44">
        <v>125</v>
      </c>
      <c r="P664" s="44">
        <v>0</v>
      </c>
      <c r="Q664" s="44">
        <v>886</v>
      </c>
      <c r="R664" s="44">
        <v>590</v>
      </c>
      <c r="S664" s="44">
        <v>360</v>
      </c>
      <c r="T664" s="44">
        <v>364</v>
      </c>
      <c r="U664" s="44">
        <v>130</v>
      </c>
      <c r="V664" s="44">
        <v>384</v>
      </c>
      <c r="W664" s="44">
        <v>1075</v>
      </c>
      <c r="X664" s="44">
        <v>0</v>
      </c>
    </row>
    <row r="665" spans="1:24" s="41" customFormat="1">
      <c r="A665" s="42">
        <v>46132</v>
      </c>
      <c r="B665" s="43" t="s">
        <v>13</v>
      </c>
      <c r="C665" s="44">
        <v>312.66971999999998</v>
      </c>
      <c r="D665" s="44">
        <v>312.66971999999998</v>
      </c>
      <c r="E665" s="44">
        <v>284.24520000000001</v>
      </c>
      <c r="F665" s="44">
        <v>483.2168400000001</v>
      </c>
      <c r="G665" s="44">
        <v>312.66971999999998</v>
      </c>
      <c r="H665" s="44">
        <v>369.51876000000004</v>
      </c>
      <c r="I665" s="44">
        <v>255.82067999999998</v>
      </c>
      <c r="J665" s="44">
        <v>85.273560000000003</v>
      </c>
      <c r="K665" s="44">
        <v>312.66971999999998</v>
      </c>
      <c r="L665" s="44">
        <v>113.69808</v>
      </c>
      <c r="M665" s="44">
        <f t="shared" si="10"/>
        <v>665.54800000000023</v>
      </c>
      <c r="N665" s="45">
        <v>3508</v>
      </c>
      <c r="O665" s="44">
        <v>109</v>
      </c>
      <c r="P665" s="44">
        <v>0</v>
      </c>
      <c r="Q665" s="44">
        <v>770</v>
      </c>
      <c r="R665" s="44">
        <v>513</v>
      </c>
      <c r="S665" s="44">
        <v>313</v>
      </c>
      <c r="T665" s="44">
        <v>316</v>
      </c>
      <c r="U665" s="44">
        <v>112</v>
      </c>
      <c r="V665" s="44">
        <v>333</v>
      </c>
      <c r="W665" s="44">
        <v>935</v>
      </c>
      <c r="X665" s="44">
        <v>107</v>
      </c>
    </row>
    <row r="666" spans="1:24" s="41" customFormat="1">
      <c r="A666" s="42">
        <v>46133</v>
      </c>
      <c r="B666" s="43" t="s">
        <v>13</v>
      </c>
      <c r="C666" s="44">
        <v>312.66971999999998</v>
      </c>
      <c r="D666" s="44">
        <v>312.66971999999998</v>
      </c>
      <c r="E666" s="44">
        <v>284.24520000000001</v>
      </c>
      <c r="F666" s="44">
        <v>483.2168400000001</v>
      </c>
      <c r="G666" s="44">
        <v>312.66971999999998</v>
      </c>
      <c r="H666" s="44">
        <v>369.51876000000004</v>
      </c>
      <c r="I666" s="44">
        <v>255.82067999999998</v>
      </c>
      <c r="J666" s="44">
        <v>85.273560000000003</v>
      </c>
      <c r="K666" s="44">
        <v>312.66971999999998</v>
      </c>
      <c r="L666" s="44">
        <v>113.69808</v>
      </c>
      <c r="M666" s="44">
        <f t="shared" si="10"/>
        <v>665.54800000000023</v>
      </c>
      <c r="N666" s="45">
        <v>3508</v>
      </c>
      <c r="O666" s="44">
        <v>109</v>
      </c>
      <c r="P666" s="44">
        <v>0</v>
      </c>
      <c r="Q666" s="44">
        <v>770</v>
      </c>
      <c r="R666" s="44">
        <v>513</v>
      </c>
      <c r="S666" s="44">
        <v>313</v>
      </c>
      <c r="T666" s="44">
        <v>316</v>
      </c>
      <c r="U666" s="44">
        <v>112</v>
      </c>
      <c r="V666" s="44">
        <v>333</v>
      </c>
      <c r="W666" s="44">
        <v>935</v>
      </c>
      <c r="X666" s="44">
        <v>107</v>
      </c>
    </row>
    <row r="667" spans="1:24" s="41" customFormat="1">
      <c r="A667" s="42">
        <v>46134</v>
      </c>
      <c r="B667" s="43" t="s">
        <v>13</v>
      </c>
      <c r="C667" s="44">
        <v>312.66971999999998</v>
      </c>
      <c r="D667" s="44">
        <v>312.66971999999998</v>
      </c>
      <c r="E667" s="44">
        <v>284.24520000000001</v>
      </c>
      <c r="F667" s="44">
        <v>483.2168400000001</v>
      </c>
      <c r="G667" s="44">
        <v>312.66971999999998</v>
      </c>
      <c r="H667" s="44">
        <v>369.51876000000004</v>
      </c>
      <c r="I667" s="44">
        <v>255.82067999999998</v>
      </c>
      <c r="J667" s="44">
        <v>85.273560000000003</v>
      </c>
      <c r="K667" s="44">
        <v>312.66971999999998</v>
      </c>
      <c r="L667" s="44">
        <v>113.69808</v>
      </c>
      <c r="M667" s="44">
        <f t="shared" si="10"/>
        <v>665.54800000000023</v>
      </c>
      <c r="N667" s="45">
        <v>3508</v>
      </c>
      <c r="O667" s="44">
        <v>109</v>
      </c>
      <c r="P667" s="44">
        <v>0</v>
      </c>
      <c r="Q667" s="44">
        <v>770</v>
      </c>
      <c r="R667" s="44">
        <v>513</v>
      </c>
      <c r="S667" s="44">
        <v>313</v>
      </c>
      <c r="T667" s="44">
        <v>316</v>
      </c>
      <c r="U667" s="44">
        <v>112</v>
      </c>
      <c r="V667" s="44">
        <v>333</v>
      </c>
      <c r="W667" s="44">
        <v>935</v>
      </c>
      <c r="X667" s="44">
        <v>107</v>
      </c>
    </row>
    <row r="668" spans="1:24" s="41" customFormat="1">
      <c r="A668" s="42">
        <v>46135</v>
      </c>
      <c r="B668" s="43" t="s">
        <v>13</v>
      </c>
      <c r="C668" s="44">
        <v>312.66971999999998</v>
      </c>
      <c r="D668" s="44">
        <v>312.66971999999998</v>
      </c>
      <c r="E668" s="44">
        <v>284.24520000000001</v>
      </c>
      <c r="F668" s="44">
        <v>483.2168400000001</v>
      </c>
      <c r="G668" s="44">
        <v>312.66971999999998</v>
      </c>
      <c r="H668" s="44">
        <v>369.51876000000004</v>
      </c>
      <c r="I668" s="44">
        <v>255.82067999999998</v>
      </c>
      <c r="J668" s="44">
        <v>85.273560000000003</v>
      </c>
      <c r="K668" s="44">
        <v>312.66971999999998</v>
      </c>
      <c r="L668" s="44">
        <v>113.69808</v>
      </c>
      <c r="M668" s="44">
        <f t="shared" si="10"/>
        <v>665.54800000000023</v>
      </c>
      <c r="N668" s="45">
        <v>3508</v>
      </c>
      <c r="O668" s="44">
        <v>109</v>
      </c>
      <c r="P668" s="44">
        <v>0</v>
      </c>
      <c r="Q668" s="44">
        <v>770</v>
      </c>
      <c r="R668" s="44">
        <v>513</v>
      </c>
      <c r="S668" s="44">
        <v>313</v>
      </c>
      <c r="T668" s="44">
        <v>316</v>
      </c>
      <c r="U668" s="44">
        <v>112</v>
      </c>
      <c r="V668" s="44">
        <v>333</v>
      </c>
      <c r="W668" s="44">
        <v>935</v>
      </c>
      <c r="X668" s="44">
        <v>107</v>
      </c>
    </row>
    <row r="669" spans="1:24" s="41" customFormat="1">
      <c r="A669" s="42">
        <v>46136</v>
      </c>
      <c r="B669" s="43" t="s">
        <v>13</v>
      </c>
      <c r="C669" s="44">
        <v>312.66971999999998</v>
      </c>
      <c r="D669" s="44">
        <v>312.66971999999998</v>
      </c>
      <c r="E669" s="44">
        <v>284.24520000000001</v>
      </c>
      <c r="F669" s="44">
        <v>483.2168400000001</v>
      </c>
      <c r="G669" s="44">
        <v>312.66971999999998</v>
      </c>
      <c r="H669" s="44">
        <v>369.51876000000004</v>
      </c>
      <c r="I669" s="44">
        <v>255.82067999999998</v>
      </c>
      <c r="J669" s="44">
        <v>85.273560000000003</v>
      </c>
      <c r="K669" s="44">
        <v>312.66971999999998</v>
      </c>
      <c r="L669" s="44">
        <v>113.69808</v>
      </c>
      <c r="M669" s="44">
        <f t="shared" si="10"/>
        <v>665.54800000000023</v>
      </c>
      <c r="N669" s="45">
        <v>3508</v>
      </c>
      <c r="O669" s="44">
        <v>109</v>
      </c>
      <c r="P669" s="44">
        <v>0</v>
      </c>
      <c r="Q669" s="44">
        <v>770</v>
      </c>
      <c r="R669" s="44">
        <v>513</v>
      </c>
      <c r="S669" s="44">
        <v>313</v>
      </c>
      <c r="T669" s="44">
        <v>316</v>
      </c>
      <c r="U669" s="44">
        <v>112</v>
      </c>
      <c r="V669" s="44">
        <v>333</v>
      </c>
      <c r="W669" s="44">
        <v>935</v>
      </c>
      <c r="X669" s="44">
        <v>107</v>
      </c>
    </row>
    <row r="670" spans="1:24" s="41" customFormat="1">
      <c r="A670" s="42">
        <v>46137</v>
      </c>
      <c r="B670" s="43" t="s">
        <v>13</v>
      </c>
      <c r="C670" s="44">
        <v>348.69978000000003</v>
      </c>
      <c r="D670" s="44">
        <v>348.69978000000003</v>
      </c>
      <c r="E670" s="44">
        <v>316.99980000000005</v>
      </c>
      <c r="F670" s="44">
        <v>538.89966000000015</v>
      </c>
      <c r="G670" s="44">
        <v>348.69978000000003</v>
      </c>
      <c r="H670" s="44">
        <v>412.09974000000005</v>
      </c>
      <c r="I670" s="44">
        <v>285.29982000000007</v>
      </c>
      <c r="J670" s="44">
        <v>95.099940000000004</v>
      </c>
      <c r="K670" s="44">
        <v>348.69978000000003</v>
      </c>
      <c r="L670" s="44">
        <v>126.79992000000003</v>
      </c>
      <c r="M670" s="44">
        <f t="shared" si="10"/>
        <v>745.0019999999995</v>
      </c>
      <c r="N670" s="45">
        <v>3915</v>
      </c>
      <c r="O670" s="44">
        <v>125</v>
      </c>
      <c r="P670" s="44">
        <v>1</v>
      </c>
      <c r="Q670" s="44">
        <v>886</v>
      </c>
      <c r="R670" s="44">
        <v>590</v>
      </c>
      <c r="S670" s="44">
        <v>360</v>
      </c>
      <c r="T670" s="44">
        <v>364</v>
      </c>
      <c r="U670" s="44">
        <v>130</v>
      </c>
      <c r="V670" s="44">
        <v>384</v>
      </c>
      <c r="W670" s="44">
        <v>1075</v>
      </c>
      <c r="X670" s="44">
        <v>0</v>
      </c>
    </row>
    <row r="671" spans="1:24" s="41" customFormat="1">
      <c r="A671" s="42">
        <v>46138</v>
      </c>
      <c r="B671" s="43" t="s">
        <v>13</v>
      </c>
      <c r="C671" s="44">
        <v>348.69978000000003</v>
      </c>
      <c r="D671" s="44">
        <v>348.69978000000003</v>
      </c>
      <c r="E671" s="44">
        <v>316.99980000000005</v>
      </c>
      <c r="F671" s="44">
        <v>538.89966000000015</v>
      </c>
      <c r="G671" s="44">
        <v>348.69978000000003</v>
      </c>
      <c r="H671" s="44">
        <v>412.09974000000005</v>
      </c>
      <c r="I671" s="44">
        <v>285.29982000000007</v>
      </c>
      <c r="J671" s="44">
        <v>95.099940000000004</v>
      </c>
      <c r="K671" s="44">
        <v>348.69978000000003</v>
      </c>
      <c r="L671" s="44">
        <v>126.79992000000003</v>
      </c>
      <c r="M671" s="44">
        <f t="shared" si="10"/>
        <v>745.0019999999995</v>
      </c>
      <c r="N671" s="45">
        <v>3915</v>
      </c>
      <c r="O671" s="44">
        <v>125</v>
      </c>
      <c r="P671" s="44">
        <v>1</v>
      </c>
      <c r="Q671" s="44">
        <v>886</v>
      </c>
      <c r="R671" s="44">
        <v>590</v>
      </c>
      <c r="S671" s="44">
        <v>360</v>
      </c>
      <c r="T671" s="44">
        <v>364</v>
      </c>
      <c r="U671" s="44">
        <v>130</v>
      </c>
      <c r="V671" s="44">
        <v>384</v>
      </c>
      <c r="W671" s="44">
        <v>1075</v>
      </c>
      <c r="X671" s="44">
        <v>0</v>
      </c>
    </row>
    <row r="672" spans="1:24" s="41" customFormat="1">
      <c r="A672" s="42">
        <v>46139</v>
      </c>
      <c r="B672" s="43" t="s">
        <v>13</v>
      </c>
      <c r="C672" s="44">
        <v>312.73109999999997</v>
      </c>
      <c r="D672" s="44">
        <v>312.73109999999997</v>
      </c>
      <c r="E672" s="44">
        <v>284.30099999999999</v>
      </c>
      <c r="F672" s="44">
        <v>483.31169999999997</v>
      </c>
      <c r="G672" s="44">
        <v>312.73109999999997</v>
      </c>
      <c r="H672" s="44">
        <v>369.59130000000005</v>
      </c>
      <c r="I672" s="44">
        <v>255.87089999999995</v>
      </c>
      <c r="J672" s="44">
        <v>85.290300000000002</v>
      </c>
      <c r="K672" s="44">
        <v>312.73109999999997</v>
      </c>
      <c r="L672" s="44">
        <v>113.7204</v>
      </c>
      <c r="M672" s="44">
        <f t="shared" si="10"/>
        <v>665.99000000000024</v>
      </c>
      <c r="N672" s="45">
        <v>3509</v>
      </c>
      <c r="O672" s="44">
        <v>109</v>
      </c>
      <c r="P672" s="44">
        <v>1</v>
      </c>
      <c r="Q672" s="44">
        <v>770</v>
      </c>
      <c r="R672" s="44">
        <v>513</v>
      </c>
      <c r="S672" s="44">
        <v>313</v>
      </c>
      <c r="T672" s="44">
        <v>316</v>
      </c>
      <c r="U672" s="44">
        <v>112</v>
      </c>
      <c r="V672" s="44">
        <v>333</v>
      </c>
      <c r="W672" s="44">
        <v>935</v>
      </c>
      <c r="X672" s="44">
        <v>107</v>
      </c>
    </row>
    <row r="673" spans="1:24" s="41" customFormat="1">
      <c r="A673" s="42">
        <v>46140</v>
      </c>
      <c r="B673" s="43" t="s">
        <v>13</v>
      </c>
      <c r="C673" s="44">
        <v>312.73109999999997</v>
      </c>
      <c r="D673" s="44">
        <v>312.73109999999997</v>
      </c>
      <c r="E673" s="44">
        <v>284.30099999999999</v>
      </c>
      <c r="F673" s="44">
        <v>483.31169999999997</v>
      </c>
      <c r="G673" s="44">
        <v>312.73109999999997</v>
      </c>
      <c r="H673" s="44">
        <v>369.59130000000005</v>
      </c>
      <c r="I673" s="44">
        <v>255.87089999999995</v>
      </c>
      <c r="J673" s="44">
        <v>85.290300000000002</v>
      </c>
      <c r="K673" s="44">
        <v>312.73109999999997</v>
      </c>
      <c r="L673" s="44">
        <v>113.7204</v>
      </c>
      <c r="M673" s="44">
        <f t="shared" si="10"/>
        <v>665.99000000000024</v>
      </c>
      <c r="N673" s="45">
        <v>3509</v>
      </c>
      <c r="O673" s="44">
        <v>109</v>
      </c>
      <c r="P673" s="44">
        <v>1</v>
      </c>
      <c r="Q673" s="44">
        <v>770</v>
      </c>
      <c r="R673" s="44">
        <v>513</v>
      </c>
      <c r="S673" s="44">
        <v>313</v>
      </c>
      <c r="T673" s="44">
        <v>316</v>
      </c>
      <c r="U673" s="44">
        <v>112</v>
      </c>
      <c r="V673" s="44">
        <v>333</v>
      </c>
      <c r="W673" s="44">
        <v>935</v>
      </c>
      <c r="X673" s="44">
        <v>107</v>
      </c>
    </row>
    <row r="674" spans="1:24" s="41" customFormat="1">
      <c r="A674" s="42">
        <v>46141</v>
      </c>
      <c r="B674" s="43" t="s">
        <v>13</v>
      </c>
      <c r="C674" s="44">
        <v>312.73109999999997</v>
      </c>
      <c r="D674" s="44">
        <v>312.73109999999997</v>
      </c>
      <c r="E674" s="44">
        <v>284.30099999999999</v>
      </c>
      <c r="F674" s="44">
        <v>483.31169999999997</v>
      </c>
      <c r="G674" s="44">
        <v>312.73109999999997</v>
      </c>
      <c r="H674" s="44">
        <v>369.59130000000005</v>
      </c>
      <c r="I674" s="44">
        <v>255.87089999999995</v>
      </c>
      <c r="J674" s="44">
        <v>85.290300000000002</v>
      </c>
      <c r="K674" s="44">
        <v>312.73109999999997</v>
      </c>
      <c r="L674" s="44">
        <v>113.7204</v>
      </c>
      <c r="M674" s="44">
        <f t="shared" si="10"/>
        <v>665.99000000000024</v>
      </c>
      <c r="N674" s="45">
        <v>3509</v>
      </c>
      <c r="O674" s="44">
        <v>109</v>
      </c>
      <c r="P674" s="44">
        <v>1</v>
      </c>
      <c r="Q674" s="44">
        <v>770</v>
      </c>
      <c r="R674" s="44">
        <v>513</v>
      </c>
      <c r="S674" s="44">
        <v>313</v>
      </c>
      <c r="T674" s="44">
        <v>316</v>
      </c>
      <c r="U674" s="44">
        <v>112</v>
      </c>
      <c r="V674" s="44">
        <v>333</v>
      </c>
      <c r="W674" s="44">
        <v>935</v>
      </c>
      <c r="X674" s="44">
        <v>107</v>
      </c>
    </row>
    <row r="675" spans="1:24" s="41" customFormat="1">
      <c r="A675" s="42">
        <v>46142</v>
      </c>
      <c r="B675" s="43" t="s">
        <v>13</v>
      </c>
      <c r="C675" s="44">
        <v>314.32698000000005</v>
      </c>
      <c r="D675" s="44">
        <v>314.32698000000005</v>
      </c>
      <c r="E675" s="44">
        <v>285.7518</v>
      </c>
      <c r="F675" s="44">
        <v>485.7780600000001</v>
      </c>
      <c r="G675" s="44">
        <v>314.32698000000005</v>
      </c>
      <c r="H675" s="44">
        <v>371.47734000000003</v>
      </c>
      <c r="I675" s="44">
        <v>257.17662000000001</v>
      </c>
      <c r="J675" s="44">
        <v>85.725540000000009</v>
      </c>
      <c r="K675" s="44">
        <v>314.32698000000005</v>
      </c>
      <c r="L675" s="44">
        <v>114.30072</v>
      </c>
      <c r="M675" s="44">
        <f t="shared" si="10"/>
        <v>683.48199999999906</v>
      </c>
      <c r="N675" s="45">
        <v>3541</v>
      </c>
      <c r="O675" s="44">
        <v>110</v>
      </c>
      <c r="P675" s="44">
        <v>0</v>
      </c>
      <c r="Q675" s="44">
        <v>778</v>
      </c>
      <c r="R675" s="44">
        <v>501</v>
      </c>
      <c r="S675" s="44">
        <v>324</v>
      </c>
      <c r="T675" s="44">
        <v>323</v>
      </c>
      <c r="U675" s="44">
        <v>118</v>
      </c>
      <c r="V675" s="44">
        <v>341</v>
      </c>
      <c r="W675" s="44">
        <v>929</v>
      </c>
      <c r="X675" s="44">
        <v>117</v>
      </c>
    </row>
    <row r="676" spans="1:24" s="41" customFormat="1">
      <c r="A676" s="42">
        <v>46143</v>
      </c>
      <c r="B676" s="43" t="s">
        <v>13</v>
      </c>
      <c r="C676" s="51">
        <v>580.98827857142862</v>
      </c>
      <c r="D676" s="51">
        <v>606.13355714285717</v>
      </c>
      <c r="E676" s="51">
        <v>473.78998571428576</v>
      </c>
      <c r="F676" s="51">
        <v>1070.6594928571428</v>
      </c>
      <c r="G676" s="51">
        <v>636.57257857142861</v>
      </c>
      <c r="H676" s="51">
        <v>783.47394285714279</v>
      </c>
      <c r="I676" s="51">
        <v>467.17280714285721</v>
      </c>
      <c r="J676" s="51">
        <v>168.07633571428573</v>
      </c>
      <c r="K676" s="51">
        <v>543.93207857142852</v>
      </c>
      <c r="L676" s="51">
        <v>227.63094285714288</v>
      </c>
      <c r="M676" s="44">
        <f t="shared" si="10"/>
        <v>830.57000000000062</v>
      </c>
      <c r="N676" s="45">
        <v>6389</v>
      </c>
      <c r="O676" s="52">
        <v>166</v>
      </c>
      <c r="P676" s="52">
        <v>1</v>
      </c>
      <c r="Q676" s="52">
        <v>1699</v>
      </c>
      <c r="R676" s="52">
        <v>350</v>
      </c>
      <c r="S676" s="52">
        <v>500</v>
      </c>
      <c r="T676" s="52">
        <v>400</v>
      </c>
      <c r="U676" s="52">
        <v>1350</v>
      </c>
      <c r="V676" s="52">
        <v>703</v>
      </c>
      <c r="W676" s="52">
        <v>1220</v>
      </c>
      <c r="X676" s="52">
        <v>0</v>
      </c>
    </row>
    <row r="677" spans="1:24" s="41" customFormat="1">
      <c r="A677" s="42">
        <v>46144</v>
      </c>
      <c r="B677" s="43" t="s">
        <v>13</v>
      </c>
      <c r="C677" s="51">
        <v>576.44149285714286</v>
      </c>
      <c r="D677" s="51">
        <v>601.38998571428579</v>
      </c>
      <c r="E677" s="51">
        <v>470.0821285714286</v>
      </c>
      <c r="F677" s="51">
        <v>1062.2805642857143</v>
      </c>
      <c r="G677" s="51">
        <v>631.5907928571429</v>
      </c>
      <c r="H677" s="51">
        <v>777.34251428571429</v>
      </c>
      <c r="I677" s="51">
        <v>463.51673571428574</v>
      </c>
      <c r="J677" s="51">
        <v>166.76097857142858</v>
      </c>
      <c r="K677" s="51">
        <v>539.67529285714284</v>
      </c>
      <c r="L677" s="51">
        <v>225.84951428571432</v>
      </c>
      <c r="M677" s="44">
        <f t="shared" si="10"/>
        <v>824.06999999999971</v>
      </c>
      <c r="N677" s="45">
        <v>6339</v>
      </c>
      <c r="O677" s="52">
        <v>166</v>
      </c>
      <c r="P677" s="52">
        <v>1</v>
      </c>
      <c r="Q677" s="52">
        <v>1699</v>
      </c>
      <c r="R677" s="52">
        <v>350</v>
      </c>
      <c r="S677" s="52">
        <v>500</v>
      </c>
      <c r="T677" s="52">
        <v>400</v>
      </c>
      <c r="U677" s="52">
        <v>1350</v>
      </c>
      <c r="V677" s="52">
        <v>703</v>
      </c>
      <c r="W677" s="52">
        <v>1170</v>
      </c>
      <c r="X677" s="52">
        <v>0</v>
      </c>
    </row>
    <row r="678" spans="1:24" s="41" customFormat="1">
      <c r="A678" s="42">
        <v>46145</v>
      </c>
      <c r="B678" s="43" t="s">
        <v>13</v>
      </c>
      <c r="C678" s="51">
        <v>576.71429999999998</v>
      </c>
      <c r="D678" s="51">
        <v>601.67459999999994</v>
      </c>
      <c r="E678" s="51">
        <v>470.30459999999999</v>
      </c>
      <c r="F678" s="51">
        <v>1062.7832999999998</v>
      </c>
      <c r="G678" s="51">
        <v>631.88970000000006</v>
      </c>
      <c r="H678" s="51">
        <v>777.71039999999994</v>
      </c>
      <c r="I678" s="51">
        <v>463.73610000000002</v>
      </c>
      <c r="J678" s="51">
        <v>166.8399</v>
      </c>
      <c r="K678" s="51">
        <v>539.9307</v>
      </c>
      <c r="L678" s="51">
        <v>225.9564</v>
      </c>
      <c r="M678" s="44">
        <f t="shared" si="10"/>
        <v>824.46</v>
      </c>
      <c r="N678" s="45">
        <v>6342</v>
      </c>
      <c r="O678" s="52">
        <v>166</v>
      </c>
      <c r="P678" s="52">
        <v>1</v>
      </c>
      <c r="Q678" s="52">
        <v>1699</v>
      </c>
      <c r="R678" s="52">
        <v>350</v>
      </c>
      <c r="S678" s="52">
        <v>500</v>
      </c>
      <c r="T678" s="52">
        <v>400</v>
      </c>
      <c r="U678" s="52">
        <v>1335</v>
      </c>
      <c r="V678" s="52">
        <v>703</v>
      </c>
      <c r="W678" s="52">
        <v>1188</v>
      </c>
      <c r="X678" s="52">
        <v>0</v>
      </c>
    </row>
    <row r="679" spans="1:24" s="41" customFormat="1">
      <c r="A679" s="42">
        <v>46146</v>
      </c>
      <c r="B679" s="43" t="s">
        <v>13</v>
      </c>
      <c r="C679" s="51">
        <v>554.98066428571417</v>
      </c>
      <c r="D679" s="51">
        <v>579.00032857142855</v>
      </c>
      <c r="E679" s="51">
        <v>452.58104285714285</v>
      </c>
      <c r="F679" s="51">
        <v>1022.7320214285713</v>
      </c>
      <c r="G679" s="51">
        <v>608.07676428571426</v>
      </c>
      <c r="H679" s="51">
        <v>748.40217142857136</v>
      </c>
      <c r="I679" s="51">
        <v>446.26007857142855</v>
      </c>
      <c r="J679" s="51">
        <v>160.55249285714285</v>
      </c>
      <c r="K679" s="51">
        <v>519.58326428571422</v>
      </c>
      <c r="L679" s="51">
        <v>217.44117142857144</v>
      </c>
      <c r="M679" s="44">
        <f t="shared" si="10"/>
        <v>793.39000000000033</v>
      </c>
      <c r="N679" s="45">
        <v>6103</v>
      </c>
      <c r="O679" s="52">
        <v>166</v>
      </c>
      <c r="P679" s="52">
        <v>1</v>
      </c>
      <c r="Q679" s="52">
        <v>1699</v>
      </c>
      <c r="R679" s="52">
        <v>350</v>
      </c>
      <c r="S679" s="52">
        <v>500</v>
      </c>
      <c r="T679" s="52">
        <v>400</v>
      </c>
      <c r="U679" s="52">
        <v>1123</v>
      </c>
      <c r="V679" s="52">
        <v>703</v>
      </c>
      <c r="W679" s="52">
        <v>1161</v>
      </c>
      <c r="X679" s="52">
        <v>0</v>
      </c>
    </row>
    <row r="680" spans="1:24" s="41" customFormat="1">
      <c r="A680" s="42">
        <v>46147</v>
      </c>
      <c r="B680" s="43" t="s">
        <v>13</v>
      </c>
      <c r="C680" s="51">
        <v>508.96719285714289</v>
      </c>
      <c r="D680" s="51">
        <v>530.9953857142857</v>
      </c>
      <c r="E680" s="51">
        <v>415.05752857142858</v>
      </c>
      <c r="F680" s="51">
        <v>937.93726428571426</v>
      </c>
      <c r="G680" s="51">
        <v>557.66109285714288</v>
      </c>
      <c r="H680" s="51">
        <v>686.35211428571426</v>
      </c>
      <c r="I680" s="51">
        <v>409.26063571428574</v>
      </c>
      <c r="J680" s="51">
        <v>147.24107857142857</v>
      </c>
      <c r="K680" s="51">
        <v>476.50459285714288</v>
      </c>
      <c r="L680" s="51">
        <v>199.4131142857143</v>
      </c>
      <c r="M680" s="44">
        <f t="shared" si="10"/>
        <v>727.61000000000058</v>
      </c>
      <c r="N680" s="45">
        <v>5597</v>
      </c>
      <c r="O680" s="52">
        <v>166</v>
      </c>
      <c r="P680" s="52">
        <v>1</v>
      </c>
      <c r="Q680" s="52">
        <v>1699</v>
      </c>
      <c r="R680" s="52">
        <v>350</v>
      </c>
      <c r="S680" s="52">
        <v>472</v>
      </c>
      <c r="T680" s="52">
        <v>439</v>
      </c>
      <c r="U680" s="52">
        <v>684</v>
      </c>
      <c r="V680" s="52">
        <v>703</v>
      </c>
      <c r="W680" s="52">
        <v>1083</v>
      </c>
      <c r="X680" s="52">
        <v>0</v>
      </c>
    </row>
    <row r="681" spans="1:24" s="41" customFormat="1">
      <c r="A681" s="42">
        <v>46148</v>
      </c>
      <c r="B681" s="43" t="s">
        <v>13</v>
      </c>
      <c r="C681" s="51">
        <v>410.93849285714288</v>
      </c>
      <c r="D681" s="51">
        <v>428.72398571428573</v>
      </c>
      <c r="E681" s="51">
        <v>335.11612857142859</v>
      </c>
      <c r="F681" s="51">
        <v>757.28756428571432</v>
      </c>
      <c r="G681" s="51">
        <v>450.25379285714291</v>
      </c>
      <c r="H681" s="51">
        <v>554.15851428571432</v>
      </c>
      <c r="I681" s="51">
        <v>330.43573571428573</v>
      </c>
      <c r="J681" s="51">
        <v>118.88197857142858</v>
      </c>
      <c r="K681" s="51">
        <v>384.72829285714283</v>
      </c>
      <c r="L681" s="51">
        <v>161.0055142857143</v>
      </c>
      <c r="M681" s="44">
        <f t="shared" si="10"/>
        <v>587.46999999999935</v>
      </c>
      <c r="N681" s="45">
        <v>4519</v>
      </c>
      <c r="O681" s="52">
        <v>86</v>
      </c>
      <c r="P681" s="52">
        <v>0</v>
      </c>
      <c r="Q681" s="52">
        <v>1133</v>
      </c>
      <c r="R681" s="52">
        <v>350</v>
      </c>
      <c r="S681" s="52">
        <v>491</v>
      </c>
      <c r="T681" s="52">
        <v>500</v>
      </c>
      <c r="U681" s="52">
        <v>41</v>
      </c>
      <c r="V681" s="52">
        <v>703</v>
      </c>
      <c r="W681" s="52">
        <v>1026</v>
      </c>
      <c r="X681" s="52">
        <v>189</v>
      </c>
    </row>
    <row r="682" spans="1:24" s="41" customFormat="1">
      <c r="A682" s="42">
        <v>46149</v>
      </c>
      <c r="B682" s="43" t="s">
        <v>13</v>
      </c>
      <c r="C682" s="51">
        <v>404.39112142857141</v>
      </c>
      <c r="D682" s="51">
        <v>421.89324285714281</v>
      </c>
      <c r="E682" s="51">
        <v>329.77681428571429</v>
      </c>
      <c r="F682" s="51">
        <v>745.22190714285705</v>
      </c>
      <c r="G682" s="51">
        <v>443.08002142857146</v>
      </c>
      <c r="H682" s="51">
        <v>545.32925714285705</v>
      </c>
      <c r="I682" s="51">
        <v>325.17099285714283</v>
      </c>
      <c r="J682" s="51">
        <v>116.98786428571428</v>
      </c>
      <c r="K682" s="51">
        <v>378.59852142857142</v>
      </c>
      <c r="L682" s="51">
        <v>158.44025714285715</v>
      </c>
      <c r="M682" s="44">
        <f t="shared" si="10"/>
        <v>578.11000000000013</v>
      </c>
      <c r="N682" s="45">
        <v>4447</v>
      </c>
      <c r="O682" s="52">
        <v>85</v>
      </c>
      <c r="P682" s="52">
        <v>0</v>
      </c>
      <c r="Q682" s="52">
        <v>1133</v>
      </c>
      <c r="R682" s="52">
        <v>350</v>
      </c>
      <c r="S682" s="52">
        <v>491</v>
      </c>
      <c r="T682" s="52">
        <v>500</v>
      </c>
      <c r="U682" s="52">
        <v>0</v>
      </c>
      <c r="V682" s="52">
        <v>703</v>
      </c>
      <c r="W682" s="52">
        <v>996</v>
      </c>
      <c r="X682" s="52">
        <v>189</v>
      </c>
    </row>
    <row r="683" spans="1:24" s="41" customFormat="1">
      <c r="A683" s="42">
        <v>46150</v>
      </c>
      <c r="B683" s="43" t="s">
        <v>13</v>
      </c>
      <c r="C683" s="51">
        <v>402.48147142857141</v>
      </c>
      <c r="D683" s="51">
        <v>419.90094285714287</v>
      </c>
      <c r="E683" s="51">
        <v>328.2195142857143</v>
      </c>
      <c r="F683" s="51">
        <v>741.70275714285708</v>
      </c>
      <c r="G683" s="51">
        <v>440.98767142857145</v>
      </c>
      <c r="H683" s="51">
        <v>542.75405714285705</v>
      </c>
      <c r="I683" s="51">
        <v>323.63544285714289</v>
      </c>
      <c r="J683" s="51">
        <v>116.43541428571427</v>
      </c>
      <c r="K683" s="51">
        <v>376.81067142857137</v>
      </c>
      <c r="L683" s="51">
        <v>157.69205714285715</v>
      </c>
      <c r="M683" s="44">
        <f t="shared" si="10"/>
        <v>575.38000000000011</v>
      </c>
      <c r="N683" s="45">
        <v>4426</v>
      </c>
      <c r="O683" s="52">
        <v>85</v>
      </c>
      <c r="P683" s="52">
        <v>0</v>
      </c>
      <c r="Q683" s="52">
        <v>1133</v>
      </c>
      <c r="R683" s="52">
        <v>350</v>
      </c>
      <c r="S683" s="52">
        <v>491</v>
      </c>
      <c r="T683" s="52">
        <v>500</v>
      </c>
      <c r="U683" s="52">
        <v>0</v>
      </c>
      <c r="V683" s="52">
        <v>703</v>
      </c>
      <c r="W683" s="52">
        <v>976</v>
      </c>
      <c r="X683" s="52">
        <v>188</v>
      </c>
    </row>
    <row r="684" spans="1:24" s="41" customFormat="1">
      <c r="A684" s="42">
        <v>46151</v>
      </c>
      <c r="B684" s="43" t="s">
        <v>13</v>
      </c>
      <c r="C684" s="51">
        <v>412.21159285714282</v>
      </c>
      <c r="D684" s="51">
        <v>430.05218571428571</v>
      </c>
      <c r="E684" s="51">
        <v>336.15432857142855</v>
      </c>
      <c r="F684" s="51">
        <v>759.63366428571419</v>
      </c>
      <c r="G684" s="51">
        <v>451.64869285714286</v>
      </c>
      <c r="H684" s="51">
        <v>555.87531428571424</v>
      </c>
      <c r="I684" s="51">
        <v>331.45943571428575</v>
      </c>
      <c r="J684" s="51">
        <v>119.25027857142857</v>
      </c>
      <c r="K684" s="51">
        <v>385.92019285714281</v>
      </c>
      <c r="L684" s="51">
        <v>161.50431428571429</v>
      </c>
      <c r="M684" s="44">
        <f t="shared" si="10"/>
        <v>589.28999999999951</v>
      </c>
      <c r="N684" s="45">
        <v>4533</v>
      </c>
      <c r="O684" s="52">
        <v>85</v>
      </c>
      <c r="P684" s="52">
        <v>0</v>
      </c>
      <c r="Q684" s="52">
        <v>1133</v>
      </c>
      <c r="R684" s="52">
        <v>350</v>
      </c>
      <c r="S684" s="52">
        <v>491</v>
      </c>
      <c r="T684" s="52">
        <v>500</v>
      </c>
      <c r="U684" s="52">
        <v>44</v>
      </c>
      <c r="V684" s="52">
        <v>703</v>
      </c>
      <c r="W684" s="52">
        <v>1039</v>
      </c>
      <c r="X684" s="52">
        <v>188</v>
      </c>
    </row>
    <row r="685" spans="1:24" s="41" customFormat="1">
      <c r="A685" s="42">
        <v>46152</v>
      </c>
      <c r="B685" s="43" t="s">
        <v>13</v>
      </c>
      <c r="C685" s="51">
        <v>450.3136571428571</v>
      </c>
      <c r="D685" s="51">
        <v>469.80331428571424</v>
      </c>
      <c r="E685" s="51">
        <v>367.22617142857143</v>
      </c>
      <c r="F685" s="51">
        <v>829.84908571428559</v>
      </c>
      <c r="G685" s="51">
        <v>493.39605714285716</v>
      </c>
      <c r="H685" s="51">
        <v>607.2566857142856</v>
      </c>
      <c r="I685" s="51">
        <v>362.09731428571428</v>
      </c>
      <c r="J685" s="51">
        <v>130.27297142857142</v>
      </c>
      <c r="K685" s="51">
        <v>421.59205714285707</v>
      </c>
      <c r="L685" s="51">
        <v>176.43268571428572</v>
      </c>
      <c r="M685" s="44">
        <f t="shared" si="10"/>
        <v>643.76000000000022</v>
      </c>
      <c r="N685" s="45">
        <v>4952</v>
      </c>
      <c r="O685" s="52">
        <v>123</v>
      </c>
      <c r="P685" s="52">
        <v>1</v>
      </c>
      <c r="Q685" s="52">
        <v>1699</v>
      </c>
      <c r="R685" s="52">
        <v>350</v>
      </c>
      <c r="S685" s="52">
        <v>491</v>
      </c>
      <c r="T685" s="52">
        <v>500</v>
      </c>
      <c r="U685" s="52">
        <v>44</v>
      </c>
      <c r="V685" s="52">
        <v>703</v>
      </c>
      <c r="W685" s="52">
        <v>1041</v>
      </c>
      <c r="X685" s="52">
        <v>0</v>
      </c>
    </row>
    <row r="686" spans="1:24" s="41" customFormat="1">
      <c r="A686" s="42">
        <v>46153</v>
      </c>
      <c r="B686" s="43" t="s">
        <v>13</v>
      </c>
      <c r="C686" s="51">
        <v>411.30223571428564</v>
      </c>
      <c r="D686" s="51">
        <v>429.10347142857142</v>
      </c>
      <c r="E686" s="51">
        <v>335.41275714285712</v>
      </c>
      <c r="F686" s="51">
        <v>757.95787857142852</v>
      </c>
      <c r="G686" s="51">
        <v>450.6523357142857</v>
      </c>
      <c r="H686" s="51">
        <v>554.64902857142852</v>
      </c>
      <c r="I686" s="51">
        <v>330.72822142857143</v>
      </c>
      <c r="J686" s="51">
        <v>118.98720714285713</v>
      </c>
      <c r="K686" s="51">
        <v>385.06883571428568</v>
      </c>
      <c r="L686" s="51">
        <v>161.14802857142857</v>
      </c>
      <c r="M686" s="44">
        <f t="shared" si="10"/>
        <v>587.99000000000024</v>
      </c>
      <c r="N686" s="45">
        <v>4523</v>
      </c>
      <c r="O686" s="52">
        <v>85</v>
      </c>
      <c r="P686" s="52">
        <v>0</v>
      </c>
      <c r="Q686" s="52">
        <v>1133</v>
      </c>
      <c r="R686" s="52">
        <v>350</v>
      </c>
      <c r="S686" s="52">
        <v>491</v>
      </c>
      <c r="T686" s="52">
        <v>500</v>
      </c>
      <c r="U686" s="52">
        <v>30</v>
      </c>
      <c r="V686" s="52">
        <v>703</v>
      </c>
      <c r="W686" s="52">
        <v>1043</v>
      </c>
      <c r="X686" s="52">
        <v>188</v>
      </c>
    </row>
    <row r="687" spans="1:24" s="41" customFormat="1">
      <c r="A687" s="42">
        <v>46154</v>
      </c>
      <c r="B687" s="43" t="s">
        <v>13</v>
      </c>
      <c r="C687" s="51">
        <v>422.57826428571423</v>
      </c>
      <c r="D687" s="51">
        <v>440.86752857142858</v>
      </c>
      <c r="E687" s="51">
        <v>344.60824285714284</v>
      </c>
      <c r="F687" s="51">
        <v>778.7376214285714</v>
      </c>
      <c r="G687" s="51">
        <v>463.00716428571428</v>
      </c>
      <c r="H687" s="51">
        <v>569.85497142857139</v>
      </c>
      <c r="I687" s="51">
        <v>339.79527857142858</v>
      </c>
      <c r="J687" s="51">
        <v>122.24929285714285</v>
      </c>
      <c r="K687" s="51">
        <v>395.62566428571427</v>
      </c>
      <c r="L687" s="51">
        <v>165.56597142857143</v>
      </c>
      <c r="M687" s="44">
        <f t="shared" si="10"/>
        <v>604.10999999999967</v>
      </c>
      <c r="N687" s="45">
        <v>4647</v>
      </c>
      <c r="O687" s="52">
        <v>85</v>
      </c>
      <c r="P687" s="52">
        <v>0</v>
      </c>
      <c r="Q687" s="52">
        <v>1133</v>
      </c>
      <c r="R687" s="52">
        <v>350</v>
      </c>
      <c r="S687" s="52">
        <v>491</v>
      </c>
      <c r="T687" s="52">
        <v>700</v>
      </c>
      <c r="U687" s="52">
        <v>0</v>
      </c>
      <c r="V687" s="52">
        <v>703</v>
      </c>
      <c r="W687" s="52">
        <v>997</v>
      </c>
      <c r="X687" s="52">
        <v>188</v>
      </c>
    </row>
    <row r="688" spans="1:24" s="41" customFormat="1">
      <c r="A688" s="42">
        <v>46155</v>
      </c>
      <c r="B688" s="43" t="s">
        <v>13</v>
      </c>
      <c r="C688" s="51">
        <v>422.7601357142857</v>
      </c>
      <c r="D688" s="51">
        <v>441.05727142857143</v>
      </c>
      <c r="E688" s="51">
        <v>344.75655714285716</v>
      </c>
      <c r="F688" s="51">
        <v>779.07277857142856</v>
      </c>
      <c r="G688" s="51">
        <v>463.20643571428576</v>
      </c>
      <c r="H688" s="51">
        <v>570.10022857142849</v>
      </c>
      <c r="I688" s="51">
        <v>339.94152142857143</v>
      </c>
      <c r="J688" s="51">
        <v>122.30190714285715</v>
      </c>
      <c r="K688" s="51">
        <v>395.79593571428569</v>
      </c>
      <c r="L688" s="51">
        <v>165.63722857142858</v>
      </c>
      <c r="M688" s="44">
        <f t="shared" si="10"/>
        <v>604.36999999999989</v>
      </c>
      <c r="N688" s="45">
        <v>4649</v>
      </c>
      <c r="O688" s="52">
        <v>85</v>
      </c>
      <c r="P688" s="52">
        <v>0</v>
      </c>
      <c r="Q688" s="52">
        <v>1133</v>
      </c>
      <c r="R688" s="52">
        <v>350</v>
      </c>
      <c r="S688" s="52">
        <v>491</v>
      </c>
      <c r="T688" s="52">
        <v>700</v>
      </c>
      <c r="U688" s="52">
        <v>0</v>
      </c>
      <c r="V688" s="52">
        <v>703</v>
      </c>
      <c r="W688" s="52">
        <v>999</v>
      </c>
      <c r="X688" s="52">
        <v>188</v>
      </c>
    </row>
    <row r="689" spans="1:24" s="41" customFormat="1">
      <c r="A689" s="42">
        <v>46156</v>
      </c>
      <c r="B689" s="43" t="s">
        <v>13</v>
      </c>
      <c r="C689" s="51">
        <v>430.85341428571428</v>
      </c>
      <c r="D689" s="51">
        <v>449.5008285714286</v>
      </c>
      <c r="E689" s="51">
        <v>351.35654285714287</v>
      </c>
      <c r="F689" s="51">
        <v>793.98727142857149</v>
      </c>
      <c r="G689" s="51">
        <v>472.07401428571433</v>
      </c>
      <c r="H689" s="51">
        <v>581.01417142857144</v>
      </c>
      <c r="I689" s="51">
        <v>346.44932857142862</v>
      </c>
      <c r="J689" s="51">
        <v>124.64324285714287</v>
      </c>
      <c r="K689" s="51">
        <v>403.37301428571431</v>
      </c>
      <c r="L689" s="51">
        <v>168.80817142857146</v>
      </c>
      <c r="M689" s="44">
        <f t="shared" si="10"/>
        <v>615.9399999999996</v>
      </c>
      <c r="N689" s="45">
        <v>4738</v>
      </c>
      <c r="O689" s="52">
        <v>85</v>
      </c>
      <c r="P689" s="52">
        <v>0</v>
      </c>
      <c r="Q689" s="52">
        <v>1133</v>
      </c>
      <c r="R689" s="52">
        <v>350</v>
      </c>
      <c r="S689" s="52">
        <v>491</v>
      </c>
      <c r="T689" s="52">
        <v>700</v>
      </c>
      <c r="U689" s="52">
        <v>56</v>
      </c>
      <c r="V689" s="52">
        <v>703</v>
      </c>
      <c r="W689" s="52">
        <v>1032</v>
      </c>
      <c r="X689" s="52">
        <v>188</v>
      </c>
    </row>
    <row r="690" spans="1:24" s="41" customFormat="1">
      <c r="A690" s="42">
        <v>46157</v>
      </c>
      <c r="B690" s="43" t="s">
        <v>13</v>
      </c>
      <c r="C690" s="51">
        <v>434.58177857142852</v>
      </c>
      <c r="D690" s="51">
        <v>453.39055714285706</v>
      </c>
      <c r="E690" s="51">
        <v>354.39698571428568</v>
      </c>
      <c r="F690" s="51">
        <v>800.85799285714268</v>
      </c>
      <c r="G690" s="51">
        <v>476.15907857142855</v>
      </c>
      <c r="H690" s="51">
        <v>586.04194285714277</v>
      </c>
      <c r="I690" s="51">
        <v>349.44730714285714</v>
      </c>
      <c r="J690" s="51">
        <v>125.7218357142857</v>
      </c>
      <c r="K690" s="51">
        <v>406.86357857142849</v>
      </c>
      <c r="L690" s="51">
        <v>170.26894285714286</v>
      </c>
      <c r="M690" s="44">
        <f t="shared" si="10"/>
        <v>621.27000000000135</v>
      </c>
      <c r="N690" s="45">
        <v>4779</v>
      </c>
      <c r="O690" s="52">
        <v>85</v>
      </c>
      <c r="P690" s="52">
        <v>0</v>
      </c>
      <c r="Q690" s="52">
        <v>1133</v>
      </c>
      <c r="R690" s="52">
        <v>350</v>
      </c>
      <c r="S690" s="52">
        <v>491</v>
      </c>
      <c r="T690" s="52">
        <v>700</v>
      </c>
      <c r="U690" s="52">
        <v>74</v>
      </c>
      <c r="V690" s="52">
        <v>703</v>
      </c>
      <c r="W690" s="52">
        <v>1055</v>
      </c>
      <c r="X690" s="52">
        <v>188</v>
      </c>
    </row>
    <row r="691" spans="1:24" s="41" customFormat="1">
      <c r="A691" s="42">
        <v>46158</v>
      </c>
      <c r="B691" s="43" t="s">
        <v>13</v>
      </c>
      <c r="C691" s="51">
        <v>487.05168571428572</v>
      </c>
      <c r="D691" s="51">
        <v>508.13137142857147</v>
      </c>
      <c r="E691" s="51">
        <v>397.18565714285717</v>
      </c>
      <c r="F691" s="51">
        <v>897.55082857142861</v>
      </c>
      <c r="G691" s="51">
        <v>533.64888571428571</v>
      </c>
      <c r="H691" s="51">
        <v>656.79862857142859</v>
      </c>
      <c r="I691" s="51">
        <v>391.63837142857147</v>
      </c>
      <c r="J691" s="51">
        <v>140.90105714285716</v>
      </c>
      <c r="K691" s="51">
        <v>455.98688571428573</v>
      </c>
      <c r="L691" s="51">
        <v>190.82662857142859</v>
      </c>
      <c r="M691" s="44">
        <f t="shared" si="10"/>
        <v>696.27999999999884</v>
      </c>
      <c r="N691" s="45">
        <v>5356</v>
      </c>
      <c r="O691" s="52">
        <v>123</v>
      </c>
      <c r="P691" s="52">
        <v>1</v>
      </c>
      <c r="Q691" s="52">
        <v>1699</v>
      </c>
      <c r="R691" s="52">
        <v>350</v>
      </c>
      <c r="S691" s="52">
        <v>491</v>
      </c>
      <c r="T691" s="52">
        <v>700</v>
      </c>
      <c r="U691" s="52">
        <v>114</v>
      </c>
      <c r="V691" s="52">
        <v>704</v>
      </c>
      <c r="W691" s="52">
        <v>1174</v>
      </c>
      <c r="X691" s="52">
        <v>0</v>
      </c>
    </row>
    <row r="692" spans="1:24" s="41" customFormat="1">
      <c r="A692" s="42">
        <v>46159</v>
      </c>
      <c r="B692" s="43" t="s">
        <v>13</v>
      </c>
      <c r="C692" s="51">
        <v>507.51222142857142</v>
      </c>
      <c r="D692" s="51">
        <v>529.47744285714293</v>
      </c>
      <c r="E692" s="51">
        <v>413.8710142857143</v>
      </c>
      <c r="F692" s="51">
        <v>935.25600714285713</v>
      </c>
      <c r="G692" s="51">
        <v>556.0669214285715</v>
      </c>
      <c r="H692" s="51">
        <v>684.39005714285713</v>
      </c>
      <c r="I692" s="51">
        <v>408.09069285714287</v>
      </c>
      <c r="J692" s="51">
        <v>146.8201642857143</v>
      </c>
      <c r="K692" s="51">
        <v>475.14242142857142</v>
      </c>
      <c r="L692" s="51">
        <v>198.84305714285716</v>
      </c>
      <c r="M692" s="44">
        <f t="shared" si="10"/>
        <v>725.52999999999975</v>
      </c>
      <c r="N692" s="45">
        <v>5581</v>
      </c>
      <c r="O692" s="52">
        <v>123</v>
      </c>
      <c r="P692" s="52">
        <v>1</v>
      </c>
      <c r="Q692" s="52">
        <v>1699</v>
      </c>
      <c r="R692" s="52">
        <v>350</v>
      </c>
      <c r="S692" s="52">
        <v>491</v>
      </c>
      <c r="T692" s="52">
        <v>850</v>
      </c>
      <c r="U692" s="52">
        <v>114</v>
      </c>
      <c r="V692" s="52">
        <v>704</v>
      </c>
      <c r="W692" s="52">
        <v>1249</v>
      </c>
      <c r="X692" s="52">
        <v>0</v>
      </c>
    </row>
    <row r="693" spans="1:24" s="41" customFormat="1">
      <c r="A693" s="42">
        <v>46160</v>
      </c>
      <c r="B693" s="43" t="s">
        <v>13</v>
      </c>
      <c r="C693" s="51">
        <v>467.50050714285715</v>
      </c>
      <c r="D693" s="51">
        <v>487.7340142857143</v>
      </c>
      <c r="E693" s="51">
        <v>381.24187142857141</v>
      </c>
      <c r="F693" s="51">
        <v>861.52143571428564</v>
      </c>
      <c r="G693" s="51">
        <v>512.2272071428572</v>
      </c>
      <c r="H693" s="51">
        <v>630.43348571428567</v>
      </c>
      <c r="I693" s="51">
        <v>375.91726428571428</v>
      </c>
      <c r="J693" s="51">
        <v>135.24502142857142</v>
      </c>
      <c r="K693" s="51">
        <v>437.68270714285711</v>
      </c>
      <c r="L693" s="51">
        <v>183.16648571428573</v>
      </c>
      <c r="M693" s="44">
        <f t="shared" si="10"/>
        <v>668.32999999999993</v>
      </c>
      <c r="N693" s="45">
        <v>5141</v>
      </c>
      <c r="O693" s="52">
        <v>85</v>
      </c>
      <c r="P693" s="52">
        <v>0</v>
      </c>
      <c r="Q693" s="52">
        <v>1133</v>
      </c>
      <c r="R693" s="52">
        <v>350</v>
      </c>
      <c r="S693" s="52">
        <v>491</v>
      </c>
      <c r="T693" s="52">
        <v>900</v>
      </c>
      <c r="U693" s="52">
        <v>68</v>
      </c>
      <c r="V693" s="52">
        <v>704</v>
      </c>
      <c r="W693" s="52">
        <v>1223</v>
      </c>
      <c r="X693" s="52">
        <v>187</v>
      </c>
    </row>
    <row r="694" spans="1:24" s="41" customFormat="1">
      <c r="A694" s="42">
        <v>46161</v>
      </c>
      <c r="B694" s="43" t="s">
        <v>13</v>
      </c>
      <c r="C694" s="51">
        <v>464.95430714285715</v>
      </c>
      <c r="D694" s="51">
        <v>485.07761428571433</v>
      </c>
      <c r="E694" s="51">
        <v>379.16547142857144</v>
      </c>
      <c r="F694" s="51">
        <v>856.82923571428569</v>
      </c>
      <c r="G694" s="51">
        <v>509.43740714285718</v>
      </c>
      <c r="H694" s="51">
        <v>626.99988571428571</v>
      </c>
      <c r="I694" s="51">
        <v>373.86986428571436</v>
      </c>
      <c r="J694" s="51">
        <v>134.50842142857144</v>
      </c>
      <c r="K694" s="51">
        <v>435.29890714285716</v>
      </c>
      <c r="L694" s="51">
        <v>182.16888571428575</v>
      </c>
      <c r="M694" s="44">
        <f t="shared" si="10"/>
        <v>664.6899999999996</v>
      </c>
      <c r="N694" s="45">
        <v>5113</v>
      </c>
      <c r="O694" s="52">
        <v>85</v>
      </c>
      <c r="P694" s="52">
        <v>0</v>
      </c>
      <c r="Q694" s="52">
        <v>1133</v>
      </c>
      <c r="R694" s="52">
        <v>350</v>
      </c>
      <c r="S694" s="52">
        <v>491</v>
      </c>
      <c r="T694" s="52">
        <v>900</v>
      </c>
      <c r="U694" s="52">
        <v>18</v>
      </c>
      <c r="V694" s="52">
        <v>704</v>
      </c>
      <c r="W694" s="52">
        <v>1245</v>
      </c>
      <c r="X694" s="52">
        <v>187</v>
      </c>
    </row>
    <row r="695" spans="1:24" s="41" customFormat="1">
      <c r="A695" s="42">
        <v>46162</v>
      </c>
      <c r="B695" s="43" t="s">
        <v>13</v>
      </c>
      <c r="C695" s="51">
        <v>464.86337142857138</v>
      </c>
      <c r="D695" s="51">
        <v>484.9827428571428</v>
      </c>
      <c r="E695" s="51">
        <v>379.09131428571425</v>
      </c>
      <c r="F695" s="51">
        <v>856.66165714285705</v>
      </c>
      <c r="G695" s="51">
        <v>509.33777142857139</v>
      </c>
      <c r="H695" s="51">
        <v>626.87725714285705</v>
      </c>
      <c r="I695" s="51">
        <v>373.79674285714282</v>
      </c>
      <c r="J695" s="51">
        <v>134.48211428571426</v>
      </c>
      <c r="K695" s="51">
        <v>435.21377142857136</v>
      </c>
      <c r="L695" s="51">
        <v>182.13325714285713</v>
      </c>
      <c r="M695" s="44">
        <f t="shared" si="10"/>
        <v>664.55999999999949</v>
      </c>
      <c r="N695" s="45">
        <v>5112</v>
      </c>
      <c r="O695" s="52">
        <v>85</v>
      </c>
      <c r="P695" s="52">
        <v>0</v>
      </c>
      <c r="Q695" s="52">
        <v>1133</v>
      </c>
      <c r="R695" s="52">
        <v>350</v>
      </c>
      <c r="S695" s="52">
        <v>491</v>
      </c>
      <c r="T695" s="52">
        <v>900</v>
      </c>
      <c r="U695" s="52">
        <v>0</v>
      </c>
      <c r="V695" s="52">
        <v>704</v>
      </c>
      <c r="W695" s="52">
        <v>1262</v>
      </c>
      <c r="X695" s="52">
        <v>187</v>
      </c>
    </row>
    <row r="696" spans="1:24" s="41" customFormat="1">
      <c r="A696" s="42">
        <v>46163</v>
      </c>
      <c r="B696" s="43" t="s">
        <v>13</v>
      </c>
      <c r="C696" s="51">
        <v>468.86454285714285</v>
      </c>
      <c r="D696" s="51">
        <v>489.15708571428576</v>
      </c>
      <c r="E696" s="51">
        <v>382.35422857142856</v>
      </c>
      <c r="F696" s="51">
        <v>864.03511428571426</v>
      </c>
      <c r="G696" s="51">
        <v>513.72174285714289</v>
      </c>
      <c r="H696" s="51">
        <v>632.27291428571425</v>
      </c>
      <c r="I696" s="51">
        <v>377.01408571428573</v>
      </c>
      <c r="J696" s="51">
        <v>135.63962857142857</v>
      </c>
      <c r="K696" s="51">
        <v>438.95974285714283</v>
      </c>
      <c r="L696" s="51">
        <v>183.7009142857143</v>
      </c>
      <c r="M696" s="44">
        <f t="shared" si="10"/>
        <v>670.27999999999975</v>
      </c>
      <c r="N696" s="45">
        <v>5156</v>
      </c>
      <c r="O696" s="52">
        <v>85</v>
      </c>
      <c r="P696" s="52">
        <v>0</v>
      </c>
      <c r="Q696" s="52">
        <v>1133</v>
      </c>
      <c r="R696" s="52">
        <v>350</v>
      </c>
      <c r="S696" s="52">
        <v>491</v>
      </c>
      <c r="T696" s="52">
        <v>900</v>
      </c>
      <c r="U696" s="52">
        <v>0</v>
      </c>
      <c r="V696" s="52">
        <v>704</v>
      </c>
      <c r="W696" s="52">
        <v>1306</v>
      </c>
      <c r="X696" s="52">
        <v>187</v>
      </c>
    </row>
    <row r="697" spans="1:24" s="41" customFormat="1">
      <c r="A697" s="42">
        <v>46164</v>
      </c>
      <c r="B697" s="43" t="s">
        <v>13</v>
      </c>
      <c r="C697" s="51">
        <v>469.77389999999997</v>
      </c>
      <c r="D697" s="51">
        <v>490.10579999999999</v>
      </c>
      <c r="E697" s="51">
        <v>383.0958</v>
      </c>
      <c r="F697" s="51">
        <v>865.71089999999992</v>
      </c>
      <c r="G697" s="51">
        <v>514.71810000000005</v>
      </c>
      <c r="H697" s="51">
        <v>633.49919999999997</v>
      </c>
      <c r="I697" s="51">
        <v>377.74530000000004</v>
      </c>
      <c r="J697" s="51">
        <v>135.90270000000001</v>
      </c>
      <c r="K697" s="51">
        <v>439.81109999999995</v>
      </c>
      <c r="L697" s="51">
        <v>184.05720000000002</v>
      </c>
      <c r="M697" s="44">
        <f t="shared" si="10"/>
        <v>671.57999999999993</v>
      </c>
      <c r="N697" s="45">
        <v>5166</v>
      </c>
      <c r="O697" s="52">
        <v>85</v>
      </c>
      <c r="P697" s="52">
        <v>0</v>
      </c>
      <c r="Q697" s="52">
        <v>1133</v>
      </c>
      <c r="R697" s="52">
        <v>350</v>
      </c>
      <c r="S697" s="52">
        <v>491</v>
      </c>
      <c r="T697" s="52">
        <v>900</v>
      </c>
      <c r="U697" s="52">
        <v>9</v>
      </c>
      <c r="V697" s="52">
        <v>704</v>
      </c>
      <c r="W697" s="52">
        <v>1307</v>
      </c>
      <c r="X697" s="52">
        <v>187</v>
      </c>
    </row>
    <row r="698" spans="1:24" s="41" customFormat="1">
      <c r="A698" s="42">
        <v>46165</v>
      </c>
      <c r="B698" s="43" t="s">
        <v>13</v>
      </c>
      <c r="C698" s="51">
        <v>520.06134999999995</v>
      </c>
      <c r="D698" s="51">
        <v>542.56970000000001</v>
      </c>
      <c r="E698" s="51">
        <v>424.10469999999998</v>
      </c>
      <c r="F698" s="51">
        <v>958.38184999999987</v>
      </c>
      <c r="G698" s="51">
        <v>569.81664999999998</v>
      </c>
      <c r="H698" s="51">
        <v>701.31279999999992</v>
      </c>
      <c r="I698" s="51">
        <v>418.18144999999998</v>
      </c>
      <c r="J698" s="51">
        <v>150.45054999999999</v>
      </c>
      <c r="K698" s="51">
        <v>486.89114999999993</v>
      </c>
      <c r="L698" s="51">
        <v>203.75980000000001</v>
      </c>
      <c r="M698" s="44">
        <f t="shared" si="10"/>
        <v>743.47000000000116</v>
      </c>
      <c r="N698" s="45">
        <v>5719</v>
      </c>
      <c r="O698" s="52">
        <v>123</v>
      </c>
      <c r="P698" s="52">
        <v>1</v>
      </c>
      <c r="Q698" s="52">
        <v>1699</v>
      </c>
      <c r="R698" s="52">
        <v>350</v>
      </c>
      <c r="S698" s="52">
        <v>491</v>
      </c>
      <c r="T698" s="52">
        <v>900</v>
      </c>
      <c r="U698" s="52">
        <v>91</v>
      </c>
      <c r="V698" s="52">
        <v>704</v>
      </c>
      <c r="W698" s="52">
        <v>1360</v>
      </c>
      <c r="X698" s="52">
        <v>0</v>
      </c>
    </row>
    <row r="699" spans="1:24" s="41" customFormat="1">
      <c r="A699" s="42">
        <v>46166</v>
      </c>
      <c r="B699" s="43" t="s">
        <v>13</v>
      </c>
      <c r="C699" s="51">
        <v>521.33444999999995</v>
      </c>
      <c r="D699" s="51">
        <v>543.89790000000005</v>
      </c>
      <c r="E699" s="51">
        <v>425.1429</v>
      </c>
      <c r="F699" s="51">
        <v>960.72794999999996</v>
      </c>
      <c r="G699" s="51">
        <v>571.21154999999999</v>
      </c>
      <c r="H699" s="51">
        <v>703.02959999999996</v>
      </c>
      <c r="I699" s="51">
        <v>419.20515</v>
      </c>
      <c r="J699" s="51">
        <v>150.81885</v>
      </c>
      <c r="K699" s="51">
        <v>488.08304999999996</v>
      </c>
      <c r="L699" s="51">
        <v>204.25860000000003</v>
      </c>
      <c r="M699" s="44">
        <f t="shared" si="10"/>
        <v>745.29</v>
      </c>
      <c r="N699" s="45">
        <v>5733</v>
      </c>
      <c r="O699" s="52">
        <v>123</v>
      </c>
      <c r="P699" s="52">
        <v>1</v>
      </c>
      <c r="Q699" s="52">
        <v>1699</v>
      </c>
      <c r="R699" s="52">
        <v>350</v>
      </c>
      <c r="S699" s="52">
        <v>491</v>
      </c>
      <c r="T699" s="52">
        <v>900</v>
      </c>
      <c r="U699" s="52">
        <v>91</v>
      </c>
      <c r="V699" s="52">
        <v>704</v>
      </c>
      <c r="W699" s="52">
        <v>1374</v>
      </c>
      <c r="X699" s="52">
        <v>0</v>
      </c>
    </row>
    <row r="700" spans="1:24" s="41" customFormat="1">
      <c r="A700" s="42">
        <v>46167</v>
      </c>
      <c r="B700" s="43" t="s">
        <v>13</v>
      </c>
      <c r="C700" s="51">
        <v>471.04700000000003</v>
      </c>
      <c r="D700" s="51">
        <v>491.43400000000003</v>
      </c>
      <c r="E700" s="51">
        <v>384.13400000000001</v>
      </c>
      <c r="F700" s="51">
        <v>868.05700000000002</v>
      </c>
      <c r="G700" s="51">
        <v>516.11300000000006</v>
      </c>
      <c r="H700" s="51">
        <v>635.21600000000001</v>
      </c>
      <c r="I700" s="51">
        <v>378.76900000000006</v>
      </c>
      <c r="J700" s="51">
        <v>136.27100000000002</v>
      </c>
      <c r="K700" s="51">
        <v>441.00299999999999</v>
      </c>
      <c r="L700" s="51">
        <v>184.55600000000004</v>
      </c>
      <c r="M700" s="44">
        <f t="shared" si="10"/>
        <v>673.39999999999964</v>
      </c>
      <c r="N700" s="45">
        <v>5180</v>
      </c>
      <c r="O700" s="52">
        <v>85</v>
      </c>
      <c r="P700" s="52">
        <v>0</v>
      </c>
      <c r="Q700" s="52">
        <v>1133</v>
      </c>
      <c r="R700" s="52">
        <v>350</v>
      </c>
      <c r="S700" s="52">
        <v>491</v>
      </c>
      <c r="T700" s="52">
        <v>900</v>
      </c>
      <c r="U700" s="52">
        <v>30</v>
      </c>
      <c r="V700" s="52">
        <v>704</v>
      </c>
      <c r="W700" s="52">
        <v>1300</v>
      </c>
      <c r="X700" s="52">
        <v>187</v>
      </c>
    </row>
    <row r="701" spans="1:24" s="41" customFormat="1">
      <c r="A701" s="42">
        <v>46168</v>
      </c>
      <c r="B701" s="43" t="s">
        <v>13</v>
      </c>
      <c r="C701" s="51">
        <v>467.0458285714285</v>
      </c>
      <c r="D701" s="51">
        <v>487.25965714285712</v>
      </c>
      <c r="E701" s="51">
        <v>380.8710857142857</v>
      </c>
      <c r="F701" s="51">
        <v>860.6835428571427</v>
      </c>
      <c r="G701" s="51">
        <v>511.72902857142856</v>
      </c>
      <c r="H701" s="51">
        <v>629.8203428571428</v>
      </c>
      <c r="I701" s="51">
        <v>375.55165714285715</v>
      </c>
      <c r="J701" s="51">
        <v>135.1134857142857</v>
      </c>
      <c r="K701" s="51">
        <v>437.25702857142852</v>
      </c>
      <c r="L701" s="51">
        <v>182.98834285714287</v>
      </c>
      <c r="M701" s="44">
        <f t="shared" si="10"/>
        <v>667.68000000000029</v>
      </c>
      <c r="N701" s="45">
        <v>5136</v>
      </c>
      <c r="O701" s="52">
        <v>85</v>
      </c>
      <c r="P701" s="52">
        <v>0</v>
      </c>
      <c r="Q701" s="52">
        <v>1133</v>
      </c>
      <c r="R701" s="52">
        <v>350</v>
      </c>
      <c r="S701" s="52">
        <v>491</v>
      </c>
      <c r="T701" s="52">
        <v>900</v>
      </c>
      <c r="U701" s="52">
        <v>0</v>
      </c>
      <c r="V701" s="52">
        <v>704</v>
      </c>
      <c r="W701" s="52">
        <v>1286</v>
      </c>
      <c r="X701" s="52">
        <v>187</v>
      </c>
    </row>
    <row r="702" spans="1:24" s="41" customFormat="1">
      <c r="A702" s="42">
        <v>46169</v>
      </c>
      <c r="B702" s="43" t="s">
        <v>13</v>
      </c>
      <c r="C702" s="51">
        <v>465.04524285714285</v>
      </c>
      <c r="D702" s="51">
        <v>485.17248571428576</v>
      </c>
      <c r="E702" s="51">
        <v>379.23962857142857</v>
      </c>
      <c r="F702" s="51">
        <v>856.99681428571432</v>
      </c>
      <c r="G702" s="51">
        <v>509.53704285714292</v>
      </c>
      <c r="H702" s="51">
        <v>627.12251428571426</v>
      </c>
      <c r="I702" s="51">
        <v>373.94298571428578</v>
      </c>
      <c r="J702" s="51">
        <v>134.53472857142859</v>
      </c>
      <c r="K702" s="51">
        <v>435.38404285714284</v>
      </c>
      <c r="L702" s="51">
        <v>182.20451428571431</v>
      </c>
      <c r="M702" s="44">
        <f t="shared" si="10"/>
        <v>664.81999999999971</v>
      </c>
      <c r="N702" s="45">
        <v>5114</v>
      </c>
      <c r="O702" s="52">
        <v>85</v>
      </c>
      <c r="P702" s="52">
        <v>0</v>
      </c>
      <c r="Q702" s="52">
        <v>1133</v>
      </c>
      <c r="R702" s="52">
        <v>350</v>
      </c>
      <c r="S702" s="52">
        <v>491</v>
      </c>
      <c r="T702" s="52">
        <v>900</v>
      </c>
      <c r="U702" s="52">
        <v>0</v>
      </c>
      <c r="V702" s="52">
        <v>704</v>
      </c>
      <c r="W702" s="52">
        <v>1264</v>
      </c>
      <c r="X702" s="52">
        <v>187</v>
      </c>
    </row>
    <row r="703" spans="1:24" s="41" customFormat="1">
      <c r="A703" s="42">
        <v>46170</v>
      </c>
      <c r="B703" s="43" t="s">
        <v>13</v>
      </c>
      <c r="C703" s="51">
        <v>468.68267142857138</v>
      </c>
      <c r="D703" s="51">
        <v>488.9673428571428</v>
      </c>
      <c r="E703" s="51">
        <v>382.20591428571424</v>
      </c>
      <c r="F703" s="51">
        <v>863.69995714285699</v>
      </c>
      <c r="G703" s="51">
        <v>513.52247142857141</v>
      </c>
      <c r="H703" s="51">
        <v>632.02765714285704</v>
      </c>
      <c r="I703" s="51">
        <v>376.86784285714282</v>
      </c>
      <c r="J703" s="51">
        <v>135.58701428571428</v>
      </c>
      <c r="K703" s="51">
        <v>438.78947142857135</v>
      </c>
      <c r="L703" s="51">
        <v>183.62965714285713</v>
      </c>
      <c r="M703" s="44">
        <f t="shared" si="10"/>
        <v>670.01999999999953</v>
      </c>
      <c r="N703" s="45">
        <v>5154</v>
      </c>
      <c r="O703" s="52">
        <v>85</v>
      </c>
      <c r="P703" s="52">
        <v>0</v>
      </c>
      <c r="Q703" s="52">
        <v>1133</v>
      </c>
      <c r="R703" s="52">
        <v>350</v>
      </c>
      <c r="S703" s="52">
        <v>491</v>
      </c>
      <c r="T703" s="52">
        <v>900</v>
      </c>
      <c r="U703" s="52">
        <v>0</v>
      </c>
      <c r="V703" s="52">
        <v>704</v>
      </c>
      <c r="W703" s="52">
        <v>1304</v>
      </c>
      <c r="X703" s="52">
        <v>187</v>
      </c>
    </row>
    <row r="704" spans="1:24" s="41" customFormat="1">
      <c r="A704" s="42">
        <v>46171</v>
      </c>
      <c r="B704" s="43" t="s">
        <v>13</v>
      </c>
      <c r="C704" s="51">
        <v>469.22828571428568</v>
      </c>
      <c r="D704" s="51">
        <v>489.53657142857139</v>
      </c>
      <c r="E704" s="51">
        <v>382.65085714285715</v>
      </c>
      <c r="F704" s="51">
        <v>864.70542857142846</v>
      </c>
      <c r="G704" s="51">
        <v>514.12028571428573</v>
      </c>
      <c r="H704" s="51">
        <v>632.76342857142845</v>
      </c>
      <c r="I704" s="51">
        <v>377.30657142857143</v>
      </c>
      <c r="J704" s="51">
        <v>135.74485714285714</v>
      </c>
      <c r="K704" s="51">
        <v>439.30028571428568</v>
      </c>
      <c r="L704" s="51">
        <v>183.84342857142857</v>
      </c>
      <c r="M704" s="44">
        <f t="shared" si="10"/>
        <v>670.80000000000018</v>
      </c>
      <c r="N704" s="45">
        <v>5160</v>
      </c>
      <c r="O704" s="52">
        <v>85</v>
      </c>
      <c r="P704" s="52">
        <v>0</v>
      </c>
      <c r="Q704" s="52">
        <v>1133</v>
      </c>
      <c r="R704" s="52">
        <v>350</v>
      </c>
      <c r="S704" s="52">
        <v>491</v>
      </c>
      <c r="T704" s="52">
        <v>900</v>
      </c>
      <c r="U704" s="52">
        <v>0</v>
      </c>
      <c r="V704" s="52">
        <v>704</v>
      </c>
      <c r="W704" s="52">
        <v>1310</v>
      </c>
      <c r="X704" s="52">
        <v>187</v>
      </c>
    </row>
    <row r="705" spans="1:24" s="41" customFormat="1">
      <c r="A705" s="42">
        <v>46172</v>
      </c>
      <c r="B705" s="43" t="s">
        <v>13</v>
      </c>
      <c r="C705" s="51">
        <v>512.14994285714283</v>
      </c>
      <c r="D705" s="51">
        <v>534.31588571428574</v>
      </c>
      <c r="E705" s="51">
        <v>417.65302857142859</v>
      </c>
      <c r="F705" s="51">
        <v>943.80251428571421</v>
      </c>
      <c r="G705" s="51">
        <v>561.14834285714289</v>
      </c>
      <c r="H705" s="51">
        <v>690.64411428571429</v>
      </c>
      <c r="I705" s="51">
        <v>411.81988571428576</v>
      </c>
      <c r="J705" s="51">
        <v>148.16182857142857</v>
      </c>
      <c r="K705" s="51">
        <v>479.48434285714285</v>
      </c>
      <c r="L705" s="51">
        <v>200.66011428571431</v>
      </c>
      <c r="M705" s="44">
        <f t="shared" si="10"/>
        <v>732.15999999999985</v>
      </c>
      <c r="N705" s="45">
        <v>5632</v>
      </c>
      <c r="O705" s="52">
        <v>123</v>
      </c>
      <c r="P705" s="52">
        <v>0</v>
      </c>
      <c r="Q705" s="52">
        <v>1699</v>
      </c>
      <c r="R705" s="52">
        <v>350</v>
      </c>
      <c r="S705" s="52">
        <v>491</v>
      </c>
      <c r="T705" s="52">
        <v>900</v>
      </c>
      <c r="U705" s="52">
        <v>39</v>
      </c>
      <c r="V705" s="52">
        <v>704</v>
      </c>
      <c r="W705" s="52">
        <v>1326</v>
      </c>
      <c r="X705" s="52">
        <v>0</v>
      </c>
    </row>
    <row r="706" spans="1:24" s="41" customFormat="1">
      <c r="A706" s="42">
        <v>46173</v>
      </c>
      <c r="B706" s="43" t="s">
        <v>13</v>
      </c>
      <c r="C706" s="51">
        <v>520.6979</v>
      </c>
      <c r="D706" s="51">
        <v>543.23379999999997</v>
      </c>
      <c r="E706" s="51">
        <v>424.62380000000002</v>
      </c>
      <c r="F706" s="51">
        <v>959.55489999999986</v>
      </c>
      <c r="G706" s="51">
        <v>570.51409999999998</v>
      </c>
      <c r="H706" s="51">
        <v>702.17119999999989</v>
      </c>
      <c r="I706" s="51">
        <v>418.69330000000002</v>
      </c>
      <c r="J706" s="51">
        <v>150.63469999999998</v>
      </c>
      <c r="K706" s="51">
        <v>487.48709999999994</v>
      </c>
      <c r="L706" s="51">
        <v>204.00920000000002</v>
      </c>
      <c r="M706" s="44">
        <f t="shared" si="10"/>
        <v>744.38000000000011</v>
      </c>
      <c r="N706" s="45">
        <v>5726</v>
      </c>
      <c r="O706" s="52">
        <v>123</v>
      </c>
      <c r="P706" s="52">
        <v>0</v>
      </c>
      <c r="Q706" s="52">
        <v>1701</v>
      </c>
      <c r="R706" s="52">
        <v>355</v>
      </c>
      <c r="S706" s="52">
        <v>491</v>
      </c>
      <c r="T706" s="52">
        <v>1000</v>
      </c>
      <c r="U706" s="52">
        <v>39</v>
      </c>
      <c r="V706" s="52">
        <v>704</v>
      </c>
      <c r="W706" s="52">
        <v>1313</v>
      </c>
      <c r="X706" s="52">
        <v>0</v>
      </c>
    </row>
    <row r="707" spans="1:24" s="41" customFormat="1">
      <c r="A707" s="42">
        <v>46174</v>
      </c>
      <c r="B707" s="43" t="s">
        <v>13</v>
      </c>
      <c r="C707" s="44"/>
      <c r="D707" s="44"/>
      <c r="E707" s="44"/>
      <c r="F707" s="44"/>
      <c r="G707" s="44"/>
      <c r="H707" s="44"/>
      <c r="I707" s="44"/>
      <c r="J707" s="44"/>
      <c r="K707" s="44"/>
      <c r="L707" s="44"/>
      <c r="M707" s="44">
        <f t="shared" ref="M707:M770" si="11">N707-SUM(C707:L707)</f>
        <v>0</v>
      </c>
      <c r="N707" s="45">
        <v>0</v>
      </c>
      <c r="O707" s="44"/>
      <c r="P707" s="44"/>
      <c r="Q707" s="44"/>
      <c r="R707" s="44"/>
      <c r="S707" s="44"/>
      <c r="T707" s="44"/>
      <c r="U707" s="44"/>
      <c r="V707" s="44"/>
      <c r="W707" s="44"/>
      <c r="X707" s="44"/>
    </row>
    <row r="708" spans="1:24" s="41" customFormat="1">
      <c r="A708" s="42">
        <v>46175</v>
      </c>
      <c r="B708" s="43" t="s">
        <v>13</v>
      </c>
      <c r="C708" s="44"/>
      <c r="D708" s="44"/>
      <c r="E708" s="44"/>
      <c r="F708" s="44"/>
      <c r="G708" s="44"/>
      <c r="H708" s="44"/>
      <c r="I708" s="44"/>
      <c r="J708" s="44"/>
      <c r="K708" s="44"/>
      <c r="L708" s="44"/>
      <c r="M708" s="44">
        <f t="shared" si="11"/>
        <v>0</v>
      </c>
      <c r="N708" s="45">
        <v>0</v>
      </c>
      <c r="O708" s="44"/>
      <c r="P708" s="44"/>
      <c r="Q708" s="44"/>
      <c r="R708" s="44"/>
      <c r="S708" s="44"/>
      <c r="T708" s="44"/>
      <c r="U708" s="44"/>
      <c r="V708" s="44"/>
      <c r="W708" s="44"/>
      <c r="X708" s="44"/>
    </row>
    <row r="709" spans="1:24" s="41" customFormat="1">
      <c r="A709" s="42">
        <v>46176</v>
      </c>
      <c r="B709" s="43" t="s">
        <v>13</v>
      </c>
      <c r="C709" s="44"/>
      <c r="D709" s="44"/>
      <c r="E709" s="44"/>
      <c r="F709" s="44"/>
      <c r="G709" s="44"/>
      <c r="H709" s="44"/>
      <c r="I709" s="44"/>
      <c r="J709" s="44"/>
      <c r="K709" s="44"/>
      <c r="L709" s="44"/>
      <c r="M709" s="44">
        <f t="shared" si="11"/>
        <v>0</v>
      </c>
      <c r="N709" s="45">
        <v>0</v>
      </c>
      <c r="O709" s="44"/>
      <c r="P709" s="44"/>
      <c r="Q709" s="44"/>
      <c r="R709" s="44"/>
      <c r="S709" s="44"/>
      <c r="T709" s="44"/>
      <c r="U709" s="44"/>
      <c r="V709" s="44"/>
      <c r="W709" s="44"/>
      <c r="X709" s="44"/>
    </row>
    <row r="710" spans="1:24" s="41" customFormat="1">
      <c r="A710" s="42">
        <v>46177</v>
      </c>
      <c r="B710" s="43" t="s">
        <v>13</v>
      </c>
      <c r="C710" s="44"/>
      <c r="D710" s="44"/>
      <c r="E710" s="44"/>
      <c r="F710" s="44"/>
      <c r="G710" s="44"/>
      <c r="H710" s="44"/>
      <c r="I710" s="44"/>
      <c r="J710" s="44"/>
      <c r="K710" s="44"/>
      <c r="L710" s="44"/>
      <c r="M710" s="44">
        <f t="shared" si="11"/>
        <v>0</v>
      </c>
      <c r="N710" s="45">
        <v>0</v>
      </c>
      <c r="O710" s="44"/>
      <c r="P710" s="44"/>
      <c r="Q710" s="44"/>
      <c r="R710" s="44"/>
      <c r="S710" s="44"/>
      <c r="T710" s="44"/>
      <c r="U710" s="44"/>
      <c r="V710" s="44"/>
      <c r="W710" s="44"/>
      <c r="X710" s="44"/>
    </row>
    <row r="711" spans="1:24" s="41" customFormat="1">
      <c r="A711" s="42">
        <v>46178</v>
      </c>
      <c r="B711" s="43" t="s">
        <v>13</v>
      </c>
      <c r="C711" s="44"/>
      <c r="D711" s="44"/>
      <c r="E711" s="44"/>
      <c r="F711" s="44"/>
      <c r="G711" s="44"/>
      <c r="H711" s="44"/>
      <c r="I711" s="44"/>
      <c r="J711" s="44"/>
      <c r="K711" s="44"/>
      <c r="L711" s="44"/>
      <c r="M711" s="44">
        <f t="shared" si="11"/>
        <v>0</v>
      </c>
      <c r="N711" s="45">
        <v>0</v>
      </c>
      <c r="O711" s="44"/>
      <c r="P711" s="44"/>
      <c r="Q711" s="44"/>
      <c r="R711" s="44"/>
      <c r="S711" s="44"/>
      <c r="T711" s="44"/>
      <c r="U711" s="44"/>
      <c r="V711" s="44"/>
      <c r="W711" s="44"/>
      <c r="X711" s="44"/>
    </row>
    <row r="712" spans="1:24" s="41" customFormat="1">
      <c r="A712" s="42">
        <v>46179</v>
      </c>
      <c r="B712" s="43" t="s">
        <v>13</v>
      </c>
      <c r="C712" s="44"/>
      <c r="D712" s="44"/>
      <c r="E712" s="44"/>
      <c r="F712" s="44"/>
      <c r="G712" s="44"/>
      <c r="H712" s="44"/>
      <c r="I712" s="44"/>
      <c r="J712" s="44"/>
      <c r="K712" s="44"/>
      <c r="L712" s="44"/>
      <c r="M712" s="44">
        <f t="shared" si="11"/>
        <v>0</v>
      </c>
      <c r="N712" s="45">
        <v>0</v>
      </c>
      <c r="O712" s="44"/>
      <c r="P712" s="44"/>
      <c r="Q712" s="44"/>
      <c r="R712" s="44"/>
      <c r="S712" s="44"/>
      <c r="T712" s="44"/>
      <c r="U712" s="44"/>
      <c r="V712" s="44"/>
      <c r="W712" s="44"/>
      <c r="X712" s="44"/>
    </row>
    <row r="713" spans="1:24" s="41" customFormat="1">
      <c r="A713" s="42">
        <v>46180</v>
      </c>
      <c r="B713" s="43" t="s">
        <v>13</v>
      </c>
      <c r="C713" s="44"/>
      <c r="D713" s="44"/>
      <c r="E713" s="44"/>
      <c r="F713" s="44"/>
      <c r="G713" s="44"/>
      <c r="H713" s="44"/>
      <c r="I713" s="44"/>
      <c r="J713" s="44"/>
      <c r="K713" s="44"/>
      <c r="L713" s="44"/>
      <c r="M713" s="44">
        <f t="shared" si="11"/>
        <v>0</v>
      </c>
      <c r="N713" s="45">
        <v>0</v>
      </c>
      <c r="O713" s="44"/>
      <c r="P713" s="44"/>
      <c r="Q713" s="44"/>
      <c r="R713" s="44"/>
      <c r="S713" s="44"/>
      <c r="T713" s="44"/>
      <c r="U713" s="44"/>
      <c r="V713" s="44"/>
      <c r="W713" s="44"/>
      <c r="X713" s="44"/>
    </row>
    <row r="714" spans="1:24" s="41" customFormat="1">
      <c r="A714" s="42">
        <v>46181</v>
      </c>
      <c r="B714" s="43" t="s">
        <v>13</v>
      </c>
      <c r="C714" s="44"/>
      <c r="D714" s="44"/>
      <c r="E714" s="44"/>
      <c r="F714" s="44"/>
      <c r="G714" s="44"/>
      <c r="H714" s="44"/>
      <c r="I714" s="44"/>
      <c r="J714" s="44"/>
      <c r="K714" s="44"/>
      <c r="L714" s="44"/>
      <c r="M714" s="44">
        <f t="shared" si="11"/>
        <v>0</v>
      </c>
      <c r="N714" s="45">
        <v>0</v>
      </c>
      <c r="O714" s="44"/>
      <c r="P714" s="44"/>
      <c r="Q714" s="44"/>
      <c r="R714" s="44"/>
      <c r="S714" s="44"/>
      <c r="T714" s="44"/>
      <c r="U714" s="44"/>
      <c r="V714" s="44"/>
      <c r="W714" s="44"/>
      <c r="X714" s="44"/>
    </row>
    <row r="715" spans="1:24" s="41" customFormat="1">
      <c r="A715" s="42">
        <v>46182</v>
      </c>
      <c r="B715" s="43" t="s">
        <v>13</v>
      </c>
      <c r="C715" s="44"/>
      <c r="D715" s="44"/>
      <c r="E715" s="44"/>
      <c r="F715" s="44"/>
      <c r="G715" s="44"/>
      <c r="H715" s="44"/>
      <c r="I715" s="44"/>
      <c r="J715" s="44"/>
      <c r="K715" s="44"/>
      <c r="L715" s="44"/>
      <c r="M715" s="44">
        <f t="shared" si="11"/>
        <v>0</v>
      </c>
      <c r="N715" s="45">
        <v>0</v>
      </c>
      <c r="O715" s="44"/>
      <c r="P715" s="44"/>
      <c r="Q715" s="44"/>
      <c r="R715" s="44"/>
      <c r="S715" s="44"/>
      <c r="T715" s="44"/>
      <c r="U715" s="44"/>
      <c r="V715" s="44"/>
      <c r="W715" s="44"/>
      <c r="X715" s="44"/>
    </row>
    <row r="716" spans="1:24" s="41" customFormat="1">
      <c r="A716" s="42">
        <v>46183</v>
      </c>
      <c r="B716" s="43" t="s">
        <v>13</v>
      </c>
      <c r="C716" s="44"/>
      <c r="D716" s="44"/>
      <c r="E716" s="44"/>
      <c r="F716" s="44"/>
      <c r="G716" s="44"/>
      <c r="H716" s="44"/>
      <c r="I716" s="44"/>
      <c r="J716" s="44"/>
      <c r="K716" s="44"/>
      <c r="L716" s="44"/>
      <c r="M716" s="44">
        <f t="shared" si="11"/>
        <v>0</v>
      </c>
      <c r="N716" s="45">
        <v>0</v>
      </c>
      <c r="O716" s="44"/>
      <c r="P716" s="44"/>
      <c r="Q716" s="44"/>
      <c r="R716" s="44"/>
      <c r="S716" s="44"/>
      <c r="T716" s="44"/>
      <c r="U716" s="44"/>
      <c r="V716" s="44"/>
      <c r="W716" s="44"/>
      <c r="X716" s="44"/>
    </row>
    <row r="717" spans="1:24" s="41" customFormat="1">
      <c r="A717" s="42">
        <v>46184</v>
      </c>
      <c r="B717" s="43" t="s">
        <v>13</v>
      </c>
      <c r="C717" s="44"/>
      <c r="D717" s="44"/>
      <c r="E717" s="44"/>
      <c r="F717" s="44"/>
      <c r="G717" s="44"/>
      <c r="H717" s="44"/>
      <c r="I717" s="44"/>
      <c r="J717" s="44"/>
      <c r="K717" s="44"/>
      <c r="L717" s="44"/>
      <c r="M717" s="44">
        <f t="shared" si="11"/>
        <v>0</v>
      </c>
      <c r="N717" s="45">
        <v>0</v>
      </c>
      <c r="O717" s="44"/>
      <c r="P717" s="44"/>
      <c r="Q717" s="44"/>
      <c r="R717" s="44"/>
      <c r="S717" s="44"/>
      <c r="T717" s="44"/>
      <c r="U717" s="44"/>
      <c r="V717" s="44"/>
      <c r="W717" s="44"/>
      <c r="X717" s="44"/>
    </row>
    <row r="718" spans="1:24" s="41" customFormat="1">
      <c r="A718" s="42">
        <v>46185</v>
      </c>
      <c r="B718" s="43" t="s">
        <v>13</v>
      </c>
      <c r="C718" s="44"/>
      <c r="D718" s="44"/>
      <c r="E718" s="44"/>
      <c r="F718" s="44"/>
      <c r="G718" s="44"/>
      <c r="H718" s="44"/>
      <c r="I718" s="44"/>
      <c r="J718" s="44"/>
      <c r="K718" s="44"/>
      <c r="L718" s="44"/>
      <c r="M718" s="44">
        <f t="shared" si="11"/>
        <v>0</v>
      </c>
      <c r="N718" s="45">
        <v>0</v>
      </c>
      <c r="O718" s="44"/>
      <c r="P718" s="44"/>
      <c r="Q718" s="44"/>
      <c r="R718" s="44"/>
      <c r="S718" s="44"/>
      <c r="T718" s="44"/>
      <c r="U718" s="44"/>
      <c r="V718" s="44"/>
      <c r="W718" s="44"/>
      <c r="X718" s="44"/>
    </row>
    <row r="719" spans="1:24" s="41" customFormat="1">
      <c r="A719" s="42">
        <v>46186</v>
      </c>
      <c r="B719" s="43" t="s">
        <v>13</v>
      </c>
      <c r="C719" s="44"/>
      <c r="D719" s="44"/>
      <c r="E719" s="44"/>
      <c r="F719" s="44"/>
      <c r="G719" s="44"/>
      <c r="H719" s="44"/>
      <c r="I719" s="44"/>
      <c r="J719" s="44"/>
      <c r="K719" s="44"/>
      <c r="L719" s="44"/>
      <c r="M719" s="44">
        <f t="shared" si="11"/>
        <v>0</v>
      </c>
      <c r="N719" s="45">
        <v>0</v>
      </c>
      <c r="O719" s="44"/>
      <c r="P719" s="44"/>
      <c r="Q719" s="44"/>
      <c r="R719" s="44"/>
      <c r="S719" s="44"/>
      <c r="T719" s="44"/>
      <c r="U719" s="44"/>
      <c r="V719" s="44"/>
      <c r="W719" s="44"/>
      <c r="X719" s="44"/>
    </row>
    <row r="720" spans="1:24" s="41" customFormat="1">
      <c r="A720" s="42">
        <v>46187</v>
      </c>
      <c r="B720" s="43" t="s">
        <v>13</v>
      </c>
      <c r="C720" s="44"/>
      <c r="D720" s="44"/>
      <c r="E720" s="44"/>
      <c r="F720" s="44"/>
      <c r="G720" s="44"/>
      <c r="H720" s="44"/>
      <c r="I720" s="44"/>
      <c r="J720" s="44"/>
      <c r="K720" s="44"/>
      <c r="L720" s="44"/>
      <c r="M720" s="44">
        <f t="shared" si="11"/>
        <v>0</v>
      </c>
      <c r="N720" s="45">
        <v>0</v>
      </c>
      <c r="O720" s="44"/>
      <c r="P720" s="44"/>
      <c r="Q720" s="44"/>
      <c r="R720" s="44"/>
      <c r="S720" s="44"/>
      <c r="T720" s="44"/>
      <c r="U720" s="44"/>
      <c r="V720" s="44"/>
      <c r="W720" s="44"/>
      <c r="X720" s="44"/>
    </row>
    <row r="721" spans="1:24" s="41" customFormat="1">
      <c r="A721" s="42">
        <v>46188</v>
      </c>
      <c r="B721" s="43" t="s">
        <v>13</v>
      </c>
      <c r="C721" s="44"/>
      <c r="D721" s="44"/>
      <c r="E721" s="44"/>
      <c r="F721" s="44"/>
      <c r="G721" s="44"/>
      <c r="H721" s="44"/>
      <c r="I721" s="44"/>
      <c r="J721" s="44"/>
      <c r="K721" s="44"/>
      <c r="L721" s="44"/>
      <c r="M721" s="44">
        <f t="shared" si="11"/>
        <v>0</v>
      </c>
      <c r="N721" s="45">
        <v>0</v>
      </c>
      <c r="O721" s="44"/>
      <c r="P721" s="44"/>
      <c r="Q721" s="44"/>
      <c r="R721" s="44"/>
      <c r="S721" s="44"/>
      <c r="T721" s="44"/>
      <c r="U721" s="44"/>
      <c r="V721" s="44"/>
      <c r="W721" s="44"/>
      <c r="X721" s="44"/>
    </row>
    <row r="722" spans="1:24" s="41" customFormat="1">
      <c r="A722" s="42">
        <v>46189</v>
      </c>
      <c r="B722" s="43" t="s">
        <v>13</v>
      </c>
      <c r="C722" s="44"/>
      <c r="D722" s="44"/>
      <c r="E722" s="44"/>
      <c r="F722" s="44"/>
      <c r="G722" s="44"/>
      <c r="H722" s="44"/>
      <c r="I722" s="44"/>
      <c r="J722" s="44"/>
      <c r="K722" s="44"/>
      <c r="L722" s="44"/>
      <c r="M722" s="44">
        <f t="shared" si="11"/>
        <v>0</v>
      </c>
      <c r="N722" s="45">
        <v>0</v>
      </c>
      <c r="O722" s="44"/>
      <c r="P722" s="44"/>
      <c r="Q722" s="44"/>
      <c r="R722" s="44"/>
      <c r="S722" s="44"/>
      <c r="T722" s="44"/>
      <c r="U722" s="44"/>
      <c r="V722" s="44"/>
      <c r="W722" s="44"/>
      <c r="X722" s="44"/>
    </row>
    <row r="723" spans="1:24" s="41" customFormat="1">
      <c r="A723" s="42">
        <v>46190</v>
      </c>
      <c r="B723" s="43" t="s">
        <v>13</v>
      </c>
      <c r="C723" s="44"/>
      <c r="D723" s="44"/>
      <c r="E723" s="44"/>
      <c r="F723" s="44"/>
      <c r="G723" s="44"/>
      <c r="H723" s="44"/>
      <c r="I723" s="44"/>
      <c r="J723" s="44"/>
      <c r="K723" s="44"/>
      <c r="L723" s="44"/>
      <c r="M723" s="44">
        <f t="shared" si="11"/>
        <v>0</v>
      </c>
      <c r="N723" s="45">
        <v>0</v>
      </c>
      <c r="O723" s="44"/>
      <c r="P723" s="44"/>
      <c r="Q723" s="44"/>
      <c r="R723" s="44"/>
      <c r="S723" s="44"/>
      <c r="T723" s="44"/>
      <c r="U723" s="44"/>
      <c r="V723" s="44"/>
      <c r="W723" s="44"/>
      <c r="X723" s="44"/>
    </row>
    <row r="724" spans="1:24" s="41" customFormat="1">
      <c r="A724" s="42">
        <v>46191</v>
      </c>
      <c r="B724" s="43" t="s">
        <v>13</v>
      </c>
      <c r="C724" s="44"/>
      <c r="D724" s="44"/>
      <c r="E724" s="44"/>
      <c r="F724" s="44"/>
      <c r="G724" s="44"/>
      <c r="H724" s="44"/>
      <c r="I724" s="44"/>
      <c r="J724" s="44"/>
      <c r="K724" s="44"/>
      <c r="L724" s="44"/>
      <c r="M724" s="44">
        <f t="shared" si="11"/>
        <v>0</v>
      </c>
      <c r="N724" s="45">
        <v>0</v>
      </c>
      <c r="O724" s="44"/>
      <c r="P724" s="44"/>
      <c r="Q724" s="44"/>
      <c r="R724" s="44"/>
      <c r="S724" s="44"/>
      <c r="T724" s="44"/>
      <c r="U724" s="44"/>
      <c r="V724" s="44"/>
      <c r="W724" s="44"/>
      <c r="X724" s="44"/>
    </row>
    <row r="725" spans="1:24" s="41" customFormat="1">
      <c r="A725" s="42">
        <v>46192</v>
      </c>
      <c r="B725" s="43" t="s">
        <v>13</v>
      </c>
      <c r="C725" s="44"/>
      <c r="D725" s="44"/>
      <c r="E725" s="44"/>
      <c r="F725" s="44"/>
      <c r="G725" s="44"/>
      <c r="H725" s="44"/>
      <c r="I725" s="44"/>
      <c r="J725" s="44"/>
      <c r="K725" s="44"/>
      <c r="L725" s="44"/>
      <c r="M725" s="44">
        <f t="shared" si="11"/>
        <v>0</v>
      </c>
      <c r="N725" s="45">
        <v>0</v>
      </c>
      <c r="O725" s="44"/>
      <c r="P725" s="44"/>
      <c r="Q725" s="44"/>
      <c r="R725" s="44"/>
      <c r="S725" s="44"/>
      <c r="T725" s="44"/>
      <c r="U725" s="44"/>
      <c r="V725" s="44"/>
      <c r="W725" s="44"/>
      <c r="X725" s="44"/>
    </row>
    <row r="726" spans="1:24" s="41" customFormat="1">
      <c r="A726" s="42">
        <v>46193</v>
      </c>
      <c r="B726" s="43" t="s">
        <v>13</v>
      </c>
      <c r="C726" s="44"/>
      <c r="D726" s="44"/>
      <c r="E726" s="44"/>
      <c r="F726" s="44"/>
      <c r="G726" s="44"/>
      <c r="H726" s="44"/>
      <c r="I726" s="44"/>
      <c r="J726" s="44"/>
      <c r="K726" s="44"/>
      <c r="L726" s="44"/>
      <c r="M726" s="44">
        <f t="shared" si="11"/>
        <v>0</v>
      </c>
      <c r="N726" s="45">
        <v>0</v>
      </c>
      <c r="O726" s="44"/>
      <c r="P726" s="44"/>
      <c r="Q726" s="44"/>
      <c r="R726" s="44"/>
      <c r="S726" s="44"/>
      <c r="T726" s="44"/>
      <c r="U726" s="44"/>
      <c r="V726" s="44"/>
      <c r="W726" s="44"/>
      <c r="X726" s="44"/>
    </row>
    <row r="727" spans="1:24" s="41" customFormat="1">
      <c r="A727" s="42">
        <v>46194</v>
      </c>
      <c r="B727" s="43" t="s">
        <v>13</v>
      </c>
      <c r="C727" s="44"/>
      <c r="D727" s="44"/>
      <c r="E727" s="44"/>
      <c r="F727" s="44"/>
      <c r="G727" s="44"/>
      <c r="H727" s="44"/>
      <c r="I727" s="44"/>
      <c r="J727" s="44"/>
      <c r="K727" s="44"/>
      <c r="L727" s="44"/>
      <c r="M727" s="44">
        <f t="shared" si="11"/>
        <v>0</v>
      </c>
      <c r="N727" s="45">
        <v>0</v>
      </c>
      <c r="O727" s="44"/>
      <c r="P727" s="44"/>
      <c r="Q727" s="44"/>
      <c r="R727" s="44"/>
      <c r="S727" s="44"/>
      <c r="T727" s="44"/>
      <c r="U727" s="44"/>
      <c r="V727" s="44"/>
      <c r="W727" s="44"/>
      <c r="X727" s="44"/>
    </row>
    <row r="728" spans="1:24" s="41" customFormat="1">
      <c r="A728" s="42">
        <v>46195</v>
      </c>
      <c r="B728" s="43" t="s">
        <v>13</v>
      </c>
      <c r="C728" s="44"/>
      <c r="D728" s="44"/>
      <c r="E728" s="44"/>
      <c r="F728" s="44"/>
      <c r="G728" s="44"/>
      <c r="H728" s="44"/>
      <c r="I728" s="44"/>
      <c r="J728" s="44"/>
      <c r="K728" s="44"/>
      <c r="L728" s="44"/>
      <c r="M728" s="44">
        <f t="shared" si="11"/>
        <v>0</v>
      </c>
      <c r="N728" s="45">
        <v>0</v>
      </c>
      <c r="O728" s="44"/>
      <c r="P728" s="44"/>
      <c r="Q728" s="44"/>
      <c r="R728" s="44"/>
      <c r="S728" s="44"/>
      <c r="T728" s="44"/>
      <c r="U728" s="44"/>
      <c r="V728" s="44"/>
      <c r="W728" s="44"/>
      <c r="X728" s="44"/>
    </row>
    <row r="729" spans="1:24" s="41" customFormat="1">
      <c r="A729" s="42">
        <v>46196</v>
      </c>
      <c r="B729" s="43" t="s">
        <v>13</v>
      </c>
      <c r="C729" s="44"/>
      <c r="D729" s="44"/>
      <c r="E729" s="44"/>
      <c r="F729" s="44"/>
      <c r="G729" s="44"/>
      <c r="H729" s="44"/>
      <c r="I729" s="44"/>
      <c r="J729" s="44"/>
      <c r="K729" s="44"/>
      <c r="L729" s="44"/>
      <c r="M729" s="44">
        <f t="shared" si="11"/>
        <v>0</v>
      </c>
      <c r="N729" s="45">
        <v>0</v>
      </c>
      <c r="O729" s="44"/>
      <c r="P729" s="44"/>
      <c r="Q729" s="44"/>
      <c r="R729" s="44"/>
      <c r="S729" s="44"/>
      <c r="T729" s="44"/>
      <c r="U729" s="44"/>
      <c r="V729" s="44"/>
      <c r="W729" s="44"/>
      <c r="X729" s="44"/>
    </row>
    <row r="730" spans="1:24" s="41" customFormat="1">
      <c r="A730" s="42">
        <v>46197</v>
      </c>
      <c r="B730" s="43" t="s">
        <v>13</v>
      </c>
      <c r="C730" s="44"/>
      <c r="D730" s="44"/>
      <c r="E730" s="44"/>
      <c r="F730" s="44"/>
      <c r="G730" s="44"/>
      <c r="H730" s="44"/>
      <c r="I730" s="44"/>
      <c r="J730" s="44"/>
      <c r="K730" s="44"/>
      <c r="L730" s="44"/>
      <c r="M730" s="44">
        <f t="shared" si="11"/>
        <v>0</v>
      </c>
      <c r="N730" s="45">
        <v>0</v>
      </c>
      <c r="O730" s="44"/>
      <c r="P730" s="44"/>
      <c r="Q730" s="44"/>
      <c r="R730" s="44"/>
      <c r="S730" s="44"/>
      <c r="T730" s="44"/>
      <c r="U730" s="44"/>
      <c r="V730" s="44"/>
      <c r="W730" s="44"/>
      <c r="X730" s="44"/>
    </row>
    <row r="731" spans="1:24" s="41" customFormat="1">
      <c r="A731" s="42">
        <v>46198</v>
      </c>
      <c r="B731" s="43" t="s">
        <v>13</v>
      </c>
      <c r="C731" s="44"/>
      <c r="D731" s="44"/>
      <c r="E731" s="44"/>
      <c r="F731" s="44"/>
      <c r="G731" s="44"/>
      <c r="H731" s="44"/>
      <c r="I731" s="44"/>
      <c r="J731" s="44"/>
      <c r="K731" s="44"/>
      <c r="L731" s="44"/>
      <c r="M731" s="44">
        <f t="shared" si="11"/>
        <v>0</v>
      </c>
      <c r="N731" s="45">
        <v>0</v>
      </c>
      <c r="O731" s="44"/>
      <c r="P731" s="44"/>
      <c r="Q731" s="44"/>
      <c r="R731" s="44"/>
      <c r="S731" s="44"/>
      <c r="T731" s="44"/>
      <c r="U731" s="44"/>
      <c r="V731" s="44"/>
      <c r="W731" s="44"/>
      <c r="X731" s="44"/>
    </row>
    <row r="732" spans="1:24" s="41" customFormat="1">
      <c r="A732" s="42">
        <v>46199</v>
      </c>
      <c r="B732" s="43" t="s">
        <v>13</v>
      </c>
      <c r="C732" s="44"/>
      <c r="D732" s="44"/>
      <c r="E732" s="44"/>
      <c r="F732" s="44"/>
      <c r="G732" s="44"/>
      <c r="H732" s="44"/>
      <c r="I732" s="44"/>
      <c r="J732" s="44"/>
      <c r="K732" s="44"/>
      <c r="L732" s="44"/>
      <c r="M732" s="44">
        <f t="shared" si="11"/>
        <v>0</v>
      </c>
      <c r="N732" s="45">
        <v>0</v>
      </c>
      <c r="O732" s="44"/>
      <c r="P732" s="44"/>
      <c r="Q732" s="44"/>
      <c r="R732" s="44"/>
      <c r="S732" s="44"/>
      <c r="T732" s="44"/>
      <c r="U732" s="44"/>
      <c r="V732" s="44"/>
      <c r="W732" s="44"/>
      <c r="X732" s="44"/>
    </row>
    <row r="733" spans="1:24" s="41" customFormat="1">
      <c r="A733" s="42">
        <v>46200</v>
      </c>
      <c r="B733" s="43" t="s">
        <v>13</v>
      </c>
      <c r="C733" s="44"/>
      <c r="D733" s="44"/>
      <c r="E733" s="44"/>
      <c r="F733" s="44"/>
      <c r="G733" s="44"/>
      <c r="H733" s="44"/>
      <c r="I733" s="44"/>
      <c r="J733" s="44"/>
      <c r="K733" s="44"/>
      <c r="L733" s="44"/>
      <c r="M733" s="44">
        <f t="shared" si="11"/>
        <v>0</v>
      </c>
      <c r="N733" s="45">
        <v>0</v>
      </c>
      <c r="O733" s="44"/>
      <c r="P733" s="44"/>
      <c r="Q733" s="44"/>
      <c r="R733" s="44"/>
      <c r="S733" s="44"/>
      <c r="T733" s="44"/>
      <c r="U733" s="44"/>
      <c r="V733" s="44"/>
      <c r="W733" s="44"/>
      <c r="X733" s="44"/>
    </row>
    <row r="734" spans="1:24" s="41" customFormat="1">
      <c r="A734" s="42">
        <v>46201</v>
      </c>
      <c r="B734" s="43" t="s">
        <v>13</v>
      </c>
      <c r="C734" s="44"/>
      <c r="D734" s="44"/>
      <c r="E734" s="44"/>
      <c r="F734" s="44"/>
      <c r="G734" s="44"/>
      <c r="H734" s="44"/>
      <c r="I734" s="44"/>
      <c r="J734" s="44"/>
      <c r="K734" s="44"/>
      <c r="L734" s="44"/>
      <c r="M734" s="44">
        <f t="shared" si="11"/>
        <v>0</v>
      </c>
      <c r="N734" s="45">
        <v>0</v>
      </c>
      <c r="O734" s="44"/>
      <c r="P734" s="44"/>
      <c r="Q734" s="44"/>
      <c r="R734" s="44"/>
      <c r="S734" s="44"/>
      <c r="T734" s="44"/>
      <c r="U734" s="44"/>
      <c r="V734" s="44"/>
      <c r="W734" s="44"/>
      <c r="X734" s="44"/>
    </row>
    <row r="735" spans="1:24" s="41" customFormat="1">
      <c r="A735" s="42">
        <v>46202</v>
      </c>
      <c r="B735" s="43" t="s">
        <v>13</v>
      </c>
      <c r="C735" s="44"/>
      <c r="D735" s="44"/>
      <c r="E735" s="44"/>
      <c r="F735" s="44"/>
      <c r="G735" s="44"/>
      <c r="H735" s="44"/>
      <c r="I735" s="44"/>
      <c r="J735" s="44"/>
      <c r="K735" s="44"/>
      <c r="L735" s="44"/>
      <c r="M735" s="44">
        <f t="shared" si="11"/>
        <v>0</v>
      </c>
      <c r="N735" s="45">
        <v>0</v>
      </c>
      <c r="O735" s="44"/>
      <c r="P735" s="44"/>
      <c r="Q735" s="44"/>
      <c r="R735" s="44"/>
      <c r="S735" s="44"/>
      <c r="T735" s="44"/>
      <c r="U735" s="44"/>
      <c r="V735" s="44"/>
      <c r="W735" s="44"/>
      <c r="X735" s="44"/>
    </row>
    <row r="736" spans="1:24" s="41" customFormat="1">
      <c r="A736" s="42">
        <v>46203</v>
      </c>
      <c r="B736" s="43" t="s">
        <v>13</v>
      </c>
      <c r="C736" s="44"/>
      <c r="D736" s="44"/>
      <c r="E736" s="44"/>
      <c r="F736" s="44"/>
      <c r="G736" s="44"/>
      <c r="H736" s="44"/>
      <c r="I736" s="44"/>
      <c r="J736" s="44"/>
      <c r="K736" s="44"/>
      <c r="L736" s="44"/>
      <c r="M736" s="44">
        <f t="shared" si="11"/>
        <v>0</v>
      </c>
      <c r="N736" s="45">
        <v>0</v>
      </c>
      <c r="O736" s="44"/>
      <c r="P736" s="44"/>
      <c r="Q736" s="44"/>
      <c r="R736" s="44"/>
      <c r="S736" s="44"/>
      <c r="T736" s="44"/>
      <c r="U736" s="44"/>
      <c r="V736" s="44"/>
      <c r="W736" s="44"/>
      <c r="X736" s="44"/>
    </row>
    <row r="737" spans="1:24" s="41" customFormat="1">
      <c r="A737" s="42">
        <v>46204</v>
      </c>
      <c r="B737" s="43" t="s">
        <v>13</v>
      </c>
      <c r="C737" s="44"/>
      <c r="D737" s="44"/>
      <c r="E737" s="44"/>
      <c r="F737" s="44"/>
      <c r="G737" s="44"/>
      <c r="H737" s="44"/>
      <c r="I737" s="44"/>
      <c r="J737" s="44"/>
      <c r="K737" s="44"/>
      <c r="L737" s="44"/>
      <c r="M737" s="44">
        <f t="shared" si="11"/>
        <v>0</v>
      </c>
      <c r="N737" s="45">
        <v>0</v>
      </c>
      <c r="O737" s="44"/>
      <c r="P737" s="44"/>
      <c r="Q737" s="44"/>
      <c r="R737" s="44"/>
      <c r="S737" s="44"/>
      <c r="T737" s="44"/>
      <c r="U737" s="44"/>
      <c r="V737" s="44"/>
      <c r="W737" s="44"/>
      <c r="X737" s="44"/>
    </row>
    <row r="738" spans="1:24" s="41" customFormat="1">
      <c r="A738" s="42">
        <v>46205</v>
      </c>
      <c r="B738" s="43" t="s">
        <v>13</v>
      </c>
      <c r="C738" s="44"/>
      <c r="D738" s="44"/>
      <c r="E738" s="44"/>
      <c r="F738" s="44"/>
      <c r="G738" s="44"/>
      <c r="H738" s="44"/>
      <c r="I738" s="44"/>
      <c r="J738" s="44"/>
      <c r="K738" s="44"/>
      <c r="L738" s="44"/>
      <c r="M738" s="44">
        <f t="shared" si="11"/>
        <v>0</v>
      </c>
      <c r="N738" s="45">
        <v>0</v>
      </c>
      <c r="O738" s="44"/>
      <c r="P738" s="44"/>
      <c r="Q738" s="44"/>
      <c r="R738" s="44"/>
      <c r="S738" s="44"/>
      <c r="T738" s="44"/>
      <c r="U738" s="44"/>
      <c r="V738" s="44"/>
      <c r="W738" s="44"/>
      <c r="X738" s="44"/>
    </row>
    <row r="739" spans="1:24" s="41" customFormat="1">
      <c r="A739" s="42">
        <v>46206</v>
      </c>
      <c r="B739" s="43" t="s">
        <v>13</v>
      </c>
      <c r="C739" s="44"/>
      <c r="D739" s="44"/>
      <c r="E739" s="44"/>
      <c r="F739" s="44"/>
      <c r="G739" s="44"/>
      <c r="H739" s="44"/>
      <c r="I739" s="44"/>
      <c r="J739" s="44"/>
      <c r="K739" s="44"/>
      <c r="L739" s="44"/>
      <c r="M739" s="44">
        <f t="shared" si="11"/>
        <v>0</v>
      </c>
      <c r="N739" s="45">
        <v>0</v>
      </c>
      <c r="O739" s="44"/>
      <c r="P739" s="44"/>
      <c r="Q739" s="44"/>
      <c r="R739" s="44"/>
      <c r="S739" s="44"/>
      <c r="T739" s="44"/>
      <c r="U739" s="44"/>
      <c r="V739" s="44"/>
      <c r="W739" s="44"/>
      <c r="X739" s="44"/>
    </row>
    <row r="740" spans="1:24" s="41" customFormat="1">
      <c r="A740" s="42">
        <v>46207</v>
      </c>
      <c r="B740" s="43" t="s">
        <v>13</v>
      </c>
      <c r="C740" s="44"/>
      <c r="D740" s="44"/>
      <c r="E740" s="44"/>
      <c r="F740" s="44"/>
      <c r="G740" s="44"/>
      <c r="H740" s="44"/>
      <c r="I740" s="44"/>
      <c r="J740" s="44"/>
      <c r="K740" s="44"/>
      <c r="L740" s="44"/>
      <c r="M740" s="44">
        <f t="shared" si="11"/>
        <v>0</v>
      </c>
      <c r="N740" s="45">
        <v>0</v>
      </c>
      <c r="O740" s="44"/>
      <c r="P740" s="44"/>
      <c r="Q740" s="44"/>
      <c r="R740" s="44"/>
      <c r="S740" s="44"/>
      <c r="T740" s="44"/>
      <c r="U740" s="44"/>
      <c r="V740" s="44"/>
      <c r="W740" s="44"/>
      <c r="X740" s="44"/>
    </row>
    <row r="741" spans="1:24" s="41" customFormat="1">
      <c r="A741" s="42">
        <v>46208</v>
      </c>
      <c r="B741" s="43" t="s">
        <v>13</v>
      </c>
      <c r="C741" s="44"/>
      <c r="D741" s="44"/>
      <c r="E741" s="44"/>
      <c r="F741" s="44"/>
      <c r="G741" s="44"/>
      <c r="H741" s="44"/>
      <c r="I741" s="44"/>
      <c r="J741" s="44"/>
      <c r="K741" s="44"/>
      <c r="L741" s="44"/>
      <c r="M741" s="44">
        <f t="shared" si="11"/>
        <v>0</v>
      </c>
      <c r="N741" s="45">
        <v>0</v>
      </c>
      <c r="O741" s="44"/>
      <c r="P741" s="44"/>
      <c r="Q741" s="44"/>
      <c r="R741" s="44"/>
      <c r="S741" s="44"/>
      <c r="T741" s="44"/>
      <c r="U741" s="44"/>
      <c r="V741" s="44"/>
      <c r="W741" s="44"/>
      <c r="X741" s="44"/>
    </row>
    <row r="742" spans="1:24" s="41" customFormat="1">
      <c r="A742" s="42">
        <v>46209</v>
      </c>
      <c r="B742" s="43" t="s">
        <v>13</v>
      </c>
      <c r="C742" s="44"/>
      <c r="D742" s="44"/>
      <c r="E742" s="44"/>
      <c r="F742" s="44"/>
      <c r="G742" s="44"/>
      <c r="H742" s="44"/>
      <c r="I742" s="44"/>
      <c r="J742" s="44"/>
      <c r="K742" s="44"/>
      <c r="L742" s="44"/>
      <c r="M742" s="44">
        <f t="shared" si="11"/>
        <v>0</v>
      </c>
      <c r="N742" s="45">
        <v>0</v>
      </c>
      <c r="O742" s="44"/>
      <c r="P742" s="44"/>
      <c r="Q742" s="44"/>
      <c r="R742" s="44"/>
      <c r="S742" s="44"/>
      <c r="T742" s="44"/>
      <c r="U742" s="44"/>
      <c r="V742" s="44"/>
      <c r="W742" s="44"/>
      <c r="X742" s="44"/>
    </row>
    <row r="743" spans="1:24" s="41" customFormat="1">
      <c r="A743" s="42">
        <v>46210</v>
      </c>
      <c r="B743" s="43" t="s">
        <v>13</v>
      </c>
      <c r="C743" s="44"/>
      <c r="D743" s="44"/>
      <c r="E743" s="44"/>
      <c r="F743" s="44"/>
      <c r="G743" s="44"/>
      <c r="H743" s="44"/>
      <c r="I743" s="44"/>
      <c r="J743" s="44"/>
      <c r="K743" s="44"/>
      <c r="L743" s="44"/>
      <c r="M743" s="44">
        <f t="shared" si="11"/>
        <v>0</v>
      </c>
      <c r="N743" s="45">
        <v>0</v>
      </c>
      <c r="O743" s="44"/>
      <c r="P743" s="44"/>
      <c r="Q743" s="44"/>
      <c r="R743" s="44"/>
      <c r="S743" s="44"/>
      <c r="T743" s="44"/>
      <c r="U743" s="44"/>
      <c r="V743" s="44"/>
      <c r="W743" s="44"/>
      <c r="X743" s="44"/>
    </row>
    <row r="744" spans="1:24" s="41" customFormat="1">
      <c r="A744" s="42">
        <v>46211</v>
      </c>
      <c r="B744" s="43" t="s">
        <v>13</v>
      </c>
      <c r="C744" s="44"/>
      <c r="D744" s="44"/>
      <c r="E744" s="44"/>
      <c r="F744" s="44"/>
      <c r="G744" s="44"/>
      <c r="H744" s="44"/>
      <c r="I744" s="44"/>
      <c r="J744" s="44"/>
      <c r="K744" s="44"/>
      <c r="L744" s="44"/>
      <c r="M744" s="44">
        <f t="shared" si="11"/>
        <v>0</v>
      </c>
      <c r="N744" s="45">
        <v>0</v>
      </c>
      <c r="O744" s="44"/>
      <c r="P744" s="44"/>
      <c r="Q744" s="44"/>
      <c r="R744" s="44"/>
      <c r="S744" s="44"/>
      <c r="T744" s="44"/>
      <c r="U744" s="44"/>
      <c r="V744" s="44"/>
      <c r="W744" s="44"/>
      <c r="X744" s="44"/>
    </row>
    <row r="745" spans="1:24" s="41" customFormat="1">
      <c r="A745" s="42">
        <v>46212</v>
      </c>
      <c r="B745" s="43" t="s">
        <v>13</v>
      </c>
      <c r="C745" s="44"/>
      <c r="D745" s="44"/>
      <c r="E745" s="44"/>
      <c r="F745" s="44"/>
      <c r="G745" s="44"/>
      <c r="H745" s="44"/>
      <c r="I745" s="44"/>
      <c r="J745" s="44"/>
      <c r="K745" s="44"/>
      <c r="L745" s="44"/>
      <c r="M745" s="44">
        <f t="shared" si="11"/>
        <v>0</v>
      </c>
      <c r="N745" s="45">
        <v>0</v>
      </c>
      <c r="O745" s="44"/>
      <c r="P745" s="44"/>
      <c r="Q745" s="44"/>
      <c r="R745" s="44"/>
      <c r="S745" s="44"/>
      <c r="T745" s="44"/>
      <c r="U745" s="44"/>
      <c r="V745" s="44"/>
      <c r="W745" s="44"/>
      <c r="X745" s="44"/>
    </row>
    <row r="746" spans="1:24" s="41" customFormat="1">
      <c r="A746" s="42">
        <v>46213</v>
      </c>
      <c r="B746" s="43" t="s">
        <v>13</v>
      </c>
      <c r="C746" s="44"/>
      <c r="D746" s="44"/>
      <c r="E746" s="44"/>
      <c r="F746" s="44"/>
      <c r="G746" s="44"/>
      <c r="H746" s="44"/>
      <c r="I746" s="44"/>
      <c r="J746" s="44"/>
      <c r="K746" s="44"/>
      <c r="L746" s="44"/>
      <c r="M746" s="44">
        <f t="shared" si="11"/>
        <v>0</v>
      </c>
      <c r="N746" s="45">
        <v>0</v>
      </c>
      <c r="O746" s="44"/>
      <c r="P746" s="44"/>
      <c r="Q746" s="44"/>
      <c r="R746" s="44"/>
      <c r="S746" s="44"/>
      <c r="T746" s="44"/>
      <c r="U746" s="44"/>
      <c r="V746" s="44"/>
      <c r="W746" s="44"/>
      <c r="X746" s="44"/>
    </row>
    <row r="747" spans="1:24" s="41" customFormat="1">
      <c r="A747" s="42">
        <v>46214</v>
      </c>
      <c r="B747" s="43" t="s">
        <v>13</v>
      </c>
      <c r="C747" s="44"/>
      <c r="D747" s="44"/>
      <c r="E747" s="44"/>
      <c r="F747" s="44"/>
      <c r="G747" s="44"/>
      <c r="H747" s="44"/>
      <c r="I747" s="44"/>
      <c r="J747" s="44"/>
      <c r="K747" s="44"/>
      <c r="L747" s="44"/>
      <c r="M747" s="44">
        <f t="shared" si="11"/>
        <v>0</v>
      </c>
      <c r="N747" s="45">
        <v>0</v>
      </c>
      <c r="O747" s="44"/>
      <c r="P747" s="44"/>
      <c r="Q747" s="44"/>
      <c r="R747" s="44"/>
      <c r="S747" s="44"/>
      <c r="T747" s="44"/>
      <c r="U747" s="44"/>
      <c r="V747" s="44"/>
      <c r="W747" s="44"/>
      <c r="X747" s="44"/>
    </row>
    <row r="748" spans="1:24" s="41" customFormat="1">
      <c r="A748" s="42">
        <v>46215</v>
      </c>
      <c r="B748" s="43" t="s">
        <v>13</v>
      </c>
      <c r="C748" s="44"/>
      <c r="D748" s="44"/>
      <c r="E748" s="44"/>
      <c r="F748" s="44"/>
      <c r="G748" s="44"/>
      <c r="H748" s="44"/>
      <c r="I748" s="44"/>
      <c r="J748" s="44"/>
      <c r="K748" s="44"/>
      <c r="L748" s="44"/>
      <c r="M748" s="44">
        <f t="shared" si="11"/>
        <v>0</v>
      </c>
      <c r="N748" s="45">
        <v>0</v>
      </c>
      <c r="O748" s="44"/>
      <c r="P748" s="44"/>
      <c r="Q748" s="44"/>
      <c r="R748" s="44"/>
      <c r="S748" s="44"/>
      <c r="T748" s="44"/>
      <c r="U748" s="44"/>
      <c r="V748" s="44"/>
      <c r="W748" s="44"/>
      <c r="X748" s="44"/>
    </row>
    <row r="749" spans="1:24" s="41" customFormat="1">
      <c r="A749" s="42">
        <v>46216</v>
      </c>
      <c r="B749" s="43" t="s">
        <v>13</v>
      </c>
      <c r="C749" s="44"/>
      <c r="D749" s="44"/>
      <c r="E749" s="44"/>
      <c r="F749" s="44"/>
      <c r="G749" s="44"/>
      <c r="H749" s="44"/>
      <c r="I749" s="44"/>
      <c r="J749" s="44"/>
      <c r="K749" s="44"/>
      <c r="L749" s="44"/>
      <c r="M749" s="44">
        <f t="shared" si="11"/>
        <v>0</v>
      </c>
      <c r="N749" s="45">
        <v>0</v>
      </c>
      <c r="O749" s="44"/>
      <c r="P749" s="44"/>
      <c r="Q749" s="44"/>
      <c r="R749" s="44"/>
      <c r="S749" s="44"/>
      <c r="T749" s="44"/>
      <c r="U749" s="44"/>
      <c r="V749" s="44"/>
      <c r="W749" s="44"/>
      <c r="X749" s="44"/>
    </row>
    <row r="750" spans="1:24" s="41" customFormat="1">
      <c r="A750" s="42">
        <v>46217</v>
      </c>
      <c r="B750" s="43" t="s">
        <v>13</v>
      </c>
      <c r="C750" s="44"/>
      <c r="D750" s="44"/>
      <c r="E750" s="44"/>
      <c r="F750" s="44"/>
      <c r="G750" s="44"/>
      <c r="H750" s="44"/>
      <c r="I750" s="44"/>
      <c r="J750" s="44"/>
      <c r="K750" s="44"/>
      <c r="L750" s="44"/>
      <c r="M750" s="44">
        <f t="shared" si="11"/>
        <v>0</v>
      </c>
      <c r="N750" s="45">
        <v>0</v>
      </c>
      <c r="O750" s="44"/>
      <c r="P750" s="44"/>
      <c r="Q750" s="44"/>
      <c r="R750" s="44"/>
      <c r="S750" s="44"/>
      <c r="T750" s="44"/>
      <c r="U750" s="44"/>
      <c r="V750" s="44"/>
      <c r="W750" s="44"/>
      <c r="X750" s="44"/>
    </row>
    <row r="751" spans="1:24" s="41" customFormat="1">
      <c r="A751" s="42">
        <v>46218</v>
      </c>
      <c r="B751" s="43" t="s">
        <v>13</v>
      </c>
      <c r="C751" s="44"/>
      <c r="D751" s="44"/>
      <c r="E751" s="44"/>
      <c r="F751" s="44"/>
      <c r="G751" s="44"/>
      <c r="H751" s="44"/>
      <c r="I751" s="44"/>
      <c r="J751" s="44"/>
      <c r="K751" s="44"/>
      <c r="L751" s="44"/>
      <c r="M751" s="44">
        <f t="shared" si="11"/>
        <v>0</v>
      </c>
      <c r="N751" s="45">
        <v>0</v>
      </c>
      <c r="O751" s="44"/>
      <c r="P751" s="44"/>
      <c r="Q751" s="44"/>
      <c r="R751" s="44"/>
      <c r="S751" s="44"/>
      <c r="T751" s="44"/>
      <c r="U751" s="44"/>
      <c r="V751" s="44"/>
      <c r="W751" s="44"/>
      <c r="X751" s="44"/>
    </row>
    <row r="752" spans="1:24" s="41" customFormat="1">
      <c r="A752" s="42">
        <v>46219</v>
      </c>
      <c r="B752" s="43" t="s">
        <v>13</v>
      </c>
      <c r="C752" s="44"/>
      <c r="D752" s="44"/>
      <c r="E752" s="44"/>
      <c r="F752" s="44"/>
      <c r="G752" s="44"/>
      <c r="H752" s="44"/>
      <c r="I752" s="44"/>
      <c r="J752" s="44"/>
      <c r="K752" s="44"/>
      <c r="L752" s="44"/>
      <c r="M752" s="44">
        <f t="shared" si="11"/>
        <v>0</v>
      </c>
      <c r="N752" s="45">
        <v>0</v>
      </c>
      <c r="O752" s="44"/>
      <c r="P752" s="44"/>
      <c r="Q752" s="44"/>
      <c r="R752" s="44"/>
      <c r="S752" s="44"/>
      <c r="T752" s="44"/>
      <c r="U752" s="44"/>
      <c r="V752" s="44"/>
      <c r="W752" s="44"/>
      <c r="X752" s="44"/>
    </row>
    <row r="753" spans="1:24" s="41" customFormat="1">
      <c r="A753" s="42">
        <v>46220</v>
      </c>
      <c r="B753" s="43" t="s">
        <v>13</v>
      </c>
      <c r="C753" s="44"/>
      <c r="D753" s="44"/>
      <c r="E753" s="44"/>
      <c r="F753" s="44"/>
      <c r="G753" s="44"/>
      <c r="H753" s="44"/>
      <c r="I753" s="44"/>
      <c r="J753" s="44"/>
      <c r="K753" s="44"/>
      <c r="L753" s="44"/>
      <c r="M753" s="44">
        <f t="shared" si="11"/>
        <v>0</v>
      </c>
      <c r="N753" s="45">
        <v>0</v>
      </c>
      <c r="O753" s="44"/>
      <c r="P753" s="44"/>
      <c r="Q753" s="44"/>
      <c r="R753" s="44"/>
      <c r="S753" s="44"/>
      <c r="T753" s="44"/>
      <c r="U753" s="44"/>
      <c r="V753" s="44"/>
      <c r="W753" s="44"/>
      <c r="X753" s="44"/>
    </row>
    <row r="754" spans="1:24" s="41" customFormat="1">
      <c r="A754" s="42">
        <v>46221</v>
      </c>
      <c r="B754" s="43" t="s">
        <v>13</v>
      </c>
      <c r="C754" s="44"/>
      <c r="D754" s="44"/>
      <c r="E754" s="44"/>
      <c r="F754" s="44"/>
      <c r="G754" s="44"/>
      <c r="H754" s="44"/>
      <c r="I754" s="44"/>
      <c r="J754" s="44"/>
      <c r="K754" s="44"/>
      <c r="L754" s="44"/>
      <c r="M754" s="44">
        <f t="shared" si="11"/>
        <v>0</v>
      </c>
      <c r="N754" s="45">
        <v>0</v>
      </c>
      <c r="O754" s="44"/>
      <c r="P754" s="44"/>
      <c r="Q754" s="44"/>
      <c r="R754" s="44"/>
      <c r="S754" s="44"/>
      <c r="T754" s="44"/>
      <c r="U754" s="44"/>
      <c r="V754" s="44"/>
      <c r="W754" s="44"/>
      <c r="X754" s="44"/>
    </row>
    <row r="755" spans="1:24" s="41" customFormat="1">
      <c r="A755" s="42">
        <v>46222</v>
      </c>
      <c r="B755" s="43" t="s">
        <v>13</v>
      </c>
      <c r="C755" s="44"/>
      <c r="D755" s="44"/>
      <c r="E755" s="44"/>
      <c r="F755" s="44"/>
      <c r="G755" s="44"/>
      <c r="H755" s="44"/>
      <c r="I755" s="44"/>
      <c r="J755" s="44"/>
      <c r="K755" s="44"/>
      <c r="L755" s="44"/>
      <c r="M755" s="44">
        <f t="shared" si="11"/>
        <v>0</v>
      </c>
      <c r="N755" s="45">
        <v>0</v>
      </c>
      <c r="O755" s="44"/>
      <c r="P755" s="44"/>
      <c r="Q755" s="44"/>
      <c r="R755" s="44"/>
      <c r="S755" s="44"/>
      <c r="T755" s="44"/>
      <c r="U755" s="44"/>
      <c r="V755" s="44"/>
      <c r="W755" s="44"/>
      <c r="X755" s="44"/>
    </row>
    <row r="756" spans="1:24" s="41" customFormat="1">
      <c r="A756" s="42">
        <v>46223</v>
      </c>
      <c r="B756" s="43" t="s">
        <v>13</v>
      </c>
      <c r="C756" s="44"/>
      <c r="D756" s="44"/>
      <c r="E756" s="44"/>
      <c r="F756" s="44"/>
      <c r="G756" s="44"/>
      <c r="H756" s="44"/>
      <c r="I756" s="44"/>
      <c r="J756" s="44"/>
      <c r="K756" s="44"/>
      <c r="L756" s="44"/>
      <c r="M756" s="44">
        <f t="shared" si="11"/>
        <v>0</v>
      </c>
      <c r="N756" s="45">
        <v>0</v>
      </c>
      <c r="O756" s="44"/>
      <c r="P756" s="44"/>
      <c r="Q756" s="44"/>
      <c r="R756" s="44"/>
      <c r="S756" s="44"/>
      <c r="T756" s="44"/>
      <c r="U756" s="44"/>
      <c r="V756" s="44"/>
      <c r="W756" s="44"/>
      <c r="X756" s="44"/>
    </row>
    <row r="757" spans="1:24" s="41" customFormat="1">
      <c r="A757" s="42">
        <v>46224</v>
      </c>
      <c r="B757" s="43" t="s">
        <v>13</v>
      </c>
      <c r="C757" s="44"/>
      <c r="D757" s="44"/>
      <c r="E757" s="44"/>
      <c r="F757" s="44"/>
      <c r="G757" s="44"/>
      <c r="H757" s="44"/>
      <c r="I757" s="44"/>
      <c r="J757" s="44"/>
      <c r="K757" s="44"/>
      <c r="L757" s="44"/>
      <c r="M757" s="44">
        <f t="shared" si="11"/>
        <v>0</v>
      </c>
      <c r="N757" s="45">
        <v>0</v>
      </c>
      <c r="O757" s="44"/>
      <c r="P757" s="44"/>
      <c r="Q757" s="44"/>
      <c r="R757" s="44"/>
      <c r="S757" s="44"/>
      <c r="T757" s="44"/>
      <c r="U757" s="44"/>
      <c r="V757" s="44"/>
      <c r="W757" s="44"/>
      <c r="X757" s="44"/>
    </row>
    <row r="758" spans="1:24" s="41" customFormat="1">
      <c r="A758" s="42">
        <v>46225</v>
      </c>
      <c r="B758" s="43" t="s">
        <v>13</v>
      </c>
      <c r="C758" s="44"/>
      <c r="D758" s="44"/>
      <c r="E758" s="44"/>
      <c r="F758" s="44"/>
      <c r="G758" s="44"/>
      <c r="H758" s="44"/>
      <c r="I758" s="44"/>
      <c r="J758" s="44"/>
      <c r="K758" s="44"/>
      <c r="L758" s="44"/>
      <c r="M758" s="44">
        <f t="shared" si="11"/>
        <v>0</v>
      </c>
      <c r="N758" s="45">
        <v>0</v>
      </c>
      <c r="O758" s="44"/>
      <c r="P758" s="44"/>
      <c r="Q758" s="44"/>
      <c r="R758" s="44"/>
      <c r="S758" s="44"/>
      <c r="T758" s="44"/>
      <c r="U758" s="44"/>
      <c r="V758" s="44"/>
      <c r="W758" s="44"/>
      <c r="X758" s="44"/>
    </row>
    <row r="759" spans="1:24" s="41" customFormat="1">
      <c r="A759" s="42">
        <v>46226</v>
      </c>
      <c r="B759" s="43" t="s">
        <v>13</v>
      </c>
      <c r="C759" s="44"/>
      <c r="D759" s="44"/>
      <c r="E759" s="44"/>
      <c r="F759" s="44"/>
      <c r="G759" s="44"/>
      <c r="H759" s="44"/>
      <c r="I759" s="44"/>
      <c r="J759" s="44"/>
      <c r="K759" s="44"/>
      <c r="L759" s="44"/>
      <c r="M759" s="44">
        <f t="shared" si="11"/>
        <v>0</v>
      </c>
      <c r="N759" s="45">
        <v>0</v>
      </c>
      <c r="O759" s="44"/>
      <c r="P759" s="44"/>
      <c r="Q759" s="44"/>
      <c r="R759" s="44"/>
      <c r="S759" s="44"/>
      <c r="T759" s="44"/>
      <c r="U759" s="44"/>
      <c r="V759" s="44"/>
      <c r="W759" s="44"/>
      <c r="X759" s="44"/>
    </row>
    <row r="760" spans="1:24" s="41" customFormat="1">
      <c r="A760" s="42">
        <v>46227</v>
      </c>
      <c r="B760" s="43" t="s">
        <v>13</v>
      </c>
      <c r="C760" s="44"/>
      <c r="D760" s="44"/>
      <c r="E760" s="44"/>
      <c r="F760" s="44"/>
      <c r="G760" s="44"/>
      <c r="H760" s="44"/>
      <c r="I760" s="44"/>
      <c r="J760" s="44"/>
      <c r="K760" s="44"/>
      <c r="L760" s="44"/>
      <c r="M760" s="44">
        <f t="shared" si="11"/>
        <v>0</v>
      </c>
      <c r="N760" s="45">
        <v>0</v>
      </c>
      <c r="O760" s="44"/>
      <c r="P760" s="44"/>
      <c r="Q760" s="44"/>
      <c r="R760" s="44"/>
      <c r="S760" s="44"/>
      <c r="T760" s="44"/>
      <c r="U760" s="44"/>
      <c r="V760" s="44"/>
      <c r="W760" s="44"/>
      <c r="X760" s="44"/>
    </row>
    <row r="761" spans="1:24" s="41" customFormat="1">
      <c r="A761" s="42">
        <v>46228</v>
      </c>
      <c r="B761" s="43" t="s">
        <v>13</v>
      </c>
      <c r="C761" s="44"/>
      <c r="D761" s="44"/>
      <c r="E761" s="44"/>
      <c r="F761" s="44"/>
      <c r="G761" s="44"/>
      <c r="H761" s="44"/>
      <c r="I761" s="44"/>
      <c r="J761" s="44"/>
      <c r="K761" s="44"/>
      <c r="L761" s="44"/>
      <c r="M761" s="44">
        <f t="shared" si="11"/>
        <v>0</v>
      </c>
      <c r="N761" s="45">
        <v>0</v>
      </c>
      <c r="O761" s="44"/>
      <c r="P761" s="44"/>
      <c r="Q761" s="44"/>
      <c r="R761" s="44"/>
      <c r="S761" s="44"/>
      <c r="T761" s="44"/>
      <c r="U761" s="44"/>
      <c r="V761" s="44"/>
      <c r="W761" s="44"/>
      <c r="X761" s="44"/>
    </row>
    <row r="762" spans="1:24" s="41" customFormat="1">
      <c r="A762" s="42">
        <v>46229</v>
      </c>
      <c r="B762" s="43" t="s">
        <v>13</v>
      </c>
      <c r="C762" s="44"/>
      <c r="D762" s="44"/>
      <c r="E762" s="44"/>
      <c r="F762" s="44"/>
      <c r="G762" s="44"/>
      <c r="H762" s="44"/>
      <c r="I762" s="44"/>
      <c r="J762" s="44"/>
      <c r="K762" s="44"/>
      <c r="L762" s="44"/>
      <c r="M762" s="44">
        <f t="shared" si="11"/>
        <v>0</v>
      </c>
      <c r="N762" s="45">
        <v>0</v>
      </c>
      <c r="O762" s="44"/>
      <c r="P762" s="44"/>
      <c r="Q762" s="44"/>
      <c r="R762" s="44"/>
      <c r="S762" s="44"/>
      <c r="T762" s="44"/>
      <c r="U762" s="44"/>
      <c r="V762" s="44"/>
      <c r="W762" s="44"/>
      <c r="X762" s="44"/>
    </row>
    <row r="763" spans="1:24" s="41" customFormat="1">
      <c r="A763" s="42">
        <v>46230</v>
      </c>
      <c r="B763" s="43" t="s">
        <v>13</v>
      </c>
      <c r="C763" s="44"/>
      <c r="D763" s="44"/>
      <c r="E763" s="44"/>
      <c r="F763" s="44"/>
      <c r="G763" s="44"/>
      <c r="H763" s="44"/>
      <c r="I763" s="44"/>
      <c r="J763" s="44"/>
      <c r="K763" s="44"/>
      <c r="L763" s="44"/>
      <c r="M763" s="44">
        <f t="shared" si="11"/>
        <v>0</v>
      </c>
      <c r="N763" s="45">
        <v>0</v>
      </c>
      <c r="O763" s="44"/>
      <c r="P763" s="44"/>
      <c r="Q763" s="44"/>
      <c r="R763" s="44"/>
      <c r="S763" s="44"/>
      <c r="T763" s="44"/>
      <c r="U763" s="44"/>
      <c r="V763" s="44"/>
      <c r="W763" s="44"/>
      <c r="X763" s="44"/>
    </row>
    <row r="764" spans="1:24" s="41" customFormat="1">
      <c r="A764" s="42">
        <v>46231</v>
      </c>
      <c r="B764" s="43" t="s">
        <v>13</v>
      </c>
      <c r="C764" s="44"/>
      <c r="D764" s="44"/>
      <c r="E764" s="44"/>
      <c r="F764" s="44"/>
      <c r="G764" s="44"/>
      <c r="H764" s="44"/>
      <c r="I764" s="44"/>
      <c r="J764" s="44"/>
      <c r="K764" s="44"/>
      <c r="L764" s="44"/>
      <c r="M764" s="44">
        <f t="shared" si="11"/>
        <v>0</v>
      </c>
      <c r="N764" s="45">
        <v>0</v>
      </c>
      <c r="O764" s="44"/>
      <c r="P764" s="44"/>
      <c r="Q764" s="44"/>
      <c r="R764" s="44"/>
      <c r="S764" s="44"/>
      <c r="T764" s="44"/>
      <c r="U764" s="44"/>
      <c r="V764" s="44"/>
      <c r="W764" s="44"/>
      <c r="X764" s="44"/>
    </row>
    <row r="765" spans="1:24" s="41" customFormat="1">
      <c r="A765" s="42">
        <v>46232</v>
      </c>
      <c r="B765" s="43" t="s">
        <v>13</v>
      </c>
      <c r="C765" s="44"/>
      <c r="D765" s="44"/>
      <c r="E765" s="44"/>
      <c r="F765" s="44"/>
      <c r="G765" s="44"/>
      <c r="H765" s="44"/>
      <c r="I765" s="44"/>
      <c r="J765" s="44"/>
      <c r="K765" s="44"/>
      <c r="L765" s="44"/>
      <c r="M765" s="44">
        <f t="shared" si="11"/>
        <v>0</v>
      </c>
      <c r="N765" s="45">
        <v>0</v>
      </c>
      <c r="O765" s="44"/>
      <c r="P765" s="44"/>
      <c r="Q765" s="44"/>
      <c r="R765" s="44"/>
      <c r="S765" s="44"/>
      <c r="T765" s="44"/>
      <c r="U765" s="44"/>
      <c r="V765" s="44"/>
      <c r="W765" s="44"/>
      <c r="X765" s="44"/>
    </row>
    <row r="766" spans="1:24" s="41" customFormat="1">
      <c r="A766" s="42">
        <v>46233</v>
      </c>
      <c r="B766" s="43" t="s">
        <v>13</v>
      </c>
      <c r="C766" s="44"/>
      <c r="D766" s="44"/>
      <c r="E766" s="44"/>
      <c r="F766" s="44"/>
      <c r="G766" s="44"/>
      <c r="H766" s="44"/>
      <c r="I766" s="44"/>
      <c r="J766" s="44"/>
      <c r="K766" s="44"/>
      <c r="L766" s="44"/>
      <c r="M766" s="44">
        <f t="shared" si="11"/>
        <v>0</v>
      </c>
      <c r="N766" s="45">
        <v>0</v>
      </c>
      <c r="O766" s="44"/>
      <c r="P766" s="44"/>
      <c r="Q766" s="44"/>
      <c r="R766" s="44"/>
      <c r="S766" s="44"/>
      <c r="T766" s="44"/>
      <c r="U766" s="44"/>
      <c r="V766" s="44"/>
      <c r="W766" s="44"/>
      <c r="X766" s="44"/>
    </row>
    <row r="767" spans="1:24" s="41" customFormat="1">
      <c r="A767" s="42">
        <v>46234</v>
      </c>
      <c r="B767" s="43" t="s">
        <v>13</v>
      </c>
      <c r="C767" s="44"/>
      <c r="D767" s="44"/>
      <c r="E767" s="44"/>
      <c r="F767" s="44"/>
      <c r="G767" s="44"/>
      <c r="H767" s="44"/>
      <c r="I767" s="44"/>
      <c r="J767" s="44"/>
      <c r="K767" s="44"/>
      <c r="L767" s="44"/>
      <c r="M767" s="44">
        <f t="shared" si="11"/>
        <v>0</v>
      </c>
      <c r="N767" s="45">
        <v>0</v>
      </c>
      <c r="O767" s="44"/>
      <c r="P767" s="44"/>
      <c r="Q767" s="44"/>
      <c r="R767" s="44"/>
      <c r="S767" s="44"/>
      <c r="T767" s="44"/>
      <c r="U767" s="44"/>
      <c r="V767" s="44"/>
      <c r="W767" s="44"/>
      <c r="X767" s="44"/>
    </row>
    <row r="768" spans="1:24" s="41" customFormat="1">
      <c r="A768" s="42">
        <v>46235</v>
      </c>
      <c r="B768" s="43" t="s">
        <v>13</v>
      </c>
      <c r="C768" s="44"/>
      <c r="D768" s="44"/>
      <c r="E768" s="44"/>
      <c r="F768" s="44"/>
      <c r="G768" s="44"/>
      <c r="H768" s="44"/>
      <c r="I768" s="44"/>
      <c r="J768" s="44"/>
      <c r="K768" s="44"/>
      <c r="L768" s="44"/>
      <c r="M768" s="44">
        <f t="shared" si="11"/>
        <v>0</v>
      </c>
      <c r="N768" s="45">
        <v>0</v>
      </c>
      <c r="O768" s="44"/>
      <c r="P768" s="44"/>
      <c r="Q768" s="44"/>
      <c r="R768" s="44"/>
      <c r="S768" s="44"/>
      <c r="T768" s="44"/>
      <c r="U768" s="44"/>
      <c r="V768" s="44"/>
      <c r="W768" s="44"/>
      <c r="X768" s="44"/>
    </row>
    <row r="769" spans="1:24" s="41" customFormat="1">
      <c r="A769" s="42">
        <v>46236</v>
      </c>
      <c r="B769" s="43" t="s">
        <v>13</v>
      </c>
      <c r="C769" s="44"/>
      <c r="D769" s="44"/>
      <c r="E769" s="44"/>
      <c r="F769" s="44"/>
      <c r="G769" s="44"/>
      <c r="H769" s="44"/>
      <c r="I769" s="44"/>
      <c r="J769" s="44"/>
      <c r="K769" s="44"/>
      <c r="L769" s="44"/>
      <c r="M769" s="44">
        <f t="shared" si="11"/>
        <v>0</v>
      </c>
      <c r="N769" s="45">
        <v>0</v>
      </c>
      <c r="O769" s="44"/>
      <c r="P769" s="44"/>
      <c r="Q769" s="44"/>
      <c r="R769" s="44"/>
      <c r="S769" s="44"/>
      <c r="T769" s="44"/>
      <c r="U769" s="44"/>
      <c r="V769" s="44"/>
      <c r="W769" s="44"/>
      <c r="X769" s="44"/>
    </row>
    <row r="770" spans="1:24" s="41" customFormat="1">
      <c r="A770" s="42">
        <v>46237</v>
      </c>
      <c r="B770" s="43" t="s">
        <v>13</v>
      </c>
      <c r="C770" s="44"/>
      <c r="D770" s="44"/>
      <c r="E770" s="44"/>
      <c r="F770" s="44"/>
      <c r="G770" s="44"/>
      <c r="H770" s="44"/>
      <c r="I770" s="44"/>
      <c r="J770" s="44"/>
      <c r="K770" s="44"/>
      <c r="L770" s="44"/>
      <c r="M770" s="44">
        <f t="shared" si="11"/>
        <v>0</v>
      </c>
      <c r="N770" s="45">
        <v>0</v>
      </c>
      <c r="O770" s="44"/>
      <c r="P770" s="44"/>
      <c r="Q770" s="44"/>
      <c r="R770" s="44"/>
      <c r="S770" s="44"/>
      <c r="T770" s="44"/>
      <c r="U770" s="44"/>
      <c r="V770" s="44"/>
      <c r="W770" s="44"/>
      <c r="X770" s="44"/>
    </row>
    <row r="771" spans="1:24" s="41" customFormat="1">
      <c r="A771" s="42">
        <v>46238</v>
      </c>
      <c r="B771" s="43" t="s">
        <v>13</v>
      </c>
      <c r="C771" s="44"/>
      <c r="D771" s="44"/>
      <c r="E771" s="44"/>
      <c r="F771" s="44"/>
      <c r="G771" s="44"/>
      <c r="H771" s="44"/>
      <c r="I771" s="44"/>
      <c r="J771" s="44"/>
      <c r="K771" s="44"/>
      <c r="L771" s="44"/>
      <c r="M771" s="44">
        <f t="shared" ref="M771:M834" si="12">N771-SUM(C771:L771)</f>
        <v>0</v>
      </c>
      <c r="N771" s="45">
        <v>0</v>
      </c>
      <c r="O771" s="44"/>
      <c r="P771" s="44"/>
      <c r="Q771" s="44"/>
      <c r="R771" s="44"/>
      <c r="S771" s="44"/>
      <c r="T771" s="44"/>
      <c r="U771" s="44"/>
      <c r="V771" s="44"/>
      <c r="W771" s="44"/>
      <c r="X771" s="44"/>
    </row>
    <row r="772" spans="1:24" s="41" customFormat="1">
      <c r="A772" s="42">
        <v>46239</v>
      </c>
      <c r="B772" s="43" t="s">
        <v>13</v>
      </c>
      <c r="C772" s="44"/>
      <c r="D772" s="44"/>
      <c r="E772" s="44"/>
      <c r="F772" s="44"/>
      <c r="G772" s="44"/>
      <c r="H772" s="44"/>
      <c r="I772" s="44"/>
      <c r="J772" s="44"/>
      <c r="K772" s="44"/>
      <c r="L772" s="44"/>
      <c r="M772" s="44">
        <f t="shared" si="12"/>
        <v>0</v>
      </c>
      <c r="N772" s="45">
        <v>0</v>
      </c>
      <c r="O772" s="44"/>
      <c r="P772" s="44"/>
      <c r="Q772" s="44"/>
      <c r="R772" s="44"/>
      <c r="S772" s="44"/>
      <c r="T772" s="44"/>
      <c r="U772" s="44"/>
      <c r="V772" s="44"/>
      <c r="W772" s="44"/>
      <c r="X772" s="44"/>
    </row>
    <row r="773" spans="1:24" s="41" customFormat="1">
      <c r="A773" s="42">
        <v>46240</v>
      </c>
      <c r="B773" s="43" t="s">
        <v>13</v>
      </c>
      <c r="C773" s="44"/>
      <c r="D773" s="44"/>
      <c r="E773" s="44"/>
      <c r="F773" s="44"/>
      <c r="G773" s="44"/>
      <c r="H773" s="44"/>
      <c r="I773" s="44"/>
      <c r="J773" s="44"/>
      <c r="K773" s="44"/>
      <c r="L773" s="44"/>
      <c r="M773" s="44">
        <f t="shared" si="12"/>
        <v>0</v>
      </c>
      <c r="N773" s="45">
        <v>0</v>
      </c>
      <c r="O773" s="44"/>
      <c r="P773" s="44"/>
      <c r="Q773" s="44"/>
      <c r="R773" s="44"/>
      <c r="S773" s="44"/>
      <c r="T773" s="44"/>
      <c r="U773" s="44"/>
      <c r="V773" s="44"/>
      <c r="W773" s="44"/>
      <c r="X773" s="44"/>
    </row>
    <row r="774" spans="1:24" s="41" customFormat="1">
      <c r="A774" s="42">
        <v>46241</v>
      </c>
      <c r="B774" s="43" t="s">
        <v>13</v>
      </c>
      <c r="C774" s="44"/>
      <c r="D774" s="44"/>
      <c r="E774" s="44"/>
      <c r="F774" s="44"/>
      <c r="G774" s="44"/>
      <c r="H774" s="44"/>
      <c r="I774" s="44"/>
      <c r="J774" s="44"/>
      <c r="K774" s="44"/>
      <c r="L774" s="44"/>
      <c r="M774" s="44">
        <f t="shared" si="12"/>
        <v>0</v>
      </c>
      <c r="N774" s="45">
        <v>0</v>
      </c>
      <c r="O774" s="44"/>
      <c r="P774" s="44"/>
      <c r="Q774" s="44"/>
      <c r="R774" s="44"/>
      <c r="S774" s="44"/>
      <c r="T774" s="44"/>
      <c r="U774" s="44"/>
      <c r="V774" s="44"/>
      <c r="W774" s="44"/>
      <c r="X774" s="44"/>
    </row>
    <row r="775" spans="1:24" s="41" customFormat="1">
      <c r="A775" s="42">
        <v>46242</v>
      </c>
      <c r="B775" s="43" t="s">
        <v>13</v>
      </c>
      <c r="C775" s="44"/>
      <c r="D775" s="44"/>
      <c r="E775" s="44"/>
      <c r="F775" s="44"/>
      <c r="G775" s="44"/>
      <c r="H775" s="44"/>
      <c r="I775" s="44"/>
      <c r="J775" s="44"/>
      <c r="K775" s="44"/>
      <c r="L775" s="44"/>
      <c r="M775" s="44">
        <f t="shared" si="12"/>
        <v>0</v>
      </c>
      <c r="N775" s="45">
        <v>0</v>
      </c>
      <c r="O775" s="44"/>
      <c r="P775" s="44"/>
      <c r="Q775" s="44"/>
      <c r="R775" s="44"/>
      <c r="S775" s="44"/>
      <c r="T775" s="44"/>
      <c r="U775" s="44"/>
      <c r="V775" s="44"/>
      <c r="W775" s="44"/>
      <c r="X775" s="44"/>
    </row>
    <row r="776" spans="1:24" s="41" customFormat="1">
      <c r="A776" s="42">
        <v>46243</v>
      </c>
      <c r="B776" s="43" t="s">
        <v>13</v>
      </c>
      <c r="C776" s="44"/>
      <c r="D776" s="44"/>
      <c r="E776" s="44"/>
      <c r="F776" s="44"/>
      <c r="G776" s="44"/>
      <c r="H776" s="44"/>
      <c r="I776" s="44"/>
      <c r="J776" s="44"/>
      <c r="K776" s="44"/>
      <c r="L776" s="44"/>
      <c r="M776" s="44">
        <f t="shared" si="12"/>
        <v>0</v>
      </c>
      <c r="N776" s="45">
        <v>0</v>
      </c>
      <c r="O776" s="44"/>
      <c r="P776" s="44"/>
      <c r="Q776" s="44"/>
      <c r="R776" s="44"/>
      <c r="S776" s="44"/>
      <c r="T776" s="44"/>
      <c r="U776" s="44"/>
      <c r="V776" s="44"/>
      <c r="W776" s="44"/>
      <c r="X776" s="44"/>
    </row>
    <row r="777" spans="1:24" s="41" customFormat="1">
      <c r="A777" s="42">
        <v>46244</v>
      </c>
      <c r="B777" s="43" t="s">
        <v>13</v>
      </c>
      <c r="C777" s="44"/>
      <c r="D777" s="44"/>
      <c r="E777" s="44"/>
      <c r="F777" s="44"/>
      <c r="G777" s="44"/>
      <c r="H777" s="44"/>
      <c r="I777" s="44"/>
      <c r="J777" s="44"/>
      <c r="K777" s="44"/>
      <c r="L777" s="44"/>
      <c r="M777" s="44">
        <f t="shared" si="12"/>
        <v>0</v>
      </c>
      <c r="N777" s="45">
        <v>0</v>
      </c>
      <c r="O777" s="44"/>
      <c r="P777" s="44"/>
      <c r="Q777" s="44"/>
      <c r="R777" s="44"/>
      <c r="S777" s="44"/>
      <c r="T777" s="44"/>
      <c r="U777" s="44"/>
      <c r="V777" s="44"/>
      <c r="W777" s="44"/>
      <c r="X777" s="44"/>
    </row>
    <row r="778" spans="1:24" s="41" customFormat="1">
      <c r="A778" s="42">
        <v>46245</v>
      </c>
      <c r="B778" s="43" t="s">
        <v>13</v>
      </c>
      <c r="C778" s="44"/>
      <c r="D778" s="44"/>
      <c r="E778" s="44"/>
      <c r="F778" s="44"/>
      <c r="G778" s="44"/>
      <c r="H778" s="44"/>
      <c r="I778" s="44"/>
      <c r="J778" s="44"/>
      <c r="K778" s="44"/>
      <c r="L778" s="44"/>
      <c r="M778" s="44">
        <f t="shared" si="12"/>
        <v>0</v>
      </c>
      <c r="N778" s="45">
        <v>0</v>
      </c>
      <c r="O778" s="44"/>
      <c r="P778" s="44"/>
      <c r="Q778" s="44"/>
      <c r="R778" s="44"/>
      <c r="S778" s="44"/>
      <c r="T778" s="44"/>
      <c r="U778" s="44"/>
      <c r="V778" s="44"/>
      <c r="W778" s="44"/>
      <c r="X778" s="44"/>
    </row>
    <row r="779" spans="1:24" s="41" customFormat="1">
      <c r="A779" s="42">
        <v>46246</v>
      </c>
      <c r="B779" s="43" t="s">
        <v>13</v>
      </c>
      <c r="C779" s="44"/>
      <c r="D779" s="44"/>
      <c r="E779" s="44"/>
      <c r="F779" s="44"/>
      <c r="G779" s="44"/>
      <c r="H779" s="44"/>
      <c r="I779" s="44"/>
      <c r="J779" s="44"/>
      <c r="K779" s="44"/>
      <c r="L779" s="44"/>
      <c r="M779" s="44">
        <f t="shared" si="12"/>
        <v>0</v>
      </c>
      <c r="N779" s="45">
        <v>0</v>
      </c>
      <c r="O779" s="44"/>
      <c r="P779" s="44"/>
      <c r="Q779" s="44"/>
      <c r="R779" s="44"/>
      <c r="S779" s="44"/>
      <c r="T779" s="44"/>
      <c r="U779" s="44"/>
      <c r="V779" s="44"/>
      <c r="W779" s="44"/>
      <c r="X779" s="44"/>
    </row>
    <row r="780" spans="1:24" s="41" customFormat="1">
      <c r="A780" s="42">
        <v>46247</v>
      </c>
      <c r="B780" s="43" t="s">
        <v>13</v>
      </c>
      <c r="C780" s="44"/>
      <c r="D780" s="44"/>
      <c r="E780" s="44"/>
      <c r="F780" s="44"/>
      <c r="G780" s="44"/>
      <c r="H780" s="44"/>
      <c r="I780" s="44"/>
      <c r="J780" s="44"/>
      <c r="K780" s="44"/>
      <c r="L780" s="44"/>
      <c r="M780" s="44">
        <f t="shared" si="12"/>
        <v>0</v>
      </c>
      <c r="N780" s="45">
        <v>0</v>
      </c>
      <c r="O780" s="44"/>
      <c r="P780" s="44"/>
      <c r="Q780" s="44"/>
      <c r="R780" s="44"/>
      <c r="S780" s="44"/>
      <c r="T780" s="44"/>
      <c r="U780" s="44"/>
      <c r="V780" s="44"/>
      <c r="W780" s="44"/>
      <c r="X780" s="44"/>
    </row>
    <row r="781" spans="1:24" s="41" customFormat="1">
      <c r="A781" s="42">
        <v>46248</v>
      </c>
      <c r="B781" s="43" t="s">
        <v>13</v>
      </c>
      <c r="C781" s="44"/>
      <c r="D781" s="44"/>
      <c r="E781" s="44"/>
      <c r="F781" s="44"/>
      <c r="G781" s="44"/>
      <c r="H781" s="44"/>
      <c r="I781" s="44"/>
      <c r="J781" s="44"/>
      <c r="K781" s="44"/>
      <c r="L781" s="44"/>
      <c r="M781" s="44">
        <f t="shared" si="12"/>
        <v>0</v>
      </c>
      <c r="N781" s="45">
        <v>0</v>
      </c>
      <c r="O781" s="44"/>
      <c r="P781" s="44"/>
      <c r="Q781" s="44"/>
      <c r="R781" s="44"/>
      <c r="S781" s="44"/>
      <c r="T781" s="44"/>
      <c r="U781" s="44"/>
      <c r="V781" s="44"/>
      <c r="W781" s="44"/>
      <c r="X781" s="44"/>
    </row>
    <row r="782" spans="1:24" s="41" customFormat="1">
      <c r="A782" s="42">
        <v>46249</v>
      </c>
      <c r="B782" s="43" t="s">
        <v>13</v>
      </c>
      <c r="C782" s="44"/>
      <c r="D782" s="44"/>
      <c r="E782" s="44"/>
      <c r="F782" s="44"/>
      <c r="G782" s="44"/>
      <c r="H782" s="44"/>
      <c r="I782" s="44"/>
      <c r="J782" s="44"/>
      <c r="K782" s="44"/>
      <c r="L782" s="44"/>
      <c r="M782" s="44">
        <f t="shared" si="12"/>
        <v>0</v>
      </c>
      <c r="N782" s="45">
        <v>0</v>
      </c>
      <c r="O782" s="44"/>
      <c r="P782" s="44"/>
      <c r="Q782" s="44"/>
      <c r="R782" s="44"/>
      <c r="S782" s="44"/>
      <c r="T782" s="44"/>
      <c r="U782" s="44"/>
      <c r="V782" s="44"/>
      <c r="W782" s="44"/>
      <c r="X782" s="44"/>
    </row>
    <row r="783" spans="1:24" s="41" customFormat="1">
      <c r="A783" s="42">
        <v>46250</v>
      </c>
      <c r="B783" s="43" t="s">
        <v>13</v>
      </c>
      <c r="C783" s="44"/>
      <c r="D783" s="44"/>
      <c r="E783" s="44"/>
      <c r="F783" s="44"/>
      <c r="G783" s="44"/>
      <c r="H783" s="44"/>
      <c r="I783" s="44"/>
      <c r="J783" s="44"/>
      <c r="K783" s="44"/>
      <c r="L783" s="44"/>
      <c r="M783" s="44">
        <f t="shared" si="12"/>
        <v>0</v>
      </c>
      <c r="N783" s="45">
        <v>0</v>
      </c>
      <c r="O783" s="44"/>
      <c r="P783" s="44"/>
      <c r="Q783" s="44"/>
      <c r="R783" s="44"/>
      <c r="S783" s="44"/>
      <c r="T783" s="44"/>
      <c r="U783" s="44"/>
      <c r="V783" s="44"/>
      <c r="W783" s="44"/>
      <c r="X783" s="44"/>
    </row>
    <row r="784" spans="1:24" s="41" customFormat="1">
      <c r="A784" s="42">
        <v>46251</v>
      </c>
      <c r="B784" s="43" t="s">
        <v>13</v>
      </c>
      <c r="C784" s="44"/>
      <c r="D784" s="44"/>
      <c r="E784" s="44"/>
      <c r="F784" s="44"/>
      <c r="G784" s="44"/>
      <c r="H784" s="44"/>
      <c r="I784" s="44"/>
      <c r="J784" s="44"/>
      <c r="K784" s="44"/>
      <c r="L784" s="44"/>
      <c r="M784" s="44">
        <f t="shared" si="12"/>
        <v>0</v>
      </c>
      <c r="N784" s="45">
        <v>0</v>
      </c>
      <c r="O784" s="44"/>
      <c r="P784" s="44"/>
      <c r="Q784" s="44"/>
      <c r="R784" s="44"/>
      <c r="S784" s="44"/>
      <c r="T784" s="44"/>
      <c r="U784" s="44"/>
      <c r="V784" s="44"/>
      <c r="W784" s="44"/>
      <c r="X784" s="44"/>
    </row>
    <row r="785" spans="1:24" s="41" customFormat="1">
      <c r="A785" s="42">
        <v>46252</v>
      </c>
      <c r="B785" s="43" t="s">
        <v>13</v>
      </c>
      <c r="C785" s="44"/>
      <c r="D785" s="44"/>
      <c r="E785" s="44"/>
      <c r="F785" s="44"/>
      <c r="G785" s="44"/>
      <c r="H785" s="44"/>
      <c r="I785" s="44"/>
      <c r="J785" s="44"/>
      <c r="K785" s="44"/>
      <c r="L785" s="44"/>
      <c r="M785" s="44">
        <f t="shared" si="12"/>
        <v>0</v>
      </c>
      <c r="N785" s="45">
        <v>0</v>
      </c>
      <c r="O785" s="44"/>
      <c r="P785" s="44"/>
      <c r="Q785" s="44"/>
      <c r="R785" s="44"/>
      <c r="S785" s="44"/>
      <c r="T785" s="44"/>
      <c r="U785" s="44"/>
      <c r="V785" s="44"/>
      <c r="W785" s="44"/>
      <c r="X785" s="44"/>
    </row>
    <row r="786" spans="1:24" s="41" customFormat="1">
      <c r="A786" s="42">
        <v>46253</v>
      </c>
      <c r="B786" s="43" t="s">
        <v>13</v>
      </c>
      <c r="C786" s="44"/>
      <c r="D786" s="44"/>
      <c r="E786" s="44"/>
      <c r="F786" s="44"/>
      <c r="G786" s="44"/>
      <c r="H786" s="44"/>
      <c r="I786" s="44"/>
      <c r="J786" s="44"/>
      <c r="K786" s="44"/>
      <c r="L786" s="44"/>
      <c r="M786" s="44">
        <f t="shared" si="12"/>
        <v>0</v>
      </c>
      <c r="N786" s="45">
        <v>0</v>
      </c>
      <c r="O786" s="44"/>
      <c r="P786" s="44"/>
      <c r="Q786" s="44"/>
      <c r="R786" s="44"/>
      <c r="S786" s="44"/>
      <c r="T786" s="44"/>
      <c r="U786" s="44"/>
      <c r="V786" s="44"/>
      <c r="W786" s="44"/>
      <c r="X786" s="44"/>
    </row>
    <row r="787" spans="1:24" s="41" customFormat="1">
      <c r="A787" s="42">
        <v>46254</v>
      </c>
      <c r="B787" s="43" t="s">
        <v>13</v>
      </c>
      <c r="C787" s="44"/>
      <c r="D787" s="44"/>
      <c r="E787" s="44"/>
      <c r="F787" s="44"/>
      <c r="G787" s="44"/>
      <c r="H787" s="44"/>
      <c r="I787" s="44"/>
      <c r="J787" s="44"/>
      <c r="K787" s="44"/>
      <c r="L787" s="44"/>
      <c r="M787" s="44">
        <f t="shared" si="12"/>
        <v>0</v>
      </c>
      <c r="N787" s="45">
        <v>0</v>
      </c>
      <c r="O787" s="44"/>
      <c r="P787" s="44"/>
      <c r="Q787" s="44"/>
      <c r="R787" s="44"/>
      <c r="S787" s="44"/>
      <c r="T787" s="44"/>
      <c r="U787" s="44"/>
      <c r="V787" s="44"/>
      <c r="W787" s="44"/>
      <c r="X787" s="44"/>
    </row>
    <row r="788" spans="1:24" s="41" customFormat="1">
      <c r="A788" s="42">
        <v>46255</v>
      </c>
      <c r="B788" s="43" t="s">
        <v>13</v>
      </c>
      <c r="C788" s="44"/>
      <c r="D788" s="44"/>
      <c r="E788" s="44"/>
      <c r="F788" s="44"/>
      <c r="G788" s="44"/>
      <c r="H788" s="44"/>
      <c r="I788" s="44"/>
      <c r="J788" s="44"/>
      <c r="K788" s="44"/>
      <c r="L788" s="44"/>
      <c r="M788" s="44">
        <f t="shared" si="12"/>
        <v>0</v>
      </c>
      <c r="N788" s="45">
        <v>0</v>
      </c>
      <c r="O788" s="44"/>
      <c r="P788" s="44"/>
      <c r="Q788" s="44"/>
      <c r="R788" s="44"/>
      <c r="S788" s="44"/>
      <c r="T788" s="44"/>
      <c r="U788" s="44"/>
      <c r="V788" s="44"/>
      <c r="W788" s="44"/>
      <c r="X788" s="44"/>
    </row>
    <row r="789" spans="1:24" s="41" customFormat="1">
      <c r="A789" s="42">
        <v>46256</v>
      </c>
      <c r="B789" s="43" t="s">
        <v>13</v>
      </c>
      <c r="C789" s="44"/>
      <c r="D789" s="44"/>
      <c r="E789" s="44"/>
      <c r="F789" s="44"/>
      <c r="G789" s="44"/>
      <c r="H789" s="44"/>
      <c r="I789" s="44"/>
      <c r="J789" s="44"/>
      <c r="K789" s="44"/>
      <c r="L789" s="44"/>
      <c r="M789" s="44">
        <f t="shared" si="12"/>
        <v>0</v>
      </c>
      <c r="N789" s="45">
        <v>0</v>
      </c>
      <c r="O789" s="44"/>
      <c r="P789" s="44"/>
      <c r="Q789" s="44"/>
      <c r="R789" s="44"/>
      <c r="S789" s="44"/>
      <c r="T789" s="44"/>
      <c r="U789" s="44"/>
      <c r="V789" s="44"/>
      <c r="W789" s="44"/>
      <c r="X789" s="44"/>
    </row>
    <row r="790" spans="1:24" s="41" customFormat="1">
      <c r="A790" s="42">
        <v>46257</v>
      </c>
      <c r="B790" s="43" t="s">
        <v>13</v>
      </c>
      <c r="C790" s="44"/>
      <c r="D790" s="44"/>
      <c r="E790" s="44"/>
      <c r="F790" s="44"/>
      <c r="G790" s="44"/>
      <c r="H790" s="44"/>
      <c r="I790" s="44"/>
      <c r="J790" s="44"/>
      <c r="K790" s="44"/>
      <c r="L790" s="44"/>
      <c r="M790" s="44">
        <f t="shared" si="12"/>
        <v>0</v>
      </c>
      <c r="N790" s="45">
        <v>0</v>
      </c>
      <c r="O790" s="44"/>
      <c r="P790" s="44"/>
      <c r="Q790" s="44"/>
      <c r="R790" s="44"/>
      <c r="S790" s="44"/>
      <c r="T790" s="44"/>
      <c r="U790" s="44"/>
      <c r="V790" s="44"/>
      <c r="W790" s="44"/>
      <c r="X790" s="44"/>
    </row>
    <row r="791" spans="1:24" s="41" customFormat="1">
      <c r="A791" s="42">
        <v>46258</v>
      </c>
      <c r="B791" s="43" t="s">
        <v>13</v>
      </c>
      <c r="C791" s="44"/>
      <c r="D791" s="44"/>
      <c r="E791" s="44"/>
      <c r="F791" s="44"/>
      <c r="G791" s="44"/>
      <c r="H791" s="44"/>
      <c r="I791" s="44"/>
      <c r="J791" s="44"/>
      <c r="K791" s="44"/>
      <c r="L791" s="44"/>
      <c r="M791" s="44">
        <f t="shared" si="12"/>
        <v>0</v>
      </c>
      <c r="N791" s="45">
        <v>0</v>
      </c>
      <c r="O791" s="44"/>
      <c r="P791" s="44"/>
      <c r="Q791" s="44"/>
      <c r="R791" s="44"/>
      <c r="S791" s="44"/>
      <c r="T791" s="44"/>
      <c r="U791" s="44"/>
      <c r="V791" s="44"/>
      <c r="W791" s="44"/>
      <c r="X791" s="44"/>
    </row>
    <row r="792" spans="1:24" s="41" customFormat="1">
      <c r="A792" s="42">
        <v>46259</v>
      </c>
      <c r="B792" s="43" t="s">
        <v>13</v>
      </c>
      <c r="C792" s="44"/>
      <c r="D792" s="44"/>
      <c r="E792" s="44"/>
      <c r="F792" s="44"/>
      <c r="G792" s="44"/>
      <c r="H792" s="44"/>
      <c r="I792" s="44"/>
      <c r="J792" s="44"/>
      <c r="K792" s="44"/>
      <c r="L792" s="44"/>
      <c r="M792" s="44">
        <f t="shared" si="12"/>
        <v>0</v>
      </c>
      <c r="N792" s="45">
        <v>0</v>
      </c>
      <c r="O792" s="44"/>
      <c r="P792" s="44"/>
      <c r="Q792" s="44"/>
      <c r="R792" s="44"/>
      <c r="S792" s="44"/>
      <c r="T792" s="44"/>
      <c r="U792" s="44"/>
      <c r="V792" s="44"/>
      <c r="W792" s="44"/>
      <c r="X792" s="44"/>
    </row>
    <row r="793" spans="1:24" s="41" customFormat="1">
      <c r="A793" s="42">
        <v>46260</v>
      </c>
      <c r="B793" s="43" t="s">
        <v>13</v>
      </c>
      <c r="C793" s="44"/>
      <c r="D793" s="44"/>
      <c r="E793" s="44"/>
      <c r="F793" s="44"/>
      <c r="G793" s="44"/>
      <c r="H793" s="44"/>
      <c r="I793" s="44"/>
      <c r="J793" s="44"/>
      <c r="K793" s="44"/>
      <c r="L793" s="44"/>
      <c r="M793" s="44">
        <f t="shared" si="12"/>
        <v>0</v>
      </c>
      <c r="N793" s="45">
        <v>0</v>
      </c>
      <c r="O793" s="44"/>
      <c r="P793" s="44"/>
      <c r="Q793" s="44"/>
      <c r="R793" s="44"/>
      <c r="S793" s="44"/>
      <c r="T793" s="44"/>
      <c r="U793" s="44"/>
      <c r="V793" s="44"/>
      <c r="W793" s="44"/>
      <c r="X793" s="44"/>
    </row>
    <row r="794" spans="1:24" s="41" customFormat="1">
      <c r="A794" s="42">
        <v>46261</v>
      </c>
      <c r="B794" s="43" t="s">
        <v>13</v>
      </c>
      <c r="C794" s="44"/>
      <c r="D794" s="44"/>
      <c r="E794" s="44"/>
      <c r="F794" s="44"/>
      <c r="G794" s="44"/>
      <c r="H794" s="44"/>
      <c r="I794" s="44"/>
      <c r="J794" s="44"/>
      <c r="K794" s="44"/>
      <c r="L794" s="44"/>
      <c r="M794" s="44">
        <f t="shared" si="12"/>
        <v>0</v>
      </c>
      <c r="N794" s="45">
        <v>0</v>
      </c>
      <c r="O794" s="44"/>
      <c r="P794" s="44"/>
      <c r="Q794" s="44"/>
      <c r="R794" s="44"/>
      <c r="S794" s="44"/>
      <c r="T794" s="44"/>
      <c r="U794" s="44"/>
      <c r="V794" s="44"/>
      <c r="W794" s="44"/>
      <c r="X794" s="44"/>
    </row>
    <row r="795" spans="1:24" s="41" customFormat="1">
      <c r="A795" s="42">
        <v>46262</v>
      </c>
      <c r="B795" s="43" t="s">
        <v>13</v>
      </c>
      <c r="C795" s="44"/>
      <c r="D795" s="44"/>
      <c r="E795" s="44"/>
      <c r="F795" s="44"/>
      <c r="G795" s="44"/>
      <c r="H795" s="44"/>
      <c r="I795" s="44"/>
      <c r="J795" s="44"/>
      <c r="K795" s="44"/>
      <c r="L795" s="44"/>
      <c r="M795" s="44">
        <f t="shared" si="12"/>
        <v>0</v>
      </c>
      <c r="N795" s="45">
        <v>0</v>
      </c>
      <c r="O795" s="44"/>
      <c r="P795" s="44"/>
      <c r="Q795" s="44"/>
      <c r="R795" s="44"/>
      <c r="S795" s="44"/>
      <c r="T795" s="44"/>
      <c r="U795" s="44"/>
      <c r="V795" s="44"/>
      <c r="W795" s="44"/>
      <c r="X795" s="44"/>
    </row>
    <row r="796" spans="1:24" s="41" customFormat="1">
      <c r="A796" s="42">
        <v>46263</v>
      </c>
      <c r="B796" s="43" t="s">
        <v>13</v>
      </c>
      <c r="C796" s="44"/>
      <c r="D796" s="44"/>
      <c r="E796" s="44"/>
      <c r="F796" s="44"/>
      <c r="G796" s="44"/>
      <c r="H796" s="44"/>
      <c r="I796" s="44"/>
      <c r="J796" s="44"/>
      <c r="K796" s="44"/>
      <c r="L796" s="44"/>
      <c r="M796" s="44">
        <f t="shared" si="12"/>
        <v>0</v>
      </c>
      <c r="N796" s="45">
        <v>0</v>
      </c>
      <c r="O796" s="44"/>
      <c r="P796" s="44"/>
      <c r="Q796" s="44"/>
      <c r="R796" s="44"/>
      <c r="S796" s="44"/>
      <c r="T796" s="44"/>
      <c r="U796" s="44"/>
      <c r="V796" s="44"/>
      <c r="W796" s="44"/>
      <c r="X796" s="44"/>
    </row>
    <row r="797" spans="1:24" s="41" customFormat="1">
      <c r="A797" s="42">
        <v>46264</v>
      </c>
      <c r="B797" s="43" t="s">
        <v>13</v>
      </c>
      <c r="C797" s="44"/>
      <c r="D797" s="44"/>
      <c r="E797" s="44"/>
      <c r="F797" s="44"/>
      <c r="G797" s="44"/>
      <c r="H797" s="44"/>
      <c r="I797" s="44"/>
      <c r="J797" s="44"/>
      <c r="K797" s="44"/>
      <c r="L797" s="44"/>
      <c r="M797" s="44">
        <f t="shared" si="12"/>
        <v>0</v>
      </c>
      <c r="N797" s="45">
        <v>0</v>
      </c>
      <c r="O797" s="44"/>
      <c r="P797" s="44"/>
      <c r="Q797" s="44"/>
      <c r="R797" s="44"/>
      <c r="S797" s="44"/>
      <c r="T797" s="44"/>
      <c r="U797" s="44"/>
      <c r="V797" s="44"/>
      <c r="W797" s="44"/>
      <c r="X797" s="44"/>
    </row>
    <row r="798" spans="1:24" s="41" customFormat="1">
      <c r="A798" s="42">
        <v>46265</v>
      </c>
      <c r="B798" s="43" t="s">
        <v>13</v>
      </c>
      <c r="C798" s="44"/>
      <c r="D798" s="44"/>
      <c r="E798" s="44"/>
      <c r="F798" s="44"/>
      <c r="G798" s="44"/>
      <c r="H798" s="44"/>
      <c r="I798" s="44"/>
      <c r="J798" s="44"/>
      <c r="K798" s="44"/>
      <c r="L798" s="44"/>
      <c r="M798" s="44">
        <f t="shared" si="12"/>
        <v>0</v>
      </c>
      <c r="N798" s="45">
        <v>0</v>
      </c>
      <c r="O798" s="44"/>
      <c r="P798" s="44"/>
      <c r="Q798" s="44"/>
      <c r="R798" s="44"/>
      <c r="S798" s="44"/>
      <c r="T798" s="44"/>
      <c r="U798" s="44"/>
      <c r="V798" s="44"/>
      <c r="W798" s="44"/>
      <c r="X798" s="44"/>
    </row>
    <row r="799" spans="1:24" s="41" customFormat="1">
      <c r="A799" s="42">
        <v>46266</v>
      </c>
      <c r="B799" s="43" t="s">
        <v>13</v>
      </c>
      <c r="C799" s="44"/>
      <c r="D799" s="44"/>
      <c r="E799" s="44"/>
      <c r="F799" s="44"/>
      <c r="G799" s="44"/>
      <c r="H799" s="44"/>
      <c r="I799" s="44"/>
      <c r="J799" s="44"/>
      <c r="K799" s="44"/>
      <c r="L799" s="44"/>
      <c r="M799" s="44">
        <f t="shared" si="12"/>
        <v>0</v>
      </c>
      <c r="N799" s="45">
        <v>0</v>
      </c>
      <c r="O799" s="44"/>
      <c r="P799" s="44"/>
      <c r="Q799" s="44"/>
      <c r="R799" s="44"/>
      <c r="S799" s="44"/>
      <c r="T799" s="44"/>
      <c r="U799" s="44"/>
      <c r="V799" s="44"/>
      <c r="W799" s="44"/>
      <c r="X799" s="44"/>
    </row>
    <row r="800" spans="1:24" s="41" customFormat="1">
      <c r="A800" s="42">
        <v>46267</v>
      </c>
      <c r="B800" s="43" t="s">
        <v>13</v>
      </c>
      <c r="C800" s="44"/>
      <c r="D800" s="44"/>
      <c r="E800" s="44"/>
      <c r="F800" s="44"/>
      <c r="G800" s="44"/>
      <c r="H800" s="44"/>
      <c r="I800" s="44"/>
      <c r="J800" s="44"/>
      <c r="K800" s="44"/>
      <c r="L800" s="44"/>
      <c r="M800" s="44">
        <f t="shared" si="12"/>
        <v>0</v>
      </c>
      <c r="N800" s="45">
        <v>0</v>
      </c>
      <c r="O800" s="44"/>
      <c r="P800" s="44"/>
      <c r="Q800" s="44"/>
      <c r="R800" s="44"/>
      <c r="S800" s="44"/>
      <c r="T800" s="44"/>
      <c r="U800" s="44"/>
      <c r="V800" s="44"/>
      <c r="W800" s="44"/>
      <c r="X800" s="44"/>
    </row>
    <row r="801" spans="1:24" s="41" customFormat="1">
      <c r="A801" s="42">
        <v>46268</v>
      </c>
      <c r="B801" s="43" t="s">
        <v>13</v>
      </c>
      <c r="C801" s="44"/>
      <c r="D801" s="44"/>
      <c r="E801" s="44"/>
      <c r="F801" s="44"/>
      <c r="G801" s="44"/>
      <c r="H801" s="44"/>
      <c r="I801" s="44"/>
      <c r="J801" s="44"/>
      <c r="K801" s="44"/>
      <c r="L801" s="44"/>
      <c r="M801" s="44">
        <f t="shared" si="12"/>
        <v>0</v>
      </c>
      <c r="N801" s="45">
        <v>0</v>
      </c>
      <c r="O801" s="44"/>
      <c r="P801" s="44"/>
      <c r="Q801" s="44"/>
      <c r="R801" s="44"/>
      <c r="S801" s="44"/>
      <c r="T801" s="44"/>
      <c r="U801" s="44"/>
      <c r="V801" s="44"/>
      <c r="W801" s="44"/>
      <c r="X801" s="44"/>
    </row>
    <row r="802" spans="1:24" s="41" customFormat="1">
      <c r="A802" s="42">
        <v>46269</v>
      </c>
      <c r="B802" s="43" t="s">
        <v>13</v>
      </c>
      <c r="C802" s="44"/>
      <c r="D802" s="44"/>
      <c r="E802" s="44"/>
      <c r="F802" s="44"/>
      <c r="G802" s="44"/>
      <c r="H802" s="44"/>
      <c r="I802" s="44"/>
      <c r="J802" s="44"/>
      <c r="K802" s="44"/>
      <c r="L802" s="44"/>
      <c r="M802" s="44">
        <f t="shared" si="12"/>
        <v>0</v>
      </c>
      <c r="N802" s="45">
        <v>0</v>
      </c>
      <c r="O802" s="44"/>
      <c r="P802" s="44"/>
      <c r="Q802" s="44"/>
      <c r="R802" s="44"/>
      <c r="S802" s="44"/>
      <c r="T802" s="44"/>
      <c r="U802" s="44"/>
      <c r="V802" s="44"/>
      <c r="W802" s="44"/>
      <c r="X802" s="44"/>
    </row>
    <row r="803" spans="1:24" s="41" customFormat="1">
      <c r="A803" s="42">
        <v>46270</v>
      </c>
      <c r="B803" s="43" t="s">
        <v>13</v>
      </c>
      <c r="C803" s="44"/>
      <c r="D803" s="44"/>
      <c r="E803" s="44"/>
      <c r="F803" s="44"/>
      <c r="G803" s="44"/>
      <c r="H803" s="44"/>
      <c r="I803" s="44"/>
      <c r="J803" s="44"/>
      <c r="K803" s="44"/>
      <c r="L803" s="44"/>
      <c r="M803" s="44">
        <f t="shared" si="12"/>
        <v>0</v>
      </c>
      <c r="N803" s="45">
        <v>0</v>
      </c>
      <c r="O803" s="44"/>
      <c r="P803" s="44"/>
      <c r="Q803" s="44"/>
      <c r="R803" s="44"/>
      <c r="S803" s="44"/>
      <c r="T803" s="44"/>
      <c r="U803" s="44"/>
      <c r="V803" s="44"/>
      <c r="W803" s="44"/>
      <c r="X803" s="44"/>
    </row>
    <row r="804" spans="1:24" s="41" customFormat="1">
      <c r="A804" s="42">
        <v>46271</v>
      </c>
      <c r="B804" s="43" t="s">
        <v>13</v>
      </c>
      <c r="C804" s="44"/>
      <c r="D804" s="44"/>
      <c r="E804" s="44"/>
      <c r="F804" s="44"/>
      <c r="G804" s="44"/>
      <c r="H804" s="44"/>
      <c r="I804" s="44"/>
      <c r="J804" s="44"/>
      <c r="K804" s="44"/>
      <c r="L804" s="44"/>
      <c r="M804" s="44">
        <f t="shared" si="12"/>
        <v>0</v>
      </c>
      <c r="N804" s="45">
        <v>0</v>
      </c>
      <c r="O804" s="44"/>
      <c r="P804" s="44"/>
      <c r="Q804" s="44"/>
      <c r="R804" s="44"/>
      <c r="S804" s="44"/>
      <c r="T804" s="44"/>
      <c r="U804" s="44"/>
      <c r="V804" s="44"/>
      <c r="W804" s="44"/>
      <c r="X804" s="44"/>
    </row>
    <row r="805" spans="1:24" s="41" customFormat="1">
      <c r="A805" s="42">
        <v>46272</v>
      </c>
      <c r="B805" s="43" t="s">
        <v>13</v>
      </c>
      <c r="C805" s="44"/>
      <c r="D805" s="44"/>
      <c r="E805" s="44"/>
      <c r="F805" s="44"/>
      <c r="G805" s="44"/>
      <c r="H805" s="44"/>
      <c r="I805" s="44"/>
      <c r="J805" s="44"/>
      <c r="K805" s="44"/>
      <c r="L805" s="44"/>
      <c r="M805" s="44">
        <f t="shared" si="12"/>
        <v>0</v>
      </c>
      <c r="N805" s="45">
        <v>0</v>
      </c>
      <c r="O805" s="44"/>
      <c r="P805" s="44"/>
      <c r="Q805" s="44"/>
      <c r="R805" s="44"/>
      <c r="S805" s="44"/>
      <c r="T805" s="44"/>
      <c r="U805" s="44"/>
      <c r="V805" s="44"/>
      <c r="W805" s="44"/>
      <c r="X805" s="44"/>
    </row>
    <row r="806" spans="1:24" s="41" customFormat="1">
      <c r="A806" s="42">
        <v>46273</v>
      </c>
      <c r="B806" s="43" t="s">
        <v>13</v>
      </c>
      <c r="C806" s="44"/>
      <c r="D806" s="44"/>
      <c r="E806" s="44"/>
      <c r="F806" s="44"/>
      <c r="G806" s="44"/>
      <c r="H806" s="44"/>
      <c r="I806" s="44"/>
      <c r="J806" s="44"/>
      <c r="K806" s="44"/>
      <c r="L806" s="44"/>
      <c r="M806" s="44">
        <f t="shared" si="12"/>
        <v>0</v>
      </c>
      <c r="N806" s="45">
        <v>0</v>
      </c>
      <c r="O806" s="44"/>
      <c r="P806" s="44"/>
      <c r="Q806" s="44"/>
      <c r="R806" s="44"/>
      <c r="S806" s="44"/>
      <c r="T806" s="44"/>
      <c r="U806" s="44"/>
      <c r="V806" s="44"/>
      <c r="W806" s="44"/>
      <c r="X806" s="44"/>
    </row>
    <row r="807" spans="1:24" s="41" customFormat="1">
      <c r="A807" s="42">
        <v>46274</v>
      </c>
      <c r="B807" s="43" t="s">
        <v>13</v>
      </c>
      <c r="C807" s="44"/>
      <c r="D807" s="44"/>
      <c r="E807" s="44"/>
      <c r="F807" s="44"/>
      <c r="G807" s="44"/>
      <c r="H807" s="44"/>
      <c r="I807" s="44"/>
      <c r="J807" s="44"/>
      <c r="K807" s="44"/>
      <c r="L807" s="44"/>
      <c r="M807" s="44">
        <f t="shared" si="12"/>
        <v>0</v>
      </c>
      <c r="N807" s="45">
        <v>0</v>
      </c>
      <c r="O807" s="44"/>
      <c r="P807" s="44"/>
      <c r="Q807" s="44"/>
      <c r="R807" s="44"/>
      <c r="S807" s="44"/>
      <c r="T807" s="44"/>
      <c r="U807" s="44"/>
      <c r="V807" s="44"/>
      <c r="W807" s="44"/>
      <c r="X807" s="44"/>
    </row>
    <row r="808" spans="1:24" s="41" customFormat="1">
      <c r="A808" s="42">
        <v>46275</v>
      </c>
      <c r="B808" s="43" t="s">
        <v>13</v>
      </c>
      <c r="C808" s="44"/>
      <c r="D808" s="44"/>
      <c r="E808" s="44"/>
      <c r="F808" s="44"/>
      <c r="G808" s="44"/>
      <c r="H808" s="44"/>
      <c r="I808" s="44"/>
      <c r="J808" s="44"/>
      <c r="K808" s="44"/>
      <c r="L808" s="44"/>
      <c r="M808" s="44">
        <f t="shared" si="12"/>
        <v>0</v>
      </c>
      <c r="N808" s="45">
        <v>0</v>
      </c>
      <c r="O808" s="44"/>
      <c r="P808" s="44"/>
      <c r="Q808" s="44"/>
      <c r="R808" s="44"/>
      <c r="S808" s="44"/>
      <c r="T808" s="44"/>
      <c r="U808" s="44"/>
      <c r="V808" s="44"/>
      <c r="W808" s="44"/>
      <c r="X808" s="44"/>
    </row>
    <row r="809" spans="1:24" s="41" customFormat="1">
      <c r="A809" s="42">
        <v>46276</v>
      </c>
      <c r="B809" s="43" t="s">
        <v>13</v>
      </c>
      <c r="C809" s="44"/>
      <c r="D809" s="44"/>
      <c r="E809" s="44"/>
      <c r="F809" s="44"/>
      <c r="G809" s="44"/>
      <c r="H809" s="44"/>
      <c r="I809" s="44"/>
      <c r="J809" s="44"/>
      <c r="K809" s="44"/>
      <c r="L809" s="44"/>
      <c r="M809" s="44">
        <f t="shared" si="12"/>
        <v>0</v>
      </c>
      <c r="N809" s="45">
        <v>0</v>
      </c>
      <c r="O809" s="44"/>
      <c r="P809" s="44"/>
      <c r="Q809" s="44"/>
      <c r="R809" s="44"/>
      <c r="S809" s="44"/>
      <c r="T809" s="44"/>
      <c r="U809" s="44"/>
      <c r="V809" s="44"/>
      <c r="W809" s="44"/>
      <c r="X809" s="44"/>
    </row>
    <row r="810" spans="1:24" s="41" customFormat="1">
      <c r="A810" s="42">
        <v>46277</v>
      </c>
      <c r="B810" s="43" t="s">
        <v>13</v>
      </c>
      <c r="C810" s="44"/>
      <c r="D810" s="44"/>
      <c r="E810" s="44"/>
      <c r="F810" s="44"/>
      <c r="G810" s="44"/>
      <c r="H810" s="44"/>
      <c r="I810" s="44"/>
      <c r="J810" s="44"/>
      <c r="K810" s="44"/>
      <c r="L810" s="44"/>
      <c r="M810" s="44">
        <f t="shared" si="12"/>
        <v>0</v>
      </c>
      <c r="N810" s="45">
        <v>0</v>
      </c>
      <c r="O810" s="44"/>
      <c r="P810" s="44"/>
      <c r="Q810" s="44"/>
      <c r="R810" s="44"/>
      <c r="S810" s="44"/>
      <c r="T810" s="44"/>
      <c r="U810" s="44"/>
      <c r="V810" s="44"/>
      <c r="W810" s="44"/>
      <c r="X810" s="44"/>
    </row>
    <row r="811" spans="1:24" s="41" customFormat="1">
      <c r="A811" s="42">
        <v>46278</v>
      </c>
      <c r="B811" s="43" t="s">
        <v>13</v>
      </c>
      <c r="C811" s="44"/>
      <c r="D811" s="44"/>
      <c r="E811" s="44"/>
      <c r="F811" s="44"/>
      <c r="G811" s="44"/>
      <c r="H811" s="44"/>
      <c r="I811" s="44"/>
      <c r="J811" s="44"/>
      <c r="K811" s="44"/>
      <c r="L811" s="44"/>
      <c r="M811" s="44">
        <f t="shared" si="12"/>
        <v>0</v>
      </c>
      <c r="N811" s="45">
        <v>0</v>
      </c>
      <c r="O811" s="44"/>
      <c r="P811" s="44"/>
      <c r="Q811" s="44"/>
      <c r="R811" s="44"/>
      <c r="S811" s="44"/>
      <c r="T811" s="44"/>
      <c r="U811" s="44"/>
      <c r="V811" s="44"/>
      <c r="W811" s="44"/>
      <c r="X811" s="44"/>
    </row>
    <row r="812" spans="1:24" s="41" customFormat="1">
      <c r="A812" s="42">
        <v>46279</v>
      </c>
      <c r="B812" s="43" t="s">
        <v>13</v>
      </c>
      <c r="C812" s="44"/>
      <c r="D812" s="44"/>
      <c r="E812" s="44"/>
      <c r="F812" s="44"/>
      <c r="G812" s="44"/>
      <c r="H812" s="44"/>
      <c r="I812" s="44"/>
      <c r="J812" s="44"/>
      <c r="K812" s="44"/>
      <c r="L812" s="44"/>
      <c r="M812" s="44">
        <f t="shared" si="12"/>
        <v>0</v>
      </c>
      <c r="N812" s="45">
        <v>0</v>
      </c>
      <c r="O812" s="44"/>
      <c r="P812" s="44"/>
      <c r="Q812" s="44"/>
      <c r="R812" s="44"/>
      <c r="S812" s="44"/>
      <c r="T812" s="44"/>
      <c r="U812" s="44"/>
      <c r="V812" s="44"/>
      <c r="W812" s="44"/>
      <c r="X812" s="44"/>
    </row>
    <row r="813" spans="1:24" s="41" customFormat="1">
      <c r="A813" s="42">
        <v>46280</v>
      </c>
      <c r="B813" s="43" t="s">
        <v>13</v>
      </c>
      <c r="C813" s="44"/>
      <c r="D813" s="44"/>
      <c r="E813" s="44"/>
      <c r="F813" s="44"/>
      <c r="G813" s="44"/>
      <c r="H813" s="44"/>
      <c r="I813" s="44"/>
      <c r="J813" s="44"/>
      <c r="K813" s="44"/>
      <c r="L813" s="44"/>
      <c r="M813" s="44">
        <f t="shared" si="12"/>
        <v>0</v>
      </c>
      <c r="N813" s="45">
        <v>0</v>
      </c>
      <c r="O813" s="44"/>
      <c r="P813" s="44"/>
      <c r="Q813" s="44"/>
      <c r="R813" s="44"/>
      <c r="S813" s="44"/>
      <c r="T813" s="44"/>
      <c r="U813" s="44"/>
      <c r="V813" s="44"/>
      <c r="W813" s="44"/>
      <c r="X813" s="44"/>
    </row>
    <row r="814" spans="1:24" s="41" customFormat="1">
      <c r="A814" s="42">
        <v>46281</v>
      </c>
      <c r="B814" s="43" t="s">
        <v>13</v>
      </c>
      <c r="C814" s="44"/>
      <c r="D814" s="44"/>
      <c r="E814" s="44"/>
      <c r="F814" s="44"/>
      <c r="G814" s="44"/>
      <c r="H814" s="44"/>
      <c r="I814" s="44"/>
      <c r="J814" s="44"/>
      <c r="K814" s="44"/>
      <c r="L814" s="44"/>
      <c r="M814" s="44">
        <f t="shared" si="12"/>
        <v>0</v>
      </c>
      <c r="N814" s="45">
        <v>0</v>
      </c>
      <c r="O814" s="44"/>
      <c r="P814" s="44"/>
      <c r="Q814" s="44"/>
      <c r="R814" s="44"/>
      <c r="S814" s="44"/>
      <c r="T814" s="44"/>
      <c r="U814" s="44"/>
      <c r="V814" s="44"/>
      <c r="W814" s="44"/>
      <c r="X814" s="44"/>
    </row>
    <row r="815" spans="1:24" s="41" customFormat="1">
      <c r="A815" s="42">
        <v>46282</v>
      </c>
      <c r="B815" s="43" t="s">
        <v>13</v>
      </c>
      <c r="C815" s="44"/>
      <c r="D815" s="44"/>
      <c r="E815" s="44"/>
      <c r="F815" s="44"/>
      <c r="G815" s="44"/>
      <c r="H815" s="44"/>
      <c r="I815" s="44"/>
      <c r="J815" s="44"/>
      <c r="K815" s="44"/>
      <c r="L815" s="44"/>
      <c r="M815" s="44">
        <f t="shared" si="12"/>
        <v>0</v>
      </c>
      <c r="N815" s="45">
        <v>0</v>
      </c>
      <c r="O815" s="44"/>
      <c r="P815" s="44"/>
      <c r="Q815" s="44"/>
      <c r="R815" s="44"/>
      <c r="S815" s="44"/>
      <c r="T815" s="44"/>
      <c r="U815" s="44"/>
      <c r="V815" s="44"/>
      <c r="W815" s="44"/>
      <c r="X815" s="44"/>
    </row>
    <row r="816" spans="1:24" s="41" customFormat="1">
      <c r="A816" s="42">
        <v>46283</v>
      </c>
      <c r="B816" s="43" t="s">
        <v>13</v>
      </c>
      <c r="C816" s="44"/>
      <c r="D816" s="44"/>
      <c r="E816" s="44"/>
      <c r="F816" s="44"/>
      <c r="G816" s="44"/>
      <c r="H816" s="44"/>
      <c r="I816" s="44"/>
      <c r="J816" s="44"/>
      <c r="K816" s="44"/>
      <c r="L816" s="44"/>
      <c r="M816" s="44">
        <f t="shared" si="12"/>
        <v>0</v>
      </c>
      <c r="N816" s="45">
        <v>0</v>
      </c>
      <c r="O816" s="44"/>
      <c r="P816" s="44"/>
      <c r="Q816" s="44"/>
      <c r="R816" s="44"/>
      <c r="S816" s="44"/>
      <c r="T816" s="44"/>
      <c r="U816" s="44"/>
      <c r="V816" s="44"/>
      <c r="W816" s="44"/>
      <c r="X816" s="44"/>
    </row>
    <row r="817" spans="1:24" s="41" customFormat="1">
      <c r="A817" s="42">
        <v>46284</v>
      </c>
      <c r="B817" s="43" t="s">
        <v>13</v>
      </c>
      <c r="C817" s="44"/>
      <c r="D817" s="44"/>
      <c r="E817" s="44"/>
      <c r="F817" s="44"/>
      <c r="G817" s="44"/>
      <c r="H817" s="44"/>
      <c r="I817" s="44"/>
      <c r="J817" s="44"/>
      <c r="K817" s="44"/>
      <c r="L817" s="44"/>
      <c r="M817" s="44">
        <f t="shared" si="12"/>
        <v>0</v>
      </c>
      <c r="N817" s="45">
        <v>0</v>
      </c>
      <c r="O817" s="44"/>
      <c r="P817" s="44"/>
      <c r="Q817" s="44"/>
      <c r="R817" s="44"/>
      <c r="S817" s="44"/>
      <c r="T817" s="44"/>
      <c r="U817" s="44"/>
      <c r="V817" s="44"/>
      <c r="W817" s="44"/>
      <c r="X817" s="44"/>
    </row>
    <row r="818" spans="1:24" s="41" customFormat="1">
      <c r="A818" s="42">
        <v>46285</v>
      </c>
      <c r="B818" s="43" t="s">
        <v>13</v>
      </c>
      <c r="C818" s="44"/>
      <c r="D818" s="44"/>
      <c r="E818" s="44"/>
      <c r="F818" s="44"/>
      <c r="G818" s="44"/>
      <c r="H818" s="44"/>
      <c r="I818" s="44"/>
      <c r="J818" s="44"/>
      <c r="K818" s="44"/>
      <c r="L818" s="44"/>
      <c r="M818" s="44">
        <f t="shared" si="12"/>
        <v>0</v>
      </c>
      <c r="N818" s="45">
        <v>0</v>
      </c>
      <c r="O818" s="44"/>
      <c r="P818" s="44"/>
      <c r="Q818" s="44"/>
      <c r="R818" s="44"/>
      <c r="S818" s="44"/>
      <c r="T818" s="44"/>
      <c r="U818" s="44"/>
      <c r="V818" s="44"/>
      <c r="W818" s="44"/>
      <c r="X818" s="44"/>
    </row>
    <row r="819" spans="1:24" s="41" customFormat="1">
      <c r="A819" s="42">
        <v>46286</v>
      </c>
      <c r="B819" s="43" t="s">
        <v>13</v>
      </c>
      <c r="C819" s="44"/>
      <c r="D819" s="44"/>
      <c r="E819" s="44"/>
      <c r="F819" s="44"/>
      <c r="G819" s="44"/>
      <c r="H819" s="44"/>
      <c r="I819" s="44"/>
      <c r="J819" s="44"/>
      <c r="K819" s="44"/>
      <c r="L819" s="44"/>
      <c r="M819" s="44">
        <f t="shared" si="12"/>
        <v>0</v>
      </c>
      <c r="N819" s="45">
        <v>0</v>
      </c>
      <c r="O819" s="44"/>
      <c r="P819" s="44"/>
      <c r="Q819" s="44"/>
      <c r="R819" s="44"/>
      <c r="S819" s="44"/>
      <c r="T819" s="44"/>
      <c r="U819" s="44"/>
      <c r="V819" s="44"/>
      <c r="W819" s="44"/>
      <c r="X819" s="44"/>
    </row>
    <row r="820" spans="1:24" s="41" customFormat="1">
      <c r="A820" s="42">
        <v>46287</v>
      </c>
      <c r="B820" s="43" t="s">
        <v>13</v>
      </c>
      <c r="C820" s="44"/>
      <c r="D820" s="44"/>
      <c r="E820" s="44"/>
      <c r="F820" s="44"/>
      <c r="G820" s="44"/>
      <c r="H820" s="44"/>
      <c r="I820" s="44"/>
      <c r="J820" s="44"/>
      <c r="K820" s="44"/>
      <c r="L820" s="44"/>
      <c r="M820" s="44">
        <f t="shared" si="12"/>
        <v>0</v>
      </c>
      <c r="N820" s="45">
        <v>0</v>
      </c>
      <c r="O820" s="44"/>
      <c r="P820" s="44"/>
      <c r="Q820" s="44"/>
      <c r="R820" s="44"/>
      <c r="S820" s="44"/>
      <c r="T820" s="44"/>
      <c r="U820" s="44"/>
      <c r="V820" s="44"/>
      <c r="W820" s="44"/>
      <c r="X820" s="44"/>
    </row>
    <row r="821" spans="1:24" s="41" customFormat="1">
      <c r="A821" s="42">
        <v>46288</v>
      </c>
      <c r="B821" s="43" t="s">
        <v>13</v>
      </c>
      <c r="C821" s="44"/>
      <c r="D821" s="44"/>
      <c r="E821" s="44"/>
      <c r="F821" s="44"/>
      <c r="G821" s="44"/>
      <c r="H821" s="44"/>
      <c r="I821" s="44"/>
      <c r="J821" s="44"/>
      <c r="K821" s="44"/>
      <c r="L821" s="44"/>
      <c r="M821" s="44">
        <f t="shared" si="12"/>
        <v>0</v>
      </c>
      <c r="N821" s="45">
        <v>0</v>
      </c>
      <c r="O821" s="44"/>
      <c r="P821" s="44"/>
      <c r="Q821" s="44"/>
      <c r="R821" s="44"/>
      <c r="S821" s="44"/>
      <c r="T821" s="44"/>
      <c r="U821" s="44"/>
      <c r="V821" s="44"/>
      <c r="W821" s="44"/>
      <c r="X821" s="44"/>
    </row>
    <row r="822" spans="1:24" s="41" customFormat="1">
      <c r="A822" s="42">
        <v>46289</v>
      </c>
      <c r="B822" s="43" t="s">
        <v>13</v>
      </c>
      <c r="C822" s="44"/>
      <c r="D822" s="44"/>
      <c r="E822" s="44"/>
      <c r="F822" s="44"/>
      <c r="G822" s="44"/>
      <c r="H822" s="44"/>
      <c r="I822" s="44"/>
      <c r="J822" s="44"/>
      <c r="K822" s="44"/>
      <c r="L822" s="44"/>
      <c r="M822" s="44">
        <f t="shared" si="12"/>
        <v>0</v>
      </c>
      <c r="N822" s="45">
        <v>0</v>
      </c>
      <c r="O822" s="44"/>
      <c r="P822" s="44"/>
      <c r="Q822" s="44"/>
      <c r="R822" s="44"/>
      <c r="S822" s="44"/>
      <c r="T822" s="44"/>
      <c r="U822" s="44"/>
      <c r="V822" s="44"/>
      <c r="W822" s="44"/>
      <c r="X822" s="44"/>
    </row>
    <row r="823" spans="1:24" s="41" customFormat="1">
      <c r="A823" s="42">
        <v>46290</v>
      </c>
      <c r="B823" s="43" t="s">
        <v>13</v>
      </c>
      <c r="C823" s="44"/>
      <c r="D823" s="44"/>
      <c r="E823" s="44"/>
      <c r="F823" s="44"/>
      <c r="G823" s="44"/>
      <c r="H823" s="44"/>
      <c r="I823" s="44"/>
      <c r="J823" s="44"/>
      <c r="K823" s="44"/>
      <c r="L823" s="44"/>
      <c r="M823" s="44">
        <f t="shared" si="12"/>
        <v>0</v>
      </c>
      <c r="N823" s="45">
        <v>0</v>
      </c>
      <c r="O823" s="44"/>
      <c r="P823" s="44"/>
      <c r="Q823" s="44"/>
      <c r="R823" s="44"/>
      <c r="S823" s="44"/>
      <c r="T823" s="44"/>
      <c r="U823" s="44"/>
      <c r="V823" s="44"/>
      <c r="W823" s="44"/>
      <c r="X823" s="44"/>
    </row>
    <row r="824" spans="1:24" s="41" customFormat="1">
      <c r="A824" s="42">
        <v>46291</v>
      </c>
      <c r="B824" s="43" t="s">
        <v>13</v>
      </c>
      <c r="C824" s="44"/>
      <c r="D824" s="44"/>
      <c r="E824" s="44"/>
      <c r="F824" s="44"/>
      <c r="G824" s="44"/>
      <c r="H824" s="44"/>
      <c r="I824" s="44"/>
      <c r="J824" s="44"/>
      <c r="K824" s="44"/>
      <c r="L824" s="44"/>
      <c r="M824" s="44">
        <f t="shared" si="12"/>
        <v>0</v>
      </c>
      <c r="N824" s="45">
        <v>0</v>
      </c>
      <c r="O824" s="44"/>
      <c r="P824" s="44"/>
      <c r="Q824" s="44"/>
      <c r="R824" s="44"/>
      <c r="S824" s="44"/>
      <c r="T824" s="44"/>
      <c r="U824" s="44"/>
      <c r="V824" s="44"/>
      <c r="W824" s="44"/>
      <c r="X824" s="44"/>
    </row>
    <row r="825" spans="1:24" s="41" customFormat="1">
      <c r="A825" s="42">
        <v>46292</v>
      </c>
      <c r="B825" s="43" t="s">
        <v>13</v>
      </c>
      <c r="C825" s="44"/>
      <c r="D825" s="44"/>
      <c r="E825" s="44"/>
      <c r="F825" s="44"/>
      <c r="G825" s="44"/>
      <c r="H825" s="44"/>
      <c r="I825" s="44"/>
      <c r="J825" s="44"/>
      <c r="K825" s="44"/>
      <c r="L825" s="44"/>
      <c r="M825" s="44">
        <f t="shared" si="12"/>
        <v>0</v>
      </c>
      <c r="N825" s="45">
        <v>0</v>
      </c>
      <c r="O825" s="44"/>
      <c r="P825" s="44"/>
      <c r="Q825" s="44"/>
      <c r="R825" s="44"/>
      <c r="S825" s="44"/>
      <c r="T825" s="44"/>
      <c r="U825" s="44"/>
      <c r="V825" s="44"/>
      <c r="W825" s="44"/>
      <c r="X825" s="44"/>
    </row>
    <row r="826" spans="1:24" s="41" customFormat="1">
      <c r="A826" s="42">
        <v>46293</v>
      </c>
      <c r="B826" s="43" t="s">
        <v>13</v>
      </c>
      <c r="C826" s="44"/>
      <c r="D826" s="44"/>
      <c r="E826" s="44"/>
      <c r="F826" s="44"/>
      <c r="G826" s="44"/>
      <c r="H826" s="44"/>
      <c r="I826" s="44"/>
      <c r="J826" s="44"/>
      <c r="K826" s="44"/>
      <c r="L826" s="44"/>
      <c r="M826" s="44">
        <f t="shared" si="12"/>
        <v>0</v>
      </c>
      <c r="N826" s="45">
        <v>0</v>
      </c>
      <c r="O826" s="44"/>
      <c r="P826" s="44"/>
      <c r="Q826" s="44"/>
      <c r="R826" s="44"/>
      <c r="S826" s="44"/>
      <c r="T826" s="44"/>
      <c r="U826" s="44"/>
      <c r="V826" s="44"/>
      <c r="W826" s="44"/>
      <c r="X826" s="44"/>
    </row>
    <row r="827" spans="1:24" s="41" customFormat="1">
      <c r="A827" s="42">
        <v>46294</v>
      </c>
      <c r="B827" s="43" t="s">
        <v>13</v>
      </c>
      <c r="C827" s="44"/>
      <c r="D827" s="44"/>
      <c r="E827" s="44"/>
      <c r="F827" s="44"/>
      <c r="G827" s="44"/>
      <c r="H827" s="44"/>
      <c r="I827" s="44"/>
      <c r="J827" s="44"/>
      <c r="K827" s="44"/>
      <c r="L827" s="44"/>
      <c r="M827" s="44">
        <f t="shared" si="12"/>
        <v>0</v>
      </c>
      <c r="N827" s="45">
        <v>0</v>
      </c>
      <c r="O827" s="44"/>
      <c r="P827" s="44"/>
      <c r="Q827" s="44"/>
      <c r="R827" s="44"/>
      <c r="S827" s="44"/>
      <c r="T827" s="44"/>
      <c r="U827" s="44"/>
      <c r="V827" s="44"/>
      <c r="W827" s="44"/>
      <c r="X827" s="44"/>
    </row>
    <row r="828" spans="1:24" s="41" customFormat="1">
      <c r="A828" s="42">
        <v>46295</v>
      </c>
      <c r="B828" s="43" t="s">
        <v>13</v>
      </c>
      <c r="C828" s="44"/>
      <c r="D828" s="44"/>
      <c r="E828" s="44"/>
      <c r="F828" s="44"/>
      <c r="G828" s="44"/>
      <c r="H828" s="44"/>
      <c r="I828" s="44"/>
      <c r="J828" s="44"/>
      <c r="K828" s="44"/>
      <c r="L828" s="44"/>
      <c r="M828" s="44">
        <f t="shared" si="12"/>
        <v>0</v>
      </c>
      <c r="N828" s="45">
        <v>0</v>
      </c>
      <c r="O828" s="44"/>
      <c r="P828" s="44"/>
      <c r="Q828" s="44"/>
      <c r="R828" s="44"/>
      <c r="S828" s="44"/>
      <c r="T828" s="44"/>
      <c r="U828" s="44"/>
      <c r="V828" s="44"/>
      <c r="W828" s="44"/>
      <c r="X828" s="44"/>
    </row>
    <row r="829" spans="1:24" s="41" customFormat="1">
      <c r="A829" s="42">
        <v>46296</v>
      </c>
      <c r="B829" s="43" t="s">
        <v>13</v>
      </c>
      <c r="C829" s="44"/>
      <c r="D829" s="44"/>
      <c r="E829" s="44"/>
      <c r="F829" s="44"/>
      <c r="G829" s="44"/>
      <c r="H829" s="44"/>
      <c r="I829" s="44"/>
      <c r="J829" s="44"/>
      <c r="K829" s="44"/>
      <c r="L829" s="44"/>
      <c r="M829" s="44">
        <f t="shared" si="12"/>
        <v>0</v>
      </c>
      <c r="N829" s="45">
        <v>0</v>
      </c>
      <c r="O829" s="44"/>
      <c r="P829" s="44"/>
      <c r="Q829" s="44"/>
      <c r="R829" s="44"/>
      <c r="S829" s="44"/>
      <c r="T829" s="44"/>
      <c r="U829" s="44"/>
      <c r="V829" s="44"/>
      <c r="W829" s="44"/>
      <c r="X829" s="44"/>
    </row>
    <row r="830" spans="1:24" s="41" customFormat="1">
      <c r="A830" s="42">
        <v>46297</v>
      </c>
      <c r="B830" s="43" t="s">
        <v>13</v>
      </c>
      <c r="C830" s="44"/>
      <c r="D830" s="44"/>
      <c r="E830" s="44"/>
      <c r="F830" s="44"/>
      <c r="G830" s="44"/>
      <c r="H830" s="44"/>
      <c r="I830" s="44"/>
      <c r="J830" s="44"/>
      <c r="K830" s="44"/>
      <c r="L830" s="44"/>
      <c r="M830" s="44">
        <f t="shared" si="12"/>
        <v>0</v>
      </c>
      <c r="N830" s="45">
        <v>0</v>
      </c>
      <c r="O830" s="44"/>
      <c r="P830" s="44"/>
      <c r="Q830" s="44"/>
      <c r="R830" s="44"/>
      <c r="S830" s="44"/>
      <c r="T830" s="44"/>
      <c r="U830" s="44"/>
      <c r="V830" s="44"/>
      <c r="W830" s="44"/>
      <c r="X830" s="44"/>
    </row>
    <row r="831" spans="1:24" s="41" customFormat="1">
      <c r="A831" s="42">
        <v>46298</v>
      </c>
      <c r="B831" s="43" t="s">
        <v>13</v>
      </c>
      <c r="C831" s="44"/>
      <c r="D831" s="44"/>
      <c r="E831" s="44"/>
      <c r="F831" s="44"/>
      <c r="G831" s="44"/>
      <c r="H831" s="44"/>
      <c r="I831" s="44"/>
      <c r="J831" s="44"/>
      <c r="K831" s="44"/>
      <c r="L831" s="44"/>
      <c r="M831" s="44">
        <f t="shared" si="12"/>
        <v>0</v>
      </c>
      <c r="N831" s="45">
        <v>0</v>
      </c>
      <c r="O831" s="44"/>
      <c r="P831" s="44"/>
      <c r="Q831" s="44"/>
      <c r="R831" s="44"/>
      <c r="S831" s="44"/>
      <c r="T831" s="44"/>
      <c r="U831" s="44"/>
      <c r="V831" s="44"/>
      <c r="W831" s="44"/>
      <c r="X831" s="44"/>
    </row>
    <row r="832" spans="1:24" s="41" customFormat="1">
      <c r="A832" s="42">
        <v>46299</v>
      </c>
      <c r="B832" s="43" t="s">
        <v>13</v>
      </c>
      <c r="C832" s="44"/>
      <c r="D832" s="44"/>
      <c r="E832" s="44"/>
      <c r="F832" s="44"/>
      <c r="G832" s="44"/>
      <c r="H832" s="44"/>
      <c r="I832" s="44"/>
      <c r="J832" s="44"/>
      <c r="K832" s="44"/>
      <c r="L832" s="44"/>
      <c r="M832" s="44">
        <f t="shared" si="12"/>
        <v>0</v>
      </c>
      <c r="N832" s="45">
        <v>0</v>
      </c>
      <c r="O832" s="44"/>
      <c r="P832" s="44"/>
      <c r="Q832" s="44"/>
      <c r="R832" s="44"/>
      <c r="S832" s="44"/>
      <c r="T832" s="44"/>
      <c r="U832" s="44"/>
      <c r="V832" s="44"/>
      <c r="W832" s="44"/>
      <c r="X832" s="44"/>
    </row>
    <row r="833" spans="1:24" s="41" customFormat="1">
      <c r="A833" s="42">
        <v>46300</v>
      </c>
      <c r="B833" s="43" t="s">
        <v>13</v>
      </c>
      <c r="C833" s="44"/>
      <c r="D833" s="44"/>
      <c r="E833" s="44"/>
      <c r="F833" s="44"/>
      <c r="G833" s="44"/>
      <c r="H833" s="44"/>
      <c r="I833" s="44"/>
      <c r="J833" s="44"/>
      <c r="K833" s="44"/>
      <c r="L833" s="44"/>
      <c r="M833" s="44">
        <f t="shared" si="12"/>
        <v>0</v>
      </c>
      <c r="N833" s="45">
        <v>0</v>
      </c>
      <c r="O833" s="44"/>
      <c r="P833" s="44"/>
      <c r="Q833" s="44"/>
      <c r="R833" s="44"/>
      <c r="S833" s="44"/>
      <c r="T833" s="44"/>
      <c r="U833" s="44"/>
      <c r="V833" s="44"/>
      <c r="W833" s="44"/>
      <c r="X833" s="44"/>
    </row>
    <row r="834" spans="1:24" s="41" customFormat="1">
      <c r="A834" s="42">
        <v>46301</v>
      </c>
      <c r="B834" s="43" t="s">
        <v>13</v>
      </c>
      <c r="C834" s="44"/>
      <c r="D834" s="44"/>
      <c r="E834" s="44"/>
      <c r="F834" s="44"/>
      <c r="G834" s="44"/>
      <c r="H834" s="44"/>
      <c r="I834" s="44"/>
      <c r="J834" s="44"/>
      <c r="K834" s="44"/>
      <c r="L834" s="44"/>
      <c r="M834" s="44">
        <f t="shared" si="12"/>
        <v>0</v>
      </c>
      <c r="N834" s="45">
        <v>0</v>
      </c>
      <c r="O834" s="44"/>
      <c r="P834" s="44"/>
      <c r="Q834" s="44"/>
      <c r="R834" s="44"/>
      <c r="S834" s="44"/>
      <c r="T834" s="44"/>
      <c r="U834" s="44"/>
      <c r="V834" s="44"/>
      <c r="W834" s="44"/>
      <c r="X834" s="44"/>
    </row>
    <row r="835" spans="1:24" s="41" customFormat="1">
      <c r="A835" s="42">
        <v>46302</v>
      </c>
      <c r="B835" s="43" t="s">
        <v>13</v>
      </c>
      <c r="C835" s="44"/>
      <c r="D835" s="44"/>
      <c r="E835" s="44"/>
      <c r="F835" s="44"/>
      <c r="G835" s="44"/>
      <c r="H835" s="44"/>
      <c r="I835" s="44"/>
      <c r="J835" s="44"/>
      <c r="K835" s="44"/>
      <c r="L835" s="44"/>
      <c r="M835" s="44">
        <f t="shared" ref="M835:M898" si="13">N835-SUM(C835:L835)</f>
        <v>0</v>
      </c>
      <c r="N835" s="45">
        <v>0</v>
      </c>
      <c r="O835" s="44"/>
      <c r="P835" s="44"/>
      <c r="Q835" s="44"/>
      <c r="R835" s="44"/>
      <c r="S835" s="44"/>
      <c r="T835" s="44"/>
      <c r="U835" s="44"/>
      <c r="V835" s="44"/>
      <c r="W835" s="44"/>
      <c r="X835" s="44"/>
    </row>
    <row r="836" spans="1:24" s="41" customFormat="1">
      <c r="A836" s="42">
        <v>46303</v>
      </c>
      <c r="B836" s="43" t="s">
        <v>13</v>
      </c>
      <c r="C836" s="44"/>
      <c r="D836" s="44"/>
      <c r="E836" s="44"/>
      <c r="F836" s="44"/>
      <c r="G836" s="44"/>
      <c r="H836" s="44"/>
      <c r="I836" s="44"/>
      <c r="J836" s="44"/>
      <c r="K836" s="44"/>
      <c r="L836" s="44"/>
      <c r="M836" s="44">
        <f t="shared" si="13"/>
        <v>0</v>
      </c>
      <c r="N836" s="45">
        <v>0</v>
      </c>
      <c r="O836" s="44"/>
      <c r="P836" s="44"/>
      <c r="Q836" s="44"/>
      <c r="R836" s="44"/>
      <c r="S836" s="44"/>
      <c r="T836" s="44"/>
      <c r="U836" s="44"/>
      <c r="V836" s="44"/>
      <c r="W836" s="44"/>
      <c r="X836" s="44"/>
    </row>
    <row r="837" spans="1:24" s="41" customFormat="1">
      <c r="A837" s="42">
        <v>46304</v>
      </c>
      <c r="B837" s="43" t="s">
        <v>13</v>
      </c>
      <c r="C837" s="44"/>
      <c r="D837" s="44"/>
      <c r="E837" s="44"/>
      <c r="F837" s="44"/>
      <c r="G837" s="44"/>
      <c r="H837" s="44"/>
      <c r="I837" s="44"/>
      <c r="J837" s="44"/>
      <c r="K837" s="44"/>
      <c r="L837" s="44"/>
      <c r="M837" s="44">
        <f t="shared" si="13"/>
        <v>0</v>
      </c>
      <c r="N837" s="45">
        <v>0</v>
      </c>
      <c r="O837" s="44"/>
      <c r="P837" s="44"/>
      <c r="Q837" s="44"/>
      <c r="R837" s="44"/>
      <c r="S837" s="44"/>
      <c r="T837" s="44"/>
      <c r="U837" s="44"/>
      <c r="V837" s="44"/>
      <c r="W837" s="44"/>
      <c r="X837" s="44"/>
    </row>
    <row r="838" spans="1:24" s="41" customFormat="1">
      <c r="A838" s="42">
        <v>46305</v>
      </c>
      <c r="B838" s="43" t="s">
        <v>13</v>
      </c>
      <c r="C838" s="44"/>
      <c r="D838" s="44"/>
      <c r="E838" s="44"/>
      <c r="F838" s="44"/>
      <c r="G838" s="44"/>
      <c r="H838" s="44"/>
      <c r="I838" s="44"/>
      <c r="J838" s="44"/>
      <c r="K838" s="44"/>
      <c r="L838" s="44"/>
      <c r="M838" s="44">
        <f t="shared" si="13"/>
        <v>0</v>
      </c>
      <c r="N838" s="45">
        <v>0</v>
      </c>
      <c r="O838" s="44"/>
      <c r="P838" s="44"/>
      <c r="Q838" s="44"/>
      <c r="R838" s="44"/>
      <c r="S838" s="44"/>
      <c r="T838" s="44"/>
      <c r="U838" s="44"/>
      <c r="V838" s="44"/>
      <c r="W838" s="44"/>
      <c r="X838" s="44"/>
    </row>
    <row r="839" spans="1:24" s="41" customFormat="1">
      <c r="A839" s="42">
        <v>46306</v>
      </c>
      <c r="B839" s="43" t="s">
        <v>13</v>
      </c>
      <c r="C839" s="44"/>
      <c r="D839" s="44"/>
      <c r="E839" s="44"/>
      <c r="F839" s="44"/>
      <c r="G839" s="44"/>
      <c r="H839" s="44"/>
      <c r="I839" s="44"/>
      <c r="J839" s="44"/>
      <c r="K839" s="44"/>
      <c r="L839" s="44"/>
      <c r="M839" s="44">
        <f t="shared" si="13"/>
        <v>0</v>
      </c>
      <c r="N839" s="45">
        <v>0</v>
      </c>
      <c r="O839" s="44"/>
      <c r="P839" s="44"/>
      <c r="Q839" s="44"/>
      <c r="R839" s="44"/>
      <c r="S839" s="44"/>
      <c r="T839" s="44"/>
      <c r="U839" s="44"/>
      <c r="V839" s="44"/>
      <c r="W839" s="44"/>
      <c r="X839" s="44"/>
    </row>
    <row r="840" spans="1:24" s="41" customFormat="1">
      <c r="A840" s="42">
        <v>46307</v>
      </c>
      <c r="B840" s="43" t="s">
        <v>13</v>
      </c>
      <c r="C840" s="44"/>
      <c r="D840" s="44"/>
      <c r="E840" s="44"/>
      <c r="F840" s="44"/>
      <c r="G840" s="44"/>
      <c r="H840" s="44"/>
      <c r="I840" s="44"/>
      <c r="J840" s="44"/>
      <c r="K840" s="44"/>
      <c r="L840" s="44"/>
      <c r="M840" s="44">
        <f t="shared" si="13"/>
        <v>0</v>
      </c>
      <c r="N840" s="45">
        <v>0</v>
      </c>
      <c r="O840" s="44"/>
      <c r="P840" s="44"/>
      <c r="Q840" s="44"/>
      <c r="R840" s="44"/>
      <c r="S840" s="44"/>
      <c r="T840" s="44"/>
      <c r="U840" s="44"/>
      <c r="V840" s="44"/>
      <c r="W840" s="44"/>
      <c r="X840" s="44"/>
    </row>
    <row r="841" spans="1:24" s="41" customFormat="1">
      <c r="A841" s="42">
        <v>46308</v>
      </c>
      <c r="B841" s="43" t="s">
        <v>13</v>
      </c>
      <c r="C841" s="44"/>
      <c r="D841" s="44"/>
      <c r="E841" s="44"/>
      <c r="F841" s="44"/>
      <c r="G841" s="44"/>
      <c r="H841" s="44"/>
      <c r="I841" s="44"/>
      <c r="J841" s="44"/>
      <c r="K841" s="44"/>
      <c r="L841" s="44"/>
      <c r="M841" s="44">
        <f t="shared" si="13"/>
        <v>0</v>
      </c>
      <c r="N841" s="45">
        <v>0</v>
      </c>
      <c r="O841" s="44"/>
      <c r="P841" s="44"/>
      <c r="Q841" s="44"/>
      <c r="R841" s="44"/>
      <c r="S841" s="44"/>
      <c r="T841" s="44"/>
      <c r="U841" s="44"/>
      <c r="V841" s="44"/>
      <c r="W841" s="44"/>
      <c r="X841" s="44"/>
    </row>
    <row r="842" spans="1:24" s="41" customFormat="1">
      <c r="A842" s="42">
        <v>46309</v>
      </c>
      <c r="B842" s="43" t="s">
        <v>13</v>
      </c>
      <c r="C842" s="44"/>
      <c r="D842" s="44"/>
      <c r="E842" s="44"/>
      <c r="F842" s="44"/>
      <c r="G842" s="44"/>
      <c r="H842" s="44"/>
      <c r="I842" s="44"/>
      <c r="J842" s="44"/>
      <c r="K842" s="44"/>
      <c r="L842" s="44"/>
      <c r="M842" s="44">
        <f t="shared" si="13"/>
        <v>0</v>
      </c>
      <c r="N842" s="45">
        <v>0</v>
      </c>
      <c r="O842" s="44"/>
      <c r="P842" s="44"/>
      <c r="Q842" s="44"/>
      <c r="R842" s="44"/>
      <c r="S842" s="44"/>
      <c r="T842" s="44"/>
      <c r="U842" s="44"/>
      <c r="V842" s="44"/>
      <c r="W842" s="44"/>
      <c r="X842" s="44"/>
    </row>
    <row r="843" spans="1:24" s="41" customFormat="1">
      <c r="A843" s="42">
        <v>46310</v>
      </c>
      <c r="B843" s="43" t="s">
        <v>13</v>
      </c>
      <c r="C843" s="44"/>
      <c r="D843" s="44"/>
      <c r="E843" s="44"/>
      <c r="F843" s="44"/>
      <c r="G843" s="44"/>
      <c r="H843" s="44"/>
      <c r="I843" s="44"/>
      <c r="J843" s="44"/>
      <c r="K843" s="44"/>
      <c r="L843" s="44"/>
      <c r="M843" s="44">
        <f t="shared" si="13"/>
        <v>0</v>
      </c>
      <c r="N843" s="45">
        <v>0</v>
      </c>
      <c r="O843" s="44"/>
      <c r="P843" s="44"/>
      <c r="Q843" s="44"/>
      <c r="R843" s="44"/>
      <c r="S843" s="44"/>
      <c r="T843" s="44"/>
      <c r="U843" s="44"/>
      <c r="V843" s="44"/>
      <c r="W843" s="44"/>
      <c r="X843" s="44"/>
    </row>
    <row r="844" spans="1:24" s="41" customFormat="1">
      <c r="A844" s="42">
        <v>46311</v>
      </c>
      <c r="B844" s="43" t="s">
        <v>13</v>
      </c>
      <c r="C844" s="44"/>
      <c r="D844" s="44"/>
      <c r="E844" s="44"/>
      <c r="F844" s="44"/>
      <c r="G844" s="44"/>
      <c r="H844" s="44"/>
      <c r="I844" s="44"/>
      <c r="J844" s="44"/>
      <c r="K844" s="44"/>
      <c r="L844" s="44"/>
      <c r="M844" s="44">
        <f t="shared" si="13"/>
        <v>0</v>
      </c>
      <c r="N844" s="45">
        <v>0</v>
      </c>
      <c r="O844" s="44"/>
      <c r="P844" s="44"/>
      <c r="Q844" s="44"/>
      <c r="R844" s="44"/>
      <c r="S844" s="44"/>
      <c r="T844" s="44"/>
      <c r="U844" s="44"/>
      <c r="V844" s="44"/>
      <c r="W844" s="44"/>
      <c r="X844" s="44"/>
    </row>
    <row r="845" spans="1:24" s="41" customFormat="1">
      <c r="A845" s="42">
        <v>46312</v>
      </c>
      <c r="B845" s="43" t="s">
        <v>13</v>
      </c>
      <c r="C845" s="44"/>
      <c r="D845" s="44"/>
      <c r="E845" s="44"/>
      <c r="F845" s="44"/>
      <c r="G845" s="44"/>
      <c r="H845" s="44"/>
      <c r="I845" s="44"/>
      <c r="J845" s="44"/>
      <c r="K845" s="44"/>
      <c r="L845" s="44"/>
      <c r="M845" s="44">
        <f t="shared" si="13"/>
        <v>0</v>
      </c>
      <c r="N845" s="45">
        <v>0</v>
      </c>
      <c r="O845" s="44"/>
      <c r="P845" s="44"/>
      <c r="Q845" s="44"/>
      <c r="R845" s="44"/>
      <c r="S845" s="44"/>
      <c r="T845" s="44"/>
      <c r="U845" s="44"/>
      <c r="V845" s="44"/>
      <c r="W845" s="44"/>
      <c r="X845" s="44"/>
    </row>
    <row r="846" spans="1:24" s="41" customFormat="1">
      <c r="A846" s="42">
        <v>46313</v>
      </c>
      <c r="B846" s="43" t="s">
        <v>13</v>
      </c>
      <c r="C846" s="44"/>
      <c r="D846" s="44"/>
      <c r="E846" s="44"/>
      <c r="F846" s="44"/>
      <c r="G846" s="44"/>
      <c r="H846" s="44"/>
      <c r="I846" s="44"/>
      <c r="J846" s="44"/>
      <c r="K846" s="44"/>
      <c r="L846" s="44"/>
      <c r="M846" s="44">
        <f t="shared" si="13"/>
        <v>0</v>
      </c>
      <c r="N846" s="45">
        <v>0</v>
      </c>
      <c r="O846" s="44"/>
      <c r="P846" s="44"/>
      <c r="Q846" s="44"/>
      <c r="R846" s="44"/>
      <c r="S846" s="44"/>
      <c r="T846" s="44"/>
      <c r="U846" s="44"/>
      <c r="V846" s="44"/>
      <c r="W846" s="44"/>
      <c r="X846" s="44"/>
    </row>
    <row r="847" spans="1:24" s="41" customFormat="1">
      <c r="A847" s="42">
        <v>46314</v>
      </c>
      <c r="B847" s="43" t="s">
        <v>13</v>
      </c>
      <c r="C847" s="44"/>
      <c r="D847" s="44"/>
      <c r="E847" s="44"/>
      <c r="F847" s="44"/>
      <c r="G847" s="44"/>
      <c r="H847" s="44"/>
      <c r="I847" s="44"/>
      <c r="J847" s="44"/>
      <c r="K847" s="44"/>
      <c r="L847" s="44"/>
      <c r="M847" s="44">
        <f t="shared" si="13"/>
        <v>0</v>
      </c>
      <c r="N847" s="45">
        <v>0</v>
      </c>
      <c r="O847" s="44"/>
      <c r="P847" s="44"/>
      <c r="Q847" s="44"/>
      <c r="R847" s="44"/>
      <c r="S847" s="44"/>
      <c r="T847" s="44"/>
      <c r="U847" s="44"/>
      <c r="V847" s="44"/>
      <c r="W847" s="44"/>
      <c r="X847" s="44"/>
    </row>
    <row r="848" spans="1:24" s="41" customFormat="1">
      <c r="A848" s="42">
        <v>46315</v>
      </c>
      <c r="B848" s="43" t="s">
        <v>13</v>
      </c>
      <c r="C848" s="44"/>
      <c r="D848" s="44"/>
      <c r="E848" s="44"/>
      <c r="F848" s="44"/>
      <c r="G848" s="44"/>
      <c r="H848" s="44"/>
      <c r="I848" s="44"/>
      <c r="J848" s="44"/>
      <c r="K848" s="44"/>
      <c r="L848" s="44"/>
      <c r="M848" s="44">
        <f t="shared" si="13"/>
        <v>0</v>
      </c>
      <c r="N848" s="45">
        <v>0</v>
      </c>
      <c r="O848" s="44"/>
      <c r="P848" s="44"/>
      <c r="Q848" s="44"/>
      <c r="R848" s="44"/>
      <c r="S848" s="44"/>
      <c r="T848" s="44"/>
      <c r="U848" s="44"/>
      <c r="V848" s="44"/>
      <c r="W848" s="44"/>
      <c r="X848" s="44"/>
    </row>
    <row r="849" spans="1:24" s="41" customFormat="1">
      <c r="A849" s="42">
        <v>46316</v>
      </c>
      <c r="B849" s="43" t="s">
        <v>13</v>
      </c>
      <c r="C849" s="44"/>
      <c r="D849" s="44"/>
      <c r="E849" s="44"/>
      <c r="F849" s="44"/>
      <c r="G849" s="44"/>
      <c r="H849" s="44"/>
      <c r="I849" s="44"/>
      <c r="J849" s="44"/>
      <c r="K849" s="44"/>
      <c r="L849" s="44"/>
      <c r="M849" s="44">
        <f t="shared" si="13"/>
        <v>0</v>
      </c>
      <c r="N849" s="45">
        <v>0</v>
      </c>
      <c r="O849" s="44"/>
      <c r="P849" s="44"/>
      <c r="Q849" s="44"/>
      <c r="R849" s="44"/>
      <c r="S849" s="44"/>
      <c r="T849" s="44"/>
      <c r="U849" s="44"/>
      <c r="V849" s="44"/>
      <c r="W849" s="44"/>
      <c r="X849" s="44"/>
    </row>
    <row r="850" spans="1:24" s="41" customFormat="1">
      <c r="A850" s="42">
        <v>46317</v>
      </c>
      <c r="B850" s="43" t="s">
        <v>13</v>
      </c>
      <c r="C850" s="44"/>
      <c r="D850" s="44"/>
      <c r="E850" s="44"/>
      <c r="F850" s="44"/>
      <c r="G850" s="44"/>
      <c r="H850" s="44"/>
      <c r="I850" s="44"/>
      <c r="J850" s="44"/>
      <c r="K850" s="44"/>
      <c r="L850" s="44"/>
      <c r="M850" s="44">
        <f t="shared" si="13"/>
        <v>0</v>
      </c>
      <c r="N850" s="45">
        <v>0</v>
      </c>
      <c r="O850" s="44"/>
      <c r="P850" s="44"/>
      <c r="Q850" s="44"/>
      <c r="R850" s="44"/>
      <c r="S850" s="44"/>
      <c r="T850" s="44"/>
      <c r="U850" s="44"/>
      <c r="V850" s="44"/>
      <c r="W850" s="44"/>
      <c r="X850" s="44"/>
    </row>
    <row r="851" spans="1:24" s="41" customFormat="1">
      <c r="A851" s="42">
        <v>46318</v>
      </c>
      <c r="B851" s="43" t="s">
        <v>13</v>
      </c>
      <c r="C851" s="44"/>
      <c r="D851" s="44"/>
      <c r="E851" s="44"/>
      <c r="F851" s="44"/>
      <c r="G851" s="44"/>
      <c r="H851" s="44"/>
      <c r="I851" s="44"/>
      <c r="J851" s="44"/>
      <c r="K851" s="44"/>
      <c r="L851" s="44"/>
      <c r="M851" s="44">
        <f t="shared" si="13"/>
        <v>0</v>
      </c>
      <c r="N851" s="45">
        <v>0</v>
      </c>
      <c r="O851" s="44"/>
      <c r="P851" s="44"/>
      <c r="Q851" s="44"/>
      <c r="R851" s="44"/>
      <c r="S851" s="44"/>
      <c r="T851" s="44"/>
      <c r="U851" s="44"/>
      <c r="V851" s="44"/>
      <c r="W851" s="44"/>
      <c r="X851" s="44"/>
    </row>
    <row r="852" spans="1:24" s="41" customFormat="1">
      <c r="A852" s="42">
        <v>46319</v>
      </c>
      <c r="B852" s="43" t="s">
        <v>13</v>
      </c>
      <c r="C852" s="44"/>
      <c r="D852" s="44"/>
      <c r="E852" s="44"/>
      <c r="F852" s="44"/>
      <c r="G852" s="44"/>
      <c r="H852" s="44"/>
      <c r="I852" s="44"/>
      <c r="J852" s="44"/>
      <c r="K852" s="44"/>
      <c r="L852" s="44"/>
      <c r="M852" s="44">
        <f t="shared" si="13"/>
        <v>0</v>
      </c>
      <c r="N852" s="45">
        <v>0</v>
      </c>
      <c r="O852" s="44"/>
      <c r="P852" s="44"/>
      <c r="Q852" s="44"/>
      <c r="R852" s="44"/>
      <c r="S852" s="44"/>
      <c r="T852" s="44"/>
      <c r="U852" s="44"/>
      <c r="V852" s="44"/>
      <c r="W852" s="44"/>
      <c r="X852" s="44"/>
    </row>
    <row r="853" spans="1:24" s="41" customFormat="1">
      <c r="A853" s="42">
        <v>46320</v>
      </c>
      <c r="B853" s="43" t="s">
        <v>13</v>
      </c>
      <c r="C853" s="44"/>
      <c r="D853" s="44"/>
      <c r="E853" s="44"/>
      <c r="F853" s="44"/>
      <c r="G853" s="44"/>
      <c r="H853" s="44"/>
      <c r="I853" s="44"/>
      <c r="J853" s="44"/>
      <c r="K853" s="44"/>
      <c r="L853" s="44"/>
      <c r="M853" s="44">
        <f t="shared" si="13"/>
        <v>0</v>
      </c>
      <c r="N853" s="45">
        <v>0</v>
      </c>
      <c r="O853" s="44"/>
      <c r="P853" s="44"/>
      <c r="Q853" s="44"/>
      <c r="R853" s="44"/>
      <c r="S853" s="44"/>
      <c r="T853" s="44"/>
      <c r="U853" s="44"/>
      <c r="V853" s="44"/>
      <c r="W853" s="44"/>
      <c r="X853" s="44"/>
    </row>
    <row r="854" spans="1:24" s="41" customFormat="1">
      <c r="A854" s="42">
        <v>46321</v>
      </c>
      <c r="B854" s="43" t="s">
        <v>13</v>
      </c>
      <c r="C854" s="44"/>
      <c r="D854" s="44"/>
      <c r="E854" s="44"/>
      <c r="F854" s="44"/>
      <c r="G854" s="44"/>
      <c r="H854" s="44"/>
      <c r="I854" s="44"/>
      <c r="J854" s="44"/>
      <c r="K854" s="44"/>
      <c r="L854" s="44"/>
      <c r="M854" s="44">
        <f t="shared" si="13"/>
        <v>0</v>
      </c>
      <c r="N854" s="45">
        <v>0</v>
      </c>
      <c r="O854" s="44"/>
      <c r="P854" s="44"/>
      <c r="Q854" s="44"/>
      <c r="R854" s="44"/>
      <c r="S854" s="44"/>
      <c r="T854" s="44"/>
      <c r="U854" s="44"/>
      <c r="V854" s="44"/>
      <c r="W854" s="44"/>
      <c r="X854" s="44"/>
    </row>
    <row r="855" spans="1:24" s="41" customFormat="1">
      <c r="A855" s="42">
        <v>46322</v>
      </c>
      <c r="B855" s="43" t="s">
        <v>13</v>
      </c>
      <c r="C855" s="44"/>
      <c r="D855" s="44"/>
      <c r="E855" s="44"/>
      <c r="F855" s="44"/>
      <c r="G855" s="44"/>
      <c r="H855" s="44"/>
      <c r="I855" s="44"/>
      <c r="J855" s="44"/>
      <c r="K855" s="44"/>
      <c r="L855" s="44"/>
      <c r="M855" s="44">
        <f t="shared" si="13"/>
        <v>0</v>
      </c>
      <c r="N855" s="45">
        <v>0</v>
      </c>
      <c r="O855" s="44"/>
      <c r="P855" s="44"/>
      <c r="Q855" s="44"/>
      <c r="R855" s="44"/>
      <c r="S855" s="44"/>
      <c r="T855" s="44"/>
      <c r="U855" s="44"/>
      <c r="V855" s="44"/>
      <c r="W855" s="44"/>
      <c r="X855" s="44"/>
    </row>
    <row r="856" spans="1:24" s="41" customFormat="1">
      <c r="A856" s="42">
        <v>46323</v>
      </c>
      <c r="B856" s="43" t="s">
        <v>13</v>
      </c>
      <c r="C856" s="44"/>
      <c r="D856" s="44"/>
      <c r="E856" s="44"/>
      <c r="F856" s="44"/>
      <c r="G856" s="44"/>
      <c r="H856" s="44"/>
      <c r="I856" s="44"/>
      <c r="J856" s="44"/>
      <c r="K856" s="44"/>
      <c r="L856" s="44"/>
      <c r="M856" s="44">
        <f t="shared" si="13"/>
        <v>0</v>
      </c>
      <c r="N856" s="45">
        <v>0</v>
      </c>
      <c r="O856" s="44"/>
      <c r="P856" s="44"/>
      <c r="Q856" s="44"/>
      <c r="R856" s="44"/>
      <c r="S856" s="44"/>
      <c r="T856" s="44"/>
      <c r="U856" s="44"/>
      <c r="V856" s="44"/>
      <c r="W856" s="44"/>
      <c r="X856" s="44"/>
    </row>
    <row r="857" spans="1:24" s="41" customFormat="1">
      <c r="A857" s="42">
        <v>46324</v>
      </c>
      <c r="B857" s="43" t="s">
        <v>13</v>
      </c>
      <c r="C857" s="44"/>
      <c r="D857" s="44"/>
      <c r="E857" s="44"/>
      <c r="F857" s="44"/>
      <c r="G857" s="44"/>
      <c r="H857" s="44"/>
      <c r="I857" s="44"/>
      <c r="J857" s="44"/>
      <c r="K857" s="44"/>
      <c r="L857" s="44"/>
      <c r="M857" s="44">
        <f t="shared" si="13"/>
        <v>0</v>
      </c>
      <c r="N857" s="45">
        <v>0</v>
      </c>
      <c r="O857" s="44"/>
      <c r="P857" s="44"/>
      <c r="Q857" s="44"/>
      <c r="R857" s="44"/>
      <c r="S857" s="44"/>
      <c r="T857" s="44"/>
      <c r="U857" s="44"/>
      <c r="V857" s="44"/>
      <c r="W857" s="44"/>
      <c r="X857" s="44"/>
    </row>
    <row r="858" spans="1:24" s="41" customFormat="1">
      <c r="A858" s="42">
        <v>46325</v>
      </c>
      <c r="B858" s="43" t="s">
        <v>13</v>
      </c>
      <c r="C858" s="44"/>
      <c r="D858" s="44"/>
      <c r="E858" s="44"/>
      <c r="F858" s="44"/>
      <c r="G858" s="44"/>
      <c r="H858" s="44"/>
      <c r="I858" s="44"/>
      <c r="J858" s="44"/>
      <c r="K858" s="44"/>
      <c r="L858" s="44"/>
      <c r="M858" s="44">
        <f t="shared" si="13"/>
        <v>0</v>
      </c>
      <c r="N858" s="45">
        <v>0</v>
      </c>
      <c r="O858" s="44"/>
      <c r="P858" s="44"/>
      <c r="Q858" s="44"/>
      <c r="R858" s="44"/>
      <c r="S858" s="44"/>
      <c r="T858" s="44"/>
      <c r="U858" s="44"/>
      <c r="V858" s="44"/>
      <c r="W858" s="44"/>
      <c r="X858" s="44"/>
    </row>
    <row r="859" spans="1:24" s="41" customFormat="1">
      <c r="A859" s="42">
        <v>46326</v>
      </c>
      <c r="B859" s="43" t="s">
        <v>13</v>
      </c>
      <c r="C859" s="44"/>
      <c r="D859" s="44"/>
      <c r="E859" s="44"/>
      <c r="F859" s="44"/>
      <c r="G859" s="44"/>
      <c r="H859" s="44"/>
      <c r="I859" s="44"/>
      <c r="J859" s="44"/>
      <c r="K859" s="44"/>
      <c r="L859" s="44"/>
      <c r="M859" s="44">
        <f t="shared" si="13"/>
        <v>0</v>
      </c>
      <c r="N859" s="45">
        <v>0</v>
      </c>
      <c r="O859" s="44"/>
      <c r="P859" s="44"/>
      <c r="Q859" s="44"/>
      <c r="R859" s="44"/>
      <c r="S859" s="44"/>
      <c r="T859" s="44"/>
      <c r="U859" s="44"/>
      <c r="V859" s="44"/>
      <c r="W859" s="44"/>
      <c r="X859" s="44"/>
    </row>
    <row r="860" spans="1:24" s="41" customFormat="1">
      <c r="A860" s="42">
        <v>46327</v>
      </c>
      <c r="B860" s="43" t="s">
        <v>13</v>
      </c>
      <c r="C860" s="44"/>
      <c r="D860" s="44"/>
      <c r="E860" s="44"/>
      <c r="F860" s="44"/>
      <c r="G860" s="44"/>
      <c r="H860" s="44"/>
      <c r="I860" s="44"/>
      <c r="J860" s="44"/>
      <c r="K860" s="44"/>
      <c r="L860" s="44"/>
      <c r="M860" s="44">
        <f t="shared" si="13"/>
        <v>0</v>
      </c>
      <c r="N860" s="45">
        <v>0</v>
      </c>
      <c r="O860" s="44"/>
      <c r="P860" s="44"/>
      <c r="Q860" s="44"/>
      <c r="R860" s="44"/>
      <c r="S860" s="44"/>
      <c r="T860" s="44"/>
      <c r="U860" s="44"/>
      <c r="V860" s="44"/>
      <c r="W860" s="44"/>
      <c r="X860" s="44"/>
    </row>
    <row r="861" spans="1:24" s="41" customFormat="1">
      <c r="A861" s="42">
        <v>46328</v>
      </c>
      <c r="B861" s="43" t="s">
        <v>13</v>
      </c>
      <c r="C861" s="44"/>
      <c r="D861" s="44"/>
      <c r="E861" s="44"/>
      <c r="F861" s="44"/>
      <c r="G861" s="44"/>
      <c r="H861" s="44"/>
      <c r="I861" s="44"/>
      <c r="J861" s="44"/>
      <c r="K861" s="44"/>
      <c r="L861" s="44"/>
      <c r="M861" s="44">
        <f t="shared" si="13"/>
        <v>0</v>
      </c>
      <c r="N861" s="45">
        <v>0</v>
      </c>
      <c r="O861" s="44"/>
      <c r="P861" s="44"/>
      <c r="Q861" s="44"/>
      <c r="R861" s="44"/>
      <c r="S861" s="44"/>
      <c r="T861" s="44"/>
      <c r="U861" s="44"/>
      <c r="V861" s="44"/>
      <c r="W861" s="44"/>
      <c r="X861" s="44"/>
    </row>
    <row r="862" spans="1:24" s="41" customFormat="1">
      <c r="A862" s="42">
        <v>46329</v>
      </c>
      <c r="B862" s="43" t="s">
        <v>13</v>
      </c>
      <c r="C862" s="44"/>
      <c r="D862" s="44"/>
      <c r="E862" s="44"/>
      <c r="F862" s="44"/>
      <c r="G862" s="44"/>
      <c r="H862" s="44"/>
      <c r="I862" s="44"/>
      <c r="J862" s="44"/>
      <c r="K862" s="44"/>
      <c r="L862" s="44"/>
      <c r="M862" s="44">
        <f t="shared" si="13"/>
        <v>0</v>
      </c>
      <c r="N862" s="45">
        <v>0</v>
      </c>
      <c r="O862" s="44"/>
      <c r="P862" s="44"/>
      <c r="Q862" s="44"/>
      <c r="R862" s="44"/>
      <c r="S862" s="44"/>
      <c r="T862" s="44"/>
      <c r="U862" s="44"/>
      <c r="V862" s="44"/>
      <c r="W862" s="44"/>
      <c r="X862" s="44"/>
    </row>
    <row r="863" spans="1:24" s="41" customFormat="1">
      <c r="A863" s="42">
        <v>46330</v>
      </c>
      <c r="B863" s="43" t="s">
        <v>13</v>
      </c>
      <c r="C863" s="44"/>
      <c r="D863" s="44"/>
      <c r="E863" s="44"/>
      <c r="F863" s="44"/>
      <c r="G863" s="44"/>
      <c r="H863" s="44"/>
      <c r="I863" s="44"/>
      <c r="J863" s="44"/>
      <c r="K863" s="44"/>
      <c r="L863" s="44"/>
      <c r="M863" s="44">
        <f t="shared" si="13"/>
        <v>0</v>
      </c>
      <c r="N863" s="45">
        <v>0</v>
      </c>
      <c r="O863" s="44"/>
      <c r="P863" s="44"/>
      <c r="Q863" s="44"/>
      <c r="R863" s="44"/>
      <c r="S863" s="44"/>
      <c r="T863" s="44"/>
      <c r="U863" s="44"/>
      <c r="V863" s="44"/>
      <c r="W863" s="44"/>
      <c r="X863" s="44"/>
    </row>
    <row r="864" spans="1:24" s="41" customFormat="1">
      <c r="A864" s="42">
        <v>46331</v>
      </c>
      <c r="B864" s="43" t="s">
        <v>13</v>
      </c>
      <c r="C864" s="44"/>
      <c r="D864" s="44"/>
      <c r="E864" s="44"/>
      <c r="F864" s="44"/>
      <c r="G864" s="44"/>
      <c r="H864" s="44"/>
      <c r="I864" s="44"/>
      <c r="J864" s="44"/>
      <c r="K864" s="44"/>
      <c r="L864" s="44"/>
      <c r="M864" s="44">
        <f t="shared" si="13"/>
        <v>0</v>
      </c>
      <c r="N864" s="45">
        <v>0</v>
      </c>
      <c r="O864" s="44"/>
      <c r="P864" s="44"/>
      <c r="Q864" s="44"/>
      <c r="R864" s="44"/>
      <c r="S864" s="44"/>
      <c r="T864" s="44"/>
      <c r="U864" s="44"/>
      <c r="V864" s="44"/>
      <c r="W864" s="44"/>
      <c r="X864" s="44"/>
    </row>
    <row r="865" spans="1:24" s="41" customFormat="1">
      <c r="A865" s="42">
        <v>46332</v>
      </c>
      <c r="B865" s="43" t="s">
        <v>13</v>
      </c>
      <c r="C865" s="44"/>
      <c r="D865" s="44"/>
      <c r="E865" s="44"/>
      <c r="F865" s="44"/>
      <c r="G865" s="44"/>
      <c r="H865" s="44"/>
      <c r="I865" s="44"/>
      <c r="J865" s="44"/>
      <c r="K865" s="44"/>
      <c r="L865" s="44"/>
      <c r="M865" s="44">
        <f t="shared" si="13"/>
        <v>0</v>
      </c>
      <c r="N865" s="45">
        <v>0</v>
      </c>
      <c r="O865" s="44"/>
      <c r="P865" s="44"/>
      <c r="Q865" s="44"/>
      <c r="R865" s="44"/>
      <c r="S865" s="44"/>
      <c r="T865" s="44"/>
      <c r="U865" s="44"/>
      <c r="V865" s="44"/>
      <c r="W865" s="44"/>
      <c r="X865" s="44"/>
    </row>
    <row r="866" spans="1:24" s="41" customFormat="1">
      <c r="A866" s="42">
        <v>46333</v>
      </c>
      <c r="B866" s="43" t="s">
        <v>13</v>
      </c>
      <c r="C866" s="44"/>
      <c r="D866" s="44"/>
      <c r="E866" s="44"/>
      <c r="F866" s="44"/>
      <c r="G866" s="44"/>
      <c r="H866" s="44"/>
      <c r="I866" s="44"/>
      <c r="J866" s="44"/>
      <c r="K866" s="44"/>
      <c r="L866" s="44"/>
      <c r="M866" s="44">
        <f t="shared" si="13"/>
        <v>0</v>
      </c>
      <c r="N866" s="45">
        <v>0</v>
      </c>
      <c r="O866" s="44"/>
      <c r="P866" s="44"/>
      <c r="Q866" s="44"/>
      <c r="R866" s="44"/>
      <c r="S866" s="44"/>
      <c r="T866" s="44"/>
      <c r="U866" s="44"/>
      <c r="V866" s="44"/>
      <c r="W866" s="44"/>
      <c r="X866" s="44"/>
    </row>
    <row r="867" spans="1:24" s="41" customFormat="1">
      <c r="A867" s="42">
        <v>46334</v>
      </c>
      <c r="B867" s="43" t="s">
        <v>13</v>
      </c>
      <c r="C867" s="44"/>
      <c r="D867" s="44"/>
      <c r="E867" s="44"/>
      <c r="F867" s="44"/>
      <c r="G867" s="44"/>
      <c r="H867" s="44"/>
      <c r="I867" s="44"/>
      <c r="J867" s="44"/>
      <c r="K867" s="44"/>
      <c r="L867" s="44"/>
      <c r="M867" s="44">
        <f t="shared" si="13"/>
        <v>0</v>
      </c>
      <c r="N867" s="45">
        <v>0</v>
      </c>
      <c r="O867" s="44"/>
      <c r="P867" s="44"/>
      <c r="Q867" s="44"/>
      <c r="R867" s="44"/>
      <c r="S867" s="44"/>
      <c r="T867" s="44"/>
      <c r="U867" s="44"/>
      <c r="V867" s="44"/>
      <c r="W867" s="44"/>
      <c r="X867" s="44"/>
    </row>
    <row r="868" spans="1:24" s="41" customFormat="1">
      <c r="A868" s="42">
        <v>46335</v>
      </c>
      <c r="B868" s="43" t="s">
        <v>13</v>
      </c>
      <c r="C868" s="44"/>
      <c r="D868" s="44"/>
      <c r="E868" s="44"/>
      <c r="F868" s="44"/>
      <c r="G868" s="44"/>
      <c r="H868" s="44"/>
      <c r="I868" s="44"/>
      <c r="J868" s="44"/>
      <c r="K868" s="44"/>
      <c r="L868" s="44"/>
      <c r="M868" s="44">
        <f t="shared" si="13"/>
        <v>0</v>
      </c>
      <c r="N868" s="45">
        <v>0</v>
      </c>
      <c r="O868" s="44"/>
      <c r="P868" s="44"/>
      <c r="Q868" s="44"/>
      <c r="R868" s="44"/>
      <c r="S868" s="44"/>
      <c r="T868" s="44"/>
      <c r="U868" s="44"/>
      <c r="V868" s="44"/>
      <c r="W868" s="44"/>
      <c r="X868" s="44"/>
    </row>
    <row r="869" spans="1:24" s="41" customFormat="1">
      <c r="A869" s="42">
        <v>46336</v>
      </c>
      <c r="B869" s="43" t="s">
        <v>13</v>
      </c>
      <c r="C869" s="44"/>
      <c r="D869" s="44"/>
      <c r="E869" s="44"/>
      <c r="F869" s="44"/>
      <c r="G869" s="44"/>
      <c r="H869" s="44"/>
      <c r="I869" s="44"/>
      <c r="J869" s="44"/>
      <c r="K869" s="44"/>
      <c r="L869" s="44"/>
      <c r="M869" s="44">
        <f t="shared" si="13"/>
        <v>0</v>
      </c>
      <c r="N869" s="45">
        <v>0</v>
      </c>
      <c r="O869" s="44"/>
      <c r="P869" s="44"/>
      <c r="Q869" s="44"/>
      <c r="R869" s="44"/>
      <c r="S869" s="44"/>
      <c r="T869" s="44"/>
      <c r="U869" s="44"/>
      <c r="V869" s="44"/>
      <c r="W869" s="44"/>
      <c r="X869" s="44"/>
    </row>
    <row r="870" spans="1:24" s="41" customFormat="1">
      <c r="A870" s="42">
        <v>46337</v>
      </c>
      <c r="B870" s="43" t="s">
        <v>13</v>
      </c>
      <c r="C870" s="44"/>
      <c r="D870" s="44"/>
      <c r="E870" s="44"/>
      <c r="F870" s="44"/>
      <c r="G870" s="44"/>
      <c r="H870" s="44"/>
      <c r="I870" s="44"/>
      <c r="J870" s="44"/>
      <c r="K870" s="44"/>
      <c r="L870" s="44"/>
      <c r="M870" s="44">
        <f t="shared" si="13"/>
        <v>0</v>
      </c>
      <c r="N870" s="45">
        <v>0</v>
      </c>
      <c r="O870" s="44"/>
      <c r="P870" s="44"/>
      <c r="Q870" s="44"/>
      <c r="R870" s="44"/>
      <c r="S870" s="44"/>
      <c r="T870" s="44"/>
      <c r="U870" s="44"/>
      <c r="V870" s="44"/>
      <c r="W870" s="44"/>
      <c r="X870" s="44"/>
    </row>
    <row r="871" spans="1:24" s="41" customFormat="1">
      <c r="A871" s="42">
        <v>46338</v>
      </c>
      <c r="B871" s="43" t="s">
        <v>13</v>
      </c>
      <c r="C871" s="44"/>
      <c r="D871" s="44"/>
      <c r="E871" s="44"/>
      <c r="F871" s="44"/>
      <c r="G871" s="44"/>
      <c r="H871" s="44"/>
      <c r="I871" s="44"/>
      <c r="J871" s="44"/>
      <c r="K871" s="44"/>
      <c r="L871" s="44"/>
      <c r="M871" s="44">
        <f t="shared" si="13"/>
        <v>0</v>
      </c>
      <c r="N871" s="45">
        <v>0</v>
      </c>
      <c r="O871" s="44"/>
      <c r="P871" s="44"/>
      <c r="Q871" s="44"/>
      <c r="R871" s="44"/>
      <c r="S871" s="44"/>
      <c r="T871" s="44"/>
      <c r="U871" s="44"/>
      <c r="V871" s="44"/>
      <c r="W871" s="44"/>
      <c r="X871" s="44"/>
    </row>
    <row r="872" spans="1:24" s="41" customFormat="1">
      <c r="A872" s="42">
        <v>46339</v>
      </c>
      <c r="B872" s="43" t="s">
        <v>13</v>
      </c>
      <c r="C872" s="44"/>
      <c r="D872" s="44"/>
      <c r="E872" s="44"/>
      <c r="F872" s="44"/>
      <c r="G872" s="44"/>
      <c r="H872" s="44"/>
      <c r="I872" s="44"/>
      <c r="J872" s="44"/>
      <c r="K872" s="44"/>
      <c r="L872" s="44"/>
      <c r="M872" s="44">
        <f t="shared" si="13"/>
        <v>0</v>
      </c>
      <c r="N872" s="45">
        <v>0</v>
      </c>
      <c r="O872" s="44"/>
      <c r="P872" s="44"/>
      <c r="Q872" s="44"/>
      <c r="R872" s="44"/>
      <c r="S872" s="44"/>
      <c r="T872" s="44"/>
      <c r="U872" s="44"/>
      <c r="V872" s="44"/>
      <c r="W872" s="44"/>
      <c r="X872" s="44"/>
    </row>
    <row r="873" spans="1:24" s="41" customFormat="1">
      <c r="A873" s="42">
        <v>46340</v>
      </c>
      <c r="B873" s="43" t="s">
        <v>13</v>
      </c>
      <c r="C873" s="44"/>
      <c r="D873" s="44"/>
      <c r="E873" s="44"/>
      <c r="F873" s="44"/>
      <c r="G873" s="44"/>
      <c r="H873" s="44"/>
      <c r="I873" s="44"/>
      <c r="J873" s="44"/>
      <c r="K873" s="44"/>
      <c r="L873" s="44"/>
      <c r="M873" s="44">
        <f t="shared" si="13"/>
        <v>0</v>
      </c>
      <c r="N873" s="45">
        <v>0</v>
      </c>
      <c r="O873" s="44"/>
      <c r="P873" s="44"/>
      <c r="Q873" s="44"/>
      <c r="R873" s="44"/>
      <c r="S873" s="44"/>
      <c r="T873" s="44"/>
      <c r="U873" s="44"/>
      <c r="V873" s="44"/>
      <c r="W873" s="44"/>
      <c r="X873" s="44"/>
    </row>
    <row r="874" spans="1:24" s="41" customFormat="1">
      <c r="A874" s="42">
        <v>46341</v>
      </c>
      <c r="B874" s="43" t="s">
        <v>13</v>
      </c>
      <c r="C874" s="44"/>
      <c r="D874" s="44"/>
      <c r="E874" s="44"/>
      <c r="F874" s="44"/>
      <c r="G874" s="44"/>
      <c r="H874" s="44"/>
      <c r="I874" s="44"/>
      <c r="J874" s="44"/>
      <c r="K874" s="44"/>
      <c r="L874" s="44"/>
      <c r="M874" s="44">
        <f t="shared" si="13"/>
        <v>0</v>
      </c>
      <c r="N874" s="45">
        <v>0</v>
      </c>
      <c r="O874" s="44"/>
      <c r="P874" s="44"/>
      <c r="Q874" s="44"/>
      <c r="R874" s="44"/>
      <c r="S874" s="44"/>
      <c r="T874" s="44"/>
      <c r="U874" s="44"/>
      <c r="V874" s="44"/>
      <c r="W874" s="44"/>
      <c r="X874" s="44"/>
    </row>
    <row r="875" spans="1:24" s="41" customFormat="1">
      <c r="A875" s="42">
        <v>46342</v>
      </c>
      <c r="B875" s="43" t="s">
        <v>13</v>
      </c>
      <c r="C875" s="44"/>
      <c r="D875" s="44"/>
      <c r="E875" s="44"/>
      <c r="F875" s="44"/>
      <c r="G875" s="44"/>
      <c r="H875" s="44"/>
      <c r="I875" s="44"/>
      <c r="J875" s="44"/>
      <c r="K875" s="44"/>
      <c r="L875" s="44"/>
      <c r="M875" s="44">
        <f t="shared" si="13"/>
        <v>0</v>
      </c>
      <c r="N875" s="45">
        <v>0</v>
      </c>
      <c r="O875" s="44"/>
      <c r="P875" s="44"/>
      <c r="Q875" s="44"/>
      <c r="R875" s="44"/>
      <c r="S875" s="44"/>
      <c r="T875" s="44"/>
      <c r="U875" s="44"/>
      <c r="V875" s="44"/>
      <c r="W875" s="44"/>
      <c r="X875" s="44"/>
    </row>
    <row r="876" spans="1:24" s="41" customFormat="1">
      <c r="A876" s="42">
        <v>46343</v>
      </c>
      <c r="B876" s="43" t="s">
        <v>13</v>
      </c>
      <c r="C876" s="44"/>
      <c r="D876" s="44"/>
      <c r="E876" s="44"/>
      <c r="F876" s="44"/>
      <c r="G876" s="44"/>
      <c r="H876" s="44"/>
      <c r="I876" s="44"/>
      <c r="J876" s="44"/>
      <c r="K876" s="44"/>
      <c r="L876" s="44"/>
      <c r="M876" s="44">
        <f t="shared" si="13"/>
        <v>0</v>
      </c>
      <c r="N876" s="45">
        <v>0</v>
      </c>
      <c r="O876" s="44"/>
      <c r="P876" s="44"/>
      <c r="Q876" s="44"/>
      <c r="R876" s="44"/>
      <c r="S876" s="44"/>
      <c r="T876" s="44"/>
      <c r="U876" s="44"/>
      <c r="V876" s="44"/>
      <c r="W876" s="44"/>
      <c r="X876" s="44"/>
    </row>
    <row r="877" spans="1:24" s="41" customFormat="1">
      <c r="A877" s="42">
        <v>46344</v>
      </c>
      <c r="B877" s="43" t="s">
        <v>13</v>
      </c>
      <c r="C877" s="44"/>
      <c r="D877" s="44"/>
      <c r="E877" s="44"/>
      <c r="F877" s="44"/>
      <c r="G877" s="44"/>
      <c r="H877" s="44"/>
      <c r="I877" s="44"/>
      <c r="J877" s="44"/>
      <c r="K877" s="44"/>
      <c r="L877" s="44"/>
      <c r="M877" s="44">
        <f t="shared" si="13"/>
        <v>0</v>
      </c>
      <c r="N877" s="45">
        <v>0</v>
      </c>
      <c r="O877" s="44"/>
      <c r="P877" s="44"/>
      <c r="Q877" s="44"/>
      <c r="R877" s="44"/>
      <c r="S877" s="44"/>
      <c r="T877" s="44"/>
      <c r="U877" s="44"/>
      <c r="V877" s="44"/>
      <c r="W877" s="44"/>
      <c r="X877" s="44"/>
    </row>
    <row r="878" spans="1:24" s="41" customFormat="1">
      <c r="A878" s="42">
        <v>46345</v>
      </c>
      <c r="B878" s="43" t="s">
        <v>13</v>
      </c>
      <c r="C878" s="44"/>
      <c r="D878" s="44"/>
      <c r="E878" s="44"/>
      <c r="F878" s="44"/>
      <c r="G878" s="44"/>
      <c r="H878" s="44"/>
      <c r="I878" s="44"/>
      <c r="J878" s="44"/>
      <c r="K878" s="44"/>
      <c r="L878" s="44"/>
      <c r="M878" s="44">
        <f t="shared" si="13"/>
        <v>0</v>
      </c>
      <c r="N878" s="45">
        <v>0</v>
      </c>
      <c r="O878" s="44"/>
      <c r="P878" s="44"/>
      <c r="Q878" s="44"/>
      <c r="R878" s="44"/>
      <c r="S878" s="44"/>
      <c r="T878" s="44"/>
      <c r="U878" s="44"/>
      <c r="V878" s="44"/>
      <c r="W878" s="44"/>
      <c r="X878" s="44"/>
    </row>
    <row r="879" spans="1:24" s="41" customFormat="1">
      <c r="A879" s="42">
        <v>46346</v>
      </c>
      <c r="B879" s="43" t="s">
        <v>13</v>
      </c>
      <c r="C879" s="44"/>
      <c r="D879" s="44"/>
      <c r="E879" s="44"/>
      <c r="F879" s="44"/>
      <c r="G879" s="44"/>
      <c r="H879" s="44"/>
      <c r="I879" s="44"/>
      <c r="J879" s="44"/>
      <c r="K879" s="44"/>
      <c r="L879" s="44"/>
      <c r="M879" s="44">
        <f t="shared" si="13"/>
        <v>0</v>
      </c>
      <c r="N879" s="45">
        <v>0</v>
      </c>
      <c r="O879" s="44"/>
      <c r="P879" s="44"/>
      <c r="Q879" s="44"/>
      <c r="R879" s="44"/>
      <c r="S879" s="44"/>
      <c r="T879" s="44"/>
      <c r="U879" s="44"/>
      <c r="V879" s="44"/>
      <c r="W879" s="44"/>
      <c r="X879" s="44"/>
    </row>
    <row r="880" spans="1:24" s="41" customFormat="1">
      <c r="A880" s="42">
        <v>46347</v>
      </c>
      <c r="B880" s="43" t="s">
        <v>13</v>
      </c>
      <c r="C880" s="44"/>
      <c r="D880" s="44"/>
      <c r="E880" s="44"/>
      <c r="F880" s="44"/>
      <c r="G880" s="44"/>
      <c r="H880" s="44"/>
      <c r="I880" s="44"/>
      <c r="J880" s="44"/>
      <c r="K880" s="44"/>
      <c r="L880" s="44"/>
      <c r="M880" s="44">
        <f t="shared" si="13"/>
        <v>0</v>
      </c>
      <c r="N880" s="45">
        <v>0</v>
      </c>
      <c r="O880" s="44"/>
      <c r="P880" s="44"/>
      <c r="Q880" s="44"/>
      <c r="R880" s="44"/>
      <c r="S880" s="44"/>
      <c r="T880" s="44"/>
      <c r="U880" s="44"/>
      <c r="V880" s="44"/>
      <c r="W880" s="44"/>
      <c r="X880" s="44"/>
    </row>
    <row r="881" spans="1:24" s="41" customFormat="1">
      <c r="A881" s="42">
        <v>46348</v>
      </c>
      <c r="B881" s="43" t="s">
        <v>13</v>
      </c>
      <c r="C881" s="44"/>
      <c r="D881" s="44"/>
      <c r="E881" s="44"/>
      <c r="F881" s="44"/>
      <c r="G881" s="44"/>
      <c r="H881" s="44"/>
      <c r="I881" s="44"/>
      <c r="J881" s="44"/>
      <c r="K881" s="44"/>
      <c r="L881" s="44"/>
      <c r="M881" s="44">
        <f t="shared" si="13"/>
        <v>0</v>
      </c>
      <c r="N881" s="45">
        <v>0</v>
      </c>
      <c r="O881" s="44"/>
      <c r="P881" s="44"/>
      <c r="Q881" s="44"/>
      <c r="R881" s="44"/>
      <c r="S881" s="44"/>
      <c r="T881" s="44"/>
      <c r="U881" s="44"/>
      <c r="V881" s="44"/>
      <c r="W881" s="44"/>
      <c r="X881" s="44"/>
    </row>
    <row r="882" spans="1:24" s="41" customFormat="1">
      <c r="A882" s="42">
        <v>46349</v>
      </c>
      <c r="B882" s="43" t="s">
        <v>13</v>
      </c>
      <c r="C882" s="44"/>
      <c r="D882" s="44"/>
      <c r="E882" s="44"/>
      <c r="F882" s="44"/>
      <c r="G882" s="44"/>
      <c r="H882" s="44"/>
      <c r="I882" s="44"/>
      <c r="J882" s="44"/>
      <c r="K882" s="44"/>
      <c r="L882" s="44"/>
      <c r="M882" s="44">
        <f t="shared" si="13"/>
        <v>0</v>
      </c>
      <c r="N882" s="45">
        <v>0</v>
      </c>
      <c r="O882" s="44"/>
      <c r="P882" s="44"/>
      <c r="Q882" s="44"/>
      <c r="R882" s="44"/>
      <c r="S882" s="44"/>
      <c r="T882" s="44"/>
      <c r="U882" s="44"/>
      <c r="V882" s="44"/>
      <c r="W882" s="44"/>
      <c r="X882" s="44"/>
    </row>
    <row r="883" spans="1:24" s="41" customFormat="1">
      <c r="A883" s="42">
        <v>46350</v>
      </c>
      <c r="B883" s="43" t="s">
        <v>13</v>
      </c>
      <c r="C883" s="44"/>
      <c r="D883" s="44"/>
      <c r="E883" s="44"/>
      <c r="F883" s="44"/>
      <c r="G883" s="44"/>
      <c r="H883" s="44"/>
      <c r="I883" s="44"/>
      <c r="J883" s="44"/>
      <c r="K883" s="44"/>
      <c r="L883" s="44"/>
      <c r="M883" s="44">
        <f t="shared" si="13"/>
        <v>0</v>
      </c>
      <c r="N883" s="45">
        <v>0</v>
      </c>
      <c r="O883" s="44"/>
      <c r="P883" s="44"/>
      <c r="Q883" s="44"/>
      <c r="R883" s="44"/>
      <c r="S883" s="44"/>
      <c r="T883" s="44"/>
      <c r="U883" s="44"/>
      <c r="V883" s="44"/>
      <c r="W883" s="44"/>
      <c r="X883" s="44"/>
    </row>
    <row r="884" spans="1:24" s="41" customFormat="1">
      <c r="A884" s="42">
        <v>46351</v>
      </c>
      <c r="B884" s="43" t="s">
        <v>13</v>
      </c>
      <c r="C884" s="44"/>
      <c r="D884" s="44"/>
      <c r="E884" s="44"/>
      <c r="F884" s="44"/>
      <c r="G884" s="44"/>
      <c r="H884" s="44"/>
      <c r="I884" s="44"/>
      <c r="J884" s="44"/>
      <c r="K884" s="44"/>
      <c r="L884" s="44"/>
      <c r="M884" s="44">
        <f t="shared" si="13"/>
        <v>0</v>
      </c>
      <c r="N884" s="45">
        <v>0</v>
      </c>
      <c r="O884" s="44"/>
      <c r="P884" s="44"/>
      <c r="Q884" s="44"/>
      <c r="R884" s="44"/>
      <c r="S884" s="44"/>
      <c r="T884" s="44"/>
      <c r="U884" s="44"/>
      <c r="V884" s="44"/>
      <c r="W884" s="44"/>
      <c r="X884" s="44"/>
    </row>
    <row r="885" spans="1:24" s="41" customFormat="1">
      <c r="A885" s="42">
        <v>46352</v>
      </c>
      <c r="B885" s="43" t="s">
        <v>13</v>
      </c>
      <c r="C885" s="44"/>
      <c r="D885" s="44"/>
      <c r="E885" s="44"/>
      <c r="F885" s="44"/>
      <c r="G885" s="44"/>
      <c r="H885" s="44"/>
      <c r="I885" s="44"/>
      <c r="J885" s="44"/>
      <c r="K885" s="44"/>
      <c r="L885" s="44"/>
      <c r="M885" s="44">
        <f t="shared" si="13"/>
        <v>0</v>
      </c>
      <c r="N885" s="45">
        <v>0</v>
      </c>
      <c r="O885" s="44"/>
      <c r="P885" s="44"/>
      <c r="Q885" s="44"/>
      <c r="R885" s="44"/>
      <c r="S885" s="44"/>
      <c r="T885" s="44"/>
      <c r="U885" s="44"/>
      <c r="V885" s="44"/>
      <c r="W885" s="44"/>
      <c r="X885" s="44"/>
    </row>
    <row r="886" spans="1:24" s="41" customFormat="1">
      <c r="A886" s="42">
        <v>46353</v>
      </c>
      <c r="B886" s="43" t="s">
        <v>13</v>
      </c>
      <c r="C886" s="44"/>
      <c r="D886" s="44"/>
      <c r="E886" s="44"/>
      <c r="F886" s="44"/>
      <c r="G886" s="44"/>
      <c r="H886" s="44"/>
      <c r="I886" s="44"/>
      <c r="J886" s="44"/>
      <c r="K886" s="44"/>
      <c r="L886" s="44"/>
      <c r="M886" s="44">
        <f t="shared" si="13"/>
        <v>0</v>
      </c>
      <c r="N886" s="45">
        <v>0</v>
      </c>
      <c r="O886" s="44"/>
      <c r="P886" s="44"/>
      <c r="Q886" s="44"/>
      <c r="R886" s="44"/>
      <c r="S886" s="44"/>
      <c r="T886" s="44"/>
      <c r="U886" s="44"/>
      <c r="V886" s="44"/>
      <c r="W886" s="44"/>
      <c r="X886" s="44"/>
    </row>
    <row r="887" spans="1:24" s="41" customFormat="1">
      <c r="A887" s="42">
        <v>46354</v>
      </c>
      <c r="B887" s="43" t="s">
        <v>13</v>
      </c>
      <c r="C887" s="44"/>
      <c r="D887" s="44"/>
      <c r="E887" s="44"/>
      <c r="F887" s="44"/>
      <c r="G887" s="44"/>
      <c r="H887" s="44"/>
      <c r="I887" s="44"/>
      <c r="J887" s="44"/>
      <c r="K887" s="44"/>
      <c r="L887" s="44"/>
      <c r="M887" s="44">
        <f t="shared" si="13"/>
        <v>0</v>
      </c>
      <c r="N887" s="45">
        <v>0</v>
      </c>
      <c r="O887" s="44"/>
      <c r="P887" s="44"/>
      <c r="Q887" s="44"/>
      <c r="R887" s="44"/>
      <c r="S887" s="44"/>
      <c r="T887" s="44"/>
      <c r="U887" s="44"/>
      <c r="V887" s="44"/>
      <c r="W887" s="44"/>
      <c r="X887" s="44"/>
    </row>
    <row r="888" spans="1:24" s="41" customFormat="1">
      <c r="A888" s="42">
        <v>46355</v>
      </c>
      <c r="B888" s="43" t="s">
        <v>13</v>
      </c>
      <c r="C888" s="44"/>
      <c r="D888" s="44"/>
      <c r="E888" s="44"/>
      <c r="F888" s="44"/>
      <c r="G888" s="44"/>
      <c r="H888" s="44"/>
      <c r="I888" s="44"/>
      <c r="J888" s="44"/>
      <c r="K888" s="44"/>
      <c r="L888" s="44"/>
      <c r="M888" s="44">
        <f t="shared" si="13"/>
        <v>0</v>
      </c>
      <c r="N888" s="45">
        <v>0</v>
      </c>
      <c r="O888" s="44"/>
      <c r="P888" s="44"/>
      <c r="Q888" s="44"/>
      <c r="R888" s="44"/>
      <c r="S888" s="44"/>
      <c r="T888" s="44"/>
      <c r="U888" s="44"/>
      <c r="V888" s="44"/>
      <c r="W888" s="44"/>
      <c r="X888" s="44"/>
    </row>
    <row r="889" spans="1:24" s="41" customFormat="1">
      <c r="A889" s="42">
        <v>46356</v>
      </c>
      <c r="B889" s="43" t="s">
        <v>13</v>
      </c>
      <c r="C889" s="44"/>
      <c r="D889" s="44"/>
      <c r="E889" s="44"/>
      <c r="F889" s="44"/>
      <c r="G889" s="44"/>
      <c r="H889" s="44"/>
      <c r="I889" s="44"/>
      <c r="J889" s="44"/>
      <c r="K889" s="44"/>
      <c r="L889" s="44"/>
      <c r="M889" s="44">
        <f t="shared" si="13"/>
        <v>0</v>
      </c>
      <c r="N889" s="45">
        <v>0</v>
      </c>
      <c r="O889" s="44"/>
      <c r="P889" s="44"/>
      <c r="Q889" s="44"/>
      <c r="R889" s="44"/>
      <c r="S889" s="44"/>
      <c r="T889" s="44"/>
      <c r="U889" s="44"/>
      <c r="V889" s="44"/>
      <c r="W889" s="44"/>
      <c r="X889" s="44"/>
    </row>
    <row r="890" spans="1:24" s="41" customFormat="1">
      <c r="A890" s="42">
        <v>46357</v>
      </c>
      <c r="B890" s="43" t="s">
        <v>13</v>
      </c>
      <c r="C890" s="44"/>
      <c r="D890" s="44"/>
      <c r="E890" s="44"/>
      <c r="F890" s="44"/>
      <c r="G890" s="44"/>
      <c r="H890" s="44"/>
      <c r="I890" s="44"/>
      <c r="J890" s="44"/>
      <c r="K890" s="44"/>
      <c r="L890" s="44"/>
      <c r="M890" s="44">
        <f t="shared" si="13"/>
        <v>0</v>
      </c>
      <c r="N890" s="45">
        <v>0</v>
      </c>
      <c r="O890" s="44"/>
      <c r="P890" s="44"/>
      <c r="Q890" s="44"/>
      <c r="R890" s="44"/>
      <c r="S890" s="44"/>
      <c r="T890" s="44"/>
      <c r="U890" s="44"/>
      <c r="V890" s="44"/>
      <c r="W890" s="44"/>
      <c r="X890" s="44"/>
    </row>
    <row r="891" spans="1:24" s="41" customFormat="1">
      <c r="A891" s="42">
        <v>46358</v>
      </c>
      <c r="B891" s="43" t="s">
        <v>13</v>
      </c>
      <c r="C891" s="44"/>
      <c r="D891" s="44"/>
      <c r="E891" s="44"/>
      <c r="F891" s="44"/>
      <c r="G891" s="44"/>
      <c r="H891" s="44"/>
      <c r="I891" s="44"/>
      <c r="J891" s="44"/>
      <c r="K891" s="44"/>
      <c r="L891" s="44"/>
      <c r="M891" s="44">
        <f t="shared" si="13"/>
        <v>0</v>
      </c>
      <c r="N891" s="45">
        <v>0</v>
      </c>
      <c r="O891" s="44"/>
      <c r="P891" s="44"/>
      <c r="Q891" s="44"/>
      <c r="R891" s="44"/>
      <c r="S891" s="44"/>
      <c r="T891" s="44"/>
      <c r="U891" s="44"/>
      <c r="V891" s="44"/>
      <c r="W891" s="44"/>
      <c r="X891" s="44"/>
    </row>
    <row r="892" spans="1:24" s="41" customFormat="1">
      <c r="A892" s="42">
        <v>46359</v>
      </c>
      <c r="B892" s="43" t="s">
        <v>13</v>
      </c>
      <c r="C892" s="44"/>
      <c r="D892" s="44"/>
      <c r="E892" s="44"/>
      <c r="F892" s="44"/>
      <c r="G892" s="44"/>
      <c r="H892" s="44"/>
      <c r="I892" s="44"/>
      <c r="J892" s="44"/>
      <c r="K892" s="44"/>
      <c r="L892" s="44"/>
      <c r="M892" s="44">
        <f t="shared" si="13"/>
        <v>0</v>
      </c>
      <c r="N892" s="45">
        <v>0</v>
      </c>
      <c r="O892" s="44"/>
      <c r="P892" s="44"/>
      <c r="Q892" s="44"/>
      <c r="R892" s="44"/>
      <c r="S892" s="44"/>
      <c r="T892" s="44"/>
      <c r="U892" s="44"/>
      <c r="V892" s="44"/>
      <c r="W892" s="44"/>
      <c r="X892" s="44"/>
    </row>
    <row r="893" spans="1:24" s="41" customFormat="1">
      <c r="A893" s="42">
        <v>46360</v>
      </c>
      <c r="B893" s="43" t="s">
        <v>13</v>
      </c>
      <c r="C893" s="44"/>
      <c r="D893" s="44"/>
      <c r="E893" s="44"/>
      <c r="F893" s="44"/>
      <c r="G893" s="44"/>
      <c r="H893" s="44"/>
      <c r="I893" s="44"/>
      <c r="J893" s="44"/>
      <c r="K893" s="44"/>
      <c r="L893" s="44"/>
      <c r="M893" s="44">
        <f t="shared" si="13"/>
        <v>0</v>
      </c>
      <c r="N893" s="45">
        <v>0</v>
      </c>
      <c r="O893" s="44"/>
      <c r="P893" s="44"/>
      <c r="Q893" s="44"/>
      <c r="R893" s="44"/>
      <c r="S893" s="44"/>
      <c r="T893" s="44"/>
      <c r="U893" s="44"/>
      <c r="V893" s="44"/>
      <c r="W893" s="44"/>
      <c r="X893" s="44"/>
    </row>
    <row r="894" spans="1:24" s="41" customFormat="1">
      <c r="A894" s="42">
        <v>46361</v>
      </c>
      <c r="B894" s="43" t="s">
        <v>13</v>
      </c>
      <c r="C894" s="44"/>
      <c r="D894" s="44"/>
      <c r="E894" s="44"/>
      <c r="F894" s="44"/>
      <c r="G894" s="44"/>
      <c r="H894" s="44"/>
      <c r="I894" s="44"/>
      <c r="J894" s="44"/>
      <c r="K894" s="44"/>
      <c r="L894" s="44"/>
      <c r="M894" s="44">
        <f t="shared" si="13"/>
        <v>0</v>
      </c>
      <c r="N894" s="45">
        <v>0</v>
      </c>
      <c r="O894" s="44"/>
      <c r="P894" s="44"/>
      <c r="Q894" s="44"/>
      <c r="R894" s="44"/>
      <c r="S894" s="44"/>
      <c r="T894" s="44"/>
      <c r="U894" s="44"/>
      <c r="V894" s="44"/>
      <c r="W894" s="44"/>
      <c r="X894" s="44"/>
    </row>
    <row r="895" spans="1:24" s="41" customFormat="1">
      <c r="A895" s="42">
        <v>46362</v>
      </c>
      <c r="B895" s="43" t="s">
        <v>13</v>
      </c>
      <c r="C895" s="44"/>
      <c r="D895" s="44"/>
      <c r="E895" s="44"/>
      <c r="F895" s="44"/>
      <c r="G895" s="44"/>
      <c r="H895" s="44"/>
      <c r="I895" s="44"/>
      <c r="J895" s="44"/>
      <c r="K895" s="44"/>
      <c r="L895" s="44"/>
      <c r="M895" s="44">
        <f t="shared" si="13"/>
        <v>0</v>
      </c>
      <c r="N895" s="45">
        <v>0</v>
      </c>
      <c r="O895" s="44"/>
      <c r="P895" s="44"/>
      <c r="Q895" s="44"/>
      <c r="R895" s="44"/>
      <c r="S895" s="44"/>
      <c r="T895" s="44"/>
      <c r="U895" s="44"/>
      <c r="V895" s="44"/>
      <c r="W895" s="44"/>
      <c r="X895" s="44"/>
    </row>
    <row r="896" spans="1:24" s="41" customFormat="1">
      <c r="A896" s="42">
        <v>46363</v>
      </c>
      <c r="B896" s="43" t="s">
        <v>13</v>
      </c>
      <c r="C896" s="44"/>
      <c r="D896" s="44"/>
      <c r="E896" s="44"/>
      <c r="F896" s="44"/>
      <c r="G896" s="44"/>
      <c r="H896" s="44"/>
      <c r="I896" s="44"/>
      <c r="J896" s="44"/>
      <c r="K896" s="44"/>
      <c r="L896" s="44"/>
      <c r="M896" s="44">
        <f t="shared" si="13"/>
        <v>0</v>
      </c>
      <c r="N896" s="45">
        <v>0</v>
      </c>
      <c r="O896" s="44"/>
      <c r="P896" s="44"/>
      <c r="Q896" s="44"/>
      <c r="R896" s="44"/>
      <c r="S896" s="44"/>
      <c r="T896" s="44"/>
      <c r="U896" s="44"/>
      <c r="V896" s="44"/>
      <c r="W896" s="44"/>
      <c r="X896" s="44"/>
    </row>
    <row r="897" spans="1:24" s="41" customFormat="1">
      <c r="A897" s="42">
        <v>46364</v>
      </c>
      <c r="B897" s="43" t="s">
        <v>13</v>
      </c>
      <c r="C897" s="44"/>
      <c r="D897" s="44"/>
      <c r="E897" s="44"/>
      <c r="F897" s="44"/>
      <c r="G897" s="44"/>
      <c r="H897" s="44"/>
      <c r="I897" s="44"/>
      <c r="J897" s="44"/>
      <c r="K897" s="44"/>
      <c r="L897" s="44"/>
      <c r="M897" s="44">
        <f t="shared" si="13"/>
        <v>0</v>
      </c>
      <c r="N897" s="45">
        <v>0</v>
      </c>
      <c r="O897" s="44"/>
      <c r="P897" s="44"/>
      <c r="Q897" s="44"/>
      <c r="R897" s="44"/>
      <c r="S897" s="44"/>
      <c r="T897" s="44"/>
      <c r="U897" s="44"/>
      <c r="V897" s="44"/>
      <c r="W897" s="44"/>
      <c r="X897" s="44"/>
    </row>
    <row r="898" spans="1:24" s="41" customFormat="1">
      <c r="A898" s="42">
        <v>46365</v>
      </c>
      <c r="B898" s="43" t="s">
        <v>13</v>
      </c>
      <c r="C898" s="44"/>
      <c r="D898" s="44"/>
      <c r="E898" s="44"/>
      <c r="F898" s="44"/>
      <c r="G898" s="44"/>
      <c r="H898" s="44"/>
      <c r="I898" s="44"/>
      <c r="J898" s="44"/>
      <c r="K898" s="44"/>
      <c r="L898" s="44"/>
      <c r="M898" s="44">
        <f t="shared" si="13"/>
        <v>0</v>
      </c>
      <c r="N898" s="45">
        <v>0</v>
      </c>
      <c r="O898" s="44"/>
      <c r="P898" s="44"/>
      <c r="Q898" s="44"/>
      <c r="R898" s="44"/>
      <c r="S898" s="44"/>
      <c r="T898" s="44"/>
      <c r="U898" s="44"/>
      <c r="V898" s="44"/>
      <c r="W898" s="44"/>
      <c r="X898" s="44"/>
    </row>
    <row r="899" spans="1:24" s="41" customFormat="1">
      <c r="A899" s="42">
        <v>46366</v>
      </c>
      <c r="B899" s="43" t="s">
        <v>13</v>
      </c>
      <c r="C899" s="44"/>
      <c r="D899" s="44"/>
      <c r="E899" s="44"/>
      <c r="F899" s="44"/>
      <c r="G899" s="44"/>
      <c r="H899" s="44"/>
      <c r="I899" s="44"/>
      <c r="J899" s="44"/>
      <c r="K899" s="44"/>
      <c r="L899" s="44"/>
      <c r="M899" s="44">
        <f t="shared" ref="M899:M962" si="14">N899-SUM(C899:L899)</f>
        <v>0</v>
      </c>
      <c r="N899" s="45">
        <v>0</v>
      </c>
      <c r="O899" s="44"/>
      <c r="P899" s="44"/>
      <c r="Q899" s="44"/>
      <c r="R899" s="44"/>
      <c r="S899" s="44"/>
      <c r="T899" s="44"/>
      <c r="U899" s="44"/>
      <c r="V899" s="44"/>
      <c r="W899" s="44"/>
      <c r="X899" s="44"/>
    </row>
    <row r="900" spans="1:24" s="41" customFormat="1">
      <c r="A900" s="42">
        <v>46367</v>
      </c>
      <c r="B900" s="43" t="s">
        <v>13</v>
      </c>
      <c r="C900" s="44"/>
      <c r="D900" s="44"/>
      <c r="E900" s="44"/>
      <c r="F900" s="44"/>
      <c r="G900" s="44"/>
      <c r="H900" s="44"/>
      <c r="I900" s="44"/>
      <c r="J900" s="44"/>
      <c r="K900" s="44"/>
      <c r="L900" s="44"/>
      <c r="M900" s="44">
        <f t="shared" si="14"/>
        <v>0</v>
      </c>
      <c r="N900" s="45">
        <v>0</v>
      </c>
      <c r="O900" s="44"/>
      <c r="P900" s="44"/>
      <c r="Q900" s="44"/>
      <c r="R900" s="44"/>
      <c r="S900" s="44"/>
      <c r="T900" s="44"/>
      <c r="U900" s="44"/>
      <c r="V900" s="44"/>
      <c r="W900" s="44"/>
      <c r="X900" s="44"/>
    </row>
    <row r="901" spans="1:24" s="41" customFormat="1">
      <c r="A901" s="42">
        <v>46368</v>
      </c>
      <c r="B901" s="43" t="s">
        <v>13</v>
      </c>
      <c r="C901" s="44"/>
      <c r="D901" s="44"/>
      <c r="E901" s="44"/>
      <c r="F901" s="44"/>
      <c r="G901" s="44"/>
      <c r="H901" s="44"/>
      <c r="I901" s="44"/>
      <c r="J901" s="44"/>
      <c r="K901" s="44"/>
      <c r="L901" s="44"/>
      <c r="M901" s="44">
        <f t="shared" si="14"/>
        <v>0</v>
      </c>
      <c r="N901" s="45">
        <v>0</v>
      </c>
      <c r="O901" s="44"/>
      <c r="P901" s="44"/>
      <c r="Q901" s="44"/>
      <c r="R901" s="44"/>
      <c r="S901" s="44"/>
      <c r="T901" s="44"/>
      <c r="U901" s="44"/>
      <c r="V901" s="44"/>
      <c r="W901" s="44"/>
      <c r="X901" s="44"/>
    </row>
    <row r="902" spans="1:24" s="41" customFormat="1">
      <c r="A902" s="42">
        <v>46369</v>
      </c>
      <c r="B902" s="43" t="s">
        <v>13</v>
      </c>
      <c r="C902" s="44"/>
      <c r="D902" s="44"/>
      <c r="E902" s="44"/>
      <c r="F902" s="44"/>
      <c r="G902" s="44"/>
      <c r="H902" s="44"/>
      <c r="I902" s="44"/>
      <c r="J902" s="44"/>
      <c r="K902" s="44"/>
      <c r="L902" s="44"/>
      <c r="M902" s="44">
        <f t="shared" si="14"/>
        <v>0</v>
      </c>
      <c r="N902" s="45">
        <v>0</v>
      </c>
      <c r="O902" s="44"/>
      <c r="P902" s="44"/>
      <c r="Q902" s="44"/>
      <c r="R902" s="44"/>
      <c r="S902" s="44"/>
      <c r="T902" s="44"/>
      <c r="U902" s="44"/>
      <c r="V902" s="44"/>
      <c r="W902" s="44"/>
      <c r="X902" s="44"/>
    </row>
    <row r="903" spans="1:24" s="41" customFormat="1">
      <c r="A903" s="42">
        <v>46370</v>
      </c>
      <c r="B903" s="43" t="s">
        <v>13</v>
      </c>
      <c r="C903" s="44"/>
      <c r="D903" s="44"/>
      <c r="E903" s="44"/>
      <c r="F903" s="44"/>
      <c r="G903" s="44"/>
      <c r="H903" s="44"/>
      <c r="I903" s="44"/>
      <c r="J903" s="44"/>
      <c r="K903" s="44"/>
      <c r="L903" s="44"/>
      <c r="M903" s="44">
        <f t="shared" si="14"/>
        <v>0</v>
      </c>
      <c r="N903" s="45">
        <v>0</v>
      </c>
      <c r="O903" s="44"/>
      <c r="P903" s="44"/>
      <c r="Q903" s="44"/>
      <c r="R903" s="44"/>
      <c r="S903" s="44"/>
      <c r="T903" s="44"/>
      <c r="U903" s="44"/>
      <c r="V903" s="44"/>
      <c r="W903" s="44"/>
      <c r="X903" s="44"/>
    </row>
    <row r="904" spans="1:24" s="41" customFormat="1">
      <c r="A904" s="42">
        <v>46371</v>
      </c>
      <c r="B904" s="43" t="s">
        <v>13</v>
      </c>
      <c r="C904" s="44"/>
      <c r="D904" s="44"/>
      <c r="E904" s="44"/>
      <c r="F904" s="44"/>
      <c r="G904" s="44"/>
      <c r="H904" s="44"/>
      <c r="I904" s="44"/>
      <c r="J904" s="44"/>
      <c r="K904" s="44"/>
      <c r="L904" s="44"/>
      <c r="M904" s="44">
        <f t="shared" si="14"/>
        <v>0</v>
      </c>
      <c r="N904" s="45">
        <v>0</v>
      </c>
      <c r="O904" s="44"/>
      <c r="P904" s="44"/>
      <c r="Q904" s="44"/>
      <c r="R904" s="44"/>
      <c r="S904" s="44"/>
      <c r="T904" s="44"/>
      <c r="U904" s="44"/>
      <c r="V904" s="44"/>
      <c r="W904" s="44"/>
      <c r="X904" s="44"/>
    </row>
    <row r="905" spans="1:24" s="41" customFormat="1">
      <c r="A905" s="42">
        <v>46372</v>
      </c>
      <c r="B905" s="43" t="s">
        <v>13</v>
      </c>
      <c r="C905" s="44"/>
      <c r="D905" s="44"/>
      <c r="E905" s="44"/>
      <c r="F905" s="44"/>
      <c r="G905" s="44"/>
      <c r="H905" s="44"/>
      <c r="I905" s="44"/>
      <c r="J905" s="44"/>
      <c r="K905" s="44"/>
      <c r="L905" s="44"/>
      <c r="M905" s="44">
        <f t="shared" si="14"/>
        <v>0</v>
      </c>
      <c r="N905" s="45">
        <v>0</v>
      </c>
      <c r="O905" s="44"/>
      <c r="P905" s="44"/>
      <c r="Q905" s="44"/>
      <c r="R905" s="44"/>
      <c r="S905" s="44"/>
      <c r="T905" s="44"/>
      <c r="U905" s="44"/>
      <c r="V905" s="44"/>
      <c r="W905" s="44"/>
      <c r="X905" s="44"/>
    </row>
    <row r="906" spans="1:24" s="41" customFormat="1">
      <c r="A906" s="42">
        <v>46373</v>
      </c>
      <c r="B906" s="43" t="s">
        <v>13</v>
      </c>
      <c r="C906" s="44"/>
      <c r="D906" s="44"/>
      <c r="E906" s="44"/>
      <c r="F906" s="44"/>
      <c r="G906" s="44"/>
      <c r="H906" s="44"/>
      <c r="I906" s="44"/>
      <c r="J906" s="44"/>
      <c r="K906" s="44"/>
      <c r="L906" s="44"/>
      <c r="M906" s="44">
        <f t="shared" si="14"/>
        <v>0</v>
      </c>
      <c r="N906" s="45">
        <v>0</v>
      </c>
      <c r="O906" s="44"/>
      <c r="P906" s="44"/>
      <c r="Q906" s="44"/>
      <c r="R906" s="44"/>
      <c r="S906" s="44"/>
      <c r="T906" s="44"/>
      <c r="U906" s="44"/>
      <c r="V906" s="44"/>
      <c r="W906" s="44"/>
      <c r="X906" s="44"/>
    </row>
    <row r="907" spans="1:24" s="41" customFormat="1">
      <c r="A907" s="42">
        <v>46374</v>
      </c>
      <c r="B907" s="43" t="s">
        <v>13</v>
      </c>
      <c r="C907" s="44"/>
      <c r="D907" s="44"/>
      <c r="E907" s="44"/>
      <c r="F907" s="44"/>
      <c r="G907" s="44"/>
      <c r="H907" s="44"/>
      <c r="I907" s="44"/>
      <c r="J907" s="44"/>
      <c r="K907" s="44"/>
      <c r="L907" s="44"/>
      <c r="M907" s="44">
        <f t="shared" si="14"/>
        <v>0</v>
      </c>
      <c r="N907" s="45">
        <v>0</v>
      </c>
      <c r="O907" s="44"/>
      <c r="P907" s="44"/>
      <c r="Q907" s="44"/>
      <c r="R907" s="44"/>
      <c r="S907" s="44"/>
      <c r="T907" s="44"/>
      <c r="U907" s="44"/>
      <c r="V907" s="44"/>
      <c r="W907" s="44"/>
      <c r="X907" s="44"/>
    </row>
    <row r="908" spans="1:24" s="41" customFormat="1">
      <c r="A908" s="42">
        <v>46375</v>
      </c>
      <c r="B908" s="43" t="s">
        <v>13</v>
      </c>
      <c r="C908" s="44"/>
      <c r="D908" s="44"/>
      <c r="E908" s="44"/>
      <c r="F908" s="44"/>
      <c r="G908" s="44"/>
      <c r="H908" s="44"/>
      <c r="I908" s="44"/>
      <c r="J908" s="44"/>
      <c r="K908" s="44"/>
      <c r="L908" s="44"/>
      <c r="M908" s="44">
        <f t="shared" si="14"/>
        <v>0</v>
      </c>
      <c r="N908" s="45">
        <v>0</v>
      </c>
      <c r="O908" s="44"/>
      <c r="P908" s="44"/>
      <c r="Q908" s="44"/>
      <c r="R908" s="44"/>
      <c r="S908" s="44"/>
      <c r="T908" s="44"/>
      <c r="U908" s="44"/>
      <c r="V908" s="44"/>
      <c r="W908" s="44"/>
      <c r="X908" s="44"/>
    </row>
    <row r="909" spans="1:24" s="41" customFormat="1">
      <c r="A909" s="42">
        <v>46376</v>
      </c>
      <c r="B909" s="43" t="s">
        <v>13</v>
      </c>
      <c r="C909" s="44"/>
      <c r="D909" s="44"/>
      <c r="E909" s="44"/>
      <c r="F909" s="44"/>
      <c r="G909" s="44"/>
      <c r="H909" s="44"/>
      <c r="I909" s="44"/>
      <c r="J909" s="44"/>
      <c r="K909" s="44"/>
      <c r="L909" s="44"/>
      <c r="M909" s="44">
        <f t="shared" si="14"/>
        <v>0</v>
      </c>
      <c r="N909" s="45">
        <v>0</v>
      </c>
      <c r="O909" s="44"/>
      <c r="P909" s="44"/>
      <c r="Q909" s="44"/>
      <c r="R909" s="44"/>
      <c r="S909" s="44"/>
      <c r="T909" s="44"/>
      <c r="U909" s="44"/>
      <c r="V909" s="44"/>
      <c r="W909" s="44"/>
      <c r="X909" s="44"/>
    </row>
    <row r="910" spans="1:24" s="41" customFormat="1">
      <c r="A910" s="42">
        <v>46377</v>
      </c>
      <c r="B910" s="43" t="s">
        <v>13</v>
      </c>
      <c r="C910" s="44"/>
      <c r="D910" s="44"/>
      <c r="E910" s="44"/>
      <c r="F910" s="44"/>
      <c r="G910" s="44"/>
      <c r="H910" s="44"/>
      <c r="I910" s="44"/>
      <c r="J910" s="44"/>
      <c r="K910" s="44"/>
      <c r="L910" s="44"/>
      <c r="M910" s="44">
        <f t="shared" si="14"/>
        <v>0</v>
      </c>
      <c r="N910" s="45">
        <v>0</v>
      </c>
      <c r="O910" s="44"/>
      <c r="P910" s="44"/>
      <c r="Q910" s="44"/>
      <c r="R910" s="44"/>
      <c r="S910" s="44"/>
      <c r="T910" s="44"/>
      <c r="U910" s="44"/>
      <c r="V910" s="44"/>
      <c r="W910" s="44"/>
      <c r="X910" s="44"/>
    </row>
    <row r="911" spans="1:24" s="41" customFormat="1">
      <c r="A911" s="42">
        <v>46378</v>
      </c>
      <c r="B911" s="43" t="s">
        <v>13</v>
      </c>
      <c r="C911" s="44"/>
      <c r="D911" s="44"/>
      <c r="E911" s="44"/>
      <c r="F911" s="44"/>
      <c r="G911" s="44"/>
      <c r="H911" s="44"/>
      <c r="I911" s="44"/>
      <c r="J911" s="44"/>
      <c r="K911" s="44"/>
      <c r="L911" s="44"/>
      <c r="M911" s="44">
        <f t="shared" si="14"/>
        <v>0</v>
      </c>
      <c r="N911" s="45">
        <v>0</v>
      </c>
      <c r="O911" s="44"/>
      <c r="P911" s="44"/>
      <c r="Q911" s="44"/>
      <c r="R911" s="44"/>
      <c r="S911" s="44"/>
      <c r="T911" s="44"/>
      <c r="U911" s="44"/>
      <c r="V911" s="44"/>
      <c r="W911" s="44"/>
      <c r="X911" s="44"/>
    </row>
    <row r="912" spans="1:24" s="41" customFormat="1">
      <c r="A912" s="42">
        <v>46379</v>
      </c>
      <c r="B912" s="43" t="s">
        <v>13</v>
      </c>
      <c r="C912" s="44"/>
      <c r="D912" s="44"/>
      <c r="E912" s="44"/>
      <c r="F912" s="44"/>
      <c r="G912" s="44"/>
      <c r="H912" s="44"/>
      <c r="I912" s="44"/>
      <c r="J912" s="44"/>
      <c r="K912" s="44"/>
      <c r="L912" s="44"/>
      <c r="M912" s="44">
        <f t="shared" si="14"/>
        <v>0</v>
      </c>
      <c r="N912" s="45">
        <v>0</v>
      </c>
      <c r="O912" s="44"/>
      <c r="P912" s="44"/>
      <c r="Q912" s="44"/>
      <c r="R912" s="44"/>
      <c r="S912" s="44"/>
      <c r="T912" s="44"/>
      <c r="U912" s="44"/>
      <c r="V912" s="44"/>
      <c r="W912" s="44"/>
      <c r="X912" s="44"/>
    </row>
    <row r="913" spans="1:24" s="41" customFormat="1">
      <c r="A913" s="42">
        <v>46380</v>
      </c>
      <c r="B913" s="43" t="s">
        <v>13</v>
      </c>
      <c r="C913" s="44"/>
      <c r="D913" s="44"/>
      <c r="E913" s="44"/>
      <c r="F913" s="44"/>
      <c r="G913" s="44"/>
      <c r="H913" s="44"/>
      <c r="I913" s="44"/>
      <c r="J913" s="44"/>
      <c r="K913" s="44"/>
      <c r="L913" s="44"/>
      <c r="M913" s="44">
        <f t="shared" si="14"/>
        <v>0</v>
      </c>
      <c r="N913" s="45">
        <v>0</v>
      </c>
      <c r="O913" s="44"/>
      <c r="P913" s="44"/>
      <c r="Q913" s="44"/>
      <c r="R913" s="44"/>
      <c r="S913" s="44"/>
      <c r="T913" s="44"/>
      <c r="U913" s="44"/>
      <c r="V913" s="44"/>
      <c r="W913" s="44"/>
      <c r="X913" s="44"/>
    </row>
    <row r="914" spans="1:24" s="41" customFormat="1">
      <c r="A914" s="42">
        <v>46381</v>
      </c>
      <c r="B914" s="43" t="s">
        <v>13</v>
      </c>
      <c r="C914" s="44"/>
      <c r="D914" s="44"/>
      <c r="E914" s="44"/>
      <c r="F914" s="44"/>
      <c r="G914" s="44"/>
      <c r="H914" s="44"/>
      <c r="I914" s="44"/>
      <c r="J914" s="44"/>
      <c r="K914" s="44"/>
      <c r="L914" s="44"/>
      <c r="M914" s="44">
        <f t="shared" si="14"/>
        <v>0</v>
      </c>
      <c r="N914" s="45">
        <v>0</v>
      </c>
      <c r="O914" s="44"/>
      <c r="P914" s="44"/>
      <c r="Q914" s="44"/>
      <c r="R914" s="44"/>
      <c r="S914" s="44"/>
      <c r="T914" s="44"/>
      <c r="U914" s="44"/>
      <c r="V914" s="44"/>
      <c r="W914" s="44"/>
      <c r="X914" s="44"/>
    </row>
    <row r="915" spans="1:24" s="41" customFormat="1">
      <c r="A915" s="42">
        <v>46382</v>
      </c>
      <c r="B915" s="43" t="s">
        <v>13</v>
      </c>
      <c r="C915" s="44"/>
      <c r="D915" s="44"/>
      <c r="E915" s="44"/>
      <c r="F915" s="44"/>
      <c r="G915" s="44"/>
      <c r="H915" s="44"/>
      <c r="I915" s="44"/>
      <c r="J915" s="44"/>
      <c r="K915" s="44"/>
      <c r="L915" s="44"/>
      <c r="M915" s="44">
        <f t="shared" si="14"/>
        <v>0</v>
      </c>
      <c r="N915" s="45">
        <v>0</v>
      </c>
      <c r="O915" s="44"/>
      <c r="P915" s="44"/>
      <c r="Q915" s="44"/>
      <c r="R915" s="44"/>
      <c r="S915" s="44"/>
      <c r="T915" s="44"/>
      <c r="U915" s="44"/>
      <c r="V915" s="44"/>
      <c r="W915" s="44"/>
      <c r="X915" s="44"/>
    </row>
    <row r="916" spans="1:24" s="41" customFormat="1">
      <c r="A916" s="42">
        <v>46383</v>
      </c>
      <c r="B916" s="43" t="s">
        <v>13</v>
      </c>
      <c r="C916" s="44"/>
      <c r="D916" s="44"/>
      <c r="E916" s="44"/>
      <c r="F916" s="44"/>
      <c r="G916" s="44"/>
      <c r="H916" s="44"/>
      <c r="I916" s="44"/>
      <c r="J916" s="44"/>
      <c r="K916" s="44"/>
      <c r="L916" s="44"/>
      <c r="M916" s="44">
        <f t="shared" si="14"/>
        <v>0</v>
      </c>
      <c r="N916" s="45">
        <v>0</v>
      </c>
      <c r="O916" s="44"/>
      <c r="P916" s="44"/>
      <c r="Q916" s="44"/>
      <c r="R916" s="44"/>
      <c r="S916" s="44"/>
      <c r="T916" s="44"/>
      <c r="U916" s="44"/>
      <c r="V916" s="44"/>
      <c r="W916" s="44"/>
      <c r="X916" s="44"/>
    </row>
    <row r="917" spans="1:24" s="41" customFormat="1">
      <c r="A917" s="42">
        <v>46384</v>
      </c>
      <c r="B917" s="43" t="s">
        <v>13</v>
      </c>
      <c r="C917" s="44"/>
      <c r="D917" s="44"/>
      <c r="E917" s="44"/>
      <c r="F917" s="44"/>
      <c r="G917" s="44"/>
      <c r="H917" s="44"/>
      <c r="I917" s="44"/>
      <c r="J917" s="44"/>
      <c r="K917" s="44"/>
      <c r="L917" s="44"/>
      <c r="M917" s="44">
        <f t="shared" si="14"/>
        <v>0</v>
      </c>
      <c r="N917" s="45">
        <v>0</v>
      </c>
      <c r="O917" s="44"/>
      <c r="P917" s="44"/>
      <c r="Q917" s="44"/>
      <c r="R917" s="44"/>
      <c r="S917" s="44"/>
      <c r="T917" s="44"/>
      <c r="U917" s="44"/>
      <c r="V917" s="44"/>
      <c r="W917" s="44"/>
      <c r="X917" s="44"/>
    </row>
    <row r="918" spans="1:24" s="41" customFormat="1">
      <c r="A918" s="42">
        <v>46385</v>
      </c>
      <c r="B918" s="43" t="s">
        <v>13</v>
      </c>
      <c r="C918" s="44"/>
      <c r="D918" s="44"/>
      <c r="E918" s="44"/>
      <c r="F918" s="44"/>
      <c r="G918" s="44"/>
      <c r="H918" s="44"/>
      <c r="I918" s="44"/>
      <c r="J918" s="44"/>
      <c r="K918" s="44"/>
      <c r="L918" s="44"/>
      <c r="M918" s="44">
        <f t="shared" si="14"/>
        <v>0</v>
      </c>
      <c r="N918" s="45">
        <v>0</v>
      </c>
      <c r="O918" s="44"/>
      <c r="P918" s="44"/>
      <c r="Q918" s="44"/>
      <c r="R918" s="44"/>
      <c r="S918" s="44"/>
      <c r="T918" s="44"/>
      <c r="U918" s="44"/>
      <c r="V918" s="44"/>
      <c r="W918" s="44"/>
      <c r="X918" s="44"/>
    </row>
    <row r="919" spans="1:24" s="41" customFormat="1">
      <c r="A919" s="42">
        <v>46386</v>
      </c>
      <c r="B919" s="43" t="s">
        <v>13</v>
      </c>
      <c r="C919" s="44"/>
      <c r="D919" s="44"/>
      <c r="E919" s="44"/>
      <c r="F919" s="44"/>
      <c r="G919" s="44"/>
      <c r="H919" s="44"/>
      <c r="I919" s="44"/>
      <c r="J919" s="44"/>
      <c r="K919" s="44"/>
      <c r="L919" s="44"/>
      <c r="M919" s="44">
        <f t="shared" si="14"/>
        <v>0</v>
      </c>
      <c r="N919" s="45">
        <v>0</v>
      </c>
      <c r="O919" s="44"/>
      <c r="P919" s="44"/>
      <c r="Q919" s="44"/>
      <c r="R919" s="44"/>
      <c r="S919" s="44"/>
      <c r="T919" s="44"/>
      <c r="U919" s="44"/>
      <c r="V919" s="44"/>
      <c r="W919" s="44"/>
      <c r="X919" s="44"/>
    </row>
    <row r="920" spans="1:24" s="41" customFormat="1">
      <c r="A920" s="42">
        <v>46387</v>
      </c>
      <c r="B920" s="43" t="s">
        <v>13</v>
      </c>
      <c r="C920" s="44"/>
      <c r="D920" s="44"/>
      <c r="E920" s="44"/>
      <c r="F920" s="44"/>
      <c r="G920" s="44"/>
      <c r="H920" s="44"/>
      <c r="I920" s="44"/>
      <c r="J920" s="44"/>
      <c r="K920" s="44"/>
      <c r="L920" s="44"/>
      <c r="M920" s="44">
        <f t="shared" si="14"/>
        <v>0</v>
      </c>
      <c r="N920" s="45">
        <v>0</v>
      </c>
      <c r="O920" s="44"/>
      <c r="P920" s="44"/>
      <c r="Q920" s="44"/>
      <c r="R920" s="44"/>
      <c r="S920" s="44"/>
      <c r="T920" s="44"/>
      <c r="U920" s="44"/>
      <c r="V920" s="44"/>
      <c r="W920" s="44"/>
      <c r="X920" s="44"/>
    </row>
    <row r="921" spans="1:24" s="41" customFormat="1">
      <c r="A921" s="42">
        <v>46082</v>
      </c>
      <c r="B921" s="43" t="s">
        <v>964</v>
      </c>
      <c r="C921" s="44"/>
      <c r="D921" s="44"/>
      <c r="E921" s="44"/>
      <c r="F921" s="44"/>
      <c r="G921" s="44"/>
      <c r="H921" s="44"/>
      <c r="I921" s="44"/>
      <c r="J921" s="44"/>
      <c r="K921" s="44"/>
      <c r="L921" s="44"/>
      <c r="M921" s="44">
        <f t="shared" si="14"/>
        <v>0</v>
      </c>
      <c r="N921" s="45"/>
      <c r="O921" s="44"/>
      <c r="P921" s="44"/>
      <c r="Q921" s="44"/>
      <c r="R921" s="44"/>
      <c r="S921" s="44"/>
      <c r="T921" s="44"/>
      <c r="U921" s="44"/>
      <c r="V921" s="44"/>
      <c r="W921" s="44"/>
      <c r="X921" s="44"/>
    </row>
    <row r="922" spans="1:24" s="41" customFormat="1">
      <c r="A922" s="42">
        <v>46083</v>
      </c>
      <c r="B922" s="43" t="s">
        <v>964</v>
      </c>
      <c r="C922" s="44"/>
      <c r="D922" s="44"/>
      <c r="E922" s="44"/>
      <c r="F922" s="44"/>
      <c r="G922" s="44"/>
      <c r="H922" s="44"/>
      <c r="I922" s="44"/>
      <c r="J922" s="44"/>
      <c r="K922" s="44"/>
      <c r="L922" s="44"/>
      <c r="M922" s="44">
        <f t="shared" si="14"/>
        <v>0</v>
      </c>
      <c r="N922" s="45"/>
      <c r="O922" s="44"/>
      <c r="P922" s="44"/>
      <c r="Q922" s="44"/>
      <c r="R922" s="44"/>
      <c r="S922" s="44"/>
      <c r="T922" s="44"/>
      <c r="U922" s="44"/>
      <c r="V922" s="44"/>
      <c r="W922" s="44"/>
      <c r="X922" s="44"/>
    </row>
    <row r="923" spans="1:24" s="41" customFormat="1">
      <c r="A923" s="42">
        <v>46084</v>
      </c>
      <c r="B923" s="43" t="s">
        <v>964</v>
      </c>
      <c r="C923" s="44"/>
      <c r="D923" s="44"/>
      <c r="E923" s="44"/>
      <c r="F923" s="44"/>
      <c r="G923" s="44"/>
      <c r="H923" s="44"/>
      <c r="I923" s="44"/>
      <c r="J923" s="44"/>
      <c r="K923" s="44"/>
      <c r="L923" s="44"/>
      <c r="M923" s="44">
        <f t="shared" si="14"/>
        <v>0</v>
      </c>
      <c r="N923" s="45"/>
      <c r="O923" s="44"/>
      <c r="P923" s="44"/>
      <c r="Q923" s="44"/>
      <c r="R923" s="44"/>
      <c r="S923" s="44"/>
      <c r="T923" s="44"/>
      <c r="U923" s="44"/>
      <c r="V923" s="44"/>
      <c r="W923" s="44"/>
      <c r="X923" s="44"/>
    </row>
    <row r="924" spans="1:24" s="41" customFormat="1">
      <c r="A924" s="42">
        <v>46085</v>
      </c>
      <c r="B924" s="43" t="s">
        <v>964</v>
      </c>
      <c r="C924" s="44"/>
      <c r="D924" s="44"/>
      <c r="E924" s="44"/>
      <c r="F924" s="44"/>
      <c r="G924" s="44"/>
      <c r="H924" s="44"/>
      <c r="I924" s="44"/>
      <c r="J924" s="44"/>
      <c r="K924" s="44"/>
      <c r="L924" s="44"/>
      <c r="M924" s="44">
        <f t="shared" si="14"/>
        <v>0</v>
      </c>
      <c r="N924" s="45"/>
      <c r="O924" s="44"/>
      <c r="P924" s="44"/>
      <c r="Q924" s="44"/>
      <c r="R924" s="44"/>
      <c r="S924" s="44"/>
      <c r="T924" s="44"/>
      <c r="U924" s="44"/>
      <c r="V924" s="44"/>
      <c r="W924" s="44"/>
      <c r="X924" s="44"/>
    </row>
    <row r="925" spans="1:24" s="41" customFormat="1">
      <c r="A925" s="42">
        <v>46086</v>
      </c>
      <c r="B925" s="43" t="s">
        <v>964</v>
      </c>
      <c r="C925" s="44"/>
      <c r="D925" s="44"/>
      <c r="E925" s="44"/>
      <c r="F925" s="44"/>
      <c r="G925" s="44"/>
      <c r="H925" s="44"/>
      <c r="I925" s="44"/>
      <c r="J925" s="44"/>
      <c r="K925" s="44"/>
      <c r="L925" s="44"/>
      <c r="M925" s="44">
        <f t="shared" si="14"/>
        <v>0</v>
      </c>
      <c r="N925" s="45"/>
      <c r="O925" s="44"/>
      <c r="P925" s="44"/>
      <c r="Q925" s="44"/>
      <c r="R925" s="44"/>
      <c r="S925" s="44"/>
      <c r="T925" s="44"/>
      <c r="U925" s="44"/>
      <c r="V925" s="44"/>
      <c r="W925" s="44"/>
      <c r="X925" s="44"/>
    </row>
    <row r="926" spans="1:24" s="41" customFormat="1">
      <c r="A926" s="42">
        <v>46087</v>
      </c>
      <c r="B926" s="43" t="s">
        <v>964</v>
      </c>
      <c r="C926" s="44"/>
      <c r="D926" s="44"/>
      <c r="E926" s="44"/>
      <c r="F926" s="44"/>
      <c r="G926" s="44"/>
      <c r="H926" s="44"/>
      <c r="I926" s="44"/>
      <c r="J926" s="44"/>
      <c r="K926" s="44"/>
      <c r="L926" s="44"/>
      <c r="M926" s="44">
        <f t="shared" si="14"/>
        <v>0</v>
      </c>
      <c r="N926" s="45"/>
      <c r="O926" s="44"/>
      <c r="P926" s="44"/>
      <c r="Q926" s="44"/>
      <c r="R926" s="44"/>
      <c r="S926" s="44"/>
      <c r="T926" s="44"/>
      <c r="U926" s="44"/>
      <c r="V926" s="44"/>
      <c r="W926" s="44"/>
      <c r="X926" s="44"/>
    </row>
    <row r="927" spans="1:24" s="41" customFormat="1">
      <c r="A927" s="42">
        <v>46088</v>
      </c>
      <c r="B927" s="43" t="s">
        <v>964</v>
      </c>
      <c r="C927" s="44"/>
      <c r="D927" s="44"/>
      <c r="E927" s="44"/>
      <c r="F927" s="44"/>
      <c r="G927" s="44"/>
      <c r="H927" s="44"/>
      <c r="I927" s="44"/>
      <c r="J927" s="44"/>
      <c r="K927" s="44"/>
      <c r="L927" s="44"/>
      <c r="M927" s="44">
        <f t="shared" si="14"/>
        <v>0</v>
      </c>
      <c r="N927" s="45"/>
      <c r="O927" s="44"/>
      <c r="P927" s="44"/>
      <c r="Q927" s="44"/>
      <c r="R927" s="44"/>
      <c r="S927" s="44"/>
      <c r="T927" s="44"/>
      <c r="U927" s="44"/>
      <c r="V927" s="44"/>
      <c r="W927" s="44"/>
      <c r="X927" s="44"/>
    </row>
    <row r="928" spans="1:24" s="41" customFormat="1">
      <c r="A928" s="42">
        <v>46089</v>
      </c>
      <c r="B928" s="43" t="s">
        <v>964</v>
      </c>
      <c r="C928" s="44"/>
      <c r="D928" s="44"/>
      <c r="E928" s="44"/>
      <c r="F928" s="44"/>
      <c r="G928" s="44"/>
      <c r="H928" s="44"/>
      <c r="I928" s="44"/>
      <c r="J928" s="44"/>
      <c r="K928" s="44"/>
      <c r="L928" s="44"/>
      <c r="M928" s="44">
        <f t="shared" si="14"/>
        <v>0</v>
      </c>
      <c r="N928" s="45"/>
      <c r="O928" s="44"/>
      <c r="P928" s="44"/>
      <c r="Q928" s="44"/>
      <c r="R928" s="44"/>
      <c r="S928" s="44"/>
      <c r="T928" s="44"/>
      <c r="U928" s="44"/>
      <c r="V928" s="44"/>
      <c r="W928" s="44"/>
      <c r="X928" s="44"/>
    </row>
    <row r="929" spans="1:24" s="41" customFormat="1">
      <c r="A929" s="42">
        <v>46090</v>
      </c>
      <c r="B929" s="43" t="s">
        <v>964</v>
      </c>
      <c r="C929" s="44"/>
      <c r="D929" s="44"/>
      <c r="E929" s="44"/>
      <c r="F929" s="44"/>
      <c r="G929" s="44"/>
      <c r="H929" s="44"/>
      <c r="I929" s="44"/>
      <c r="J929" s="44"/>
      <c r="K929" s="44"/>
      <c r="L929" s="44"/>
      <c r="M929" s="44">
        <f t="shared" si="14"/>
        <v>0</v>
      </c>
      <c r="N929" s="45"/>
      <c r="O929" s="44"/>
      <c r="P929" s="44"/>
      <c r="Q929" s="44"/>
      <c r="R929" s="44"/>
      <c r="S929" s="44"/>
      <c r="T929" s="44"/>
      <c r="U929" s="44"/>
      <c r="V929" s="44"/>
      <c r="W929" s="44"/>
      <c r="X929" s="44"/>
    </row>
    <row r="930" spans="1:24" s="41" customFormat="1">
      <c r="A930" s="42">
        <v>46091</v>
      </c>
      <c r="B930" s="43" t="s">
        <v>964</v>
      </c>
      <c r="C930" s="44"/>
      <c r="D930" s="44"/>
      <c r="E930" s="44"/>
      <c r="F930" s="44"/>
      <c r="G930" s="44"/>
      <c r="H930" s="44"/>
      <c r="I930" s="44"/>
      <c r="J930" s="44"/>
      <c r="K930" s="44"/>
      <c r="L930" s="44"/>
      <c r="M930" s="44">
        <f t="shared" si="14"/>
        <v>0</v>
      </c>
      <c r="N930" s="45"/>
      <c r="O930" s="44"/>
      <c r="P930" s="44"/>
      <c r="Q930" s="44"/>
      <c r="R930" s="44"/>
      <c r="S930" s="44"/>
      <c r="T930" s="44"/>
      <c r="U930" s="44"/>
      <c r="V930" s="44"/>
      <c r="W930" s="44"/>
      <c r="X930" s="44"/>
    </row>
    <row r="931" spans="1:24" s="41" customFormat="1">
      <c r="A931" s="42">
        <v>46092</v>
      </c>
      <c r="B931" s="43" t="s">
        <v>964</v>
      </c>
      <c r="C931" s="44"/>
      <c r="D931" s="44"/>
      <c r="E931" s="44"/>
      <c r="F931" s="44"/>
      <c r="G931" s="44"/>
      <c r="H931" s="44"/>
      <c r="I931" s="44"/>
      <c r="J931" s="44"/>
      <c r="K931" s="44"/>
      <c r="L931" s="44"/>
      <c r="M931" s="44">
        <f t="shared" si="14"/>
        <v>0</v>
      </c>
      <c r="N931" s="45"/>
      <c r="O931" s="44"/>
      <c r="P931" s="44"/>
      <c r="Q931" s="44"/>
      <c r="R931" s="44"/>
      <c r="S931" s="44"/>
      <c r="T931" s="44"/>
      <c r="U931" s="44"/>
      <c r="V931" s="44"/>
      <c r="W931" s="44"/>
      <c r="X931" s="44"/>
    </row>
    <row r="932" spans="1:24" s="41" customFormat="1">
      <c r="A932" s="42">
        <v>46093</v>
      </c>
      <c r="B932" s="43" t="s">
        <v>964</v>
      </c>
      <c r="C932" s="44"/>
      <c r="D932" s="44"/>
      <c r="E932" s="44"/>
      <c r="F932" s="44"/>
      <c r="G932" s="44"/>
      <c r="H932" s="44"/>
      <c r="I932" s="44"/>
      <c r="J932" s="44"/>
      <c r="K932" s="44"/>
      <c r="L932" s="44"/>
      <c r="M932" s="44">
        <f t="shared" si="14"/>
        <v>0</v>
      </c>
      <c r="N932" s="45"/>
      <c r="O932" s="44"/>
      <c r="P932" s="44"/>
      <c r="Q932" s="44"/>
      <c r="R932" s="44"/>
      <c r="S932" s="44"/>
      <c r="T932" s="44"/>
      <c r="U932" s="44"/>
      <c r="V932" s="44"/>
      <c r="W932" s="44"/>
      <c r="X932" s="44"/>
    </row>
    <row r="933" spans="1:24" s="41" customFormat="1">
      <c r="A933" s="42">
        <v>46094</v>
      </c>
      <c r="B933" s="43" t="s">
        <v>964</v>
      </c>
      <c r="C933" s="44"/>
      <c r="D933" s="44"/>
      <c r="E933" s="44"/>
      <c r="F933" s="44"/>
      <c r="G933" s="44"/>
      <c r="H933" s="44"/>
      <c r="I933" s="44"/>
      <c r="J933" s="44"/>
      <c r="K933" s="44"/>
      <c r="L933" s="44"/>
      <c r="M933" s="44">
        <f t="shared" si="14"/>
        <v>0</v>
      </c>
      <c r="N933" s="45"/>
      <c r="O933" s="44"/>
      <c r="P933" s="44"/>
      <c r="Q933" s="44"/>
      <c r="R933" s="44"/>
      <c r="S933" s="44"/>
      <c r="T933" s="44"/>
      <c r="U933" s="44"/>
      <c r="V933" s="44"/>
      <c r="W933" s="44"/>
      <c r="X933" s="44"/>
    </row>
    <row r="934" spans="1:24" s="41" customFormat="1">
      <c r="A934" s="42">
        <v>46095</v>
      </c>
      <c r="B934" s="43" t="s">
        <v>964</v>
      </c>
      <c r="C934" s="44"/>
      <c r="D934" s="44"/>
      <c r="E934" s="44"/>
      <c r="F934" s="44"/>
      <c r="G934" s="44"/>
      <c r="H934" s="44"/>
      <c r="I934" s="44"/>
      <c r="J934" s="44"/>
      <c r="K934" s="44"/>
      <c r="L934" s="44"/>
      <c r="M934" s="44">
        <f t="shared" si="14"/>
        <v>0</v>
      </c>
      <c r="N934" s="45"/>
      <c r="O934" s="44"/>
      <c r="P934" s="44"/>
      <c r="Q934" s="44"/>
      <c r="R934" s="44"/>
      <c r="S934" s="44"/>
      <c r="T934" s="44"/>
      <c r="U934" s="44"/>
      <c r="V934" s="44"/>
      <c r="W934" s="44"/>
      <c r="X934" s="44"/>
    </row>
    <row r="935" spans="1:24" s="41" customFormat="1">
      <c r="A935" s="42">
        <v>46096</v>
      </c>
      <c r="B935" s="43" t="s">
        <v>964</v>
      </c>
      <c r="C935" s="44"/>
      <c r="D935" s="44"/>
      <c r="E935" s="44"/>
      <c r="F935" s="44"/>
      <c r="G935" s="44"/>
      <c r="H935" s="44"/>
      <c r="I935" s="44"/>
      <c r="J935" s="44"/>
      <c r="K935" s="44"/>
      <c r="L935" s="44"/>
      <c r="M935" s="44">
        <f t="shared" si="14"/>
        <v>0</v>
      </c>
      <c r="N935" s="45"/>
      <c r="O935" s="44"/>
      <c r="P935" s="44"/>
      <c r="Q935" s="44"/>
      <c r="R935" s="44"/>
      <c r="S935" s="44"/>
      <c r="T935" s="44"/>
      <c r="U935" s="44"/>
      <c r="V935" s="44"/>
      <c r="W935" s="44"/>
      <c r="X935" s="44"/>
    </row>
    <row r="936" spans="1:24" s="41" customFormat="1">
      <c r="A936" s="42">
        <v>46097</v>
      </c>
      <c r="B936" s="43" t="s">
        <v>964</v>
      </c>
      <c r="C936" s="44"/>
      <c r="D936" s="44"/>
      <c r="E936" s="44"/>
      <c r="F936" s="44"/>
      <c r="G936" s="44"/>
      <c r="H936" s="44"/>
      <c r="I936" s="44"/>
      <c r="J936" s="44"/>
      <c r="K936" s="44"/>
      <c r="L936" s="44"/>
      <c r="M936" s="44">
        <f t="shared" si="14"/>
        <v>0</v>
      </c>
      <c r="N936" s="45"/>
      <c r="O936" s="44"/>
      <c r="P936" s="44"/>
      <c r="Q936" s="44"/>
      <c r="R936" s="44"/>
      <c r="S936" s="44"/>
      <c r="T936" s="44"/>
      <c r="U936" s="44"/>
      <c r="V936" s="44"/>
      <c r="W936" s="44"/>
      <c r="X936" s="44"/>
    </row>
    <row r="937" spans="1:24" s="41" customFormat="1">
      <c r="A937" s="42">
        <v>46098</v>
      </c>
      <c r="B937" s="43" t="s">
        <v>964</v>
      </c>
      <c r="C937" s="44"/>
      <c r="D937" s="44"/>
      <c r="E937" s="44"/>
      <c r="F937" s="44"/>
      <c r="G937" s="44"/>
      <c r="H937" s="44"/>
      <c r="I937" s="44"/>
      <c r="J937" s="44"/>
      <c r="K937" s="44"/>
      <c r="L937" s="44"/>
      <c r="M937" s="44">
        <f t="shared" si="14"/>
        <v>0</v>
      </c>
      <c r="N937" s="45"/>
      <c r="O937" s="44"/>
      <c r="P937" s="44"/>
      <c r="Q937" s="44"/>
      <c r="R937" s="44"/>
      <c r="S937" s="44"/>
      <c r="T937" s="44"/>
      <c r="U937" s="44"/>
      <c r="V937" s="44"/>
      <c r="W937" s="44"/>
      <c r="X937" s="44"/>
    </row>
    <row r="938" spans="1:24" s="41" customFormat="1">
      <c r="A938" s="42">
        <v>46099</v>
      </c>
      <c r="B938" s="43" t="s">
        <v>964</v>
      </c>
      <c r="C938" s="44"/>
      <c r="D938" s="44"/>
      <c r="E938" s="44"/>
      <c r="F938" s="44"/>
      <c r="G938" s="44"/>
      <c r="H938" s="44"/>
      <c r="I938" s="44"/>
      <c r="J938" s="44"/>
      <c r="K938" s="44"/>
      <c r="L938" s="44"/>
      <c r="M938" s="44">
        <f t="shared" si="14"/>
        <v>0</v>
      </c>
      <c r="N938" s="45"/>
      <c r="O938" s="44"/>
      <c r="P938" s="44"/>
      <c r="Q938" s="44"/>
      <c r="R938" s="44"/>
      <c r="S938" s="44"/>
      <c r="T938" s="44"/>
      <c r="U938" s="44"/>
      <c r="V938" s="44"/>
      <c r="W938" s="44"/>
      <c r="X938" s="44"/>
    </row>
    <row r="939" spans="1:24" s="41" customFormat="1">
      <c r="A939" s="42">
        <v>46100</v>
      </c>
      <c r="B939" s="43" t="s">
        <v>964</v>
      </c>
      <c r="C939" s="44"/>
      <c r="D939" s="44"/>
      <c r="E939" s="44"/>
      <c r="F939" s="44"/>
      <c r="G939" s="44"/>
      <c r="H939" s="44"/>
      <c r="I939" s="44"/>
      <c r="J939" s="44"/>
      <c r="K939" s="44"/>
      <c r="L939" s="44"/>
      <c r="M939" s="44">
        <f t="shared" si="14"/>
        <v>0</v>
      </c>
      <c r="N939" s="45"/>
      <c r="O939" s="44"/>
      <c r="P939" s="44"/>
      <c r="Q939" s="44"/>
      <c r="R939" s="44"/>
      <c r="S939" s="44"/>
      <c r="T939" s="44"/>
      <c r="U939" s="44"/>
      <c r="V939" s="44"/>
      <c r="W939" s="44"/>
      <c r="X939" s="44"/>
    </row>
    <row r="940" spans="1:24" s="41" customFormat="1">
      <c r="A940" s="42">
        <v>46101</v>
      </c>
      <c r="B940" s="43" t="s">
        <v>964</v>
      </c>
      <c r="C940" s="44"/>
      <c r="D940" s="44"/>
      <c r="E940" s="44"/>
      <c r="F940" s="44"/>
      <c r="G940" s="44"/>
      <c r="H940" s="44"/>
      <c r="I940" s="44"/>
      <c r="J940" s="44"/>
      <c r="K940" s="44"/>
      <c r="L940" s="44"/>
      <c r="M940" s="44">
        <f t="shared" si="14"/>
        <v>2103</v>
      </c>
      <c r="N940" s="45">
        <f>SUM(O940:X940)</f>
        <v>2103</v>
      </c>
      <c r="O940" s="9">
        <v>110</v>
      </c>
      <c r="P940" s="9">
        <v>1</v>
      </c>
      <c r="Q940" s="9">
        <v>120</v>
      </c>
      <c r="R940" s="9">
        <v>530</v>
      </c>
      <c r="S940" s="9">
        <v>200</v>
      </c>
      <c r="T940" s="9">
        <v>815</v>
      </c>
      <c r="U940" s="9">
        <v>0</v>
      </c>
      <c r="V940" s="9">
        <v>170</v>
      </c>
      <c r="W940" s="10">
        <v>139</v>
      </c>
      <c r="X940" s="9">
        <v>18</v>
      </c>
    </row>
    <row r="941" spans="1:24" s="41" customFormat="1">
      <c r="A941" s="42">
        <v>46102</v>
      </c>
      <c r="B941" s="43" t="s">
        <v>964</v>
      </c>
      <c r="C941" s="44"/>
      <c r="D941" s="44"/>
      <c r="E941" s="44"/>
      <c r="F941" s="44"/>
      <c r="G941" s="44"/>
      <c r="H941" s="44"/>
      <c r="I941" s="44"/>
      <c r="J941" s="44"/>
      <c r="K941" s="44"/>
      <c r="L941" s="44"/>
      <c r="M941" s="44">
        <f t="shared" si="14"/>
        <v>2156</v>
      </c>
      <c r="N941" s="45">
        <f t="shared" ref="N941:N951" si="15">SUM(O941:X941)</f>
        <v>2156</v>
      </c>
      <c r="O941" s="9">
        <v>110</v>
      </c>
      <c r="P941" s="9">
        <v>1</v>
      </c>
      <c r="Q941" s="9">
        <v>120</v>
      </c>
      <c r="R941" s="9">
        <v>530</v>
      </c>
      <c r="S941" s="9">
        <v>300</v>
      </c>
      <c r="T941" s="9">
        <v>815</v>
      </c>
      <c r="U941" s="9">
        <v>0</v>
      </c>
      <c r="V941" s="9">
        <v>170</v>
      </c>
      <c r="W941" s="10">
        <v>110</v>
      </c>
      <c r="X941" s="9">
        <v>0</v>
      </c>
    </row>
    <row r="942" spans="1:24" s="41" customFormat="1">
      <c r="A942" s="42">
        <v>46103</v>
      </c>
      <c r="B942" s="43" t="s">
        <v>964</v>
      </c>
      <c r="C942" s="44"/>
      <c r="D942" s="44"/>
      <c r="E942" s="44"/>
      <c r="F942" s="44"/>
      <c r="G942" s="44"/>
      <c r="H942" s="44"/>
      <c r="I942" s="44"/>
      <c r="J942" s="44"/>
      <c r="K942" s="44"/>
      <c r="L942" s="44"/>
      <c r="M942" s="44">
        <f t="shared" si="14"/>
        <v>2150</v>
      </c>
      <c r="N942" s="45">
        <f t="shared" si="15"/>
        <v>2150</v>
      </c>
      <c r="O942" s="9">
        <v>110</v>
      </c>
      <c r="P942" s="9">
        <v>1</v>
      </c>
      <c r="Q942" s="9">
        <v>120</v>
      </c>
      <c r="R942" s="9">
        <v>530</v>
      </c>
      <c r="S942" s="9">
        <v>300</v>
      </c>
      <c r="T942" s="9">
        <v>815</v>
      </c>
      <c r="U942" s="9">
        <v>0</v>
      </c>
      <c r="V942" s="9">
        <v>170</v>
      </c>
      <c r="W942" s="10">
        <v>104</v>
      </c>
      <c r="X942" s="9">
        <v>0</v>
      </c>
    </row>
    <row r="943" spans="1:24" s="41" customFormat="1">
      <c r="A943" s="42">
        <v>46104</v>
      </c>
      <c r="B943" s="43" t="s">
        <v>964</v>
      </c>
      <c r="C943" s="44"/>
      <c r="D943" s="44"/>
      <c r="E943" s="44"/>
      <c r="F943" s="44"/>
      <c r="G943" s="44"/>
      <c r="H943" s="44"/>
      <c r="I943" s="44"/>
      <c r="J943" s="44"/>
      <c r="K943" s="44"/>
      <c r="L943" s="44"/>
      <c r="M943" s="44">
        <f t="shared" si="14"/>
        <v>2020</v>
      </c>
      <c r="N943" s="45">
        <f t="shared" si="15"/>
        <v>2020</v>
      </c>
      <c r="O943" s="9">
        <v>110</v>
      </c>
      <c r="P943" s="9">
        <v>1</v>
      </c>
      <c r="Q943" s="9">
        <v>120</v>
      </c>
      <c r="R943" s="9">
        <v>530</v>
      </c>
      <c r="S943" s="9">
        <v>150</v>
      </c>
      <c r="T943" s="9">
        <v>815</v>
      </c>
      <c r="U943" s="9">
        <v>0</v>
      </c>
      <c r="V943" s="9">
        <v>170</v>
      </c>
      <c r="W943" s="10">
        <v>106</v>
      </c>
      <c r="X943" s="9">
        <v>18</v>
      </c>
    </row>
    <row r="944" spans="1:24" s="41" customFormat="1">
      <c r="A944" s="42">
        <v>46105</v>
      </c>
      <c r="B944" s="43" t="s">
        <v>964</v>
      </c>
      <c r="C944" s="44"/>
      <c r="D944" s="44"/>
      <c r="E944" s="44"/>
      <c r="F944" s="44"/>
      <c r="G944" s="44"/>
      <c r="H944" s="44"/>
      <c r="I944" s="44"/>
      <c r="J944" s="44"/>
      <c r="K944" s="44"/>
      <c r="L944" s="44"/>
      <c r="M944" s="44">
        <f t="shared" si="14"/>
        <v>2018</v>
      </c>
      <c r="N944" s="45">
        <f t="shared" si="15"/>
        <v>2018</v>
      </c>
      <c r="O944" s="9">
        <v>110</v>
      </c>
      <c r="P944" s="9">
        <v>1</v>
      </c>
      <c r="Q944" s="9">
        <v>120</v>
      </c>
      <c r="R944" s="9">
        <v>530</v>
      </c>
      <c r="S944" s="9">
        <v>150</v>
      </c>
      <c r="T944" s="9">
        <v>815</v>
      </c>
      <c r="U944" s="9">
        <v>0</v>
      </c>
      <c r="V944" s="9">
        <v>170</v>
      </c>
      <c r="W944" s="10">
        <v>104</v>
      </c>
      <c r="X944" s="9">
        <v>18</v>
      </c>
    </row>
    <row r="945" spans="1:24" s="41" customFormat="1">
      <c r="A945" s="42">
        <v>46106</v>
      </c>
      <c r="B945" s="43" t="s">
        <v>964</v>
      </c>
      <c r="C945" s="44"/>
      <c r="D945" s="44"/>
      <c r="E945" s="44"/>
      <c r="F945" s="44"/>
      <c r="G945" s="44"/>
      <c r="H945" s="44"/>
      <c r="I945" s="44"/>
      <c r="J945" s="44"/>
      <c r="K945" s="44"/>
      <c r="L945" s="44"/>
      <c r="M945" s="44">
        <f t="shared" si="14"/>
        <v>2016</v>
      </c>
      <c r="N945" s="45">
        <f t="shared" si="15"/>
        <v>2016</v>
      </c>
      <c r="O945" s="9">
        <v>110</v>
      </c>
      <c r="P945" s="9">
        <v>1</v>
      </c>
      <c r="Q945" s="9">
        <v>120</v>
      </c>
      <c r="R945" s="9">
        <v>530</v>
      </c>
      <c r="S945" s="9">
        <v>150</v>
      </c>
      <c r="T945" s="9">
        <v>815</v>
      </c>
      <c r="U945" s="9">
        <v>0</v>
      </c>
      <c r="V945" s="9">
        <v>170</v>
      </c>
      <c r="W945" s="10">
        <v>102</v>
      </c>
      <c r="X945" s="9">
        <v>18</v>
      </c>
    </row>
    <row r="946" spans="1:24" s="41" customFormat="1">
      <c r="A946" s="42">
        <v>46107</v>
      </c>
      <c r="B946" s="43" t="s">
        <v>964</v>
      </c>
      <c r="C946" s="44"/>
      <c r="D946" s="44"/>
      <c r="E946" s="44"/>
      <c r="F946" s="44"/>
      <c r="G946" s="44"/>
      <c r="H946" s="44"/>
      <c r="I946" s="44"/>
      <c r="J946" s="44"/>
      <c r="K946" s="44"/>
      <c r="L946" s="44"/>
      <c r="M946" s="44">
        <f t="shared" si="14"/>
        <v>3088</v>
      </c>
      <c r="N946" s="45">
        <f t="shared" si="15"/>
        <v>3088</v>
      </c>
      <c r="O946" s="9">
        <v>110</v>
      </c>
      <c r="P946" s="9">
        <v>1</v>
      </c>
      <c r="Q946" s="9">
        <v>120</v>
      </c>
      <c r="R946" s="9">
        <v>530</v>
      </c>
      <c r="S946" s="9">
        <v>150</v>
      </c>
      <c r="T946" s="9">
        <v>815</v>
      </c>
      <c r="U946" s="9">
        <v>1072</v>
      </c>
      <c r="V946" s="9">
        <v>170</v>
      </c>
      <c r="W946" s="10">
        <v>102</v>
      </c>
      <c r="X946" s="9">
        <v>18</v>
      </c>
    </row>
    <row r="947" spans="1:24" s="41" customFormat="1">
      <c r="A947" s="42">
        <v>46108</v>
      </c>
      <c r="B947" s="43" t="s">
        <v>964</v>
      </c>
      <c r="C947" s="44"/>
      <c r="D947" s="44"/>
      <c r="E947" s="44"/>
      <c r="F947" s="44"/>
      <c r="G947" s="44"/>
      <c r="H947" s="44"/>
      <c r="I947" s="44"/>
      <c r="J947" s="44"/>
      <c r="K947" s="44"/>
      <c r="L947" s="44"/>
      <c r="M947" s="44">
        <f t="shared" si="14"/>
        <v>3097</v>
      </c>
      <c r="N947" s="45">
        <f t="shared" si="15"/>
        <v>3097</v>
      </c>
      <c r="O947" s="9">
        <v>110</v>
      </c>
      <c r="P947" s="9">
        <v>1</v>
      </c>
      <c r="Q947" s="9">
        <v>120</v>
      </c>
      <c r="R947" s="9">
        <v>530</v>
      </c>
      <c r="S947" s="9">
        <v>150</v>
      </c>
      <c r="T947" s="9">
        <v>815</v>
      </c>
      <c r="U947" s="9">
        <v>1072</v>
      </c>
      <c r="V947" s="9">
        <v>170</v>
      </c>
      <c r="W947" s="10">
        <v>111</v>
      </c>
      <c r="X947" s="9">
        <v>18</v>
      </c>
    </row>
    <row r="948" spans="1:24" s="41" customFormat="1">
      <c r="A948" s="42">
        <v>46109</v>
      </c>
      <c r="B948" s="43" t="s">
        <v>964</v>
      </c>
      <c r="C948" s="44"/>
      <c r="D948" s="44"/>
      <c r="E948" s="44"/>
      <c r="F948" s="44"/>
      <c r="G948" s="44"/>
      <c r="H948" s="44"/>
      <c r="I948" s="44"/>
      <c r="J948" s="44"/>
      <c r="K948" s="44"/>
      <c r="L948" s="44"/>
      <c r="M948" s="44">
        <f t="shared" si="14"/>
        <v>3237</v>
      </c>
      <c r="N948" s="45">
        <f t="shared" si="15"/>
        <v>3237</v>
      </c>
      <c r="O948" s="9">
        <v>110</v>
      </c>
      <c r="P948" s="9">
        <v>1</v>
      </c>
      <c r="Q948" s="9">
        <v>120</v>
      </c>
      <c r="R948" s="9">
        <v>530</v>
      </c>
      <c r="S948" s="9">
        <v>300</v>
      </c>
      <c r="T948" s="9">
        <v>815</v>
      </c>
      <c r="U948" s="9">
        <v>1072</v>
      </c>
      <c r="V948" s="9">
        <v>170</v>
      </c>
      <c r="W948" s="10">
        <v>119</v>
      </c>
      <c r="X948" s="9">
        <v>0</v>
      </c>
    </row>
    <row r="949" spans="1:24" s="41" customFormat="1">
      <c r="A949" s="42">
        <v>46110</v>
      </c>
      <c r="B949" s="43" t="s">
        <v>964</v>
      </c>
      <c r="C949" s="44"/>
      <c r="D949" s="44"/>
      <c r="E949" s="44"/>
      <c r="F949" s="44"/>
      <c r="G949" s="44"/>
      <c r="H949" s="44"/>
      <c r="I949" s="44"/>
      <c r="J949" s="44"/>
      <c r="K949" s="44"/>
      <c r="L949" s="44"/>
      <c r="M949" s="44">
        <f t="shared" si="14"/>
        <v>3222</v>
      </c>
      <c r="N949" s="45">
        <f t="shared" si="15"/>
        <v>3222</v>
      </c>
      <c r="O949" s="9">
        <v>110</v>
      </c>
      <c r="P949" s="9">
        <v>1</v>
      </c>
      <c r="Q949" s="9">
        <v>120</v>
      </c>
      <c r="R949" s="9">
        <v>530</v>
      </c>
      <c r="S949" s="9">
        <v>300</v>
      </c>
      <c r="T949" s="9">
        <v>815</v>
      </c>
      <c r="U949" s="9">
        <v>1072</v>
      </c>
      <c r="V949" s="9">
        <v>170</v>
      </c>
      <c r="W949" s="10">
        <v>104</v>
      </c>
      <c r="X949" s="9">
        <v>0</v>
      </c>
    </row>
    <row r="950" spans="1:24" s="41" customFormat="1">
      <c r="A950" s="42">
        <v>46111</v>
      </c>
      <c r="B950" s="43" t="s">
        <v>964</v>
      </c>
      <c r="C950" s="44"/>
      <c r="D950" s="44"/>
      <c r="E950" s="44"/>
      <c r="F950" s="44"/>
      <c r="G950" s="44"/>
      <c r="H950" s="44"/>
      <c r="I950" s="44"/>
      <c r="J950" s="44"/>
      <c r="K950" s="44"/>
      <c r="L950" s="44"/>
      <c r="M950" s="44">
        <f t="shared" si="14"/>
        <v>2058</v>
      </c>
      <c r="N950" s="45">
        <f t="shared" si="15"/>
        <v>2058</v>
      </c>
      <c r="O950" s="9">
        <v>110</v>
      </c>
      <c r="P950" s="9">
        <v>1</v>
      </c>
      <c r="Q950" s="9">
        <v>120</v>
      </c>
      <c r="R950" s="9">
        <v>530</v>
      </c>
      <c r="S950" s="9">
        <v>150</v>
      </c>
      <c r="T950" s="9">
        <v>815</v>
      </c>
      <c r="U950" s="9">
        <v>0</v>
      </c>
      <c r="V950" s="9">
        <v>170</v>
      </c>
      <c r="W950" s="10">
        <v>144</v>
      </c>
      <c r="X950" s="9">
        <v>18</v>
      </c>
    </row>
    <row r="951" spans="1:24" s="41" customFormat="1">
      <c r="A951" s="42">
        <v>46112</v>
      </c>
      <c r="B951" s="43" t="s">
        <v>964</v>
      </c>
      <c r="C951" s="44"/>
      <c r="D951" s="44"/>
      <c r="E951" s="44"/>
      <c r="F951" s="44"/>
      <c r="G951" s="44"/>
      <c r="H951" s="44"/>
      <c r="I951" s="44"/>
      <c r="J951" s="44"/>
      <c r="K951" s="44"/>
      <c r="L951" s="44"/>
      <c r="M951" s="44">
        <f t="shared" si="14"/>
        <v>2054</v>
      </c>
      <c r="N951" s="45">
        <f t="shared" si="15"/>
        <v>2054</v>
      </c>
      <c r="O951" s="9">
        <v>110</v>
      </c>
      <c r="P951" s="9">
        <v>1</v>
      </c>
      <c r="Q951" s="9">
        <v>120</v>
      </c>
      <c r="R951" s="9">
        <v>530</v>
      </c>
      <c r="S951" s="9">
        <v>150</v>
      </c>
      <c r="T951" s="9">
        <v>815</v>
      </c>
      <c r="U951" s="9">
        <v>0</v>
      </c>
      <c r="V951" s="9">
        <v>170</v>
      </c>
      <c r="W951" s="10">
        <v>138</v>
      </c>
      <c r="X951" s="9">
        <v>20</v>
      </c>
    </row>
    <row r="952" spans="1:24" s="41" customFormat="1">
      <c r="A952" s="42">
        <v>46113</v>
      </c>
      <c r="B952" s="43" t="s">
        <v>964</v>
      </c>
      <c r="C952" s="44">
        <v>154.33684</v>
      </c>
      <c r="D952" s="44">
        <v>123.91236000000001</v>
      </c>
      <c r="E952" s="44">
        <v>91.947400000000002</v>
      </c>
      <c r="F952" s="44">
        <v>257.35644000000002</v>
      </c>
      <c r="G952" s="44">
        <v>134.11804000000001</v>
      </c>
      <c r="H952" s="44">
        <v>144.70884000000001</v>
      </c>
      <c r="I952" s="44">
        <v>133.25152</v>
      </c>
      <c r="J952" s="44">
        <v>101.96052</v>
      </c>
      <c r="K952" s="44">
        <v>163.19460000000001</v>
      </c>
      <c r="L952" s="44">
        <v>139.41344000000001</v>
      </c>
      <c r="M952" s="44">
        <f t="shared" si="14"/>
        <v>962.79999999999973</v>
      </c>
      <c r="N952" s="45">
        <v>2407</v>
      </c>
      <c r="O952" s="44">
        <v>132</v>
      </c>
      <c r="P952" s="44">
        <v>2</v>
      </c>
      <c r="Q952" s="44">
        <v>130</v>
      </c>
      <c r="R952" s="44">
        <v>546</v>
      </c>
      <c r="S952" s="44">
        <v>150</v>
      </c>
      <c r="T952" s="44">
        <v>834</v>
      </c>
      <c r="U952" s="44">
        <v>0</v>
      </c>
      <c r="V952" s="44">
        <v>186</v>
      </c>
      <c r="W952" s="44">
        <v>407</v>
      </c>
      <c r="X952" s="44">
        <v>20</v>
      </c>
    </row>
    <row r="953" spans="1:24" s="41" customFormat="1">
      <c r="A953" s="42">
        <v>46114</v>
      </c>
      <c r="B953" s="43" t="s">
        <v>964</v>
      </c>
      <c r="C953" s="44">
        <v>153.95211999999998</v>
      </c>
      <c r="D953" s="44">
        <v>123.60347999999999</v>
      </c>
      <c r="E953" s="44">
        <v>91.718199999999996</v>
      </c>
      <c r="F953" s="44">
        <v>256.71492000000001</v>
      </c>
      <c r="G953" s="44">
        <v>133.78371999999999</v>
      </c>
      <c r="H953" s="44">
        <v>144.34811999999999</v>
      </c>
      <c r="I953" s="44">
        <v>132.91935999999998</v>
      </c>
      <c r="J953" s="44">
        <v>101.70635999999999</v>
      </c>
      <c r="K953" s="44">
        <v>162.7878</v>
      </c>
      <c r="L953" s="44">
        <v>139.06591999999998</v>
      </c>
      <c r="M953" s="44">
        <f t="shared" si="14"/>
        <v>960.40000000000009</v>
      </c>
      <c r="N953" s="45">
        <v>2401</v>
      </c>
      <c r="O953" s="44">
        <v>132</v>
      </c>
      <c r="P953" s="44">
        <v>2</v>
      </c>
      <c r="Q953" s="44">
        <v>130</v>
      </c>
      <c r="R953" s="44">
        <v>546</v>
      </c>
      <c r="S953" s="44">
        <v>150</v>
      </c>
      <c r="T953" s="44">
        <v>834</v>
      </c>
      <c r="U953" s="44">
        <v>0</v>
      </c>
      <c r="V953" s="44">
        <v>186</v>
      </c>
      <c r="W953" s="44">
        <v>401</v>
      </c>
      <c r="X953" s="44">
        <v>20</v>
      </c>
    </row>
    <row r="954" spans="1:24" s="41" customFormat="1">
      <c r="A954" s="42">
        <v>46115</v>
      </c>
      <c r="B954" s="43" t="s">
        <v>964</v>
      </c>
      <c r="C954" s="44">
        <v>173.05987999999999</v>
      </c>
      <c r="D954" s="44">
        <v>138.94451999999998</v>
      </c>
      <c r="E954" s="44">
        <v>103.10179999999998</v>
      </c>
      <c r="F954" s="44">
        <v>288.57707999999997</v>
      </c>
      <c r="G954" s="44">
        <v>150.38827999999998</v>
      </c>
      <c r="H954" s="44">
        <v>162.26387999999997</v>
      </c>
      <c r="I954" s="44">
        <v>149.41663999999997</v>
      </c>
      <c r="J954" s="44">
        <v>114.32963999999998</v>
      </c>
      <c r="K954" s="44">
        <v>182.9922</v>
      </c>
      <c r="L954" s="44">
        <v>156.32607999999999</v>
      </c>
      <c r="M954" s="44">
        <f t="shared" si="14"/>
        <v>1079.6000000000001</v>
      </c>
      <c r="N954" s="45">
        <v>2699</v>
      </c>
      <c r="O954" s="44">
        <v>132</v>
      </c>
      <c r="P954" s="44">
        <v>2</v>
      </c>
      <c r="Q954" s="44">
        <v>130</v>
      </c>
      <c r="R954" s="44">
        <v>546</v>
      </c>
      <c r="S954" s="44">
        <v>300</v>
      </c>
      <c r="T954" s="44">
        <v>834</v>
      </c>
      <c r="U954" s="44">
        <v>100</v>
      </c>
      <c r="V954" s="44">
        <v>186</v>
      </c>
      <c r="W954" s="44">
        <v>449</v>
      </c>
      <c r="X954" s="44">
        <v>20</v>
      </c>
    </row>
    <row r="955" spans="1:24" s="41" customFormat="1">
      <c r="A955" s="42">
        <v>46116</v>
      </c>
      <c r="B955" s="43" t="s">
        <v>964</v>
      </c>
      <c r="C955" s="44">
        <v>169.46915999999999</v>
      </c>
      <c r="D955" s="44">
        <v>136.06164000000001</v>
      </c>
      <c r="E955" s="44">
        <v>100.96259999999999</v>
      </c>
      <c r="F955" s="44">
        <v>282.58956000000001</v>
      </c>
      <c r="G955" s="44">
        <v>147.26795999999999</v>
      </c>
      <c r="H955" s="44">
        <v>158.89715999999999</v>
      </c>
      <c r="I955" s="44">
        <v>146.31647999999998</v>
      </c>
      <c r="J955" s="44">
        <v>111.95747999999999</v>
      </c>
      <c r="K955" s="44">
        <v>179.19540000000001</v>
      </c>
      <c r="L955" s="44">
        <v>153.08256</v>
      </c>
      <c r="M955" s="44">
        <f t="shared" si="14"/>
        <v>1057.1999999999998</v>
      </c>
      <c r="N955" s="45">
        <v>2643</v>
      </c>
      <c r="O955" s="44">
        <v>132</v>
      </c>
      <c r="P955" s="44">
        <v>2</v>
      </c>
      <c r="Q955" s="44">
        <v>130</v>
      </c>
      <c r="R955" s="44">
        <v>546</v>
      </c>
      <c r="S955" s="44">
        <v>300</v>
      </c>
      <c r="T955" s="44">
        <v>834</v>
      </c>
      <c r="U955" s="44">
        <v>100</v>
      </c>
      <c r="V955" s="44">
        <v>186</v>
      </c>
      <c r="W955" s="44">
        <v>413</v>
      </c>
      <c r="X955" s="44">
        <v>0</v>
      </c>
    </row>
    <row r="956" spans="1:24" s="41" customFormat="1">
      <c r="A956" s="42">
        <v>46117</v>
      </c>
      <c r="B956" s="43" t="s">
        <v>964</v>
      </c>
      <c r="C956" s="44">
        <v>171.45687999999998</v>
      </c>
      <c r="D956" s="44">
        <v>137.65751999999998</v>
      </c>
      <c r="E956" s="44">
        <v>102.14679999999998</v>
      </c>
      <c r="F956" s="44">
        <v>285.90407999999996</v>
      </c>
      <c r="G956" s="44">
        <v>148.99527999999998</v>
      </c>
      <c r="H956" s="44">
        <v>160.76087999999999</v>
      </c>
      <c r="I956" s="44">
        <v>148.03263999999999</v>
      </c>
      <c r="J956" s="44">
        <v>113.27063999999999</v>
      </c>
      <c r="K956" s="44">
        <v>181.2972</v>
      </c>
      <c r="L956" s="44">
        <v>154.87807999999998</v>
      </c>
      <c r="M956" s="44">
        <f t="shared" si="14"/>
        <v>1069.6000000000004</v>
      </c>
      <c r="N956" s="45">
        <v>2674</v>
      </c>
      <c r="O956" s="44">
        <v>132</v>
      </c>
      <c r="P956" s="44">
        <v>2</v>
      </c>
      <c r="Q956" s="44">
        <v>130</v>
      </c>
      <c r="R956" s="44">
        <v>546</v>
      </c>
      <c r="S956" s="44">
        <v>300</v>
      </c>
      <c r="T956" s="44">
        <v>834</v>
      </c>
      <c r="U956" s="44">
        <v>100</v>
      </c>
      <c r="V956" s="44">
        <v>186</v>
      </c>
      <c r="W956" s="44">
        <v>444</v>
      </c>
      <c r="X956" s="44">
        <v>0</v>
      </c>
    </row>
    <row r="957" spans="1:24" s="41" customFormat="1">
      <c r="A957" s="42">
        <v>46118</v>
      </c>
      <c r="B957" s="43" t="s">
        <v>964</v>
      </c>
      <c r="C957" s="44">
        <v>162.73656</v>
      </c>
      <c r="D957" s="44">
        <v>130.65624</v>
      </c>
      <c r="E957" s="44">
        <v>96.951599999999985</v>
      </c>
      <c r="F957" s="44">
        <v>271.36295999999999</v>
      </c>
      <c r="G957" s="44">
        <v>141.41736</v>
      </c>
      <c r="H957" s="44">
        <v>152.58455999999998</v>
      </c>
      <c r="I957" s="44">
        <v>140.50368</v>
      </c>
      <c r="J957" s="44">
        <v>107.50967999999999</v>
      </c>
      <c r="K957" s="44">
        <v>172.07640000000001</v>
      </c>
      <c r="L957" s="44">
        <v>147.00095999999999</v>
      </c>
      <c r="M957" s="44">
        <f t="shared" si="14"/>
        <v>1015.2000000000003</v>
      </c>
      <c r="N957" s="45">
        <v>2538</v>
      </c>
      <c r="O957" s="44">
        <v>132</v>
      </c>
      <c r="P957" s="44">
        <v>2</v>
      </c>
      <c r="Q957" s="44">
        <v>130</v>
      </c>
      <c r="R957" s="44">
        <v>546</v>
      </c>
      <c r="S957" s="44">
        <v>130</v>
      </c>
      <c r="T957" s="44">
        <v>834</v>
      </c>
      <c r="U957" s="44">
        <v>100</v>
      </c>
      <c r="V957" s="44">
        <v>186</v>
      </c>
      <c r="W957" s="44">
        <v>458</v>
      </c>
      <c r="X957" s="44">
        <v>20</v>
      </c>
    </row>
    <row r="958" spans="1:24" s="41" customFormat="1">
      <c r="A958" s="42">
        <v>46119</v>
      </c>
      <c r="B958" s="43" t="s">
        <v>964</v>
      </c>
      <c r="C958" s="44">
        <v>169.59739999999999</v>
      </c>
      <c r="D958" s="44">
        <v>136.16460000000001</v>
      </c>
      <c r="E958" s="44">
        <v>101.03899999999999</v>
      </c>
      <c r="F958" s="44">
        <v>282.80340000000001</v>
      </c>
      <c r="G958" s="44">
        <v>147.3794</v>
      </c>
      <c r="H958" s="44">
        <v>159.01740000000001</v>
      </c>
      <c r="I958" s="44">
        <v>146.4272</v>
      </c>
      <c r="J958" s="44">
        <v>112.04219999999999</v>
      </c>
      <c r="K958" s="44">
        <v>179.33100000000002</v>
      </c>
      <c r="L958" s="44">
        <v>153.19839999999999</v>
      </c>
      <c r="M958" s="44">
        <f t="shared" si="14"/>
        <v>1057.9999999999998</v>
      </c>
      <c r="N958" s="45">
        <v>2645</v>
      </c>
      <c r="O958" s="44">
        <v>133</v>
      </c>
      <c r="P958" s="44">
        <v>4</v>
      </c>
      <c r="Q958" s="44">
        <v>132</v>
      </c>
      <c r="R958" s="44">
        <v>547</v>
      </c>
      <c r="S958" s="44">
        <v>151</v>
      </c>
      <c r="T958" s="44">
        <v>837</v>
      </c>
      <c r="U958" s="44">
        <v>100</v>
      </c>
      <c r="V958" s="44">
        <v>188</v>
      </c>
      <c r="W958" s="44">
        <v>533</v>
      </c>
      <c r="X958" s="44">
        <v>20</v>
      </c>
    </row>
    <row r="959" spans="1:24" s="41" customFormat="1">
      <c r="A959" s="42">
        <v>46120</v>
      </c>
      <c r="B959" s="43" t="s">
        <v>964</v>
      </c>
      <c r="C959" s="44">
        <v>573.93811999999991</v>
      </c>
      <c r="D959" s="44">
        <v>460.79747999999995</v>
      </c>
      <c r="E959" s="44">
        <v>341.92819999999995</v>
      </c>
      <c r="F959" s="44">
        <v>957.04091999999991</v>
      </c>
      <c r="G959" s="44">
        <v>498.74971999999997</v>
      </c>
      <c r="H959" s="44">
        <v>538.13411999999994</v>
      </c>
      <c r="I959" s="44">
        <v>495.52735999999993</v>
      </c>
      <c r="J959" s="44">
        <v>379.16435999999993</v>
      </c>
      <c r="K959" s="44">
        <v>606.87779999999998</v>
      </c>
      <c r="L959" s="44">
        <v>518.44191999999998</v>
      </c>
      <c r="M959" s="44">
        <f t="shared" si="14"/>
        <v>3580.4000000000005</v>
      </c>
      <c r="N959" s="45">
        <v>8951</v>
      </c>
      <c r="O959" s="44">
        <v>963</v>
      </c>
      <c r="P959" s="44">
        <v>31</v>
      </c>
      <c r="Q959" s="44">
        <v>1298</v>
      </c>
      <c r="R959" s="44">
        <v>1308</v>
      </c>
      <c r="S959" s="44">
        <v>1172</v>
      </c>
      <c r="T959" s="44">
        <v>1308</v>
      </c>
      <c r="U959" s="44">
        <v>1486</v>
      </c>
      <c r="V959" s="44">
        <v>491</v>
      </c>
      <c r="W959" s="44">
        <v>852</v>
      </c>
      <c r="X959" s="44">
        <v>42</v>
      </c>
    </row>
    <row r="960" spans="1:24" s="41" customFormat="1">
      <c r="A960" s="42">
        <v>46121</v>
      </c>
      <c r="B960" s="43" t="s">
        <v>964</v>
      </c>
      <c r="C960" s="44">
        <v>574.38696000000004</v>
      </c>
      <c r="D960" s="44">
        <v>461.15784000000002</v>
      </c>
      <c r="E960" s="44">
        <v>342.19560000000001</v>
      </c>
      <c r="F960" s="44">
        <v>957.78935999999999</v>
      </c>
      <c r="G960" s="44">
        <v>499.13976000000002</v>
      </c>
      <c r="H960" s="44">
        <v>538.55496000000005</v>
      </c>
      <c r="I960" s="44">
        <v>495.91487999999998</v>
      </c>
      <c r="J960" s="44">
        <v>379.46087999999997</v>
      </c>
      <c r="K960" s="44">
        <v>607.35239999999999</v>
      </c>
      <c r="L960" s="44">
        <v>518.84735999999998</v>
      </c>
      <c r="M960" s="44">
        <f t="shared" si="14"/>
        <v>3583.2000000000007</v>
      </c>
      <c r="N960" s="45">
        <v>8958</v>
      </c>
      <c r="O960" s="44">
        <v>961</v>
      </c>
      <c r="P960" s="44">
        <v>27</v>
      </c>
      <c r="Q960" s="44">
        <v>1287</v>
      </c>
      <c r="R960" s="44">
        <v>1315</v>
      </c>
      <c r="S960" s="44">
        <v>1179</v>
      </c>
      <c r="T960" s="44">
        <v>1315</v>
      </c>
      <c r="U960" s="44">
        <v>1487</v>
      </c>
      <c r="V960" s="44">
        <v>499</v>
      </c>
      <c r="W960" s="44">
        <v>852</v>
      </c>
      <c r="X960" s="44">
        <v>36</v>
      </c>
    </row>
    <row r="961" spans="1:24" s="41" customFormat="1">
      <c r="A961" s="42">
        <v>46122</v>
      </c>
      <c r="B961" s="43" t="s">
        <v>964</v>
      </c>
      <c r="C961" s="44">
        <v>573.6175199999999</v>
      </c>
      <c r="D961" s="44">
        <v>460.54007999999993</v>
      </c>
      <c r="E961" s="44">
        <v>341.73719999999997</v>
      </c>
      <c r="F961" s="44">
        <v>956.50631999999985</v>
      </c>
      <c r="G961" s="44">
        <v>498.47111999999993</v>
      </c>
      <c r="H961" s="44">
        <v>537.83351999999991</v>
      </c>
      <c r="I961" s="44">
        <v>495.25055999999995</v>
      </c>
      <c r="J961" s="44">
        <v>378.95255999999995</v>
      </c>
      <c r="K961" s="44">
        <v>606.53879999999992</v>
      </c>
      <c r="L961" s="44">
        <v>518.15231999999992</v>
      </c>
      <c r="M961" s="44">
        <f t="shared" si="14"/>
        <v>3578.3999999999996</v>
      </c>
      <c r="N961" s="45">
        <v>8946</v>
      </c>
      <c r="O961" s="44">
        <v>961</v>
      </c>
      <c r="P961" s="44">
        <v>27</v>
      </c>
      <c r="Q961" s="44">
        <v>1287</v>
      </c>
      <c r="R961" s="44">
        <v>1315</v>
      </c>
      <c r="S961" s="44">
        <v>1179</v>
      </c>
      <c r="T961" s="44">
        <v>1315</v>
      </c>
      <c r="U961" s="44">
        <v>1487</v>
      </c>
      <c r="V961" s="44">
        <v>499</v>
      </c>
      <c r="W961" s="44">
        <v>840</v>
      </c>
      <c r="X961" s="44">
        <v>36</v>
      </c>
    </row>
    <row r="962" spans="1:24" s="41" customFormat="1">
      <c r="A962" s="42">
        <v>46123</v>
      </c>
      <c r="B962" s="43" t="s">
        <v>964</v>
      </c>
      <c r="C962" s="44">
        <v>579.83716000000004</v>
      </c>
      <c r="D962" s="44">
        <v>465.53364000000005</v>
      </c>
      <c r="E962" s="44">
        <v>345.44259999999997</v>
      </c>
      <c r="F962" s="44">
        <v>966.87756000000002</v>
      </c>
      <c r="G962" s="44">
        <v>503.87596000000002</v>
      </c>
      <c r="H962" s="44">
        <v>543.66516000000001</v>
      </c>
      <c r="I962" s="44">
        <v>500.62047999999999</v>
      </c>
      <c r="J962" s="44">
        <v>383.06148000000002</v>
      </c>
      <c r="K962" s="44">
        <v>613.11540000000002</v>
      </c>
      <c r="L962" s="44">
        <v>523.77056000000005</v>
      </c>
      <c r="M962" s="44">
        <f t="shared" si="14"/>
        <v>3617.2000000000007</v>
      </c>
      <c r="N962" s="45">
        <v>9043</v>
      </c>
      <c r="O962" s="44">
        <v>961</v>
      </c>
      <c r="P962" s="44">
        <v>27</v>
      </c>
      <c r="Q962" s="44">
        <v>1287</v>
      </c>
      <c r="R962" s="44">
        <v>1315</v>
      </c>
      <c r="S962" s="44">
        <v>1179</v>
      </c>
      <c r="T962" s="44">
        <v>1315</v>
      </c>
      <c r="U962" s="44">
        <v>1487</v>
      </c>
      <c r="V962" s="44">
        <v>499</v>
      </c>
      <c r="W962" s="44">
        <v>937</v>
      </c>
      <c r="X962" s="44">
        <v>36</v>
      </c>
    </row>
    <row r="963" spans="1:24" s="41" customFormat="1">
      <c r="A963" s="42">
        <v>46124</v>
      </c>
      <c r="B963" s="43" t="s">
        <v>964</v>
      </c>
      <c r="C963" s="44">
        <v>580.79895999999997</v>
      </c>
      <c r="D963" s="44">
        <v>466.30584000000005</v>
      </c>
      <c r="E963" s="44">
        <v>346.01560000000001</v>
      </c>
      <c r="F963" s="44">
        <v>968.48136</v>
      </c>
      <c r="G963" s="44">
        <v>504.71176000000003</v>
      </c>
      <c r="H963" s="44">
        <v>544.56695999999999</v>
      </c>
      <c r="I963" s="44">
        <v>501.45087999999998</v>
      </c>
      <c r="J963" s="44">
        <v>383.69687999999996</v>
      </c>
      <c r="K963" s="44">
        <v>614.13240000000008</v>
      </c>
      <c r="L963" s="44">
        <v>524.63936000000001</v>
      </c>
      <c r="M963" s="44">
        <f t="shared" ref="M963:M1026" si="16">N963-SUM(C963:L963)</f>
        <v>3623.2</v>
      </c>
      <c r="N963" s="45">
        <v>9058</v>
      </c>
      <c r="O963" s="44">
        <v>961</v>
      </c>
      <c r="P963" s="44">
        <v>27</v>
      </c>
      <c r="Q963" s="44">
        <v>1287</v>
      </c>
      <c r="R963" s="44">
        <v>1315</v>
      </c>
      <c r="S963" s="44">
        <v>1179</v>
      </c>
      <c r="T963" s="44">
        <v>1315</v>
      </c>
      <c r="U963" s="44">
        <v>1487</v>
      </c>
      <c r="V963" s="44">
        <v>499</v>
      </c>
      <c r="W963" s="44">
        <v>952</v>
      </c>
      <c r="X963" s="44">
        <v>36</v>
      </c>
    </row>
    <row r="964" spans="1:24" s="41" customFormat="1">
      <c r="A964" s="42">
        <v>46125</v>
      </c>
      <c r="B964" s="43" t="s">
        <v>964</v>
      </c>
      <c r="C964" s="44">
        <v>576.63116000000002</v>
      </c>
      <c r="D964" s="44">
        <v>462.95964000000004</v>
      </c>
      <c r="E964" s="44">
        <v>343.5326</v>
      </c>
      <c r="F964" s="44">
        <v>961.53156000000001</v>
      </c>
      <c r="G964" s="44">
        <v>501.08996000000002</v>
      </c>
      <c r="H964" s="44">
        <v>540.65916000000004</v>
      </c>
      <c r="I964" s="44">
        <v>497.85248000000001</v>
      </c>
      <c r="J964" s="44">
        <v>380.94347999999997</v>
      </c>
      <c r="K964" s="44">
        <v>609.72540000000004</v>
      </c>
      <c r="L964" s="44">
        <v>520.87455999999997</v>
      </c>
      <c r="M964" s="44">
        <f t="shared" si="16"/>
        <v>3597.1999999999989</v>
      </c>
      <c r="N964" s="45">
        <v>8993</v>
      </c>
      <c r="O964" s="44">
        <v>961</v>
      </c>
      <c r="P964" s="44">
        <v>27</v>
      </c>
      <c r="Q964" s="44">
        <v>1287</v>
      </c>
      <c r="R964" s="44">
        <v>1315</v>
      </c>
      <c r="S964" s="44">
        <v>1179</v>
      </c>
      <c r="T964" s="44">
        <v>1315</v>
      </c>
      <c r="U964" s="44">
        <v>1487</v>
      </c>
      <c r="V964" s="44">
        <v>499</v>
      </c>
      <c r="W964" s="44">
        <v>887</v>
      </c>
      <c r="X964" s="44">
        <v>36</v>
      </c>
    </row>
    <row r="965" spans="1:24" s="41" customFormat="1">
      <c r="A965" s="42">
        <v>46126</v>
      </c>
      <c r="B965" s="43" t="s">
        <v>964</v>
      </c>
      <c r="C965" s="44">
        <v>572.27099999999996</v>
      </c>
      <c r="D965" s="44">
        <v>459.459</v>
      </c>
      <c r="E965" s="44">
        <v>340.935</v>
      </c>
      <c r="F965" s="44">
        <v>954.26099999999997</v>
      </c>
      <c r="G965" s="44">
        <v>497.30099999999999</v>
      </c>
      <c r="H965" s="44">
        <v>536.57100000000003</v>
      </c>
      <c r="I965" s="44">
        <v>494.08799999999997</v>
      </c>
      <c r="J965" s="44">
        <v>378.06299999999999</v>
      </c>
      <c r="K965" s="44">
        <v>605.11500000000001</v>
      </c>
      <c r="L965" s="44">
        <v>516.93600000000004</v>
      </c>
      <c r="M965" s="44">
        <f t="shared" si="16"/>
        <v>3570.0000000000009</v>
      </c>
      <c r="N965" s="45">
        <v>8925</v>
      </c>
      <c r="O965" s="44">
        <v>961</v>
      </c>
      <c r="P965" s="44">
        <v>27</v>
      </c>
      <c r="Q965" s="44">
        <v>1287</v>
      </c>
      <c r="R965" s="44">
        <v>1315</v>
      </c>
      <c r="S965" s="44">
        <v>1179</v>
      </c>
      <c r="T965" s="44">
        <v>1315</v>
      </c>
      <c r="U965" s="44">
        <v>1487</v>
      </c>
      <c r="V965" s="44">
        <v>499</v>
      </c>
      <c r="W965" s="44">
        <v>819</v>
      </c>
      <c r="X965" s="44">
        <v>36</v>
      </c>
    </row>
    <row r="966" spans="1:24" s="41" customFormat="1">
      <c r="A966" s="42">
        <v>46127</v>
      </c>
      <c r="B966" s="43" t="s">
        <v>964</v>
      </c>
      <c r="C966" s="44">
        <v>569.70619999999997</v>
      </c>
      <c r="D966" s="44">
        <v>457.39980000000003</v>
      </c>
      <c r="E966" s="44">
        <v>339.40699999999998</v>
      </c>
      <c r="F966" s="44">
        <v>949.98419999999999</v>
      </c>
      <c r="G966" s="44">
        <v>495.07220000000001</v>
      </c>
      <c r="H966" s="44">
        <v>534.1662</v>
      </c>
      <c r="I966" s="44">
        <v>491.87360000000001</v>
      </c>
      <c r="J966" s="44">
        <v>376.36859999999996</v>
      </c>
      <c r="K966" s="44">
        <v>602.40300000000002</v>
      </c>
      <c r="L966" s="44">
        <v>514.61919999999998</v>
      </c>
      <c r="M966" s="44">
        <f t="shared" si="16"/>
        <v>3554</v>
      </c>
      <c r="N966" s="45">
        <v>8885</v>
      </c>
      <c r="O966" s="44">
        <v>961</v>
      </c>
      <c r="P966" s="44">
        <v>27</v>
      </c>
      <c r="Q966" s="44">
        <v>1287</v>
      </c>
      <c r="R966" s="44">
        <v>1315</v>
      </c>
      <c r="S966" s="44">
        <v>1179</v>
      </c>
      <c r="T966" s="44">
        <v>1315</v>
      </c>
      <c r="U966" s="44">
        <v>1487</v>
      </c>
      <c r="V966" s="44">
        <v>499</v>
      </c>
      <c r="W966" s="44">
        <v>779</v>
      </c>
      <c r="X966" s="44">
        <v>36</v>
      </c>
    </row>
    <row r="967" spans="1:24" s="41" customFormat="1">
      <c r="A967" s="42">
        <v>46128</v>
      </c>
      <c r="B967" s="43" t="s">
        <v>964</v>
      </c>
      <c r="C967" s="44">
        <v>573.48928000000001</v>
      </c>
      <c r="D967" s="44">
        <v>460.43711999999999</v>
      </c>
      <c r="E967" s="44">
        <v>341.66079999999994</v>
      </c>
      <c r="F967" s="44">
        <v>956.29247999999995</v>
      </c>
      <c r="G967" s="44">
        <v>498.35967999999997</v>
      </c>
      <c r="H967" s="44">
        <v>537.71327999999994</v>
      </c>
      <c r="I967" s="44">
        <v>495.13983999999994</v>
      </c>
      <c r="J967" s="44">
        <v>378.86783999999994</v>
      </c>
      <c r="K967" s="44">
        <v>606.40319999999997</v>
      </c>
      <c r="L967" s="44">
        <v>518.03647999999998</v>
      </c>
      <c r="M967" s="44">
        <f t="shared" si="16"/>
        <v>3577.6000000000004</v>
      </c>
      <c r="N967" s="45">
        <v>8944</v>
      </c>
      <c r="O967" s="44">
        <v>961</v>
      </c>
      <c r="P967" s="44">
        <v>27</v>
      </c>
      <c r="Q967" s="44">
        <v>1287</v>
      </c>
      <c r="R967" s="44">
        <v>1315</v>
      </c>
      <c r="S967" s="44">
        <v>1179</v>
      </c>
      <c r="T967" s="44">
        <v>1315</v>
      </c>
      <c r="U967" s="44">
        <v>1487</v>
      </c>
      <c r="V967" s="44">
        <v>499</v>
      </c>
      <c r="W967" s="44">
        <v>838</v>
      </c>
      <c r="X967" s="44">
        <v>36</v>
      </c>
    </row>
    <row r="968" spans="1:24" s="41" customFormat="1">
      <c r="A968" s="42">
        <v>46129</v>
      </c>
      <c r="B968" s="43" t="s">
        <v>964</v>
      </c>
      <c r="C968" s="44">
        <v>575.47699999999998</v>
      </c>
      <c r="D968" s="44">
        <v>462.03300000000002</v>
      </c>
      <c r="E968" s="44">
        <v>342.84499999999997</v>
      </c>
      <c r="F968" s="44">
        <v>959.60699999999997</v>
      </c>
      <c r="G968" s="44">
        <v>500.08699999999999</v>
      </c>
      <c r="H968" s="44">
        <v>539.577</v>
      </c>
      <c r="I968" s="44">
        <v>496.85599999999999</v>
      </c>
      <c r="J968" s="44">
        <v>380.18099999999998</v>
      </c>
      <c r="K968" s="44">
        <v>608.505</v>
      </c>
      <c r="L968" s="44">
        <v>519.83199999999999</v>
      </c>
      <c r="M968" s="44">
        <f t="shared" si="16"/>
        <v>3590</v>
      </c>
      <c r="N968" s="45">
        <v>8975</v>
      </c>
      <c r="O968" s="44">
        <v>961</v>
      </c>
      <c r="P968" s="44">
        <v>27</v>
      </c>
      <c r="Q968" s="44">
        <v>1287</v>
      </c>
      <c r="R968" s="44">
        <v>1315</v>
      </c>
      <c r="S968" s="44">
        <v>1179</v>
      </c>
      <c r="T968" s="44">
        <v>1315</v>
      </c>
      <c r="U968" s="44">
        <v>1487</v>
      </c>
      <c r="V968" s="44">
        <v>499</v>
      </c>
      <c r="W968" s="44">
        <v>869</v>
      </c>
      <c r="X968" s="44">
        <v>36</v>
      </c>
    </row>
    <row r="969" spans="1:24" s="41" customFormat="1">
      <c r="A969" s="42">
        <v>46130</v>
      </c>
      <c r="B969" s="43" t="s">
        <v>964</v>
      </c>
      <c r="C969" s="44">
        <v>576.05408</v>
      </c>
      <c r="D969" s="44">
        <v>462.49631999999997</v>
      </c>
      <c r="E969" s="44">
        <v>343.18879999999996</v>
      </c>
      <c r="F969" s="44">
        <v>960.56927999999994</v>
      </c>
      <c r="G969" s="44">
        <v>500.58847999999995</v>
      </c>
      <c r="H969" s="44">
        <v>540.11807999999996</v>
      </c>
      <c r="I969" s="44">
        <v>497.35423999999995</v>
      </c>
      <c r="J969" s="44">
        <v>380.56223999999997</v>
      </c>
      <c r="K969" s="44">
        <v>609.11519999999996</v>
      </c>
      <c r="L969" s="44">
        <v>520.35327999999993</v>
      </c>
      <c r="M969" s="44">
        <f t="shared" si="16"/>
        <v>3593.6000000000004</v>
      </c>
      <c r="N969" s="45">
        <v>8984</v>
      </c>
      <c r="O969" s="44">
        <v>961</v>
      </c>
      <c r="P969" s="44">
        <v>27</v>
      </c>
      <c r="Q969" s="44">
        <v>1287</v>
      </c>
      <c r="R969" s="44">
        <v>1315</v>
      </c>
      <c r="S969" s="44">
        <v>1179</v>
      </c>
      <c r="T969" s="44">
        <v>1315</v>
      </c>
      <c r="U969" s="44">
        <v>1487</v>
      </c>
      <c r="V969" s="44">
        <v>499</v>
      </c>
      <c r="W969" s="44">
        <v>878</v>
      </c>
      <c r="X969" s="44">
        <v>36</v>
      </c>
    </row>
    <row r="970" spans="1:24" s="41" customFormat="1">
      <c r="A970" s="42">
        <v>46131</v>
      </c>
      <c r="B970" s="43" t="s">
        <v>964</v>
      </c>
      <c r="C970" s="44">
        <v>580.60659999999996</v>
      </c>
      <c r="D970" s="44">
        <v>466.15140000000002</v>
      </c>
      <c r="E970" s="44">
        <v>345.90099999999995</v>
      </c>
      <c r="F970" s="44">
        <v>968.16059999999993</v>
      </c>
      <c r="G970" s="44">
        <v>504.5446</v>
      </c>
      <c r="H970" s="44">
        <v>544.38659999999993</v>
      </c>
      <c r="I970" s="44">
        <v>501.28479999999996</v>
      </c>
      <c r="J970" s="44">
        <v>383.56979999999999</v>
      </c>
      <c r="K970" s="44">
        <v>613.92899999999997</v>
      </c>
      <c r="L970" s="44">
        <v>524.46559999999999</v>
      </c>
      <c r="M970" s="44">
        <f t="shared" si="16"/>
        <v>3622</v>
      </c>
      <c r="N970" s="45">
        <v>9055</v>
      </c>
      <c r="O970" s="44">
        <v>961</v>
      </c>
      <c r="P970" s="44">
        <v>27</v>
      </c>
      <c r="Q970" s="44">
        <v>1287</v>
      </c>
      <c r="R970" s="44">
        <v>1315</v>
      </c>
      <c r="S970" s="44">
        <v>1179</v>
      </c>
      <c r="T970" s="44">
        <v>1315</v>
      </c>
      <c r="U970" s="44">
        <v>1487</v>
      </c>
      <c r="V970" s="44">
        <v>499</v>
      </c>
      <c r="W970" s="44">
        <v>949</v>
      </c>
      <c r="X970" s="44">
        <v>36</v>
      </c>
    </row>
    <row r="971" spans="1:24" s="41" customFormat="1">
      <c r="A971" s="42">
        <v>46132</v>
      </c>
      <c r="B971" s="43" t="s">
        <v>964</v>
      </c>
      <c r="C971" s="44">
        <v>580.22187999999994</v>
      </c>
      <c r="D971" s="44">
        <v>465.84251999999998</v>
      </c>
      <c r="E971" s="44">
        <v>345.67179999999996</v>
      </c>
      <c r="F971" s="44">
        <v>967.51907999999992</v>
      </c>
      <c r="G971" s="44">
        <v>504.21027999999995</v>
      </c>
      <c r="H971" s="44">
        <v>544.02587999999992</v>
      </c>
      <c r="I971" s="44">
        <v>500.95263999999997</v>
      </c>
      <c r="J971" s="44">
        <v>383.31563999999997</v>
      </c>
      <c r="K971" s="44">
        <v>613.5222</v>
      </c>
      <c r="L971" s="44">
        <v>524.11807999999996</v>
      </c>
      <c r="M971" s="44">
        <f t="shared" si="16"/>
        <v>3619.5999999999995</v>
      </c>
      <c r="N971" s="45">
        <v>9049</v>
      </c>
      <c r="O971" s="44">
        <v>961</v>
      </c>
      <c r="P971" s="44">
        <v>27</v>
      </c>
      <c r="Q971" s="44">
        <v>1287</v>
      </c>
      <c r="R971" s="44">
        <v>1315</v>
      </c>
      <c r="S971" s="44">
        <v>1179</v>
      </c>
      <c r="T971" s="44">
        <v>1315</v>
      </c>
      <c r="U971" s="44">
        <v>1487</v>
      </c>
      <c r="V971" s="44">
        <v>499</v>
      </c>
      <c r="W971" s="44">
        <v>943</v>
      </c>
      <c r="X971" s="44">
        <v>36</v>
      </c>
    </row>
    <row r="972" spans="1:24" s="41" customFormat="1">
      <c r="A972" s="42">
        <v>46133</v>
      </c>
      <c r="B972" s="43" t="s">
        <v>964</v>
      </c>
      <c r="C972" s="44">
        <v>582.27371999999991</v>
      </c>
      <c r="D972" s="44">
        <v>467.48987999999997</v>
      </c>
      <c r="E972" s="44">
        <v>346.89419999999996</v>
      </c>
      <c r="F972" s="44">
        <v>970.94051999999988</v>
      </c>
      <c r="G972" s="44">
        <v>505.99331999999993</v>
      </c>
      <c r="H972" s="44">
        <v>545.94971999999996</v>
      </c>
      <c r="I972" s="44">
        <v>502.72415999999993</v>
      </c>
      <c r="J972" s="44">
        <v>384.67115999999993</v>
      </c>
      <c r="K972" s="44">
        <v>615.69179999999994</v>
      </c>
      <c r="L972" s="44">
        <v>525.97151999999994</v>
      </c>
      <c r="M972" s="44">
        <f t="shared" si="16"/>
        <v>3632.4000000000005</v>
      </c>
      <c r="N972" s="45">
        <v>9081</v>
      </c>
      <c r="O972" s="44">
        <v>961</v>
      </c>
      <c r="P972" s="44">
        <v>27</v>
      </c>
      <c r="Q972" s="44">
        <v>1287</v>
      </c>
      <c r="R972" s="44">
        <v>1315</v>
      </c>
      <c r="S972" s="44">
        <v>1179</v>
      </c>
      <c r="T972" s="44">
        <v>1315</v>
      </c>
      <c r="U972" s="44">
        <v>1487</v>
      </c>
      <c r="V972" s="44">
        <v>499</v>
      </c>
      <c r="W972" s="44">
        <v>975</v>
      </c>
      <c r="X972" s="44">
        <v>36</v>
      </c>
    </row>
    <row r="973" spans="1:24" s="41" customFormat="1">
      <c r="A973" s="42">
        <v>46134</v>
      </c>
      <c r="B973" s="43" t="s">
        <v>964</v>
      </c>
      <c r="C973" s="44">
        <v>579.96540000000005</v>
      </c>
      <c r="D973" s="44">
        <v>465.63659999999999</v>
      </c>
      <c r="E973" s="44">
        <v>345.51900000000001</v>
      </c>
      <c r="F973" s="44">
        <v>967.09140000000002</v>
      </c>
      <c r="G973" s="44">
        <v>503.98739999999998</v>
      </c>
      <c r="H973" s="44">
        <v>543.78539999999998</v>
      </c>
      <c r="I973" s="44">
        <v>500.7312</v>
      </c>
      <c r="J973" s="44">
        <v>383.14619999999996</v>
      </c>
      <c r="K973" s="44">
        <v>613.25099999999998</v>
      </c>
      <c r="L973" s="44">
        <v>523.88639999999998</v>
      </c>
      <c r="M973" s="44">
        <f t="shared" si="16"/>
        <v>3617.9999999999991</v>
      </c>
      <c r="N973" s="45">
        <v>9045</v>
      </c>
      <c r="O973" s="44">
        <v>961</v>
      </c>
      <c r="P973" s="44">
        <v>27</v>
      </c>
      <c r="Q973" s="44">
        <v>1287</v>
      </c>
      <c r="R973" s="44">
        <v>1315</v>
      </c>
      <c r="S973" s="44">
        <v>1179</v>
      </c>
      <c r="T973" s="44">
        <v>1315</v>
      </c>
      <c r="U973" s="44">
        <v>1487</v>
      </c>
      <c r="V973" s="44">
        <v>499</v>
      </c>
      <c r="W973" s="44">
        <v>939</v>
      </c>
      <c r="X973" s="44">
        <v>36</v>
      </c>
    </row>
    <row r="974" spans="1:24" s="41" customFormat="1">
      <c r="A974" s="42">
        <v>46135</v>
      </c>
      <c r="B974" s="43" t="s">
        <v>964</v>
      </c>
      <c r="C974" s="44">
        <v>579.96540000000005</v>
      </c>
      <c r="D974" s="44">
        <v>465.63659999999999</v>
      </c>
      <c r="E974" s="44">
        <v>345.51900000000001</v>
      </c>
      <c r="F974" s="44">
        <v>967.09140000000002</v>
      </c>
      <c r="G974" s="44">
        <v>503.98739999999998</v>
      </c>
      <c r="H974" s="44">
        <v>543.78539999999998</v>
      </c>
      <c r="I974" s="44">
        <v>500.7312</v>
      </c>
      <c r="J974" s="44">
        <v>383.14619999999996</v>
      </c>
      <c r="K974" s="44">
        <v>613.25099999999998</v>
      </c>
      <c r="L974" s="44">
        <v>523.88639999999998</v>
      </c>
      <c r="M974" s="44">
        <f t="shared" si="16"/>
        <v>3617.9999999999991</v>
      </c>
      <c r="N974" s="45">
        <v>9045</v>
      </c>
      <c r="O974" s="44">
        <v>961</v>
      </c>
      <c r="P974" s="44">
        <v>27</v>
      </c>
      <c r="Q974" s="44">
        <v>1287</v>
      </c>
      <c r="R974" s="44">
        <v>1315</v>
      </c>
      <c r="S974" s="44">
        <v>1179</v>
      </c>
      <c r="T974" s="44">
        <v>1315</v>
      </c>
      <c r="U974" s="44">
        <v>1487</v>
      </c>
      <c r="V974" s="44">
        <v>499</v>
      </c>
      <c r="W974" s="44">
        <v>939</v>
      </c>
      <c r="X974" s="44">
        <v>36</v>
      </c>
    </row>
    <row r="975" spans="1:24" s="41" customFormat="1">
      <c r="A975" s="42">
        <v>46136</v>
      </c>
      <c r="B975" s="43" t="s">
        <v>964</v>
      </c>
      <c r="C975" s="44">
        <v>582.72256000000004</v>
      </c>
      <c r="D975" s="44">
        <v>467.85024000000004</v>
      </c>
      <c r="E975" s="44">
        <v>347.16159999999996</v>
      </c>
      <c r="F975" s="44">
        <v>971.68896000000007</v>
      </c>
      <c r="G975" s="44">
        <v>506.38336000000004</v>
      </c>
      <c r="H975" s="44">
        <v>546.37055999999995</v>
      </c>
      <c r="I975" s="44">
        <v>503.11167999999998</v>
      </c>
      <c r="J975" s="44">
        <v>384.96767999999997</v>
      </c>
      <c r="K975" s="44">
        <v>616.16640000000007</v>
      </c>
      <c r="L975" s="44">
        <v>526.37696000000005</v>
      </c>
      <c r="M975" s="44">
        <f t="shared" si="16"/>
        <v>3635.1999999999989</v>
      </c>
      <c r="N975" s="45">
        <v>9088</v>
      </c>
      <c r="O975" s="44">
        <v>961</v>
      </c>
      <c r="P975" s="44">
        <v>27</v>
      </c>
      <c r="Q975" s="44">
        <v>1287</v>
      </c>
      <c r="R975" s="44">
        <v>1315</v>
      </c>
      <c r="S975" s="44">
        <v>1179</v>
      </c>
      <c r="T975" s="44">
        <v>1315</v>
      </c>
      <c r="U975" s="44">
        <v>1487</v>
      </c>
      <c r="V975" s="44">
        <v>499</v>
      </c>
      <c r="W975" s="44">
        <v>982</v>
      </c>
      <c r="X975" s="44">
        <v>36</v>
      </c>
    </row>
    <row r="976" spans="1:24" s="41" customFormat="1">
      <c r="A976" s="42">
        <v>46137</v>
      </c>
      <c r="B976" s="43" t="s">
        <v>964</v>
      </c>
      <c r="C976" s="44">
        <v>587.91627999999992</v>
      </c>
      <c r="D976" s="44">
        <v>472.02011999999996</v>
      </c>
      <c r="E976" s="44">
        <v>350.25579999999997</v>
      </c>
      <c r="F976" s="44">
        <v>980.34947999999997</v>
      </c>
      <c r="G976" s="44">
        <v>510.89667999999995</v>
      </c>
      <c r="H976" s="44">
        <v>551.24027999999998</v>
      </c>
      <c r="I976" s="44">
        <v>507.59583999999995</v>
      </c>
      <c r="J976" s="44">
        <v>388.39883999999995</v>
      </c>
      <c r="K976" s="44">
        <v>621.65819999999997</v>
      </c>
      <c r="L976" s="44">
        <v>531.06847999999991</v>
      </c>
      <c r="M976" s="44">
        <f t="shared" si="16"/>
        <v>3667.6000000000004</v>
      </c>
      <c r="N976" s="45">
        <v>9169</v>
      </c>
      <c r="O976" s="44">
        <v>961</v>
      </c>
      <c r="P976" s="44">
        <v>27</v>
      </c>
      <c r="Q976" s="44">
        <v>1287</v>
      </c>
      <c r="R976" s="44">
        <v>1315</v>
      </c>
      <c r="S976" s="44">
        <v>1179</v>
      </c>
      <c r="T976" s="44">
        <v>1315</v>
      </c>
      <c r="U976" s="44">
        <v>1487</v>
      </c>
      <c r="V976" s="44">
        <v>499</v>
      </c>
      <c r="W976" s="44">
        <v>1063</v>
      </c>
      <c r="X976" s="44">
        <v>36</v>
      </c>
    </row>
    <row r="977" spans="1:24" s="41" customFormat="1">
      <c r="A977" s="42">
        <v>46138</v>
      </c>
      <c r="B977" s="43" t="s">
        <v>964</v>
      </c>
      <c r="C977" s="44">
        <v>574.89991999999995</v>
      </c>
      <c r="D977" s="44">
        <v>461.56967999999995</v>
      </c>
      <c r="E977" s="44">
        <v>342.50119999999993</v>
      </c>
      <c r="F977" s="44">
        <v>958.64471999999989</v>
      </c>
      <c r="G977" s="44">
        <v>499.58551999999997</v>
      </c>
      <c r="H977" s="44">
        <v>539.03591999999992</v>
      </c>
      <c r="I977" s="44">
        <v>496.35775999999993</v>
      </c>
      <c r="J977" s="44">
        <v>379.79975999999994</v>
      </c>
      <c r="K977" s="44">
        <v>607.89479999999992</v>
      </c>
      <c r="L977" s="44">
        <v>519.31071999999995</v>
      </c>
      <c r="M977" s="44">
        <f t="shared" si="16"/>
        <v>3586.3999999999996</v>
      </c>
      <c r="N977" s="45">
        <v>8966</v>
      </c>
      <c r="O977" s="44">
        <v>961</v>
      </c>
      <c r="P977" s="44">
        <v>27</v>
      </c>
      <c r="Q977" s="44">
        <v>1287</v>
      </c>
      <c r="R977" s="44">
        <v>1315</v>
      </c>
      <c r="S977" s="44">
        <v>1179</v>
      </c>
      <c r="T977" s="44">
        <v>1315</v>
      </c>
      <c r="U977" s="44">
        <v>1487</v>
      </c>
      <c r="V977" s="44">
        <v>499</v>
      </c>
      <c r="W977" s="44">
        <v>860</v>
      </c>
      <c r="X977" s="44">
        <v>36</v>
      </c>
    </row>
    <row r="978" spans="1:24" s="41" customFormat="1">
      <c r="A978" s="42">
        <v>46139</v>
      </c>
      <c r="B978" s="43" t="s">
        <v>964</v>
      </c>
      <c r="C978" s="44">
        <v>575.15639999999996</v>
      </c>
      <c r="D978" s="44">
        <v>461.7756</v>
      </c>
      <c r="E978" s="44">
        <v>342.654</v>
      </c>
      <c r="F978" s="44">
        <v>959.07240000000002</v>
      </c>
      <c r="G978" s="44">
        <v>499.80840000000001</v>
      </c>
      <c r="H978" s="44">
        <v>539.27639999999997</v>
      </c>
      <c r="I978" s="44">
        <v>496.57919999999996</v>
      </c>
      <c r="J978" s="44">
        <v>379.9692</v>
      </c>
      <c r="K978" s="44">
        <v>608.16600000000005</v>
      </c>
      <c r="L978" s="44">
        <v>519.54240000000004</v>
      </c>
      <c r="M978" s="44">
        <f t="shared" si="16"/>
        <v>3587.9999999999991</v>
      </c>
      <c r="N978" s="45">
        <v>8970</v>
      </c>
      <c r="O978" s="44">
        <v>961</v>
      </c>
      <c r="P978" s="44">
        <v>27</v>
      </c>
      <c r="Q978" s="44">
        <v>1287</v>
      </c>
      <c r="R978" s="44">
        <v>1315</v>
      </c>
      <c r="S978" s="44">
        <v>1179</v>
      </c>
      <c r="T978" s="44">
        <v>1315</v>
      </c>
      <c r="U978" s="44">
        <v>1487</v>
      </c>
      <c r="V978" s="44">
        <v>499</v>
      </c>
      <c r="W978" s="44">
        <v>864</v>
      </c>
      <c r="X978" s="44">
        <v>36</v>
      </c>
    </row>
    <row r="979" spans="1:24" s="41" customFormat="1">
      <c r="A979" s="42">
        <v>46140</v>
      </c>
      <c r="B979" s="43" t="s">
        <v>964</v>
      </c>
      <c r="C979" s="44">
        <v>578.10591999999997</v>
      </c>
      <c r="D979" s="44">
        <v>464.14367999999996</v>
      </c>
      <c r="E979" s="44">
        <v>344.41119999999995</v>
      </c>
      <c r="F979" s="44">
        <v>963.9907199999999</v>
      </c>
      <c r="G979" s="44">
        <v>502.37151999999998</v>
      </c>
      <c r="H979" s="44">
        <v>542.04191999999989</v>
      </c>
      <c r="I979" s="44">
        <v>499.12575999999996</v>
      </c>
      <c r="J979" s="44">
        <v>381.91775999999993</v>
      </c>
      <c r="K979" s="44">
        <v>611.2847999999999</v>
      </c>
      <c r="L979" s="44">
        <v>522.2067199999999</v>
      </c>
      <c r="M979" s="44">
        <f t="shared" si="16"/>
        <v>3606.3999999999996</v>
      </c>
      <c r="N979" s="45">
        <v>9016</v>
      </c>
      <c r="O979" s="44">
        <v>961</v>
      </c>
      <c r="P979" s="44">
        <v>27</v>
      </c>
      <c r="Q979" s="44">
        <v>1287</v>
      </c>
      <c r="R979" s="44">
        <v>1315</v>
      </c>
      <c r="S979" s="44">
        <v>1179</v>
      </c>
      <c r="T979" s="44">
        <v>1315</v>
      </c>
      <c r="U979" s="44">
        <v>1487</v>
      </c>
      <c r="V979" s="44">
        <v>499</v>
      </c>
      <c r="W979" s="44">
        <v>910</v>
      </c>
      <c r="X979" s="44">
        <v>36</v>
      </c>
    </row>
    <row r="980" spans="1:24" s="41" customFormat="1">
      <c r="A980" s="42">
        <v>46141</v>
      </c>
      <c r="B980" s="43" t="s">
        <v>964</v>
      </c>
      <c r="C980" s="44">
        <v>577.84943999999996</v>
      </c>
      <c r="D980" s="44">
        <v>463.93775999999997</v>
      </c>
      <c r="E980" s="44">
        <v>344.25839999999999</v>
      </c>
      <c r="F980" s="44">
        <v>963.56304</v>
      </c>
      <c r="G980" s="44">
        <v>502.14864</v>
      </c>
      <c r="H980" s="44">
        <v>541.80143999999996</v>
      </c>
      <c r="I980" s="44">
        <v>498.90431999999998</v>
      </c>
      <c r="J980" s="44">
        <v>381.74831999999998</v>
      </c>
      <c r="K980" s="44">
        <v>611.0136</v>
      </c>
      <c r="L980" s="44">
        <v>521.97503999999992</v>
      </c>
      <c r="M980" s="44">
        <f t="shared" si="16"/>
        <v>3604.7999999999993</v>
      </c>
      <c r="N980" s="45">
        <v>9012</v>
      </c>
      <c r="O980" s="44">
        <v>961</v>
      </c>
      <c r="P980" s="44">
        <v>27</v>
      </c>
      <c r="Q980" s="44">
        <v>1287</v>
      </c>
      <c r="R980" s="44">
        <v>1315</v>
      </c>
      <c r="S980" s="44">
        <v>1179</v>
      </c>
      <c r="T980" s="44">
        <v>1315</v>
      </c>
      <c r="U980" s="44">
        <v>1487</v>
      </c>
      <c r="V980" s="44">
        <v>499</v>
      </c>
      <c r="W980" s="44">
        <v>906</v>
      </c>
      <c r="X980" s="44">
        <v>36</v>
      </c>
    </row>
    <row r="981" spans="1:24" s="41" customFormat="1">
      <c r="A981" s="42">
        <v>46142</v>
      </c>
      <c r="B981" s="43" t="s">
        <v>964</v>
      </c>
      <c r="C981" s="44">
        <v>579.58067999999992</v>
      </c>
      <c r="D981" s="44">
        <v>465.32772</v>
      </c>
      <c r="E981" s="44">
        <v>345.28979999999996</v>
      </c>
      <c r="F981" s="44">
        <v>966.44987999999989</v>
      </c>
      <c r="G981" s="44">
        <v>503.65307999999999</v>
      </c>
      <c r="H981" s="44">
        <v>543.42467999999997</v>
      </c>
      <c r="I981" s="44">
        <v>500.39903999999996</v>
      </c>
      <c r="J981" s="44">
        <v>382.89203999999995</v>
      </c>
      <c r="K981" s="44">
        <v>612.8442</v>
      </c>
      <c r="L981" s="44">
        <v>523.53887999999995</v>
      </c>
      <c r="M981" s="44">
        <f t="shared" si="16"/>
        <v>3615.6000000000004</v>
      </c>
      <c r="N981" s="45">
        <v>9039</v>
      </c>
      <c r="O981" s="44">
        <v>961</v>
      </c>
      <c r="P981" s="44">
        <v>27</v>
      </c>
      <c r="Q981" s="44">
        <v>1287</v>
      </c>
      <c r="R981" s="44">
        <v>1315</v>
      </c>
      <c r="S981" s="44">
        <v>1179</v>
      </c>
      <c r="T981" s="44">
        <v>1315</v>
      </c>
      <c r="U981" s="44">
        <v>1487</v>
      </c>
      <c r="V981" s="44">
        <v>499</v>
      </c>
      <c r="W981" s="44">
        <v>933</v>
      </c>
      <c r="X981" s="44">
        <v>36</v>
      </c>
    </row>
    <row r="982" spans="1:24" s="41" customFormat="1">
      <c r="A982" s="42">
        <v>46143</v>
      </c>
      <c r="B982" s="43" t="s">
        <v>964</v>
      </c>
      <c r="C982" s="51">
        <v>908.05735384615389</v>
      </c>
      <c r="D982" s="51">
        <v>721.10436923076929</v>
      </c>
      <c r="E982" s="51">
        <v>640.98166153846171</v>
      </c>
      <c r="F982" s="51">
        <v>1415.5011692307692</v>
      </c>
      <c r="G982" s="51">
        <v>841.28843076923079</v>
      </c>
      <c r="H982" s="51">
        <v>827.9346461538463</v>
      </c>
      <c r="I982" s="51">
        <v>747.81193846153849</v>
      </c>
      <c r="J982" s="51">
        <v>654.33544615384619</v>
      </c>
      <c r="K982" s="51">
        <v>1095.0103384615386</v>
      </c>
      <c r="L982" s="51">
        <v>827.9346461538463</v>
      </c>
      <c r="M982" s="44">
        <f t="shared" si="16"/>
        <v>2036.0399999999991</v>
      </c>
      <c r="N982" s="45">
        <v>10716</v>
      </c>
      <c r="O982" s="50">
        <v>328</v>
      </c>
      <c r="P982" s="50">
        <v>6</v>
      </c>
      <c r="Q982" s="50">
        <v>686</v>
      </c>
      <c r="R982" s="50">
        <v>787</v>
      </c>
      <c r="S982" s="50">
        <v>820</v>
      </c>
      <c r="T982" s="50">
        <v>1500</v>
      </c>
      <c r="U982" s="50">
        <v>5174</v>
      </c>
      <c r="V982" s="50">
        <v>415</v>
      </c>
      <c r="W982" s="50">
        <v>1000</v>
      </c>
      <c r="X982" s="50">
        <v>0</v>
      </c>
    </row>
    <row r="983" spans="1:24" s="41" customFormat="1">
      <c r="A983" s="42">
        <v>46144</v>
      </c>
      <c r="B983" s="43" t="s">
        <v>964</v>
      </c>
      <c r="C983" s="51">
        <v>903.31200000000001</v>
      </c>
      <c r="D983" s="51">
        <v>717.33600000000001</v>
      </c>
      <c r="E983" s="51">
        <v>637.63200000000006</v>
      </c>
      <c r="F983" s="51">
        <v>1408.104</v>
      </c>
      <c r="G983" s="51">
        <v>836.89199999999994</v>
      </c>
      <c r="H983" s="51">
        <v>823.60800000000006</v>
      </c>
      <c r="I983" s="51">
        <v>743.904</v>
      </c>
      <c r="J983" s="51">
        <v>650.91600000000005</v>
      </c>
      <c r="K983" s="51">
        <v>1089.288</v>
      </c>
      <c r="L983" s="51">
        <v>823.60800000000006</v>
      </c>
      <c r="M983" s="44">
        <f t="shared" si="16"/>
        <v>2025.3999999999996</v>
      </c>
      <c r="N983" s="45">
        <v>10660</v>
      </c>
      <c r="O983" s="50">
        <v>328</v>
      </c>
      <c r="P983" s="50">
        <v>6</v>
      </c>
      <c r="Q983" s="50">
        <v>689</v>
      </c>
      <c r="R983" s="50">
        <v>787</v>
      </c>
      <c r="S983" s="50">
        <v>800</v>
      </c>
      <c r="T983" s="50">
        <v>1500</v>
      </c>
      <c r="U983" s="50">
        <v>5174</v>
      </c>
      <c r="V983" s="50">
        <v>415</v>
      </c>
      <c r="W983" s="50">
        <v>961</v>
      </c>
      <c r="X983" s="50">
        <v>0</v>
      </c>
    </row>
    <row r="984" spans="1:24" s="41" customFormat="1">
      <c r="A984" s="42">
        <v>46145</v>
      </c>
      <c r="B984" s="43" t="s">
        <v>964</v>
      </c>
      <c r="C984" s="51">
        <v>901.6172307692309</v>
      </c>
      <c r="D984" s="51">
        <v>715.99015384615393</v>
      </c>
      <c r="E984" s="51">
        <v>636.43569230769242</v>
      </c>
      <c r="F984" s="51">
        <v>1405.462153846154</v>
      </c>
      <c r="G984" s="51">
        <v>835.3218461538462</v>
      </c>
      <c r="H984" s="51">
        <v>822.06276923076939</v>
      </c>
      <c r="I984" s="51">
        <v>742.50830769230777</v>
      </c>
      <c r="J984" s="51">
        <v>649.69476923076934</v>
      </c>
      <c r="K984" s="51">
        <v>1087.2443076923078</v>
      </c>
      <c r="L984" s="51">
        <v>822.06276923076939</v>
      </c>
      <c r="M984" s="44">
        <f t="shared" si="16"/>
        <v>2021.5999999999985</v>
      </c>
      <c r="N984" s="45">
        <v>10640</v>
      </c>
      <c r="O984" s="50">
        <v>328</v>
      </c>
      <c r="P984" s="50">
        <v>6</v>
      </c>
      <c r="Q984" s="50">
        <v>689</v>
      </c>
      <c r="R984" s="50">
        <v>787</v>
      </c>
      <c r="S984" s="50">
        <v>800</v>
      </c>
      <c r="T984" s="50">
        <v>1500</v>
      </c>
      <c r="U984" s="50">
        <v>5141</v>
      </c>
      <c r="V984" s="50">
        <v>415</v>
      </c>
      <c r="W984" s="50">
        <v>974</v>
      </c>
      <c r="X984" s="50">
        <v>0</v>
      </c>
    </row>
    <row r="985" spans="1:24" s="41" customFormat="1">
      <c r="A985" s="42">
        <v>46146</v>
      </c>
      <c r="B985" s="43" t="s">
        <v>964</v>
      </c>
      <c r="C985" s="51">
        <v>831.03009230769226</v>
      </c>
      <c r="D985" s="51">
        <v>659.93566153846155</v>
      </c>
      <c r="E985" s="51">
        <v>586.60947692307695</v>
      </c>
      <c r="F985" s="51">
        <v>1295.4292615384613</v>
      </c>
      <c r="G985" s="51">
        <v>769.92493846153843</v>
      </c>
      <c r="H985" s="51">
        <v>757.70390769230767</v>
      </c>
      <c r="I985" s="51">
        <v>684.37772307692308</v>
      </c>
      <c r="J985" s="51">
        <v>598.83050769230772</v>
      </c>
      <c r="K985" s="51">
        <v>1002.124523076923</v>
      </c>
      <c r="L985" s="51">
        <v>757.70390769230767</v>
      </c>
      <c r="M985" s="44">
        <f t="shared" si="16"/>
        <v>1863.3300000000008</v>
      </c>
      <c r="N985" s="45">
        <v>9807</v>
      </c>
      <c r="O985" s="50">
        <v>328</v>
      </c>
      <c r="P985" s="50">
        <v>6</v>
      </c>
      <c r="Q985" s="50">
        <v>689</v>
      </c>
      <c r="R985" s="50">
        <v>787</v>
      </c>
      <c r="S985" s="50">
        <v>800</v>
      </c>
      <c r="T985" s="50">
        <v>1500</v>
      </c>
      <c r="U985" s="50">
        <v>4330</v>
      </c>
      <c r="V985" s="50">
        <v>415</v>
      </c>
      <c r="W985" s="50">
        <v>952</v>
      </c>
      <c r="X985" s="50">
        <v>0</v>
      </c>
    </row>
    <row r="986" spans="1:24" s="41" customFormat="1">
      <c r="A986" s="42">
        <v>46147</v>
      </c>
      <c r="B986" s="43" t="s">
        <v>964</v>
      </c>
      <c r="C986" s="51">
        <v>730.02184615384613</v>
      </c>
      <c r="D986" s="51">
        <v>579.72323076923078</v>
      </c>
      <c r="E986" s="51">
        <v>515.30953846153852</v>
      </c>
      <c r="F986" s="51">
        <v>1137.9752307692308</v>
      </c>
      <c r="G986" s="51">
        <v>676.34376923076923</v>
      </c>
      <c r="H986" s="51">
        <v>665.60815384615387</v>
      </c>
      <c r="I986" s="51">
        <v>601.19446153846161</v>
      </c>
      <c r="J986" s="51">
        <v>526.04515384615388</v>
      </c>
      <c r="K986" s="51">
        <v>880.32046153846159</v>
      </c>
      <c r="L986" s="51">
        <v>665.60815384615387</v>
      </c>
      <c r="M986" s="44">
        <f t="shared" si="16"/>
        <v>1636.8499999999995</v>
      </c>
      <c r="N986" s="45">
        <v>8615</v>
      </c>
      <c r="O986" s="50">
        <v>328</v>
      </c>
      <c r="P986" s="50">
        <v>6</v>
      </c>
      <c r="Q986" s="50">
        <v>689</v>
      </c>
      <c r="R986" s="50">
        <v>787</v>
      </c>
      <c r="S986" s="50">
        <v>800</v>
      </c>
      <c r="T986" s="50">
        <v>1500</v>
      </c>
      <c r="U986" s="50">
        <v>3201</v>
      </c>
      <c r="V986" s="50">
        <v>416</v>
      </c>
      <c r="W986" s="50">
        <v>888</v>
      </c>
      <c r="X986" s="50">
        <v>0</v>
      </c>
    </row>
    <row r="987" spans="1:24" s="41" customFormat="1">
      <c r="A987" s="42">
        <v>46148</v>
      </c>
      <c r="B987" s="43" t="s">
        <v>964</v>
      </c>
      <c r="C987" s="51">
        <v>478.60283076923076</v>
      </c>
      <c r="D987" s="51">
        <v>380.06695384615387</v>
      </c>
      <c r="E987" s="51">
        <v>337.83729230769234</v>
      </c>
      <c r="F987" s="51">
        <v>746.05735384615377</v>
      </c>
      <c r="G987" s="51">
        <v>443.41144615384616</v>
      </c>
      <c r="H987" s="51">
        <v>436.37316923076924</v>
      </c>
      <c r="I987" s="51">
        <v>394.14350769230771</v>
      </c>
      <c r="J987" s="51">
        <v>344.87556923076926</v>
      </c>
      <c r="K987" s="51">
        <v>577.13870769230766</v>
      </c>
      <c r="L987" s="51">
        <v>436.37316923076924</v>
      </c>
      <c r="M987" s="44">
        <f t="shared" si="16"/>
        <v>1073.1199999999999</v>
      </c>
      <c r="N987" s="45">
        <v>5648</v>
      </c>
      <c r="O987" s="50">
        <v>173</v>
      </c>
      <c r="P987" s="50">
        <v>4</v>
      </c>
      <c r="Q987" s="50">
        <v>460</v>
      </c>
      <c r="R987" s="50">
        <v>787</v>
      </c>
      <c r="S987" s="50">
        <v>500</v>
      </c>
      <c r="T987" s="50">
        <v>1200</v>
      </c>
      <c r="U987" s="50">
        <v>1049</v>
      </c>
      <c r="V987" s="50">
        <v>416</v>
      </c>
      <c r="W987" s="50">
        <v>841</v>
      </c>
      <c r="X987" s="50">
        <v>218</v>
      </c>
    </row>
    <row r="988" spans="1:24" s="41" customFormat="1">
      <c r="A988" s="42">
        <v>46149</v>
      </c>
      <c r="B988" s="43" t="s">
        <v>964</v>
      </c>
      <c r="C988" s="51">
        <v>465.63784615384623</v>
      </c>
      <c r="D988" s="51">
        <v>369.77123076923084</v>
      </c>
      <c r="E988" s="51">
        <v>328.68553846153856</v>
      </c>
      <c r="F988" s="51">
        <v>725.8472307692308</v>
      </c>
      <c r="G988" s="51">
        <v>431.39976923076927</v>
      </c>
      <c r="H988" s="51">
        <v>424.55215384615394</v>
      </c>
      <c r="I988" s="51">
        <v>383.4664615384616</v>
      </c>
      <c r="J988" s="51">
        <v>335.53315384615388</v>
      </c>
      <c r="K988" s="51">
        <v>561.50446153846156</v>
      </c>
      <c r="L988" s="51">
        <v>424.55215384615394</v>
      </c>
      <c r="M988" s="44">
        <f t="shared" si="16"/>
        <v>1044.0499999999993</v>
      </c>
      <c r="N988" s="45">
        <v>5495</v>
      </c>
      <c r="O988" s="50">
        <v>170</v>
      </c>
      <c r="P988" s="50">
        <v>4</v>
      </c>
      <c r="Q988" s="50">
        <v>460</v>
      </c>
      <c r="R988" s="50">
        <v>787</v>
      </c>
      <c r="S988" s="50">
        <v>500</v>
      </c>
      <c r="T988" s="50">
        <v>1200</v>
      </c>
      <c r="U988" s="50">
        <v>923</v>
      </c>
      <c r="V988" s="50">
        <v>416</v>
      </c>
      <c r="W988" s="50">
        <v>817</v>
      </c>
      <c r="X988" s="50">
        <v>218</v>
      </c>
    </row>
    <row r="989" spans="1:24" s="41" customFormat="1">
      <c r="A989" s="42">
        <v>46150</v>
      </c>
      <c r="B989" s="43" t="s">
        <v>964</v>
      </c>
      <c r="C989" s="51">
        <v>452.33390769230772</v>
      </c>
      <c r="D989" s="51">
        <v>359.20633846153851</v>
      </c>
      <c r="E989" s="51">
        <v>319.29452307692316</v>
      </c>
      <c r="F989" s="51">
        <v>705.10873846153856</v>
      </c>
      <c r="G989" s="51">
        <v>419.07406153846159</v>
      </c>
      <c r="H989" s="51">
        <v>412.42209230769237</v>
      </c>
      <c r="I989" s="51">
        <v>372.51027692307696</v>
      </c>
      <c r="J989" s="51">
        <v>325.94649230769232</v>
      </c>
      <c r="K989" s="51">
        <v>545.46147692307693</v>
      </c>
      <c r="L989" s="51">
        <v>412.42209230769237</v>
      </c>
      <c r="M989" s="44">
        <f t="shared" si="16"/>
        <v>1014.2199999999993</v>
      </c>
      <c r="N989" s="45">
        <v>5338</v>
      </c>
      <c r="O989" s="50">
        <v>170</v>
      </c>
      <c r="P989" s="50">
        <v>3</v>
      </c>
      <c r="Q989" s="50">
        <v>460</v>
      </c>
      <c r="R989" s="50">
        <v>787</v>
      </c>
      <c r="S989" s="50">
        <v>500</v>
      </c>
      <c r="T989" s="50">
        <v>1200</v>
      </c>
      <c r="U989" s="50">
        <v>783</v>
      </c>
      <c r="V989" s="50">
        <v>416</v>
      </c>
      <c r="W989" s="50">
        <v>801</v>
      </c>
      <c r="X989" s="50">
        <v>218</v>
      </c>
    </row>
    <row r="990" spans="1:24" s="41" customFormat="1">
      <c r="A990" s="42">
        <v>46151</v>
      </c>
      <c r="B990" s="43" t="s">
        <v>964</v>
      </c>
      <c r="C990" s="51">
        <v>497.07581538461534</v>
      </c>
      <c r="D990" s="51">
        <v>394.73667692307691</v>
      </c>
      <c r="E990" s="51">
        <v>350.87704615384621</v>
      </c>
      <c r="F990" s="51">
        <v>774.85347692307687</v>
      </c>
      <c r="G990" s="51">
        <v>460.52612307692306</v>
      </c>
      <c r="H990" s="51">
        <v>453.21618461538463</v>
      </c>
      <c r="I990" s="51">
        <v>409.35655384615382</v>
      </c>
      <c r="J990" s="51">
        <v>358.18698461538463</v>
      </c>
      <c r="K990" s="51">
        <v>599.41495384615382</v>
      </c>
      <c r="L990" s="51">
        <v>453.21618461538463</v>
      </c>
      <c r="M990" s="44">
        <f t="shared" si="16"/>
        <v>1114.54</v>
      </c>
      <c r="N990" s="45">
        <v>5866</v>
      </c>
      <c r="O990" s="50">
        <v>170</v>
      </c>
      <c r="P990" s="50">
        <v>3</v>
      </c>
      <c r="Q990" s="50">
        <v>460</v>
      </c>
      <c r="R990" s="50">
        <v>787</v>
      </c>
      <c r="S990" s="50">
        <v>500</v>
      </c>
      <c r="T990" s="50">
        <v>1200</v>
      </c>
      <c r="U990" s="50">
        <v>1260</v>
      </c>
      <c r="V990" s="50">
        <v>416</v>
      </c>
      <c r="W990" s="50">
        <v>852</v>
      </c>
      <c r="X990" s="50">
        <v>218</v>
      </c>
    </row>
    <row r="991" spans="1:24" s="41" customFormat="1">
      <c r="A991" s="42">
        <v>46152</v>
      </c>
      <c r="B991" s="43" t="s">
        <v>964</v>
      </c>
      <c r="C991" s="51">
        <v>510.54923076923075</v>
      </c>
      <c r="D991" s="51">
        <v>405.43615384615384</v>
      </c>
      <c r="E991" s="51">
        <v>360.38769230769236</v>
      </c>
      <c r="F991" s="51">
        <v>795.8561538461538</v>
      </c>
      <c r="G991" s="51">
        <v>473.00884615384615</v>
      </c>
      <c r="H991" s="51">
        <v>465.50076923076927</v>
      </c>
      <c r="I991" s="51">
        <v>420.45230769230767</v>
      </c>
      <c r="J991" s="51">
        <v>367.89576923076925</v>
      </c>
      <c r="K991" s="51">
        <v>615.66230769230765</v>
      </c>
      <c r="L991" s="51">
        <v>465.50076923076927</v>
      </c>
      <c r="M991" s="44">
        <f t="shared" si="16"/>
        <v>1144.75</v>
      </c>
      <c r="N991" s="45">
        <v>6025</v>
      </c>
      <c r="O991" s="50">
        <v>250</v>
      </c>
      <c r="P991" s="50">
        <v>4</v>
      </c>
      <c r="Q991" s="50">
        <v>689</v>
      </c>
      <c r="R991" s="50">
        <v>787</v>
      </c>
      <c r="S991" s="50">
        <v>565</v>
      </c>
      <c r="T991" s="50">
        <v>1200</v>
      </c>
      <c r="U991" s="50">
        <v>1260</v>
      </c>
      <c r="V991" s="50">
        <v>416</v>
      </c>
      <c r="W991" s="50">
        <v>854</v>
      </c>
      <c r="X991" s="50">
        <v>0</v>
      </c>
    </row>
    <row r="992" spans="1:24" s="41" customFormat="1">
      <c r="A992" s="42">
        <v>46153</v>
      </c>
      <c r="B992" s="43" t="s">
        <v>964</v>
      </c>
      <c r="C992" s="51">
        <v>431.31876923076925</v>
      </c>
      <c r="D992" s="51">
        <v>342.51784615384622</v>
      </c>
      <c r="E992" s="51">
        <v>304.46030769230777</v>
      </c>
      <c r="F992" s="51">
        <v>672.34984615384622</v>
      </c>
      <c r="G992" s="51">
        <v>399.60415384615385</v>
      </c>
      <c r="H992" s="51">
        <v>393.26123076923085</v>
      </c>
      <c r="I992" s="51">
        <v>355.20369230769234</v>
      </c>
      <c r="J992" s="51">
        <v>310.80323076923082</v>
      </c>
      <c r="K992" s="51">
        <v>520.11969230769239</v>
      </c>
      <c r="L992" s="51">
        <v>393.26123076923085</v>
      </c>
      <c r="M992" s="44">
        <f t="shared" si="16"/>
        <v>967.10000000000036</v>
      </c>
      <c r="N992" s="45">
        <v>5090</v>
      </c>
      <c r="O992" s="50">
        <v>170</v>
      </c>
      <c r="P992" s="50">
        <v>3</v>
      </c>
      <c r="Q992" s="50">
        <v>460</v>
      </c>
      <c r="R992" s="50">
        <v>787</v>
      </c>
      <c r="S992" s="50">
        <v>500</v>
      </c>
      <c r="T992" s="50">
        <v>1200</v>
      </c>
      <c r="U992" s="50">
        <v>480</v>
      </c>
      <c r="V992" s="50">
        <v>416</v>
      </c>
      <c r="W992" s="50">
        <v>855</v>
      </c>
      <c r="X992" s="50">
        <v>219</v>
      </c>
    </row>
    <row r="993" spans="1:24" s="41" customFormat="1">
      <c r="A993" s="42">
        <v>46154</v>
      </c>
      <c r="B993" s="43" t="s">
        <v>964</v>
      </c>
      <c r="C993" s="51">
        <v>418.09956923076925</v>
      </c>
      <c r="D993" s="51">
        <v>332.02024615384619</v>
      </c>
      <c r="E993" s="51">
        <v>295.12910769230774</v>
      </c>
      <c r="F993" s="51">
        <v>651.74344615384621</v>
      </c>
      <c r="G993" s="51">
        <v>387.35695384615389</v>
      </c>
      <c r="H993" s="51">
        <v>381.2084307692308</v>
      </c>
      <c r="I993" s="51">
        <v>344.31729230769236</v>
      </c>
      <c r="J993" s="51">
        <v>301.27763076923077</v>
      </c>
      <c r="K993" s="51">
        <v>504.17889230769231</v>
      </c>
      <c r="L993" s="51">
        <v>381.2084307692308</v>
      </c>
      <c r="M993" s="44">
        <f t="shared" si="16"/>
        <v>937.46</v>
      </c>
      <c r="N993" s="45">
        <v>4934</v>
      </c>
      <c r="O993" s="50">
        <v>170</v>
      </c>
      <c r="P993" s="50">
        <v>3</v>
      </c>
      <c r="Q993" s="50">
        <v>460</v>
      </c>
      <c r="R993" s="50">
        <v>787</v>
      </c>
      <c r="S993" s="50">
        <v>500</v>
      </c>
      <c r="T993" s="50">
        <v>1200</v>
      </c>
      <c r="U993" s="50">
        <v>361</v>
      </c>
      <c r="V993" s="50">
        <v>416</v>
      </c>
      <c r="W993" s="50">
        <v>818</v>
      </c>
      <c r="X993" s="50">
        <v>219</v>
      </c>
    </row>
    <row r="994" spans="1:24" s="41" customFormat="1">
      <c r="A994" s="42">
        <v>46155</v>
      </c>
      <c r="B994" s="43" t="s">
        <v>964</v>
      </c>
      <c r="C994" s="51">
        <v>411.40523076923074</v>
      </c>
      <c r="D994" s="51">
        <v>326.70415384615387</v>
      </c>
      <c r="E994" s="51">
        <v>290.40369230769232</v>
      </c>
      <c r="F994" s="51">
        <v>641.3081538461538</v>
      </c>
      <c r="G994" s="51">
        <v>381.15484615384617</v>
      </c>
      <c r="H994" s="51">
        <v>375.10476923076925</v>
      </c>
      <c r="I994" s="51">
        <v>338.8043076923077</v>
      </c>
      <c r="J994" s="51">
        <v>296.45376923076924</v>
      </c>
      <c r="K994" s="51">
        <v>496.10630769230767</v>
      </c>
      <c r="L994" s="51">
        <v>375.10476923076925</v>
      </c>
      <c r="M994" s="44">
        <f t="shared" si="16"/>
        <v>922.44999999999936</v>
      </c>
      <c r="N994" s="45">
        <v>4855</v>
      </c>
      <c r="O994" s="50">
        <v>170</v>
      </c>
      <c r="P994" s="50">
        <v>3</v>
      </c>
      <c r="Q994" s="50">
        <v>460</v>
      </c>
      <c r="R994" s="50">
        <v>787</v>
      </c>
      <c r="S994" s="50">
        <v>500</v>
      </c>
      <c r="T994" s="50">
        <v>1200</v>
      </c>
      <c r="U994" s="50">
        <v>282</v>
      </c>
      <c r="V994" s="50">
        <v>415</v>
      </c>
      <c r="W994" s="50">
        <v>819</v>
      </c>
      <c r="X994" s="50">
        <v>219</v>
      </c>
    </row>
    <row r="995" spans="1:24" s="41" customFormat="1">
      <c r="A995" s="42">
        <v>46156</v>
      </c>
      <c r="B995" s="43" t="s">
        <v>964</v>
      </c>
      <c r="C995" s="51">
        <v>425.89550769230772</v>
      </c>
      <c r="D995" s="51">
        <v>338.2111384615385</v>
      </c>
      <c r="E995" s="51">
        <v>300.63212307692311</v>
      </c>
      <c r="F995" s="51">
        <v>663.89593846153844</v>
      </c>
      <c r="G995" s="51">
        <v>394.57966153846155</v>
      </c>
      <c r="H995" s="51">
        <v>388.31649230769233</v>
      </c>
      <c r="I995" s="51">
        <v>350.73747692307694</v>
      </c>
      <c r="J995" s="51">
        <v>306.89529230769233</v>
      </c>
      <c r="K995" s="51">
        <v>513.57987692307688</v>
      </c>
      <c r="L995" s="51">
        <v>388.31649230769233</v>
      </c>
      <c r="M995" s="44">
        <f t="shared" si="16"/>
        <v>954.94</v>
      </c>
      <c r="N995" s="45">
        <v>5026</v>
      </c>
      <c r="O995" s="50">
        <v>170</v>
      </c>
      <c r="P995" s="50">
        <v>3</v>
      </c>
      <c r="Q995" s="50">
        <v>460</v>
      </c>
      <c r="R995" s="50">
        <v>787</v>
      </c>
      <c r="S995" s="50">
        <v>500</v>
      </c>
      <c r="T995" s="50">
        <v>1200</v>
      </c>
      <c r="U995" s="50">
        <v>426</v>
      </c>
      <c r="V995" s="50">
        <v>415</v>
      </c>
      <c r="W995" s="50">
        <v>846</v>
      </c>
      <c r="X995" s="50">
        <v>219</v>
      </c>
    </row>
    <row r="996" spans="1:24" s="41" customFormat="1">
      <c r="A996" s="42">
        <v>46157</v>
      </c>
      <c r="B996" s="43" t="s">
        <v>964</v>
      </c>
      <c r="C996" s="51">
        <v>428.0987076923077</v>
      </c>
      <c r="D996" s="51">
        <v>339.96073846153848</v>
      </c>
      <c r="E996" s="51">
        <v>302.18732307692312</v>
      </c>
      <c r="F996" s="51">
        <v>667.33033846153842</v>
      </c>
      <c r="G996" s="51">
        <v>396.62086153846155</v>
      </c>
      <c r="H996" s="51">
        <v>390.32529230769234</v>
      </c>
      <c r="I996" s="51">
        <v>352.55187692307692</v>
      </c>
      <c r="J996" s="51">
        <v>308.48289230769234</v>
      </c>
      <c r="K996" s="51">
        <v>516.23667692307697</v>
      </c>
      <c r="L996" s="51">
        <v>390.32529230769234</v>
      </c>
      <c r="M996" s="44">
        <f t="shared" si="16"/>
        <v>959.87999999999874</v>
      </c>
      <c r="N996" s="45">
        <v>5052</v>
      </c>
      <c r="O996" s="50">
        <v>170</v>
      </c>
      <c r="P996" s="50">
        <v>3</v>
      </c>
      <c r="Q996" s="50">
        <v>460</v>
      </c>
      <c r="R996" s="50">
        <v>787</v>
      </c>
      <c r="S996" s="50">
        <v>500</v>
      </c>
      <c r="T996" s="50">
        <v>1200</v>
      </c>
      <c r="U996" s="50">
        <v>432</v>
      </c>
      <c r="V996" s="50">
        <v>416</v>
      </c>
      <c r="W996" s="50">
        <v>865</v>
      </c>
      <c r="X996" s="50">
        <v>219</v>
      </c>
    </row>
    <row r="997" spans="1:24" s="41" customFormat="1">
      <c r="A997" s="42">
        <v>46158</v>
      </c>
      <c r="B997" s="43" t="s">
        <v>964</v>
      </c>
      <c r="C997" s="51">
        <v>465.12941538461536</v>
      </c>
      <c r="D997" s="51">
        <v>369.36747692307694</v>
      </c>
      <c r="E997" s="51">
        <v>328.32664615384618</v>
      </c>
      <c r="F997" s="51">
        <v>725.05467692307684</v>
      </c>
      <c r="G997" s="51">
        <v>430.92872307692306</v>
      </c>
      <c r="H997" s="51">
        <v>424.08858461538466</v>
      </c>
      <c r="I997" s="51">
        <v>383.04775384615385</v>
      </c>
      <c r="J997" s="51">
        <v>335.16678461538464</v>
      </c>
      <c r="K997" s="51">
        <v>560.89135384615383</v>
      </c>
      <c r="L997" s="51">
        <v>424.08858461538466</v>
      </c>
      <c r="M997" s="44">
        <f t="shared" si="16"/>
        <v>1042.9099999999999</v>
      </c>
      <c r="N997" s="45">
        <v>5489</v>
      </c>
      <c r="O997" s="50">
        <v>250</v>
      </c>
      <c r="P997" s="50">
        <v>4</v>
      </c>
      <c r="Q997" s="50">
        <v>689</v>
      </c>
      <c r="R997" s="50">
        <v>787</v>
      </c>
      <c r="S997" s="50">
        <v>565</v>
      </c>
      <c r="T997" s="50">
        <v>1200</v>
      </c>
      <c r="U997" s="50">
        <v>616</v>
      </c>
      <c r="V997" s="50">
        <v>416</v>
      </c>
      <c r="W997" s="50">
        <v>962</v>
      </c>
      <c r="X997" s="50">
        <v>0</v>
      </c>
    </row>
    <row r="998" spans="1:24" s="41" customFormat="1">
      <c r="A998" s="42">
        <v>46159</v>
      </c>
      <c r="B998" s="43" t="s">
        <v>964</v>
      </c>
      <c r="C998" s="51">
        <v>465.38363076923082</v>
      </c>
      <c r="D998" s="51">
        <v>369.56935384615389</v>
      </c>
      <c r="E998" s="51">
        <v>328.50609230769237</v>
      </c>
      <c r="F998" s="51">
        <v>725.45095384615388</v>
      </c>
      <c r="G998" s="51">
        <v>431.16424615384619</v>
      </c>
      <c r="H998" s="51">
        <v>424.3203692307693</v>
      </c>
      <c r="I998" s="51">
        <v>383.25710769230773</v>
      </c>
      <c r="J998" s="51">
        <v>335.34996923076926</v>
      </c>
      <c r="K998" s="51">
        <v>561.19790769230769</v>
      </c>
      <c r="L998" s="51">
        <v>424.3203692307693</v>
      </c>
      <c r="M998" s="44">
        <f t="shared" si="16"/>
        <v>1043.4799999999996</v>
      </c>
      <c r="N998" s="45">
        <v>5492</v>
      </c>
      <c r="O998" s="50">
        <v>250</v>
      </c>
      <c r="P998" s="50">
        <v>4</v>
      </c>
      <c r="Q998" s="50">
        <v>689</v>
      </c>
      <c r="R998" s="50">
        <v>787</v>
      </c>
      <c r="S998" s="50">
        <v>565</v>
      </c>
      <c r="T998" s="50">
        <v>1200</v>
      </c>
      <c r="U998" s="50">
        <v>557</v>
      </c>
      <c r="V998" s="50">
        <v>416</v>
      </c>
      <c r="W998" s="50">
        <v>1024</v>
      </c>
      <c r="X998" s="50">
        <v>0</v>
      </c>
    </row>
    <row r="999" spans="1:24" s="41" customFormat="1">
      <c r="A999" s="42">
        <v>46160</v>
      </c>
      <c r="B999" s="43" t="s">
        <v>964</v>
      </c>
      <c r="C999" s="51">
        <v>423.09913846153847</v>
      </c>
      <c r="D999" s="51">
        <v>335.99049230769236</v>
      </c>
      <c r="E999" s="51">
        <v>298.65821538461546</v>
      </c>
      <c r="F999" s="51">
        <v>659.53689230769237</v>
      </c>
      <c r="G999" s="51">
        <v>391.98890769230769</v>
      </c>
      <c r="H999" s="51">
        <v>385.76686153846157</v>
      </c>
      <c r="I999" s="51">
        <v>348.43458461538461</v>
      </c>
      <c r="J999" s="51">
        <v>304.88026153846158</v>
      </c>
      <c r="K999" s="51">
        <v>510.20778461538464</v>
      </c>
      <c r="L999" s="51">
        <v>385.76686153846157</v>
      </c>
      <c r="M999" s="44">
        <f t="shared" si="16"/>
        <v>948.67000000000007</v>
      </c>
      <c r="N999" s="45">
        <v>4993</v>
      </c>
      <c r="O999" s="50">
        <v>170</v>
      </c>
      <c r="P999" s="50">
        <v>3</v>
      </c>
      <c r="Q999" s="50">
        <v>460</v>
      </c>
      <c r="R999" s="50">
        <v>787</v>
      </c>
      <c r="S999" s="50">
        <v>500</v>
      </c>
      <c r="T999" s="50">
        <v>1200</v>
      </c>
      <c r="U999" s="50">
        <v>235</v>
      </c>
      <c r="V999" s="50">
        <v>416</v>
      </c>
      <c r="W999" s="50">
        <v>1003</v>
      </c>
      <c r="X999" s="50">
        <v>219</v>
      </c>
    </row>
    <row r="1000" spans="1:24" s="41" customFormat="1">
      <c r="A1000" s="42">
        <v>46161</v>
      </c>
      <c r="B1000" s="43" t="s">
        <v>964</v>
      </c>
      <c r="C1000" s="51">
        <v>413.77790769230774</v>
      </c>
      <c r="D1000" s="51">
        <v>328.58833846153851</v>
      </c>
      <c r="E1000" s="51">
        <v>292.07852307692315</v>
      </c>
      <c r="F1000" s="51">
        <v>645.00673846153848</v>
      </c>
      <c r="G1000" s="51">
        <v>383.35306153846159</v>
      </c>
      <c r="H1000" s="51">
        <v>377.26809230769237</v>
      </c>
      <c r="I1000" s="51">
        <v>340.75827692307695</v>
      </c>
      <c r="J1000" s="51">
        <v>298.16349230769237</v>
      </c>
      <c r="K1000" s="51">
        <v>498.96747692307696</v>
      </c>
      <c r="L1000" s="51">
        <v>377.26809230769237</v>
      </c>
      <c r="M1000" s="44">
        <f t="shared" si="16"/>
        <v>927.76999999999953</v>
      </c>
      <c r="N1000" s="45">
        <v>4883</v>
      </c>
      <c r="O1000" s="50">
        <v>170</v>
      </c>
      <c r="P1000" s="50">
        <v>3</v>
      </c>
      <c r="Q1000" s="50">
        <v>460</v>
      </c>
      <c r="R1000" s="50">
        <v>787</v>
      </c>
      <c r="S1000" s="50">
        <v>500</v>
      </c>
      <c r="T1000" s="50">
        <v>1200</v>
      </c>
      <c r="U1000" s="50">
        <v>107</v>
      </c>
      <c r="V1000" s="50">
        <v>416</v>
      </c>
      <c r="W1000" s="50">
        <v>1021</v>
      </c>
      <c r="X1000" s="50">
        <v>219</v>
      </c>
    </row>
    <row r="1001" spans="1:24" s="41" customFormat="1">
      <c r="A1001" s="42">
        <v>46162</v>
      </c>
      <c r="B1001" s="43" t="s">
        <v>964</v>
      </c>
      <c r="C1001" s="51">
        <v>409.28676923076921</v>
      </c>
      <c r="D1001" s="51">
        <v>325.02184615384618</v>
      </c>
      <c r="E1001" s="51">
        <v>288.90830769230774</v>
      </c>
      <c r="F1001" s="51">
        <v>638.00584615384616</v>
      </c>
      <c r="G1001" s="51">
        <v>379.19215384615381</v>
      </c>
      <c r="H1001" s="51">
        <v>373.17323076923077</v>
      </c>
      <c r="I1001" s="51">
        <v>337.05969230769233</v>
      </c>
      <c r="J1001" s="51">
        <v>294.92723076923079</v>
      </c>
      <c r="K1001" s="51">
        <v>493.55169230769229</v>
      </c>
      <c r="L1001" s="51">
        <v>373.17323076923077</v>
      </c>
      <c r="M1001" s="44">
        <f t="shared" si="16"/>
        <v>917.69999999999982</v>
      </c>
      <c r="N1001" s="45">
        <v>4830</v>
      </c>
      <c r="O1001" s="50">
        <v>170</v>
      </c>
      <c r="P1001" s="50">
        <v>3</v>
      </c>
      <c r="Q1001" s="50">
        <v>460</v>
      </c>
      <c r="R1001" s="50">
        <v>787</v>
      </c>
      <c r="S1001" s="50">
        <v>500</v>
      </c>
      <c r="T1001" s="50">
        <v>1200</v>
      </c>
      <c r="U1001" s="50">
        <v>40</v>
      </c>
      <c r="V1001" s="50">
        <v>416</v>
      </c>
      <c r="W1001" s="50">
        <v>1035</v>
      </c>
      <c r="X1001" s="50">
        <v>219</v>
      </c>
    </row>
    <row r="1002" spans="1:24" s="41" customFormat="1">
      <c r="A1002" s="42">
        <v>46163</v>
      </c>
      <c r="B1002" s="43" t="s">
        <v>964</v>
      </c>
      <c r="C1002" s="51">
        <v>412.25261538461535</v>
      </c>
      <c r="D1002" s="51">
        <v>327.37707692307691</v>
      </c>
      <c r="E1002" s="51">
        <v>291.0018461538462</v>
      </c>
      <c r="F1002" s="51">
        <v>642.62907692307692</v>
      </c>
      <c r="G1002" s="51">
        <v>381.93992307692304</v>
      </c>
      <c r="H1002" s="51">
        <v>375.87738461538464</v>
      </c>
      <c r="I1002" s="51">
        <v>339.50215384615382</v>
      </c>
      <c r="J1002" s="51">
        <v>297.0643846153846</v>
      </c>
      <c r="K1002" s="51">
        <v>497.12815384615379</v>
      </c>
      <c r="L1002" s="51">
        <v>375.87738461538464</v>
      </c>
      <c r="M1002" s="44">
        <f t="shared" si="16"/>
        <v>924.34999999999991</v>
      </c>
      <c r="N1002" s="45">
        <v>4865</v>
      </c>
      <c r="O1002" s="50">
        <v>170</v>
      </c>
      <c r="P1002" s="50">
        <v>2</v>
      </c>
      <c r="Q1002" s="50">
        <v>460</v>
      </c>
      <c r="R1002" s="50">
        <v>787</v>
      </c>
      <c r="S1002" s="50">
        <v>500</v>
      </c>
      <c r="T1002" s="50">
        <v>1200</v>
      </c>
      <c r="U1002" s="50">
        <v>40</v>
      </c>
      <c r="V1002" s="50">
        <v>416</v>
      </c>
      <c r="W1002" s="50">
        <v>1071</v>
      </c>
      <c r="X1002" s="50">
        <v>219</v>
      </c>
    </row>
    <row r="1003" spans="1:24" s="41" customFormat="1">
      <c r="A1003" s="42">
        <v>46164</v>
      </c>
      <c r="B1003" s="43" t="s">
        <v>964</v>
      </c>
      <c r="C1003" s="51">
        <v>414.28633846153843</v>
      </c>
      <c r="D1003" s="51">
        <v>328.9920923076923</v>
      </c>
      <c r="E1003" s="51">
        <v>292.43741538461541</v>
      </c>
      <c r="F1003" s="51">
        <v>645.79929230769233</v>
      </c>
      <c r="G1003" s="51">
        <v>383.82410769230768</v>
      </c>
      <c r="H1003" s="51">
        <v>377.73166153846154</v>
      </c>
      <c r="I1003" s="51">
        <v>341.17698461538464</v>
      </c>
      <c r="J1003" s="51">
        <v>298.52986153846155</v>
      </c>
      <c r="K1003" s="51">
        <v>499.58058461538462</v>
      </c>
      <c r="L1003" s="51">
        <v>377.73166153846154</v>
      </c>
      <c r="M1003" s="44">
        <f t="shared" si="16"/>
        <v>928.90999999999985</v>
      </c>
      <c r="N1003" s="45">
        <v>4889</v>
      </c>
      <c r="O1003" s="50">
        <v>170</v>
      </c>
      <c r="P1003" s="50">
        <v>2</v>
      </c>
      <c r="Q1003" s="50">
        <v>460</v>
      </c>
      <c r="R1003" s="50">
        <v>787</v>
      </c>
      <c r="S1003" s="50">
        <v>500</v>
      </c>
      <c r="T1003" s="50">
        <v>1200</v>
      </c>
      <c r="U1003" s="50">
        <v>63</v>
      </c>
      <c r="V1003" s="50">
        <v>416</v>
      </c>
      <c r="W1003" s="50">
        <v>1072</v>
      </c>
      <c r="X1003" s="50">
        <v>219</v>
      </c>
    </row>
    <row r="1004" spans="1:24" s="41" customFormat="1">
      <c r="A1004" s="42">
        <v>46165</v>
      </c>
      <c r="B1004" s="43" t="s">
        <v>964</v>
      </c>
      <c r="C1004" s="51">
        <v>450.72387692307694</v>
      </c>
      <c r="D1004" s="51">
        <v>357.92778461538467</v>
      </c>
      <c r="E1004" s="51">
        <v>318.15803076923083</v>
      </c>
      <c r="F1004" s="51">
        <v>702.59898461538467</v>
      </c>
      <c r="G1004" s="51">
        <v>417.58241538461539</v>
      </c>
      <c r="H1004" s="51">
        <v>410.95412307692311</v>
      </c>
      <c r="I1004" s="51">
        <v>371.18436923076922</v>
      </c>
      <c r="J1004" s="51">
        <v>324.78632307692311</v>
      </c>
      <c r="K1004" s="51">
        <v>543.51996923076922</v>
      </c>
      <c r="L1004" s="51">
        <v>410.95412307692311</v>
      </c>
      <c r="M1004" s="44">
        <f t="shared" si="16"/>
        <v>1010.6099999999997</v>
      </c>
      <c r="N1004" s="45">
        <v>5319</v>
      </c>
      <c r="O1004" s="50">
        <v>250</v>
      </c>
      <c r="P1004" s="50">
        <v>4</v>
      </c>
      <c r="Q1004" s="50">
        <v>689</v>
      </c>
      <c r="R1004" s="50">
        <v>787</v>
      </c>
      <c r="S1004" s="50">
        <v>565</v>
      </c>
      <c r="T1004" s="50">
        <v>1200</v>
      </c>
      <c r="U1004" s="50">
        <v>293</v>
      </c>
      <c r="V1004" s="50">
        <v>416</v>
      </c>
      <c r="W1004" s="50">
        <v>1115</v>
      </c>
      <c r="X1004" s="50">
        <v>0</v>
      </c>
    </row>
    <row r="1005" spans="1:24" s="41" customFormat="1">
      <c r="A1005" s="42">
        <v>46166</v>
      </c>
      <c r="B1005" s="43" t="s">
        <v>964</v>
      </c>
      <c r="C1005" s="51">
        <v>451.74073846153851</v>
      </c>
      <c r="D1005" s="51">
        <v>358.73529230769236</v>
      </c>
      <c r="E1005" s="51">
        <v>318.87581538461546</v>
      </c>
      <c r="F1005" s="51">
        <v>704.18409230769237</v>
      </c>
      <c r="G1005" s="51">
        <v>418.52450769230774</v>
      </c>
      <c r="H1005" s="51">
        <v>411.88126153846162</v>
      </c>
      <c r="I1005" s="51">
        <v>372.02178461538466</v>
      </c>
      <c r="J1005" s="51">
        <v>325.51906153846159</v>
      </c>
      <c r="K1005" s="51">
        <v>544.74618461538466</v>
      </c>
      <c r="L1005" s="51">
        <v>411.88126153846162</v>
      </c>
      <c r="M1005" s="44">
        <f t="shared" si="16"/>
        <v>1012.8899999999994</v>
      </c>
      <c r="N1005" s="45">
        <v>5331</v>
      </c>
      <c r="O1005" s="50">
        <v>250</v>
      </c>
      <c r="P1005" s="50">
        <v>4</v>
      </c>
      <c r="Q1005" s="50">
        <v>689</v>
      </c>
      <c r="R1005" s="50">
        <v>787</v>
      </c>
      <c r="S1005" s="50">
        <v>565</v>
      </c>
      <c r="T1005" s="50">
        <v>1200</v>
      </c>
      <c r="U1005" s="50">
        <v>293</v>
      </c>
      <c r="V1005" s="50">
        <v>416</v>
      </c>
      <c r="W1005" s="50">
        <v>1127</v>
      </c>
      <c r="X1005" s="50">
        <v>0</v>
      </c>
    </row>
    <row r="1006" spans="1:24" s="41" customFormat="1">
      <c r="A1006" s="42">
        <v>46167</v>
      </c>
      <c r="B1006" s="43" t="s">
        <v>964</v>
      </c>
      <c r="C1006" s="51">
        <v>418.4385230769231</v>
      </c>
      <c r="D1006" s="51">
        <v>332.28941538461538</v>
      </c>
      <c r="E1006" s="51">
        <v>295.36836923076925</v>
      </c>
      <c r="F1006" s="51">
        <v>652.27181538461537</v>
      </c>
      <c r="G1006" s="51">
        <v>387.67098461538461</v>
      </c>
      <c r="H1006" s="51">
        <v>381.51747692307697</v>
      </c>
      <c r="I1006" s="51">
        <v>344.59643076923078</v>
      </c>
      <c r="J1006" s="51">
        <v>301.52187692307695</v>
      </c>
      <c r="K1006" s="51">
        <v>504.58763076923077</v>
      </c>
      <c r="L1006" s="51">
        <v>381.51747692307697</v>
      </c>
      <c r="M1006" s="44">
        <f t="shared" si="16"/>
        <v>938.2199999999998</v>
      </c>
      <c r="N1006" s="45">
        <v>4938</v>
      </c>
      <c r="O1006" s="50">
        <v>170</v>
      </c>
      <c r="P1006" s="50">
        <v>2</v>
      </c>
      <c r="Q1006" s="50">
        <v>460</v>
      </c>
      <c r="R1006" s="50">
        <v>787</v>
      </c>
      <c r="S1006" s="50">
        <v>500</v>
      </c>
      <c r="T1006" s="50">
        <v>1200</v>
      </c>
      <c r="U1006" s="50">
        <v>118</v>
      </c>
      <c r="V1006" s="50">
        <v>416</v>
      </c>
      <c r="W1006" s="50">
        <v>1066</v>
      </c>
      <c r="X1006" s="50">
        <v>219</v>
      </c>
    </row>
    <row r="1007" spans="1:24" s="41" customFormat="1">
      <c r="A1007" s="42">
        <v>46168</v>
      </c>
      <c r="B1007" s="43" t="s">
        <v>964</v>
      </c>
      <c r="C1007" s="51">
        <v>410.89679999999998</v>
      </c>
      <c r="D1007" s="51">
        <v>326.30040000000002</v>
      </c>
      <c r="E1007" s="51">
        <v>290.04480000000001</v>
      </c>
      <c r="F1007" s="51">
        <v>640.51559999999995</v>
      </c>
      <c r="G1007" s="51">
        <v>380.68379999999996</v>
      </c>
      <c r="H1007" s="51">
        <v>374.64120000000003</v>
      </c>
      <c r="I1007" s="51">
        <v>338.38560000000001</v>
      </c>
      <c r="J1007" s="51">
        <v>296.0874</v>
      </c>
      <c r="K1007" s="51">
        <v>495.49319999999994</v>
      </c>
      <c r="L1007" s="51">
        <v>374.64120000000003</v>
      </c>
      <c r="M1007" s="44">
        <f t="shared" si="16"/>
        <v>921.31</v>
      </c>
      <c r="N1007" s="45">
        <v>4849</v>
      </c>
      <c r="O1007" s="50">
        <v>170</v>
      </c>
      <c r="P1007" s="50">
        <v>2</v>
      </c>
      <c r="Q1007" s="50">
        <v>460</v>
      </c>
      <c r="R1007" s="50">
        <v>787</v>
      </c>
      <c r="S1007" s="50">
        <v>500</v>
      </c>
      <c r="T1007" s="50">
        <v>1200</v>
      </c>
      <c r="U1007" s="50">
        <v>40</v>
      </c>
      <c r="V1007" s="50">
        <v>416</v>
      </c>
      <c r="W1007" s="50">
        <v>1055</v>
      </c>
      <c r="X1007" s="50">
        <v>219</v>
      </c>
    </row>
    <row r="1008" spans="1:24" s="41" customFormat="1">
      <c r="A1008" s="42">
        <v>46169</v>
      </c>
      <c r="B1008" s="43" t="s">
        <v>964</v>
      </c>
      <c r="C1008" s="51">
        <v>407.76147692307694</v>
      </c>
      <c r="D1008" s="51">
        <v>323.81058461538464</v>
      </c>
      <c r="E1008" s="51">
        <v>287.8316307692308</v>
      </c>
      <c r="F1008" s="51">
        <v>635.62818461538461</v>
      </c>
      <c r="G1008" s="51">
        <v>377.77901538461538</v>
      </c>
      <c r="H1008" s="51">
        <v>371.7825230769231</v>
      </c>
      <c r="I1008" s="51">
        <v>335.80356923076926</v>
      </c>
      <c r="J1008" s="51">
        <v>293.82812307692308</v>
      </c>
      <c r="K1008" s="51">
        <v>491.71236923076924</v>
      </c>
      <c r="L1008" s="51">
        <v>371.7825230769231</v>
      </c>
      <c r="M1008" s="44">
        <f t="shared" si="16"/>
        <v>914.27999999999975</v>
      </c>
      <c r="N1008" s="45">
        <v>4812</v>
      </c>
      <c r="O1008" s="50">
        <v>170</v>
      </c>
      <c r="P1008" s="50">
        <v>2</v>
      </c>
      <c r="Q1008" s="50">
        <v>460</v>
      </c>
      <c r="R1008" s="50">
        <v>787</v>
      </c>
      <c r="S1008" s="50">
        <v>500</v>
      </c>
      <c r="T1008" s="50">
        <v>1200</v>
      </c>
      <c r="U1008" s="50">
        <v>21</v>
      </c>
      <c r="V1008" s="50">
        <v>416</v>
      </c>
      <c r="W1008" s="50">
        <v>1037</v>
      </c>
      <c r="X1008" s="50">
        <v>219</v>
      </c>
    </row>
    <row r="1009" spans="1:24" s="41" customFormat="1">
      <c r="A1009" s="42">
        <v>46170</v>
      </c>
      <c r="B1009" s="43" t="s">
        <v>964</v>
      </c>
      <c r="C1009" s="51">
        <v>410.47310769230768</v>
      </c>
      <c r="D1009" s="51">
        <v>325.96393846153848</v>
      </c>
      <c r="E1009" s="51">
        <v>289.74572307692313</v>
      </c>
      <c r="F1009" s="51">
        <v>639.85513846153844</v>
      </c>
      <c r="G1009" s="51">
        <v>380.29126153846153</v>
      </c>
      <c r="H1009" s="51">
        <v>374.25489230769233</v>
      </c>
      <c r="I1009" s="51">
        <v>338.03667692307693</v>
      </c>
      <c r="J1009" s="51">
        <v>295.78209230769232</v>
      </c>
      <c r="K1009" s="51">
        <v>494.98227692307694</v>
      </c>
      <c r="L1009" s="51">
        <v>374.25489230769233</v>
      </c>
      <c r="M1009" s="44">
        <f t="shared" si="16"/>
        <v>920.35999999999967</v>
      </c>
      <c r="N1009" s="45">
        <v>4844</v>
      </c>
      <c r="O1009" s="50">
        <v>170</v>
      </c>
      <c r="P1009" s="50">
        <v>2</v>
      </c>
      <c r="Q1009" s="50">
        <v>460</v>
      </c>
      <c r="R1009" s="50">
        <v>787</v>
      </c>
      <c r="S1009" s="50">
        <v>500</v>
      </c>
      <c r="T1009" s="50">
        <v>1200</v>
      </c>
      <c r="U1009" s="50">
        <v>21</v>
      </c>
      <c r="V1009" s="50">
        <v>416</v>
      </c>
      <c r="W1009" s="50">
        <v>1069</v>
      </c>
      <c r="X1009" s="50">
        <v>219</v>
      </c>
    </row>
    <row r="1010" spans="1:24" s="41" customFormat="1">
      <c r="A1010" s="42">
        <v>46171</v>
      </c>
      <c r="B1010" s="43" t="s">
        <v>964</v>
      </c>
      <c r="C1010" s="51">
        <v>416.40479999999997</v>
      </c>
      <c r="D1010" s="51">
        <v>330.67439999999999</v>
      </c>
      <c r="E1010" s="51">
        <v>293.93280000000004</v>
      </c>
      <c r="F1010" s="51">
        <v>649.10159999999996</v>
      </c>
      <c r="G1010" s="51">
        <v>385.78679999999997</v>
      </c>
      <c r="H1010" s="51">
        <v>379.66320000000002</v>
      </c>
      <c r="I1010" s="51">
        <v>342.92160000000001</v>
      </c>
      <c r="J1010" s="51">
        <v>300.0564</v>
      </c>
      <c r="K1010" s="51">
        <v>502.1352</v>
      </c>
      <c r="L1010" s="51">
        <v>379.66320000000002</v>
      </c>
      <c r="M1010" s="44">
        <f t="shared" si="16"/>
        <v>933.65999999999985</v>
      </c>
      <c r="N1010" s="45">
        <v>4914</v>
      </c>
      <c r="O1010" s="50">
        <v>170</v>
      </c>
      <c r="P1010" s="50">
        <v>2</v>
      </c>
      <c r="Q1010" s="50">
        <v>460</v>
      </c>
      <c r="R1010" s="50">
        <v>787</v>
      </c>
      <c r="S1010" s="50">
        <v>565</v>
      </c>
      <c r="T1010" s="50">
        <v>1200</v>
      </c>
      <c r="U1010" s="50">
        <v>21</v>
      </c>
      <c r="V1010" s="50">
        <v>416</v>
      </c>
      <c r="W1010" s="50">
        <v>1074</v>
      </c>
      <c r="X1010" s="50">
        <v>219</v>
      </c>
    </row>
    <row r="1011" spans="1:24" s="41" customFormat="1">
      <c r="A1011" s="42">
        <v>46172</v>
      </c>
      <c r="B1011" s="43" t="s">
        <v>964</v>
      </c>
      <c r="C1011" s="51">
        <v>439.02996923076927</v>
      </c>
      <c r="D1011" s="51">
        <v>348.64144615384618</v>
      </c>
      <c r="E1011" s="51">
        <v>309.90350769230776</v>
      </c>
      <c r="F1011" s="51">
        <v>684.37024615384621</v>
      </c>
      <c r="G1011" s="51">
        <v>406.74835384615386</v>
      </c>
      <c r="H1011" s="51">
        <v>400.29203076923085</v>
      </c>
      <c r="I1011" s="51">
        <v>361.55409230769231</v>
      </c>
      <c r="J1011" s="51">
        <v>316.35983076923083</v>
      </c>
      <c r="K1011" s="51">
        <v>529.4184923076923</v>
      </c>
      <c r="L1011" s="51">
        <v>400.29203076923085</v>
      </c>
      <c r="M1011" s="44">
        <f t="shared" si="16"/>
        <v>984.38999999999942</v>
      </c>
      <c r="N1011" s="45">
        <v>5181</v>
      </c>
      <c r="O1011" s="50">
        <v>250</v>
      </c>
      <c r="P1011" s="50">
        <v>4</v>
      </c>
      <c r="Q1011" s="50">
        <v>689</v>
      </c>
      <c r="R1011" s="50">
        <v>787</v>
      </c>
      <c r="S1011" s="50">
        <v>565</v>
      </c>
      <c r="T1011" s="50">
        <v>1252</v>
      </c>
      <c r="U1011" s="50">
        <v>130</v>
      </c>
      <c r="V1011" s="50">
        <v>416</v>
      </c>
      <c r="W1011" s="50">
        <v>1088</v>
      </c>
      <c r="X1011" s="50">
        <v>0</v>
      </c>
    </row>
    <row r="1012" spans="1:24" s="41" customFormat="1">
      <c r="A1012" s="42">
        <v>46173</v>
      </c>
      <c r="B1012" s="43" t="s">
        <v>964</v>
      </c>
      <c r="C1012" s="51">
        <v>535.37759999999992</v>
      </c>
      <c r="D1012" s="51">
        <v>425.15280000000001</v>
      </c>
      <c r="E1012" s="51">
        <v>377.91360000000003</v>
      </c>
      <c r="F1012" s="51">
        <v>834.55919999999992</v>
      </c>
      <c r="G1012" s="51">
        <v>496.01159999999999</v>
      </c>
      <c r="H1012" s="51">
        <v>488.13839999999999</v>
      </c>
      <c r="I1012" s="51">
        <v>440.89919999999995</v>
      </c>
      <c r="J1012" s="51">
        <v>385.78679999999997</v>
      </c>
      <c r="K1012" s="51">
        <v>645.60239999999999</v>
      </c>
      <c r="L1012" s="51">
        <v>488.13839999999999</v>
      </c>
      <c r="M1012" s="44">
        <f t="shared" si="16"/>
        <v>1200.420000000001</v>
      </c>
      <c r="N1012" s="45">
        <v>6318</v>
      </c>
      <c r="O1012" s="50">
        <v>250</v>
      </c>
      <c r="P1012" s="50">
        <v>4</v>
      </c>
      <c r="Q1012" s="50">
        <v>689</v>
      </c>
      <c r="R1012" s="50">
        <v>788</v>
      </c>
      <c r="S1012" s="50">
        <v>565</v>
      </c>
      <c r="T1012" s="50">
        <v>2400</v>
      </c>
      <c r="U1012" s="50">
        <v>130</v>
      </c>
      <c r="V1012" s="50">
        <v>416</v>
      </c>
      <c r="W1012" s="50">
        <v>1076</v>
      </c>
      <c r="X1012" s="50">
        <v>0</v>
      </c>
    </row>
    <row r="1013" spans="1:24" s="41" customFormat="1">
      <c r="A1013" s="42">
        <v>46174</v>
      </c>
      <c r="B1013" s="43" t="s">
        <v>964</v>
      </c>
      <c r="C1013" s="44"/>
      <c r="D1013" s="44"/>
      <c r="E1013" s="44"/>
      <c r="F1013" s="44"/>
      <c r="G1013" s="44"/>
      <c r="H1013" s="44"/>
      <c r="I1013" s="44"/>
      <c r="J1013" s="44"/>
      <c r="K1013" s="44"/>
      <c r="L1013" s="44"/>
      <c r="M1013" s="44">
        <f t="shared" si="16"/>
        <v>0</v>
      </c>
      <c r="N1013" s="45"/>
      <c r="O1013" s="44"/>
      <c r="P1013" s="44"/>
      <c r="Q1013" s="44"/>
      <c r="R1013" s="44"/>
      <c r="S1013" s="44"/>
      <c r="T1013" s="44"/>
      <c r="U1013" s="44"/>
      <c r="V1013" s="44"/>
      <c r="W1013" s="44"/>
      <c r="X1013" s="44"/>
    </row>
    <row r="1014" spans="1:24" s="41" customFormat="1">
      <c r="A1014" s="42">
        <v>46175</v>
      </c>
      <c r="B1014" s="43" t="s">
        <v>964</v>
      </c>
      <c r="C1014" s="44"/>
      <c r="D1014" s="44"/>
      <c r="E1014" s="44"/>
      <c r="F1014" s="44"/>
      <c r="G1014" s="44"/>
      <c r="H1014" s="44"/>
      <c r="I1014" s="44"/>
      <c r="J1014" s="44"/>
      <c r="K1014" s="44"/>
      <c r="L1014" s="44"/>
      <c r="M1014" s="44">
        <f t="shared" si="16"/>
        <v>0</v>
      </c>
      <c r="N1014" s="45"/>
      <c r="O1014" s="44"/>
      <c r="P1014" s="44"/>
      <c r="Q1014" s="44"/>
      <c r="R1014" s="44"/>
      <c r="S1014" s="44"/>
      <c r="T1014" s="44"/>
      <c r="U1014" s="44"/>
      <c r="V1014" s="44"/>
      <c r="W1014" s="44"/>
      <c r="X1014" s="44"/>
    </row>
    <row r="1015" spans="1:24" s="41" customFormat="1">
      <c r="A1015" s="42">
        <v>46176</v>
      </c>
      <c r="B1015" s="43" t="s">
        <v>964</v>
      </c>
      <c r="C1015" s="44"/>
      <c r="D1015" s="44"/>
      <c r="E1015" s="44"/>
      <c r="F1015" s="44"/>
      <c r="G1015" s="44"/>
      <c r="H1015" s="44"/>
      <c r="I1015" s="44"/>
      <c r="J1015" s="44"/>
      <c r="K1015" s="44"/>
      <c r="L1015" s="44"/>
      <c r="M1015" s="44">
        <f t="shared" si="16"/>
        <v>0</v>
      </c>
      <c r="N1015" s="45"/>
      <c r="O1015" s="44"/>
      <c r="P1015" s="44"/>
      <c r="Q1015" s="44"/>
      <c r="R1015" s="44"/>
      <c r="S1015" s="44"/>
      <c r="T1015" s="44"/>
      <c r="U1015" s="44"/>
      <c r="V1015" s="44"/>
      <c r="W1015" s="44"/>
      <c r="X1015" s="44"/>
    </row>
    <row r="1016" spans="1:24" s="41" customFormat="1">
      <c r="A1016" s="42">
        <v>46177</v>
      </c>
      <c r="B1016" s="43" t="s">
        <v>964</v>
      </c>
      <c r="C1016" s="44"/>
      <c r="D1016" s="44"/>
      <c r="E1016" s="44"/>
      <c r="F1016" s="44"/>
      <c r="G1016" s="44"/>
      <c r="H1016" s="44"/>
      <c r="I1016" s="44"/>
      <c r="J1016" s="44"/>
      <c r="K1016" s="44"/>
      <c r="L1016" s="44"/>
      <c r="M1016" s="44">
        <f t="shared" si="16"/>
        <v>0</v>
      </c>
      <c r="N1016" s="45"/>
      <c r="O1016" s="44"/>
      <c r="P1016" s="44"/>
      <c r="Q1016" s="44"/>
      <c r="R1016" s="44"/>
      <c r="S1016" s="44"/>
      <c r="T1016" s="44"/>
      <c r="U1016" s="44"/>
      <c r="V1016" s="44"/>
      <c r="W1016" s="44"/>
      <c r="X1016" s="44"/>
    </row>
    <row r="1017" spans="1:24" s="41" customFormat="1">
      <c r="A1017" s="42">
        <v>46178</v>
      </c>
      <c r="B1017" s="43" t="s">
        <v>964</v>
      </c>
      <c r="C1017" s="44"/>
      <c r="D1017" s="44"/>
      <c r="E1017" s="44"/>
      <c r="F1017" s="44"/>
      <c r="G1017" s="44"/>
      <c r="H1017" s="44"/>
      <c r="I1017" s="44"/>
      <c r="J1017" s="44"/>
      <c r="K1017" s="44"/>
      <c r="L1017" s="44"/>
      <c r="M1017" s="44">
        <f t="shared" si="16"/>
        <v>0</v>
      </c>
      <c r="N1017" s="45"/>
      <c r="O1017" s="44"/>
      <c r="P1017" s="44"/>
      <c r="Q1017" s="44"/>
      <c r="R1017" s="44"/>
      <c r="S1017" s="44"/>
      <c r="T1017" s="44"/>
      <c r="U1017" s="44"/>
      <c r="V1017" s="44"/>
      <c r="W1017" s="44"/>
      <c r="X1017" s="44"/>
    </row>
    <row r="1018" spans="1:24" s="41" customFormat="1">
      <c r="A1018" s="42">
        <v>46179</v>
      </c>
      <c r="B1018" s="43" t="s">
        <v>964</v>
      </c>
      <c r="C1018" s="44"/>
      <c r="D1018" s="44"/>
      <c r="E1018" s="44"/>
      <c r="F1018" s="44"/>
      <c r="G1018" s="44"/>
      <c r="H1018" s="44"/>
      <c r="I1018" s="44"/>
      <c r="J1018" s="44"/>
      <c r="K1018" s="44"/>
      <c r="L1018" s="44"/>
      <c r="M1018" s="44">
        <f t="shared" si="16"/>
        <v>0</v>
      </c>
      <c r="N1018" s="45"/>
      <c r="O1018" s="44"/>
      <c r="P1018" s="44"/>
      <c r="Q1018" s="44"/>
      <c r="R1018" s="44"/>
      <c r="S1018" s="44"/>
      <c r="T1018" s="44"/>
      <c r="U1018" s="44"/>
      <c r="V1018" s="44"/>
      <c r="W1018" s="44"/>
      <c r="X1018" s="44"/>
    </row>
    <row r="1019" spans="1:24" s="41" customFormat="1">
      <c r="A1019" s="42">
        <v>46180</v>
      </c>
      <c r="B1019" s="43" t="s">
        <v>964</v>
      </c>
      <c r="C1019" s="44"/>
      <c r="D1019" s="44"/>
      <c r="E1019" s="44"/>
      <c r="F1019" s="44"/>
      <c r="G1019" s="44"/>
      <c r="H1019" s="44"/>
      <c r="I1019" s="44"/>
      <c r="J1019" s="44"/>
      <c r="K1019" s="44"/>
      <c r="L1019" s="44"/>
      <c r="M1019" s="44">
        <f t="shared" si="16"/>
        <v>0</v>
      </c>
      <c r="N1019" s="45"/>
      <c r="O1019" s="44"/>
      <c r="P1019" s="44"/>
      <c r="Q1019" s="44"/>
      <c r="R1019" s="44"/>
      <c r="S1019" s="44"/>
      <c r="T1019" s="44"/>
      <c r="U1019" s="44"/>
      <c r="V1019" s="44"/>
      <c r="W1019" s="44"/>
      <c r="X1019" s="44"/>
    </row>
    <row r="1020" spans="1:24" s="41" customFormat="1">
      <c r="A1020" s="42">
        <v>46181</v>
      </c>
      <c r="B1020" s="43" t="s">
        <v>964</v>
      </c>
      <c r="C1020" s="44"/>
      <c r="D1020" s="44"/>
      <c r="E1020" s="44"/>
      <c r="F1020" s="44"/>
      <c r="G1020" s="44"/>
      <c r="H1020" s="44"/>
      <c r="I1020" s="44"/>
      <c r="J1020" s="44"/>
      <c r="K1020" s="44"/>
      <c r="L1020" s="44"/>
      <c r="M1020" s="44">
        <f t="shared" si="16"/>
        <v>0</v>
      </c>
      <c r="N1020" s="45"/>
      <c r="O1020" s="44"/>
      <c r="P1020" s="44"/>
      <c r="Q1020" s="44"/>
      <c r="R1020" s="44"/>
      <c r="S1020" s="44"/>
      <c r="T1020" s="44"/>
      <c r="U1020" s="44"/>
      <c r="V1020" s="44"/>
      <c r="W1020" s="44"/>
      <c r="X1020" s="44"/>
    </row>
    <row r="1021" spans="1:24" s="41" customFormat="1">
      <c r="A1021" s="42">
        <v>46182</v>
      </c>
      <c r="B1021" s="43" t="s">
        <v>964</v>
      </c>
      <c r="C1021" s="44"/>
      <c r="D1021" s="44"/>
      <c r="E1021" s="44"/>
      <c r="F1021" s="44"/>
      <c r="G1021" s="44"/>
      <c r="H1021" s="44"/>
      <c r="I1021" s="44"/>
      <c r="J1021" s="44"/>
      <c r="K1021" s="44"/>
      <c r="L1021" s="44"/>
      <c r="M1021" s="44">
        <f t="shared" si="16"/>
        <v>0</v>
      </c>
      <c r="N1021" s="45"/>
      <c r="O1021" s="44"/>
      <c r="P1021" s="44"/>
      <c r="Q1021" s="44"/>
      <c r="R1021" s="44"/>
      <c r="S1021" s="44"/>
      <c r="T1021" s="44"/>
      <c r="U1021" s="44"/>
      <c r="V1021" s="44"/>
      <c r="W1021" s="44"/>
      <c r="X1021" s="44"/>
    </row>
    <row r="1022" spans="1:24" s="41" customFormat="1">
      <c r="A1022" s="42">
        <v>46183</v>
      </c>
      <c r="B1022" s="43" t="s">
        <v>964</v>
      </c>
      <c r="C1022" s="44"/>
      <c r="D1022" s="44"/>
      <c r="E1022" s="44"/>
      <c r="F1022" s="44"/>
      <c r="G1022" s="44"/>
      <c r="H1022" s="44"/>
      <c r="I1022" s="44"/>
      <c r="J1022" s="44"/>
      <c r="K1022" s="44"/>
      <c r="L1022" s="44"/>
      <c r="M1022" s="44">
        <f t="shared" si="16"/>
        <v>0</v>
      </c>
      <c r="N1022" s="45"/>
      <c r="O1022" s="44"/>
      <c r="P1022" s="44"/>
      <c r="Q1022" s="44"/>
      <c r="R1022" s="44"/>
      <c r="S1022" s="44"/>
      <c r="T1022" s="44"/>
      <c r="U1022" s="44"/>
      <c r="V1022" s="44"/>
      <c r="W1022" s="44"/>
      <c r="X1022" s="44"/>
    </row>
    <row r="1023" spans="1:24" s="41" customFormat="1">
      <c r="A1023" s="42">
        <v>46184</v>
      </c>
      <c r="B1023" s="43" t="s">
        <v>964</v>
      </c>
      <c r="C1023" s="44"/>
      <c r="D1023" s="44"/>
      <c r="E1023" s="44"/>
      <c r="F1023" s="44"/>
      <c r="G1023" s="44"/>
      <c r="H1023" s="44"/>
      <c r="I1023" s="44"/>
      <c r="J1023" s="44"/>
      <c r="K1023" s="44"/>
      <c r="L1023" s="44"/>
      <c r="M1023" s="44">
        <f t="shared" si="16"/>
        <v>0</v>
      </c>
      <c r="N1023" s="45"/>
      <c r="O1023" s="44"/>
      <c r="P1023" s="44"/>
      <c r="Q1023" s="44"/>
      <c r="R1023" s="44"/>
      <c r="S1023" s="44"/>
      <c r="T1023" s="44"/>
      <c r="U1023" s="44"/>
      <c r="V1023" s="44"/>
      <c r="W1023" s="44"/>
      <c r="X1023" s="44"/>
    </row>
    <row r="1024" spans="1:24" s="41" customFormat="1">
      <c r="A1024" s="42">
        <v>46185</v>
      </c>
      <c r="B1024" s="43" t="s">
        <v>964</v>
      </c>
      <c r="C1024" s="44"/>
      <c r="D1024" s="44"/>
      <c r="E1024" s="44"/>
      <c r="F1024" s="44"/>
      <c r="G1024" s="44"/>
      <c r="H1024" s="44"/>
      <c r="I1024" s="44"/>
      <c r="J1024" s="44"/>
      <c r="K1024" s="44"/>
      <c r="L1024" s="44"/>
      <c r="M1024" s="44">
        <f t="shared" si="16"/>
        <v>0</v>
      </c>
      <c r="N1024" s="45"/>
      <c r="O1024" s="44"/>
      <c r="P1024" s="44"/>
      <c r="Q1024" s="44"/>
      <c r="R1024" s="44"/>
      <c r="S1024" s="44"/>
      <c r="T1024" s="44"/>
      <c r="U1024" s="44"/>
      <c r="V1024" s="44"/>
      <c r="W1024" s="44"/>
      <c r="X1024" s="44"/>
    </row>
    <row r="1025" spans="1:24" s="41" customFormat="1">
      <c r="A1025" s="42">
        <v>46186</v>
      </c>
      <c r="B1025" s="43" t="s">
        <v>964</v>
      </c>
      <c r="C1025" s="44"/>
      <c r="D1025" s="44"/>
      <c r="E1025" s="44"/>
      <c r="F1025" s="44"/>
      <c r="G1025" s="44"/>
      <c r="H1025" s="44"/>
      <c r="I1025" s="44"/>
      <c r="J1025" s="44"/>
      <c r="K1025" s="44"/>
      <c r="L1025" s="44"/>
      <c r="M1025" s="44">
        <f t="shared" si="16"/>
        <v>0</v>
      </c>
      <c r="N1025" s="45"/>
      <c r="O1025" s="44"/>
      <c r="P1025" s="44"/>
      <c r="Q1025" s="44"/>
      <c r="R1025" s="44"/>
      <c r="S1025" s="44"/>
      <c r="T1025" s="44"/>
      <c r="U1025" s="44"/>
      <c r="V1025" s="44"/>
      <c r="W1025" s="44"/>
      <c r="X1025" s="44"/>
    </row>
    <row r="1026" spans="1:24" s="41" customFormat="1">
      <c r="A1026" s="42">
        <v>46187</v>
      </c>
      <c r="B1026" s="43" t="s">
        <v>964</v>
      </c>
      <c r="C1026" s="44"/>
      <c r="D1026" s="44"/>
      <c r="E1026" s="44"/>
      <c r="F1026" s="44"/>
      <c r="G1026" s="44"/>
      <c r="H1026" s="44"/>
      <c r="I1026" s="44"/>
      <c r="J1026" s="44"/>
      <c r="K1026" s="44"/>
      <c r="L1026" s="44"/>
      <c r="M1026" s="44">
        <f t="shared" si="16"/>
        <v>0</v>
      </c>
      <c r="N1026" s="45"/>
      <c r="O1026" s="44"/>
      <c r="P1026" s="44"/>
      <c r="Q1026" s="44"/>
      <c r="R1026" s="44"/>
      <c r="S1026" s="44"/>
      <c r="T1026" s="44"/>
      <c r="U1026" s="44"/>
      <c r="V1026" s="44"/>
      <c r="W1026" s="44"/>
      <c r="X1026" s="44"/>
    </row>
    <row r="1027" spans="1:24" s="41" customFormat="1">
      <c r="A1027" s="42">
        <v>46188</v>
      </c>
      <c r="B1027" s="43" t="s">
        <v>964</v>
      </c>
      <c r="C1027" s="44"/>
      <c r="D1027" s="44"/>
      <c r="E1027" s="44"/>
      <c r="F1027" s="44"/>
      <c r="G1027" s="44"/>
      <c r="H1027" s="44"/>
      <c r="I1027" s="44"/>
      <c r="J1027" s="44"/>
      <c r="K1027" s="44"/>
      <c r="L1027" s="44"/>
      <c r="M1027" s="44">
        <f t="shared" ref="M1027:M1090" si="17">N1027-SUM(C1027:L1027)</f>
        <v>0</v>
      </c>
      <c r="N1027" s="45"/>
      <c r="O1027" s="44"/>
      <c r="P1027" s="44"/>
      <c r="Q1027" s="44"/>
      <c r="R1027" s="44"/>
      <c r="S1027" s="44"/>
      <c r="T1027" s="44"/>
      <c r="U1027" s="44"/>
      <c r="V1027" s="44"/>
      <c r="W1027" s="44"/>
      <c r="X1027" s="44"/>
    </row>
    <row r="1028" spans="1:24" s="41" customFormat="1">
      <c r="A1028" s="42">
        <v>46189</v>
      </c>
      <c r="B1028" s="43" t="s">
        <v>964</v>
      </c>
      <c r="C1028" s="44"/>
      <c r="D1028" s="44"/>
      <c r="E1028" s="44"/>
      <c r="F1028" s="44"/>
      <c r="G1028" s="44"/>
      <c r="H1028" s="44"/>
      <c r="I1028" s="44"/>
      <c r="J1028" s="44"/>
      <c r="K1028" s="44"/>
      <c r="L1028" s="44"/>
      <c r="M1028" s="44">
        <f t="shared" si="17"/>
        <v>0</v>
      </c>
      <c r="N1028" s="45"/>
      <c r="O1028" s="44"/>
      <c r="P1028" s="44"/>
      <c r="Q1028" s="44"/>
      <c r="R1028" s="44"/>
      <c r="S1028" s="44"/>
      <c r="T1028" s="44"/>
      <c r="U1028" s="44"/>
      <c r="V1028" s="44"/>
      <c r="W1028" s="44"/>
      <c r="X1028" s="44"/>
    </row>
    <row r="1029" spans="1:24" s="41" customFormat="1">
      <c r="A1029" s="42">
        <v>46190</v>
      </c>
      <c r="B1029" s="43" t="s">
        <v>964</v>
      </c>
      <c r="C1029" s="44"/>
      <c r="D1029" s="44"/>
      <c r="E1029" s="44"/>
      <c r="F1029" s="44"/>
      <c r="G1029" s="44"/>
      <c r="H1029" s="44"/>
      <c r="I1029" s="44"/>
      <c r="J1029" s="44"/>
      <c r="K1029" s="44"/>
      <c r="L1029" s="44"/>
      <c r="M1029" s="44">
        <f t="shared" si="17"/>
        <v>0</v>
      </c>
      <c r="N1029" s="45"/>
      <c r="O1029" s="44"/>
      <c r="P1029" s="44"/>
      <c r="Q1029" s="44"/>
      <c r="R1029" s="44"/>
      <c r="S1029" s="44"/>
      <c r="T1029" s="44"/>
      <c r="U1029" s="44"/>
      <c r="V1029" s="44"/>
      <c r="W1029" s="44"/>
      <c r="X1029" s="44"/>
    </row>
    <row r="1030" spans="1:24" s="41" customFormat="1">
      <c r="A1030" s="42">
        <v>46191</v>
      </c>
      <c r="B1030" s="43" t="s">
        <v>964</v>
      </c>
      <c r="C1030" s="44"/>
      <c r="D1030" s="44"/>
      <c r="E1030" s="44"/>
      <c r="F1030" s="44"/>
      <c r="G1030" s="44"/>
      <c r="H1030" s="44"/>
      <c r="I1030" s="44"/>
      <c r="J1030" s="44"/>
      <c r="K1030" s="44"/>
      <c r="L1030" s="44"/>
      <c r="M1030" s="44">
        <f t="shared" si="17"/>
        <v>0</v>
      </c>
      <c r="N1030" s="45"/>
      <c r="O1030" s="44"/>
      <c r="P1030" s="44"/>
      <c r="Q1030" s="44"/>
      <c r="R1030" s="44"/>
      <c r="S1030" s="44"/>
      <c r="T1030" s="44"/>
      <c r="U1030" s="44"/>
      <c r="V1030" s="44"/>
      <c r="W1030" s="44"/>
      <c r="X1030" s="44"/>
    </row>
    <row r="1031" spans="1:24" s="41" customFormat="1">
      <c r="A1031" s="42">
        <v>46192</v>
      </c>
      <c r="B1031" s="43" t="s">
        <v>964</v>
      </c>
      <c r="C1031" s="44"/>
      <c r="D1031" s="44"/>
      <c r="E1031" s="44"/>
      <c r="F1031" s="44"/>
      <c r="G1031" s="44"/>
      <c r="H1031" s="44"/>
      <c r="I1031" s="44"/>
      <c r="J1031" s="44"/>
      <c r="K1031" s="44"/>
      <c r="L1031" s="44"/>
      <c r="M1031" s="44">
        <f t="shared" si="17"/>
        <v>0</v>
      </c>
      <c r="N1031" s="45"/>
      <c r="O1031" s="44"/>
      <c r="P1031" s="44"/>
      <c r="Q1031" s="44"/>
      <c r="R1031" s="44"/>
      <c r="S1031" s="44"/>
      <c r="T1031" s="44"/>
      <c r="U1031" s="44"/>
      <c r="V1031" s="44"/>
      <c r="W1031" s="44"/>
      <c r="X1031" s="44"/>
    </row>
    <row r="1032" spans="1:24" s="41" customFormat="1">
      <c r="A1032" s="42">
        <v>46193</v>
      </c>
      <c r="B1032" s="43" t="s">
        <v>964</v>
      </c>
      <c r="C1032" s="44"/>
      <c r="D1032" s="44"/>
      <c r="E1032" s="44"/>
      <c r="F1032" s="44"/>
      <c r="G1032" s="44"/>
      <c r="H1032" s="44"/>
      <c r="I1032" s="44"/>
      <c r="J1032" s="44"/>
      <c r="K1032" s="44"/>
      <c r="L1032" s="44"/>
      <c r="M1032" s="44">
        <f t="shared" si="17"/>
        <v>0</v>
      </c>
      <c r="N1032" s="45"/>
      <c r="O1032" s="44"/>
      <c r="P1032" s="44"/>
      <c r="Q1032" s="44"/>
      <c r="R1032" s="44"/>
      <c r="S1032" s="44"/>
      <c r="T1032" s="44"/>
      <c r="U1032" s="44"/>
      <c r="V1032" s="44"/>
      <c r="W1032" s="44"/>
      <c r="X1032" s="44"/>
    </row>
    <row r="1033" spans="1:24" s="41" customFormat="1">
      <c r="A1033" s="42">
        <v>46194</v>
      </c>
      <c r="B1033" s="43" t="s">
        <v>964</v>
      </c>
      <c r="C1033" s="44"/>
      <c r="D1033" s="44"/>
      <c r="E1033" s="44"/>
      <c r="F1033" s="44"/>
      <c r="G1033" s="44"/>
      <c r="H1033" s="44"/>
      <c r="I1033" s="44"/>
      <c r="J1033" s="44"/>
      <c r="K1033" s="44"/>
      <c r="L1033" s="44"/>
      <c r="M1033" s="44">
        <f t="shared" si="17"/>
        <v>0</v>
      </c>
      <c r="N1033" s="45"/>
      <c r="O1033" s="44"/>
      <c r="P1033" s="44"/>
      <c r="Q1033" s="44"/>
      <c r="R1033" s="44"/>
      <c r="S1033" s="44"/>
      <c r="T1033" s="44"/>
      <c r="U1033" s="44"/>
      <c r="V1033" s="44"/>
      <c r="W1033" s="44"/>
      <c r="X1033" s="44"/>
    </row>
    <row r="1034" spans="1:24" s="41" customFormat="1">
      <c r="A1034" s="42">
        <v>46195</v>
      </c>
      <c r="B1034" s="43" t="s">
        <v>964</v>
      </c>
      <c r="C1034" s="44"/>
      <c r="D1034" s="44"/>
      <c r="E1034" s="44"/>
      <c r="F1034" s="44"/>
      <c r="G1034" s="44"/>
      <c r="H1034" s="44"/>
      <c r="I1034" s="44"/>
      <c r="J1034" s="44"/>
      <c r="K1034" s="44"/>
      <c r="L1034" s="44"/>
      <c r="M1034" s="44">
        <f t="shared" si="17"/>
        <v>0</v>
      </c>
      <c r="N1034" s="45"/>
      <c r="O1034" s="44"/>
      <c r="P1034" s="44"/>
      <c r="Q1034" s="44"/>
      <c r="R1034" s="44"/>
      <c r="S1034" s="44"/>
      <c r="T1034" s="44"/>
      <c r="U1034" s="44"/>
      <c r="V1034" s="44"/>
      <c r="W1034" s="44"/>
      <c r="X1034" s="44"/>
    </row>
    <row r="1035" spans="1:24" s="41" customFormat="1">
      <c r="A1035" s="42">
        <v>46196</v>
      </c>
      <c r="B1035" s="43" t="s">
        <v>964</v>
      </c>
      <c r="C1035" s="44"/>
      <c r="D1035" s="44"/>
      <c r="E1035" s="44"/>
      <c r="F1035" s="44"/>
      <c r="G1035" s="44"/>
      <c r="H1035" s="44"/>
      <c r="I1035" s="44"/>
      <c r="J1035" s="44"/>
      <c r="K1035" s="44"/>
      <c r="L1035" s="44"/>
      <c r="M1035" s="44">
        <f t="shared" si="17"/>
        <v>0</v>
      </c>
      <c r="N1035" s="45"/>
      <c r="O1035" s="44"/>
      <c r="P1035" s="44"/>
      <c r="Q1035" s="44"/>
      <c r="R1035" s="44"/>
      <c r="S1035" s="44"/>
      <c r="T1035" s="44"/>
      <c r="U1035" s="44"/>
      <c r="V1035" s="44"/>
      <c r="W1035" s="44"/>
      <c r="X1035" s="44"/>
    </row>
    <row r="1036" spans="1:24" s="41" customFormat="1">
      <c r="A1036" s="42">
        <v>46197</v>
      </c>
      <c r="B1036" s="43" t="s">
        <v>964</v>
      </c>
      <c r="C1036" s="44"/>
      <c r="D1036" s="44"/>
      <c r="E1036" s="44"/>
      <c r="F1036" s="44"/>
      <c r="G1036" s="44"/>
      <c r="H1036" s="44"/>
      <c r="I1036" s="44"/>
      <c r="J1036" s="44"/>
      <c r="K1036" s="44"/>
      <c r="L1036" s="44"/>
      <c r="M1036" s="44">
        <f t="shared" si="17"/>
        <v>0</v>
      </c>
      <c r="N1036" s="45"/>
      <c r="O1036" s="44"/>
      <c r="P1036" s="44"/>
      <c r="Q1036" s="44"/>
      <c r="R1036" s="44"/>
      <c r="S1036" s="44"/>
      <c r="T1036" s="44"/>
      <c r="U1036" s="44"/>
      <c r="V1036" s="44"/>
      <c r="W1036" s="44"/>
      <c r="X1036" s="44"/>
    </row>
    <row r="1037" spans="1:24" s="41" customFormat="1">
      <c r="A1037" s="42">
        <v>46198</v>
      </c>
      <c r="B1037" s="43" t="s">
        <v>964</v>
      </c>
      <c r="C1037" s="44"/>
      <c r="D1037" s="44"/>
      <c r="E1037" s="44"/>
      <c r="F1037" s="44"/>
      <c r="G1037" s="44"/>
      <c r="H1037" s="44"/>
      <c r="I1037" s="44"/>
      <c r="J1037" s="44"/>
      <c r="K1037" s="44"/>
      <c r="L1037" s="44"/>
      <c r="M1037" s="44">
        <f t="shared" si="17"/>
        <v>0</v>
      </c>
      <c r="N1037" s="45"/>
      <c r="O1037" s="44"/>
      <c r="P1037" s="44"/>
      <c r="Q1037" s="44"/>
      <c r="R1037" s="44"/>
      <c r="S1037" s="44"/>
      <c r="T1037" s="44"/>
      <c r="U1037" s="44"/>
      <c r="V1037" s="44"/>
      <c r="W1037" s="44"/>
      <c r="X1037" s="44"/>
    </row>
    <row r="1038" spans="1:24" s="41" customFormat="1">
      <c r="A1038" s="42">
        <v>46199</v>
      </c>
      <c r="B1038" s="43" t="s">
        <v>964</v>
      </c>
      <c r="C1038" s="44"/>
      <c r="D1038" s="44"/>
      <c r="E1038" s="44"/>
      <c r="F1038" s="44"/>
      <c r="G1038" s="44"/>
      <c r="H1038" s="44"/>
      <c r="I1038" s="44"/>
      <c r="J1038" s="44"/>
      <c r="K1038" s="44"/>
      <c r="L1038" s="44"/>
      <c r="M1038" s="44">
        <f t="shared" si="17"/>
        <v>0</v>
      </c>
      <c r="N1038" s="45"/>
      <c r="O1038" s="44"/>
      <c r="P1038" s="44"/>
      <c r="Q1038" s="44"/>
      <c r="R1038" s="44"/>
      <c r="S1038" s="44"/>
      <c r="T1038" s="44"/>
      <c r="U1038" s="44"/>
      <c r="V1038" s="44"/>
      <c r="W1038" s="44"/>
      <c r="X1038" s="44"/>
    </row>
    <row r="1039" spans="1:24" s="41" customFormat="1">
      <c r="A1039" s="42">
        <v>46200</v>
      </c>
      <c r="B1039" s="43" t="s">
        <v>964</v>
      </c>
      <c r="C1039" s="44"/>
      <c r="D1039" s="44"/>
      <c r="E1039" s="44"/>
      <c r="F1039" s="44"/>
      <c r="G1039" s="44"/>
      <c r="H1039" s="44"/>
      <c r="I1039" s="44"/>
      <c r="J1039" s="44"/>
      <c r="K1039" s="44"/>
      <c r="L1039" s="44"/>
      <c r="M1039" s="44">
        <f t="shared" si="17"/>
        <v>0</v>
      </c>
      <c r="N1039" s="45"/>
      <c r="O1039" s="44"/>
      <c r="P1039" s="44"/>
      <c r="Q1039" s="44"/>
      <c r="R1039" s="44"/>
      <c r="S1039" s="44"/>
      <c r="T1039" s="44"/>
      <c r="U1039" s="44"/>
      <c r="V1039" s="44"/>
      <c r="W1039" s="44"/>
      <c r="X1039" s="44"/>
    </row>
    <row r="1040" spans="1:24" s="41" customFormat="1">
      <c r="A1040" s="42">
        <v>46201</v>
      </c>
      <c r="B1040" s="43" t="s">
        <v>964</v>
      </c>
      <c r="C1040" s="44"/>
      <c r="D1040" s="44"/>
      <c r="E1040" s="44"/>
      <c r="F1040" s="44"/>
      <c r="G1040" s="44"/>
      <c r="H1040" s="44"/>
      <c r="I1040" s="44"/>
      <c r="J1040" s="44"/>
      <c r="K1040" s="44"/>
      <c r="L1040" s="44"/>
      <c r="M1040" s="44">
        <f t="shared" si="17"/>
        <v>0</v>
      </c>
      <c r="N1040" s="45"/>
      <c r="O1040" s="44"/>
      <c r="P1040" s="44"/>
      <c r="Q1040" s="44"/>
      <c r="R1040" s="44"/>
      <c r="S1040" s="44"/>
      <c r="T1040" s="44"/>
      <c r="U1040" s="44"/>
      <c r="V1040" s="44"/>
      <c r="W1040" s="44"/>
      <c r="X1040" s="44"/>
    </row>
    <row r="1041" spans="1:24" s="41" customFormat="1">
      <c r="A1041" s="42">
        <v>46202</v>
      </c>
      <c r="B1041" s="43" t="s">
        <v>964</v>
      </c>
      <c r="C1041" s="44"/>
      <c r="D1041" s="44"/>
      <c r="E1041" s="44"/>
      <c r="F1041" s="44"/>
      <c r="G1041" s="44"/>
      <c r="H1041" s="44"/>
      <c r="I1041" s="44"/>
      <c r="J1041" s="44"/>
      <c r="K1041" s="44"/>
      <c r="L1041" s="44"/>
      <c r="M1041" s="44">
        <f t="shared" si="17"/>
        <v>0</v>
      </c>
      <c r="N1041" s="45"/>
      <c r="O1041" s="44"/>
      <c r="P1041" s="44"/>
      <c r="Q1041" s="44"/>
      <c r="R1041" s="44"/>
      <c r="S1041" s="44"/>
      <c r="T1041" s="44"/>
      <c r="U1041" s="44"/>
      <c r="V1041" s="44"/>
      <c r="W1041" s="44"/>
      <c r="X1041" s="44"/>
    </row>
    <row r="1042" spans="1:24" s="41" customFormat="1">
      <c r="A1042" s="42">
        <v>46203</v>
      </c>
      <c r="B1042" s="43" t="s">
        <v>964</v>
      </c>
      <c r="C1042" s="44"/>
      <c r="D1042" s="44"/>
      <c r="E1042" s="44"/>
      <c r="F1042" s="44"/>
      <c r="G1042" s="44"/>
      <c r="H1042" s="44"/>
      <c r="I1042" s="44"/>
      <c r="J1042" s="44"/>
      <c r="K1042" s="44"/>
      <c r="L1042" s="44"/>
      <c r="M1042" s="44">
        <f t="shared" si="17"/>
        <v>0</v>
      </c>
      <c r="N1042" s="45"/>
      <c r="O1042" s="44"/>
      <c r="P1042" s="44"/>
      <c r="Q1042" s="44"/>
      <c r="R1042" s="44"/>
      <c r="S1042" s="44"/>
      <c r="T1042" s="44"/>
      <c r="U1042" s="44"/>
      <c r="V1042" s="44"/>
      <c r="W1042" s="44"/>
      <c r="X1042" s="44"/>
    </row>
    <row r="1043" spans="1:24" s="41" customFormat="1">
      <c r="A1043" s="42">
        <v>46204</v>
      </c>
      <c r="B1043" s="43" t="s">
        <v>964</v>
      </c>
      <c r="C1043" s="44"/>
      <c r="D1043" s="44"/>
      <c r="E1043" s="44"/>
      <c r="F1043" s="44"/>
      <c r="G1043" s="44"/>
      <c r="H1043" s="44"/>
      <c r="I1043" s="44"/>
      <c r="J1043" s="44"/>
      <c r="K1043" s="44"/>
      <c r="L1043" s="44"/>
      <c r="M1043" s="44">
        <f t="shared" si="17"/>
        <v>0</v>
      </c>
      <c r="N1043" s="45"/>
      <c r="O1043" s="44"/>
      <c r="P1043" s="44"/>
      <c r="Q1043" s="44"/>
      <c r="R1043" s="44"/>
      <c r="S1043" s="44"/>
      <c r="T1043" s="44"/>
      <c r="U1043" s="44"/>
      <c r="V1043" s="44"/>
      <c r="W1043" s="44"/>
      <c r="X1043" s="44"/>
    </row>
    <row r="1044" spans="1:24" s="41" customFormat="1">
      <c r="A1044" s="42">
        <v>46205</v>
      </c>
      <c r="B1044" s="43" t="s">
        <v>964</v>
      </c>
      <c r="C1044" s="44"/>
      <c r="D1044" s="44"/>
      <c r="E1044" s="44"/>
      <c r="F1044" s="44"/>
      <c r="G1044" s="44"/>
      <c r="H1044" s="44"/>
      <c r="I1044" s="44"/>
      <c r="J1044" s="44"/>
      <c r="K1044" s="44"/>
      <c r="L1044" s="44"/>
      <c r="M1044" s="44">
        <f t="shared" si="17"/>
        <v>0</v>
      </c>
      <c r="N1044" s="45"/>
      <c r="O1044" s="44"/>
      <c r="P1044" s="44"/>
      <c r="Q1044" s="44"/>
      <c r="R1044" s="44"/>
      <c r="S1044" s="44"/>
      <c r="T1044" s="44"/>
      <c r="U1044" s="44"/>
      <c r="V1044" s="44"/>
      <c r="W1044" s="44"/>
      <c r="X1044" s="44"/>
    </row>
    <row r="1045" spans="1:24" s="41" customFormat="1">
      <c r="A1045" s="42">
        <v>46206</v>
      </c>
      <c r="B1045" s="43" t="s">
        <v>964</v>
      </c>
      <c r="C1045" s="44"/>
      <c r="D1045" s="44"/>
      <c r="E1045" s="44"/>
      <c r="F1045" s="44"/>
      <c r="G1045" s="44"/>
      <c r="H1045" s="44"/>
      <c r="I1045" s="44"/>
      <c r="J1045" s="44"/>
      <c r="K1045" s="44"/>
      <c r="L1045" s="44"/>
      <c r="M1045" s="44">
        <f t="shared" si="17"/>
        <v>0</v>
      </c>
      <c r="N1045" s="45"/>
      <c r="O1045" s="44"/>
      <c r="P1045" s="44"/>
      <c r="Q1045" s="44"/>
      <c r="R1045" s="44"/>
      <c r="S1045" s="44"/>
      <c r="T1045" s="44"/>
      <c r="U1045" s="44"/>
      <c r="V1045" s="44"/>
      <c r="W1045" s="44"/>
      <c r="X1045" s="44"/>
    </row>
    <row r="1046" spans="1:24" s="41" customFormat="1">
      <c r="A1046" s="42">
        <v>46207</v>
      </c>
      <c r="B1046" s="43" t="s">
        <v>964</v>
      </c>
      <c r="C1046" s="44"/>
      <c r="D1046" s="44"/>
      <c r="E1046" s="44"/>
      <c r="F1046" s="44"/>
      <c r="G1046" s="44"/>
      <c r="H1046" s="44"/>
      <c r="I1046" s="44"/>
      <c r="J1046" s="44"/>
      <c r="K1046" s="44"/>
      <c r="L1046" s="44"/>
      <c r="M1046" s="44">
        <f t="shared" si="17"/>
        <v>0</v>
      </c>
      <c r="N1046" s="45"/>
      <c r="O1046" s="44"/>
      <c r="P1046" s="44"/>
      <c r="Q1046" s="44"/>
      <c r="R1046" s="44"/>
      <c r="S1046" s="44"/>
      <c r="T1046" s="44"/>
      <c r="U1046" s="44"/>
      <c r="V1046" s="44"/>
      <c r="W1046" s="44"/>
      <c r="X1046" s="44"/>
    </row>
    <row r="1047" spans="1:24" s="41" customFormat="1">
      <c r="A1047" s="42">
        <v>46208</v>
      </c>
      <c r="B1047" s="43" t="s">
        <v>964</v>
      </c>
      <c r="C1047" s="44"/>
      <c r="D1047" s="44"/>
      <c r="E1047" s="44"/>
      <c r="F1047" s="44"/>
      <c r="G1047" s="44"/>
      <c r="H1047" s="44"/>
      <c r="I1047" s="44"/>
      <c r="J1047" s="44"/>
      <c r="K1047" s="44"/>
      <c r="L1047" s="44"/>
      <c r="M1047" s="44">
        <f t="shared" si="17"/>
        <v>0</v>
      </c>
      <c r="N1047" s="45"/>
      <c r="O1047" s="44"/>
      <c r="P1047" s="44"/>
      <c r="Q1047" s="44"/>
      <c r="R1047" s="44"/>
      <c r="S1047" s="44"/>
      <c r="T1047" s="44"/>
      <c r="U1047" s="44"/>
      <c r="V1047" s="44"/>
      <c r="W1047" s="44"/>
      <c r="X1047" s="44"/>
    </row>
    <row r="1048" spans="1:24" s="41" customFormat="1">
      <c r="A1048" s="42">
        <v>46209</v>
      </c>
      <c r="B1048" s="43" t="s">
        <v>964</v>
      </c>
      <c r="C1048" s="44"/>
      <c r="D1048" s="44"/>
      <c r="E1048" s="44"/>
      <c r="F1048" s="44"/>
      <c r="G1048" s="44"/>
      <c r="H1048" s="44"/>
      <c r="I1048" s="44"/>
      <c r="J1048" s="44"/>
      <c r="K1048" s="44"/>
      <c r="L1048" s="44"/>
      <c r="M1048" s="44">
        <f t="shared" si="17"/>
        <v>0</v>
      </c>
      <c r="N1048" s="45"/>
      <c r="O1048" s="44"/>
      <c r="P1048" s="44"/>
      <c r="Q1048" s="44"/>
      <c r="R1048" s="44"/>
      <c r="S1048" s="44"/>
      <c r="T1048" s="44"/>
      <c r="U1048" s="44"/>
      <c r="V1048" s="44"/>
      <c r="W1048" s="44"/>
      <c r="X1048" s="44"/>
    </row>
    <row r="1049" spans="1:24" s="41" customFormat="1">
      <c r="A1049" s="42">
        <v>46210</v>
      </c>
      <c r="B1049" s="43" t="s">
        <v>964</v>
      </c>
      <c r="C1049" s="44"/>
      <c r="D1049" s="44"/>
      <c r="E1049" s="44"/>
      <c r="F1049" s="44"/>
      <c r="G1049" s="44"/>
      <c r="H1049" s="44"/>
      <c r="I1049" s="44"/>
      <c r="J1049" s="44"/>
      <c r="K1049" s="44"/>
      <c r="L1049" s="44"/>
      <c r="M1049" s="44">
        <f t="shared" si="17"/>
        <v>0</v>
      </c>
      <c r="N1049" s="45"/>
      <c r="O1049" s="44"/>
      <c r="P1049" s="44"/>
      <c r="Q1049" s="44"/>
      <c r="R1049" s="44"/>
      <c r="S1049" s="44"/>
      <c r="T1049" s="44"/>
      <c r="U1049" s="44"/>
      <c r="V1049" s="44"/>
      <c r="W1049" s="44"/>
      <c r="X1049" s="44"/>
    </row>
    <row r="1050" spans="1:24" s="41" customFormat="1">
      <c r="A1050" s="42">
        <v>46211</v>
      </c>
      <c r="B1050" s="43" t="s">
        <v>964</v>
      </c>
      <c r="C1050" s="44"/>
      <c r="D1050" s="44"/>
      <c r="E1050" s="44"/>
      <c r="F1050" s="44"/>
      <c r="G1050" s="44"/>
      <c r="H1050" s="44"/>
      <c r="I1050" s="44"/>
      <c r="J1050" s="44"/>
      <c r="K1050" s="44"/>
      <c r="L1050" s="44"/>
      <c r="M1050" s="44">
        <f t="shared" si="17"/>
        <v>0</v>
      </c>
      <c r="N1050" s="45"/>
      <c r="O1050" s="44"/>
      <c r="P1050" s="44"/>
      <c r="Q1050" s="44"/>
      <c r="R1050" s="44"/>
      <c r="S1050" s="44"/>
      <c r="T1050" s="44"/>
      <c r="U1050" s="44"/>
      <c r="V1050" s="44"/>
      <c r="W1050" s="44"/>
      <c r="X1050" s="44"/>
    </row>
    <row r="1051" spans="1:24" s="41" customFormat="1">
      <c r="A1051" s="42">
        <v>46212</v>
      </c>
      <c r="B1051" s="43" t="s">
        <v>964</v>
      </c>
      <c r="C1051" s="44"/>
      <c r="D1051" s="44"/>
      <c r="E1051" s="44"/>
      <c r="F1051" s="44"/>
      <c r="G1051" s="44"/>
      <c r="H1051" s="44"/>
      <c r="I1051" s="44"/>
      <c r="J1051" s="44"/>
      <c r="K1051" s="44"/>
      <c r="L1051" s="44"/>
      <c r="M1051" s="44">
        <f t="shared" si="17"/>
        <v>0</v>
      </c>
      <c r="N1051" s="45"/>
      <c r="O1051" s="44"/>
      <c r="P1051" s="44"/>
      <c r="Q1051" s="44"/>
      <c r="R1051" s="44"/>
      <c r="S1051" s="44"/>
      <c r="T1051" s="44"/>
      <c r="U1051" s="44"/>
      <c r="V1051" s="44"/>
      <c r="W1051" s="44"/>
      <c r="X1051" s="44"/>
    </row>
    <row r="1052" spans="1:24" s="41" customFormat="1">
      <c r="A1052" s="42">
        <v>46213</v>
      </c>
      <c r="B1052" s="43" t="s">
        <v>964</v>
      </c>
      <c r="C1052" s="44"/>
      <c r="D1052" s="44"/>
      <c r="E1052" s="44"/>
      <c r="F1052" s="44"/>
      <c r="G1052" s="44"/>
      <c r="H1052" s="44"/>
      <c r="I1052" s="44"/>
      <c r="J1052" s="44"/>
      <c r="K1052" s="44"/>
      <c r="L1052" s="44"/>
      <c r="M1052" s="44">
        <f t="shared" si="17"/>
        <v>0</v>
      </c>
      <c r="N1052" s="45"/>
      <c r="O1052" s="44"/>
      <c r="P1052" s="44"/>
      <c r="Q1052" s="44"/>
      <c r="R1052" s="44"/>
      <c r="S1052" s="44"/>
      <c r="T1052" s="44"/>
      <c r="U1052" s="44"/>
      <c r="V1052" s="44"/>
      <c r="W1052" s="44"/>
      <c r="X1052" s="44"/>
    </row>
    <row r="1053" spans="1:24" s="41" customFormat="1">
      <c r="A1053" s="42">
        <v>46214</v>
      </c>
      <c r="B1053" s="43" t="s">
        <v>964</v>
      </c>
      <c r="C1053" s="44"/>
      <c r="D1053" s="44"/>
      <c r="E1053" s="44"/>
      <c r="F1053" s="44"/>
      <c r="G1053" s="44"/>
      <c r="H1053" s="44"/>
      <c r="I1053" s="44"/>
      <c r="J1053" s="44"/>
      <c r="K1053" s="44"/>
      <c r="L1053" s="44"/>
      <c r="M1053" s="44">
        <f t="shared" si="17"/>
        <v>0</v>
      </c>
      <c r="N1053" s="45"/>
      <c r="O1053" s="44"/>
      <c r="P1053" s="44"/>
      <c r="Q1053" s="44"/>
      <c r="R1053" s="44"/>
      <c r="S1053" s="44"/>
      <c r="T1053" s="44"/>
      <c r="U1053" s="44"/>
      <c r="V1053" s="44"/>
      <c r="W1053" s="44"/>
      <c r="X1053" s="44"/>
    </row>
    <row r="1054" spans="1:24" s="41" customFormat="1">
      <c r="A1054" s="42">
        <v>46215</v>
      </c>
      <c r="B1054" s="43" t="s">
        <v>964</v>
      </c>
      <c r="C1054" s="44"/>
      <c r="D1054" s="44"/>
      <c r="E1054" s="44"/>
      <c r="F1054" s="44"/>
      <c r="G1054" s="44"/>
      <c r="H1054" s="44"/>
      <c r="I1054" s="44"/>
      <c r="J1054" s="44"/>
      <c r="K1054" s="44"/>
      <c r="L1054" s="44"/>
      <c r="M1054" s="44">
        <f t="shared" si="17"/>
        <v>0</v>
      </c>
      <c r="N1054" s="45"/>
      <c r="O1054" s="44"/>
      <c r="P1054" s="44"/>
      <c r="Q1054" s="44"/>
      <c r="R1054" s="44"/>
      <c r="S1054" s="44"/>
      <c r="T1054" s="44"/>
      <c r="U1054" s="44"/>
      <c r="V1054" s="44"/>
      <c r="W1054" s="44"/>
      <c r="X1054" s="44"/>
    </row>
    <row r="1055" spans="1:24" s="41" customFormat="1">
      <c r="A1055" s="42">
        <v>46216</v>
      </c>
      <c r="B1055" s="43" t="s">
        <v>964</v>
      </c>
      <c r="C1055" s="44"/>
      <c r="D1055" s="44"/>
      <c r="E1055" s="44"/>
      <c r="F1055" s="44"/>
      <c r="G1055" s="44"/>
      <c r="H1055" s="44"/>
      <c r="I1055" s="44"/>
      <c r="J1055" s="44"/>
      <c r="K1055" s="44"/>
      <c r="L1055" s="44"/>
      <c r="M1055" s="44">
        <f t="shared" si="17"/>
        <v>0</v>
      </c>
      <c r="N1055" s="45"/>
      <c r="O1055" s="44"/>
      <c r="P1055" s="44"/>
      <c r="Q1055" s="44"/>
      <c r="R1055" s="44"/>
      <c r="S1055" s="44"/>
      <c r="T1055" s="44"/>
      <c r="U1055" s="44"/>
      <c r="V1055" s="44"/>
      <c r="W1055" s="44"/>
      <c r="X1055" s="44"/>
    </row>
    <row r="1056" spans="1:24" s="41" customFormat="1">
      <c r="A1056" s="42">
        <v>46217</v>
      </c>
      <c r="B1056" s="43" t="s">
        <v>964</v>
      </c>
      <c r="C1056" s="44"/>
      <c r="D1056" s="44"/>
      <c r="E1056" s="44"/>
      <c r="F1056" s="44"/>
      <c r="G1056" s="44"/>
      <c r="H1056" s="44"/>
      <c r="I1056" s="44"/>
      <c r="J1056" s="44"/>
      <c r="K1056" s="44"/>
      <c r="L1056" s="44"/>
      <c r="M1056" s="44">
        <f t="shared" si="17"/>
        <v>0</v>
      </c>
      <c r="N1056" s="45"/>
      <c r="O1056" s="44"/>
      <c r="P1056" s="44"/>
      <c r="Q1056" s="44"/>
      <c r="R1056" s="44"/>
      <c r="S1056" s="44"/>
      <c r="T1056" s="44"/>
      <c r="U1056" s="44"/>
      <c r="V1056" s="44"/>
      <c r="W1056" s="44"/>
      <c r="X1056" s="44"/>
    </row>
    <row r="1057" spans="1:24" s="41" customFormat="1">
      <c r="A1057" s="42">
        <v>46218</v>
      </c>
      <c r="B1057" s="43" t="s">
        <v>964</v>
      </c>
      <c r="C1057" s="44"/>
      <c r="D1057" s="44"/>
      <c r="E1057" s="44"/>
      <c r="F1057" s="44"/>
      <c r="G1057" s="44"/>
      <c r="H1057" s="44"/>
      <c r="I1057" s="44"/>
      <c r="J1057" s="44"/>
      <c r="K1057" s="44"/>
      <c r="L1057" s="44"/>
      <c r="M1057" s="44">
        <f t="shared" si="17"/>
        <v>0</v>
      </c>
      <c r="N1057" s="45"/>
      <c r="O1057" s="44"/>
      <c r="P1057" s="44"/>
      <c r="Q1057" s="44"/>
      <c r="R1057" s="44"/>
      <c r="S1057" s="44"/>
      <c r="T1057" s="44"/>
      <c r="U1057" s="44"/>
      <c r="V1057" s="44"/>
      <c r="W1057" s="44"/>
      <c r="X1057" s="44"/>
    </row>
    <row r="1058" spans="1:24" s="41" customFormat="1">
      <c r="A1058" s="42">
        <v>46219</v>
      </c>
      <c r="B1058" s="43" t="s">
        <v>964</v>
      </c>
      <c r="C1058" s="44"/>
      <c r="D1058" s="44"/>
      <c r="E1058" s="44"/>
      <c r="F1058" s="44"/>
      <c r="G1058" s="44"/>
      <c r="H1058" s="44"/>
      <c r="I1058" s="44"/>
      <c r="J1058" s="44"/>
      <c r="K1058" s="44"/>
      <c r="L1058" s="44"/>
      <c r="M1058" s="44">
        <f t="shared" si="17"/>
        <v>0</v>
      </c>
      <c r="N1058" s="45"/>
      <c r="O1058" s="44"/>
      <c r="P1058" s="44"/>
      <c r="Q1058" s="44"/>
      <c r="R1058" s="44"/>
      <c r="S1058" s="44"/>
      <c r="T1058" s="44"/>
      <c r="U1058" s="44"/>
      <c r="V1058" s="44"/>
      <c r="W1058" s="44"/>
      <c r="X1058" s="44"/>
    </row>
    <row r="1059" spans="1:24" s="41" customFormat="1">
      <c r="A1059" s="42">
        <v>46220</v>
      </c>
      <c r="B1059" s="43" t="s">
        <v>964</v>
      </c>
      <c r="C1059" s="44"/>
      <c r="D1059" s="44"/>
      <c r="E1059" s="44"/>
      <c r="F1059" s="44"/>
      <c r="G1059" s="44"/>
      <c r="H1059" s="44"/>
      <c r="I1059" s="44"/>
      <c r="J1059" s="44"/>
      <c r="K1059" s="44"/>
      <c r="L1059" s="44"/>
      <c r="M1059" s="44">
        <f t="shared" si="17"/>
        <v>0</v>
      </c>
      <c r="N1059" s="45"/>
      <c r="O1059" s="44"/>
      <c r="P1059" s="44"/>
      <c r="Q1059" s="44"/>
      <c r="R1059" s="44"/>
      <c r="S1059" s="44"/>
      <c r="T1059" s="44"/>
      <c r="U1059" s="44"/>
      <c r="V1059" s="44"/>
      <c r="W1059" s="44"/>
      <c r="X1059" s="44"/>
    </row>
    <row r="1060" spans="1:24" s="41" customFormat="1">
      <c r="A1060" s="42">
        <v>46221</v>
      </c>
      <c r="B1060" s="43" t="s">
        <v>964</v>
      </c>
      <c r="C1060" s="44"/>
      <c r="D1060" s="44"/>
      <c r="E1060" s="44"/>
      <c r="F1060" s="44"/>
      <c r="G1060" s="44"/>
      <c r="H1060" s="44"/>
      <c r="I1060" s="44"/>
      <c r="J1060" s="44"/>
      <c r="K1060" s="44"/>
      <c r="L1060" s="44"/>
      <c r="M1060" s="44">
        <f t="shared" si="17"/>
        <v>0</v>
      </c>
      <c r="N1060" s="45"/>
      <c r="O1060" s="44"/>
      <c r="P1060" s="44"/>
      <c r="Q1060" s="44"/>
      <c r="R1060" s="44"/>
      <c r="S1060" s="44"/>
      <c r="T1060" s="44"/>
      <c r="U1060" s="44"/>
      <c r="V1060" s="44"/>
      <c r="W1060" s="44"/>
      <c r="X1060" s="44"/>
    </row>
    <row r="1061" spans="1:24" s="41" customFormat="1">
      <c r="A1061" s="42">
        <v>46222</v>
      </c>
      <c r="B1061" s="43" t="s">
        <v>964</v>
      </c>
      <c r="C1061" s="44"/>
      <c r="D1061" s="44"/>
      <c r="E1061" s="44"/>
      <c r="F1061" s="44"/>
      <c r="G1061" s="44"/>
      <c r="H1061" s="44"/>
      <c r="I1061" s="44"/>
      <c r="J1061" s="44"/>
      <c r="K1061" s="44"/>
      <c r="L1061" s="44"/>
      <c r="M1061" s="44">
        <f t="shared" si="17"/>
        <v>0</v>
      </c>
      <c r="N1061" s="45"/>
      <c r="O1061" s="44"/>
      <c r="P1061" s="44"/>
      <c r="Q1061" s="44"/>
      <c r="R1061" s="44"/>
      <c r="S1061" s="44"/>
      <c r="T1061" s="44"/>
      <c r="U1061" s="44"/>
      <c r="V1061" s="44"/>
      <c r="W1061" s="44"/>
      <c r="X1061" s="44"/>
    </row>
    <row r="1062" spans="1:24" s="41" customFormat="1">
      <c r="A1062" s="42">
        <v>46223</v>
      </c>
      <c r="B1062" s="43" t="s">
        <v>964</v>
      </c>
      <c r="C1062" s="44"/>
      <c r="D1062" s="44"/>
      <c r="E1062" s="44"/>
      <c r="F1062" s="44"/>
      <c r="G1062" s="44"/>
      <c r="H1062" s="44"/>
      <c r="I1062" s="44"/>
      <c r="J1062" s="44"/>
      <c r="K1062" s="44"/>
      <c r="L1062" s="44"/>
      <c r="M1062" s="44">
        <f t="shared" si="17"/>
        <v>0</v>
      </c>
      <c r="N1062" s="45"/>
      <c r="O1062" s="44"/>
      <c r="P1062" s="44"/>
      <c r="Q1062" s="44"/>
      <c r="R1062" s="44"/>
      <c r="S1062" s="44"/>
      <c r="T1062" s="44"/>
      <c r="U1062" s="44"/>
      <c r="V1062" s="44"/>
      <c r="W1062" s="44"/>
      <c r="X1062" s="44"/>
    </row>
    <row r="1063" spans="1:24" s="41" customFormat="1">
      <c r="A1063" s="42">
        <v>46224</v>
      </c>
      <c r="B1063" s="43" t="s">
        <v>964</v>
      </c>
      <c r="C1063" s="44"/>
      <c r="D1063" s="44"/>
      <c r="E1063" s="44"/>
      <c r="F1063" s="44"/>
      <c r="G1063" s="44"/>
      <c r="H1063" s="44"/>
      <c r="I1063" s="44"/>
      <c r="J1063" s="44"/>
      <c r="K1063" s="44"/>
      <c r="L1063" s="44"/>
      <c r="M1063" s="44">
        <f t="shared" si="17"/>
        <v>0</v>
      </c>
      <c r="N1063" s="45"/>
      <c r="O1063" s="44"/>
      <c r="P1063" s="44"/>
      <c r="Q1063" s="44"/>
      <c r="R1063" s="44"/>
      <c r="S1063" s="44"/>
      <c r="T1063" s="44"/>
      <c r="U1063" s="44"/>
      <c r="V1063" s="44"/>
      <c r="W1063" s="44"/>
      <c r="X1063" s="44"/>
    </row>
    <row r="1064" spans="1:24" s="41" customFormat="1">
      <c r="A1064" s="42">
        <v>46225</v>
      </c>
      <c r="B1064" s="43" t="s">
        <v>964</v>
      </c>
      <c r="C1064" s="44"/>
      <c r="D1064" s="44"/>
      <c r="E1064" s="44"/>
      <c r="F1064" s="44"/>
      <c r="G1064" s="44"/>
      <c r="H1064" s="44"/>
      <c r="I1064" s="44"/>
      <c r="J1064" s="44"/>
      <c r="K1064" s="44"/>
      <c r="L1064" s="44"/>
      <c r="M1064" s="44">
        <f t="shared" si="17"/>
        <v>0</v>
      </c>
      <c r="N1064" s="45"/>
      <c r="O1064" s="44"/>
      <c r="P1064" s="44"/>
      <c r="Q1064" s="44"/>
      <c r="R1064" s="44"/>
      <c r="S1064" s="44"/>
      <c r="T1064" s="44"/>
      <c r="U1064" s="44"/>
      <c r="V1064" s="44"/>
      <c r="W1064" s="44"/>
      <c r="X1064" s="44"/>
    </row>
    <row r="1065" spans="1:24" s="41" customFormat="1">
      <c r="A1065" s="42">
        <v>46226</v>
      </c>
      <c r="B1065" s="43" t="s">
        <v>964</v>
      </c>
      <c r="C1065" s="44"/>
      <c r="D1065" s="44"/>
      <c r="E1065" s="44"/>
      <c r="F1065" s="44"/>
      <c r="G1065" s="44"/>
      <c r="H1065" s="44"/>
      <c r="I1065" s="44"/>
      <c r="J1065" s="44"/>
      <c r="K1065" s="44"/>
      <c r="L1065" s="44"/>
      <c r="M1065" s="44">
        <f t="shared" si="17"/>
        <v>0</v>
      </c>
      <c r="N1065" s="45"/>
      <c r="O1065" s="44"/>
      <c r="P1065" s="44"/>
      <c r="Q1065" s="44"/>
      <c r="R1065" s="44"/>
      <c r="S1065" s="44"/>
      <c r="T1065" s="44"/>
      <c r="U1065" s="44"/>
      <c r="V1065" s="44"/>
      <c r="W1065" s="44"/>
      <c r="X1065" s="44"/>
    </row>
    <row r="1066" spans="1:24" s="41" customFormat="1">
      <c r="A1066" s="42">
        <v>46227</v>
      </c>
      <c r="B1066" s="43" t="s">
        <v>964</v>
      </c>
      <c r="C1066" s="44"/>
      <c r="D1066" s="44"/>
      <c r="E1066" s="44"/>
      <c r="F1066" s="44"/>
      <c r="G1066" s="44"/>
      <c r="H1066" s="44"/>
      <c r="I1066" s="44"/>
      <c r="J1066" s="44"/>
      <c r="K1066" s="44"/>
      <c r="L1066" s="44"/>
      <c r="M1066" s="44">
        <f t="shared" si="17"/>
        <v>0</v>
      </c>
      <c r="N1066" s="45"/>
      <c r="O1066" s="44"/>
      <c r="P1066" s="44"/>
      <c r="Q1066" s="44"/>
      <c r="R1066" s="44"/>
      <c r="S1066" s="44"/>
      <c r="T1066" s="44"/>
      <c r="U1066" s="44"/>
      <c r="V1066" s="44"/>
      <c r="W1066" s="44"/>
      <c r="X1066" s="44"/>
    </row>
    <row r="1067" spans="1:24" s="41" customFormat="1">
      <c r="A1067" s="42">
        <v>46228</v>
      </c>
      <c r="B1067" s="43" t="s">
        <v>964</v>
      </c>
      <c r="C1067" s="44"/>
      <c r="D1067" s="44"/>
      <c r="E1067" s="44"/>
      <c r="F1067" s="44"/>
      <c r="G1067" s="44"/>
      <c r="H1067" s="44"/>
      <c r="I1067" s="44"/>
      <c r="J1067" s="44"/>
      <c r="K1067" s="44"/>
      <c r="L1067" s="44"/>
      <c r="M1067" s="44">
        <f t="shared" si="17"/>
        <v>0</v>
      </c>
      <c r="N1067" s="45"/>
      <c r="O1067" s="44"/>
      <c r="P1067" s="44"/>
      <c r="Q1067" s="44"/>
      <c r="R1067" s="44"/>
      <c r="S1067" s="44"/>
      <c r="T1067" s="44"/>
      <c r="U1067" s="44"/>
      <c r="V1067" s="44"/>
      <c r="W1067" s="44"/>
      <c r="X1067" s="44"/>
    </row>
    <row r="1068" spans="1:24" s="41" customFormat="1">
      <c r="A1068" s="42">
        <v>46229</v>
      </c>
      <c r="B1068" s="43" t="s">
        <v>964</v>
      </c>
      <c r="C1068" s="44"/>
      <c r="D1068" s="44"/>
      <c r="E1068" s="44"/>
      <c r="F1068" s="44"/>
      <c r="G1068" s="44"/>
      <c r="H1068" s="44"/>
      <c r="I1068" s="44"/>
      <c r="J1068" s="44"/>
      <c r="K1068" s="44"/>
      <c r="L1068" s="44"/>
      <c r="M1068" s="44">
        <f t="shared" si="17"/>
        <v>0</v>
      </c>
      <c r="N1068" s="45"/>
      <c r="O1068" s="44"/>
      <c r="P1068" s="44"/>
      <c r="Q1068" s="44"/>
      <c r="R1068" s="44"/>
      <c r="S1068" s="44"/>
      <c r="T1068" s="44"/>
      <c r="U1068" s="44"/>
      <c r="V1068" s="44"/>
      <c r="W1068" s="44"/>
      <c r="X1068" s="44"/>
    </row>
    <row r="1069" spans="1:24" s="41" customFormat="1">
      <c r="A1069" s="42">
        <v>46230</v>
      </c>
      <c r="B1069" s="43" t="s">
        <v>964</v>
      </c>
      <c r="C1069" s="44"/>
      <c r="D1069" s="44"/>
      <c r="E1069" s="44"/>
      <c r="F1069" s="44"/>
      <c r="G1069" s="44"/>
      <c r="H1069" s="44"/>
      <c r="I1069" s="44"/>
      <c r="J1069" s="44"/>
      <c r="K1069" s="44"/>
      <c r="L1069" s="44"/>
      <c r="M1069" s="44">
        <f t="shared" si="17"/>
        <v>0</v>
      </c>
      <c r="N1069" s="45"/>
      <c r="O1069" s="44"/>
      <c r="P1069" s="44"/>
      <c r="Q1069" s="44"/>
      <c r="R1069" s="44"/>
      <c r="S1069" s="44"/>
      <c r="T1069" s="44"/>
      <c r="U1069" s="44"/>
      <c r="V1069" s="44"/>
      <c r="W1069" s="44"/>
      <c r="X1069" s="44"/>
    </row>
    <row r="1070" spans="1:24" s="41" customFormat="1">
      <c r="A1070" s="42">
        <v>46231</v>
      </c>
      <c r="B1070" s="43" t="s">
        <v>964</v>
      </c>
      <c r="C1070" s="44"/>
      <c r="D1070" s="44"/>
      <c r="E1070" s="44"/>
      <c r="F1070" s="44"/>
      <c r="G1070" s="44"/>
      <c r="H1070" s="44"/>
      <c r="I1070" s="44"/>
      <c r="J1070" s="44"/>
      <c r="K1070" s="44"/>
      <c r="L1070" s="44"/>
      <c r="M1070" s="44">
        <f t="shared" si="17"/>
        <v>0</v>
      </c>
      <c r="N1070" s="45"/>
      <c r="O1070" s="44"/>
      <c r="P1070" s="44"/>
      <c r="Q1070" s="44"/>
      <c r="R1070" s="44"/>
      <c r="S1070" s="44"/>
      <c r="T1070" s="44"/>
      <c r="U1070" s="44"/>
      <c r="V1070" s="44"/>
      <c r="W1070" s="44"/>
      <c r="X1070" s="44"/>
    </row>
    <row r="1071" spans="1:24" s="41" customFormat="1">
      <c r="A1071" s="42">
        <v>46232</v>
      </c>
      <c r="B1071" s="43" t="s">
        <v>964</v>
      </c>
      <c r="C1071" s="44"/>
      <c r="D1071" s="44"/>
      <c r="E1071" s="44"/>
      <c r="F1071" s="44"/>
      <c r="G1071" s="44"/>
      <c r="H1071" s="44"/>
      <c r="I1071" s="44"/>
      <c r="J1071" s="44"/>
      <c r="K1071" s="44"/>
      <c r="L1071" s="44"/>
      <c r="M1071" s="44">
        <f t="shared" si="17"/>
        <v>0</v>
      </c>
      <c r="N1071" s="45"/>
      <c r="O1071" s="44"/>
      <c r="P1071" s="44"/>
      <c r="Q1071" s="44"/>
      <c r="R1071" s="44"/>
      <c r="S1071" s="44"/>
      <c r="T1071" s="44"/>
      <c r="U1071" s="44"/>
      <c r="V1071" s="44"/>
      <c r="W1071" s="44"/>
      <c r="X1071" s="44"/>
    </row>
    <row r="1072" spans="1:24" s="41" customFormat="1">
      <c r="A1072" s="42">
        <v>46233</v>
      </c>
      <c r="B1072" s="43" t="s">
        <v>964</v>
      </c>
      <c r="C1072" s="44"/>
      <c r="D1072" s="44"/>
      <c r="E1072" s="44"/>
      <c r="F1072" s="44"/>
      <c r="G1072" s="44"/>
      <c r="H1072" s="44"/>
      <c r="I1072" s="44"/>
      <c r="J1072" s="44"/>
      <c r="K1072" s="44"/>
      <c r="L1072" s="44"/>
      <c r="M1072" s="44">
        <f t="shared" si="17"/>
        <v>0</v>
      </c>
      <c r="N1072" s="45"/>
      <c r="O1072" s="44"/>
      <c r="P1072" s="44"/>
      <c r="Q1072" s="44"/>
      <c r="R1072" s="44"/>
      <c r="S1072" s="44"/>
      <c r="T1072" s="44"/>
      <c r="U1072" s="44"/>
      <c r="V1072" s="44"/>
      <c r="W1072" s="44"/>
      <c r="X1072" s="44"/>
    </row>
    <row r="1073" spans="1:24" s="41" customFormat="1">
      <c r="A1073" s="42">
        <v>46234</v>
      </c>
      <c r="B1073" s="43" t="s">
        <v>964</v>
      </c>
      <c r="C1073" s="44"/>
      <c r="D1073" s="44"/>
      <c r="E1073" s="44"/>
      <c r="F1073" s="44"/>
      <c r="G1073" s="44"/>
      <c r="H1073" s="44"/>
      <c r="I1073" s="44"/>
      <c r="J1073" s="44"/>
      <c r="K1073" s="44"/>
      <c r="L1073" s="44"/>
      <c r="M1073" s="44">
        <f t="shared" si="17"/>
        <v>0</v>
      </c>
      <c r="N1073" s="45"/>
      <c r="O1073" s="44"/>
      <c r="P1073" s="44"/>
      <c r="Q1073" s="44"/>
      <c r="R1073" s="44"/>
      <c r="S1073" s="44"/>
      <c r="T1073" s="44"/>
      <c r="U1073" s="44"/>
      <c r="V1073" s="44"/>
      <c r="W1073" s="44"/>
      <c r="X1073" s="44"/>
    </row>
    <row r="1074" spans="1:24" s="41" customFormat="1">
      <c r="A1074" s="42">
        <v>46235</v>
      </c>
      <c r="B1074" s="43" t="s">
        <v>964</v>
      </c>
      <c r="C1074" s="44"/>
      <c r="D1074" s="44"/>
      <c r="E1074" s="44"/>
      <c r="F1074" s="44"/>
      <c r="G1074" s="44"/>
      <c r="H1074" s="44"/>
      <c r="I1074" s="44"/>
      <c r="J1074" s="44"/>
      <c r="K1074" s="44"/>
      <c r="L1074" s="44"/>
      <c r="M1074" s="44">
        <f t="shared" si="17"/>
        <v>0</v>
      </c>
      <c r="N1074" s="45"/>
      <c r="O1074" s="44"/>
      <c r="P1074" s="44"/>
      <c r="Q1074" s="44"/>
      <c r="R1074" s="44"/>
      <c r="S1074" s="44"/>
      <c r="T1074" s="44"/>
      <c r="U1074" s="44"/>
      <c r="V1074" s="44"/>
      <c r="W1074" s="44"/>
      <c r="X1074" s="44"/>
    </row>
    <row r="1075" spans="1:24" s="41" customFormat="1">
      <c r="A1075" s="42">
        <v>46236</v>
      </c>
      <c r="B1075" s="43" t="s">
        <v>964</v>
      </c>
      <c r="C1075" s="44"/>
      <c r="D1075" s="44"/>
      <c r="E1075" s="44"/>
      <c r="F1075" s="44"/>
      <c r="G1075" s="44"/>
      <c r="H1075" s="44"/>
      <c r="I1075" s="44"/>
      <c r="J1075" s="44"/>
      <c r="K1075" s="44"/>
      <c r="L1075" s="44"/>
      <c r="M1075" s="44">
        <f t="shared" si="17"/>
        <v>0</v>
      </c>
      <c r="N1075" s="45"/>
      <c r="O1075" s="44"/>
      <c r="P1075" s="44"/>
      <c r="Q1075" s="44"/>
      <c r="R1075" s="44"/>
      <c r="S1075" s="44"/>
      <c r="T1075" s="44"/>
      <c r="U1075" s="44"/>
      <c r="V1075" s="44"/>
      <c r="W1075" s="44"/>
      <c r="X1075" s="44"/>
    </row>
    <row r="1076" spans="1:24" s="41" customFormat="1">
      <c r="A1076" s="42">
        <v>46237</v>
      </c>
      <c r="B1076" s="43" t="s">
        <v>964</v>
      </c>
      <c r="C1076" s="44"/>
      <c r="D1076" s="44"/>
      <c r="E1076" s="44"/>
      <c r="F1076" s="44"/>
      <c r="G1076" s="44"/>
      <c r="H1076" s="44"/>
      <c r="I1076" s="44"/>
      <c r="J1076" s="44"/>
      <c r="K1076" s="44"/>
      <c r="L1076" s="44"/>
      <c r="M1076" s="44">
        <f t="shared" si="17"/>
        <v>0</v>
      </c>
      <c r="N1076" s="45"/>
      <c r="O1076" s="44"/>
      <c r="P1076" s="44"/>
      <c r="Q1076" s="44"/>
      <c r="R1076" s="44"/>
      <c r="S1076" s="44"/>
      <c r="T1076" s="44"/>
      <c r="U1076" s="44"/>
      <c r="V1076" s="44"/>
      <c r="W1076" s="44"/>
      <c r="X1076" s="44"/>
    </row>
    <row r="1077" spans="1:24" s="41" customFormat="1">
      <c r="A1077" s="42">
        <v>46238</v>
      </c>
      <c r="B1077" s="43" t="s">
        <v>964</v>
      </c>
      <c r="C1077" s="44"/>
      <c r="D1077" s="44"/>
      <c r="E1077" s="44"/>
      <c r="F1077" s="44"/>
      <c r="G1077" s="44"/>
      <c r="H1077" s="44"/>
      <c r="I1077" s="44"/>
      <c r="J1077" s="44"/>
      <c r="K1077" s="44"/>
      <c r="L1077" s="44"/>
      <c r="M1077" s="44">
        <f t="shared" si="17"/>
        <v>0</v>
      </c>
      <c r="N1077" s="45"/>
      <c r="O1077" s="44"/>
      <c r="P1077" s="44"/>
      <c r="Q1077" s="44"/>
      <c r="R1077" s="44"/>
      <c r="S1077" s="44"/>
      <c r="T1077" s="44"/>
      <c r="U1077" s="44"/>
      <c r="V1077" s="44"/>
      <c r="W1077" s="44"/>
      <c r="X1077" s="44"/>
    </row>
    <row r="1078" spans="1:24" s="41" customFormat="1">
      <c r="A1078" s="42">
        <v>46239</v>
      </c>
      <c r="B1078" s="43" t="s">
        <v>964</v>
      </c>
      <c r="C1078" s="44"/>
      <c r="D1078" s="44"/>
      <c r="E1078" s="44"/>
      <c r="F1078" s="44"/>
      <c r="G1078" s="44"/>
      <c r="H1078" s="44"/>
      <c r="I1078" s="44"/>
      <c r="J1078" s="44"/>
      <c r="K1078" s="44"/>
      <c r="L1078" s="44"/>
      <c r="M1078" s="44">
        <f t="shared" si="17"/>
        <v>0</v>
      </c>
      <c r="N1078" s="45"/>
      <c r="O1078" s="44"/>
      <c r="P1078" s="44"/>
      <c r="Q1078" s="44"/>
      <c r="R1078" s="44"/>
      <c r="S1078" s="44"/>
      <c r="T1078" s="44"/>
      <c r="U1078" s="44"/>
      <c r="V1078" s="44"/>
      <c r="W1078" s="44"/>
      <c r="X1078" s="44"/>
    </row>
    <row r="1079" spans="1:24" s="41" customFormat="1">
      <c r="A1079" s="42">
        <v>46240</v>
      </c>
      <c r="B1079" s="43" t="s">
        <v>964</v>
      </c>
      <c r="C1079" s="44"/>
      <c r="D1079" s="44"/>
      <c r="E1079" s="44"/>
      <c r="F1079" s="44"/>
      <c r="G1079" s="44"/>
      <c r="H1079" s="44"/>
      <c r="I1079" s="44"/>
      <c r="J1079" s="44"/>
      <c r="K1079" s="44"/>
      <c r="L1079" s="44"/>
      <c r="M1079" s="44">
        <f t="shared" si="17"/>
        <v>0</v>
      </c>
      <c r="N1079" s="45"/>
      <c r="O1079" s="44"/>
      <c r="P1079" s="44"/>
      <c r="Q1079" s="44"/>
      <c r="R1079" s="44"/>
      <c r="S1079" s="44"/>
      <c r="T1079" s="44"/>
      <c r="U1079" s="44"/>
      <c r="V1079" s="44"/>
      <c r="W1079" s="44"/>
      <c r="X1079" s="44"/>
    </row>
    <row r="1080" spans="1:24" s="41" customFormat="1">
      <c r="A1080" s="42">
        <v>46241</v>
      </c>
      <c r="B1080" s="43" t="s">
        <v>964</v>
      </c>
      <c r="C1080" s="44"/>
      <c r="D1080" s="44"/>
      <c r="E1080" s="44"/>
      <c r="F1080" s="44"/>
      <c r="G1080" s="44"/>
      <c r="H1080" s="44"/>
      <c r="I1080" s="44"/>
      <c r="J1080" s="44"/>
      <c r="K1080" s="44"/>
      <c r="L1080" s="44"/>
      <c r="M1080" s="44">
        <f t="shared" si="17"/>
        <v>0</v>
      </c>
      <c r="N1080" s="45"/>
      <c r="O1080" s="44"/>
      <c r="P1080" s="44"/>
      <c r="Q1080" s="44"/>
      <c r="R1080" s="44"/>
      <c r="S1080" s="44"/>
      <c r="T1080" s="44"/>
      <c r="U1080" s="44"/>
      <c r="V1080" s="44"/>
      <c r="W1080" s="44"/>
      <c r="X1080" s="44"/>
    </row>
    <row r="1081" spans="1:24" s="41" customFormat="1">
      <c r="A1081" s="42">
        <v>46242</v>
      </c>
      <c r="B1081" s="43" t="s">
        <v>964</v>
      </c>
      <c r="C1081" s="44"/>
      <c r="D1081" s="44"/>
      <c r="E1081" s="44"/>
      <c r="F1081" s="44"/>
      <c r="G1081" s="44"/>
      <c r="H1081" s="44"/>
      <c r="I1081" s="44"/>
      <c r="J1081" s="44"/>
      <c r="K1081" s="44"/>
      <c r="L1081" s="44"/>
      <c r="M1081" s="44">
        <f t="shared" si="17"/>
        <v>0</v>
      </c>
      <c r="N1081" s="45"/>
      <c r="O1081" s="44"/>
      <c r="P1081" s="44"/>
      <c r="Q1081" s="44"/>
      <c r="R1081" s="44"/>
      <c r="S1081" s="44"/>
      <c r="T1081" s="44"/>
      <c r="U1081" s="44"/>
      <c r="V1081" s="44"/>
      <c r="W1081" s="44"/>
      <c r="X1081" s="44"/>
    </row>
    <row r="1082" spans="1:24" s="41" customFormat="1">
      <c r="A1082" s="42">
        <v>46243</v>
      </c>
      <c r="B1082" s="43" t="s">
        <v>964</v>
      </c>
      <c r="C1082" s="44"/>
      <c r="D1082" s="44"/>
      <c r="E1082" s="44"/>
      <c r="F1082" s="44"/>
      <c r="G1082" s="44"/>
      <c r="H1082" s="44"/>
      <c r="I1082" s="44"/>
      <c r="J1082" s="44"/>
      <c r="K1082" s="44"/>
      <c r="L1082" s="44"/>
      <c r="M1082" s="44">
        <f t="shared" si="17"/>
        <v>0</v>
      </c>
      <c r="N1082" s="45"/>
      <c r="O1082" s="44"/>
      <c r="P1082" s="44"/>
      <c r="Q1082" s="44"/>
      <c r="R1082" s="44"/>
      <c r="S1082" s="44"/>
      <c r="T1082" s="44"/>
      <c r="U1082" s="44"/>
      <c r="V1082" s="44"/>
      <c r="W1082" s="44"/>
      <c r="X1082" s="44"/>
    </row>
    <row r="1083" spans="1:24" s="41" customFormat="1">
      <c r="A1083" s="42">
        <v>46244</v>
      </c>
      <c r="B1083" s="43" t="s">
        <v>964</v>
      </c>
      <c r="C1083" s="44"/>
      <c r="D1083" s="44"/>
      <c r="E1083" s="44"/>
      <c r="F1083" s="44"/>
      <c r="G1083" s="44"/>
      <c r="H1083" s="44"/>
      <c r="I1083" s="44"/>
      <c r="J1083" s="44"/>
      <c r="K1083" s="44"/>
      <c r="L1083" s="44"/>
      <c r="M1083" s="44">
        <f t="shared" si="17"/>
        <v>0</v>
      </c>
      <c r="N1083" s="45"/>
      <c r="O1083" s="44"/>
      <c r="P1083" s="44"/>
      <c r="Q1083" s="44"/>
      <c r="R1083" s="44"/>
      <c r="S1083" s="44"/>
      <c r="T1083" s="44"/>
      <c r="U1083" s="44"/>
      <c r="V1083" s="44"/>
      <c r="W1083" s="44"/>
      <c r="X1083" s="44"/>
    </row>
    <row r="1084" spans="1:24" s="41" customFormat="1">
      <c r="A1084" s="42">
        <v>46245</v>
      </c>
      <c r="B1084" s="43" t="s">
        <v>964</v>
      </c>
      <c r="C1084" s="44"/>
      <c r="D1084" s="44"/>
      <c r="E1084" s="44"/>
      <c r="F1084" s="44"/>
      <c r="G1084" s="44"/>
      <c r="H1084" s="44"/>
      <c r="I1084" s="44"/>
      <c r="J1084" s="44"/>
      <c r="K1084" s="44"/>
      <c r="L1084" s="44"/>
      <c r="M1084" s="44">
        <f t="shared" si="17"/>
        <v>0</v>
      </c>
      <c r="N1084" s="45"/>
      <c r="O1084" s="44"/>
      <c r="P1084" s="44"/>
      <c r="Q1084" s="44"/>
      <c r="R1084" s="44"/>
      <c r="S1084" s="44"/>
      <c r="T1084" s="44"/>
      <c r="U1084" s="44"/>
      <c r="V1084" s="44"/>
      <c r="W1084" s="44"/>
      <c r="X1084" s="44"/>
    </row>
    <row r="1085" spans="1:24" s="41" customFormat="1">
      <c r="A1085" s="42">
        <v>46246</v>
      </c>
      <c r="B1085" s="43" t="s">
        <v>964</v>
      </c>
      <c r="C1085" s="44"/>
      <c r="D1085" s="44"/>
      <c r="E1085" s="44"/>
      <c r="F1085" s="44"/>
      <c r="G1085" s="44"/>
      <c r="H1085" s="44"/>
      <c r="I1085" s="44"/>
      <c r="J1085" s="44"/>
      <c r="K1085" s="44"/>
      <c r="L1085" s="44"/>
      <c r="M1085" s="44">
        <f t="shared" si="17"/>
        <v>0</v>
      </c>
      <c r="N1085" s="45"/>
      <c r="O1085" s="44"/>
      <c r="P1085" s="44"/>
      <c r="Q1085" s="44"/>
      <c r="R1085" s="44"/>
      <c r="S1085" s="44"/>
      <c r="T1085" s="44"/>
      <c r="U1085" s="44"/>
      <c r="V1085" s="44"/>
      <c r="W1085" s="44"/>
      <c r="X1085" s="44"/>
    </row>
    <row r="1086" spans="1:24" s="41" customFormat="1">
      <c r="A1086" s="42">
        <v>46247</v>
      </c>
      <c r="B1086" s="43" t="s">
        <v>964</v>
      </c>
      <c r="C1086" s="44"/>
      <c r="D1086" s="44"/>
      <c r="E1086" s="44"/>
      <c r="F1086" s="44"/>
      <c r="G1086" s="44"/>
      <c r="H1086" s="44"/>
      <c r="I1086" s="44"/>
      <c r="J1086" s="44"/>
      <c r="K1086" s="44"/>
      <c r="L1086" s="44"/>
      <c r="M1086" s="44">
        <f t="shared" si="17"/>
        <v>0</v>
      </c>
      <c r="N1086" s="45"/>
      <c r="O1086" s="44"/>
      <c r="P1086" s="44"/>
      <c r="Q1086" s="44"/>
      <c r="R1086" s="44"/>
      <c r="S1086" s="44"/>
      <c r="T1086" s="44"/>
      <c r="U1086" s="44"/>
      <c r="V1086" s="44"/>
      <c r="W1086" s="44"/>
      <c r="X1086" s="44"/>
    </row>
    <row r="1087" spans="1:24" s="41" customFormat="1">
      <c r="A1087" s="42">
        <v>46248</v>
      </c>
      <c r="B1087" s="43" t="s">
        <v>964</v>
      </c>
      <c r="C1087" s="44"/>
      <c r="D1087" s="44"/>
      <c r="E1087" s="44"/>
      <c r="F1087" s="44"/>
      <c r="G1087" s="44"/>
      <c r="H1087" s="44"/>
      <c r="I1087" s="44"/>
      <c r="J1087" s="44"/>
      <c r="K1087" s="44"/>
      <c r="L1087" s="44"/>
      <c r="M1087" s="44">
        <f t="shared" si="17"/>
        <v>0</v>
      </c>
      <c r="N1087" s="45"/>
      <c r="O1087" s="44"/>
      <c r="P1087" s="44"/>
      <c r="Q1087" s="44"/>
      <c r="R1087" s="44"/>
      <c r="S1087" s="44"/>
      <c r="T1087" s="44"/>
      <c r="U1087" s="44"/>
      <c r="V1087" s="44"/>
      <c r="W1087" s="44"/>
      <c r="X1087" s="44"/>
    </row>
    <row r="1088" spans="1:24" s="41" customFormat="1">
      <c r="A1088" s="42">
        <v>46249</v>
      </c>
      <c r="B1088" s="43" t="s">
        <v>964</v>
      </c>
      <c r="C1088" s="44"/>
      <c r="D1088" s="44"/>
      <c r="E1088" s="44"/>
      <c r="F1088" s="44"/>
      <c r="G1088" s="44"/>
      <c r="H1088" s="44"/>
      <c r="I1088" s="44"/>
      <c r="J1088" s="44"/>
      <c r="K1088" s="44"/>
      <c r="L1088" s="44"/>
      <c r="M1088" s="44">
        <f t="shared" si="17"/>
        <v>0</v>
      </c>
      <c r="N1088" s="45"/>
      <c r="O1088" s="44"/>
      <c r="P1088" s="44"/>
      <c r="Q1088" s="44"/>
      <c r="R1088" s="44"/>
      <c r="S1088" s="44"/>
      <c r="T1088" s="44"/>
      <c r="U1088" s="44"/>
      <c r="V1088" s="44"/>
      <c r="W1088" s="44"/>
      <c r="X1088" s="44"/>
    </row>
    <row r="1089" spans="1:24" s="41" customFormat="1">
      <c r="A1089" s="42">
        <v>46250</v>
      </c>
      <c r="B1089" s="43" t="s">
        <v>964</v>
      </c>
      <c r="C1089" s="44"/>
      <c r="D1089" s="44"/>
      <c r="E1089" s="44"/>
      <c r="F1089" s="44"/>
      <c r="G1089" s="44"/>
      <c r="H1089" s="44"/>
      <c r="I1089" s="44"/>
      <c r="J1089" s="44"/>
      <c r="K1089" s="44"/>
      <c r="L1089" s="44"/>
      <c r="M1089" s="44">
        <f t="shared" si="17"/>
        <v>0</v>
      </c>
      <c r="N1089" s="45"/>
      <c r="O1089" s="44"/>
      <c r="P1089" s="44"/>
      <c r="Q1089" s="44"/>
      <c r="R1089" s="44"/>
      <c r="S1089" s="44"/>
      <c r="T1089" s="44"/>
      <c r="U1089" s="44"/>
      <c r="V1089" s="44"/>
      <c r="W1089" s="44"/>
      <c r="X1089" s="44"/>
    </row>
    <row r="1090" spans="1:24" s="41" customFormat="1">
      <c r="A1090" s="42">
        <v>46251</v>
      </c>
      <c r="B1090" s="43" t="s">
        <v>964</v>
      </c>
      <c r="C1090" s="44"/>
      <c r="D1090" s="44"/>
      <c r="E1090" s="44"/>
      <c r="F1090" s="44"/>
      <c r="G1090" s="44"/>
      <c r="H1090" s="44"/>
      <c r="I1090" s="44"/>
      <c r="J1090" s="44"/>
      <c r="K1090" s="44"/>
      <c r="L1090" s="44"/>
      <c r="M1090" s="44">
        <f t="shared" si="17"/>
        <v>0</v>
      </c>
      <c r="N1090" s="45"/>
      <c r="O1090" s="44"/>
      <c r="P1090" s="44"/>
      <c r="Q1090" s="44"/>
      <c r="R1090" s="44"/>
      <c r="S1090" s="44"/>
      <c r="T1090" s="44"/>
      <c r="U1090" s="44"/>
      <c r="V1090" s="44"/>
      <c r="W1090" s="44"/>
      <c r="X1090" s="44"/>
    </row>
    <row r="1091" spans="1:24" s="41" customFormat="1">
      <c r="A1091" s="42">
        <v>46252</v>
      </c>
      <c r="B1091" s="43" t="s">
        <v>964</v>
      </c>
      <c r="C1091" s="44"/>
      <c r="D1091" s="44"/>
      <c r="E1091" s="44"/>
      <c r="F1091" s="44"/>
      <c r="G1091" s="44"/>
      <c r="H1091" s="44"/>
      <c r="I1091" s="44"/>
      <c r="J1091" s="44"/>
      <c r="K1091" s="44"/>
      <c r="L1091" s="44"/>
      <c r="M1091" s="44">
        <f t="shared" ref="M1091:M1154" si="18">N1091-SUM(C1091:L1091)</f>
        <v>0</v>
      </c>
      <c r="N1091" s="45"/>
      <c r="O1091" s="44"/>
      <c r="P1091" s="44"/>
      <c r="Q1091" s="44"/>
      <c r="R1091" s="44"/>
      <c r="S1091" s="44"/>
      <c r="T1091" s="44"/>
      <c r="U1091" s="44"/>
      <c r="V1091" s="44"/>
      <c r="W1091" s="44"/>
      <c r="X1091" s="44"/>
    </row>
    <row r="1092" spans="1:24" s="41" customFormat="1">
      <c r="A1092" s="42">
        <v>46253</v>
      </c>
      <c r="B1092" s="43" t="s">
        <v>964</v>
      </c>
      <c r="C1092" s="44"/>
      <c r="D1092" s="44"/>
      <c r="E1092" s="44"/>
      <c r="F1092" s="44"/>
      <c r="G1092" s="44"/>
      <c r="H1092" s="44"/>
      <c r="I1092" s="44"/>
      <c r="J1092" s="44"/>
      <c r="K1092" s="44"/>
      <c r="L1092" s="44"/>
      <c r="M1092" s="44">
        <f t="shared" si="18"/>
        <v>0</v>
      </c>
      <c r="N1092" s="45"/>
      <c r="O1092" s="44"/>
      <c r="P1092" s="44"/>
      <c r="Q1092" s="44"/>
      <c r="R1092" s="44"/>
      <c r="S1092" s="44"/>
      <c r="T1092" s="44"/>
      <c r="U1092" s="44"/>
      <c r="V1092" s="44"/>
      <c r="W1092" s="44"/>
      <c r="X1092" s="44"/>
    </row>
    <row r="1093" spans="1:24" s="41" customFormat="1">
      <c r="A1093" s="42">
        <v>46254</v>
      </c>
      <c r="B1093" s="43" t="s">
        <v>964</v>
      </c>
      <c r="C1093" s="44"/>
      <c r="D1093" s="44"/>
      <c r="E1093" s="44"/>
      <c r="F1093" s="44"/>
      <c r="G1093" s="44"/>
      <c r="H1093" s="44"/>
      <c r="I1093" s="44"/>
      <c r="J1093" s="44"/>
      <c r="K1093" s="44"/>
      <c r="L1093" s="44"/>
      <c r="M1093" s="44">
        <f t="shared" si="18"/>
        <v>0</v>
      </c>
      <c r="N1093" s="45"/>
      <c r="O1093" s="44"/>
      <c r="P1093" s="44"/>
      <c r="Q1093" s="44"/>
      <c r="R1093" s="44"/>
      <c r="S1093" s="44"/>
      <c r="T1093" s="44"/>
      <c r="U1093" s="44"/>
      <c r="V1093" s="44"/>
      <c r="W1093" s="44"/>
      <c r="X1093" s="44"/>
    </row>
    <row r="1094" spans="1:24" s="41" customFormat="1">
      <c r="A1094" s="42">
        <v>46255</v>
      </c>
      <c r="B1094" s="43" t="s">
        <v>964</v>
      </c>
      <c r="C1094" s="44"/>
      <c r="D1094" s="44"/>
      <c r="E1094" s="44"/>
      <c r="F1094" s="44"/>
      <c r="G1094" s="44"/>
      <c r="H1094" s="44"/>
      <c r="I1094" s="44"/>
      <c r="J1094" s="44"/>
      <c r="K1094" s="44"/>
      <c r="L1094" s="44"/>
      <c r="M1094" s="44">
        <f t="shared" si="18"/>
        <v>0</v>
      </c>
      <c r="N1094" s="45"/>
      <c r="O1094" s="44"/>
      <c r="P1094" s="44"/>
      <c r="Q1094" s="44"/>
      <c r="R1094" s="44"/>
      <c r="S1094" s="44"/>
      <c r="T1094" s="44"/>
      <c r="U1094" s="44"/>
      <c r="V1094" s="44"/>
      <c r="W1094" s="44"/>
      <c r="X1094" s="44"/>
    </row>
    <row r="1095" spans="1:24" s="41" customFormat="1">
      <c r="A1095" s="42">
        <v>46256</v>
      </c>
      <c r="B1095" s="43" t="s">
        <v>964</v>
      </c>
      <c r="C1095" s="44"/>
      <c r="D1095" s="44"/>
      <c r="E1095" s="44"/>
      <c r="F1095" s="44"/>
      <c r="G1095" s="44"/>
      <c r="H1095" s="44"/>
      <c r="I1095" s="44"/>
      <c r="J1095" s="44"/>
      <c r="K1095" s="44"/>
      <c r="L1095" s="44"/>
      <c r="M1095" s="44">
        <f t="shared" si="18"/>
        <v>0</v>
      </c>
      <c r="N1095" s="45"/>
      <c r="O1095" s="44"/>
      <c r="P1095" s="44"/>
      <c r="Q1095" s="44"/>
      <c r="R1095" s="44"/>
      <c r="S1095" s="44"/>
      <c r="T1095" s="44"/>
      <c r="U1095" s="44"/>
      <c r="V1095" s="44"/>
      <c r="W1095" s="44"/>
      <c r="X1095" s="44"/>
    </row>
    <row r="1096" spans="1:24" s="41" customFormat="1">
      <c r="A1096" s="42">
        <v>46257</v>
      </c>
      <c r="B1096" s="43" t="s">
        <v>964</v>
      </c>
      <c r="C1096" s="44"/>
      <c r="D1096" s="44"/>
      <c r="E1096" s="44"/>
      <c r="F1096" s="44"/>
      <c r="G1096" s="44"/>
      <c r="H1096" s="44"/>
      <c r="I1096" s="44"/>
      <c r="J1096" s="44"/>
      <c r="K1096" s="44"/>
      <c r="L1096" s="44"/>
      <c r="M1096" s="44">
        <f t="shared" si="18"/>
        <v>0</v>
      </c>
      <c r="N1096" s="45"/>
      <c r="O1096" s="44"/>
      <c r="P1096" s="44"/>
      <c r="Q1096" s="44"/>
      <c r="R1096" s="44"/>
      <c r="S1096" s="44"/>
      <c r="T1096" s="44"/>
      <c r="U1096" s="44"/>
      <c r="V1096" s="44"/>
      <c r="W1096" s="44"/>
      <c r="X1096" s="44"/>
    </row>
    <row r="1097" spans="1:24" s="41" customFormat="1">
      <c r="A1097" s="42">
        <v>46258</v>
      </c>
      <c r="B1097" s="43" t="s">
        <v>964</v>
      </c>
      <c r="C1097" s="44"/>
      <c r="D1097" s="44"/>
      <c r="E1097" s="44"/>
      <c r="F1097" s="44"/>
      <c r="G1097" s="44"/>
      <c r="H1097" s="44"/>
      <c r="I1097" s="44"/>
      <c r="J1097" s="44"/>
      <c r="K1097" s="44"/>
      <c r="L1097" s="44"/>
      <c r="M1097" s="44">
        <f t="shared" si="18"/>
        <v>0</v>
      </c>
      <c r="N1097" s="45"/>
      <c r="O1097" s="44"/>
      <c r="P1097" s="44"/>
      <c r="Q1097" s="44"/>
      <c r="R1097" s="44"/>
      <c r="S1097" s="44"/>
      <c r="T1097" s="44"/>
      <c r="U1097" s="44"/>
      <c r="V1097" s="44"/>
      <c r="W1097" s="44"/>
      <c r="X1097" s="44"/>
    </row>
    <row r="1098" spans="1:24" s="41" customFormat="1">
      <c r="A1098" s="42">
        <v>46259</v>
      </c>
      <c r="B1098" s="43" t="s">
        <v>964</v>
      </c>
      <c r="C1098" s="44"/>
      <c r="D1098" s="44"/>
      <c r="E1098" s="44"/>
      <c r="F1098" s="44"/>
      <c r="G1098" s="44"/>
      <c r="H1098" s="44"/>
      <c r="I1098" s="44"/>
      <c r="J1098" s="44"/>
      <c r="K1098" s="44"/>
      <c r="L1098" s="44"/>
      <c r="M1098" s="44">
        <f t="shared" si="18"/>
        <v>0</v>
      </c>
      <c r="N1098" s="45"/>
      <c r="O1098" s="44"/>
      <c r="P1098" s="44"/>
      <c r="Q1098" s="44"/>
      <c r="R1098" s="44"/>
      <c r="S1098" s="44"/>
      <c r="T1098" s="44"/>
      <c r="U1098" s="44"/>
      <c r="V1098" s="44"/>
      <c r="W1098" s="44"/>
      <c r="X1098" s="44"/>
    </row>
    <row r="1099" spans="1:24" s="41" customFormat="1">
      <c r="A1099" s="42">
        <v>46260</v>
      </c>
      <c r="B1099" s="43" t="s">
        <v>964</v>
      </c>
      <c r="C1099" s="44"/>
      <c r="D1099" s="44"/>
      <c r="E1099" s="44"/>
      <c r="F1099" s="44"/>
      <c r="G1099" s="44"/>
      <c r="H1099" s="44"/>
      <c r="I1099" s="44"/>
      <c r="J1099" s="44"/>
      <c r="K1099" s="44"/>
      <c r="L1099" s="44"/>
      <c r="M1099" s="44">
        <f t="shared" si="18"/>
        <v>0</v>
      </c>
      <c r="N1099" s="45"/>
      <c r="O1099" s="44"/>
      <c r="P1099" s="44"/>
      <c r="Q1099" s="44"/>
      <c r="R1099" s="44"/>
      <c r="S1099" s="44"/>
      <c r="T1099" s="44"/>
      <c r="U1099" s="44"/>
      <c r="V1099" s="44"/>
      <c r="W1099" s="44"/>
      <c r="X1099" s="44"/>
    </row>
    <row r="1100" spans="1:24" s="41" customFormat="1">
      <c r="A1100" s="42">
        <v>46261</v>
      </c>
      <c r="B1100" s="43" t="s">
        <v>964</v>
      </c>
      <c r="C1100" s="44"/>
      <c r="D1100" s="44"/>
      <c r="E1100" s="44"/>
      <c r="F1100" s="44"/>
      <c r="G1100" s="44"/>
      <c r="H1100" s="44"/>
      <c r="I1100" s="44"/>
      <c r="J1100" s="44"/>
      <c r="K1100" s="44"/>
      <c r="L1100" s="44"/>
      <c r="M1100" s="44">
        <f t="shared" si="18"/>
        <v>0</v>
      </c>
      <c r="N1100" s="45"/>
      <c r="O1100" s="44"/>
      <c r="P1100" s="44"/>
      <c r="Q1100" s="44"/>
      <c r="R1100" s="44"/>
      <c r="S1100" s="44"/>
      <c r="T1100" s="44"/>
      <c r="U1100" s="44"/>
      <c r="V1100" s="44"/>
      <c r="W1100" s="44"/>
      <c r="X1100" s="44"/>
    </row>
    <row r="1101" spans="1:24" s="41" customFormat="1">
      <c r="A1101" s="42">
        <v>46262</v>
      </c>
      <c r="B1101" s="43" t="s">
        <v>964</v>
      </c>
      <c r="C1101" s="44"/>
      <c r="D1101" s="44"/>
      <c r="E1101" s="44"/>
      <c r="F1101" s="44"/>
      <c r="G1101" s="44"/>
      <c r="H1101" s="44"/>
      <c r="I1101" s="44"/>
      <c r="J1101" s="44"/>
      <c r="K1101" s="44"/>
      <c r="L1101" s="44"/>
      <c r="M1101" s="44">
        <f t="shared" si="18"/>
        <v>0</v>
      </c>
      <c r="N1101" s="45"/>
      <c r="O1101" s="44"/>
      <c r="P1101" s="44"/>
      <c r="Q1101" s="44"/>
      <c r="R1101" s="44"/>
      <c r="S1101" s="44"/>
      <c r="T1101" s="44"/>
      <c r="U1101" s="44"/>
      <c r="V1101" s="44"/>
      <c r="W1101" s="44"/>
      <c r="X1101" s="44"/>
    </row>
    <row r="1102" spans="1:24" s="41" customFormat="1">
      <c r="A1102" s="42">
        <v>46263</v>
      </c>
      <c r="B1102" s="43" t="s">
        <v>964</v>
      </c>
      <c r="C1102" s="44"/>
      <c r="D1102" s="44"/>
      <c r="E1102" s="44"/>
      <c r="F1102" s="44"/>
      <c r="G1102" s="44"/>
      <c r="H1102" s="44"/>
      <c r="I1102" s="44"/>
      <c r="J1102" s="44"/>
      <c r="K1102" s="44"/>
      <c r="L1102" s="44"/>
      <c r="M1102" s="44">
        <f t="shared" si="18"/>
        <v>0</v>
      </c>
      <c r="N1102" s="45"/>
      <c r="O1102" s="44"/>
      <c r="P1102" s="44"/>
      <c r="Q1102" s="44"/>
      <c r="R1102" s="44"/>
      <c r="S1102" s="44"/>
      <c r="T1102" s="44"/>
      <c r="U1102" s="44"/>
      <c r="V1102" s="44"/>
      <c r="W1102" s="44"/>
      <c r="X1102" s="44"/>
    </row>
    <row r="1103" spans="1:24" s="41" customFormat="1">
      <c r="A1103" s="42">
        <v>46264</v>
      </c>
      <c r="B1103" s="43" t="s">
        <v>964</v>
      </c>
      <c r="C1103" s="44"/>
      <c r="D1103" s="44"/>
      <c r="E1103" s="44"/>
      <c r="F1103" s="44"/>
      <c r="G1103" s="44"/>
      <c r="H1103" s="44"/>
      <c r="I1103" s="44"/>
      <c r="J1103" s="44"/>
      <c r="K1103" s="44"/>
      <c r="L1103" s="44"/>
      <c r="M1103" s="44">
        <f t="shared" si="18"/>
        <v>0</v>
      </c>
      <c r="N1103" s="45"/>
      <c r="O1103" s="44"/>
      <c r="P1103" s="44"/>
      <c r="Q1103" s="44"/>
      <c r="R1103" s="44"/>
      <c r="S1103" s="44"/>
      <c r="T1103" s="44"/>
      <c r="U1103" s="44"/>
      <c r="V1103" s="44"/>
      <c r="W1103" s="44"/>
      <c r="X1103" s="44"/>
    </row>
    <row r="1104" spans="1:24" s="41" customFormat="1">
      <c r="A1104" s="42">
        <v>46265</v>
      </c>
      <c r="B1104" s="43" t="s">
        <v>964</v>
      </c>
      <c r="C1104" s="44"/>
      <c r="D1104" s="44"/>
      <c r="E1104" s="44"/>
      <c r="F1104" s="44"/>
      <c r="G1104" s="44"/>
      <c r="H1104" s="44"/>
      <c r="I1104" s="44"/>
      <c r="J1104" s="44"/>
      <c r="K1104" s="44"/>
      <c r="L1104" s="44"/>
      <c r="M1104" s="44">
        <f t="shared" si="18"/>
        <v>0</v>
      </c>
      <c r="N1104" s="45"/>
      <c r="O1104" s="44"/>
      <c r="P1104" s="44"/>
      <c r="Q1104" s="44"/>
      <c r="R1104" s="44"/>
      <c r="S1104" s="44"/>
      <c r="T1104" s="44"/>
      <c r="U1104" s="44"/>
      <c r="V1104" s="44"/>
      <c r="W1104" s="44"/>
      <c r="X1104" s="44"/>
    </row>
    <row r="1105" spans="1:24" s="41" customFormat="1">
      <c r="A1105" s="42">
        <v>46266</v>
      </c>
      <c r="B1105" s="43" t="s">
        <v>964</v>
      </c>
      <c r="C1105" s="44"/>
      <c r="D1105" s="44"/>
      <c r="E1105" s="44"/>
      <c r="F1105" s="44"/>
      <c r="G1105" s="44"/>
      <c r="H1105" s="44"/>
      <c r="I1105" s="44"/>
      <c r="J1105" s="44"/>
      <c r="K1105" s="44"/>
      <c r="L1105" s="44"/>
      <c r="M1105" s="44">
        <f t="shared" si="18"/>
        <v>0</v>
      </c>
      <c r="N1105" s="45"/>
      <c r="O1105" s="44"/>
      <c r="P1105" s="44"/>
      <c r="Q1105" s="44"/>
      <c r="R1105" s="44"/>
      <c r="S1105" s="44"/>
      <c r="T1105" s="44"/>
      <c r="U1105" s="44"/>
      <c r="V1105" s="44"/>
      <c r="W1105" s="44"/>
      <c r="X1105" s="44"/>
    </row>
    <row r="1106" spans="1:24" s="41" customFormat="1">
      <c r="A1106" s="42">
        <v>46267</v>
      </c>
      <c r="B1106" s="43" t="s">
        <v>964</v>
      </c>
      <c r="C1106" s="44"/>
      <c r="D1106" s="44"/>
      <c r="E1106" s="44"/>
      <c r="F1106" s="44"/>
      <c r="G1106" s="44"/>
      <c r="H1106" s="44"/>
      <c r="I1106" s="44"/>
      <c r="J1106" s="44"/>
      <c r="K1106" s="44"/>
      <c r="L1106" s="44"/>
      <c r="M1106" s="44">
        <f t="shared" si="18"/>
        <v>0</v>
      </c>
      <c r="N1106" s="45"/>
      <c r="O1106" s="44"/>
      <c r="P1106" s="44"/>
      <c r="Q1106" s="44"/>
      <c r="R1106" s="44"/>
      <c r="S1106" s="44"/>
      <c r="T1106" s="44"/>
      <c r="U1106" s="44"/>
      <c r="V1106" s="44"/>
      <c r="W1106" s="44"/>
      <c r="X1106" s="44"/>
    </row>
    <row r="1107" spans="1:24" s="41" customFormat="1">
      <c r="A1107" s="42">
        <v>46268</v>
      </c>
      <c r="B1107" s="43" t="s">
        <v>964</v>
      </c>
      <c r="C1107" s="44"/>
      <c r="D1107" s="44"/>
      <c r="E1107" s="44"/>
      <c r="F1107" s="44"/>
      <c r="G1107" s="44"/>
      <c r="H1107" s="44"/>
      <c r="I1107" s="44"/>
      <c r="J1107" s="44"/>
      <c r="K1107" s="44"/>
      <c r="L1107" s="44"/>
      <c r="M1107" s="44">
        <f t="shared" si="18"/>
        <v>0</v>
      </c>
      <c r="N1107" s="45"/>
      <c r="O1107" s="44"/>
      <c r="P1107" s="44"/>
      <c r="Q1107" s="44"/>
      <c r="R1107" s="44"/>
      <c r="S1107" s="44"/>
      <c r="T1107" s="44"/>
      <c r="U1107" s="44"/>
      <c r="V1107" s="44"/>
      <c r="W1107" s="44"/>
      <c r="X1107" s="44"/>
    </row>
    <row r="1108" spans="1:24" s="41" customFormat="1">
      <c r="A1108" s="42">
        <v>46269</v>
      </c>
      <c r="B1108" s="43" t="s">
        <v>964</v>
      </c>
      <c r="C1108" s="44"/>
      <c r="D1108" s="44"/>
      <c r="E1108" s="44"/>
      <c r="F1108" s="44"/>
      <c r="G1108" s="44"/>
      <c r="H1108" s="44"/>
      <c r="I1108" s="44"/>
      <c r="J1108" s="44"/>
      <c r="K1108" s="44"/>
      <c r="L1108" s="44"/>
      <c r="M1108" s="44">
        <f t="shared" si="18"/>
        <v>0</v>
      </c>
      <c r="N1108" s="45"/>
      <c r="O1108" s="44"/>
      <c r="P1108" s="44"/>
      <c r="Q1108" s="44"/>
      <c r="R1108" s="44"/>
      <c r="S1108" s="44"/>
      <c r="T1108" s="44"/>
      <c r="U1108" s="44"/>
      <c r="V1108" s="44"/>
      <c r="W1108" s="44"/>
      <c r="X1108" s="44"/>
    </row>
    <row r="1109" spans="1:24" s="41" customFormat="1">
      <c r="A1109" s="42">
        <v>46270</v>
      </c>
      <c r="B1109" s="43" t="s">
        <v>964</v>
      </c>
      <c r="C1109" s="44"/>
      <c r="D1109" s="44"/>
      <c r="E1109" s="44"/>
      <c r="F1109" s="44"/>
      <c r="G1109" s="44"/>
      <c r="H1109" s="44"/>
      <c r="I1109" s="44"/>
      <c r="J1109" s="44"/>
      <c r="K1109" s="44"/>
      <c r="L1109" s="44"/>
      <c r="M1109" s="44">
        <f t="shared" si="18"/>
        <v>0</v>
      </c>
      <c r="N1109" s="45"/>
      <c r="O1109" s="44"/>
      <c r="P1109" s="44"/>
      <c r="Q1109" s="44"/>
      <c r="R1109" s="44"/>
      <c r="S1109" s="44"/>
      <c r="T1109" s="44"/>
      <c r="U1109" s="44"/>
      <c r="V1109" s="44"/>
      <c r="W1109" s="44"/>
      <c r="X1109" s="44"/>
    </row>
    <row r="1110" spans="1:24" s="41" customFormat="1">
      <c r="A1110" s="42">
        <v>46271</v>
      </c>
      <c r="B1110" s="43" t="s">
        <v>964</v>
      </c>
      <c r="C1110" s="44"/>
      <c r="D1110" s="44"/>
      <c r="E1110" s="44"/>
      <c r="F1110" s="44"/>
      <c r="G1110" s="44"/>
      <c r="H1110" s="44"/>
      <c r="I1110" s="44"/>
      <c r="J1110" s="44"/>
      <c r="K1110" s="44"/>
      <c r="L1110" s="44"/>
      <c r="M1110" s="44">
        <f t="shared" si="18"/>
        <v>0</v>
      </c>
      <c r="N1110" s="45"/>
      <c r="O1110" s="44"/>
      <c r="P1110" s="44"/>
      <c r="Q1110" s="44"/>
      <c r="R1110" s="44"/>
      <c r="S1110" s="44"/>
      <c r="T1110" s="44"/>
      <c r="U1110" s="44"/>
      <c r="V1110" s="44"/>
      <c r="W1110" s="44"/>
      <c r="X1110" s="44"/>
    </row>
    <row r="1111" spans="1:24" s="41" customFormat="1">
      <c r="A1111" s="42">
        <v>46272</v>
      </c>
      <c r="B1111" s="43" t="s">
        <v>964</v>
      </c>
      <c r="C1111" s="44"/>
      <c r="D1111" s="44"/>
      <c r="E1111" s="44"/>
      <c r="F1111" s="44"/>
      <c r="G1111" s="44"/>
      <c r="H1111" s="44"/>
      <c r="I1111" s="44"/>
      <c r="J1111" s="44"/>
      <c r="K1111" s="44"/>
      <c r="L1111" s="44"/>
      <c r="M1111" s="44">
        <f t="shared" si="18"/>
        <v>0</v>
      </c>
      <c r="N1111" s="45"/>
      <c r="O1111" s="44"/>
      <c r="P1111" s="44"/>
      <c r="Q1111" s="44"/>
      <c r="R1111" s="44"/>
      <c r="S1111" s="44"/>
      <c r="T1111" s="44"/>
      <c r="U1111" s="44"/>
      <c r="V1111" s="44"/>
      <c r="W1111" s="44"/>
      <c r="X1111" s="44"/>
    </row>
    <row r="1112" spans="1:24" s="41" customFormat="1">
      <c r="A1112" s="42">
        <v>46273</v>
      </c>
      <c r="B1112" s="43" t="s">
        <v>964</v>
      </c>
      <c r="C1112" s="44"/>
      <c r="D1112" s="44"/>
      <c r="E1112" s="44"/>
      <c r="F1112" s="44"/>
      <c r="G1112" s="44"/>
      <c r="H1112" s="44"/>
      <c r="I1112" s="44"/>
      <c r="J1112" s="44"/>
      <c r="K1112" s="44"/>
      <c r="L1112" s="44"/>
      <c r="M1112" s="44">
        <f t="shared" si="18"/>
        <v>0</v>
      </c>
      <c r="N1112" s="45"/>
      <c r="O1112" s="44"/>
      <c r="P1112" s="44"/>
      <c r="Q1112" s="44"/>
      <c r="R1112" s="44"/>
      <c r="S1112" s="44"/>
      <c r="T1112" s="44"/>
      <c r="U1112" s="44"/>
      <c r="V1112" s="44"/>
      <c r="W1112" s="44"/>
      <c r="X1112" s="44"/>
    </row>
    <row r="1113" spans="1:24" s="41" customFormat="1">
      <c r="A1113" s="42">
        <v>46274</v>
      </c>
      <c r="B1113" s="43" t="s">
        <v>964</v>
      </c>
      <c r="C1113" s="44"/>
      <c r="D1113" s="44"/>
      <c r="E1113" s="44"/>
      <c r="F1113" s="44"/>
      <c r="G1113" s="44"/>
      <c r="H1113" s="44"/>
      <c r="I1113" s="44"/>
      <c r="J1113" s="44"/>
      <c r="K1113" s="44"/>
      <c r="L1113" s="44"/>
      <c r="M1113" s="44">
        <f t="shared" si="18"/>
        <v>0</v>
      </c>
      <c r="N1113" s="45"/>
      <c r="O1113" s="44"/>
      <c r="P1113" s="44"/>
      <c r="Q1113" s="44"/>
      <c r="R1113" s="44"/>
      <c r="S1113" s="44"/>
      <c r="T1113" s="44"/>
      <c r="U1113" s="44"/>
      <c r="V1113" s="44"/>
      <c r="W1113" s="44"/>
      <c r="X1113" s="44"/>
    </row>
    <row r="1114" spans="1:24" s="41" customFormat="1">
      <c r="A1114" s="42">
        <v>46275</v>
      </c>
      <c r="B1114" s="43" t="s">
        <v>964</v>
      </c>
      <c r="C1114" s="44"/>
      <c r="D1114" s="44"/>
      <c r="E1114" s="44"/>
      <c r="F1114" s="44"/>
      <c r="G1114" s="44"/>
      <c r="H1114" s="44"/>
      <c r="I1114" s="44"/>
      <c r="J1114" s="44"/>
      <c r="K1114" s="44"/>
      <c r="L1114" s="44"/>
      <c r="M1114" s="44">
        <f t="shared" si="18"/>
        <v>0</v>
      </c>
      <c r="N1114" s="45"/>
      <c r="O1114" s="44"/>
      <c r="P1114" s="44"/>
      <c r="Q1114" s="44"/>
      <c r="R1114" s="44"/>
      <c r="S1114" s="44"/>
      <c r="T1114" s="44"/>
      <c r="U1114" s="44"/>
      <c r="V1114" s="44"/>
      <c r="W1114" s="44"/>
      <c r="X1114" s="44"/>
    </row>
    <row r="1115" spans="1:24" s="41" customFormat="1">
      <c r="A1115" s="42">
        <v>46276</v>
      </c>
      <c r="B1115" s="43" t="s">
        <v>964</v>
      </c>
      <c r="C1115" s="44"/>
      <c r="D1115" s="44"/>
      <c r="E1115" s="44"/>
      <c r="F1115" s="44"/>
      <c r="G1115" s="44"/>
      <c r="H1115" s="44"/>
      <c r="I1115" s="44"/>
      <c r="J1115" s="44"/>
      <c r="K1115" s="44"/>
      <c r="L1115" s="44"/>
      <c r="M1115" s="44">
        <f t="shared" si="18"/>
        <v>0</v>
      </c>
      <c r="N1115" s="45"/>
      <c r="O1115" s="44"/>
      <c r="P1115" s="44"/>
      <c r="Q1115" s="44"/>
      <c r="R1115" s="44"/>
      <c r="S1115" s="44"/>
      <c r="T1115" s="44"/>
      <c r="U1115" s="44"/>
      <c r="V1115" s="44"/>
      <c r="W1115" s="44"/>
      <c r="X1115" s="44"/>
    </row>
    <row r="1116" spans="1:24" s="41" customFormat="1">
      <c r="A1116" s="42">
        <v>46277</v>
      </c>
      <c r="B1116" s="43" t="s">
        <v>964</v>
      </c>
      <c r="C1116" s="44"/>
      <c r="D1116" s="44"/>
      <c r="E1116" s="44"/>
      <c r="F1116" s="44"/>
      <c r="G1116" s="44"/>
      <c r="H1116" s="44"/>
      <c r="I1116" s="44"/>
      <c r="J1116" s="44"/>
      <c r="K1116" s="44"/>
      <c r="L1116" s="44"/>
      <c r="M1116" s="44">
        <f t="shared" si="18"/>
        <v>0</v>
      </c>
      <c r="N1116" s="45"/>
      <c r="O1116" s="44"/>
      <c r="P1116" s="44"/>
      <c r="Q1116" s="44"/>
      <c r="R1116" s="44"/>
      <c r="S1116" s="44"/>
      <c r="T1116" s="44"/>
      <c r="U1116" s="44"/>
      <c r="V1116" s="44"/>
      <c r="W1116" s="44"/>
      <c r="X1116" s="44"/>
    </row>
    <row r="1117" spans="1:24" s="41" customFormat="1">
      <c r="A1117" s="42">
        <v>46278</v>
      </c>
      <c r="B1117" s="43" t="s">
        <v>964</v>
      </c>
      <c r="C1117" s="44"/>
      <c r="D1117" s="44"/>
      <c r="E1117" s="44"/>
      <c r="F1117" s="44"/>
      <c r="G1117" s="44"/>
      <c r="H1117" s="44"/>
      <c r="I1117" s="44"/>
      <c r="J1117" s="44"/>
      <c r="K1117" s="44"/>
      <c r="L1117" s="44"/>
      <c r="M1117" s="44">
        <f t="shared" si="18"/>
        <v>0</v>
      </c>
      <c r="N1117" s="45"/>
      <c r="O1117" s="44"/>
      <c r="P1117" s="44"/>
      <c r="Q1117" s="44"/>
      <c r="R1117" s="44"/>
      <c r="S1117" s="44"/>
      <c r="T1117" s="44"/>
      <c r="U1117" s="44"/>
      <c r="V1117" s="44"/>
      <c r="W1117" s="44"/>
      <c r="X1117" s="44"/>
    </row>
    <row r="1118" spans="1:24" s="41" customFormat="1">
      <c r="A1118" s="42">
        <v>46279</v>
      </c>
      <c r="B1118" s="43" t="s">
        <v>964</v>
      </c>
      <c r="C1118" s="44"/>
      <c r="D1118" s="44"/>
      <c r="E1118" s="44"/>
      <c r="F1118" s="44"/>
      <c r="G1118" s="44"/>
      <c r="H1118" s="44"/>
      <c r="I1118" s="44"/>
      <c r="J1118" s="44"/>
      <c r="K1118" s="44"/>
      <c r="L1118" s="44"/>
      <c r="M1118" s="44">
        <f t="shared" si="18"/>
        <v>0</v>
      </c>
      <c r="N1118" s="45"/>
      <c r="O1118" s="44"/>
      <c r="P1118" s="44"/>
      <c r="Q1118" s="44"/>
      <c r="R1118" s="44"/>
      <c r="S1118" s="44"/>
      <c r="T1118" s="44"/>
      <c r="U1118" s="44"/>
      <c r="V1118" s="44"/>
      <c r="W1118" s="44"/>
      <c r="X1118" s="44"/>
    </row>
    <row r="1119" spans="1:24" s="41" customFormat="1">
      <c r="A1119" s="42">
        <v>46280</v>
      </c>
      <c r="B1119" s="43" t="s">
        <v>964</v>
      </c>
      <c r="C1119" s="44"/>
      <c r="D1119" s="44"/>
      <c r="E1119" s="44"/>
      <c r="F1119" s="44"/>
      <c r="G1119" s="44"/>
      <c r="H1119" s="44"/>
      <c r="I1119" s="44"/>
      <c r="J1119" s="44"/>
      <c r="K1119" s="44"/>
      <c r="L1119" s="44"/>
      <c r="M1119" s="44">
        <f t="shared" si="18"/>
        <v>0</v>
      </c>
      <c r="N1119" s="45"/>
      <c r="O1119" s="44"/>
      <c r="P1119" s="44"/>
      <c r="Q1119" s="44"/>
      <c r="R1119" s="44"/>
      <c r="S1119" s="44"/>
      <c r="T1119" s="44"/>
      <c r="U1119" s="44"/>
      <c r="V1119" s="44"/>
      <c r="W1119" s="44"/>
      <c r="X1119" s="44"/>
    </row>
    <row r="1120" spans="1:24" s="41" customFormat="1">
      <c r="A1120" s="42">
        <v>46281</v>
      </c>
      <c r="B1120" s="43" t="s">
        <v>964</v>
      </c>
      <c r="C1120" s="44"/>
      <c r="D1120" s="44"/>
      <c r="E1120" s="44"/>
      <c r="F1120" s="44"/>
      <c r="G1120" s="44"/>
      <c r="H1120" s="44"/>
      <c r="I1120" s="44"/>
      <c r="J1120" s="44"/>
      <c r="K1120" s="44"/>
      <c r="L1120" s="44"/>
      <c r="M1120" s="44">
        <f t="shared" si="18"/>
        <v>0</v>
      </c>
      <c r="N1120" s="45"/>
      <c r="O1120" s="44"/>
      <c r="P1120" s="44"/>
      <c r="Q1120" s="44"/>
      <c r="R1120" s="44"/>
      <c r="S1120" s="44"/>
      <c r="T1120" s="44"/>
      <c r="U1120" s="44"/>
      <c r="V1120" s="44"/>
      <c r="W1120" s="44"/>
      <c r="X1120" s="44"/>
    </row>
    <row r="1121" spans="1:24" s="41" customFormat="1">
      <c r="A1121" s="42">
        <v>46282</v>
      </c>
      <c r="B1121" s="43" t="s">
        <v>964</v>
      </c>
      <c r="C1121" s="44"/>
      <c r="D1121" s="44"/>
      <c r="E1121" s="44"/>
      <c r="F1121" s="44"/>
      <c r="G1121" s="44"/>
      <c r="H1121" s="44"/>
      <c r="I1121" s="44"/>
      <c r="J1121" s="44"/>
      <c r="K1121" s="44"/>
      <c r="L1121" s="44"/>
      <c r="M1121" s="44">
        <f t="shared" si="18"/>
        <v>0</v>
      </c>
      <c r="N1121" s="45"/>
      <c r="O1121" s="44"/>
      <c r="P1121" s="44"/>
      <c r="Q1121" s="44"/>
      <c r="R1121" s="44"/>
      <c r="S1121" s="44"/>
      <c r="T1121" s="44"/>
      <c r="U1121" s="44"/>
      <c r="V1121" s="44"/>
      <c r="W1121" s="44"/>
      <c r="X1121" s="44"/>
    </row>
    <row r="1122" spans="1:24" s="41" customFormat="1">
      <c r="A1122" s="42">
        <v>46283</v>
      </c>
      <c r="B1122" s="43" t="s">
        <v>964</v>
      </c>
      <c r="C1122" s="44"/>
      <c r="D1122" s="44"/>
      <c r="E1122" s="44"/>
      <c r="F1122" s="44"/>
      <c r="G1122" s="44"/>
      <c r="H1122" s="44"/>
      <c r="I1122" s="44"/>
      <c r="J1122" s="44"/>
      <c r="K1122" s="44"/>
      <c r="L1122" s="44"/>
      <c r="M1122" s="44">
        <f t="shared" si="18"/>
        <v>0</v>
      </c>
      <c r="N1122" s="45"/>
      <c r="O1122" s="44"/>
      <c r="P1122" s="44"/>
      <c r="Q1122" s="44"/>
      <c r="R1122" s="44"/>
      <c r="S1122" s="44"/>
      <c r="T1122" s="44"/>
      <c r="U1122" s="44"/>
      <c r="V1122" s="44"/>
      <c r="W1122" s="44"/>
      <c r="X1122" s="44"/>
    </row>
    <row r="1123" spans="1:24" s="41" customFormat="1">
      <c r="A1123" s="42">
        <v>46284</v>
      </c>
      <c r="B1123" s="43" t="s">
        <v>964</v>
      </c>
      <c r="C1123" s="44"/>
      <c r="D1123" s="44"/>
      <c r="E1123" s="44"/>
      <c r="F1123" s="44"/>
      <c r="G1123" s="44"/>
      <c r="H1123" s="44"/>
      <c r="I1123" s="44"/>
      <c r="J1123" s="44"/>
      <c r="K1123" s="44"/>
      <c r="L1123" s="44"/>
      <c r="M1123" s="44">
        <f t="shared" si="18"/>
        <v>0</v>
      </c>
      <c r="N1123" s="45"/>
      <c r="O1123" s="44"/>
      <c r="P1123" s="44"/>
      <c r="Q1123" s="44"/>
      <c r="R1123" s="44"/>
      <c r="S1123" s="44"/>
      <c r="T1123" s="44"/>
      <c r="U1123" s="44"/>
      <c r="V1123" s="44"/>
      <c r="W1123" s="44"/>
      <c r="X1123" s="44"/>
    </row>
    <row r="1124" spans="1:24" s="41" customFormat="1">
      <c r="A1124" s="42">
        <v>46285</v>
      </c>
      <c r="B1124" s="43" t="s">
        <v>964</v>
      </c>
      <c r="C1124" s="44"/>
      <c r="D1124" s="44"/>
      <c r="E1124" s="44"/>
      <c r="F1124" s="44"/>
      <c r="G1124" s="44"/>
      <c r="H1124" s="44"/>
      <c r="I1124" s="44"/>
      <c r="J1124" s="44"/>
      <c r="K1124" s="44"/>
      <c r="L1124" s="44"/>
      <c r="M1124" s="44">
        <f t="shared" si="18"/>
        <v>0</v>
      </c>
      <c r="N1124" s="45"/>
      <c r="O1124" s="44"/>
      <c r="P1124" s="44"/>
      <c r="Q1124" s="44"/>
      <c r="R1124" s="44"/>
      <c r="S1124" s="44"/>
      <c r="T1124" s="44"/>
      <c r="U1124" s="44"/>
      <c r="V1124" s="44"/>
      <c r="W1124" s="44"/>
      <c r="X1124" s="44"/>
    </row>
    <row r="1125" spans="1:24" s="41" customFormat="1">
      <c r="A1125" s="42">
        <v>46286</v>
      </c>
      <c r="B1125" s="43" t="s">
        <v>964</v>
      </c>
      <c r="C1125" s="44"/>
      <c r="D1125" s="44"/>
      <c r="E1125" s="44"/>
      <c r="F1125" s="44"/>
      <c r="G1125" s="44"/>
      <c r="H1125" s="44"/>
      <c r="I1125" s="44"/>
      <c r="J1125" s="44"/>
      <c r="K1125" s="44"/>
      <c r="L1125" s="44"/>
      <c r="M1125" s="44">
        <f t="shared" si="18"/>
        <v>0</v>
      </c>
      <c r="N1125" s="45"/>
      <c r="O1125" s="44"/>
      <c r="P1125" s="44"/>
      <c r="Q1125" s="44"/>
      <c r="R1125" s="44"/>
      <c r="S1125" s="44"/>
      <c r="T1125" s="44"/>
      <c r="U1125" s="44"/>
      <c r="V1125" s="44"/>
      <c r="W1125" s="44"/>
      <c r="X1125" s="44"/>
    </row>
    <row r="1126" spans="1:24" s="41" customFormat="1">
      <c r="A1126" s="42">
        <v>46287</v>
      </c>
      <c r="B1126" s="43" t="s">
        <v>964</v>
      </c>
      <c r="C1126" s="44"/>
      <c r="D1126" s="44"/>
      <c r="E1126" s="44"/>
      <c r="F1126" s="44"/>
      <c r="G1126" s="44"/>
      <c r="H1126" s="44"/>
      <c r="I1126" s="44"/>
      <c r="J1126" s="44"/>
      <c r="K1126" s="44"/>
      <c r="L1126" s="44"/>
      <c r="M1126" s="44">
        <f t="shared" si="18"/>
        <v>0</v>
      </c>
      <c r="N1126" s="45"/>
      <c r="O1126" s="44"/>
      <c r="P1126" s="44"/>
      <c r="Q1126" s="44"/>
      <c r="R1126" s="44"/>
      <c r="S1126" s="44"/>
      <c r="T1126" s="44"/>
      <c r="U1126" s="44"/>
      <c r="V1126" s="44"/>
      <c r="W1126" s="44"/>
      <c r="X1126" s="44"/>
    </row>
    <row r="1127" spans="1:24" s="41" customFormat="1">
      <c r="A1127" s="42">
        <v>46288</v>
      </c>
      <c r="B1127" s="43" t="s">
        <v>964</v>
      </c>
      <c r="C1127" s="44"/>
      <c r="D1127" s="44"/>
      <c r="E1127" s="44"/>
      <c r="F1127" s="44"/>
      <c r="G1127" s="44"/>
      <c r="H1127" s="44"/>
      <c r="I1127" s="44"/>
      <c r="J1127" s="44"/>
      <c r="K1127" s="44"/>
      <c r="L1127" s="44"/>
      <c r="M1127" s="44">
        <f t="shared" si="18"/>
        <v>0</v>
      </c>
      <c r="N1127" s="45"/>
      <c r="O1127" s="44"/>
      <c r="P1127" s="44"/>
      <c r="Q1127" s="44"/>
      <c r="R1127" s="44"/>
      <c r="S1127" s="44"/>
      <c r="T1127" s="44"/>
      <c r="U1127" s="44"/>
      <c r="V1127" s="44"/>
      <c r="W1127" s="44"/>
      <c r="X1127" s="44"/>
    </row>
    <row r="1128" spans="1:24" s="41" customFormat="1">
      <c r="A1128" s="42">
        <v>46289</v>
      </c>
      <c r="B1128" s="43" t="s">
        <v>964</v>
      </c>
      <c r="C1128" s="44"/>
      <c r="D1128" s="44"/>
      <c r="E1128" s="44"/>
      <c r="F1128" s="44"/>
      <c r="G1128" s="44"/>
      <c r="H1128" s="44"/>
      <c r="I1128" s="44"/>
      <c r="J1128" s="44"/>
      <c r="K1128" s="44"/>
      <c r="L1128" s="44"/>
      <c r="M1128" s="44">
        <f t="shared" si="18"/>
        <v>0</v>
      </c>
      <c r="N1128" s="45"/>
      <c r="O1128" s="44"/>
      <c r="P1128" s="44"/>
      <c r="Q1128" s="44"/>
      <c r="R1128" s="44"/>
      <c r="S1128" s="44"/>
      <c r="T1128" s="44"/>
      <c r="U1128" s="44"/>
      <c r="V1128" s="44"/>
      <c r="W1128" s="44"/>
      <c r="X1128" s="44"/>
    </row>
    <row r="1129" spans="1:24" s="41" customFormat="1">
      <c r="A1129" s="42">
        <v>46290</v>
      </c>
      <c r="B1129" s="43" t="s">
        <v>964</v>
      </c>
      <c r="C1129" s="44"/>
      <c r="D1129" s="44"/>
      <c r="E1129" s="44"/>
      <c r="F1129" s="44"/>
      <c r="G1129" s="44"/>
      <c r="H1129" s="44"/>
      <c r="I1129" s="44"/>
      <c r="J1129" s="44"/>
      <c r="K1129" s="44"/>
      <c r="L1129" s="44"/>
      <c r="M1129" s="44">
        <f t="shared" si="18"/>
        <v>0</v>
      </c>
      <c r="N1129" s="45"/>
      <c r="O1129" s="44"/>
      <c r="P1129" s="44"/>
      <c r="Q1129" s="44"/>
      <c r="R1129" s="44"/>
      <c r="S1129" s="44"/>
      <c r="T1129" s="44"/>
      <c r="U1129" s="44"/>
      <c r="V1129" s="44"/>
      <c r="W1129" s="44"/>
      <c r="X1129" s="44"/>
    </row>
    <row r="1130" spans="1:24" s="41" customFormat="1">
      <c r="A1130" s="42">
        <v>46291</v>
      </c>
      <c r="B1130" s="43" t="s">
        <v>964</v>
      </c>
      <c r="C1130" s="44"/>
      <c r="D1130" s="44"/>
      <c r="E1130" s="44"/>
      <c r="F1130" s="44"/>
      <c r="G1130" s="44"/>
      <c r="H1130" s="44"/>
      <c r="I1130" s="44"/>
      <c r="J1130" s="44"/>
      <c r="K1130" s="44"/>
      <c r="L1130" s="44"/>
      <c r="M1130" s="44">
        <f t="shared" si="18"/>
        <v>0</v>
      </c>
      <c r="N1130" s="45"/>
      <c r="O1130" s="44"/>
      <c r="P1130" s="44"/>
      <c r="Q1130" s="44"/>
      <c r="R1130" s="44"/>
      <c r="S1130" s="44"/>
      <c r="T1130" s="44"/>
      <c r="U1130" s="44"/>
      <c r="V1130" s="44"/>
      <c r="W1130" s="44"/>
      <c r="X1130" s="44"/>
    </row>
    <row r="1131" spans="1:24" s="41" customFormat="1">
      <c r="A1131" s="42">
        <v>46292</v>
      </c>
      <c r="B1131" s="43" t="s">
        <v>964</v>
      </c>
      <c r="C1131" s="44"/>
      <c r="D1131" s="44"/>
      <c r="E1131" s="44"/>
      <c r="F1131" s="44"/>
      <c r="G1131" s="44"/>
      <c r="H1131" s="44"/>
      <c r="I1131" s="44"/>
      <c r="J1131" s="44"/>
      <c r="K1131" s="44"/>
      <c r="L1131" s="44"/>
      <c r="M1131" s="44">
        <f t="shared" si="18"/>
        <v>0</v>
      </c>
      <c r="N1131" s="45"/>
      <c r="O1131" s="44"/>
      <c r="P1131" s="44"/>
      <c r="Q1131" s="44"/>
      <c r="R1131" s="44"/>
      <c r="S1131" s="44"/>
      <c r="T1131" s="44"/>
      <c r="U1131" s="44"/>
      <c r="V1131" s="44"/>
      <c r="W1131" s="44"/>
      <c r="X1131" s="44"/>
    </row>
    <row r="1132" spans="1:24" s="41" customFormat="1">
      <c r="A1132" s="42">
        <v>46293</v>
      </c>
      <c r="B1132" s="43" t="s">
        <v>964</v>
      </c>
      <c r="C1132" s="44"/>
      <c r="D1132" s="44"/>
      <c r="E1132" s="44"/>
      <c r="F1132" s="44"/>
      <c r="G1132" s="44"/>
      <c r="H1132" s="44"/>
      <c r="I1132" s="44"/>
      <c r="J1132" s="44"/>
      <c r="K1132" s="44"/>
      <c r="L1132" s="44"/>
      <c r="M1132" s="44">
        <f t="shared" si="18"/>
        <v>0</v>
      </c>
      <c r="N1132" s="45"/>
      <c r="O1132" s="44"/>
      <c r="P1132" s="44"/>
      <c r="Q1132" s="44"/>
      <c r="R1132" s="44"/>
      <c r="S1132" s="44"/>
      <c r="T1132" s="44"/>
      <c r="U1132" s="44"/>
      <c r="V1132" s="44"/>
      <c r="W1132" s="44"/>
      <c r="X1132" s="44"/>
    </row>
    <row r="1133" spans="1:24" s="41" customFormat="1">
      <c r="A1133" s="42">
        <v>46294</v>
      </c>
      <c r="B1133" s="43" t="s">
        <v>964</v>
      </c>
      <c r="C1133" s="44"/>
      <c r="D1133" s="44"/>
      <c r="E1133" s="44"/>
      <c r="F1133" s="44"/>
      <c r="G1133" s="44"/>
      <c r="H1133" s="44"/>
      <c r="I1133" s="44"/>
      <c r="J1133" s="44"/>
      <c r="K1133" s="44"/>
      <c r="L1133" s="44"/>
      <c r="M1133" s="44">
        <f t="shared" si="18"/>
        <v>0</v>
      </c>
      <c r="N1133" s="45"/>
      <c r="O1133" s="44"/>
      <c r="P1133" s="44"/>
      <c r="Q1133" s="44"/>
      <c r="R1133" s="44"/>
      <c r="S1133" s="44"/>
      <c r="T1133" s="44"/>
      <c r="U1133" s="44"/>
      <c r="V1133" s="44"/>
      <c r="W1133" s="44"/>
      <c r="X1133" s="44"/>
    </row>
    <row r="1134" spans="1:24" s="41" customFormat="1">
      <c r="A1134" s="42">
        <v>46295</v>
      </c>
      <c r="B1134" s="43" t="s">
        <v>964</v>
      </c>
      <c r="C1134" s="44"/>
      <c r="D1134" s="44"/>
      <c r="E1134" s="44"/>
      <c r="F1134" s="44"/>
      <c r="G1134" s="44"/>
      <c r="H1134" s="44"/>
      <c r="I1134" s="44"/>
      <c r="J1134" s="44"/>
      <c r="K1134" s="44"/>
      <c r="L1134" s="44"/>
      <c r="M1134" s="44">
        <f t="shared" si="18"/>
        <v>0</v>
      </c>
      <c r="N1134" s="45"/>
      <c r="O1134" s="44"/>
      <c r="P1134" s="44"/>
      <c r="Q1134" s="44"/>
      <c r="R1134" s="44"/>
      <c r="S1134" s="44"/>
      <c r="T1134" s="44"/>
      <c r="U1134" s="44"/>
      <c r="V1134" s="44"/>
      <c r="W1134" s="44"/>
      <c r="X1134" s="44"/>
    </row>
    <row r="1135" spans="1:24" s="41" customFormat="1">
      <c r="A1135" s="42">
        <v>46296</v>
      </c>
      <c r="B1135" s="43" t="s">
        <v>964</v>
      </c>
      <c r="C1135" s="44"/>
      <c r="D1135" s="44"/>
      <c r="E1135" s="44"/>
      <c r="F1135" s="44"/>
      <c r="G1135" s="44"/>
      <c r="H1135" s="44"/>
      <c r="I1135" s="44"/>
      <c r="J1135" s="44"/>
      <c r="K1135" s="44"/>
      <c r="L1135" s="44"/>
      <c r="M1135" s="44">
        <f t="shared" si="18"/>
        <v>0</v>
      </c>
      <c r="N1135" s="45"/>
      <c r="O1135" s="44"/>
      <c r="P1135" s="44"/>
      <c r="Q1135" s="44"/>
      <c r="R1135" s="44"/>
      <c r="S1135" s="44"/>
      <c r="T1135" s="44"/>
      <c r="U1135" s="44"/>
      <c r="V1135" s="44"/>
      <c r="W1135" s="44"/>
      <c r="X1135" s="44"/>
    </row>
    <row r="1136" spans="1:24" s="41" customFormat="1">
      <c r="A1136" s="42">
        <v>46297</v>
      </c>
      <c r="B1136" s="43" t="s">
        <v>964</v>
      </c>
      <c r="C1136" s="44"/>
      <c r="D1136" s="44"/>
      <c r="E1136" s="44"/>
      <c r="F1136" s="44"/>
      <c r="G1136" s="44"/>
      <c r="H1136" s="44"/>
      <c r="I1136" s="44"/>
      <c r="J1136" s="44"/>
      <c r="K1136" s="44"/>
      <c r="L1136" s="44"/>
      <c r="M1136" s="44">
        <f t="shared" si="18"/>
        <v>0</v>
      </c>
      <c r="N1136" s="45"/>
      <c r="O1136" s="44"/>
      <c r="P1136" s="44"/>
      <c r="Q1136" s="44"/>
      <c r="R1136" s="44"/>
      <c r="S1136" s="44"/>
      <c r="T1136" s="44"/>
      <c r="U1136" s="44"/>
      <c r="V1136" s="44"/>
      <c r="W1136" s="44"/>
      <c r="X1136" s="44"/>
    </row>
    <row r="1137" spans="1:24" s="41" customFormat="1">
      <c r="A1137" s="42">
        <v>46298</v>
      </c>
      <c r="B1137" s="43" t="s">
        <v>964</v>
      </c>
      <c r="C1137" s="44"/>
      <c r="D1137" s="44"/>
      <c r="E1137" s="44"/>
      <c r="F1137" s="44"/>
      <c r="G1137" s="44"/>
      <c r="H1137" s="44"/>
      <c r="I1137" s="44"/>
      <c r="J1137" s="44"/>
      <c r="K1137" s="44"/>
      <c r="L1137" s="44"/>
      <c r="M1137" s="44">
        <f t="shared" si="18"/>
        <v>0</v>
      </c>
      <c r="N1137" s="45"/>
      <c r="O1137" s="44"/>
      <c r="P1137" s="44"/>
      <c r="Q1137" s="44"/>
      <c r="R1137" s="44"/>
      <c r="S1137" s="44"/>
      <c r="T1137" s="44"/>
      <c r="U1137" s="44"/>
      <c r="V1137" s="44"/>
      <c r="W1137" s="44"/>
      <c r="X1137" s="44"/>
    </row>
    <row r="1138" spans="1:24" s="41" customFormat="1">
      <c r="A1138" s="42">
        <v>46299</v>
      </c>
      <c r="B1138" s="43" t="s">
        <v>964</v>
      </c>
      <c r="C1138" s="44"/>
      <c r="D1138" s="44"/>
      <c r="E1138" s="44"/>
      <c r="F1138" s="44"/>
      <c r="G1138" s="44"/>
      <c r="H1138" s="44"/>
      <c r="I1138" s="44"/>
      <c r="J1138" s="44"/>
      <c r="K1138" s="44"/>
      <c r="L1138" s="44"/>
      <c r="M1138" s="44">
        <f t="shared" si="18"/>
        <v>0</v>
      </c>
      <c r="N1138" s="45"/>
      <c r="O1138" s="44"/>
      <c r="P1138" s="44"/>
      <c r="Q1138" s="44"/>
      <c r="R1138" s="44"/>
      <c r="S1138" s="44"/>
      <c r="T1138" s="44"/>
      <c r="U1138" s="44"/>
      <c r="V1138" s="44"/>
      <c r="W1138" s="44"/>
      <c r="X1138" s="44"/>
    </row>
    <row r="1139" spans="1:24" s="41" customFormat="1">
      <c r="A1139" s="42">
        <v>46300</v>
      </c>
      <c r="B1139" s="43" t="s">
        <v>964</v>
      </c>
      <c r="C1139" s="44"/>
      <c r="D1139" s="44"/>
      <c r="E1139" s="44"/>
      <c r="F1139" s="44"/>
      <c r="G1139" s="44"/>
      <c r="H1139" s="44"/>
      <c r="I1139" s="44"/>
      <c r="J1139" s="44"/>
      <c r="K1139" s="44"/>
      <c r="L1139" s="44"/>
      <c r="M1139" s="44">
        <f t="shared" si="18"/>
        <v>0</v>
      </c>
      <c r="N1139" s="45"/>
      <c r="O1139" s="44"/>
      <c r="P1139" s="44"/>
      <c r="Q1139" s="44"/>
      <c r="R1139" s="44"/>
      <c r="S1139" s="44"/>
      <c r="T1139" s="44"/>
      <c r="U1139" s="44"/>
      <c r="V1139" s="44"/>
      <c r="W1139" s="44"/>
      <c r="X1139" s="44"/>
    </row>
    <row r="1140" spans="1:24" s="41" customFormat="1">
      <c r="A1140" s="42">
        <v>46301</v>
      </c>
      <c r="B1140" s="43" t="s">
        <v>964</v>
      </c>
      <c r="C1140" s="44"/>
      <c r="D1140" s="44"/>
      <c r="E1140" s="44"/>
      <c r="F1140" s="44"/>
      <c r="G1140" s="44"/>
      <c r="H1140" s="44"/>
      <c r="I1140" s="44"/>
      <c r="J1140" s="44"/>
      <c r="K1140" s="44"/>
      <c r="L1140" s="44"/>
      <c r="M1140" s="44">
        <f t="shared" si="18"/>
        <v>0</v>
      </c>
      <c r="N1140" s="45"/>
      <c r="O1140" s="44"/>
      <c r="P1140" s="44"/>
      <c r="Q1140" s="44"/>
      <c r="R1140" s="44"/>
      <c r="S1140" s="44"/>
      <c r="T1140" s="44"/>
      <c r="U1140" s="44"/>
      <c r="V1140" s="44"/>
      <c r="W1140" s="44"/>
      <c r="X1140" s="44"/>
    </row>
    <row r="1141" spans="1:24" s="41" customFormat="1">
      <c r="A1141" s="42">
        <v>46302</v>
      </c>
      <c r="B1141" s="43" t="s">
        <v>964</v>
      </c>
      <c r="C1141" s="44"/>
      <c r="D1141" s="44"/>
      <c r="E1141" s="44"/>
      <c r="F1141" s="44"/>
      <c r="G1141" s="44"/>
      <c r="H1141" s="44"/>
      <c r="I1141" s="44"/>
      <c r="J1141" s="44"/>
      <c r="K1141" s="44"/>
      <c r="L1141" s="44"/>
      <c r="M1141" s="44">
        <f t="shared" si="18"/>
        <v>0</v>
      </c>
      <c r="N1141" s="45"/>
      <c r="O1141" s="44"/>
      <c r="P1141" s="44"/>
      <c r="Q1141" s="44"/>
      <c r="R1141" s="44"/>
      <c r="S1141" s="44"/>
      <c r="T1141" s="44"/>
      <c r="U1141" s="44"/>
      <c r="V1141" s="44"/>
      <c r="W1141" s="44"/>
      <c r="X1141" s="44"/>
    </row>
    <row r="1142" spans="1:24" s="41" customFormat="1">
      <c r="A1142" s="42">
        <v>46303</v>
      </c>
      <c r="B1142" s="43" t="s">
        <v>964</v>
      </c>
      <c r="C1142" s="44"/>
      <c r="D1142" s="44"/>
      <c r="E1142" s="44"/>
      <c r="F1142" s="44"/>
      <c r="G1142" s="44"/>
      <c r="H1142" s="44"/>
      <c r="I1142" s="44"/>
      <c r="J1142" s="44"/>
      <c r="K1142" s="44"/>
      <c r="L1142" s="44"/>
      <c r="M1142" s="44">
        <f t="shared" si="18"/>
        <v>0</v>
      </c>
      <c r="N1142" s="45"/>
      <c r="O1142" s="44"/>
      <c r="P1142" s="44"/>
      <c r="Q1142" s="44"/>
      <c r="R1142" s="44"/>
      <c r="S1142" s="44"/>
      <c r="T1142" s="44"/>
      <c r="U1142" s="44"/>
      <c r="V1142" s="44"/>
      <c r="W1142" s="44"/>
      <c r="X1142" s="44"/>
    </row>
    <row r="1143" spans="1:24" s="41" customFormat="1">
      <c r="A1143" s="42">
        <v>46304</v>
      </c>
      <c r="B1143" s="43" t="s">
        <v>964</v>
      </c>
      <c r="C1143" s="44"/>
      <c r="D1143" s="44"/>
      <c r="E1143" s="44"/>
      <c r="F1143" s="44"/>
      <c r="G1143" s="44"/>
      <c r="H1143" s="44"/>
      <c r="I1143" s="44"/>
      <c r="J1143" s="44"/>
      <c r="K1143" s="44"/>
      <c r="L1143" s="44"/>
      <c r="M1143" s="44">
        <f t="shared" si="18"/>
        <v>0</v>
      </c>
      <c r="N1143" s="45"/>
      <c r="O1143" s="44"/>
      <c r="P1143" s="44"/>
      <c r="Q1143" s="44"/>
      <c r="R1143" s="44"/>
      <c r="S1143" s="44"/>
      <c r="T1143" s="44"/>
      <c r="U1143" s="44"/>
      <c r="V1143" s="44"/>
      <c r="W1143" s="44"/>
      <c r="X1143" s="44"/>
    </row>
    <row r="1144" spans="1:24" s="41" customFormat="1">
      <c r="A1144" s="42">
        <v>46305</v>
      </c>
      <c r="B1144" s="43" t="s">
        <v>964</v>
      </c>
      <c r="C1144" s="44"/>
      <c r="D1144" s="44"/>
      <c r="E1144" s="44"/>
      <c r="F1144" s="44"/>
      <c r="G1144" s="44"/>
      <c r="H1144" s="44"/>
      <c r="I1144" s="44"/>
      <c r="J1144" s="44"/>
      <c r="K1144" s="44"/>
      <c r="L1144" s="44"/>
      <c r="M1144" s="44">
        <f t="shared" si="18"/>
        <v>0</v>
      </c>
      <c r="N1144" s="45"/>
      <c r="O1144" s="44"/>
      <c r="P1144" s="44"/>
      <c r="Q1144" s="44"/>
      <c r="R1144" s="44"/>
      <c r="S1144" s="44"/>
      <c r="T1144" s="44"/>
      <c r="U1144" s="44"/>
      <c r="V1144" s="44"/>
      <c r="W1144" s="44"/>
      <c r="X1144" s="44"/>
    </row>
    <row r="1145" spans="1:24" s="41" customFormat="1">
      <c r="A1145" s="42">
        <v>46306</v>
      </c>
      <c r="B1145" s="43" t="s">
        <v>964</v>
      </c>
      <c r="C1145" s="44"/>
      <c r="D1145" s="44"/>
      <c r="E1145" s="44"/>
      <c r="F1145" s="44"/>
      <c r="G1145" s="44"/>
      <c r="H1145" s="44"/>
      <c r="I1145" s="44"/>
      <c r="J1145" s="44"/>
      <c r="K1145" s="44"/>
      <c r="L1145" s="44"/>
      <c r="M1145" s="44">
        <f t="shared" si="18"/>
        <v>0</v>
      </c>
      <c r="N1145" s="45"/>
      <c r="O1145" s="44"/>
      <c r="P1145" s="44"/>
      <c r="Q1145" s="44"/>
      <c r="R1145" s="44"/>
      <c r="S1145" s="44"/>
      <c r="T1145" s="44"/>
      <c r="U1145" s="44"/>
      <c r="V1145" s="44"/>
      <c r="W1145" s="44"/>
      <c r="X1145" s="44"/>
    </row>
    <row r="1146" spans="1:24" s="41" customFormat="1">
      <c r="A1146" s="42">
        <v>46307</v>
      </c>
      <c r="B1146" s="43" t="s">
        <v>964</v>
      </c>
      <c r="C1146" s="44"/>
      <c r="D1146" s="44"/>
      <c r="E1146" s="44"/>
      <c r="F1146" s="44"/>
      <c r="G1146" s="44"/>
      <c r="H1146" s="44"/>
      <c r="I1146" s="44"/>
      <c r="J1146" s="44"/>
      <c r="K1146" s="44"/>
      <c r="L1146" s="44"/>
      <c r="M1146" s="44">
        <f t="shared" si="18"/>
        <v>0</v>
      </c>
      <c r="N1146" s="45"/>
      <c r="O1146" s="44"/>
      <c r="P1146" s="44"/>
      <c r="Q1146" s="44"/>
      <c r="R1146" s="44"/>
      <c r="S1146" s="44"/>
      <c r="T1146" s="44"/>
      <c r="U1146" s="44"/>
      <c r="V1146" s="44"/>
      <c r="W1146" s="44"/>
      <c r="X1146" s="44"/>
    </row>
    <row r="1147" spans="1:24" s="41" customFormat="1">
      <c r="A1147" s="42">
        <v>46308</v>
      </c>
      <c r="B1147" s="43" t="s">
        <v>964</v>
      </c>
      <c r="C1147" s="44"/>
      <c r="D1147" s="44"/>
      <c r="E1147" s="44"/>
      <c r="F1147" s="44"/>
      <c r="G1147" s="44"/>
      <c r="H1147" s="44"/>
      <c r="I1147" s="44"/>
      <c r="J1147" s="44"/>
      <c r="K1147" s="44"/>
      <c r="L1147" s="44"/>
      <c r="M1147" s="44">
        <f t="shared" si="18"/>
        <v>0</v>
      </c>
      <c r="N1147" s="45"/>
      <c r="O1147" s="44"/>
      <c r="P1147" s="44"/>
      <c r="Q1147" s="44"/>
      <c r="R1147" s="44"/>
      <c r="S1147" s="44"/>
      <c r="T1147" s="44"/>
      <c r="U1147" s="44"/>
      <c r="V1147" s="44"/>
      <c r="W1147" s="44"/>
      <c r="X1147" s="44"/>
    </row>
    <row r="1148" spans="1:24" s="41" customFormat="1">
      <c r="A1148" s="42">
        <v>46309</v>
      </c>
      <c r="B1148" s="43" t="s">
        <v>964</v>
      </c>
      <c r="C1148" s="44"/>
      <c r="D1148" s="44"/>
      <c r="E1148" s="44"/>
      <c r="F1148" s="44"/>
      <c r="G1148" s="44"/>
      <c r="H1148" s="44"/>
      <c r="I1148" s="44"/>
      <c r="J1148" s="44"/>
      <c r="K1148" s="44"/>
      <c r="L1148" s="44"/>
      <c r="M1148" s="44">
        <f t="shared" si="18"/>
        <v>0</v>
      </c>
      <c r="N1148" s="45"/>
      <c r="O1148" s="44"/>
      <c r="P1148" s="44"/>
      <c r="Q1148" s="44"/>
      <c r="R1148" s="44"/>
      <c r="S1148" s="44"/>
      <c r="T1148" s="44"/>
      <c r="U1148" s="44"/>
      <c r="V1148" s="44"/>
      <c r="W1148" s="44"/>
      <c r="X1148" s="44"/>
    </row>
    <row r="1149" spans="1:24" s="41" customFormat="1">
      <c r="A1149" s="42">
        <v>46310</v>
      </c>
      <c r="B1149" s="43" t="s">
        <v>964</v>
      </c>
      <c r="C1149" s="44"/>
      <c r="D1149" s="44"/>
      <c r="E1149" s="44"/>
      <c r="F1149" s="44"/>
      <c r="G1149" s="44"/>
      <c r="H1149" s="44"/>
      <c r="I1149" s="44"/>
      <c r="J1149" s="44"/>
      <c r="K1149" s="44"/>
      <c r="L1149" s="44"/>
      <c r="M1149" s="44">
        <f t="shared" si="18"/>
        <v>0</v>
      </c>
      <c r="N1149" s="45"/>
      <c r="O1149" s="44"/>
      <c r="P1149" s="44"/>
      <c r="Q1149" s="44"/>
      <c r="R1149" s="44"/>
      <c r="S1149" s="44"/>
      <c r="T1149" s="44"/>
      <c r="U1149" s="44"/>
      <c r="V1149" s="44"/>
      <c r="W1149" s="44"/>
      <c r="X1149" s="44"/>
    </row>
    <row r="1150" spans="1:24" s="41" customFormat="1">
      <c r="A1150" s="42">
        <v>46311</v>
      </c>
      <c r="B1150" s="43" t="s">
        <v>964</v>
      </c>
      <c r="C1150" s="44"/>
      <c r="D1150" s="44"/>
      <c r="E1150" s="44"/>
      <c r="F1150" s="44"/>
      <c r="G1150" s="44"/>
      <c r="H1150" s="44"/>
      <c r="I1150" s="44"/>
      <c r="J1150" s="44"/>
      <c r="K1150" s="44"/>
      <c r="L1150" s="44"/>
      <c r="M1150" s="44">
        <f t="shared" si="18"/>
        <v>0</v>
      </c>
      <c r="N1150" s="45"/>
      <c r="O1150" s="44"/>
      <c r="P1150" s="44"/>
      <c r="Q1150" s="44"/>
      <c r="R1150" s="44"/>
      <c r="S1150" s="44"/>
      <c r="T1150" s="44"/>
      <c r="U1150" s="44"/>
      <c r="V1150" s="44"/>
      <c r="W1150" s="44"/>
      <c r="X1150" s="44"/>
    </row>
    <row r="1151" spans="1:24" s="41" customFormat="1">
      <c r="A1151" s="42">
        <v>46312</v>
      </c>
      <c r="B1151" s="43" t="s">
        <v>964</v>
      </c>
      <c r="C1151" s="44"/>
      <c r="D1151" s="44"/>
      <c r="E1151" s="44"/>
      <c r="F1151" s="44"/>
      <c r="G1151" s="44"/>
      <c r="H1151" s="44"/>
      <c r="I1151" s="44"/>
      <c r="J1151" s="44"/>
      <c r="K1151" s="44"/>
      <c r="L1151" s="44"/>
      <c r="M1151" s="44">
        <f t="shared" si="18"/>
        <v>0</v>
      </c>
      <c r="N1151" s="45"/>
      <c r="O1151" s="44"/>
      <c r="P1151" s="44"/>
      <c r="Q1151" s="44"/>
      <c r="R1151" s="44"/>
      <c r="S1151" s="44"/>
      <c r="T1151" s="44"/>
      <c r="U1151" s="44"/>
      <c r="V1151" s="44"/>
      <c r="W1151" s="44"/>
      <c r="X1151" s="44"/>
    </row>
    <row r="1152" spans="1:24" s="41" customFormat="1">
      <c r="A1152" s="42">
        <v>46313</v>
      </c>
      <c r="B1152" s="43" t="s">
        <v>964</v>
      </c>
      <c r="C1152" s="44"/>
      <c r="D1152" s="44"/>
      <c r="E1152" s="44"/>
      <c r="F1152" s="44"/>
      <c r="G1152" s="44"/>
      <c r="H1152" s="44"/>
      <c r="I1152" s="44"/>
      <c r="J1152" s="44"/>
      <c r="K1152" s="44"/>
      <c r="L1152" s="44"/>
      <c r="M1152" s="44">
        <f t="shared" si="18"/>
        <v>0</v>
      </c>
      <c r="N1152" s="45"/>
      <c r="O1152" s="44"/>
      <c r="P1152" s="44"/>
      <c r="Q1152" s="44"/>
      <c r="R1152" s="44"/>
      <c r="S1152" s="44"/>
      <c r="T1152" s="44"/>
      <c r="U1152" s="44"/>
      <c r="V1152" s="44"/>
      <c r="W1152" s="44"/>
      <c r="X1152" s="44"/>
    </row>
    <row r="1153" spans="1:24" s="41" customFormat="1">
      <c r="A1153" s="42">
        <v>46314</v>
      </c>
      <c r="B1153" s="43" t="s">
        <v>964</v>
      </c>
      <c r="C1153" s="44"/>
      <c r="D1153" s="44"/>
      <c r="E1153" s="44"/>
      <c r="F1153" s="44"/>
      <c r="G1153" s="44"/>
      <c r="H1153" s="44"/>
      <c r="I1153" s="44"/>
      <c r="J1153" s="44"/>
      <c r="K1153" s="44"/>
      <c r="L1153" s="44"/>
      <c r="M1153" s="44">
        <f t="shared" si="18"/>
        <v>0</v>
      </c>
      <c r="N1153" s="45"/>
      <c r="O1153" s="44"/>
      <c r="P1153" s="44"/>
      <c r="Q1153" s="44"/>
      <c r="R1153" s="44"/>
      <c r="S1153" s="44"/>
      <c r="T1153" s="44"/>
      <c r="U1153" s="44"/>
      <c r="V1153" s="44"/>
      <c r="W1153" s="44"/>
      <c r="X1153" s="44"/>
    </row>
    <row r="1154" spans="1:24" s="41" customFormat="1">
      <c r="A1154" s="42">
        <v>46315</v>
      </c>
      <c r="B1154" s="43" t="s">
        <v>964</v>
      </c>
      <c r="C1154" s="44"/>
      <c r="D1154" s="44"/>
      <c r="E1154" s="44"/>
      <c r="F1154" s="44"/>
      <c r="G1154" s="44"/>
      <c r="H1154" s="44"/>
      <c r="I1154" s="44"/>
      <c r="J1154" s="44"/>
      <c r="K1154" s="44"/>
      <c r="L1154" s="44"/>
      <c r="M1154" s="44">
        <f t="shared" si="18"/>
        <v>0</v>
      </c>
      <c r="N1154" s="45"/>
      <c r="O1154" s="44"/>
      <c r="P1154" s="44"/>
      <c r="Q1154" s="44"/>
      <c r="R1154" s="44"/>
      <c r="S1154" s="44"/>
      <c r="T1154" s="44"/>
      <c r="U1154" s="44"/>
      <c r="V1154" s="44"/>
      <c r="W1154" s="44"/>
      <c r="X1154" s="44"/>
    </row>
    <row r="1155" spans="1:24" s="41" customFormat="1">
      <c r="A1155" s="42">
        <v>46316</v>
      </c>
      <c r="B1155" s="43" t="s">
        <v>964</v>
      </c>
      <c r="C1155" s="44"/>
      <c r="D1155" s="44"/>
      <c r="E1155" s="44"/>
      <c r="F1155" s="44"/>
      <c r="G1155" s="44"/>
      <c r="H1155" s="44"/>
      <c r="I1155" s="44"/>
      <c r="J1155" s="44"/>
      <c r="K1155" s="44"/>
      <c r="L1155" s="44"/>
      <c r="M1155" s="44">
        <f t="shared" ref="M1155:M1218" si="19">N1155-SUM(C1155:L1155)</f>
        <v>0</v>
      </c>
      <c r="N1155" s="45"/>
      <c r="O1155" s="44"/>
      <c r="P1155" s="44"/>
      <c r="Q1155" s="44"/>
      <c r="R1155" s="44"/>
      <c r="S1155" s="44"/>
      <c r="T1155" s="44"/>
      <c r="U1155" s="44"/>
      <c r="V1155" s="44"/>
      <c r="W1155" s="44"/>
      <c r="X1155" s="44"/>
    </row>
    <row r="1156" spans="1:24" s="41" customFormat="1">
      <c r="A1156" s="42">
        <v>46317</v>
      </c>
      <c r="B1156" s="43" t="s">
        <v>964</v>
      </c>
      <c r="C1156" s="44"/>
      <c r="D1156" s="44"/>
      <c r="E1156" s="44"/>
      <c r="F1156" s="44"/>
      <c r="G1156" s="44"/>
      <c r="H1156" s="44"/>
      <c r="I1156" s="44"/>
      <c r="J1156" s="44"/>
      <c r="K1156" s="44"/>
      <c r="L1156" s="44"/>
      <c r="M1156" s="44">
        <f t="shared" si="19"/>
        <v>0</v>
      </c>
      <c r="N1156" s="45"/>
      <c r="O1156" s="44"/>
      <c r="P1156" s="44"/>
      <c r="Q1156" s="44"/>
      <c r="R1156" s="44"/>
      <c r="S1156" s="44"/>
      <c r="T1156" s="44"/>
      <c r="U1156" s="44"/>
      <c r="V1156" s="44"/>
      <c r="W1156" s="44"/>
      <c r="X1156" s="44"/>
    </row>
    <row r="1157" spans="1:24" s="41" customFormat="1">
      <c r="A1157" s="42">
        <v>46318</v>
      </c>
      <c r="B1157" s="43" t="s">
        <v>964</v>
      </c>
      <c r="C1157" s="44"/>
      <c r="D1157" s="44"/>
      <c r="E1157" s="44"/>
      <c r="F1157" s="44"/>
      <c r="G1157" s="44"/>
      <c r="H1157" s="44"/>
      <c r="I1157" s="44"/>
      <c r="J1157" s="44"/>
      <c r="K1157" s="44"/>
      <c r="L1157" s="44"/>
      <c r="M1157" s="44">
        <f t="shared" si="19"/>
        <v>0</v>
      </c>
      <c r="N1157" s="45"/>
      <c r="O1157" s="44"/>
      <c r="P1157" s="44"/>
      <c r="Q1157" s="44"/>
      <c r="R1157" s="44"/>
      <c r="S1157" s="44"/>
      <c r="T1157" s="44"/>
      <c r="U1157" s="44"/>
      <c r="V1157" s="44"/>
      <c r="W1157" s="44"/>
      <c r="X1157" s="44"/>
    </row>
    <row r="1158" spans="1:24" s="41" customFormat="1">
      <c r="A1158" s="42">
        <v>46319</v>
      </c>
      <c r="B1158" s="43" t="s">
        <v>964</v>
      </c>
      <c r="C1158" s="44"/>
      <c r="D1158" s="44"/>
      <c r="E1158" s="44"/>
      <c r="F1158" s="44"/>
      <c r="G1158" s="44"/>
      <c r="H1158" s="44"/>
      <c r="I1158" s="44"/>
      <c r="J1158" s="44"/>
      <c r="K1158" s="44"/>
      <c r="L1158" s="44"/>
      <c r="M1158" s="44">
        <f t="shared" si="19"/>
        <v>0</v>
      </c>
      <c r="N1158" s="45"/>
      <c r="O1158" s="44"/>
      <c r="P1158" s="44"/>
      <c r="Q1158" s="44"/>
      <c r="R1158" s="44"/>
      <c r="S1158" s="44"/>
      <c r="T1158" s="44"/>
      <c r="U1158" s="44"/>
      <c r="V1158" s="44"/>
      <c r="W1158" s="44"/>
      <c r="X1158" s="44"/>
    </row>
    <row r="1159" spans="1:24" s="41" customFormat="1">
      <c r="A1159" s="42">
        <v>46320</v>
      </c>
      <c r="B1159" s="43" t="s">
        <v>964</v>
      </c>
      <c r="C1159" s="44"/>
      <c r="D1159" s="44"/>
      <c r="E1159" s="44"/>
      <c r="F1159" s="44"/>
      <c r="G1159" s="44"/>
      <c r="H1159" s="44"/>
      <c r="I1159" s="44"/>
      <c r="J1159" s="44"/>
      <c r="K1159" s="44"/>
      <c r="L1159" s="44"/>
      <c r="M1159" s="44">
        <f t="shared" si="19"/>
        <v>0</v>
      </c>
      <c r="N1159" s="45"/>
      <c r="O1159" s="44"/>
      <c r="P1159" s="44"/>
      <c r="Q1159" s="44"/>
      <c r="R1159" s="44"/>
      <c r="S1159" s="44"/>
      <c r="T1159" s="44"/>
      <c r="U1159" s="44"/>
      <c r="V1159" s="44"/>
      <c r="W1159" s="44"/>
      <c r="X1159" s="44"/>
    </row>
    <row r="1160" spans="1:24" s="41" customFormat="1">
      <c r="A1160" s="42">
        <v>46321</v>
      </c>
      <c r="B1160" s="43" t="s">
        <v>964</v>
      </c>
      <c r="C1160" s="44"/>
      <c r="D1160" s="44"/>
      <c r="E1160" s="44"/>
      <c r="F1160" s="44"/>
      <c r="G1160" s="44"/>
      <c r="H1160" s="44"/>
      <c r="I1160" s="44"/>
      <c r="J1160" s="44"/>
      <c r="K1160" s="44"/>
      <c r="L1160" s="44"/>
      <c r="M1160" s="44">
        <f t="shared" si="19"/>
        <v>0</v>
      </c>
      <c r="N1160" s="45"/>
      <c r="O1160" s="44"/>
      <c r="P1160" s="44"/>
      <c r="Q1160" s="44"/>
      <c r="R1160" s="44"/>
      <c r="S1160" s="44"/>
      <c r="T1160" s="44"/>
      <c r="U1160" s="44"/>
      <c r="V1160" s="44"/>
      <c r="W1160" s="44"/>
      <c r="X1160" s="44"/>
    </row>
    <row r="1161" spans="1:24" s="41" customFormat="1">
      <c r="A1161" s="42">
        <v>46322</v>
      </c>
      <c r="B1161" s="43" t="s">
        <v>964</v>
      </c>
      <c r="C1161" s="44"/>
      <c r="D1161" s="44"/>
      <c r="E1161" s="44"/>
      <c r="F1161" s="44"/>
      <c r="G1161" s="44"/>
      <c r="H1161" s="44"/>
      <c r="I1161" s="44"/>
      <c r="J1161" s="44"/>
      <c r="K1161" s="44"/>
      <c r="L1161" s="44"/>
      <c r="M1161" s="44">
        <f t="shared" si="19"/>
        <v>0</v>
      </c>
      <c r="N1161" s="45"/>
      <c r="O1161" s="44"/>
      <c r="P1161" s="44"/>
      <c r="Q1161" s="44"/>
      <c r="R1161" s="44"/>
      <c r="S1161" s="44"/>
      <c r="T1161" s="44"/>
      <c r="U1161" s="44"/>
      <c r="V1161" s="44"/>
      <c r="W1161" s="44"/>
      <c r="X1161" s="44"/>
    </row>
    <row r="1162" spans="1:24" s="41" customFormat="1">
      <c r="A1162" s="42">
        <v>46323</v>
      </c>
      <c r="B1162" s="43" t="s">
        <v>964</v>
      </c>
      <c r="C1162" s="44"/>
      <c r="D1162" s="44"/>
      <c r="E1162" s="44"/>
      <c r="F1162" s="44"/>
      <c r="G1162" s="44"/>
      <c r="H1162" s="44"/>
      <c r="I1162" s="44"/>
      <c r="J1162" s="44"/>
      <c r="K1162" s="44"/>
      <c r="L1162" s="44"/>
      <c r="M1162" s="44">
        <f t="shared" si="19"/>
        <v>0</v>
      </c>
      <c r="N1162" s="45"/>
      <c r="O1162" s="44"/>
      <c r="P1162" s="44"/>
      <c r="Q1162" s="44"/>
      <c r="R1162" s="44"/>
      <c r="S1162" s="44"/>
      <c r="T1162" s="44"/>
      <c r="U1162" s="44"/>
      <c r="V1162" s="44"/>
      <c r="W1162" s="44"/>
      <c r="X1162" s="44"/>
    </row>
    <row r="1163" spans="1:24" s="41" customFormat="1">
      <c r="A1163" s="42">
        <v>46324</v>
      </c>
      <c r="B1163" s="43" t="s">
        <v>964</v>
      </c>
      <c r="C1163" s="44"/>
      <c r="D1163" s="44"/>
      <c r="E1163" s="44"/>
      <c r="F1163" s="44"/>
      <c r="G1163" s="44"/>
      <c r="H1163" s="44"/>
      <c r="I1163" s="44"/>
      <c r="J1163" s="44"/>
      <c r="K1163" s="44"/>
      <c r="L1163" s="44"/>
      <c r="M1163" s="44">
        <f t="shared" si="19"/>
        <v>0</v>
      </c>
      <c r="N1163" s="45"/>
      <c r="O1163" s="44"/>
      <c r="P1163" s="44"/>
      <c r="Q1163" s="44"/>
      <c r="R1163" s="44"/>
      <c r="S1163" s="44"/>
      <c r="T1163" s="44"/>
      <c r="U1163" s="44"/>
      <c r="V1163" s="44"/>
      <c r="W1163" s="44"/>
      <c r="X1163" s="44"/>
    </row>
    <row r="1164" spans="1:24" s="41" customFormat="1">
      <c r="A1164" s="42">
        <v>46325</v>
      </c>
      <c r="B1164" s="43" t="s">
        <v>964</v>
      </c>
      <c r="C1164" s="44"/>
      <c r="D1164" s="44"/>
      <c r="E1164" s="44"/>
      <c r="F1164" s="44"/>
      <c r="G1164" s="44"/>
      <c r="H1164" s="44"/>
      <c r="I1164" s="44"/>
      <c r="J1164" s="44"/>
      <c r="K1164" s="44"/>
      <c r="L1164" s="44"/>
      <c r="M1164" s="44">
        <f t="shared" si="19"/>
        <v>0</v>
      </c>
      <c r="N1164" s="45"/>
      <c r="O1164" s="44"/>
      <c r="P1164" s="44"/>
      <c r="Q1164" s="44"/>
      <c r="R1164" s="44"/>
      <c r="S1164" s="44"/>
      <c r="T1164" s="44"/>
      <c r="U1164" s="44"/>
      <c r="V1164" s="44"/>
      <c r="W1164" s="44"/>
      <c r="X1164" s="44"/>
    </row>
    <row r="1165" spans="1:24" s="41" customFormat="1">
      <c r="A1165" s="42">
        <v>46326</v>
      </c>
      <c r="B1165" s="43" t="s">
        <v>964</v>
      </c>
      <c r="C1165" s="44"/>
      <c r="D1165" s="44"/>
      <c r="E1165" s="44"/>
      <c r="F1165" s="44"/>
      <c r="G1165" s="44"/>
      <c r="H1165" s="44"/>
      <c r="I1165" s="44"/>
      <c r="J1165" s="44"/>
      <c r="K1165" s="44"/>
      <c r="L1165" s="44"/>
      <c r="M1165" s="44">
        <f t="shared" si="19"/>
        <v>0</v>
      </c>
      <c r="N1165" s="45"/>
      <c r="O1165" s="44"/>
      <c r="P1165" s="44"/>
      <c r="Q1165" s="44"/>
      <c r="R1165" s="44"/>
      <c r="S1165" s="44"/>
      <c r="T1165" s="44"/>
      <c r="U1165" s="44"/>
      <c r="V1165" s="44"/>
      <c r="W1165" s="44"/>
      <c r="X1165" s="44"/>
    </row>
    <row r="1166" spans="1:24" s="41" customFormat="1">
      <c r="A1166" s="42">
        <v>46327</v>
      </c>
      <c r="B1166" s="43" t="s">
        <v>964</v>
      </c>
      <c r="C1166" s="44"/>
      <c r="D1166" s="44"/>
      <c r="E1166" s="44"/>
      <c r="F1166" s="44"/>
      <c r="G1166" s="44"/>
      <c r="H1166" s="44"/>
      <c r="I1166" s="44"/>
      <c r="J1166" s="44"/>
      <c r="K1166" s="44"/>
      <c r="L1166" s="44"/>
      <c r="M1166" s="44">
        <f t="shared" si="19"/>
        <v>0</v>
      </c>
      <c r="N1166" s="45"/>
      <c r="O1166" s="44"/>
      <c r="P1166" s="44"/>
      <c r="Q1166" s="44"/>
      <c r="R1166" s="44"/>
      <c r="S1166" s="44"/>
      <c r="T1166" s="44"/>
      <c r="U1166" s="44"/>
      <c r="V1166" s="44"/>
      <c r="W1166" s="44"/>
      <c r="X1166" s="44"/>
    </row>
    <row r="1167" spans="1:24" s="41" customFormat="1">
      <c r="A1167" s="42">
        <v>46328</v>
      </c>
      <c r="B1167" s="43" t="s">
        <v>964</v>
      </c>
      <c r="C1167" s="44"/>
      <c r="D1167" s="44"/>
      <c r="E1167" s="44"/>
      <c r="F1167" s="44"/>
      <c r="G1167" s="44"/>
      <c r="H1167" s="44"/>
      <c r="I1167" s="44"/>
      <c r="J1167" s="44"/>
      <c r="K1167" s="44"/>
      <c r="L1167" s="44"/>
      <c r="M1167" s="44">
        <f t="shared" si="19"/>
        <v>0</v>
      </c>
      <c r="N1167" s="45"/>
      <c r="O1167" s="44"/>
      <c r="P1167" s="44"/>
      <c r="Q1167" s="44"/>
      <c r="R1167" s="44"/>
      <c r="S1167" s="44"/>
      <c r="T1167" s="44"/>
      <c r="U1167" s="44"/>
      <c r="V1167" s="44"/>
      <c r="W1167" s="44"/>
      <c r="X1167" s="44"/>
    </row>
    <row r="1168" spans="1:24" s="41" customFormat="1">
      <c r="A1168" s="42">
        <v>46329</v>
      </c>
      <c r="B1168" s="43" t="s">
        <v>964</v>
      </c>
      <c r="C1168" s="44"/>
      <c r="D1168" s="44"/>
      <c r="E1168" s="44"/>
      <c r="F1168" s="44"/>
      <c r="G1168" s="44"/>
      <c r="H1168" s="44"/>
      <c r="I1168" s="44"/>
      <c r="J1168" s="44"/>
      <c r="K1168" s="44"/>
      <c r="L1168" s="44"/>
      <c r="M1168" s="44">
        <f t="shared" si="19"/>
        <v>0</v>
      </c>
      <c r="N1168" s="45"/>
      <c r="O1168" s="44"/>
      <c r="P1168" s="44"/>
      <c r="Q1168" s="44"/>
      <c r="R1168" s="44"/>
      <c r="S1168" s="44"/>
      <c r="T1168" s="44"/>
      <c r="U1168" s="44"/>
      <c r="V1168" s="44"/>
      <c r="W1168" s="44"/>
      <c r="X1168" s="44"/>
    </row>
    <row r="1169" spans="1:24" s="41" customFormat="1">
      <c r="A1169" s="42">
        <v>46330</v>
      </c>
      <c r="B1169" s="43" t="s">
        <v>964</v>
      </c>
      <c r="C1169" s="44"/>
      <c r="D1169" s="44"/>
      <c r="E1169" s="44"/>
      <c r="F1169" s="44"/>
      <c r="G1169" s="44"/>
      <c r="H1169" s="44"/>
      <c r="I1169" s="44"/>
      <c r="J1169" s="44"/>
      <c r="K1169" s="44"/>
      <c r="L1169" s="44"/>
      <c r="M1169" s="44">
        <f t="shared" si="19"/>
        <v>0</v>
      </c>
      <c r="N1169" s="45"/>
      <c r="O1169" s="44"/>
      <c r="P1169" s="44"/>
      <c r="Q1169" s="44"/>
      <c r="R1169" s="44"/>
      <c r="S1169" s="44"/>
      <c r="T1169" s="44"/>
      <c r="U1169" s="44"/>
      <c r="V1169" s="44"/>
      <c r="W1169" s="44"/>
      <c r="X1169" s="44"/>
    </row>
    <row r="1170" spans="1:24" s="41" customFormat="1">
      <c r="A1170" s="42">
        <v>46331</v>
      </c>
      <c r="B1170" s="43" t="s">
        <v>964</v>
      </c>
      <c r="C1170" s="44"/>
      <c r="D1170" s="44"/>
      <c r="E1170" s="44"/>
      <c r="F1170" s="44"/>
      <c r="G1170" s="44"/>
      <c r="H1170" s="44"/>
      <c r="I1170" s="44"/>
      <c r="J1170" s="44"/>
      <c r="K1170" s="44"/>
      <c r="L1170" s="44"/>
      <c r="M1170" s="44">
        <f t="shared" si="19"/>
        <v>0</v>
      </c>
      <c r="N1170" s="45"/>
      <c r="O1170" s="44"/>
      <c r="P1170" s="44"/>
      <c r="Q1170" s="44"/>
      <c r="R1170" s="44"/>
      <c r="S1170" s="44"/>
      <c r="T1170" s="44"/>
      <c r="U1170" s="44"/>
      <c r="V1170" s="44"/>
      <c r="W1170" s="44"/>
      <c r="X1170" s="44"/>
    </row>
    <row r="1171" spans="1:24" s="41" customFormat="1">
      <c r="A1171" s="42">
        <v>46332</v>
      </c>
      <c r="B1171" s="43" t="s">
        <v>964</v>
      </c>
      <c r="C1171" s="44"/>
      <c r="D1171" s="44"/>
      <c r="E1171" s="44"/>
      <c r="F1171" s="44"/>
      <c r="G1171" s="44"/>
      <c r="H1171" s="44"/>
      <c r="I1171" s="44"/>
      <c r="J1171" s="44"/>
      <c r="K1171" s="44"/>
      <c r="L1171" s="44"/>
      <c r="M1171" s="44">
        <f t="shared" si="19"/>
        <v>0</v>
      </c>
      <c r="N1171" s="45"/>
      <c r="O1171" s="44"/>
      <c r="P1171" s="44"/>
      <c r="Q1171" s="44"/>
      <c r="R1171" s="44"/>
      <c r="S1171" s="44"/>
      <c r="T1171" s="44"/>
      <c r="U1171" s="44"/>
      <c r="V1171" s="44"/>
      <c r="W1171" s="44"/>
      <c r="X1171" s="44"/>
    </row>
    <row r="1172" spans="1:24" s="41" customFormat="1">
      <c r="A1172" s="42">
        <v>46333</v>
      </c>
      <c r="B1172" s="43" t="s">
        <v>964</v>
      </c>
      <c r="C1172" s="44"/>
      <c r="D1172" s="44"/>
      <c r="E1172" s="44"/>
      <c r="F1172" s="44"/>
      <c r="G1172" s="44"/>
      <c r="H1172" s="44"/>
      <c r="I1172" s="44"/>
      <c r="J1172" s="44"/>
      <c r="K1172" s="44"/>
      <c r="L1172" s="44"/>
      <c r="M1172" s="44">
        <f t="shared" si="19"/>
        <v>0</v>
      </c>
      <c r="N1172" s="45"/>
      <c r="O1172" s="44"/>
      <c r="P1172" s="44"/>
      <c r="Q1172" s="44"/>
      <c r="R1172" s="44"/>
      <c r="S1172" s="44"/>
      <c r="T1172" s="44"/>
      <c r="U1172" s="44"/>
      <c r="V1172" s="44"/>
      <c r="W1172" s="44"/>
      <c r="X1172" s="44"/>
    </row>
    <row r="1173" spans="1:24" s="41" customFormat="1">
      <c r="A1173" s="42">
        <v>46334</v>
      </c>
      <c r="B1173" s="43" t="s">
        <v>964</v>
      </c>
      <c r="C1173" s="44"/>
      <c r="D1173" s="44"/>
      <c r="E1173" s="44"/>
      <c r="F1173" s="44"/>
      <c r="G1173" s="44"/>
      <c r="H1173" s="44"/>
      <c r="I1173" s="44"/>
      <c r="J1173" s="44"/>
      <c r="K1173" s="44"/>
      <c r="L1173" s="44"/>
      <c r="M1173" s="44">
        <f t="shared" si="19"/>
        <v>0</v>
      </c>
      <c r="N1173" s="45"/>
      <c r="O1173" s="44"/>
      <c r="P1173" s="44"/>
      <c r="Q1173" s="44"/>
      <c r="R1173" s="44"/>
      <c r="S1173" s="44"/>
      <c r="T1173" s="44"/>
      <c r="U1173" s="44"/>
      <c r="V1173" s="44"/>
      <c r="W1173" s="44"/>
      <c r="X1173" s="44"/>
    </row>
    <row r="1174" spans="1:24" s="41" customFormat="1">
      <c r="A1174" s="42">
        <v>46335</v>
      </c>
      <c r="B1174" s="43" t="s">
        <v>964</v>
      </c>
      <c r="C1174" s="44"/>
      <c r="D1174" s="44"/>
      <c r="E1174" s="44"/>
      <c r="F1174" s="44"/>
      <c r="G1174" s="44"/>
      <c r="H1174" s="44"/>
      <c r="I1174" s="44"/>
      <c r="J1174" s="44"/>
      <c r="K1174" s="44"/>
      <c r="L1174" s="44"/>
      <c r="M1174" s="44">
        <f t="shared" si="19"/>
        <v>0</v>
      </c>
      <c r="N1174" s="45"/>
      <c r="O1174" s="44"/>
      <c r="P1174" s="44"/>
      <c r="Q1174" s="44"/>
      <c r="R1174" s="44"/>
      <c r="S1174" s="44"/>
      <c r="T1174" s="44"/>
      <c r="U1174" s="44"/>
      <c r="V1174" s="44"/>
      <c r="W1174" s="44"/>
      <c r="X1174" s="44"/>
    </row>
    <row r="1175" spans="1:24" s="41" customFormat="1">
      <c r="A1175" s="42">
        <v>46336</v>
      </c>
      <c r="B1175" s="43" t="s">
        <v>964</v>
      </c>
      <c r="C1175" s="44"/>
      <c r="D1175" s="44"/>
      <c r="E1175" s="44"/>
      <c r="F1175" s="44"/>
      <c r="G1175" s="44"/>
      <c r="H1175" s="44"/>
      <c r="I1175" s="44"/>
      <c r="J1175" s="44"/>
      <c r="K1175" s="44"/>
      <c r="L1175" s="44"/>
      <c r="M1175" s="44">
        <f t="shared" si="19"/>
        <v>0</v>
      </c>
      <c r="N1175" s="45"/>
      <c r="O1175" s="44"/>
      <c r="P1175" s="44"/>
      <c r="Q1175" s="44"/>
      <c r="R1175" s="44"/>
      <c r="S1175" s="44"/>
      <c r="T1175" s="44"/>
      <c r="U1175" s="44"/>
      <c r="V1175" s="44"/>
      <c r="W1175" s="44"/>
      <c r="X1175" s="44"/>
    </row>
    <row r="1176" spans="1:24" s="41" customFormat="1">
      <c r="A1176" s="42">
        <v>46337</v>
      </c>
      <c r="B1176" s="43" t="s">
        <v>964</v>
      </c>
      <c r="C1176" s="44"/>
      <c r="D1176" s="44"/>
      <c r="E1176" s="44"/>
      <c r="F1176" s="44"/>
      <c r="G1176" s="44"/>
      <c r="H1176" s="44"/>
      <c r="I1176" s="44"/>
      <c r="J1176" s="44"/>
      <c r="K1176" s="44"/>
      <c r="L1176" s="44"/>
      <c r="M1176" s="44">
        <f t="shared" si="19"/>
        <v>0</v>
      </c>
      <c r="N1176" s="45"/>
      <c r="O1176" s="44"/>
      <c r="P1176" s="44"/>
      <c r="Q1176" s="44"/>
      <c r="R1176" s="44"/>
      <c r="S1176" s="44"/>
      <c r="T1176" s="44"/>
      <c r="U1176" s="44"/>
      <c r="V1176" s="44"/>
      <c r="W1176" s="44"/>
      <c r="X1176" s="44"/>
    </row>
    <row r="1177" spans="1:24" s="41" customFormat="1">
      <c r="A1177" s="42">
        <v>46338</v>
      </c>
      <c r="B1177" s="43" t="s">
        <v>964</v>
      </c>
      <c r="C1177" s="44"/>
      <c r="D1177" s="44"/>
      <c r="E1177" s="44"/>
      <c r="F1177" s="44"/>
      <c r="G1177" s="44"/>
      <c r="H1177" s="44"/>
      <c r="I1177" s="44"/>
      <c r="J1177" s="44"/>
      <c r="K1177" s="44"/>
      <c r="L1177" s="44"/>
      <c r="M1177" s="44">
        <f t="shared" si="19"/>
        <v>0</v>
      </c>
      <c r="N1177" s="45"/>
      <c r="O1177" s="44"/>
      <c r="P1177" s="44"/>
      <c r="Q1177" s="44"/>
      <c r="R1177" s="44"/>
      <c r="S1177" s="44"/>
      <c r="T1177" s="44"/>
      <c r="U1177" s="44"/>
      <c r="V1177" s="44"/>
      <c r="W1177" s="44"/>
      <c r="X1177" s="44"/>
    </row>
    <row r="1178" spans="1:24" s="41" customFormat="1">
      <c r="A1178" s="42">
        <v>46339</v>
      </c>
      <c r="B1178" s="43" t="s">
        <v>964</v>
      </c>
      <c r="C1178" s="44"/>
      <c r="D1178" s="44"/>
      <c r="E1178" s="44"/>
      <c r="F1178" s="44"/>
      <c r="G1178" s="44"/>
      <c r="H1178" s="44"/>
      <c r="I1178" s="44"/>
      <c r="J1178" s="44"/>
      <c r="K1178" s="44"/>
      <c r="L1178" s="44"/>
      <c r="M1178" s="44">
        <f t="shared" si="19"/>
        <v>0</v>
      </c>
      <c r="N1178" s="45"/>
      <c r="O1178" s="44"/>
      <c r="P1178" s="44"/>
      <c r="Q1178" s="44"/>
      <c r="R1178" s="44"/>
      <c r="S1178" s="44"/>
      <c r="T1178" s="44"/>
      <c r="U1178" s="44"/>
      <c r="V1178" s="44"/>
      <c r="W1178" s="44"/>
      <c r="X1178" s="44"/>
    </row>
    <row r="1179" spans="1:24" s="41" customFormat="1">
      <c r="A1179" s="42">
        <v>46340</v>
      </c>
      <c r="B1179" s="43" t="s">
        <v>964</v>
      </c>
      <c r="C1179" s="44"/>
      <c r="D1179" s="44"/>
      <c r="E1179" s="44"/>
      <c r="F1179" s="44"/>
      <c r="G1179" s="44"/>
      <c r="H1179" s="44"/>
      <c r="I1179" s="44"/>
      <c r="J1179" s="44"/>
      <c r="K1179" s="44"/>
      <c r="L1179" s="44"/>
      <c r="M1179" s="44">
        <f t="shared" si="19"/>
        <v>0</v>
      </c>
      <c r="N1179" s="45"/>
      <c r="O1179" s="44"/>
      <c r="P1179" s="44"/>
      <c r="Q1179" s="44"/>
      <c r="R1179" s="44"/>
      <c r="S1179" s="44"/>
      <c r="T1179" s="44"/>
      <c r="U1179" s="44"/>
      <c r="V1179" s="44"/>
      <c r="W1179" s="44"/>
      <c r="X1179" s="44"/>
    </row>
    <row r="1180" spans="1:24" s="41" customFormat="1">
      <c r="A1180" s="42">
        <v>46341</v>
      </c>
      <c r="B1180" s="43" t="s">
        <v>964</v>
      </c>
      <c r="C1180" s="44"/>
      <c r="D1180" s="44"/>
      <c r="E1180" s="44"/>
      <c r="F1180" s="44"/>
      <c r="G1180" s="44"/>
      <c r="H1180" s="44"/>
      <c r="I1180" s="44"/>
      <c r="J1180" s="44"/>
      <c r="K1180" s="44"/>
      <c r="L1180" s="44"/>
      <c r="M1180" s="44">
        <f t="shared" si="19"/>
        <v>0</v>
      </c>
      <c r="N1180" s="45"/>
      <c r="O1180" s="44"/>
      <c r="P1180" s="44"/>
      <c r="Q1180" s="44"/>
      <c r="R1180" s="44"/>
      <c r="S1180" s="44"/>
      <c r="T1180" s="44"/>
      <c r="U1180" s="44"/>
      <c r="V1180" s="44"/>
      <c r="W1180" s="44"/>
      <c r="X1180" s="44"/>
    </row>
    <row r="1181" spans="1:24" s="41" customFormat="1">
      <c r="A1181" s="42">
        <v>46342</v>
      </c>
      <c r="B1181" s="43" t="s">
        <v>964</v>
      </c>
      <c r="C1181" s="44"/>
      <c r="D1181" s="44"/>
      <c r="E1181" s="44"/>
      <c r="F1181" s="44"/>
      <c r="G1181" s="44"/>
      <c r="H1181" s="44"/>
      <c r="I1181" s="44"/>
      <c r="J1181" s="44"/>
      <c r="K1181" s="44"/>
      <c r="L1181" s="44"/>
      <c r="M1181" s="44">
        <f t="shared" si="19"/>
        <v>0</v>
      </c>
      <c r="N1181" s="45"/>
      <c r="O1181" s="44"/>
      <c r="P1181" s="44"/>
      <c r="Q1181" s="44"/>
      <c r="R1181" s="44"/>
      <c r="S1181" s="44"/>
      <c r="T1181" s="44"/>
      <c r="U1181" s="44"/>
      <c r="V1181" s="44"/>
      <c r="W1181" s="44"/>
      <c r="X1181" s="44"/>
    </row>
    <row r="1182" spans="1:24" s="41" customFormat="1">
      <c r="A1182" s="42">
        <v>46343</v>
      </c>
      <c r="B1182" s="43" t="s">
        <v>964</v>
      </c>
      <c r="C1182" s="44"/>
      <c r="D1182" s="44"/>
      <c r="E1182" s="44"/>
      <c r="F1182" s="44"/>
      <c r="G1182" s="44"/>
      <c r="H1182" s="44"/>
      <c r="I1182" s="44"/>
      <c r="J1182" s="44"/>
      <c r="K1182" s="44"/>
      <c r="L1182" s="44"/>
      <c r="M1182" s="44">
        <f t="shared" si="19"/>
        <v>0</v>
      </c>
      <c r="N1182" s="45"/>
      <c r="O1182" s="44"/>
      <c r="P1182" s="44"/>
      <c r="Q1182" s="44"/>
      <c r="R1182" s="44"/>
      <c r="S1182" s="44"/>
      <c r="T1182" s="44"/>
      <c r="U1182" s="44"/>
      <c r="V1182" s="44"/>
      <c r="W1182" s="44"/>
      <c r="X1182" s="44"/>
    </row>
    <row r="1183" spans="1:24" s="41" customFormat="1">
      <c r="A1183" s="42">
        <v>46344</v>
      </c>
      <c r="B1183" s="43" t="s">
        <v>964</v>
      </c>
      <c r="C1183" s="44"/>
      <c r="D1183" s="44"/>
      <c r="E1183" s="44"/>
      <c r="F1183" s="44"/>
      <c r="G1183" s="44"/>
      <c r="H1183" s="44"/>
      <c r="I1183" s="44"/>
      <c r="J1183" s="44"/>
      <c r="K1183" s="44"/>
      <c r="L1183" s="44"/>
      <c r="M1183" s="44">
        <f t="shared" si="19"/>
        <v>0</v>
      </c>
      <c r="N1183" s="45"/>
      <c r="O1183" s="44"/>
      <c r="P1183" s="44"/>
      <c r="Q1183" s="44"/>
      <c r="R1183" s="44"/>
      <c r="S1183" s="44"/>
      <c r="T1183" s="44"/>
      <c r="U1183" s="44"/>
      <c r="V1183" s="44"/>
      <c r="W1183" s="44"/>
      <c r="X1183" s="44"/>
    </row>
    <row r="1184" spans="1:24" s="41" customFormat="1">
      <c r="A1184" s="42">
        <v>46345</v>
      </c>
      <c r="B1184" s="43" t="s">
        <v>964</v>
      </c>
      <c r="C1184" s="44"/>
      <c r="D1184" s="44"/>
      <c r="E1184" s="44"/>
      <c r="F1184" s="44"/>
      <c r="G1184" s="44"/>
      <c r="H1184" s="44"/>
      <c r="I1184" s="44"/>
      <c r="J1184" s="44"/>
      <c r="K1184" s="44"/>
      <c r="L1184" s="44"/>
      <c r="M1184" s="44">
        <f t="shared" si="19"/>
        <v>0</v>
      </c>
      <c r="N1184" s="45"/>
      <c r="O1184" s="44"/>
      <c r="P1184" s="44"/>
      <c r="Q1184" s="44"/>
      <c r="R1184" s="44"/>
      <c r="S1184" s="44"/>
      <c r="T1184" s="44"/>
      <c r="U1184" s="44"/>
      <c r="V1184" s="44"/>
      <c r="W1184" s="44"/>
      <c r="X1184" s="44"/>
    </row>
    <row r="1185" spans="1:24" s="41" customFormat="1">
      <c r="A1185" s="42">
        <v>46346</v>
      </c>
      <c r="B1185" s="43" t="s">
        <v>964</v>
      </c>
      <c r="C1185" s="44"/>
      <c r="D1185" s="44"/>
      <c r="E1185" s="44"/>
      <c r="F1185" s="44"/>
      <c r="G1185" s="44"/>
      <c r="H1185" s="44"/>
      <c r="I1185" s="44"/>
      <c r="J1185" s="44"/>
      <c r="K1185" s="44"/>
      <c r="L1185" s="44"/>
      <c r="M1185" s="44">
        <f t="shared" si="19"/>
        <v>0</v>
      </c>
      <c r="N1185" s="45"/>
      <c r="O1185" s="44"/>
      <c r="P1185" s="44"/>
      <c r="Q1185" s="44"/>
      <c r="R1185" s="44"/>
      <c r="S1185" s="44"/>
      <c r="T1185" s="44"/>
      <c r="U1185" s="44"/>
      <c r="V1185" s="44"/>
      <c r="W1185" s="44"/>
      <c r="X1185" s="44"/>
    </row>
    <row r="1186" spans="1:24" s="41" customFormat="1">
      <c r="A1186" s="42">
        <v>46347</v>
      </c>
      <c r="B1186" s="43" t="s">
        <v>964</v>
      </c>
      <c r="C1186" s="44"/>
      <c r="D1186" s="44"/>
      <c r="E1186" s="44"/>
      <c r="F1186" s="44"/>
      <c r="G1186" s="44"/>
      <c r="H1186" s="44"/>
      <c r="I1186" s="44"/>
      <c r="J1186" s="44"/>
      <c r="K1186" s="44"/>
      <c r="L1186" s="44"/>
      <c r="M1186" s="44">
        <f t="shared" si="19"/>
        <v>0</v>
      </c>
      <c r="N1186" s="45"/>
      <c r="O1186" s="44"/>
      <c r="P1186" s="44"/>
      <c r="Q1186" s="44"/>
      <c r="R1186" s="44"/>
      <c r="S1186" s="44"/>
      <c r="T1186" s="44"/>
      <c r="U1186" s="44"/>
      <c r="V1186" s="44"/>
      <c r="W1186" s="44"/>
      <c r="X1186" s="44"/>
    </row>
    <row r="1187" spans="1:24" s="41" customFormat="1">
      <c r="A1187" s="42">
        <v>46348</v>
      </c>
      <c r="B1187" s="43" t="s">
        <v>964</v>
      </c>
      <c r="C1187" s="44"/>
      <c r="D1187" s="44"/>
      <c r="E1187" s="44"/>
      <c r="F1187" s="44"/>
      <c r="G1187" s="44"/>
      <c r="H1187" s="44"/>
      <c r="I1187" s="44"/>
      <c r="J1187" s="44"/>
      <c r="K1187" s="44"/>
      <c r="L1187" s="44"/>
      <c r="M1187" s="44">
        <f t="shared" si="19"/>
        <v>0</v>
      </c>
      <c r="N1187" s="45"/>
      <c r="O1187" s="44"/>
      <c r="P1187" s="44"/>
      <c r="Q1187" s="44"/>
      <c r="R1187" s="44"/>
      <c r="S1187" s="44"/>
      <c r="T1187" s="44"/>
      <c r="U1187" s="44"/>
      <c r="V1187" s="44"/>
      <c r="W1187" s="44"/>
      <c r="X1187" s="44"/>
    </row>
    <row r="1188" spans="1:24" s="41" customFormat="1">
      <c r="A1188" s="42">
        <v>46349</v>
      </c>
      <c r="B1188" s="43" t="s">
        <v>964</v>
      </c>
      <c r="C1188" s="44"/>
      <c r="D1188" s="44"/>
      <c r="E1188" s="44"/>
      <c r="F1188" s="44"/>
      <c r="G1188" s="44"/>
      <c r="H1188" s="44"/>
      <c r="I1188" s="44"/>
      <c r="J1188" s="44"/>
      <c r="K1188" s="44"/>
      <c r="L1188" s="44"/>
      <c r="M1188" s="44">
        <f t="shared" si="19"/>
        <v>0</v>
      </c>
      <c r="N1188" s="45"/>
      <c r="O1188" s="44"/>
      <c r="P1188" s="44"/>
      <c r="Q1188" s="44"/>
      <c r="R1188" s="44"/>
      <c r="S1188" s="44"/>
      <c r="T1188" s="44"/>
      <c r="U1188" s="44"/>
      <c r="V1188" s="44"/>
      <c r="W1188" s="44"/>
      <c r="X1188" s="44"/>
    </row>
    <row r="1189" spans="1:24" s="41" customFormat="1">
      <c r="A1189" s="42">
        <v>46350</v>
      </c>
      <c r="B1189" s="43" t="s">
        <v>964</v>
      </c>
      <c r="C1189" s="44"/>
      <c r="D1189" s="44"/>
      <c r="E1189" s="44"/>
      <c r="F1189" s="44"/>
      <c r="G1189" s="44"/>
      <c r="H1189" s="44"/>
      <c r="I1189" s="44"/>
      <c r="J1189" s="44"/>
      <c r="K1189" s="44"/>
      <c r="L1189" s="44"/>
      <c r="M1189" s="44">
        <f t="shared" si="19"/>
        <v>0</v>
      </c>
      <c r="N1189" s="45"/>
      <c r="O1189" s="44"/>
      <c r="P1189" s="44"/>
      <c r="Q1189" s="44"/>
      <c r="R1189" s="44"/>
      <c r="S1189" s="44"/>
      <c r="T1189" s="44"/>
      <c r="U1189" s="44"/>
      <c r="V1189" s="44"/>
      <c r="W1189" s="44"/>
      <c r="X1189" s="44"/>
    </row>
    <row r="1190" spans="1:24" s="41" customFormat="1">
      <c r="A1190" s="42">
        <v>46351</v>
      </c>
      <c r="B1190" s="43" t="s">
        <v>964</v>
      </c>
      <c r="C1190" s="44"/>
      <c r="D1190" s="44"/>
      <c r="E1190" s="44"/>
      <c r="F1190" s="44"/>
      <c r="G1190" s="44"/>
      <c r="H1190" s="44"/>
      <c r="I1190" s="44"/>
      <c r="J1190" s="44"/>
      <c r="K1190" s="44"/>
      <c r="L1190" s="44"/>
      <c r="M1190" s="44">
        <f t="shared" si="19"/>
        <v>0</v>
      </c>
      <c r="N1190" s="45"/>
      <c r="O1190" s="44"/>
      <c r="P1190" s="44"/>
      <c r="Q1190" s="44"/>
      <c r="R1190" s="44"/>
      <c r="S1190" s="44"/>
      <c r="T1190" s="44"/>
      <c r="U1190" s="44"/>
      <c r="V1190" s="44"/>
      <c r="W1190" s="44"/>
      <c r="X1190" s="44"/>
    </row>
    <row r="1191" spans="1:24" s="41" customFormat="1">
      <c r="A1191" s="42">
        <v>46352</v>
      </c>
      <c r="B1191" s="43" t="s">
        <v>964</v>
      </c>
      <c r="C1191" s="44"/>
      <c r="D1191" s="44"/>
      <c r="E1191" s="44"/>
      <c r="F1191" s="44"/>
      <c r="G1191" s="44"/>
      <c r="H1191" s="44"/>
      <c r="I1191" s="44"/>
      <c r="J1191" s="44"/>
      <c r="K1191" s="44"/>
      <c r="L1191" s="44"/>
      <c r="M1191" s="44">
        <f t="shared" si="19"/>
        <v>0</v>
      </c>
      <c r="N1191" s="45"/>
      <c r="O1191" s="44"/>
      <c r="P1191" s="44"/>
      <c r="Q1191" s="44"/>
      <c r="R1191" s="44"/>
      <c r="S1191" s="44"/>
      <c r="T1191" s="44"/>
      <c r="U1191" s="44"/>
      <c r="V1191" s="44"/>
      <c r="W1191" s="44"/>
      <c r="X1191" s="44"/>
    </row>
    <row r="1192" spans="1:24" s="41" customFormat="1">
      <c r="A1192" s="42">
        <v>46353</v>
      </c>
      <c r="B1192" s="43" t="s">
        <v>964</v>
      </c>
      <c r="C1192" s="44"/>
      <c r="D1192" s="44"/>
      <c r="E1192" s="44"/>
      <c r="F1192" s="44"/>
      <c r="G1192" s="44"/>
      <c r="H1192" s="44"/>
      <c r="I1192" s="44"/>
      <c r="J1192" s="44"/>
      <c r="K1192" s="44"/>
      <c r="L1192" s="44"/>
      <c r="M1192" s="44">
        <f t="shared" si="19"/>
        <v>0</v>
      </c>
      <c r="N1192" s="45"/>
      <c r="O1192" s="44"/>
      <c r="P1192" s="44"/>
      <c r="Q1192" s="44"/>
      <c r="R1192" s="44"/>
      <c r="S1192" s="44"/>
      <c r="T1192" s="44"/>
      <c r="U1192" s="44"/>
      <c r="V1192" s="44"/>
      <c r="W1192" s="44"/>
      <c r="X1192" s="44"/>
    </row>
    <row r="1193" spans="1:24" s="41" customFormat="1">
      <c r="A1193" s="42">
        <v>46354</v>
      </c>
      <c r="B1193" s="43" t="s">
        <v>964</v>
      </c>
      <c r="C1193" s="44"/>
      <c r="D1193" s="44"/>
      <c r="E1193" s="44"/>
      <c r="F1193" s="44"/>
      <c r="G1193" s="44"/>
      <c r="H1193" s="44"/>
      <c r="I1193" s="44"/>
      <c r="J1193" s="44"/>
      <c r="K1193" s="44"/>
      <c r="L1193" s="44"/>
      <c r="M1193" s="44">
        <f t="shared" si="19"/>
        <v>0</v>
      </c>
      <c r="N1193" s="45"/>
      <c r="O1193" s="44"/>
      <c r="P1193" s="44"/>
      <c r="Q1193" s="44"/>
      <c r="R1193" s="44"/>
      <c r="S1193" s="44"/>
      <c r="T1193" s="44"/>
      <c r="U1193" s="44"/>
      <c r="V1193" s="44"/>
      <c r="W1193" s="44"/>
      <c r="X1193" s="44"/>
    </row>
    <row r="1194" spans="1:24" s="41" customFormat="1">
      <c r="A1194" s="42">
        <v>46355</v>
      </c>
      <c r="B1194" s="43" t="s">
        <v>964</v>
      </c>
      <c r="C1194" s="44"/>
      <c r="D1194" s="44"/>
      <c r="E1194" s="44"/>
      <c r="F1194" s="44"/>
      <c r="G1194" s="44"/>
      <c r="H1194" s="44"/>
      <c r="I1194" s="44"/>
      <c r="J1194" s="44"/>
      <c r="K1194" s="44"/>
      <c r="L1194" s="44"/>
      <c r="M1194" s="44">
        <f t="shared" si="19"/>
        <v>0</v>
      </c>
      <c r="N1194" s="45"/>
      <c r="O1194" s="44"/>
      <c r="P1194" s="44"/>
      <c r="Q1194" s="44"/>
      <c r="R1194" s="44"/>
      <c r="S1194" s="44"/>
      <c r="T1194" s="44"/>
      <c r="U1194" s="44"/>
      <c r="V1194" s="44"/>
      <c r="W1194" s="44"/>
      <c r="X1194" s="44"/>
    </row>
    <row r="1195" spans="1:24" s="41" customFormat="1">
      <c r="A1195" s="42">
        <v>46356</v>
      </c>
      <c r="B1195" s="43" t="s">
        <v>964</v>
      </c>
      <c r="C1195" s="44"/>
      <c r="D1195" s="44"/>
      <c r="E1195" s="44"/>
      <c r="F1195" s="44"/>
      <c r="G1195" s="44"/>
      <c r="H1195" s="44"/>
      <c r="I1195" s="44"/>
      <c r="J1195" s="44"/>
      <c r="K1195" s="44"/>
      <c r="L1195" s="44"/>
      <c r="M1195" s="44">
        <f t="shared" si="19"/>
        <v>0</v>
      </c>
      <c r="N1195" s="45"/>
      <c r="O1195" s="44"/>
      <c r="P1195" s="44"/>
      <c r="Q1195" s="44"/>
      <c r="R1195" s="44"/>
      <c r="S1195" s="44"/>
      <c r="T1195" s="44"/>
      <c r="U1195" s="44"/>
      <c r="V1195" s="44"/>
      <c r="W1195" s="44"/>
      <c r="X1195" s="44"/>
    </row>
    <row r="1196" spans="1:24" s="41" customFormat="1">
      <c r="A1196" s="42">
        <v>46357</v>
      </c>
      <c r="B1196" s="43" t="s">
        <v>964</v>
      </c>
      <c r="C1196" s="44"/>
      <c r="D1196" s="44"/>
      <c r="E1196" s="44"/>
      <c r="F1196" s="44"/>
      <c r="G1196" s="44"/>
      <c r="H1196" s="44"/>
      <c r="I1196" s="44"/>
      <c r="J1196" s="44"/>
      <c r="K1196" s="44"/>
      <c r="L1196" s="44"/>
      <c r="M1196" s="44">
        <f t="shared" si="19"/>
        <v>0</v>
      </c>
      <c r="N1196" s="45"/>
      <c r="O1196" s="44"/>
      <c r="P1196" s="44"/>
      <c r="Q1196" s="44"/>
      <c r="R1196" s="44"/>
      <c r="S1196" s="44"/>
      <c r="T1196" s="44"/>
      <c r="U1196" s="44"/>
      <c r="V1196" s="44"/>
      <c r="W1196" s="44"/>
      <c r="X1196" s="44"/>
    </row>
    <row r="1197" spans="1:24" s="41" customFormat="1">
      <c r="A1197" s="42">
        <v>46358</v>
      </c>
      <c r="B1197" s="43" t="s">
        <v>964</v>
      </c>
      <c r="C1197" s="44"/>
      <c r="D1197" s="44"/>
      <c r="E1197" s="44"/>
      <c r="F1197" s="44"/>
      <c r="G1197" s="44"/>
      <c r="H1197" s="44"/>
      <c r="I1197" s="44"/>
      <c r="J1197" s="44"/>
      <c r="K1197" s="44"/>
      <c r="L1197" s="44"/>
      <c r="M1197" s="44">
        <f t="shared" si="19"/>
        <v>0</v>
      </c>
      <c r="N1197" s="45"/>
      <c r="O1197" s="44"/>
      <c r="P1197" s="44"/>
      <c r="Q1197" s="44"/>
      <c r="R1197" s="44"/>
      <c r="S1197" s="44"/>
      <c r="T1197" s="44"/>
      <c r="U1197" s="44"/>
      <c r="V1197" s="44"/>
      <c r="W1197" s="44"/>
      <c r="X1197" s="44"/>
    </row>
    <row r="1198" spans="1:24" s="41" customFormat="1">
      <c r="A1198" s="42">
        <v>46359</v>
      </c>
      <c r="B1198" s="43" t="s">
        <v>964</v>
      </c>
      <c r="C1198" s="44"/>
      <c r="D1198" s="44"/>
      <c r="E1198" s="44"/>
      <c r="F1198" s="44"/>
      <c r="G1198" s="44"/>
      <c r="H1198" s="44"/>
      <c r="I1198" s="44"/>
      <c r="J1198" s="44"/>
      <c r="K1198" s="44"/>
      <c r="L1198" s="44"/>
      <c r="M1198" s="44">
        <f t="shared" si="19"/>
        <v>0</v>
      </c>
      <c r="N1198" s="45"/>
      <c r="O1198" s="44"/>
      <c r="P1198" s="44"/>
      <c r="Q1198" s="44"/>
      <c r="R1198" s="44"/>
      <c r="S1198" s="44"/>
      <c r="T1198" s="44"/>
      <c r="U1198" s="44"/>
      <c r="V1198" s="44"/>
      <c r="W1198" s="44"/>
      <c r="X1198" s="44"/>
    </row>
    <row r="1199" spans="1:24" s="41" customFormat="1">
      <c r="A1199" s="42">
        <v>46360</v>
      </c>
      <c r="B1199" s="43" t="s">
        <v>964</v>
      </c>
      <c r="C1199" s="44"/>
      <c r="D1199" s="44"/>
      <c r="E1199" s="44"/>
      <c r="F1199" s="44"/>
      <c r="G1199" s="44"/>
      <c r="H1199" s="44"/>
      <c r="I1199" s="44"/>
      <c r="J1199" s="44"/>
      <c r="K1199" s="44"/>
      <c r="L1199" s="44"/>
      <c r="M1199" s="44">
        <f t="shared" si="19"/>
        <v>0</v>
      </c>
      <c r="N1199" s="45"/>
      <c r="O1199" s="44"/>
      <c r="P1199" s="44"/>
      <c r="Q1199" s="44"/>
      <c r="R1199" s="44"/>
      <c r="S1199" s="44"/>
      <c r="T1199" s="44"/>
      <c r="U1199" s="44"/>
      <c r="V1199" s="44"/>
      <c r="W1199" s="44"/>
      <c r="X1199" s="44"/>
    </row>
    <row r="1200" spans="1:24" s="41" customFormat="1">
      <c r="A1200" s="42">
        <v>46361</v>
      </c>
      <c r="B1200" s="43" t="s">
        <v>964</v>
      </c>
      <c r="C1200" s="44"/>
      <c r="D1200" s="44"/>
      <c r="E1200" s="44"/>
      <c r="F1200" s="44"/>
      <c r="G1200" s="44"/>
      <c r="H1200" s="44"/>
      <c r="I1200" s="44"/>
      <c r="J1200" s="44"/>
      <c r="K1200" s="44"/>
      <c r="L1200" s="44"/>
      <c r="M1200" s="44">
        <f t="shared" si="19"/>
        <v>0</v>
      </c>
      <c r="N1200" s="45"/>
      <c r="O1200" s="44"/>
      <c r="P1200" s="44"/>
      <c r="Q1200" s="44"/>
      <c r="R1200" s="44"/>
      <c r="S1200" s="44"/>
      <c r="T1200" s="44"/>
      <c r="U1200" s="44"/>
      <c r="V1200" s="44"/>
      <c r="W1200" s="44"/>
      <c r="X1200" s="44"/>
    </row>
    <row r="1201" spans="1:24" s="41" customFormat="1">
      <c r="A1201" s="42">
        <v>46362</v>
      </c>
      <c r="B1201" s="43" t="s">
        <v>964</v>
      </c>
      <c r="C1201" s="44"/>
      <c r="D1201" s="44"/>
      <c r="E1201" s="44"/>
      <c r="F1201" s="44"/>
      <c r="G1201" s="44"/>
      <c r="H1201" s="44"/>
      <c r="I1201" s="44"/>
      <c r="J1201" s="44"/>
      <c r="K1201" s="44"/>
      <c r="L1201" s="44"/>
      <c r="M1201" s="44">
        <f t="shared" si="19"/>
        <v>0</v>
      </c>
      <c r="N1201" s="45"/>
      <c r="O1201" s="44"/>
      <c r="P1201" s="44"/>
      <c r="Q1201" s="44"/>
      <c r="R1201" s="44"/>
      <c r="S1201" s="44"/>
      <c r="T1201" s="44"/>
      <c r="U1201" s="44"/>
      <c r="V1201" s="44"/>
      <c r="W1201" s="44"/>
      <c r="X1201" s="44"/>
    </row>
    <row r="1202" spans="1:24" s="41" customFormat="1">
      <c r="A1202" s="42">
        <v>46363</v>
      </c>
      <c r="B1202" s="43" t="s">
        <v>964</v>
      </c>
      <c r="C1202" s="44"/>
      <c r="D1202" s="44"/>
      <c r="E1202" s="44"/>
      <c r="F1202" s="44"/>
      <c r="G1202" s="44"/>
      <c r="H1202" s="44"/>
      <c r="I1202" s="44"/>
      <c r="J1202" s="44"/>
      <c r="K1202" s="44"/>
      <c r="L1202" s="44"/>
      <c r="M1202" s="44">
        <f t="shared" si="19"/>
        <v>0</v>
      </c>
      <c r="N1202" s="45"/>
      <c r="O1202" s="44"/>
      <c r="P1202" s="44"/>
      <c r="Q1202" s="44"/>
      <c r="R1202" s="44"/>
      <c r="S1202" s="44"/>
      <c r="T1202" s="44"/>
      <c r="U1202" s="44"/>
      <c r="V1202" s="44"/>
      <c r="W1202" s="44"/>
      <c r="X1202" s="44"/>
    </row>
    <row r="1203" spans="1:24" s="41" customFormat="1">
      <c r="A1203" s="42">
        <v>46364</v>
      </c>
      <c r="B1203" s="43" t="s">
        <v>964</v>
      </c>
      <c r="C1203" s="44"/>
      <c r="D1203" s="44"/>
      <c r="E1203" s="44"/>
      <c r="F1203" s="44"/>
      <c r="G1203" s="44"/>
      <c r="H1203" s="44"/>
      <c r="I1203" s="44"/>
      <c r="J1203" s="44"/>
      <c r="K1203" s="44"/>
      <c r="L1203" s="44"/>
      <c r="M1203" s="44">
        <f t="shared" si="19"/>
        <v>0</v>
      </c>
      <c r="N1203" s="45"/>
      <c r="O1203" s="44"/>
      <c r="P1203" s="44"/>
      <c r="Q1203" s="44"/>
      <c r="R1203" s="44"/>
      <c r="S1203" s="44"/>
      <c r="T1203" s="44"/>
      <c r="U1203" s="44"/>
      <c r="V1203" s="44"/>
      <c r="W1203" s="44"/>
      <c r="X1203" s="44"/>
    </row>
    <row r="1204" spans="1:24" s="41" customFormat="1">
      <c r="A1204" s="42">
        <v>46365</v>
      </c>
      <c r="B1204" s="43" t="s">
        <v>964</v>
      </c>
      <c r="C1204" s="44"/>
      <c r="D1204" s="44"/>
      <c r="E1204" s="44"/>
      <c r="F1204" s="44"/>
      <c r="G1204" s="44"/>
      <c r="H1204" s="44"/>
      <c r="I1204" s="44"/>
      <c r="J1204" s="44"/>
      <c r="K1204" s="44"/>
      <c r="L1204" s="44"/>
      <c r="M1204" s="44">
        <f t="shared" si="19"/>
        <v>0</v>
      </c>
      <c r="N1204" s="45"/>
      <c r="O1204" s="44"/>
      <c r="P1204" s="44"/>
      <c r="Q1204" s="44"/>
      <c r="R1204" s="44"/>
      <c r="S1204" s="44"/>
      <c r="T1204" s="44"/>
      <c r="U1204" s="44"/>
      <c r="V1204" s="44"/>
      <c r="W1204" s="44"/>
      <c r="X1204" s="44"/>
    </row>
    <row r="1205" spans="1:24" s="41" customFormat="1">
      <c r="A1205" s="42">
        <v>46366</v>
      </c>
      <c r="B1205" s="43" t="s">
        <v>964</v>
      </c>
      <c r="C1205" s="44"/>
      <c r="D1205" s="44"/>
      <c r="E1205" s="44"/>
      <c r="F1205" s="44"/>
      <c r="G1205" s="44"/>
      <c r="H1205" s="44"/>
      <c r="I1205" s="44"/>
      <c r="J1205" s="44"/>
      <c r="K1205" s="44"/>
      <c r="L1205" s="44"/>
      <c r="M1205" s="44">
        <f t="shared" si="19"/>
        <v>0</v>
      </c>
      <c r="N1205" s="45"/>
      <c r="O1205" s="44"/>
      <c r="P1205" s="44"/>
      <c r="Q1205" s="44"/>
      <c r="R1205" s="44"/>
      <c r="S1205" s="44"/>
      <c r="T1205" s="44"/>
      <c r="U1205" s="44"/>
      <c r="V1205" s="44"/>
      <c r="W1205" s="44"/>
      <c r="X1205" s="44"/>
    </row>
    <row r="1206" spans="1:24" s="41" customFormat="1">
      <c r="A1206" s="42">
        <v>46367</v>
      </c>
      <c r="B1206" s="43" t="s">
        <v>964</v>
      </c>
      <c r="C1206" s="44"/>
      <c r="D1206" s="44"/>
      <c r="E1206" s="44"/>
      <c r="F1206" s="44"/>
      <c r="G1206" s="44"/>
      <c r="H1206" s="44"/>
      <c r="I1206" s="44"/>
      <c r="J1206" s="44"/>
      <c r="K1206" s="44"/>
      <c r="L1206" s="44"/>
      <c r="M1206" s="44">
        <f t="shared" si="19"/>
        <v>0</v>
      </c>
      <c r="N1206" s="45"/>
      <c r="O1206" s="44"/>
      <c r="P1206" s="44"/>
      <c r="Q1206" s="44"/>
      <c r="R1206" s="44"/>
      <c r="S1206" s="44"/>
      <c r="T1206" s="44"/>
      <c r="U1206" s="44"/>
      <c r="V1206" s="44"/>
      <c r="W1206" s="44"/>
      <c r="X1206" s="44"/>
    </row>
    <row r="1207" spans="1:24" s="41" customFormat="1">
      <c r="A1207" s="42">
        <v>46368</v>
      </c>
      <c r="B1207" s="43" t="s">
        <v>964</v>
      </c>
      <c r="C1207" s="44"/>
      <c r="D1207" s="44"/>
      <c r="E1207" s="44"/>
      <c r="F1207" s="44"/>
      <c r="G1207" s="44"/>
      <c r="H1207" s="44"/>
      <c r="I1207" s="44"/>
      <c r="J1207" s="44"/>
      <c r="K1207" s="44"/>
      <c r="L1207" s="44"/>
      <c r="M1207" s="44">
        <f t="shared" si="19"/>
        <v>0</v>
      </c>
      <c r="N1207" s="45"/>
      <c r="O1207" s="44"/>
      <c r="P1207" s="44"/>
      <c r="Q1207" s="44"/>
      <c r="R1207" s="44"/>
      <c r="S1207" s="44"/>
      <c r="T1207" s="44"/>
      <c r="U1207" s="44"/>
      <c r="V1207" s="44"/>
      <c r="W1207" s="44"/>
      <c r="X1207" s="44"/>
    </row>
    <row r="1208" spans="1:24" s="41" customFormat="1">
      <c r="A1208" s="42">
        <v>46369</v>
      </c>
      <c r="B1208" s="43" t="s">
        <v>964</v>
      </c>
      <c r="C1208" s="44"/>
      <c r="D1208" s="44"/>
      <c r="E1208" s="44"/>
      <c r="F1208" s="44"/>
      <c r="G1208" s="44"/>
      <c r="H1208" s="44"/>
      <c r="I1208" s="44"/>
      <c r="J1208" s="44"/>
      <c r="K1208" s="44"/>
      <c r="L1208" s="44"/>
      <c r="M1208" s="44">
        <f t="shared" si="19"/>
        <v>0</v>
      </c>
      <c r="N1208" s="45"/>
      <c r="O1208" s="44"/>
      <c r="P1208" s="44"/>
      <c r="Q1208" s="44"/>
      <c r="R1208" s="44"/>
      <c r="S1208" s="44"/>
      <c r="T1208" s="44"/>
      <c r="U1208" s="44"/>
      <c r="V1208" s="44"/>
      <c r="W1208" s="44"/>
      <c r="X1208" s="44"/>
    </row>
    <row r="1209" spans="1:24" s="41" customFormat="1">
      <c r="A1209" s="42">
        <v>46370</v>
      </c>
      <c r="B1209" s="43" t="s">
        <v>964</v>
      </c>
      <c r="C1209" s="44"/>
      <c r="D1209" s="44"/>
      <c r="E1209" s="44"/>
      <c r="F1209" s="44"/>
      <c r="G1209" s="44"/>
      <c r="H1209" s="44"/>
      <c r="I1209" s="44"/>
      <c r="J1209" s="44"/>
      <c r="K1209" s="44"/>
      <c r="L1209" s="44"/>
      <c r="M1209" s="44">
        <f t="shared" si="19"/>
        <v>0</v>
      </c>
      <c r="N1209" s="45"/>
      <c r="O1209" s="44"/>
      <c r="P1209" s="44"/>
      <c r="Q1209" s="44"/>
      <c r="R1209" s="44"/>
      <c r="S1209" s="44"/>
      <c r="T1209" s="44"/>
      <c r="U1209" s="44"/>
      <c r="V1209" s="44"/>
      <c r="W1209" s="44"/>
      <c r="X1209" s="44"/>
    </row>
    <row r="1210" spans="1:24" s="41" customFormat="1">
      <c r="A1210" s="42">
        <v>46371</v>
      </c>
      <c r="B1210" s="43" t="s">
        <v>964</v>
      </c>
      <c r="C1210" s="44"/>
      <c r="D1210" s="44"/>
      <c r="E1210" s="44"/>
      <c r="F1210" s="44"/>
      <c r="G1210" s="44"/>
      <c r="H1210" s="44"/>
      <c r="I1210" s="44"/>
      <c r="J1210" s="44"/>
      <c r="K1210" s="44"/>
      <c r="L1210" s="44"/>
      <c r="M1210" s="44">
        <f t="shared" si="19"/>
        <v>0</v>
      </c>
      <c r="N1210" s="45"/>
      <c r="O1210" s="44"/>
      <c r="P1210" s="44"/>
      <c r="Q1210" s="44"/>
      <c r="R1210" s="44"/>
      <c r="S1210" s="44"/>
      <c r="T1210" s="44"/>
      <c r="U1210" s="44"/>
      <c r="V1210" s="44"/>
      <c r="W1210" s="44"/>
      <c r="X1210" s="44"/>
    </row>
    <row r="1211" spans="1:24" s="41" customFormat="1">
      <c r="A1211" s="42">
        <v>46372</v>
      </c>
      <c r="B1211" s="43" t="s">
        <v>964</v>
      </c>
      <c r="C1211" s="44"/>
      <c r="D1211" s="44"/>
      <c r="E1211" s="44"/>
      <c r="F1211" s="44"/>
      <c r="G1211" s="44"/>
      <c r="H1211" s="44"/>
      <c r="I1211" s="44"/>
      <c r="J1211" s="44"/>
      <c r="K1211" s="44"/>
      <c r="L1211" s="44"/>
      <c r="M1211" s="44">
        <f t="shared" si="19"/>
        <v>0</v>
      </c>
      <c r="N1211" s="45"/>
      <c r="O1211" s="44"/>
      <c r="P1211" s="44"/>
      <c r="Q1211" s="44"/>
      <c r="R1211" s="44"/>
      <c r="S1211" s="44"/>
      <c r="T1211" s="44"/>
      <c r="U1211" s="44"/>
      <c r="V1211" s="44"/>
      <c r="W1211" s="44"/>
      <c r="X1211" s="44"/>
    </row>
    <row r="1212" spans="1:24" s="41" customFormat="1">
      <c r="A1212" s="42">
        <v>46373</v>
      </c>
      <c r="B1212" s="43" t="s">
        <v>964</v>
      </c>
      <c r="C1212" s="44"/>
      <c r="D1212" s="44"/>
      <c r="E1212" s="44"/>
      <c r="F1212" s="44"/>
      <c r="G1212" s="44"/>
      <c r="H1212" s="44"/>
      <c r="I1212" s="44"/>
      <c r="J1212" s="44"/>
      <c r="K1212" s="44"/>
      <c r="L1212" s="44"/>
      <c r="M1212" s="44">
        <f t="shared" si="19"/>
        <v>0</v>
      </c>
      <c r="N1212" s="45"/>
      <c r="O1212" s="44"/>
      <c r="P1212" s="44"/>
      <c r="Q1212" s="44"/>
      <c r="R1212" s="44"/>
      <c r="S1212" s="44"/>
      <c r="T1212" s="44"/>
      <c r="U1212" s="44"/>
      <c r="V1212" s="44"/>
      <c r="W1212" s="44"/>
      <c r="X1212" s="44"/>
    </row>
    <row r="1213" spans="1:24" s="41" customFormat="1">
      <c r="A1213" s="42">
        <v>46374</v>
      </c>
      <c r="B1213" s="43" t="s">
        <v>964</v>
      </c>
      <c r="C1213" s="44"/>
      <c r="D1213" s="44"/>
      <c r="E1213" s="44"/>
      <c r="F1213" s="44"/>
      <c r="G1213" s="44"/>
      <c r="H1213" s="44"/>
      <c r="I1213" s="44"/>
      <c r="J1213" s="44"/>
      <c r="K1213" s="44"/>
      <c r="L1213" s="44"/>
      <c r="M1213" s="44">
        <f t="shared" si="19"/>
        <v>0</v>
      </c>
      <c r="N1213" s="45"/>
      <c r="O1213" s="44"/>
      <c r="P1213" s="44"/>
      <c r="Q1213" s="44"/>
      <c r="R1213" s="44"/>
      <c r="S1213" s="44"/>
      <c r="T1213" s="44"/>
      <c r="U1213" s="44"/>
      <c r="V1213" s="44"/>
      <c r="W1213" s="44"/>
      <c r="X1213" s="44"/>
    </row>
    <row r="1214" spans="1:24" s="41" customFormat="1">
      <c r="A1214" s="42">
        <v>46375</v>
      </c>
      <c r="B1214" s="43" t="s">
        <v>964</v>
      </c>
      <c r="C1214" s="44"/>
      <c r="D1214" s="44"/>
      <c r="E1214" s="44"/>
      <c r="F1214" s="44"/>
      <c r="G1214" s="44"/>
      <c r="H1214" s="44"/>
      <c r="I1214" s="44"/>
      <c r="J1214" s="44"/>
      <c r="K1214" s="44"/>
      <c r="L1214" s="44"/>
      <c r="M1214" s="44">
        <f t="shared" si="19"/>
        <v>0</v>
      </c>
      <c r="N1214" s="45"/>
      <c r="O1214" s="44"/>
      <c r="P1214" s="44"/>
      <c r="Q1214" s="44"/>
      <c r="R1214" s="44"/>
      <c r="S1214" s="44"/>
      <c r="T1214" s="44"/>
      <c r="U1214" s="44"/>
      <c r="V1214" s="44"/>
      <c r="W1214" s="44"/>
      <c r="X1214" s="44"/>
    </row>
    <row r="1215" spans="1:24" s="41" customFormat="1">
      <c r="A1215" s="42">
        <v>46376</v>
      </c>
      <c r="B1215" s="43" t="s">
        <v>964</v>
      </c>
      <c r="C1215" s="44"/>
      <c r="D1215" s="44"/>
      <c r="E1215" s="44"/>
      <c r="F1215" s="44"/>
      <c r="G1215" s="44"/>
      <c r="H1215" s="44"/>
      <c r="I1215" s="44"/>
      <c r="J1215" s="44"/>
      <c r="K1215" s="44"/>
      <c r="L1215" s="44"/>
      <c r="M1215" s="44">
        <f t="shared" si="19"/>
        <v>0</v>
      </c>
      <c r="N1215" s="45"/>
      <c r="O1215" s="44"/>
      <c r="P1215" s="44"/>
      <c r="Q1215" s="44"/>
      <c r="R1215" s="44"/>
      <c r="S1215" s="44"/>
      <c r="T1215" s="44"/>
      <c r="U1215" s="44"/>
      <c r="V1215" s="44"/>
      <c r="W1215" s="44"/>
      <c r="X1215" s="44"/>
    </row>
    <row r="1216" spans="1:24" s="41" customFormat="1">
      <c r="A1216" s="42">
        <v>46377</v>
      </c>
      <c r="B1216" s="43" t="s">
        <v>964</v>
      </c>
      <c r="C1216" s="44"/>
      <c r="D1216" s="44"/>
      <c r="E1216" s="44"/>
      <c r="F1216" s="44"/>
      <c r="G1216" s="44"/>
      <c r="H1216" s="44"/>
      <c r="I1216" s="44"/>
      <c r="J1216" s="44"/>
      <c r="K1216" s="44"/>
      <c r="L1216" s="44"/>
      <c r="M1216" s="44">
        <f t="shared" si="19"/>
        <v>0</v>
      </c>
      <c r="N1216" s="45"/>
      <c r="O1216" s="44"/>
      <c r="P1216" s="44"/>
      <c r="Q1216" s="44"/>
      <c r="R1216" s="44"/>
      <c r="S1216" s="44"/>
      <c r="T1216" s="44"/>
      <c r="U1216" s="44"/>
      <c r="V1216" s="44"/>
      <c r="W1216" s="44"/>
      <c r="X1216" s="44"/>
    </row>
    <row r="1217" spans="1:24" s="41" customFormat="1">
      <c r="A1217" s="42">
        <v>46378</v>
      </c>
      <c r="B1217" s="43" t="s">
        <v>964</v>
      </c>
      <c r="C1217" s="44"/>
      <c r="D1217" s="44"/>
      <c r="E1217" s="44"/>
      <c r="F1217" s="44"/>
      <c r="G1217" s="44"/>
      <c r="H1217" s="44"/>
      <c r="I1217" s="44"/>
      <c r="J1217" s="44"/>
      <c r="K1217" s="44"/>
      <c r="L1217" s="44"/>
      <c r="M1217" s="44">
        <f t="shared" si="19"/>
        <v>0</v>
      </c>
      <c r="N1217" s="45"/>
      <c r="O1217" s="44"/>
      <c r="P1217" s="44"/>
      <c r="Q1217" s="44"/>
      <c r="R1217" s="44"/>
      <c r="S1217" s="44"/>
      <c r="T1217" s="44"/>
      <c r="U1217" s="44"/>
      <c r="V1217" s="44"/>
      <c r="W1217" s="44"/>
      <c r="X1217" s="44"/>
    </row>
    <row r="1218" spans="1:24" s="41" customFormat="1">
      <c r="A1218" s="42">
        <v>46379</v>
      </c>
      <c r="B1218" s="43" t="s">
        <v>964</v>
      </c>
      <c r="C1218" s="44"/>
      <c r="D1218" s="44"/>
      <c r="E1218" s="44"/>
      <c r="F1218" s="44"/>
      <c r="G1218" s="44"/>
      <c r="H1218" s="44"/>
      <c r="I1218" s="44"/>
      <c r="J1218" s="44"/>
      <c r="K1218" s="44"/>
      <c r="L1218" s="44"/>
      <c r="M1218" s="44">
        <f t="shared" si="19"/>
        <v>0</v>
      </c>
      <c r="N1218" s="45"/>
      <c r="O1218" s="44"/>
      <c r="P1218" s="44"/>
      <c r="Q1218" s="44"/>
      <c r="R1218" s="44"/>
      <c r="S1218" s="44"/>
      <c r="T1218" s="44"/>
      <c r="U1218" s="44"/>
      <c r="V1218" s="44"/>
      <c r="W1218" s="44"/>
      <c r="X1218" s="44"/>
    </row>
    <row r="1219" spans="1:24" s="41" customFormat="1">
      <c r="A1219" s="42">
        <v>46380</v>
      </c>
      <c r="B1219" s="43" t="s">
        <v>964</v>
      </c>
      <c r="C1219" s="44"/>
      <c r="D1219" s="44"/>
      <c r="E1219" s="44"/>
      <c r="F1219" s="44"/>
      <c r="G1219" s="44"/>
      <c r="H1219" s="44"/>
      <c r="I1219" s="44"/>
      <c r="J1219" s="44"/>
      <c r="K1219" s="44"/>
      <c r="L1219" s="44"/>
      <c r="M1219" s="44">
        <f t="shared" ref="M1219:M1226" si="20">N1219-SUM(C1219:L1219)</f>
        <v>0</v>
      </c>
      <c r="N1219" s="45"/>
      <c r="O1219" s="44"/>
      <c r="P1219" s="44"/>
      <c r="Q1219" s="44"/>
      <c r="R1219" s="44"/>
      <c r="S1219" s="44"/>
      <c r="T1219" s="44"/>
      <c r="U1219" s="44"/>
      <c r="V1219" s="44"/>
      <c r="W1219" s="44"/>
      <c r="X1219" s="44"/>
    </row>
    <row r="1220" spans="1:24" s="41" customFormat="1">
      <c r="A1220" s="42">
        <v>46381</v>
      </c>
      <c r="B1220" s="43" t="s">
        <v>964</v>
      </c>
      <c r="C1220" s="44"/>
      <c r="D1220" s="44"/>
      <c r="E1220" s="44"/>
      <c r="F1220" s="44"/>
      <c r="G1220" s="44"/>
      <c r="H1220" s="44"/>
      <c r="I1220" s="44"/>
      <c r="J1220" s="44"/>
      <c r="K1220" s="44"/>
      <c r="L1220" s="44"/>
      <c r="M1220" s="44">
        <f t="shared" si="20"/>
        <v>0</v>
      </c>
      <c r="N1220" s="45"/>
      <c r="O1220" s="44"/>
      <c r="P1220" s="44"/>
      <c r="Q1220" s="44"/>
      <c r="R1220" s="44"/>
      <c r="S1220" s="44"/>
      <c r="T1220" s="44"/>
      <c r="U1220" s="44"/>
      <c r="V1220" s="44"/>
      <c r="W1220" s="44"/>
      <c r="X1220" s="44"/>
    </row>
    <row r="1221" spans="1:24" s="41" customFormat="1">
      <c r="A1221" s="42">
        <v>46382</v>
      </c>
      <c r="B1221" s="43" t="s">
        <v>964</v>
      </c>
      <c r="C1221" s="44"/>
      <c r="D1221" s="44"/>
      <c r="E1221" s="44"/>
      <c r="F1221" s="44"/>
      <c r="G1221" s="44"/>
      <c r="H1221" s="44"/>
      <c r="I1221" s="44"/>
      <c r="J1221" s="44"/>
      <c r="K1221" s="44"/>
      <c r="L1221" s="44"/>
      <c r="M1221" s="44">
        <f t="shared" si="20"/>
        <v>0</v>
      </c>
      <c r="N1221" s="45"/>
      <c r="O1221" s="44"/>
      <c r="P1221" s="44"/>
      <c r="Q1221" s="44"/>
      <c r="R1221" s="44"/>
      <c r="S1221" s="44"/>
      <c r="T1221" s="44"/>
      <c r="U1221" s="44"/>
      <c r="V1221" s="44"/>
      <c r="W1221" s="44"/>
      <c r="X1221" s="44"/>
    </row>
    <row r="1222" spans="1:24" s="41" customFormat="1">
      <c r="A1222" s="42">
        <v>46383</v>
      </c>
      <c r="B1222" s="43" t="s">
        <v>964</v>
      </c>
      <c r="C1222" s="44"/>
      <c r="D1222" s="44"/>
      <c r="E1222" s="44"/>
      <c r="F1222" s="44"/>
      <c r="G1222" s="44"/>
      <c r="H1222" s="44"/>
      <c r="I1222" s="44"/>
      <c r="J1222" s="44"/>
      <c r="K1222" s="44"/>
      <c r="L1222" s="44"/>
      <c r="M1222" s="44">
        <f t="shared" si="20"/>
        <v>0</v>
      </c>
      <c r="N1222" s="45"/>
      <c r="O1222" s="44"/>
      <c r="P1222" s="44"/>
      <c r="Q1222" s="44"/>
      <c r="R1222" s="44"/>
      <c r="S1222" s="44"/>
      <c r="T1222" s="44"/>
      <c r="U1222" s="44"/>
      <c r="V1222" s="44"/>
      <c r="W1222" s="44"/>
      <c r="X1222" s="44"/>
    </row>
    <row r="1223" spans="1:24" s="41" customFormat="1">
      <c r="A1223" s="42">
        <v>46384</v>
      </c>
      <c r="B1223" s="43" t="s">
        <v>964</v>
      </c>
      <c r="C1223" s="44"/>
      <c r="D1223" s="44"/>
      <c r="E1223" s="44"/>
      <c r="F1223" s="44"/>
      <c r="G1223" s="44"/>
      <c r="H1223" s="44"/>
      <c r="I1223" s="44"/>
      <c r="J1223" s="44"/>
      <c r="K1223" s="44"/>
      <c r="L1223" s="44"/>
      <c r="M1223" s="44">
        <f t="shared" si="20"/>
        <v>0</v>
      </c>
      <c r="N1223" s="45"/>
      <c r="O1223" s="44"/>
      <c r="P1223" s="44"/>
      <c r="Q1223" s="44"/>
      <c r="R1223" s="44"/>
      <c r="S1223" s="44"/>
      <c r="T1223" s="44"/>
      <c r="U1223" s="44"/>
      <c r="V1223" s="44"/>
      <c r="W1223" s="44"/>
      <c r="X1223" s="44"/>
    </row>
    <row r="1224" spans="1:24" s="41" customFormat="1">
      <c r="A1224" s="42">
        <v>46385</v>
      </c>
      <c r="B1224" s="43" t="s">
        <v>964</v>
      </c>
      <c r="C1224" s="44"/>
      <c r="D1224" s="44"/>
      <c r="E1224" s="44"/>
      <c r="F1224" s="44"/>
      <c r="G1224" s="44"/>
      <c r="H1224" s="44"/>
      <c r="I1224" s="44"/>
      <c r="J1224" s="44"/>
      <c r="K1224" s="44"/>
      <c r="L1224" s="44"/>
      <c r="M1224" s="44">
        <f t="shared" si="20"/>
        <v>0</v>
      </c>
      <c r="N1224" s="45"/>
      <c r="O1224" s="44"/>
      <c r="P1224" s="44"/>
      <c r="Q1224" s="44"/>
      <c r="R1224" s="44"/>
      <c r="S1224" s="44"/>
      <c r="T1224" s="44"/>
      <c r="U1224" s="44"/>
      <c r="V1224" s="44"/>
      <c r="W1224" s="44"/>
      <c r="X1224" s="44"/>
    </row>
    <row r="1225" spans="1:24" s="41" customFormat="1">
      <c r="A1225" s="42">
        <v>46386</v>
      </c>
      <c r="B1225" s="43" t="s">
        <v>964</v>
      </c>
      <c r="C1225" s="44"/>
      <c r="D1225" s="44"/>
      <c r="E1225" s="44"/>
      <c r="F1225" s="44"/>
      <c r="G1225" s="44"/>
      <c r="H1225" s="44"/>
      <c r="I1225" s="44"/>
      <c r="J1225" s="44"/>
      <c r="K1225" s="44"/>
      <c r="L1225" s="44"/>
      <c r="M1225" s="44">
        <f t="shared" si="20"/>
        <v>0</v>
      </c>
      <c r="N1225" s="45"/>
      <c r="O1225" s="44"/>
      <c r="P1225" s="44"/>
      <c r="Q1225" s="44"/>
      <c r="R1225" s="44"/>
      <c r="S1225" s="44"/>
      <c r="T1225" s="44"/>
      <c r="U1225" s="44"/>
      <c r="V1225" s="44"/>
      <c r="W1225" s="44"/>
      <c r="X1225" s="44"/>
    </row>
    <row r="1226" spans="1:24" s="41" customFormat="1">
      <c r="A1226" s="42">
        <v>46387</v>
      </c>
      <c r="B1226" s="43" t="s">
        <v>964</v>
      </c>
      <c r="C1226" s="44"/>
      <c r="D1226" s="44"/>
      <c r="E1226" s="44"/>
      <c r="F1226" s="44"/>
      <c r="G1226" s="44"/>
      <c r="H1226" s="44"/>
      <c r="I1226" s="44"/>
      <c r="J1226" s="44"/>
      <c r="K1226" s="44"/>
      <c r="L1226" s="44"/>
      <c r="M1226" s="44">
        <f t="shared" si="20"/>
        <v>0</v>
      </c>
      <c r="N1226" s="45"/>
      <c r="O1226" s="44"/>
      <c r="P1226" s="44"/>
      <c r="Q1226" s="44"/>
      <c r="R1226" s="44"/>
      <c r="S1226" s="44"/>
      <c r="T1226" s="44"/>
      <c r="U1226" s="44"/>
      <c r="V1226" s="44"/>
      <c r="W1226" s="44"/>
      <c r="X1226" s="44"/>
    </row>
  </sheetData>
  <autoFilter ref="A2:BP1226" xr:uid="{00000000-0009-0000-0000-000001000000}"/>
  <phoneticPr fontId="5" type="noConversion"/>
  <conditionalFormatting sqref="B1:B1048576">
    <cfRule type="cellIs" dxfId="3" priority="1" operator="equal">
      <formula>"NX8"</formula>
    </cfRule>
    <cfRule type="cellIs" dxfId="2" priority="2" operator="equal">
      <formula>"天籁·鸿蒙座舱"</formula>
    </cfRule>
    <cfRule type="cellIs" dxfId="1" priority="3" operator="equal">
      <formula>"N6"</formula>
    </cfRule>
    <cfRule type="cellIs" dxfId="0" priority="4" operator="equal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AF10"/>
  <sheetViews>
    <sheetView zoomScale="90" zoomScaleNormal="90" workbookViewId="0">
      <selection activeCell="M10" sqref="M10"/>
    </sheetView>
  </sheetViews>
  <sheetFormatPr defaultRowHeight="14.25"/>
  <cols>
    <col min="1" max="1" width="13" bestFit="1" customWidth="1"/>
    <col min="2" max="13" width="6.5" bestFit="1" customWidth="1"/>
    <col min="14" max="32" width="7.5" bestFit="1" customWidth="1"/>
  </cols>
  <sheetData>
    <row r="3" spans="1:32">
      <c r="A3" s="11" t="s">
        <v>15</v>
      </c>
      <c r="B3" s="16">
        <v>46082</v>
      </c>
      <c r="C3" s="16">
        <v>46083</v>
      </c>
      <c r="D3" s="16">
        <v>46084</v>
      </c>
      <c r="E3" s="16">
        <v>46085</v>
      </c>
      <c r="F3" s="16">
        <v>46086</v>
      </c>
      <c r="G3" s="16">
        <v>46087</v>
      </c>
      <c r="H3" s="16">
        <v>46088</v>
      </c>
      <c r="I3" s="16">
        <v>46089</v>
      </c>
      <c r="J3" s="16">
        <v>46090</v>
      </c>
      <c r="K3" s="16">
        <v>46091</v>
      </c>
      <c r="L3" s="16">
        <v>46092</v>
      </c>
      <c r="M3" s="16">
        <v>46093</v>
      </c>
      <c r="N3" s="16">
        <v>46094</v>
      </c>
      <c r="O3" s="16">
        <v>46095</v>
      </c>
      <c r="P3" s="16">
        <v>46096</v>
      </c>
      <c r="Q3" s="16">
        <v>46097</v>
      </c>
      <c r="R3" s="16">
        <v>46098</v>
      </c>
      <c r="S3" s="16">
        <v>46099</v>
      </c>
      <c r="T3" s="16">
        <v>46100</v>
      </c>
      <c r="U3" s="16">
        <v>46101</v>
      </c>
      <c r="V3" s="16">
        <v>46102</v>
      </c>
      <c r="W3" s="16">
        <v>46103</v>
      </c>
      <c r="X3" s="16">
        <v>46104</v>
      </c>
      <c r="Y3" s="16">
        <v>46105</v>
      </c>
      <c r="Z3" s="16">
        <v>46106</v>
      </c>
      <c r="AA3" s="16">
        <v>46107</v>
      </c>
      <c r="AB3" s="16">
        <v>46108</v>
      </c>
      <c r="AC3" s="16">
        <v>46109</v>
      </c>
      <c r="AD3" s="16">
        <v>46110</v>
      </c>
      <c r="AE3" s="16">
        <v>46111</v>
      </c>
      <c r="AF3" s="16">
        <v>46112</v>
      </c>
    </row>
    <row r="4" spans="1:32">
      <c r="A4" s="11" t="s">
        <v>16</v>
      </c>
      <c r="B4" s="16">
        <v>46113</v>
      </c>
      <c r="C4" s="16">
        <v>46114</v>
      </c>
      <c r="D4" s="16">
        <v>46115</v>
      </c>
      <c r="E4" s="16">
        <v>46116</v>
      </c>
      <c r="F4" s="16">
        <v>46117</v>
      </c>
      <c r="G4" s="16">
        <v>46118</v>
      </c>
      <c r="H4" s="16">
        <v>46119</v>
      </c>
      <c r="I4" s="16">
        <v>46120</v>
      </c>
      <c r="J4" s="16">
        <v>46121</v>
      </c>
      <c r="K4" s="16">
        <v>46122</v>
      </c>
      <c r="L4" s="16">
        <v>46123</v>
      </c>
      <c r="M4" s="16">
        <v>46124</v>
      </c>
      <c r="N4" s="16">
        <v>46125</v>
      </c>
      <c r="O4" s="16">
        <v>46126</v>
      </c>
      <c r="P4" s="16">
        <v>46127</v>
      </c>
      <c r="Q4" s="16">
        <v>46128</v>
      </c>
      <c r="R4" s="16">
        <v>46129</v>
      </c>
      <c r="S4" s="16">
        <v>46130</v>
      </c>
      <c r="T4" s="16">
        <v>46131</v>
      </c>
      <c r="U4" s="16">
        <v>46132</v>
      </c>
      <c r="V4" s="16">
        <v>46133</v>
      </c>
      <c r="W4" s="16">
        <v>46134</v>
      </c>
      <c r="X4" s="16">
        <v>46135</v>
      </c>
      <c r="Y4" s="16">
        <v>46136</v>
      </c>
      <c r="Z4" s="16">
        <v>46137</v>
      </c>
      <c r="AA4" s="16">
        <v>46138</v>
      </c>
      <c r="AB4" s="16">
        <v>46139</v>
      </c>
      <c r="AC4" s="16">
        <v>46140</v>
      </c>
      <c r="AD4" s="16">
        <v>46141</v>
      </c>
      <c r="AE4" s="16">
        <v>46142</v>
      </c>
    </row>
    <row r="5" spans="1:32">
      <c r="A5" t="s">
        <v>17</v>
      </c>
      <c r="B5">
        <f>SUMIFS(全国按日NEV!$F:$F,全国按日NEV!$C:$C,全车有效线索管控!B3)+SUMIFS(全国按日ICE!$G:$G,全国按日ICE!$B:$B,全车有效线索管控!B3)</f>
        <v>24950</v>
      </c>
      <c r="C5">
        <f>SUMIFS(全国按日NEV!$F:$F,全国按日NEV!$C:$C,全车有效线索管控!C3)+SUMIFS(全国按日ICE!$G:$G,全国按日ICE!$B:$B,全车有效线索管控!C3)</f>
        <v>24318</v>
      </c>
      <c r="D5">
        <f>SUMIFS(全国按日NEV!$F:$F,全国按日NEV!$C:$C,全车有效线索管控!D3)+SUMIFS(全国按日ICE!$G:$G,全国按日ICE!$B:$B,全车有效线索管控!D3)</f>
        <v>23678</v>
      </c>
      <c r="E5">
        <f>SUMIFS(全国按日NEV!$F:$F,全国按日NEV!$C:$C,全车有效线索管控!E3)+SUMIFS(全国按日ICE!$G:$G,全国按日ICE!$B:$B,全车有效线索管控!E3)</f>
        <v>24720</v>
      </c>
      <c r="F5">
        <f>SUMIFS(全国按日NEV!$F:$F,全国按日NEV!$C:$C,全车有效线索管控!F3)+SUMIFS(全国按日ICE!$G:$G,全国按日ICE!$B:$B,全车有效线索管控!F3)</f>
        <v>24648</v>
      </c>
      <c r="G5">
        <f>SUMIFS(全国按日NEV!$F:$F,全国按日NEV!$C:$C,全车有效线索管控!G3)+SUMIFS(全国按日ICE!$G:$G,全国按日ICE!$B:$B,全车有效线索管控!G3)</f>
        <v>23984</v>
      </c>
      <c r="H5">
        <f>SUMIFS(全国按日NEV!$F:$F,全国按日NEV!$C:$C,全车有效线索管控!H3)+SUMIFS(全国按日ICE!$G:$G,全国按日ICE!$B:$B,全车有效线索管控!H3)</f>
        <v>25178</v>
      </c>
      <c r="I5">
        <f>SUMIFS(全国按日NEV!$F:$F,全国按日NEV!$C:$C,全车有效线索管控!I3)+SUMIFS(全国按日ICE!$G:$G,全国按日ICE!$B:$B,全车有效线索管控!I3)</f>
        <v>24340</v>
      </c>
      <c r="J5">
        <f>SUMIFS(全国按日NEV!$F:$F,全国按日NEV!$C:$C,全车有效线索管控!J3)+SUMIFS(全国按日ICE!$G:$G,全国按日ICE!$B:$B,全车有效线索管控!J3)</f>
        <v>23204</v>
      </c>
      <c r="K5">
        <f>SUMIFS(全国按日NEV!$F:$F,全国按日NEV!$C:$C,全车有效线索管控!K3)+SUMIFS(全国按日ICE!$G:$G,全国按日ICE!$B:$B,全车有效线索管控!K3)</f>
        <v>23202</v>
      </c>
      <c r="L5">
        <f>SUMIFS(全国按日NEV!$F:$F,全国按日NEV!$C:$C,全车有效线索管控!L3)+SUMIFS(全国按日ICE!$G:$G,全国按日ICE!$B:$B,全车有效线索管控!L3)</f>
        <v>22803</v>
      </c>
      <c r="M5">
        <f>SUMIFS(全国按日NEV!$F:$F,全国按日NEV!$C:$C,全车有效线索管控!M3)+SUMIFS(全国按日ICE!$G:$G,全国按日ICE!$B:$B,全车有效线索管控!M3)</f>
        <v>23806</v>
      </c>
      <c r="N5">
        <f>SUMIFS(全国按日NEV!$F:$F,全国按日NEV!$C:$C,全车有效线索管控!N3)+SUMIFS(全国按日ICE!$G:$G,全国按日ICE!$B:$B,全车有效线索管控!N3)</f>
        <v>24682</v>
      </c>
      <c r="O5">
        <f>SUMIFS(全国按日NEV!$F:$F,全国按日NEV!$C:$C,全车有效线索管控!O3)+SUMIFS(全国按日ICE!$G:$G,全国按日ICE!$B:$B,全车有效线索管控!O3)</f>
        <v>26231</v>
      </c>
      <c r="P5">
        <f>SUMIFS(全国按日NEV!$F:$F,全国按日NEV!$C:$C,全车有效线索管控!P3)+SUMIFS(全国按日ICE!$G:$G,全国按日ICE!$B:$B,全车有效线索管控!P3)</f>
        <v>26870</v>
      </c>
      <c r="Q5">
        <f>SUMIFS(全国按日NEV!$F:$F,全国按日NEV!$C:$C,全车有效线索管控!Q3)+SUMIFS(全国按日ICE!$G:$G,全国按日ICE!$B:$B,全车有效线索管控!Q3)</f>
        <v>26721</v>
      </c>
      <c r="R5">
        <f>SUMIFS(全国按日NEV!$F:$F,全国按日NEV!$C:$C,全车有效线索管控!R3)+SUMIFS(全国按日ICE!$G:$G,全国按日ICE!$B:$B,全车有效线索管控!R3)</f>
        <v>24389</v>
      </c>
      <c r="S5">
        <f>SUMIFS(全国按日NEV!$F:$F,全国按日NEV!$C:$C,全车有效线索管控!S3)+SUMIFS(全国按日ICE!$G:$G,全国按日ICE!$B:$B,全车有效线索管控!S3)</f>
        <v>24007</v>
      </c>
      <c r="T5">
        <f>SUMIFS(全国按日NEV!$F:$F,全国按日NEV!$C:$C,全车有效线索管控!T3)+SUMIFS(全国按日ICE!$G:$G,全国按日ICE!$B:$B,全车有效线索管控!T3)</f>
        <v>23839</v>
      </c>
      <c r="U5">
        <f>SUMIFS(全国按日NEV!$F:$F,全国按日NEV!$C:$C,全车有效线索管控!U3)+SUMIFS(全国按日ICE!$G:$G,全国按日ICE!$B:$B,全车有效线索管控!U3)</f>
        <v>25025</v>
      </c>
      <c r="V5">
        <f>SUMIFS(全国按日NEV!$F:$F,全国按日NEV!$C:$C,全车有效线索管控!V3)+SUMIFS(全国按日ICE!$G:$G,全国按日ICE!$B:$B,全车有效线索管控!V3)</f>
        <v>25278</v>
      </c>
      <c r="W5">
        <f>SUMIFS(全国按日NEV!$F:$F,全国按日NEV!$C:$C,全车有效线索管控!W3)+SUMIFS(全国按日ICE!$G:$G,全国按日ICE!$B:$B,全车有效线索管控!W3)</f>
        <v>29573</v>
      </c>
      <c r="X5">
        <f>SUMIFS(全国按日NEV!$F:$F,全国按日NEV!$C:$C,全车有效线索管控!X3)+SUMIFS(全国按日ICE!$G:$G,全国按日ICE!$B:$B,全车有效线索管控!X3)</f>
        <v>25493</v>
      </c>
      <c r="Y5">
        <f>SUMIFS(全国按日NEV!$F:$F,全国按日NEV!$C:$C,全车有效线索管控!Y3)+SUMIFS(全国按日ICE!$G:$G,全国按日ICE!$B:$B,全车有效线索管控!Y3)</f>
        <v>23581</v>
      </c>
      <c r="Z5">
        <f>SUMIFS(全国按日NEV!$F:$F,全国按日NEV!$C:$C,全车有效线索管控!Z3)+SUMIFS(全国按日ICE!$G:$G,全国按日ICE!$B:$B,全车有效线索管控!Z3)</f>
        <v>23291</v>
      </c>
      <c r="AA5">
        <f>SUMIFS(全国按日NEV!$F:$F,全国按日NEV!$C:$C,全车有效线索管控!AA3)+SUMIFS(全国按日ICE!$G:$G,全国按日ICE!$B:$B,全车有效线索管控!AA3)</f>
        <v>25264</v>
      </c>
      <c r="AB5">
        <f>SUMIFS(全国按日NEV!$F:$F,全国按日NEV!$C:$C,全车有效线索管控!AB3)+SUMIFS(全国按日ICE!$G:$G,全国按日ICE!$B:$B,全车有效线索管控!AB3)</f>
        <v>23930</v>
      </c>
      <c r="AC5">
        <f>SUMIFS(全国按日NEV!$F:$F,全国按日NEV!$C:$C,全车有效线索管控!AC3)+SUMIFS(全国按日ICE!$G:$G,全国按日ICE!$B:$B,全车有效线索管控!AC3)</f>
        <v>25716</v>
      </c>
      <c r="AD5">
        <f>SUMIFS(全国按日NEV!$F:$F,全国按日NEV!$C:$C,全车有效线索管控!AD3)+SUMIFS(全国按日ICE!$G:$G,全国按日ICE!$B:$B,全车有效线索管控!AD3)</f>
        <v>26788</v>
      </c>
      <c r="AE5">
        <f>SUMIFS(全国按日NEV!$F:$F,全国按日NEV!$C:$C,全车有效线索管控!AE3)+SUMIFS(全国按日ICE!$G:$G,全国按日ICE!$B:$B,全车有效线索管控!AE3)</f>
        <v>25196</v>
      </c>
      <c r="AF5">
        <f>SUMIFS(全国按日NEV!$F:$F,全国按日NEV!$C:$C,全车有效线索管控!AF3)+SUMIFS(全国按日ICE!$G:$G,全国按日ICE!$B:$B,全车有效线索管控!AF3)</f>
        <v>24234</v>
      </c>
    </row>
    <row r="6" spans="1:32">
      <c r="A6" t="s">
        <v>18</v>
      </c>
      <c r="B6">
        <f>SUMIFS(全国按日NEV!$F:$F,全国按日NEV!$C:$C,全车有效线索管控!B4)+SUMIFS(全国按日ICE!$G:$G,全国按日ICE!$B:$B,全车有效线索管控!B4)</f>
        <v>19063</v>
      </c>
      <c r="C6">
        <f>SUMIFS(全国按日NEV!$F:$F,全国按日NEV!$C:$C,全车有效线索管控!C4)+SUMIFS(全国按日ICE!$G:$G,全国按日ICE!$B:$B,全车有效线索管控!C4)</f>
        <v>19800</v>
      </c>
      <c r="D6">
        <f>SUMIFS(全国按日NEV!$F:$F,全国按日NEV!$C:$C,全车有效线索管控!D4)+SUMIFS(全国按日ICE!$G:$G,全国按日ICE!$B:$B,全车有效线索管控!D4)</f>
        <v>20622</v>
      </c>
      <c r="E6">
        <f>SUMIFS(全国按日NEV!$F:$F,全国按日NEV!$C:$C,全车有效线索管控!E4)+SUMIFS(全国按日ICE!$G:$G,全国按日ICE!$B:$B,全车有效线索管控!E4)</f>
        <v>22214</v>
      </c>
      <c r="F6">
        <f>SUMIFS(全国按日NEV!$F:$F,全国按日NEV!$C:$C,全车有效线索管控!F4)+SUMIFS(全国按日ICE!$G:$G,全国按日ICE!$B:$B,全车有效线索管控!F4)</f>
        <v>24213</v>
      </c>
      <c r="G6">
        <f>SUMIFS(全国按日NEV!$F:$F,全国按日NEV!$C:$C,全车有效线索管控!G4)+SUMIFS(全国按日ICE!$G:$G,全国按日ICE!$B:$B,全车有效线索管控!G4)</f>
        <v>23293</v>
      </c>
      <c r="H6">
        <f>SUMIFS(全国按日NEV!$F:$F,全国按日NEV!$C:$C,全车有效线索管控!H4)+SUMIFS(全国按日ICE!$G:$G,全国按日ICE!$B:$B,全车有效线索管控!H4)</f>
        <v>23403</v>
      </c>
      <c r="I6">
        <f>SUMIFS(全国按日NEV!$F:$F,全国按日NEV!$C:$C,全车有效线索管控!I4)+SUMIFS(全国按日ICE!$G:$G,全国按日ICE!$B:$B,全车有效线索管控!I4)</f>
        <v>27820</v>
      </c>
      <c r="J6">
        <f>SUMIFS(全国按日NEV!$F:$F,全国按日NEV!$C:$C,全车有效线索管控!J4)+SUMIFS(全国按日ICE!$G:$G,全国按日ICE!$B:$B,全车有效线索管控!J4)</f>
        <v>26179</v>
      </c>
      <c r="K6">
        <f>SUMIFS(全国按日NEV!$F:$F,全国按日NEV!$C:$C,全车有效线索管控!K4)+SUMIFS(全国按日ICE!$G:$G,全国按日ICE!$B:$B,全车有效线索管控!K4)</f>
        <v>23721</v>
      </c>
      <c r="L6">
        <f>SUMIFS(全国按日NEV!$F:$F,全国按日NEV!$C:$C,全车有效线索管控!L4)+SUMIFS(全国按日ICE!$G:$G,全国按日ICE!$B:$B,全车有效线索管控!L4)</f>
        <v>27947</v>
      </c>
      <c r="M6">
        <f>SUMIFS(全国按日NEV!$F:$F,全国按日NEV!$C:$C,全车有效线索管控!M4)+SUMIFS(全国按日ICE!$G:$G,全国按日ICE!$B:$B,全车有效线索管控!M4)</f>
        <v>30430</v>
      </c>
      <c r="N6">
        <f>SUMIFS(全国按日NEV!$F:$F,全国按日NEV!$C:$C,全车有效线索管控!N4)+SUMIFS(全国按日ICE!$G:$G,全国按日ICE!$B:$B,全车有效线索管控!N4)</f>
        <v>26762</v>
      </c>
      <c r="O6">
        <f>SUMIFS(全国按日NEV!$F:$F,全国按日NEV!$C:$C,全车有效线索管控!O4)+SUMIFS(全国按日ICE!$G:$G,全国按日ICE!$B:$B,全车有效线索管控!O4)</f>
        <v>25854</v>
      </c>
      <c r="P6">
        <f>SUMIFS(全国按日NEV!$F:$F,全国按日NEV!$C:$C,全车有效线索管控!P4)+SUMIFS(全国按日ICE!$G:$G,全国按日ICE!$B:$B,全车有效线索管控!P4)</f>
        <v>26715</v>
      </c>
      <c r="Q6">
        <f>SUMIFS(全国按日NEV!$F:$F,全国按日NEV!$C:$C,全车有效线索管控!Q4)+SUMIFS(全国按日ICE!$G:$G,全国按日ICE!$B:$B,全车有效线索管控!Q4)</f>
        <v>26816</v>
      </c>
      <c r="R6">
        <f>SUMIFS(全国按日NEV!$F:$F,全国按日NEV!$C:$C,全车有效线索管控!R4)+SUMIFS(全国按日ICE!$G:$G,全国按日ICE!$B:$B,全车有效线索管控!R4)</f>
        <v>26330</v>
      </c>
      <c r="S6">
        <f>SUMIFS(全国按日NEV!$F:$F,全国按日NEV!$C:$C,全车有效线索管控!S4)+SUMIFS(全国按日ICE!$G:$G,全国按日ICE!$B:$B,全车有效线索管控!S4)</f>
        <v>30850</v>
      </c>
      <c r="T6">
        <f>SUMIFS(全国按日NEV!$F:$F,全国按日NEV!$C:$C,全车有效线索管控!T4)+SUMIFS(全国按日ICE!$G:$G,全国按日ICE!$B:$B,全车有效线索管控!T4)</f>
        <v>30493</v>
      </c>
      <c r="U6">
        <f>SUMIFS(全国按日NEV!$F:$F,全国按日NEV!$C:$C,全车有效线索管控!U4)+SUMIFS(全国按日ICE!$G:$G,全国按日ICE!$B:$B,全车有效线索管控!U4)</f>
        <v>27334</v>
      </c>
      <c r="V6">
        <f>SUMIFS(全国按日NEV!$F:$F,全国按日NEV!$C:$C,全车有效线索管控!V4)+SUMIFS(全国按日ICE!$G:$G,全国按日ICE!$B:$B,全车有效线索管控!V4)</f>
        <v>27158</v>
      </c>
      <c r="W6">
        <f>SUMIFS(全国按日NEV!$F:$F,全国按日NEV!$C:$C,全车有效线索管控!W4)+SUMIFS(全国按日ICE!$G:$G,全国按日ICE!$B:$B,全车有效线索管控!W4)</f>
        <v>27872</v>
      </c>
      <c r="X6">
        <f>SUMIFS(全国按日NEV!$F:$F,全国按日NEV!$C:$C,全车有效线索管控!X4)+SUMIFS(全国按日ICE!$G:$G,全国按日ICE!$B:$B,全车有效线索管控!X4)</f>
        <v>27697</v>
      </c>
      <c r="Y6">
        <f>SUMIFS(全国按日NEV!$F:$F,全国按日NEV!$C:$C,全车有效线索管控!Y4)+SUMIFS(全国按日ICE!$G:$G,全国按日ICE!$B:$B,全车有效线索管控!Y4)</f>
        <v>28397</v>
      </c>
      <c r="Z6">
        <f>SUMIFS(全国按日NEV!$F:$F,全国按日NEV!$C:$C,全车有效线索管控!Z4)+SUMIFS(全国按日ICE!$G:$G,全国按日ICE!$B:$B,全车有效线索管控!Z4)</f>
        <v>33822</v>
      </c>
      <c r="AA6">
        <f>SUMIFS(全国按日NEV!$F:$F,全国按日NEV!$C:$C,全车有效线索管控!AA4)+SUMIFS(全国按日ICE!$G:$G,全国按日ICE!$B:$B,全车有效线索管控!AA4)</f>
        <v>32286</v>
      </c>
      <c r="AB6">
        <f>SUMIFS(全国按日NEV!$F:$F,全国按日NEV!$C:$C,全车有效线索管控!AB4)+SUMIFS(全国按日ICE!$G:$G,全国按日ICE!$B:$B,全车有效线索管控!AB4)</f>
        <v>29505</v>
      </c>
      <c r="AC6">
        <f>SUMIFS(全国按日NEV!$F:$F,全国按日NEV!$C:$C,全车有效线索管控!AC4)+SUMIFS(全国按日ICE!$G:$G,全国按日ICE!$B:$B,全车有效线索管控!AC4)</f>
        <v>30578</v>
      </c>
      <c r="AD6">
        <f>SUMIFS(全国按日NEV!$F:$F,全国按日NEV!$C:$C,全车有效线索管控!AD4)+SUMIFS(全国按日ICE!$G:$G,全国按日ICE!$B:$B,全车有效线索管控!AD4)</f>
        <v>31465</v>
      </c>
      <c r="AE6">
        <f>SUMIFS(全国按日NEV!$F:$F,全国按日NEV!$C:$C,全车有效线索管控!AE4)+SUMIFS(全国按日ICE!$G:$G,全国按日ICE!$B:$B,全车有效线索管控!AE4)</f>
        <v>34259</v>
      </c>
    </row>
    <row r="7" spans="1:32">
      <c r="A7" t="s">
        <v>19</v>
      </c>
      <c r="B7">
        <f>SUM($B$5)</f>
        <v>24950</v>
      </c>
      <c r="C7">
        <f>SUM($B$5:C5)</f>
        <v>49268</v>
      </c>
      <c r="D7">
        <f>SUM($B$5:D5)</f>
        <v>72946</v>
      </c>
      <c r="E7">
        <f>SUM($B$5:E5)</f>
        <v>97666</v>
      </c>
      <c r="F7">
        <f>SUM($B$5:F5)</f>
        <v>122314</v>
      </c>
      <c r="G7">
        <f>SUM($B$5:G5)</f>
        <v>146298</v>
      </c>
      <c r="H7">
        <f>SUM($B$5:H5)</f>
        <v>171476</v>
      </c>
      <c r="I7">
        <f>SUM($B$5:I5)</f>
        <v>195816</v>
      </c>
      <c r="J7">
        <f>SUM($B$5:J5)</f>
        <v>219020</v>
      </c>
      <c r="K7">
        <f>SUM($B$5:K5)</f>
        <v>242222</v>
      </c>
      <c r="L7">
        <f>SUM($B$5:L5)</f>
        <v>265025</v>
      </c>
      <c r="M7">
        <f>SUM($B$5:M5)</f>
        <v>288831</v>
      </c>
      <c r="N7">
        <f>SUM($B$5:N5)</f>
        <v>313513</v>
      </c>
      <c r="O7">
        <f>SUM($B$5:O5)</f>
        <v>339744</v>
      </c>
      <c r="P7">
        <f>SUM($B$5:P5)</f>
        <v>366614</v>
      </c>
      <c r="Q7">
        <f>SUM($B$5:Q5)</f>
        <v>393335</v>
      </c>
      <c r="R7">
        <f>SUM($B$5:R5)</f>
        <v>417724</v>
      </c>
      <c r="S7">
        <f>SUM($B$5:S5)</f>
        <v>441731</v>
      </c>
      <c r="T7">
        <f>SUM($B$5:T5)</f>
        <v>465570</v>
      </c>
      <c r="U7">
        <f>SUM($B$5:U5)</f>
        <v>490595</v>
      </c>
      <c r="V7">
        <f>SUM($B$5:V5)</f>
        <v>515873</v>
      </c>
      <c r="W7">
        <f>SUM($B$5:W5)</f>
        <v>545446</v>
      </c>
      <c r="X7">
        <f>SUM($B$5:X5)</f>
        <v>570939</v>
      </c>
      <c r="Y7">
        <f>SUM($B$5:Y5)</f>
        <v>594520</v>
      </c>
      <c r="Z7">
        <f>SUM($B$5:Z5)</f>
        <v>617811</v>
      </c>
      <c r="AA7">
        <f>SUM($B$5:AA5)</f>
        <v>643075</v>
      </c>
      <c r="AB7">
        <f>SUM($B$5:AB5)</f>
        <v>667005</v>
      </c>
      <c r="AC7">
        <f>SUM($B$5:AC5)</f>
        <v>692721</v>
      </c>
      <c r="AD7">
        <f>SUM($B$5:AD5)</f>
        <v>719509</v>
      </c>
      <c r="AE7">
        <f>SUM($B$5:AE5)</f>
        <v>744705</v>
      </c>
      <c r="AF7">
        <f>SUM($B$5:AF5)</f>
        <v>768939</v>
      </c>
    </row>
    <row r="8" spans="1:32">
      <c r="A8" t="s">
        <v>20</v>
      </c>
      <c r="B8">
        <f ca="1">IF(B4&lt;(TODAY()-1),SUM($B$6),NA())</f>
        <v>19063</v>
      </c>
      <c r="C8">
        <f ca="1">IF(B4&lt;(TODAY()-1),SUM($B$6:C6),NA())</f>
        <v>38863</v>
      </c>
      <c r="D8">
        <f ca="1">IF(C4&lt;(TODAY()-1),SUM($B$6:D6),NA())</f>
        <v>59485</v>
      </c>
      <c r="E8">
        <f ca="1">IF(D4&lt;(TODAY()-1),SUM($B$6:E6),NA())</f>
        <v>81699</v>
      </c>
      <c r="F8">
        <f ca="1">IF(E4&lt;(TODAY()-1),SUM($B$6:F6),NA())</f>
        <v>105912</v>
      </c>
      <c r="G8">
        <f ca="1">IF(F4&lt;(TODAY()-1),SUM($B$6:G6),NA())</f>
        <v>129205</v>
      </c>
      <c r="H8">
        <f ca="1">IF(G4&lt;(TODAY()-1),SUM($B$6:H6),NA())</f>
        <v>152608</v>
      </c>
      <c r="I8">
        <f ca="1">IF(H4&lt;(TODAY()-1),SUM($B$6:I6),NA())</f>
        <v>180428</v>
      </c>
      <c r="J8">
        <f ca="1">IF(I4&lt;(TODAY()-1),SUM($B$6:J6),NA())</f>
        <v>206607</v>
      </c>
      <c r="K8">
        <f ca="1">IF(J4&lt;(TODAY()-1),SUM($B$6:K6),NA())</f>
        <v>230328</v>
      </c>
      <c r="L8">
        <f ca="1">IF(K4&lt;(TODAY()-1),SUM($B$6:L6),NA())</f>
        <v>258275</v>
      </c>
      <c r="M8">
        <f ca="1">IF(L4&lt;(TODAY()-1),SUM($B$6:M6),NA())</f>
        <v>288705</v>
      </c>
      <c r="N8">
        <f ca="1">IF(M4&lt;(TODAY()-1),SUM($B$6:N6),NA())</f>
        <v>315467</v>
      </c>
      <c r="O8">
        <f ca="1">IF(N4&lt;(TODAY()-1),SUM($B$6:O6),NA())</f>
        <v>341321</v>
      </c>
      <c r="P8">
        <f ca="1">IF(O4&lt;(TODAY()-1),SUM($B$6:P6),NA())</f>
        <v>368036</v>
      </c>
      <c r="Q8">
        <f ca="1">IF(P4&lt;(TODAY()-1),SUM($B$6:Q6),NA())</f>
        <v>394852</v>
      </c>
      <c r="R8">
        <f ca="1">IF(Q4&lt;(TODAY()-1),SUM($B$6:R6),NA())</f>
        <v>421182</v>
      </c>
      <c r="S8">
        <f ca="1">IF(R4&lt;(TODAY()-1),SUM($B$6:S6),NA())</f>
        <v>452032</v>
      </c>
      <c r="T8">
        <f ca="1">IF(S4&lt;(TODAY()-1),SUM($B$6:T6),NA())</f>
        <v>482525</v>
      </c>
      <c r="U8">
        <f ca="1">IF(T4&lt;(TODAY()-1),SUM($B$6:U6),NA())</f>
        <v>509859</v>
      </c>
      <c r="V8">
        <f ca="1">IF(U4&lt;(TODAY()-1),SUM($B$6:V6),NA())</f>
        <v>537017</v>
      </c>
      <c r="W8">
        <f ca="1">IF(V4&lt;(TODAY()-1),SUM($B$6:W6),NA())</f>
        <v>564889</v>
      </c>
      <c r="X8">
        <f ca="1">IF(W4&lt;(TODAY()-1),SUM($B$6:X6),NA())</f>
        <v>592586</v>
      </c>
      <c r="Y8">
        <f ca="1">IF(X4&lt;(TODAY()-1),SUM($B$6:Y6),NA())</f>
        <v>620983</v>
      </c>
      <c r="Z8">
        <f ca="1">IF(Y4&lt;(TODAY()-1),SUM($B$6:Z6),NA())</f>
        <v>654805</v>
      </c>
      <c r="AA8">
        <f ca="1">IF(Z4&lt;(TODAY()-1),SUM($B$6:AA6),NA())</f>
        <v>687091</v>
      </c>
      <c r="AB8">
        <f ca="1">IF(AA4&lt;(TODAY()-1),SUM($B$6:AB6),NA())</f>
        <v>716596</v>
      </c>
      <c r="AC8">
        <f ca="1">IF(AB4&lt;(TODAY()-1),SUM($B$6:AC6),NA())</f>
        <v>747174</v>
      </c>
      <c r="AD8">
        <f ca="1">IF(AC4&lt;(TODAY()-1),SUM($B$6:AD6),NA())</f>
        <v>778639</v>
      </c>
      <c r="AE8">
        <f ca="1">IF(AD4&lt;(TODAY()-1),SUM($B$6:AE6),NA())</f>
        <v>812898</v>
      </c>
      <c r="AF8">
        <f ca="1">IF(AE4&lt;(TODAY()-1),SUM($B$6:AF6),NA())</f>
        <v>812898</v>
      </c>
    </row>
    <row r="9" spans="1:32">
      <c r="A9" s="11" t="s">
        <v>21</v>
      </c>
      <c r="B9" s="17">
        <f t="shared" ref="B9:AF9" si="0">IF(B6&lt;&gt;0,B6/B5-1,"-")</f>
        <v>-0.23595190380761522</v>
      </c>
      <c r="C9" s="17">
        <f t="shared" si="0"/>
        <v>-0.18578830495928944</v>
      </c>
      <c r="D9" s="17">
        <f t="shared" si="0"/>
        <v>-0.1290649548103725</v>
      </c>
      <c r="E9" s="17">
        <f t="shared" si="0"/>
        <v>-0.10137540453074434</v>
      </c>
      <c r="F9" s="17">
        <f t="shared" si="0"/>
        <v>-1.7648490749756607E-2</v>
      </c>
      <c r="G9" s="17">
        <f t="shared" si="0"/>
        <v>-2.8810873915943946E-2</v>
      </c>
      <c r="H9" s="17">
        <f t="shared" si="0"/>
        <v>-7.0498053856541398E-2</v>
      </c>
      <c r="I9" s="17">
        <f t="shared" si="0"/>
        <v>0.14297452752670492</v>
      </c>
      <c r="J9" s="17">
        <f t="shared" si="0"/>
        <v>0.12821065333563175</v>
      </c>
      <c r="K9" s="17">
        <f t="shared" si="0"/>
        <v>2.2368761313679819E-2</v>
      </c>
      <c r="L9" s="17">
        <f t="shared" si="0"/>
        <v>0.22558435293601709</v>
      </c>
      <c r="M9" s="17">
        <f t="shared" si="0"/>
        <v>0.27824918087877015</v>
      </c>
      <c r="N9" s="17">
        <f t="shared" si="0"/>
        <v>8.4271939064905599E-2</v>
      </c>
      <c r="O9" s="17">
        <f t="shared" si="0"/>
        <v>-1.4372307575006626E-2</v>
      </c>
      <c r="P9" s="17">
        <f t="shared" si="0"/>
        <v>-5.7685150725715895E-3</v>
      </c>
      <c r="Q9" s="17">
        <f t="shared" si="0"/>
        <v>3.5552561655627368E-3</v>
      </c>
      <c r="R9" s="17">
        <f t="shared" si="0"/>
        <v>7.9585058838000711E-2</v>
      </c>
      <c r="S9" s="17">
        <f t="shared" si="0"/>
        <v>0.28504186279001953</v>
      </c>
      <c r="T9" s="17">
        <f t="shared" si="0"/>
        <v>0.27912244641134265</v>
      </c>
      <c r="U9" s="17">
        <f t="shared" si="0"/>
        <v>9.2267732267732328E-2</v>
      </c>
      <c r="V9" s="17">
        <f t="shared" si="0"/>
        <v>7.4372972545296401E-2</v>
      </c>
      <c r="W9" s="17">
        <f t="shared" si="0"/>
        <v>-5.7518682582085034E-2</v>
      </c>
      <c r="X9" s="17">
        <f t="shared" si="0"/>
        <v>8.6455105323029802E-2</v>
      </c>
      <c r="Y9" s="17">
        <f t="shared" si="0"/>
        <v>0.20423222085577364</v>
      </c>
      <c r="Z9" s="17">
        <f t="shared" si="0"/>
        <v>0.45214889871624231</v>
      </c>
      <c r="AA9" s="17">
        <f t="shared" si="0"/>
        <v>0.27794490183660536</v>
      </c>
      <c r="AB9" s="17">
        <f t="shared" si="0"/>
        <v>0.23297116590054334</v>
      </c>
      <c r="AC9" s="17">
        <f t="shared" si="0"/>
        <v>0.18906517343288232</v>
      </c>
      <c r="AD9" s="17">
        <f t="shared" si="0"/>
        <v>0.17459310138868145</v>
      </c>
      <c r="AE9" s="17">
        <f t="shared" si="0"/>
        <v>0.35969995237339258</v>
      </c>
      <c r="AF9" s="17" t="str">
        <f t="shared" si="0"/>
        <v>-</v>
      </c>
    </row>
    <row r="10" spans="1:32">
      <c r="A10" s="11" t="s">
        <v>22</v>
      </c>
      <c r="B10" s="17">
        <f t="shared" ref="B10:AF10" ca="1" si="1">IFERROR(B8/B7-1,"-")</f>
        <v>-0.23595190380761522</v>
      </c>
      <c r="C10" s="17">
        <f t="shared" ca="1" si="1"/>
        <v>-0.21119184866444751</v>
      </c>
      <c r="D10" s="17">
        <f t="shared" ca="1" si="1"/>
        <v>-0.18453376470265681</v>
      </c>
      <c r="E10" s="17">
        <f t="shared" ca="1" si="1"/>
        <v>-0.16348575758196304</v>
      </c>
      <c r="F10" s="17">
        <f t="shared" ca="1" si="1"/>
        <v>-0.13409748679627842</v>
      </c>
      <c r="G10" s="17">
        <f t="shared" ca="1" si="1"/>
        <v>-0.11683686721622988</v>
      </c>
      <c r="H10" s="17">
        <f t="shared" ca="1" si="1"/>
        <v>-0.11003289090018431</v>
      </c>
      <c r="I10" s="17">
        <f t="shared" ca="1" si="1"/>
        <v>-7.8583976794541766E-2</v>
      </c>
      <c r="J10" s="17">
        <f t="shared" ca="1" si="1"/>
        <v>-5.6675189480412724E-2</v>
      </c>
      <c r="K10" s="17">
        <f t="shared" ca="1" si="1"/>
        <v>-4.9103714774050289E-2</v>
      </c>
      <c r="L10" s="17">
        <f t="shared" ca="1" si="1"/>
        <v>-2.546929534949538E-2</v>
      </c>
      <c r="M10" s="17">
        <f t="shared" ca="1" si="1"/>
        <v>-4.3624126219143911E-4</v>
      </c>
      <c r="N10" s="17">
        <f t="shared" ca="1" si="1"/>
        <v>6.2325964154597013E-3</v>
      </c>
      <c r="O10" s="17">
        <f t="shared" ca="1" si="1"/>
        <v>4.6417302439483166E-3</v>
      </c>
      <c r="P10" s="17">
        <f t="shared" ca="1" si="1"/>
        <v>3.8787389461394373E-3</v>
      </c>
      <c r="Q10" s="17">
        <f t="shared" ca="1" si="1"/>
        <v>3.8567633187995831E-3</v>
      </c>
      <c r="R10" s="17">
        <f t="shared" ca="1" si="1"/>
        <v>8.2781932567914662E-3</v>
      </c>
      <c r="S10" s="17">
        <f t="shared" ca="1" si="1"/>
        <v>2.3319622122966344E-2</v>
      </c>
      <c r="T10" s="17">
        <f t="shared" ca="1" si="1"/>
        <v>3.641772450974079E-2</v>
      </c>
      <c r="U10" s="17">
        <f t="shared" ca="1" si="1"/>
        <v>3.9266604836983632E-2</v>
      </c>
      <c r="V10" s="17">
        <f t="shared" ca="1" si="1"/>
        <v>4.0986832030364129E-2</v>
      </c>
      <c r="W10" s="17">
        <f t="shared" ca="1" si="1"/>
        <v>3.5646058454915863E-2</v>
      </c>
      <c r="X10" s="17">
        <f t="shared" ca="1" si="1"/>
        <v>3.7914733447881543E-2</v>
      </c>
      <c r="Y10" s="17">
        <f t="shared" ca="1" si="1"/>
        <v>4.4511538720312105E-2</v>
      </c>
      <c r="Z10" s="17">
        <f t="shared" ca="1" si="1"/>
        <v>5.9879153980748168E-2</v>
      </c>
      <c r="AA10" s="17">
        <f t="shared" ca="1" si="1"/>
        <v>6.8446137697780296E-2</v>
      </c>
      <c r="AB10" s="17">
        <f t="shared" ca="1" si="1"/>
        <v>7.4348768000239929E-2</v>
      </c>
      <c r="AC10" s="17">
        <f t="shared" ca="1" si="1"/>
        <v>7.8607404712719875E-2</v>
      </c>
      <c r="AD10" s="17">
        <f t="shared" ca="1" si="1"/>
        <v>8.2181042905648205E-2</v>
      </c>
      <c r="AE10" s="17">
        <f t="shared" ca="1" si="1"/>
        <v>9.1570487642757881E-2</v>
      </c>
      <c r="AF10" s="17">
        <f t="shared" ca="1" si="1"/>
        <v>5.7168383968039027E-2</v>
      </c>
    </row>
  </sheetData>
  <phoneticPr fontId="5" type="noConversion"/>
  <pageMargins left="0.7" right="0.7" top="0.75" bottom="0.75" header="0.3" footer="0.3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7" tint="0.79998168889431442"/>
  </sheetPr>
  <dimension ref="A1:BF247"/>
  <sheetViews>
    <sheetView workbookViewId="0">
      <selection activeCell="J21" sqref="J21"/>
    </sheetView>
  </sheetViews>
  <sheetFormatPr defaultColWidth="10" defaultRowHeight="14.25"/>
  <cols>
    <col min="1" max="1" width="5.625" customWidth="1"/>
    <col min="2" max="2" width="6.75" customWidth="1"/>
    <col min="3" max="3" width="9.75" customWidth="1"/>
    <col min="4" max="4" width="11.125" customWidth="1"/>
    <col min="5" max="7" width="7.5" customWidth="1"/>
    <col min="8" max="9" width="9" customWidth="1"/>
    <col min="10" max="12" width="7.5" customWidth="1"/>
    <col min="13" max="17" width="9" customWidth="1"/>
    <col min="18" max="18" width="7.5" customWidth="1"/>
    <col min="19" max="22" width="9.5" customWidth="1"/>
    <col min="23" max="23" width="7.5" customWidth="1"/>
    <col min="24" max="24" width="6.75" customWidth="1"/>
    <col min="25" max="25" width="7.5" customWidth="1"/>
    <col min="26" max="26" width="6.75" customWidth="1"/>
    <col min="27" max="27" width="7.5" customWidth="1"/>
    <col min="28" max="28" width="6.75" customWidth="1"/>
    <col min="29" max="31" width="7.5" customWidth="1"/>
    <col min="32" max="32" width="8.25" customWidth="1"/>
    <col min="33" max="34" width="9.75" customWidth="1"/>
    <col min="35" max="38" width="7.5" customWidth="1"/>
    <col min="39" max="39" width="6.75" customWidth="1"/>
    <col min="40" max="41" width="7.5" customWidth="1"/>
    <col min="42" max="42" width="10.75" customWidth="1"/>
    <col min="43" max="43" width="12.5" customWidth="1"/>
    <col min="44" max="44" width="9.75" customWidth="1"/>
    <col min="45" max="45" width="6.75" customWidth="1"/>
    <col min="46" max="46" width="7.5" customWidth="1"/>
    <col min="47" max="49" width="6.125" customWidth="1"/>
    <col min="50" max="51" width="8.125" customWidth="1"/>
    <col min="52" max="53" width="9.75" customWidth="1"/>
    <col min="54" max="54" width="9.5" customWidth="1"/>
    <col min="55" max="58" width="8.125" customWidth="1"/>
    <col min="59" max="87" width="9.75" customWidth="1"/>
  </cols>
  <sheetData>
    <row r="1" spans="1:58" ht="22.7" customHeight="1">
      <c r="A1" s="32" t="s">
        <v>23</v>
      </c>
      <c r="B1" s="32" t="s">
        <v>24</v>
      </c>
      <c r="C1" s="32" t="s">
        <v>9</v>
      </c>
      <c r="D1" s="32" t="s">
        <v>25</v>
      </c>
      <c r="E1" s="32" t="s">
        <v>26</v>
      </c>
      <c r="F1" s="33"/>
      <c r="G1" s="33"/>
      <c r="H1" s="33"/>
      <c r="I1" s="34"/>
      <c r="J1" s="32" t="s">
        <v>27</v>
      </c>
      <c r="K1" s="33"/>
      <c r="L1" s="33"/>
      <c r="M1" s="33"/>
      <c r="N1" s="33"/>
      <c r="O1" s="33"/>
      <c r="P1" s="33"/>
      <c r="Q1" s="34"/>
      <c r="R1" s="32" t="s">
        <v>28</v>
      </c>
      <c r="S1" s="33"/>
      <c r="T1" s="33"/>
      <c r="U1" s="33"/>
      <c r="V1" s="34"/>
      <c r="W1" s="32" t="s">
        <v>29</v>
      </c>
      <c r="X1" s="33"/>
      <c r="Y1" s="33"/>
      <c r="Z1" s="33"/>
      <c r="AA1" s="33"/>
      <c r="AB1" s="34"/>
      <c r="AC1" s="32" t="s">
        <v>30</v>
      </c>
      <c r="AD1" s="33"/>
      <c r="AE1" s="33"/>
      <c r="AF1" s="33"/>
      <c r="AG1" s="33"/>
      <c r="AH1" s="34"/>
      <c r="AI1" s="32" t="s">
        <v>31</v>
      </c>
      <c r="AJ1" s="33"/>
      <c r="AK1" s="33"/>
      <c r="AL1" s="33"/>
      <c r="AM1" s="33"/>
      <c r="AN1" s="33"/>
      <c r="AO1" s="33"/>
      <c r="AP1" s="33"/>
      <c r="AQ1" s="34"/>
      <c r="AR1" s="32" t="s">
        <v>32</v>
      </c>
      <c r="AS1" s="33"/>
      <c r="AT1" s="33"/>
      <c r="AU1" s="33"/>
      <c r="AV1" s="33"/>
      <c r="AW1" s="33"/>
      <c r="AX1" s="33"/>
      <c r="AY1" s="33"/>
      <c r="AZ1" s="33"/>
      <c r="BA1" s="34"/>
      <c r="BB1" s="32" t="s">
        <v>33</v>
      </c>
      <c r="BC1" s="33"/>
      <c r="BD1" s="33"/>
      <c r="BE1" s="33"/>
      <c r="BF1" s="34"/>
    </row>
    <row r="2" spans="1:58" ht="28.7" customHeight="1">
      <c r="A2" s="36"/>
      <c r="B2" s="36"/>
      <c r="C2" s="36"/>
      <c r="D2" s="36"/>
      <c r="E2" s="18" t="s">
        <v>34</v>
      </c>
      <c r="F2" s="18" t="s">
        <v>35</v>
      </c>
      <c r="G2" s="18" t="s">
        <v>36</v>
      </c>
      <c r="H2" s="18" t="s">
        <v>37</v>
      </c>
      <c r="I2" s="18" t="s">
        <v>38</v>
      </c>
      <c r="J2" s="18" t="s">
        <v>39</v>
      </c>
      <c r="K2" s="19" t="s">
        <v>40</v>
      </c>
      <c r="L2" s="18" t="s">
        <v>41</v>
      </c>
      <c r="M2" s="18" t="s">
        <v>42</v>
      </c>
      <c r="N2" s="18" t="s">
        <v>43</v>
      </c>
      <c r="O2" s="18" t="s">
        <v>44</v>
      </c>
      <c r="P2" s="18" t="s">
        <v>45</v>
      </c>
      <c r="Q2" s="18" t="s">
        <v>46</v>
      </c>
      <c r="R2" s="18" t="s">
        <v>47</v>
      </c>
      <c r="S2" s="18" t="s">
        <v>48</v>
      </c>
      <c r="T2" s="18" t="s">
        <v>49</v>
      </c>
      <c r="U2" s="18" t="s">
        <v>50</v>
      </c>
      <c r="V2" s="18" t="s">
        <v>51</v>
      </c>
      <c r="W2" s="18" t="s">
        <v>52</v>
      </c>
      <c r="X2" s="18" t="s">
        <v>53</v>
      </c>
      <c r="Y2" s="18" t="s">
        <v>54</v>
      </c>
      <c r="Z2" s="18" t="s">
        <v>55</v>
      </c>
      <c r="AA2" s="18" t="s">
        <v>56</v>
      </c>
      <c r="AB2" s="18" t="s">
        <v>57</v>
      </c>
      <c r="AC2" s="18" t="s">
        <v>58</v>
      </c>
      <c r="AD2" s="18" t="s">
        <v>59</v>
      </c>
      <c r="AE2" s="18" t="s">
        <v>60</v>
      </c>
      <c r="AF2" s="18" t="s">
        <v>61</v>
      </c>
      <c r="AG2" s="18" t="s">
        <v>62</v>
      </c>
      <c r="AH2" s="18" t="s">
        <v>63</v>
      </c>
      <c r="AI2" s="18" t="s">
        <v>64</v>
      </c>
      <c r="AJ2" s="18" t="s">
        <v>65</v>
      </c>
      <c r="AK2" s="18" t="s">
        <v>66</v>
      </c>
      <c r="AL2" s="18" t="s">
        <v>67</v>
      </c>
      <c r="AM2" s="18" t="s">
        <v>68</v>
      </c>
      <c r="AN2" s="18" t="s">
        <v>69</v>
      </c>
      <c r="AO2" s="18" t="s">
        <v>70</v>
      </c>
      <c r="AP2" s="18" t="s">
        <v>71</v>
      </c>
      <c r="AQ2" s="18" t="s">
        <v>72</v>
      </c>
      <c r="AR2" s="18" t="s">
        <v>73</v>
      </c>
      <c r="AS2" s="18" t="s">
        <v>74</v>
      </c>
      <c r="AT2" s="18" t="s">
        <v>75</v>
      </c>
      <c r="AU2" s="18" t="s">
        <v>76</v>
      </c>
      <c r="AV2" s="18" t="s">
        <v>77</v>
      </c>
      <c r="AW2" s="18" t="s">
        <v>78</v>
      </c>
      <c r="AX2" s="18" t="s">
        <v>79</v>
      </c>
      <c r="AY2" s="18" t="s">
        <v>80</v>
      </c>
      <c r="AZ2" s="18" t="s">
        <v>81</v>
      </c>
      <c r="BA2" s="18" t="s">
        <v>82</v>
      </c>
      <c r="BB2" s="18" t="s">
        <v>83</v>
      </c>
      <c r="BC2" s="18" t="s">
        <v>84</v>
      </c>
      <c r="BD2" s="18" t="s">
        <v>85</v>
      </c>
      <c r="BE2" s="18" t="s">
        <v>86</v>
      </c>
      <c r="BF2" s="18" t="s">
        <v>87</v>
      </c>
    </row>
    <row r="3" spans="1:58" ht="19.5" customHeight="1">
      <c r="A3" s="35" t="s">
        <v>10</v>
      </c>
      <c r="B3" s="33"/>
      <c r="C3" s="33"/>
      <c r="D3" s="34"/>
      <c r="E3" s="20">
        <v>734192</v>
      </c>
      <c r="F3" s="20">
        <v>650191</v>
      </c>
      <c r="G3" s="21">
        <v>0.88558714886569179</v>
      </c>
      <c r="H3" s="20">
        <v>341992</v>
      </c>
      <c r="I3" s="22">
        <v>0.46580730925970321</v>
      </c>
      <c r="J3" s="20">
        <v>736155</v>
      </c>
      <c r="K3" s="20">
        <v>715463</v>
      </c>
      <c r="L3" s="21">
        <v>0.97199999999999998</v>
      </c>
      <c r="M3" s="20">
        <v>3115486</v>
      </c>
      <c r="N3" s="20">
        <v>3124895</v>
      </c>
      <c r="O3" s="20">
        <v>3062899</v>
      </c>
      <c r="P3" s="21">
        <v>0.98312077152649702</v>
      </c>
      <c r="Q3" s="20">
        <v>7965</v>
      </c>
      <c r="R3" s="20">
        <v>790713</v>
      </c>
      <c r="S3" s="20">
        <v>379466</v>
      </c>
      <c r="T3" s="21">
        <v>0.47990358069236239</v>
      </c>
      <c r="U3" s="20">
        <v>165472</v>
      </c>
      <c r="V3" s="21">
        <v>0.20926935563219529</v>
      </c>
      <c r="W3" s="20">
        <v>542959</v>
      </c>
      <c r="X3" s="21">
        <v>0.73953271078954819</v>
      </c>
      <c r="Y3" s="20">
        <v>177676</v>
      </c>
      <c r="Z3" s="23">
        <v>0.24200209209580059</v>
      </c>
      <c r="AA3" s="20">
        <v>10517</v>
      </c>
      <c r="AB3" s="21">
        <v>1.432459084272234E-2</v>
      </c>
      <c r="AC3" s="20">
        <v>112980</v>
      </c>
      <c r="AD3" s="21">
        <v>0.1538834528297775</v>
      </c>
      <c r="AE3" s="20">
        <v>20584</v>
      </c>
      <c r="AF3" s="21">
        <v>0.1821915383253673</v>
      </c>
      <c r="AG3" s="20">
        <v>102921</v>
      </c>
      <c r="AH3" s="21">
        <v>0.91096654275092936</v>
      </c>
      <c r="AI3" s="24">
        <v>112181</v>
      </c>
      <c r="AJ3" s="21">
        <v>0.15279518164185929</v>
      </c>
      <c r="AK3" s="24">
        <v>637</v>
      </c>
      <c r="AL3" s="21">
        <v>0.8798013923926512</v>
      </c>
      <c r="AM3" s="24">
        <v>111302</v>
      </c>
      <c r="AN3" s="24">
        <v>98697</v>
      </c>
      <c r="AO3" s="21">
        <v>0.13442941355939589</v>
      </c>
      <c r="AP3" s="21">
        <v>0.87357939458311207</v>
      </c>
      <c r="AQ3" s="22">
        <v>0.96691779489032836</v>
      </c>
      <c r="AR3" s="24">
        <v>8383</v>
      </c>
      <c r="AS3" s="24">
        <v>1223</v>
      </c>
      <c r="AT3" s="24">
        <v>20047</v>
      </c>
      <c r="AU3" s="24">
        <v>17980</v>
      </c>
      <c r="AV3" s="24">
        <v>17820</v>
      </c>
      <c r="AW3" s="24">
        <v>15212</v>
      </c>
      <c r="AX3" s="21">
        <v>2.4489506832000352E-2</v>
      </c>
      <c r="AY3" s="21">
        <v>2.4271580186109351E-2</v>
      </c>
      <c r="AZ3" s="21">
        <v>2.071937585808617E-2</v>
      </c>
      <c r="BA3" s="21">
        <v>0.1805526003829904</v>
      </c>
      <c r="BB3" s="24">
        <v>0</v>
      </c>
      <c r="BC3" s="24">
        <v>48</v>
      </c>
      <c r="BD3" s="22">
        <v>0.98079916969382464</v>
      </c>
      <c r="BE3" s="22">
        <v>0.99087823504454819</v>
      </c>
      <c r="BF3" s="22">
        <v>0</v>
      </c>
    </row>
    <row r="4" spans="1:58" ht="19.5" customHeight="1">
      <c r="A4" s="25">
        <v>1</v>
      </c>
      <c r="B4" s="20" t="s">
        <v>88</v>
      </c>
      <c r="C4" s="26">
        <v>46082</v>
      </c>
      <c r="D4" s="20" t="s">
        <v>12</v>
      </c>
      <c r="E4" s="20">
        <v>2781</v>
      </c>
      <c r="F4" s="20">
        <v>2435</v>
      </c>
      <c r="G4" s="21">
        <v>0.87558432218626392</v>
      </c>
      <c r="H4" s="20">
        <v>1600</v>
      </c>
      <c r="I4" s="22">
        <v>0.57533261416756565</v>
      </c>
      <c r="J4" s="20">
        <v>3143</v>
      </c>
      <c r="K4" s="20">
        <v>3059</v>
      </c>
      <c r="L4" s="21">
        <v>0.97299999999999998</v>
      </c>
      <c r="M4" s="20">
        <v>13104</v>
      </c>
      <c r="N4" s="20">
        <v>12904</v>
      </c>
      <c r="O4" s="20">
        <v>12896</v>
      </c>
      <c r="P4" s="21">
        <v>0.98412698412698407</v>
      </c>
      <c r="Q4" s="20">
        <v>33</v>
      </c>
      <c r="R4" s="20">
        <v>0</v>
      </c>
      <c r="S4" s="20">
        <v>0</v>
      </c>
      <c r="T4" s="21">
        <v>0</v>
      </c>
      <c r="U4" s="20">
        <v>0</v>
      </c>
      <c r="V4" s="21">
        <v>0</v>
      </c>
      <c r="W4" s="20">
        <v>1985</v>
      </c>
      <c r="X4" s="21">
        <v>0.71377202445163612</v>
      </c>
      <c r="Y4" s="20">
        <v>477</v>
      </c>
      <c r="Z4" s="23">
        <v>0.17152103559870549</v>
      </c>
      <c r="AA4" s="20">
        <v>25</v>
      </c>
      <c r="AB4" s="21">
        <v>8.9895720963682132E-3</v>
      </c>
      <c r="AC4" s="20">
        <v>511</v>
      </c>
      <c r="AD4" s="21">
        <v>0.18374685364976631</v>
      </c>
      <c r="AE4" s="20">
        <v>91</v>
      </c>
      <c r="AF4" s="21">
        <v>0.17808219178082191</v>
      </c>
      <c r="AG4" s="20">
        <v>474</v>
      </c>
      <c r="AH4" s="21">
        <v>0.92759295499021521</v>
      </c>
      <c r="AI4" s="24">
        <v>481</v>
      </c>
      <c r="AJ4" s="21">
        <v>0.17295936713412441</v>
      </c>
      <c r="AK4" s="24">
        <v>1</v>
      </c>
      <c r="AL4" s="21">
        <v>0.84615384615384615</v>
      </c>
      <c r="AM4" s="24">
        <v>475</v>
      </c>
      <c r="AN4" s="24">
        <v>407</v>
      </c>
      <c r="AO4" s="21">
        <v>0.14635023372887451</v>
      </c>
      <c r="AP4" s="21">
        <v>0.79647749510763211</v>
      </c>
      <c r="AQ4" s="22">
        <v>0.96086369770580293</v>
      </c>
      <c r="AR4" s="24">
        <v>0</v>
      </c>
      <c r="AS4" s="24">
        <v>0</v>
      </c>
      <c r="AT4" s="24">
        <v>136</v>
      </c>
      <c r="AU4" s="24">
        <v>134</v>
      </c>
      <c r="AV4" s="24">
        <v>141</v>
      </c>
      <c r="AW4" s="24">
        <v>176</v>
      </c>
      <c r="AX4" s="21">
        <v>4.8184106436533619E-2</v>
      </c>
      <c r="AY4" s="21">
        <v>5.070118662351672E-2</v>
      </c>
      <c r="AZ4" s="21">
        <v>6.3286587558432222E-2</v>
      </c>
      <c r="BA4" s="21">
        <v>0.34643734643734642</v>
      </c>
      <c r="BB4" s="24">
        <v>0</v>
      </c>
      <c r="BC4" s="24">
        <v>0</v>
      </c>
      <c r="BD4" s="22">
        <v>1</v>
      </c>
      <c r="BE4" s="22">
        <v>1</v>
      </c>
      <c r="BF4" s="22" t="s">
        <v>89</v>
      </c>
    </row>
    <row r="5" spans="1:58" ht="19.5" customHeight="1">
      <c r="A5" s="25">
        <v>2</v>
      </c>
      <c r="B5" s="20" t="s">
        <v>88</v>
      </c>
      <c r="C5" s="26">
        <v>46082</v>
      </c>
      <c r="D5" s="20" t="s">
        <v>11</v>
      </c>
      <c r="E5" s="20">
        <v>1870</v>
      </c>
      <c r="F5" s="20">
        <v>1688</v>
      </c>
      <c r="G5" s="21">
        <v>0.90267379679144388</v>
      </c>
      <c r="H5" s="20">
        <v>686</v>
      </c>
      <c r="I5" s="22">
        <v>0.36684491978609618</v>
      </c>
      <c r="J5" s="20">
        <v>1673</v>
      </c>
      <c r="K5" s="20">
        <v>1615</v>
      </c>
      <c r="L5" s="21">
        <v>0.96499999999999997</v>
      </c>
      <c r="M5" s="20">
        <v>9032</v>
      </c>
      <c r="N5" s="20">
        <v>8662</v>
      </c>
      <c r="O5" s="20">
        <v>8863</v>
      </c>
      <c r="P5" s="21">
        <v>0.98128875110717451</v>
      </c>
      <c r="Q5" s="20">
        <v>15</v>
      </c>
      <c r="R5" s="20">
        <v>0</v>
      </c>
      <c r="S5" s="20">
        <v>0</v>
      </c>
      <c r="T5" s="21">
        <v>0</v>
      </c>
      <c r="U5" s="20">
        <v>0</v>
      </c>
      <c r="V5" s="21">
        <v>0</v>
      </c>
      <c r="W5" s="20">
        <v>2048</v>
      </c>
      <c r="X5" s="21">
        <v>1.0951871657754011</v>
      </c>
      <c r="Y5" s="20">
        <v>503</v>
      </c>
      <c r="Z5" s="23">
        <v>0.26898395721925128</v>
      </c>
      <c r="AA5" s="20">
        <v>15</v>
      </c>
      <c r="AB5" s="21">
        <v>8.0213903743315516E-3</v>
      </c>
      <c r="AC5" s="20">
        <v>404</v>
      </c>
      <c r="AD5" s="21">
        <v>0.21604278074866309</v>
      </c>
      <c r="AE5" s="20">
        <v>67</v>
      </c>
      <c r="AF5" s="21">
        <v>0.16584158415841591</v>
      </c>
      <c r="AG5" s="20">
        <v>383</v>
      </c>
      <c r="AH5" s="21">
        <v>0.94801980198019797</v>
      </c>
      <c r="AI5" s="24">
        <v>382</v>
      </c>
      <c r="AJ5" s="21">
        <v>0.20427807486631019</v>
      </c>
      <c r="AK5" s="24">
        <v>5</v>
      </c>
      <c r="AL5" s="21">
        <v>0.87172774869109948</v>
      </c>
      <c r="AM5" s="24">
        <v>379</v>
      </c>
      <c r="AN5" s="24">
        <v>333</v>
      </c>
      <c r="AO5" s="21">
        <v>0.1780748663101604</v>
      </c>
      <c r="AP5" s="21">
        <v>0.82425742574257421</v>
      </c>
      <c r="AQ5" s="22">
        <v>0.94720000000000004</v>
      </c>
      <c r="AR5" s="24">
        <v>0</v>
      </c>
      <c r="AS5" s="24">
        <v>0</v>
      </c>
      <c r="AT5" s="24">
        <v>51</v>
      </c>
      <c r="AU5" s="24">
        <v>50</v>
      </c>
      <c r="AV5" s="24">
        <v>46</v>
      </c>
      <c r="AW5" s="24">
        <v>52</v>
      </c>
      <c r="AX5" s="21">
        <v>2.6737967914438499E-2</v>
      </c>
      <c r="AY5" s="21">
        <v>2.4598930481283421E-2</v>
      </c>
      <c r="AZ5" s="21">
        <v>2.7807486631016041E-2</v>
      </c>
      <c r="BA5" s="21">
        <v>0.13813813813813811</v>
      </c>
      <c r="BB5" s="24">
        <v>0</v>
      </c>
      <c r="BC5" s="24">
        <v>0</v>
      </c>
      <c r="BD5" s="22">
        <v>1</v>
      </c>
      <c r="BE5" s="22">
        <v>1</v>
      </c>
      <c r="BF5" s="22" t="s">
        <v>89</v>
      </c>
    </row>
    <row r="6" spans="1:58" ht="19.5" customHeight="1">
      <c r="A6" s="25">
        <v>3</v>
      </c>
      <c r="B6" s="20" t="s">
        <v>88</v>
      </c>
      <c r="C6" s="26">
        <v>46082</v>
      </c>
      <c r="D6" s="20" t="s">
        <v>14</v>
      </c>
      <c r="E6" s="20">
        <v>67</v>
      </c>
      <c r="F6" s="20">
        <v>65</v>
      </c>
      <c r="G6" s="21">
        <v>0.97014925373134331</v>
      </c>
      <c r="H6" s="20">
        <v>41</v>
      </c>
      <c r="I6" s="22">
        <v>0.61194029850746268</v>
      </c>
      <c r="J6" s="20">
        <v>53</v>
      </c>
      <c r="K6" s="20">
        <v>52</v>
      </c>
      <c r="L6" s="21">
        <v>0.98099999999999998</v>
      </c>
      <c r="M6" s="20">
        <v>174</v>
      </c>
      <c r="N6" s="20">
        <v>138</v>
      </c>
      <c r="O6" s="20">
        <v>173</v>
      </c>
      <c r="P6" s="21">
        <v>0.99425287356321834</v>
      </c>
      <c r="Q6" s="20">
        <v>0</v>
      </c>
      <c r="R6" s="20">
        <v>0</v>
      </c>
      <c r="S6" s="20">
        <v>0</v>
      </c>
      <c r="T6" s="21">
        <v>0</v>
      </c>
      <c r="U6" s="20">
        <v>0</v>
      </c>
      <c r="V6" s="21">
        <v>0</v>
      </c>
      <c r="W6" s="20">
        <v>0</v>
      </c>
      <c r="X6" s="21">
        <v>0</v>
      </c>
      <c r="Y6" s="20">
        <v>0</v>
      </c>
      <c r="Z6" s="23">
        <v>0</v>
      </c>
      <c r="AA6" s="20">
        <v>0</v>
      </c>
      <c r="AB6" s="21">
        <v>0</v>
      </c>
      <c r="AC6" s="20">
        <v>31</v>
      </c>
      <c r="AD6" s="21">
        <v>0.46268656716417911</v>
      </c>
      <c r="AE6" s="20">
        <v>16</v>
      </c>
      <c r="AF6" s="21">
        <v>0.5161290322580645</v>
      </c>
      <c r="AG6" s="20">
        <v>30</v>
      </c>
      <c r="AH6" s="21">
        <v>0.967741935483871</v>
      </c>
      <c r="AI6" s="24">
        <v>0</v>
      </c>
      <c r="AJ6" s="21">
        <v>0</v>
      </c>
      <c r="AK6" s="24">
        <v>0</v>
      </c>
      <c r="AL6" s="21">
        <v>0</v>
      </c>
      <c r="AM6" s="24">
        <v>0</v>
      </c>
      <c r="AN6" s="24">
        <v>0</v>
      </c>
      <c r="AO6" s="21">
        <v>0</v>
      </c>
      <c r="AP6" s="21">
        <v>0</v>
      </c>
      <c r="AQ6" s="22">
        <v>1</v>
      </c>
      <c r="AR6" s="24">
        <v>0</v>
      </c>
      <c r="AS6" s="24">
        <v>0</v>
      </c>
      <c r="AT6" s="24">
        <v>0</v>
      </c>
      <c r="AU6" s="24">
        <v>0</v>
      </c>
      <c r="AV6" s="24">
        <v>0</v>
      </c>
      <c r="AW6" s="24">
        <v>0</v>
      </c>
      <c r="AX6" s="21">
        <v>0</v>
      </c>
      <c r="AY6" s="21">
        <v>0</v>
      </c>
      <c r="AZ6" s="21">
        <v>0</v>
      </c>
      <c r="BA6" s="21">
        <v>0</v>
      </c>
      <c r="BB6" s="24">
        <v>0</v>
      </c>
      <c r="BC6" s="24">
        <v>0</v>
      </c>
      <c r="BD6" s="22" t="s">
        <v>89</v>
      </c>
      <c r="BE6" s="22" t="s">
        <v>89</v>
      </c>
      <c r="BF6" s="22" t="s">
        <v>89</v>
      </c>
    </row>
    <row r="7" spans="1:58" ht="19.5" customHeight="1">
      <c r="A7" s="25">
        <v>4</v>
      </c>
      <c r="B7" s="20" t="s">
        <v>88</v>
      </c>
      <c r="C7" s="26">
        <v>46082</v>
      </c>
      <c r="D7" s="20" t="s">
        <v>13</v>
      </c>
      <c r="E7" s="20">
        <v>3477</v>
      </c>
      <c r="F7" s="20">
        <v>3235</v>
      </c>
      <c r="G7" s="21">
        <v>0.93039976991659479</v>
      </c>
      <c r="H7" s="20">
        <v>2248</v>
      </c>
      <c r="I7" s="22">
        <v>0.64653436870865688</v>
      </c>
      <c r="J7" s="20">
        <v>4753</v>
      </c>
      <c r="K7" s="20">
        <v>4601</v>
      </c>
      <c r="L7" s="21">
        <v>0.96799999999999997</v>
      </c>
      <c r="M7" s="20">
        <v>25032</v>
      </c>
      <c r="N7" s="20">
        <v>25066</v>
      </c>
      <c r="O7" s="20">
        <v>24538</v>
      </c>
      <c r="P7" s="21">
        <v>0.98026526046660278</v>
      </c>
      <c r="Q7" s="20">
        <v>23</v>
      </c>
      <c r="R7" s="20">
        <v>0</v>
      </c>
      <c r="S7" s="20">
        <v>0</v>
      </c>
      <c r="T7" s="21">
        <v>0</v>
      </c>
      <c r="U7" s="20">
        <v>0</v>
      </c>
      <c r="V7" s="21">
        <v>0</v>
      </c>
      <c r="W7" s="20">
        <v>3137</v>
      </c>
      <c r="X7" s="21">
        <v>0.9022145527753811</v>
      </c>
      <c r="Y7" s="20">
        <v>935</v>
      </c>
      <c r="Z7" s="23">
        <v>0.26890997986770199</v>
      </c>
      <c r="AA7" s="20">
        <v>101</v>
      </c>
      <c r="AB7" s="21">
        <v>2.9048029910842679E-2</v>
      </c>
      <c r="AC7" s="20">
        <v>1010</v>
      </c>
      <c r="AD7" s="21">
        <v>0.29048029910842682</v>
      </c>
      <c r="AE7" s="20">
        <v>109</v>
      </c>
      <c r="AF7" s="21">
        <v>0.10792079207920791</v>
      </c>
      <c r="AG7" s="20">
        <v>944</v>
      </c>
      <c r="AH7" s="21">
        <v>0.93465346534653471</v>
      </c>
      <c r="AI7" s="24">
        <v>918</v>
      </c>
      <c r="AJ7" s="21">
        <v>0.26402070750647111</v>
      </c>
      <c r="AK7" s="24">
        <v>1</v>
      </c>
      <c r="AL7" s="21">
        <v>0.93355119825708066</v>
      </c>
      <c r="AM7" s="24">
        <v>911</v>
      </c>
      <c r="AN7" s="24">
        <v>857</v>
      </c>
      <c r="AO7" s="21">
        <v>0.2464768478573483</v>
      </c>
      <c r="AP7" s="21">
        <v>0.84851485148514849</v>
      </c>
      <c r="AQ7" s="22">
        <v>0.9548440065681445</v>
      </c>
      <c r="AR7" s="24">
        <v>0</v>
      </c>
      <c r="AS7" s="24">
        <v>0</v>
      </c>
      <c r="AT7" s="24">
        <v>173</v>
      </c>
      <c r="AU7" s="24">
        <v>167</v>
      </c>
      <c r="AV7" s="24">
        <v>174</v>
      </c>
      <c r="AW7" s="24">
        <v>320</v>
      </c>
      <c r="AX7" s="21">
        <v>4.8029910842680469E-2</v>
      </c>
      <c r="AY7" s="21">
        <v>5.0043140638481448E-2</v>
      </c>
      <c r="AZ7" s="21">
        <v>9.2033362093758994E-2</v>
      </c>
      <c r="BA7" s="21">
        <v>0.20303383897316221</v>
      </c>
      <c r="BB7" s="24">
        <v>0</v>
      </c>
      <c r="BC7" s="24">
        <v>3</v>
      </c>
      <c r="BD7" s="22">
        <v>0.92452830188679247</v>
      </c>
      <c r="BE7" s="22">
        <v>1</v>
      </c>
      <c r="BF7" s="22" t="s">
        <v>89</v>
      </c>
    </row>
    <row r="8" spans="1:58" ht="19.5" customHeight="1">
      <c r="A8" s="25">
        <v>5</v>
      </c>
      <c r="B8" s="20" t="s">
        <v>88</v>
      </c>
      <c r="C8" s="26">
        <v>46083</v>
      </c>
      <c r="D8" s="20" t="s">
        <v>12</v>
      </c>
      <c r="E8" s="20">
        <v>2104</v>
      </c>
      <c r="F8" s="20">
        <v>1838</v>
      </c>
      <c r="G8" s="21">
        <v>0.87357414448669202</v>
      </c>
      <c r="H8" s="20">
        <v>844</v>
      </c>
      <c r="I8" s="22">
        <v>0.40114068441064638</v>
      </c>
      <c r="J8" s="20">
        <v>2275</v>
      </c>
      <c r="K8" s="20">
        <v>2205</v>
      </c>
      <c r="L8" s="21">
        <v>0.96899999999999997</v>
      </c>
      <c r="M8" s="20">
        <v>10647</v>
      </c>
      <c r="N8" s="20">
        <v>10653</v>
      </c>
      <c r="O8" s="20">
        <v>10466</v>
      </c>
      <c r="P8" s="21">
        <v>0.98299999999999998</v>
      </c>
      <c r="Q8" s="20">
        <v>18</v>
      </c>
      <c r="R8" s="20">
        <v>0</v>
      </c>
      <c r="S8" s="20">
        <v>0</v>
      </c>
      <c r="T8" s="21">
        <v>0</v>
      </c>
      <c r="U8" s="20">
        <v>0</v>
      </c>
      <c r="V8" s="21">
        <v>0</v>
      </c>
      <c r="W8" s="20">
        <v>2741</v>
      </c>
      <c r="X8" s="21">
        <v>1.3027566539923949</v>
      </c>
      <c r="Y8" s="20">
        <v>444</v>
      </c>
      <c r="Z8" s="23">
        <v>0.21102661596958169</v>
      </c>
      <c r="AA8" s="20">
        <v>27</v>
      </c>
      <c r="AB8" s="21">
        <v>1.283269961977186E-2</v>
      </c>
      <c r="AC8" s="20">
        <v>285</v>
      </c>
      <c r="AD8" s="21">
        <v>0.13545627376425859</v>
      </c>
      <c r="AE8" s="20">
        <v>52</v>
      </c>
      <c r="AF8" s="21">
        <v>0.18245614035087721</v>
      </c>
      <c r="AG8" s="20">
        <v>260</v>
      </c>
      <c r="AH8" s="21">
        <v>0.91228070175438591</v>
      </c>
      <c r="AI8" s="24">
        <v>270</v>
      </c>
      <c r="AJ8" s="21">
        <v>0.12832699619771859</v>
      </c>
      <c r="AK8" s="24">
        <v>1</v>
      </c>
      <c r="AL8" s="21">
        <v>0.87777777777777777</v>
      </c>
      <c r="AM8" s="24">
        <v>263</v>
      </c>
      <c r="AN8" s="24">
        <v>237</v>
      </c>
      <c r="AO8" s="21">
        <v>0.1126425855513308</v>
      </c>
      <c r="AP8" s="21">
        <v>0.83157894736842108</v>
      </c>
      <c r="AQ8" s="22">
        <v>0.92974238875878223</v>
      </c>
      <c r="AR8" s="24">
        <v>0</v>
      </c>
      <c r="AS8" s="24">
        <v>0</v>
      </c>
      <c r="AT8" s="24">
        <v>79</v>
      </c>
      <c r="AU8" s="24">
        <v>70</v>
      </c>
      <c r="AV8" s="24">
        <v>70</v>
      </c>
      <c r="AW8" s="24">
        <v>78</v>
      </c>
      <c r="AX8" s="21">
        <v>3.3269961977186312E-2</v>
      </c>
      <c r="AY8" s="21">
        <v>3.3269961977186312E-2</v>
      </c>
      <c r="AZ8" s="21">
        <v>3.7072243346007602E-2</v>
      </c>
      <c r="BA8" s="21">
        <v>0.29535864978902948</v>
      </c>
      <c r="BB8" s="24">
        <v>0</v>
      </c>
      <c r="BC8" s="24">
        <v>1</v>
      </c>
      <c r="BD8" s="22">
        <v>0.9285714285714286</v>
      </c>
      <c r="BE8" s="22">
        <v>1</v>
      </c>
      <c r="BF8" s="22" t="s">
        <v>89</v>
      </c>
    </row>
    <row r="9" spans="1:58" ht="19.5" customHeight="1">
      <c r="A9" s="25">
        <v>6</v>
      </c>
      <c r="B9" s="20" t="s">
        <v>88</v>
      </c>
      <c r="C9" s="26">
        <v>46083</v>
      </c>
      <c r="D9" s="20" t="s">
        <v>11</v>
      </c>
      <c r="E9" s="20">
        <v>1949</v>
      </c>
      <c r="F9" s="20">
        <v>1738</v>
      </c>
      <c r="G9" s="21">
        <v>0.89173935351462286</v>
      </c>
      <c r="H9" s="20">
        <v>631</v>
      </c>
      <c r="I9" s="22">
        <v>0.3237557721908671</v>
      </c>
      <c r="J9" s="20">
        <v>1411</v>
      </c>
      <c r="K9" s="20">
        <v>1347</v>
      </c>
      <c r="L9" s="21">
        <v>0.95499999999999996</v>
      </c>
      <c r="M9" s="20">
        <v>8489</v>
      </c>
      <c r="N9" s="20">
        <v>8357</v>
      </c>
      <c r="O9" s="20">
        <v>8319</v>
      </c>
      <c r="P9" s="21">
        <v>0.97997408410884679</v>
      </c>
      <c r="Q9" s="20">
        <v>21</v>
      </c>
      <c r="R9" s="20">
        <v>0</v>
      </c>
      <c r="S9" s="20">
        <v>0</v>
      </c>
      <c r="T9" s="21">
        <v>0</v>
      </c>
      <c r="U9" s="20">
        <v>0</v>
      </c>
      <c r="V9" s="21">
        <v>0</v>
      </c>
      <c r="W9" s="20">
        <v>2526</v>
      </c>
      <c r="X9" s="21">
        <v>1.2960492560287331</v>
      </c>
      <c r="Y9" s="20">
        <v>462</v>
      </c>
      <c r="Z9" s="23">
        <v>0.237044638276039</v>
      </c>
      <c r="AA9" s="20">
        <v>20</v>
      </c>
      <c r="AB9" s="21">
        <v>1.0261672652642381E-2</v>
      </c>
      <c r="AC9" s="20">
        <v>236</v>
      </c>
      <c r="AD9" s="21">
        <v>0.1210877373011801</v>
      </c>
      <c r="AE9" s="20">
        <v>30</v>
      </c>
      <c r="AF9" s="21">
        <v>0.1271186440677966</v>
      </c>
      <c r="AG9" s="20">
        <v>226</v>
      </c>
      <c r="AH9" s="21">
        <v>0.9576271186440678</v>
      </c>
      <c r="AI9" s="24">
        <v>209</v>
      </c>
      <c r="AJ9" s="21">
        <v>0.10723447922011289</v>
      </c>
      <c r="AK9" s="24">
        <v>1</v>
      </c>
      <c r="AL9" s="21">
        <v>0.82775119617224879</v>
      </c>
      <c r="AM9" s="24">
        <v>202</v>
      </c>
      <c r="AN9" s="24">
        <v>173</v>
      </c>
      <c r="AO9" s="21">
        <v>8.8763468445356597E-2</v>
      </c>
      <c r="AP9" s="21">
        <v>0.73305084745762716</v>
      </c>
      <c r="AQ9" s="22">
        <v>0.9505494505494505</v>
      </c>
      <c r="AR9" s="24">
        <v>0</v>
      </c>
      <c r="AS9" s="24">
        <v>0</v>
      </c>
      <c r="AT9" s="24">
        <v>48</v>
      </c>
      <c r="AU9" s="24">
        <v>42</v>
      </c>
      <c r="AV9" s="24">
        <v>42</v>
      </c>
      <c r="AW9" s="24">
        <v>36</v>
      </c>
      <c r="AX9" s="21">
        <v>2.1549512570549E-2</v>
      </c>
      <c r="AY9" s="21">
        <v>2.1549512570549E-2</v>
      </c>
      <c r="AZ9" s="21">
        <v>1.847101077475629E-2</v>
      </c>
      <c r="BA9" s="21">
        <v>0.2427745664739884</v>
      </c>
      <c r="BB9" s="24">
        <v>0</v>
      </c>
      <c r="BC9" s="24">
        <v>0</v>
      </c>
      <c r="BD9" s="22">
        <v>1</v>
      </c>
      <c r="BE9" s="22">
        <v>1</v>
      </c>
      <c r="BF9" s="22" t="s">
        <v>89</v>
      </c>
    </row>
    <row r="10" spans="1:58" ht="19.5" customHeight="1">
      <c r="A10" s="25">
        <v>7</v>
      </c>
      <c r="B10" s="20" t="s">
        <v>88</v>
      </c>
      <c r="C10" s="26">
        <v>46083</v>
      </c>
      <c r="D10" s="20" t="s">
        <v>14</v>
      </c>
      <c r="E10" s="20">
        <v>75</v>
      </c>
      <c r="F10" s="20">
        <v>71</v>
      </c>
      <c r="G10" s="21">
        <v>0.94666666666666666</v>
      </c>
      <c r="H10" s="20">
        <v>44</v>
      </c>
      <c r="I10" s="22">
        <v>0.58666666666666667</v>
      </c>
      <c r="J10" s="20">
        <v>34</v>
      </c>
      <c r="K10" s="20">
        <v>33</v>
      </c>
      <c r="L10" s="21">
        <v>0.97099999999999997</v>
      </c>
      <c r="M10" s="20">
        <v>159</v>
      </c>
      <c r="N10" s="20">
        <v>125</v>
      </c>
      <c r="O10" s="20">
        <v>155</v>
      </c>
      <c r="P10" s="21">
        <v>0.97484276729559749</v>
      </c>
      <c r="Q10" s="20">
        <v>0</v>
      </c>
      <c r="R10" s="20">
        <v>0</v>
      </c>
      <c r="S10" s="20">
        <v>0</v>
      </c>
      <c r="T10" s="21">
        <v>0</v>
      </c>
      <c r="U10" s="20">
        <v>0</v>
      </c>
      <c r="V10" s="21">
        <v>0</v>
      </c>
      <c r="W10" s="20">
        <v>0</v>
      </c>
      <c r="X10" s="21">
        <v>0</v>
      </c>
      <c r="Y10" s="20">
        <v>0</v>
      </c>
      <c r="Z10" s="23">
        <v>0</v>
      </c>
      <c r="AA10" s="20">
        <v>0</v>
      </c>
      <c r="AB10" s="21">
        <v>0</v>
      </c>
      <c r="AC10" s="20">
        <v>22</v>
      </c>
      <c r="AD10" s="21">
        <v>0.29333333333333328</v>
      </c>
      <c r="AE10" s="20">
        <v>14</v>
      </c>
      <c r="AF10" s="21">
        <v>0.63636363636363635</v>
      </c>
      <c r="AG10" s="20">
        <v>22</v>
      </c>
      <c r="AH10" s="21">
        <v>1</v>
      </c>
      <c r="AI10" s="24">
        <v>0</v>
      </c>
      <c r="AJ10" s="21">
        <v>0</v>
      </c>
      <c r="AK10" s="24">
        <v>0</v>
      </c>
      <c r="AL10" s="21">
        <v>0</v>
      </c>
      <c r="AM10" s="24">
        <v>0</v>
      </c>
      <c r="AN10" s="24">
        <v>0</v>
      </c>
      <c r="AO10" s="21">
        <v>0</v>
      </c>
      <c r="AP10" s="21">
        <v>0</v>
      </c>
      <c r="AQ10" s="22">
        <v>1</v>
      </c>
      <c r="AR10" s="24">
        <v>0</v>
      </c>
      <c r="AS10" s="24">
        <v>0</v>
      </c>
      <c r="AT10" s="24">
        <v>0</v>
      </c>
      <c r="AU10" s="24">
        <v>0</v>
      </c>
      <c r="AV10" s="24">
        <v>0</v>
      </c>
      <c r="AW10" s="24">
        <v>0</v>
      </c>
      <c r="AX10" s="21">
        <v>0</v>
      </c>
      <c r="AY10" s="21">
        <v>0</v>
      </c>
      <c r="AZ10" s="21">
        <v>0</v>
      </c>
      <c r="BA10" s="21">
        <v>0</v>
      </c>
      <c r="BB10" s="24">
        <v>0</v>
      </c>
      <c r="BC10" s="24">
        <v>0</v>
      </c>
      <c r="BD10" s="22" t="s">
        <v>89</v>
      </c>
      <c r="BE10" s="22" t="s">
        <v>89</v>
      </c>
      <c r="BF10" s="22" t="s">
        <v>89</v>
      </c>
    </row>
    <row r="11" spans="1:58" ht="19.5" customHeight="1">
      <c r="A11" s="25">
        <v>8</v>
      </c>
      <c r="B11" s="20" t="s">
        <v>88</v>
      </c>
      <c r="C11" s="26">
        <v>46083</v>
      </c>
      <c r="D11" s="20" t="s">
        <v>13</v>
      </c>
      <c r="E11" s="20">
        <v>3905</v>
      </c>
      <c r="F11" s="20">
        <v>3490</v>
      </c>
      <c r="G11" s="21">
        <v>0.89372599231754157</v>
      </c>
      <c r="H11" s="20">
        <v>2672</v>
      </c>
      <c r="I11" s="22">
        <v>0.68425096030729837</v>
      </c>
      <c r="J11" s="20">
        <v>4851</v>
      </c>
      <c r="K11" s="20">
        <v>4702</v>
      </c>
      <c r="L11" s="21">
        <v>0.96899999999999997</v>
      </c>
      <c r="M11" s="20">
        <v>23212</v>
      </c>
      <c r="N11" s="20">
        <v>22982</v>
      </c>
      <c r="O11" s="20">
        <v>22799</v>
      </c>
      <c r="P11" s="21">
        <v>0.98220747889022919</v>
      </c>
      <c r="Q11" s="20">
        <v>20</v>
      </c>
      <c r="R11" s="20">
        <v>0</v>
      </c>
      <c r="S11" s="20">
        <v>0</v>
      </c>
      <c r="T11" s="21">
        <v>0</v>
      </c>
      <c r="U11" s="20">
        <v>0</v>
      </c>
      <c r="V11" s="21">
        <v>0</v>
      </c>
      <c r="W11" s="20">
        <v>4075</v>
      </c>
      <c r="X11" s="21">
        <v>1.043533930857875</v>
      </c>
      <c r="Y11" s="20">
        <v>949</v>
      </c>
      <c r="Z11" s="23">
        <v>0.2430217669654289</v>
      </c>
      <c r="AA11" s="20">
        <v>81</v>
      </c>
      <c r="AB11" s="21">
        <v>2.0742637644046099E-2</v>
      </c>
      <c r="AC11" s="20">
        <v>537</v>
      </c>
      <c r="AD11" s="21">
        <v>0.13751600512163889</v>
      </c>
      <c r="AE11" s="20">
        <v>64</v>
      </c>
      <c r="AF11" s="21">
        <v>0.11918063314711359</v>
      </c>
      <c r="AG11" s="20">
        <v>501</v>
      </c>
      <c r="AH11" s="21">
        <v>0.93296089385474856</v>
      </c>
      <c r="AI11" s="24">
        <v>511</v>
      </c>
      <c r="AJ11" s="21">
        <v>0.13085787451984629</v>
      </c>
      <c r="AK11" s="24">
        <v>1</v>
      </c>
      <c r="AL11" s="21">
        <v>0.90410958904109584</v>
      </c>
      <c r="AM11" s="24">
        <v>500</v>
      </c>
      <c r="AN11" s="24">
        <v>462</v>
      </c>
      <c r="AO11" s="21">
        <v>0.1183098591549296</v>
      </c>
      <c r="AP11" s="21">
        <v>0.86033519553072624</v>
      </c>
      <c r="AQ11" s="22">
        <v>0.95238095238095233</v>
      </c>
      <c r="AR11" s="24">
        <v>0</v>
      </c>
      <c r="AS11" s="24">
        <v>0</v>
      </c>
      <c r="AT11" s="24">
        <v>95</v>
      </c>
      <c r="AU11" s="24">
        <v>91</v>
      </c>
      <c r="AV11" s="24">
        <v>93</v>
      </c>
      <c r="AW11" s="24">
        <v>78</v>
      </c>
      <c r="AX11" s="21">
        <v>2.330345710627401E-2</v>
      </c>
      <c r="AY11" s="21">
        <v>2.3815620998719589E-2</v>
      </c>
      <c r="AZ11" s="21">
        <v>1.997439180537772E-2</v>
      </c>
      <c r="BA11" s="21">
        <v>0.20129870129870131</v>
      </c>
      <c r="BB11" s="24">
        <v>0</v>
      </c>
      <c r="BC11" s="24">
        <v>0</v>
      </c>
      <c r="BD11" s="22">
        <v>0.98684210526315785</v>
      </c>
      <c r="BE11" s="22">
        <v>1</v>
      </c>
      <c r="BF11" s="22" t="s">
        <v>89</v>
      </c>
    </row>
    <row r="12" spans="1:58" ht="19.5" customHeight="1">
      <c r="A12" s="25">
        <v>9</v>
      </c>
      <c r="B12" s="20" t="s">
        <v>88</v>
      </c>
      <c r="C12" s="26">
        <v>46084</v>
      </c>
      <c r="D12" s="20" t="s">
        <v>12</v>
      </c>
      <c r="E12" s="20">
        <v>1805</v>
      </c>
      <c r="F12" s="20">
        <v>1577</v>
      </c>
      <c r="G12" s="21">
        <v>0.87368421052631584</v>
      </c>
      <c r="H12" s="20">
        <v>657</v>
      </c>
      <c r="I12" s="22">
        <v>0.36398891966759001</v>
      </c>
      <c r="J12" s="20">
        <v>2178</v>
      </c>
      <c r="K12" s="20">
        <v>2088</v>
      </c>
      <c r="L12" s="21">
        <v>0.95899999999999996</v>
      </c>
      <c r="M12" s="20">
        <v>10365</v>
      </c>
      <c r="N12" s="20">
        <v>10144</v>
      </c>
      <c r="O12" s="20">
        <v>10213</v>
      </c>
      <c r="P12" s="21">
        <v>0.98533526290400386</v>
      </c>
      <c r="Q12" s="20">
        <v>18</v>
      </c>
      <c r="R12" s="20">
        <v>0</v>
      </c>
      <c r="S12" s="20">
        <v>0</v>
      </c>
      <c r="T12" s="21">
        <v>0</v>
      </c>
      <c r="U12" s="20">
        <v>0</v>
      </c>
      <c r="V12" s="21">
        <v>0</v>
      </c>
      <c r="W12" s="20">
        <v>3207</v>
      </c>
      <c r="X12" s="21">
        <v>1.776731301939058</v>
      </c>
      <c r="Y12" s="20">
        <v>751</v>
      </c>
      <c r="Z12" s="23">
        <v>0.41606648199445978</v>
      </c>
      <c r="AA12" s="20">
        <v>39</v>
      </c>
      <c r="AB12" s="21">
        <v>2.160664819944598E-2</v>
      </c>
      <c r="AC12" s="20">
        <v>262</v>
      </c>
      <c r="AD12" s="21">
        <v>0.1451523545706371</v>
      </c>
      <c r="AE12" s="20">
        <v>63</v>
      </c>
      <c r="AF12" s="21">
        <v>0.24045801526717561</v>
      </c>
      <c r="AG12" s="20">
        <v>245</v>
      </c>
      <c r="AH12" s="21">
        <v>0.93511450381679384</v>
      </c>
      <c r="AI12" s="24">
        <v>275</v>
      </c>
      <c r="AJ12" s="21">
        <v>0.1523545706371191</v>
      </c>
      <c r="AK12" s="24">
        <v>1</v>
      </c>
      <c r="AL12" s="21">
        <v>0.85090909090909095</v>
      </c>
      <c r="AM12" s="24">
        <v>273</v>
      </c>
      <c r="AN12" s="24">
        <v>234</v>
      </c>
      <c r="AO12" s="21">
        <v>0.12963988919667591</v>
      </c>
      <c r="AP12" s="21">
        <v>0.89312977099236646</v>
      </c>
      <c r="AQ12" s="22">
        <v>0.95473251028806583</v>
      </c>
      <c r="AR12" s="24">
        <v>0</v>
      </c>
      <c r="AS12" s="24">
        <v>0</v>
      </c>
      <c r="AT12" s="24">
        <v>56</v>
      </c>
      <c r="AU12" s="24">
        <v>55</v>
      </c>
      <c r="AV12" s="24">
        <v>54</v>
      </c>
      <c r="AW12" s="24">
        <v>182</v>
      </c>
      <c r="AX12" s="21">
        <v>3.047091412742382E-2</v>
      </c>
      <c r="AY12" s="21">
        <v>2.9916897506925211E-2</v>
      </c>
      <c r="AZ12" s="21">
        <v>0.1008310249307479</v>
      </c>
      <c r="BA12" s="21">
        <v>0.23076923076923081</v>
      </c>
      <c r="BB12" s="24">
        <v>0</v>
      </c>
      <c r="BC12" s="24">
        <v>0</v>
      </c>
      <c r="BD12" s="22">
        <v>0.95652173913043481</v>
      </c>
      <c r="BE12" s="22">
        <v>1</v>
      </c>
      <c r="BF12" s="22" t="s">
        <v>89</v>
      </c>
    </row>
    <row r="13" spans="1:58" ht="19.5" customHeight="1">
      <c r="A13" s="25">
        <v>10</v>
      </c>
      <c r="B13" s="20" t="s">
        <v>88</v>
      </c>
      <c r="C13" s="26">
        <v>46084</v>
      </c>
      <c r="D13" s="20" t="s">
        <v>11</v>
      </c>
      <c r="E13" s="20">
        <v>2090</v>
      </c>
      <c r="F13" s="20">
        <v>1845</v>
      </c>
      <c r="G13" s="21">
        <v>0.88277511961722488</v>
      </c>
      <c r="H13" s="20">
        <v>652</v>
      </c>
      <c r="I13" s="22">
        <v>0.31196172248803827</v>
      </c>
      <c r="J13" s="20">
        <v>1464</v>
      </c>
      <c r="K13" s="20">
        <v>1411</v>
      </c>
      <c r="L13" s="21">
        <v>0.96399999999999997</v>
      </c>
      <c r="M13" s="20">
        <v>7343</v>
      </c>
      <c r="N13" s="20">
        <v>7554</v>
      </c>
      <c r="O13" s="20">
        <v>7223</v>
      </c>
      <c r="P13" s="21">
        <v>0.98365790548822007</v>
      </c>
      <c r="Q13" s="20">
        <v>11</v>
      </c>
      <c r="R13" s="20">
        <v>0</v>
      </c>
      <c r="S13" s="20">
        <v>0</v>
      </c>
      <c r="T13" s="21">
        <v>0</v>
      </c>
      <c r="U13" s="20">
        <v>0</v>
      </c>
      <c r="V13" s="21">
        <v>0</v>
      </c>
      <c r="W13" s="20">
        <v>3080</v>
      </c>
      <c r="X13" s="21">
        <v>1.4736842105263159</v>
      </c>
      <c r="Y13" s="20">
        <v>903</v>
      </c>
      <c r="Z13" s="23">
        <v>0.43205741626794258</v>
      </c>
      <c r="AA13" s="20">
        <v>15</v>
      </c>
      <c r="AB13" s="21">
        <v>7.1770334928229667E-3</v>
      </c>
      <c r="AC13" s="20">
        <v>236</v>
      </c>
      <c r="AD13" s="21">
        <v>0.11291866028708129</v>
      </c>
      <c r="AE13" s="20">
        <v>50</v>
      </c>
      <c r="AF13" s="21">
        <v>0.21186440677966101</v>
      </c>
      <c r="AG13" s="20">
        <v>221</v>
      </c>
      <c r="AH13" s="21">
        <v>0.93644067796610164</v>
      </c>
      <c r="AI13" s="24">
        <v>231</v>
      </c>
      <c r="AJ13" s="21">
        <v>0.11052631578947369</v>
      </c>
      <c r="AK13" s="24">
        <v>2</v>
      </c>
      <c r="AL13" s="21">
        <v>0.87445887445887449</v>
      </c>
      <c r="AM13" s="24">
        <v>229</v>
      </c>
      <c r="AN13" s="24">
        <v>202</v>
      </c>
      <c r="AO13" s="21">
        <v>9.6650717703349279E-2</v>
      </c>
      <c r="AP13" s="21">
        <v>0.85593220338983056</v>
      </c>
      <c r="AQ13" s="22">
        <v>0.9550561797752809</v>
      </c>
      <c r="AR13" s="24">
        <v>0</v>
      </c>
      <c r="AS13" s="24">
        <v>0</v>
      </c>
      <c r="AT13" s="24">
        <v>30</v>
      </c>
      <c r="AU13" s="24">
        <v>27</v>
      </c>
      <c r="AV13" s="24">
        <v>32</v>
      </c>
      <c r="AW13" s="24">
        <v>65</v>
      </c>
      <c r="AX13" s="21">
        <v>1.291866028708134E-2</v>
      </c>
      <c r="AY13" s="21">
        <v>1.5311004784689001E-2</v>
      </c>
      <c r="AZ13" s="21">
        <v>3.1100478468899521E-2</v>
      </c>
      <c r="BA13" s="21">
        <v>0.15841584158415839</v>
      </c>
      <c r="BB13" s="24">
        <v>0</v>
      </c>
      <c r="BC13" s="24">
        <v>0</v>
      </c>
      <c r="BD13" s="22">
        <v>0.96</v>
      </c>
      <c r="BE13" s="22">
        <v>1</v>
      </c>
      <c r="BF13" s="22" t="s">
        <v>89</v>
      </c>
    </row>
    <row r="14" spans="1:58" ht="19.5" customHeight="1">
      <c r="A14" s="25">
        <v>11</v>
      </c>
      <c r="B14" s="20" t="s">
        <v>88</v>
      </c>
      <c r="C14" s="26">
        <v>46084</v>
      </c>
      <c r="D14" s="20" t="s">
        <v>14</v>
      </c>
      <c r="E14" s="20">
        <v>63</v>
      </c>
      <c r="F14" s="20">
        <v>59</v>
      </c>
      <c r="G14" s="21">
        <v>0.93650793650793651</v>
      </c>
      <c r="H14" s="20">
        <v>35</v>
      </c>
      <c r="I14" s="22">
        <v>0.55555555555555558</v>
      </c>
      <c r="J14" s="20">
        <v>30</v>
      </c>
      <c r="K14" s="20">
        <v>30</v>
      </c>
      <c r="L14" s="21">
        <v>1</v>
      </c>
      <c r="M14" s="20">
        <v>143</v>
      </c>
      <c r="N14" s="20">
        <v>122</v>
      </c>
      <c r="O14" s="20">
        <v>142</v>
      </c>
      <c r="P14" s="21">
        <v>0.99300699300699302</v>
      </c>
      <c r="Q14" s="20">
        <v>0</v>
      </c>
      <c r="R14" s="20">
        <v>0</v>
      </c>
      <c r="S14" s="20">
        <v>0</v>
      </c>
      <c r="T14" s="21">
        <v>0</v>
      </c>
      <c r="U14" s="20">
        <v>0</v>
      </c>
      <c r="V14" s="21">
        <v>0</v>
      </c>
      <c r="W14" s="20">
        <v>0</v>
      </c>
      <c r="X14" s="21">
        <v>0</v>
      </c>
      <c r="Y14" s="20">
        <v>0</v>
      </c>
      <c r="Z14" s="23">
        <v>0</v>
      </c>
      <c r="AA14" s="20">
        <v>0</v>
      </c>
      <c r="AB14" s="21">
        <v>0</v>
      </c>
      <c r="AC14" s="20">
        <v>17</v>
      </c>
      <c r="AD14" s="21">
        <v>0.26984126984126983</v>
      </c>
      <c r="AE14" s="20">
        <v>8</v>
      </c>
      <c r="AF14" s="21">
        <v>0.47058823529411759</v>
      </c>
      <c r="AG14" s="20">
        <v>16</v>
      </c>
      <c r="AH14" s="21">
        <v>0.94117647058823528</v>
      </c>
      <c r="AI14" s="24">
        <v>0</v>
      </c>
      <c r="AJ14" s="21">
        <v>0</v>
      </c>
      <c r="AK14" s="24">
        <v>0</v>
      </c>
      <c r="AL14" s="21">
        <v>0</v>
      </c>
      <c r="AM14" s="24">
        <v>0</v>
      </c>
      <c r="AN14" s="24">
        <v>0</v>
      </c>
      <c r="AO14" s="21">
        <v>0</v>
      </c>
      <c r="AP14" s="21">
        <v>0</v>
      </c>
      <c r="AQ14" s="22">
        <v>0.8</v>
      </c>
      <c r="AR14" s="24">
        <v>0</v>
      </c>
      <c r="AS14" s="24">
        <v>0</v>
      </c>
      <c r="AT14" s="24">
        <v>0</v>
      </c>
      <c r="AU14" s="24">
        <v>0</v>
      </c>
      <c r="AV14" s="24">
        <v>0</v>
      </c>
      <c r="AW14" s="24">
        <v>0</v>
      </c>
      <c r="AX14" s="21">
        <v>0</v>
      </c>
      <c r="AY14" s="21">
        <v>0</v>
      </c>
      <c r="AZ14" s="21">
        <v>0</v>
      </c>
      <c r="BA14" s="21">
        <v>0</v>
      </c>
      <c r="BB14" s="24">
        <v>0</v>
      </c>
      <c r="BC14" s="24">
        <v>0</v>
      </c>
      <c r="BD14" s="22" t="s">
        <v>89</v>
      </c>
      <c r="BE14" s="22" t="s">
        <v>89</v>
      </c>
      <c r="BF14" s="22" t="s">
        <v>89</v>
      </c>
    </row>
    <row r="15" spans="1:58" ht="19.5" customHeight="1">
      <c r="A15" s="25">
        <v>12</v>
      </c>
      <c r="B15" s="20" t="s">
        <v>88</v>
      </c>
      <c r="C15" s="26">
        <v>46084</v>
      </c>
      <c r="D15" s="20" t="s">
        <v>13</v>
      </c>
      <c r="E15" s="20">
        <v>3775</v>
      </c>
      <c r="F15" s="20">
        <v>3361</v>
      </c>
      <c r="G15" s="21">
        <v>0.8903311258278146</v>
      </c>
      <c r="H15" s="20">
        <v>2488</v>
      </c>
      <c r="I15" s="22">
        <v>0.65907284768211916</v>
      </c>
      <c r="J15" s="20">
        <v>4994</v>
      </c>
      <c r="K15" s="20">
        <v>4845</v>
      </c>
      <c r="L15" s="21">
        <v>0.97</v>
      </c>
      <c r="M15" s="20">
        <v>23146</v>
      </c>
      <c r="N15" s="20">
        <v>22645</v>
      </c>
      <c r="O15" s="20">
        <v>22825</v>
      </c>
      <c r="P15" s="21">
        <v>0.98613151300440682</v>
      </c>
      <c r="Q15" s="20">
        <v>25</v>
      </c>
      <c r="R15" s="20">
        <v>0</v>
      </c>
      <c r="S15" s="20">
        <v>0</v>
      </c>
      <c r="T15" s="21">
        <v>0</v>
      </c>
      <c r="U15" s="20">
        <v>0</v>
      </c>
      <c r="V15" s="21">
        <v>0</v>
      </c>
      <c r="W15" s="20">
        <v>4305</v>
      </c>
      <c r="X15" s="21">
        <v>1.140397350993378</v>
      </c>
      <c r="Y15" s="20">
        <v>1227</v>
      </c>
      <c r="Z15" s="23">
        <v>0.32503311258278139</v>
      </c>
      <c r="AA15" s="20">
        <v>113</v>
      </c>
      <c r="AB15" s="21">
        <v>2.9933774834437089E-2</v>
      </c>
      <c r="AC15" s="20">
        <v>495</v>
      </c>
      <c r="AD15" s="21">
        <v>0.1311258278145695</v>
      </c>
      <c r="AE15" s="20">
        <v>99</v>
      </c>
      <c r="AF15" s="21">
        <v>0.2</v>
      </c>
      <c r="AG15" s="20">
        <v>470</v>
      </c>
      <c r="AH15" s="21">
        <v>0.9494949494949495</v>
      </c>
      <c r="AI15" s="24">
        <v>481</v>
      </c>
      <c r="AJ15" s="21">
        <v>0.12741721854304641</v>
      </c>
      <c r="AK15" s="24">
        <v>2</v>
      </c>
      <c r="AL15" s="21">
        <v>0.91060291060291065</v>
      </c>
      <c r="AM15" s="24">
        <v>470</v>
      </c>
      <c r="AN15" s="24">
        <v>438</v>
      </c>
      <c r="AO15" s="21">
        <v>0.1160264900662252</v>
      </c>
      <c r="AP15" s="21">
        <v>0.88484848484848488</v>
      </c>
      <c r="AQ15" s="22">
        <v>0.95208333333333328</v>
      </c>
      <c r="AR15" s="24">
        <v>0</v>
      </c>
      <c r="AS15" s="24">
        <v>0</v>
      </c>
      <c r="AT15" s="24">
        <v>95</v>
      </c>
      <c r="AU15" s="24">
        <v>89</v>
      </c>
      <c r="AV15" s="24">
        <v>90</v>
      </c>
      <c r="AW15" s="24">
        <v>241</v>
      </c>
      <c r="AX15" s="21">
        <v>2.357615894039735E-2</v>
      </c>
      <c r="AY15" s="21">
        <v>2.3841059602649008E-2</v>
      </c>
      <c r="AZ15" s="21">
        <v>6.3841059602649006E-2</v>
      </c>
      <c r="BA15" s="21">
        <v>0.20547945205479451</v>
      </c>
      <c r="BB15" s="24">
        <v>0</v>
      </c>
      <c r="BC15" s="24">
        <v>0</v>
      </c>
      <c r="BD15" s="22">
        <v>0.98181818181818181</v>
      </c>
      <c r="BE15" s="22">
        <v>1</v>
      </c>
      <c r="BF15" s="22" t="s">
        <v>89</v>
      </c>
    </row>
    <row r="16" spans="1:58" ht="19.5" customHeight="1">
      <c r="A16" s="25">
        <v>13</v>
      </c>
      <c r="B16" s="20" t="s">
        <v>88</v>
      </c>
      <c r="C16" s="26">
        <v>46085</v>
      </c>
      <c r="D16" s="20" t="s">
        <v>12</v>
      </c>
      <c r="E16" s="20">
        <v>2596</v>
      </c>
      <c r="F16" s="20">
        <v>2290</v>
      </c>
      <c r="G16" s="21">
        <v>0.88212634822804314</v>
      </c>
      <c r="H16" s="20">
        <v>744</v>
      </c>
      <c r="I16" s="22">
        <v>0.28659476117103228</v>
      </c>
      <c r="J16" s="20">
        <v>2169</v>
      </c>
      <c r="K16" s="20">
        <v>2083</v>
      </c>
      <c r="L16" s="21">
        <v>0.96</v>
      </c>
      <c r="M16" s="20">
        <v>10276</v>
      </c>
      <c r="N16" s="20">
        <v>10152</v>
      </c>
      <c r="O16" s="20">
        <v>10100</v>
      </c>
      <c r="P16" s="21">
        <v>0.98287271311794477</v>
      </c>
      <c r="Q16" s="20">
        <v>17</v>
      </c>
      <c r="R16" s="20">
        <v>0</v>
      </c>
      <c r="S16" s="20">
        <v>0</v>
      </c>
      <c r="T16" s="21">
        <v>0</v>
      </c>
      <c r="U16" s="20">
        <v>0</v>
      </c>
      <c r="V16" s="21">
        <v>0</v>
      </c>
      <c r="W16" s="20">
        <v>2645</v>
      </c>
      <c r="X16" s="21">
        <v>1.0188751926040061</v>
      </c>
      <c r="Y16" s="20">
        <v>636</v>
      </c>
      <c r="Z16" s="23">
        <v>0.24499229583975349</v>
      </c>
      <c r="AA16" s="20">
        <v>51</v>
      </c>
      <c r="AB16" s="21">
        <v>1.9645608628659481E-2</v>
      </c>
      <c r="AC16" s="20">
        <v>263</v>
      </c>
      <c r="AD16" s="21">
        <v>0.1013097072419106</v>
      </c>
      <c r="AE16" s="20">
        <v>50</v>
      </c>
      <c r="AF16" s="21">
        <v>0.1901140684410646</v>
      </c>
      <c r="AG16" s="20">
        <v>247</v>
      </c>
      <c r="AH16" s="21">
        <v>0.93916349809885935</v>
      </c>
      <c r="AI16" s="24">
        <v>260</v>
      </c>
      <c r="AJ16" s="21">
        <v>0.1001540832049307</v>
      </c>
      <c r="AK16" s="24">
        <v>0</v>
      </c>
      <c r="AL16" s="21">
        <v>0.88846153846153841</v>
      </c>
      <c r="AM16" s="24">
        <v>260</v>
      </c>
      <c r="AN16" s="24">
        <v>231</v>
      </c>
      <c r="AO16" s="21">
        <v>8.8983050847457626E-2</v>
      </c>
      <c r="AP16" s="21">
        <v>0.87832699619771859</v>
      </c>
      <c r="AQ16" s="22">
        <v>0.97580645161290325</v>
      </c>
      <c r="AR16" s="24">
        <v>0</v>
      </c>
      <c r="AS16" s="24">
        <v>0</v>
      </c>
      <c r="AT16" s="24">
        <v>63</v>
      </c>
      <c r="AU16" s="24">
        <v>61</v>
      </c>
      <c r="AV16" s="24">
        <v>62</v>
      </c>
      <c r="AW16" s="24">
        <v>70</v>
      </c>
      <c r="AX16" s="21">
        <v>2.3497688751926041E-2</v>
      </c>
      <c r="AY16" s="21">
        <v>2.38828967642527E-2</v>
      </c>
      <c r="AZ16" s="21">
        <v>2.6964560862865951E-2</v>
      </c>
      <c r="BA16" s="21">
        <v>0.26839826839826841</v>
      </c>
      <c r="BB16" s="24">
        <v>0</v>
      </c>
      <c r="BC16" s="24">
        <v>0</v>
      </c>
      <c r="BD16" s="22">
        <v>1</v>
      </c>
      <c r="BE16" s="22">
        <v>1</v>
      </c>
      <c r="BF16" s="22" t="s">
        <v>89</v>
      </c>
    </row>
    <row r="17" spans="1:58" ht="19.5" customHeight="1">
      <c r="A17" s="25">
        <v>14</v>
      </c>
      <c r="B17" s="20" t="s">
        <v>88</v>
      </c>
      <c r="C17" s="26">
        <v>46085</v>
      </c>
      <c r="D17" s="20" t="s">
        <v>11</v>
      </c>
      <c r="E17" s="20">
        <v>2954</v>
      </c>
      <c r="F17" s="20">
        <v>2565</v>
      </c>
      <c r="G17" s="21">
        <v>0.86831415030467163</v>
      </c>
      <c r="H17" s="20">
        <v>1431</v>
      </c>
      <c r="I17" s="22">
        <v>0.48442789438050099</v>
      </c>
      <c r="J17" s="20">
        <v>1971</v>
      </c>
      <c r="K17" s="20">
        <v>1926</v>
      </c>
      <c r="L17" s="21">
        <v>0.97699999999999998</v>
      </c>
      <c r="M17" s="20">
        <v>8055</v>
      </c>
      <c r="N17" s="20">
        <v>8112</v>
      </c>
      <c r="O17" s="20">
        <v>7913</v>
      </c>
      <c r="P17" s="21">
        <v>0.98237119801365613</v>
      </c>
      <c r="Q17" s="20">
        <v>9</v>
      </c>
      <c r="R17" s="20">
        <v>0</v>
      </c>
      <c r="S17" s="20">
        <v>0</v>
      </c>
      <c r="T17" s="21">
        <v>0</v>
      </c>
      <c r="U17" s="20">
        <v>0</v>
      </c>
      <c r="V17" s="21">
        <v>0</v>
      </c>
      <c r="W17" s="20">
        <v>2714</v>
      </c>
      <c r="X17" s="21">
        <v>0.91875423155044011</v>
      </c>
      <c r="Y17" s="20">
        <v>615</v>
      </c>
      <c r="Z17" s="23">
        <v>0.2081922816519973</v>
      </c>
      <c r="AA17" s="20">
        <v>21</v>
      </c>
      <c r="AB17" s="21">
        <v>7.1090047393364934E-3</v>
      </c>
      <c r="AC17" s="20">
        <v>224</v>
      </c>
      <c r="AD17" s="21">
        <v>7.582938388625593E-2</v>
      </c>
      <c r="AE17" s="20">
        <v>31</v>
      </c>
      <c r="AF17" s="21">
        <v>0.13839285714285721</v>
      </c>
      <c r="AG17" s="20">
        <v>212</v>
      </c>
      <c r="AH17" s="21">
        <v>0.9464285714285714</v>
      </c>
      <c r="AI17" s="24">
        <v>213</v>
      </c>
      <c r="AJ17" s="21">
        <v>7.2105619498984433E-2</v>
      </c>
      <c r="AK17" s="24">
        <v>0</v>
      </c>
      <c r="AL17" s="21">
        <v>0.863849765258216</v>
      </c>
      <c r="AM17" s="24">
        <v>208</v>
      </c>
      <c r="AN17" s="24">
        <v>184</v>
      </c>
      <c r="AO17" s="21">
        <v>6.2288422477995938E-2</v>
      </c>
      <c r="AP17" s="21">
        <v>0.8214285714285714</v>
      </c>
      <c r="AQ17" s="22">
        <v>0.98598130841121501</v>
      </c>
      <c r="AR17" s="24">
        <v>0</v>
      </c>
      <c r="AS17" s="24">
        <v>0</v>
      </c>
      <c r="AT17" s="24">
        <v>38</v>
      </c>
      <c r="AU17" s="24">
        <v>35</v>
      </c>
      <c r="AV17" s="24">
        <v>33</v>
      </c>
      <c r="AW17" s="24">
        <v>27</v>
      </c>
      <c r="AX17" s="21">
        <v>1.1848341232227491E-2</v>
      </c>
      <c r="AY17" s="21">
        <v>1.1171293161814489E-2</v>
      </c>
      <c r="AZ17" s="21">
        <v>9.1401489505754906E-3</v>
      </c>
      <c r="BA17" s="21">
        <v>0.17934782608695651</v>
      </c>
      <c r="BB17" s="24">
        <v>0</v>
      </c>
      <c r="BC17" s="24">
        <v>0</v>
      </c>
      <c r="BD17" s="22">
        <v>1</v>
      </c>
      <c r="BE17" s="22">
        <v>1</v>
      </c>
      <c r="BF17" s="22" t="s">
        <v>89</v>
      </c>
    </row>
    <row r="18" spans="1:58" ht="19.5" customHeight="1">
      <c r="A18" s="25">
        <v>15</v>
      </c>
      <c r="B18" s="20" t="s">
        <v>88</v>
      </c>
      <c r="C18" s="26">
        <v>46085</v>
      </c>
      <c r="D18" s="20" t="s">
        <v>14</v>
      </c>
      <c r="E18" s="20">
        <v>72</v>
      </c>
      <c r="F18" s="20">
        <v>69</v>
      </c>
      <c r="G18" s="21">
        <v>0.95833333333333337</v>
      </c>
      <c r="H18" s="20">
        <v>32</v>
      </c>
      <c r="I18" s="22">
        <v>0.44444444444444442</v>
      </c>
      <c r="J18" s="20">
        <v>40</v>
      </c>
      <c r="K18" s="20">
        <v>40</v>
      </c>
      <c r="L18" s="21">
        <v>1</v>
      </c>
      <c r="M18" s="20">
        <v>149</v>
      </c>
      <c r="N18" s="20">
        <v>139</v>
      </c>
      <c r="O18" s="20">
        <v>149</v>
      </c>
      <c r="P18" s="21">
        <v>1</v>
      </c>
      <c r="Q18" s="20">
        <v>0</v>
      </c>
      <c r="R18" s="20">
        <v>0</v>
      </c>
      <c r="S18" s="20">
        <v>0</v>
      </c>
      <c r="T18" s="21">
        <v>0</v>
      </c>
      <c r="U18" s="20">
        <v>0</v>
      </c>
      <c r="V18" s="21">
        <v>0</v>
      </c>
      <c r="W18" s="20">
        <v>0</v>
      </c>
      <c r="X18" s="21">
        <v>0</v>
      </c>
      <c r="Y18" s="20">
        <v>0</v>
      </c>
      <c r="Z18" s="23">
        <v>0</v>
      </c>
      <c r="AA18" s="20">
        <v>0</v>
      </c>
      <c r="AB18" s="21">
        <v>0</v>
      </c>
      <c r="AC18" s="20">
        <v>19</v>
      </c>
      <c r="AD18" s="21">
        <v>0.2638888888888889</v>
      </c>
      <c r="AE18" s="20">
        <v>16</v>
      </c>
      <c r="AF18" s="21">
        <v>0.84210526315789469</v>
      </c>
      <c r="AG18" s="20">
        <v>19</v>
      </c>
      <c r="AH18" s="21">
        <v>1</v>
      </c>
      <c r="AI18" s="24">
        <v>0</v>
      </c>
      <c r="AJ18" s="21">
        <v>0</v>
      </c>
      <c r="AK18" s="24">
        <v>0</v>
      </c>
      <c r="AL18" s="21">
        <v>0</v>
      </c>
      <c r="AM18" s="24">
        <v>0</v>
      </c>
      <c r="AN18" s="24">
        <v>0</v>
      </c>
      <c r="AO18" s="21">
        <v>0</v>
      </c>
      <c r="AP18" s="21">
        <v>0</v>
      </c>
      <c r="AQ18" s="22">
        <v>1</v>
      </c>
      <c r="AR18" s="24">
        <v>0</v>
      </c>
      <c r="AS18" s="24">
        <v>0</v>
      </c>
      <c r="AT18" s="24">
        <v>0</v>
      </c>
      <c r="AU18" s="24">
        <v>0</v>
      </c>
      <c r="AV18" s="24">
        <v>0</v>
      </c>
      <c r="AW18" s="24">
        <v>0</v>
      </c>
      <c r="AX18" s="21">
        <v>0</v>
      </c>
      <c r="AY18" s="21">
        <v>0</v>
      </c>
      <c r="AZ18" s="21">
        <v>0</v>
      </c>
      <c r="BA18" s="21">
        <v>0</v>
      </c>
      <c r="BB18" s="24">
        <v>0</v>
      </c>
      <c r="BC18" s="24">
        <v>0</v>
      </c>
      <c r="BD18" s="22" t="s">
        <v>89</v>
      </c>
      <c r="BE18" s="22" t="s">
        <v>89</v>
      </c>
      <c r="BF18" s="22" t="s">
        <v>89</v>
      </c>
    </row>
    <row r="19" spans="1:58" ht="19.5" customHeight="1">
      <c r="A19" s="25">
        <v>16</v>
      </c>
      <c r="B19" s="20" t="s">
        <v>88</v>
      </c>
      <c r="C19" s="26">
        <v>46085</v>
      </c>
      <c r="D19" s="20" t="s">
        <v>13</v>
      </c>
      <c r="E19" s="20">
        <v>3339</v>
      </c>
      <c r="F19" s="20">
        <v>3032</v>
      </c>
      <c r="G19" s="21">
        <v>0.90805630428271933</v>
      </c>
      <c r="H19" s="20">
        <v>2019</v>
      </c>
      <c r="I19" s="22">
        <v>0.60467205750224617</v>
      </c>
      <c r="J19" s="20">
        <v>4417</v>
      </c>
      <c r="K19" s="20">
        <v>4311</v>
      </c>
      <c r="L19" s="21">
        <v>0.97599999999999998</v>
      </c>
      <c r="M19" s="20">
        <v>21640</v>
      </c>
      <c r="N19" s="20">
        <v>21761</v>
      </c>
      <c r="O19" s="20">
        <v>21312</v>
      </c>
      <c r="P19" s="21">
        <v>0.98484288354898342</v>
      </c>
      <c r="Q19" s="20">
        <v>8</v>
      </c>
      <c r="R19" s="20">
        <v>0</v>
      </c>
      <c r="S19" s="20">
        <v>0</v>
      </c>
      <c r="T19" s="21">
        <v>0</v>
      </c>
      <c r="U19" s="20">
        <v>0</v>
      </c>
      <c r="V19" s="21">
        <v>0</v>
      </c>
      <c r="W19" s="20">
        <v>3584</v>
      </c>
      <c r="X19" s="21">
        <v>1.073375262054507</v>
      </c>
      <c r="Y19" s="20">
        <v>1136</v>
      </c>
      <c r="Z19" s="23">
        <v>0.34022162324049121</v>
      </c>
      <c r="AA19" s="20">
        <v>118</v>
      </c>
      <c r="AB19" s="21">
        <v>3.5339922132374961E-2</v>
      </c>
      <c r="AC19" s="20">
        <v>530</v>
      </c>
      <c r="AD19" s="21">
        <v>0.15873015873015869</v>
      </c>
      <c r="AE19" s="20">
        <v>63</v>
      </c>
      <c r="AF19" s="21">
        <v>0.1188679245283019</v>
      </c>
      <c r="AG19" s="20">
        <v>501</v>
      </c>
      <c r="AH19" s="21">
        <v>0.94528301886792454</v>
      </c>
      <c r="AI19" s="24">
        <v>513</v>
      </c>
      <c r="AJ19" s="21">
        <v>0.15363881401617249</v>
      </c>
      <c r="AK19" s="24">
        <v>2</v>
      </c>
      <c r="AL19" s="21">
        <v>0.9278752436647173</v>
      </c>
      <c r="AM19" s="24">
        <v>512</v>
      </c>
      <c r="AN19" s="24">
        <v>476</v>
      </c>
      <c r="AO19" s="21">
        <v>0.14255765199161419</v>
      </c>
      <c r="AP19" s="21">
        <v>0.89811320754716983</v>
      </c>
      <c r="AQ19" s="22">
        <v>0.94805194805194803</v>
      </c>
      <c r="AR19" s="24">
        <v>0</v>
      </c>
      <c r="AS19" s="24">
        <v>0</v>
      </c>
      <c r="AT19" s="24">
        <v>111</v>
      </c>
      <c r="AU19" s="24">
        <v>107</v>
      </c>
      <c r="AV19" s="24">
        <v>109</v>
      </c>
      <c r="AW19" s="24">
        <v>160</v>
      </c>
      <c r="AX19" s="21">
        <v>3.2045522611560351E-2</v>
      </c>
      <c r="AY19" s="21">
        <v>3.264450434261755E-2</v>
      </c>
      <c r="AZ19" s="21">
        <v>4.7918538484576223E-2</v>
      </c>
      <c r="BA19" s="21">
        <v>0.22899159663865551</v>
      </c>
      <c r="BB19" s="24">
        <v>0</v>
      </c>
      <c r="BC19" s="24">
        <v>0</v>
      </c>
      <c r="BD19" s="22">
        <v>0.94827586206896552</v>
      </c>
      <c r="BE19" s="22">
        <v>1</v>
      </c>
      <c r="BF19" s="22" t="s">
        <v>89</v>
      </c>
    </row>
    <row r="20" spans="1:58" ht="19.5" customHeight="1">
      <c r="A20" s="25">
        <v>17</v>
      </c>
      <c r="B20" s="20" t="s">
        <v>88</v>
      </c>
      <c r="C20" s="26">
        <v>46086</v>
      </c>
      <c r="D20" s="20" t="s">
        <v>12</v>
      </c>
      <c r="E20" s="20">
        <v>2756</v>
      </c>
      <c r="F20" s="20">
        <v>2373</v>
      </c>
      <c r="G20" s="21">
        <v>0.86103047895500728</v>
      </c>
      <c r="H20" s="20">
        <v>728</v>
      </c>
      <c r="I20" s="22">
        <v>0.26415094339622641</v>
      </c>
      <c r="J20" s="20">
        <v>2215</v>
      </c>
      <c r="K20" s="20">
        <v>2136</v>
      </c>
      <c r="L20" s="21">
        <v>0.96399999999999997</v>
      </c>
      <c r="M20" s="20">
        <v>9864</v>
      </c>
      <c r="N20" s="20">
        <v>9822</v>
      </c>
      <c r="O20" s="20">
        <v>9673</v>
      </c>
      <c r="P20" s="21">
        <v>0.98063665855636661</v>
      </c>
      <c r="Q20" s="20">
        <v>18</v>
      </c>
      <c r="R20" s="20">
        <v>0</v>
      </c>
      <c r="S20" s="20">
        <v>0</v>
      </c>
      <c r="T20" s="21">
        <v>0</v>
      </c>
      <c r="U20" s="20">
        <v>0</v>
      </c>
      <c r="V20" s="21">
        <v>0</v>
      </c>
      <c r="W20" s="20">
        <v>2215</v>
      </c>
      <c r="X20" s="21">
        <v>0.80370101596516685</v>
      </c>
      <c r="Y20" s="20">
        <v>674</v>
      </c>
      <c r="Z20" s="23">
        <v>0.2445573294629898</v>
      </c>
      <c r="AA20" s="20">
        <v>35</v>
      </c>
      <c r="AB20" s="21">
        <v>1.2699564586357039E-2</v>
      </c>
      <c r="AC20" s="20">
        <v>297</v>
      </c>
      <c r="AD20" s="21">
        <v>0.1077648766328012</v>
      </c>
      <c r="AE20" s="20">
        <v>50</v>
      </c>
      <c r="AF20" s="21">
        <v>0.16835016835016839</v>
      </c>
      <c r="AG20" s="20">
        <v>272</v>
      </c>
      <c r="AH20" s="21">
        <v>0.91582491582491588</v>
      </c>
      <c r="AI20" s="24">
        <v>288</v>
      </c>
      <c r="AJ20" s="21">
        <v>0.10449927431059509</v>
      </c>
      <c r="AK20" s="24">
        <v>1</v>
      </c>
      <c r="AL20" s="21">
        <v>0.86458333333333337</v>
      </c>
      <c r="AM20" s="24">
        <v>285</v>
      </c>
      <c r="AN20" s="24">
        <v>249</v>
      </c>
      <c r="AO20" s="21">
        <v>9.0348330914368655E-2</v>
      </c>
      <c r="AP20" s="21">
        <v>0.83838383838383834</v>
      </c>
      <c r="AQ20" s="22">
        <v>0.9692982456140351</v>
      </c>
      <c r="AR20" s="24">
        <v>0</v>
      </c>
      <c r="AS20" s="24">
        <v>0</v>
      </c>
      <c r="AT20" s="24">
        <v>57</v>
      </c>
      <c r="AU20" s="24">
        <v>51</v>
      </c>
      <c r="AV20" s="24">
        <v>51</v>
      </c>
      <c r="AW20" s="24">
        <v>67</v>
      </c>
      <c r="AX20" s="21">
        <v>1.850507982583454E-2</v>
      </c>
      <c r="AY20" s="21">
        <v>1.850507982583454E-2</v>
      </c>
      <c r="AZ20" s="21">
        <v>2.4310595065312041E-2</v>
      </c>
      <c r="BA20" s="21">
        <v>0.2048192771084337</v>
      </c>
      <c r="BB20" s="24">
        <v>0</v>
      </c>
      <c r="BC20" s="24">
        <v>0</v>
      </c>
      <c r="BD20" s="22">
        <v>1</v>
      </c>
      <c r="BE20" s="22">
        <v>1</v>
      </c>
      <c r="BF20" s="22" t="s">
        <v>89</v>
      </c>
    </row>
    <row r="21" spans="1:58" ht="19.5" customHeight="1">
      <c r="A21" s="25">
        <v>18</v>
      </c>
      <c r="B21" s="20" t="s">
        <v>88</v>
      </c>
      <c r="C21" s="26">
        <v>46086</v>
      </c>
      <c r="D21" s="20" t="s">
        <v>11</v>
      </c>
      <c r="E21" s="20">
        <v>2151</v>
      </c>
      <c r="F21" s="20">
        <v>1962</v>
      </c>
      <c r="G21" s="21">
        <v>0.91213389121338917</v>
      </c>
      <c r="H21" s="20">
        <v>731</v>
      </c>
      <c r="I21" s="22">
        <v>0.33984193398419338</v>
      </c>
      <c r="J21" s="20">
        <v>1684</v>
      </c>
      <c r="K21" s="20">
        <v>1617</v>
      </c>
      <c r="L21" s="21">
        <v>0.96</v>
      </c>
      <c r="M21" s="20">
        <v>7769</v>
      </c>
      <c r="N21" s="20">
        <v>8072</v>
      </c>
      <c r="O21" s="20">
        <v>7622</v>
      </c>
      <c r="P21" s="21">
        <v>0.9810786459003733</v>
      </c>
      <c r="Q21" s="20">
        <v>20</v>
      </c>
      <c r="R21" s="20">
        <v>0</v>
      </c>
      <c r="S21" s="20">
        <v>0</v>
      </c>
      <c r="T21" s="21">
        <v>0</v>
      </c>
      <c r="U21" s="20">
        <v>0</v>
      </c>
      <c r="V21" s="21">
        <v>0</v>
      </c>
      <c r="W21" s="20">
        <v>2219</v>
      </c>
      <c r="X21" s="21">
        <v>1.0316132031613201</v>
      </c>
      <c r="Y21" s="20">
        <v>987</v>
      </c>
      <c r="Z21" s="23">
        <v>0.45885634588563462</v>
      </c>
      <c r="AA21" s="20">
        <v>13</v>
      </c>
      <c r="AB21" s="21">
        <v>6.04370060437006E-3</v>
      </c>
      <c r="AC21" s="20">
        <v>241</v>
      </c>
      <c r="AD21" s="21">
        <v>0.1120409112040911</v>
      </c>
      <c r="AE21" s="20">
        <v>37</v>
      </c>
      <c r="AF21" s="21">
        <v>0.15352697095435691</v>
      </c>
      <c r="AG21" s="20">
        <v>229</v>
      </c>
      <c r="AH21" s="21">
        <v>0.950207468879668</v>
      </c>
      <c r="AI21" s="24">
        <v>224</v>
      </c>
      <c r="AJ21" s="21">
        <v>0.104137610413761</v>
      </c>
      <c r="AK21" s="24">
        <v>3</v>
      </c>
      <c r="AL21" s="21">
        <v>0.8571428571428571</v>
      </c>
      <c r="AM21" s="24">
        <v>222</v>
      </c>
      <c r="AN21" s="24">
        <v>192</v>
      </c>
      <c r="AO21" s="21">
        <v>8.926080892608089E-2</v>
      </c>
      <c r="AP21" s="21">
        <v>0.79668049792531115</v>
      </c>
      <c r="AQ21" s="22">
        <v>0.95767195767195767</v>
      </c>
      <c r="AR21" s="24">
        <v>0</v>
      </c>
      <c r="AS21" s="24">
        <v>0</v>
      </c>
      <c r="AT21" s="24">
        <v>43</v>
      </c>
      <c r="AU21" s="24">
        <v>39</v>
      </c>
      <c r="AV21" s="24">
        <v>36</v>
      </c>
      <c r="AW21" s="24">
        <v>23</v>
      </c>
      <c r="AX21" s="21">
        <v>1.813110181311018E-2</v>
      </c>
      <c r="AY21" s="21">
        <v>1.6736401673640169E-2</v>
      </c>
      <c r="AZ21" s="21">
        <v>1.0692701069270109E-2</v>
      </c>
      <c r="BA21" s="21">
        <v>0.1875</v>
      </c>
      <c r="BB21" s="24">
        <v>0</v>
      </c>
      <c r="BC21" s="24">
        <v>0</v>
      </c>
      <c r="BD21" s="22">
        <v>1</v>
      </c>
      <c r="BE21" s="22">
        <v>1</v>
      </c>
      <c r="BF21" s="22" t="s">
        <v>89</v>
      </c>
    </row>
    <row r="22" spans="1:58" ht="19.5" customHeight="1">
      <c r="A22" s="25">
        <v>19</v>
      </c>
      <c r="B22" s="20" t="s">
        <v>88</v>
      </c>
      <c r="C22" s="26">
        <v>46086</v>
      </c>
      <c r="D22" s="20" t="s">
        <v>14</v>
      </c>
      <c r="E22" s="20">
        <v>74</v>
      </c>
      <c r="F22" s="20">
        <v>67</v>
      </c>
      <c r="G22" s="21">
        <v>0.90540540540540537</v>
      </c>
      <c r="H22" s="20">
        <v>38</v>
      </c>
      <c r="I22" s="22">
        <v>0.51351351351351349</v>
      </c>
      <c r="J22" s="20">
        <v>38</v>
      </c>
      <c r="K22" s="20">
        <v>38</v>
      </c>
      <c r="L22" s="21">
        <v>1</v>
      </c>
      <c r="M22" s="20">
        <v>172</v>
      </c>
      <c r="N22" s="20">
        <v>136</v>
      </c>
      <c r="O22" s="20">
        <v>172</v>
      </c>
      <c r="P22" s="21">
        <v>1</v>
      </c>
      <c r="Q22" s="20">
        <v>0</v>
      </c>
      <c r="R22" s="20">
        <v>0</v>
      </c>
      <c r="S22" s="20">
        <v>0</v>
      </c>
      <c r="T22" s="21">
        <v>0</v>
      </c>
      <c r="U22" s="20">
        <v>0</v>
      </c>
      <c r="V22" s="21">
        <v>0</v>
      </c>
      <c r="W22" s="20">
        <v>0</v>
      </c>
      <c r="X22" s="21">
        <v>0</v>
      </c>
      <c r="Y22" s="20">
        <v>0</v>
      </c>
      <c r="Z22" s="23">
        <v>0</v>
      </c>
      <c r="AA22" s="20">
        <v>0</v>
      </c>
      <c r="AB22" s="21">
        <v>0</v>
      </c>
      <c r="AC22" s="20">
        <v>14</v>
      </c>
      <c r="AD22" s="21">
        <v>0.1891891891891892</v>
      </c>
      <c r="AE22" s="20">
        <v>11</v>
      </c>
      <c r="AF22" s="21">
        <v>0.7857142857142857</v>
      </c>
      <c r="AG22" s="20">
        <v>12</v>
      </c>
      <c r="AH22" s="21">
        <v>0.8571428571428571</v>
      </c>
      <c r="AI22" s="24">
        <v>0</v>
      </c>
      <c r="AJ22" s="21">
        <v>0</v>
      </c>
      <c r="AK22" s="24">
        <v>0</v>
      </c>
      <c r="AL22" s="21">
        <v>0</v>
      </c>
      <c r="AM22" s="24">
        <v>0</v>
      </c>
      <c r="AN22" s="24">
        <v>0</v>
      </c>
      <c r="AO22" s="21">
        <v>0</v>
      </c>
      <c r="AP22" s="21">
        <v>0</v>
      </c>
      <c r="AQ22" s="22">
        <v>1</v>
      </c>
      <c r="AR22" s="24">
        <v>0</v>
      </c>
      <c r="AS22" s="24">
        <v>0</v>
      </c>
      <c r="AT22" s="24">
        <v>0</v>
      </c>
      <c r="AU22" s="24">
        <v>0</v>
      </c>
      <c r="AV22" s="24">
        <v>0</v>
      </c>
      <c r="AW22" s="24">
        <v>0</v>
      </c>
      <c r="AX22" s="21">
        <v>0</v>
      </c>
      <c r="AY22" s="21">
        <v>0</v>
      </c>
      <c r="AZ22" s="21">
        <v>0</v>
      </c>
      <c r="BA22" s="21">
        <v>0</v>
      </c>
      <c r="BB22" s="24">
        <v>0</v>
      </c>
      <c r="BC22" s="24">
        <v>0</v>
      </c>
      <c r="BD22" s="22" t="s">
        <v>89</v>
      </c>
      <c r="BE22" s="22" t="s">
        <v>89</v>
      </c>
      <c r="BF22" s="22" t="s">
        <v>89</v>
      </c>
    </row>
    <row r="23" spans="1:58" ht="19.5" customHeight="1">
      <c r="A23" s="25">
        <v>20</v>
      </c>
      <c r="B23" s="20" t="s">
        <v>88</v>
      </c>
      <c r="C23" s="26">
        <v>46086</v>
      </c>
      <c r="D23" s="20" t="s">
        <v>13</v>
      </c>
      <c r="E23" s="20">
        <v>3901</v>
      </c>
      <c r="F23" s="20">
        <v>3505</v>
      </c>
      <c r="G23" s="21">
        <v>0.89848756729043833</v>
      </c>
      <c r="H23" s="20">
        <v>2655</v>
      </c>
      <c r="I23" s="22">
        <v>0.68059471930274285</v>
      </c>
      <c r="J23" s="20">
        <v>4671</v>
      </c>
      <c r="K23" s="20">
        <v>4542</v>
      </c>
      <c r="L23" s="21">
        <v>0.97199999999999998</v>
      </c>
      <c r="M23" s="20">
        <v>21333</v>
      </c>
      <c r="N23" s="20">
        <v>21308</v>
      </c>
      <c r="O23" s="20">
        <v>20989</v>
      </c>
      <c r="P23" s="21">
        <v>0.98387474804293817</v>
      </c>
      <c r="Q23" s="20">
        <v>29</v>
      </c>
      <c r="R23" s="20">
        <v>0</v>
      </c>
      <c r="S23" s="20">
        <v>0</v>
      </c>
      <c r="T23" s="21">
        <v>0</v>
      </c>
      <c r="U23" s="20">
        <v>0</v>
      </c>
      <c r="V23" s="21">
        <v>0</v>
      </c>
      <c r="W23" s="20">
        <v>2959</v>
      </c>
      <c r="X23" s="21">
        <v>0.75852345552422451</v>
      </c>
      <c r="Y23" s="20">
        <v>1069</v>
      </c>
      <c r="Z23" s="23">
        <v>0.27403229941040758</v>
      </c>
      <c r="AA23" s="20">
        <v>119</v>
      </c>
      <c r="AB23" s="21">
        <v>3.050499871827736E-2</v>
      </c>
      <c r="AC23" s="20">
        <v>494</v>
      </c>
      <c r="AD23" s="21">
        <v>0.12663419635990769</v>
      </c>
      <c r="AE23" s="20">
        <v>78</v>
      </c>
      <c r="AF23" s="21">
        <v>0.15789473684210531</v>
      </c>
      <c r="AG23" s="20">
        <v>460</v>
      </c>
      <c r="AH23" s="21">
        <v>0.93117408906882593</v>
      </c>
      <c r="AI23" s="24">
        <v>480</v>
      </c>
      <c r="AJ23" s="21">
        <v>0.1230453729812868</v>
      </c>
      <c r="AK23" s="24">
        <v>2</v>
      </c>
      <c r="AL23" s="21">
        <v>0.91874999999999996</v>
      </c>
      <c r="AM23" s="24">
        <v>477</v>
      </c>
      <c r="AN23" s="24">
        <v>441</v>
      </c>
      <c r="AO23" s="21">
        <v>0.11304793642655731</v>
      </c>
      <c r="AP23" s="21">
        <v>0.89271255060728749</v>
      </c>
      <c r="AQ23" s="22">
        <v>0.94178794178794178</v>
      </c>
      <c r="AR23" s="24">
        <v>0</v>
      </c>
      <c r="AS23" s="24">
        <v>0</v>
      </c>
      <c r="AT23" s="24">
        <v>90</v>
      </c>
      <c r="AU23" s="24">
        <v>86</v>
      </c>
      <c r="AV23" s="24">
        <v>83</v>
      </c>
      <c r="AW23" s="24">
        <v>117</v>
      </c>
      <c r="AX23" s="21">
        <v>2.204562932581389E-2</v>
      </c>
      <c r="AY23" s="21">
        <v>2.1276595744680851E-2</v>
      </c>
      <c r="AZ23" s="21">
        <v>2.9992309664188671E-2</v>
      </c>
      <c r="BA23" s="21">
        <v>0.18820861678004541</v>
      </c>
      <c r="BB23" s="24">
        <v>0</v>
      </c>
      <c r="BC23" s="24">
        <v>0</v>
      </c>
      <c r="BD23" s="22">
        <v>0.97297297297297303</v>
      </c>
      <c r="BE23" s="22">
        <v>1</v>
      </c>
      <c r="BF23" s="22" t="s">
        <v>89</v>
      </c>
    </row>
    <row r="24" spans="1:58" ht="19.5" customHeight="1">
      <c r="A24" s="25">
        <v>21</v>
      </c>
      <c r="B24" s="20" t="s">
        <v>88</v>
      </c>
      <c r="C24" s="26">
        <v>46087</v>
      </c>
      <c r="D24" s="20" t="s">
        <v>12</v>
      </c>
      <c r="E24" s="20">
        <v>2387</v>
      </c>
      <c r="F24" s="20">
        <v>2102</v>
      </c>
      <c r="G24" s="21">
        <v>0.88060326770004194</v>
      </c>
      <c r="H24" s="20">
        <v>696</v>
      </c>
      <c r="I24" s="22">
        <v>0.29157938835358188</v>
      </c>
      <c r="J24" s="20">
        <v>2466</v>
      </c>
      <c r="K24" s="20">
        <v>2363</v>
      </c>
      <c r="L24" s="21">
        <v>0.95799999999999996</v>
      </c>
      <c r="M24" s="20">
        <v>10157</v>
      </c>
      <c r="N24" s="20">
        <v>10336</v>
      </c>
      <c r="O24" s="20">
        <v>9942</v>
      </c>
      <c r="P24" s="21">
        <v>0.97883233238160872</v>
      </c>
      <c r="Q24" s="20">
        <v>25</v>
      </c>
      <c r="R24" s="20">
        <v>0</v>
      </c>
      <c r="S24" s="20">
        <v>0</v>
      </c>
      <c r="T24" s="21">
        <v>0</v>
      </c>
      <c r="U24" s="20">
        <v>0</v>
      </c>
      <c r="V24" s="21">
        <v>0</v>
      </c>
      <c r="W24" s="20">
        <v>2493</v>
      </c>
      <c r="X24" s="21">
        <v>1.044407205697528</v>
      </c>
      <c r="Y24" s="20">
        <v>576</v>
      </c>
      <c r="Z24" s="23">
        <v>0.24130708001675741</v>
      </c>
      <c r="AA24" s="20">
        <v>36</v>
      </c>
      <c r="AB24" s="21">
        <v>1.508169250104734E-2</v>
      </c>
      <c r="AC24" s="20">
        <v>293</v>
      </c>
      <c r="AD24" s="21">
        <v>0.1227482195224131</v>
      </c>
      <c r="AE24" s="20">
        <v>67</v>
      </c>
      <c r="AF24" s="21">
        <v>0.2286689419795222</v>
      </c>
      <c r="AG24" s="20">
        <v>266</v>
      </c>
      <c r="AH24" s="21">
        <v>0.9078498293515358</v>
      </c>
      <c r="AI24" s="24">
        <v>289</v>
      </c>
      <c r="AJ24" s="21">
        <v>0.1210724759111856</v>
      </c>
      <c r="AK24" s="24">
        <v>4</v>
      </c>
      <c r="AL24" s="21">
        <v>0.86159169550173009</v>
      </c>
      <c r="AM24" s="24">
        <v>285</v>
      </c>
      <c r="AN24" s="24">
        <v>249</v>
      </c>
      <c r="AO24" s="21">
        <v>0.1043150397989108</v>
      </c>
      <c r="AP24" s="21">
        <v>0.84982935153583616</v>
      </c>
      <c r="AQ24" s="22">
        <v>0.97397769516728627</v>
      </c>
      <c r="AR24" s="24">
        <v>0</v>
      </c>
      <c r="AS24" s="24">
        <v>0</v>
      </c>
      <c r="AT24" s="24">
        <v>74</v>
      </c>
      <c r="AU24" s="24">
        <v>65</v>
      </c>
      <c r="AV24" s="24">
        <v>67</v>
      </c>
      <c r="AW24" s="24">
        <v>71</v>
      </c>
      <c r="AX24" s="21">
        <v>2.7230833682446581E-2</v>
      </c>
      <c r="AY24" s="21">
        <v>2.8068705488060331E-2</v>
      </c>
      <c r="AZ24" s="21">
        <v>2.974444909928781E-2</v>
      </c>
      <c r="BA24" s="21">
        <v>0.26907630522088349</v>
      </c>
      <c r="BB24" s="24">
        <v>0</v>
      </c>
      <c r="BC24" s="24">
        <v>0</v>
      </c>
      <c r="BD24" s="22">
        <v>1</v>
      </c>
      <c r="BE24" s="22">
        <v>1</v>
      </c>
      <c r="BF24" s="22" t="s">
        <v>89</v>
      </c>
    </row>
    <row r="25" spans="1:58" ht="19.5" customHeight="1">
      <c r="A25" s="25">
        <v>22</v>
      </c>
      <c r="B25" s="20" t="s">
        <v>88</v>
      </c>
      <c r="C25" s="26">
        <v>46087</v>
      </c>
      <c r="D25" s="20" t="s">
        <v>11</v>
      </c>
      <c r="E25" s="20">
        <v>2077</v>
      </c>
      <c r="F25" s="20">
        <v>1866</v>
      </c>
      <c r="G25" s="21">
        <v>0.89841116995666825</v>
      </c>
      <c r="H25" s="20">
        <v>736</v>
      </c>
      <c r="I25" s="22">
        <v>0.3543572460279249</v>
      </c>
      <c r="J25" s="20">
        <v>1588</v>
      </c>
      <c r="K25" s="20">
        <v>1519</v>
      </c>
      <c r="L25" s="21">
        <v>0.95699999999999996</v>
      </c>
      <c r="M25" s="20">
        <v>7534</v>
      </c>
      <c r="N25" s="20">
        <v>7829</v>
      </c>
      <c r="O25" s="20">
        <v>7404</v>
      </c>
      <c r="P25" s="21">
        <v>0.98274488983275821</v>
      </c>
      <c r="Q25" s="20">
        <v>18</v>
      </c>
      <c r="R25" s="20">
        <v>0</v>
      </c>
      <c r="S25" s="20">
        <v>0</v>
      </c>
      <c r="T25" s="21">
        <v>0</v>
      </c>
      <c r="U25" s="20">
        <v>0</v>
      </c>
      <c r="V25" s="21">
        <v>0</v>
      </c>
      <c r="W25" s="20">
        <v>2961</v>
      </c>
      <c r="X25" s="21">
        <v>1.425613866153105</v>
      </c>
      <c r="Y25" s="20">
        <v>731</v>
      </c>
      <c r="Z25" s="23">
        <v>0.35194992778045259</v>
      </c>
      <c r="AA25" s="20">
        <v>16</v>
      </c>
      <c r="AB25" s="21">
        <v>7.7034183919114114E-3</v>
      </c>
      <c r="AC25" s="20">
        <v>281</v>
      </c>
      <c r="AD25" s="21">
        <v>0.13529128550794409</v>
      </c>
      <c r="AE25" s="20">
        <v>36</v>
      </c>
      <c r="AF25" s="21">
        <v>0.12811387900355869</v>
      </c>
      <c r="AG25" s="20">
        <v>263</v>
      </c>
      <c r="AH25" s="21">
        <v>0.93594306049822062</v>
      </c>
      <c r="AI25" s="24">
        <v>278</v>
      </c>
      <c r="AJ25" s="21">
        <v>0.13384689455946069</v>
      </c>
      <c r="AK25" s="24">
        <v>5</v>
      </c>
      <c r="AL25" s="21">
        <v>0.82374100719424459</v>
      </c>
      <c r="AM25" s="24">
        <v>273</v>
      </c>
      <c r="AN25" s="24">
        <v>229</v>
      </c>
      <c r="AO25" s="21">
        <v>0.1102551757342321</v>
      </c>
      <c r="AP25" s="21">
        <v>0.81494661921708189</v>
      </c>
      <c r="AQ25" s="22">
        <v>0.97607655502392343</v>
      </c>
      <c r="AR25" s="24">
        <v>0</v>
      </c>
      <c r="AS25" s="24">
        <v>0</v>
      </c>
      <c r="AT25" s="24">
        <v>43</v>
      </c>
      <c r="AU25" s="24">
        <v>41</v>
      </c>
      <c r="AV25" s="24">
        <v>44</v>
      </c>
      <c r="AW25" s="24">
        <v>32</v>
      </c>
      <c r="AX25" s="21">
        <v>1.9740009629272991E-2</v>
      </c>
      <c r="AY25" s="21">
        <v>2.118440057775638E-2</v>
      </c>
      <c r="AZ25" s="21">
        <v>1.5406836783822819E-2</v>
      </c>
      <c r="BA25" s="21">
        <v>0.19213973799126641</v>
      </c>
      <c r="BB25" s="24">
        <v>0</v>
      </c>
      <c r="BC25" s="24">
        <v>0</v>
      </c>
      <c r="BD25" s="22">
        <v>1</v>
      </c>
      <c r="BE25" s="22">
        <v>1</v>
      </c>
      <c r="BF25" s="22" t="s">
        <v>89</v>
      </c>
    </row>
    <row r="26" spans="1:58" ht="19.5" customHeight="1">
      <c r="A26" s="25">
        <v>23</v>
      </c>
      <c r="B26" s="20" t="s">
        <v>88</v>
      </c>
      <c r="C26" s="26">
        <v>46087</v>
      </c>
      <c r="D26" s="20" t="s">
        <v>14</v>
      </c>
      <c r="E26" s="20">
        <v>80</v>
      </c>
      <c r="F26" s="20">
        <v>80</v>
      </c>
      <c r="G26" s="21">
        <v>1</v>
      </c>
      <c r="H26" s="20">
        <v>37</v>
      </c>
      <c r="I26" s="22">
        <v>0.46250000000000002</v>
      </c>
      <c r="J26" s="20">
        <v>31</v>
      </c>
      <c r="K26" s="20">
        <v>31</v>
      </c>
      <c r="L26" s="21">
        <v>1</v>
      </c>
      <c r="M26" s="20">
        <v>143</v>
      </c>
      <c r="N26" s="20">
        <v>133</v>
      </c>
      <c r="O26" s="20">
        <v>142</v>
      </c>
      <c r="P26" s="21">
        <v>0.99300699300699302</v>
      </c>
      <c r="Q26" s="20">
        <v>0</v>
      </c>
      <c r="R26" s="20">
        <v>0</v>
      </c>
      <c r="S26" s="20">
        <v>0</v>
      </c>
      <c r="T26" s="21">
        <v>0</v>
      </c>
      <c r="U26" s="20">
        <v>0</v>
      </c>
      <c r="V26" s="21">
        <v>0</v>
      </c>
      <c r="W26" s="20">
        <v>0</v>
      </c>
      <c r="X26" s="21">
        <v>0</v>
      </c>
      <c r="Y26" s="20">
        <v>0</v>
      </c>
      <c r="Z26" s="23">
        <v>0</v>
      </c>
      <c r="AA26" s="20">
        <v>0</v>
      </c>
      <c r="AB26" s="21">
        <v>0</v>
      </c>
      <c r="AC26" s="20">
        <v>34</v>
      </c>
      <c r="AD26" s="21">
        <v>0.42499999999999999</v>
      </c>
      <c r="AE26" s="20">
        <v>13</v>
      </c>
      <c r="AF26" s="21">
        <v>0.38235294117647062</v>
      </c>
      <c r="AG26" s="20">
        <v>33</v>
      </c>
      <c r="AH26" s="21">
        <v>0.97058823529411764</v>
      </c>
      <c r="AI26" s="24">
        <v>0</v>
      </c>
      <c r="AJ26" s="21">
        <v>0</v>
      </c>
      <c r="AK26" s="24">
        <v>0</v>
      </c>
      <c r="AL26" s="21">
        <v>0</v>
      </c>
      <c r="AM26" s="24">
        <v>0</v>
      </c>
      <c r="AN26" s="24">
        <v>0</v>
      </c>
      <c r="AO26" s="21">
        <v>0</v>
      </c>
      <c r="AP26" s="21">
        <v>0</v>
      </c>
      <c r="AQ26" s="22">
        <v>1</v>
      </c>
      <c r="AR26" s="24">
        <v>0</v>
      </c>
      <c r="AS26" s="24">
        <v>0</v>
      </c>
      <c r="AT26" s="24">
        <v>0</v>
      </c>
      <c r="AU26" s="24">
        <v>0</v>
      </c>
      <c r="AV26" s="24">
        <v>0</v>
      </c>
      <c r="AW26" s="24">
        <v>0</v>
      </c>
      <c r="AX26" s="21">
        <v>0</v>
      </c>
      <c r="AY26" s="21">
        <v>0</v>
      </c>
      <c r="AZ26" s="21">
        <v>0</v>
      </c>
      <c r="BA26" s="21">
        <v>0</v>
      </c>
      <c r="BB26" s="24">
        <v>0</v>
      </c>
      <c r="BC26" s="24">
        <v>0</v>
      </c>
      <c r="BD26" s="22" t="s">
        <v>89</v>
      </c>
      <c r="BE26" s="22" t="s">
        <v>89</v>
      </c>
      <c r="BF26" s="22" t="s">
        <v>89</v>
      </c>
    </row>
    <row r="27" spans="1:58" ht="19.5" customHeight="1">
      <c r="A27" s="25">
        <v>24</v>
      </c>
      <c r="B27" s="20" t="s">
        <v>88</v>
      </c>
      <c r="C27" s="26">
        <v>46087</v>
      </c>
      <c r="D27" s="20" t="s">
        <v>13</v>
      </c>
      <c r="E27" s="20">
        <v>4086</v>
      </c>
      <c r="F27" s="20">
        <v>3621</v>
      </c>
      <c r="G27" s="21">
        <v>0.88619676945668135</v>
      </c>
      <c r="H27" s="20">
        <v>2732</v>
      </c>
      <c r="I27" s="22">
        <v>0.66862457170827216</v>
      </c>
      <c r="J27" s="20">
        <v>5018</v>
      </c>
      <c r="K27" s="20">
        <v>4898</v>
      </c>
      <c r="L27" s="21">
        <v>0.97599999999999998</v>
      </c>
      <c r="M27" s="20">
        <v>21923</v>
      </c>
      <c r="N27" s="20">
        <v>22212</v>
      </c>
      <c r="O27" s="20">
        <v>21640</v>
      </c>
      <c r="P27" s="21">
        <v>0.98709118277607988</v>
      </c>
      <c r="Q27" s="20">
        <v>27</v>
      </c>
      <c r="R27" s="20">
        <v>0</v>
      </c>
      <c r="S27" s="20">
        <v>0</v>
      </c>
      <c r="T27" s="21">
        <v>0</v>
      </c>
      <c r="U27" s="20">
        <v>0</v>
      </c>
      <c r="V27" s="21">
        <v>0</v>
      </c>
      <c r="W27" s="20">
        <v>3796</v>
      </c>
      <c r="X27" s="21">
        <v>0.92902594224180124</v>
      </c>
      <c r="Y27" s="20">
        <v>1087</v>
      </c>
      <c r="Z27" s="23">
        <v>0.26603034752814492</v>
      </c>
      <c r="AA27" s="20">
        <v>99</v>
      </c>
      <c r="AB27" s="21">
        <v>2.4229074889867839E-2</v>
      </c>
      <c r="AC27" s="20">
        <v>575</v>
      </c>
      <c r="AD27" s="21">
        <v>0.14072442486539399</v>
      </c>
      <c r="AE27" s="20">
        <v>91</v>
      </c>
      <c r="AF27" s="21">
        <v>0.1582608695652174</v>
      </c>
      <c r="AG27" s="20">
        <v>534</v>
      </c>
      <c r="AH27" s="21">
        <v>0.92869565217391303</v>
      </c>
      <c r="AI27" s="24">
        <v>584</v>
      </c>
      <c r="AJ27" s="21">
        <v>0.14292706803720021</v>
      </c>
      <c r="AK27" s="24">
        <v>2</v>
      </c>
      <c r="AL27" s="21">
        <v>0.93150684931506844</v>
      </c>
      <c r="AM27" s="24">
        <v>577</v>
      </c>
      <c r="AN27" s="24">
        <v>544</v>
      </c>
      <c r="AO27" s="21">
        <v>0.13313754282917281</v>
      </c>
      <c r="AP27" s="21">
        <v>0.94608695652173913</v>
      </c>
      <c r="AQ27" s="22">
        <v>0.97391304347826091</v>
      </c>
      <c r="AR27" s="24">
        <v>0</v>
      </c>
      <c r="AS27" s="24">
        <v>0</v>
      </c>
      <c r="AT27" s="24">
        <v>110</v>
      </c>
      <c r="AU27" s="24">
        <v>106</v>
      </c>
      <c r="AV27" s="24">
        <v>104</v>
      </c>
      <c r="AW27" s="24">
        <v>119</v>
      </c>
      <c r="AX27" s="21">
        <v>2.594224180127264E-2</v>
      </c>
      <c r="AY27" s="21">
        <v>2.545276554087127E-2</v>
      </c>
      <c r="AZ27" s="21">
        <v>2.912383749388155E-2</v>
      </c>
      <c r="BA27" s="21">
        <v>0.19117647058823531</v>
      </c>
      <c r="BB27" s="24">
        <v>0</v>
      </c>
      <c r="BC27" s="24">
        <v>0</v>
      </c>
      <c r="BD27" s="22">
        <v>0.95161290322580649</v>
      </c>
      <c r="BE27" s="22">
        <v>1</v>
      </c>
      <c r="BF27" s="22" t="s">
        <v>89</v>
      </c>
    </row>
    <row r="28" spans="1:58" ht="19.5" customHeight="1">
      <c r="A28" s="25">
        <v>25</v>
      </c>
      <c r="B28" s="20" t="s">
        <v>88</v>
      </c>
      <c r="C28" s="26">
        <v>46088</v>
      </c>
      <c r="D28" s="20" t="s">
        <v>12</v>
      </c>
      <c r="E28" s="20">
        <v>2614</v>
      </c>
      <c r="F28" s="20">
        <v>2355</v>
      </c>
      <c r="G28" s="21">
        <v>0.9009181331293038</v>
      </c>
      <c r="H28" s="20">
        <v>915</v>
      </c>
      <c r="I28" s="22">
        <v>0.35003825554705431</v>
      </c>
      <c r="J28" s="20">
        <v>2404</v>
      </c>
      <c r="K28" s="20">
        <v>2321</v>
      </c>
      <c r="L28" s="21">
        <v>0.96499999999999997</v>
      </c>
      <c r="M28" s="20">
        <v>10292</v>
      </c>
      <c r="N28" s="20">
        <v>10448</v>
      </c>
      <c r="O28" s="20">
        <v>10048</v>
      </c>
      <c r="P28" s="21">
        <v>0.97629226583754369</v>
      </c>
      <c r="Q28" s="20">
        <v>24</v>
      </c>
      <c r="R28" s="20">
        <v>0</v>
      </c>
      <c r="S28" s="20">
        <v>0</v>
      </c>
      <c r="T28" s="21">
        <v>0</v>
      </c>
      <c r="U28" s="20">
        <v>0</v>
      </c>
      <c r="V28" s="21">
        <v>0</v>
      </c>
      <c r="W28" s="20">
        <v>2194</v>
      </c>
      <c r="X28" s="21">
        <v>0.83932670237184392</v>
      </c>
      <c r="Y28" s="20">
        <v>562</v>
      </c>
      <c r="Z28" s="23">
        <v>0.21499617444529459</v>
      </c>
      <c r="AA28" s="20">
        <v>34</v>
      </c>
      <c r="AB28" s="21">
        <v>1.300688599846978E-2</v>
      </c>
      <c r="AC28" s="20">
        <v>488</v>
      </c>
      <c r="AD28" s="21">
        <v>0.1866870696250956</v>
      </c>
      <c r="AE28" s="20">
        <v>82</v>
      </c>
      <c r="AF28" s="21">
        <v>0.16803278688524589</v>
      </c>
      <c r="AG28" s="20">
        <v>442</v>
      </c>
      <c r="AH28" s="21">
        <v>0.90573770491803274</v>
      </c>
      <c r="AI28" s="24">
        <v>482</v>
      </c>
      <c r="AJ28" s="21">
        <v>0.18439173680183629</v>
      </c>
      <c r="AK28" s="24">
        <v>4</v>
      </c>
      <c r="AL28" s="21">
        <v>0.85062240663900412</v>
      </c>
      <c r="AM28" s="24">
        <v>481</v>
      </c>
      <c r="AN28" s="24">
        <v>410</v>
      </c>
      <c r="AO28" s="21">
        <v>0.1568477429227238</v>
      </c>
      <c r="AP28" s="21">
        <v>0.8401639344262295</v>
      </c>
      <c r="AQ28" s="22">
        <v>0.95255474452554745</v>
      </c>
      <c r="AR28" s="24">
        <v>0</v>
      </c>
      <c r="AS28" s="24">
        <v>0</v>
      </c>
      <c r="AT28" s="24">
        <v>110</v>
      </c>
      <c r="AU28" s="24">
        <v>104</v>
      </c>
      <c r="AV28" s="24">
        <v>100</v>
      </c>
      <c r="AW28" s="24">
        <v>53</v>
      </c>
      <c r="AX28" s="21">
        <v>3.978576893649579E-2</v>
      </c>
      <c r="AY28" s="21">
        <v>3.8255547054322873E-2</v>
      </c>
      <c r="AZ28" s="21">
        <v>2.027543993879112E-2</v>
      </c>
      <c r="BA28" s="21">
        <v>0.24390243902439021</v>
      </c>
      <c r="BB28" s="24">
        <v>0</v>
      </c>
      <c r="BC28" s="24">
        <v>0</v>
      </c>
      <c r="BD28" s="22">
        <v>0.97674418604651159</v>
      </c>
      <c r="BE28" s="22">
        <v>1</v>
      </c>
      <c r="BF28" s="22" t="s">
        <v>89</v>
      </c>
    </row>
    <row r="29" spans="1:58" ht="19.5" customHeight="1">
      <c r="A29" s="25">
        <v>26</v>
      </c>
      <c r="B29" s="20" t="s">
        <v>88</v>
      </c>
      <c r="C29" s="26">
        <v>46088</v>
      </c>
      <c r="D29" s="20" t="s">
        <v>11</v>
      </c>
      <c r="E29" s="20">
        <v>2512</v>
      </c>
      <c r="F29" s="20">
        <v>2284</v>
      </c>
      <c r="G29" s="21">
        <v>0.90923566878980888</v>
      </c>
      <c r="H29" s="20">
        <v>900</v>
      </c>
      <c r="I29" s="22">
        <v>0.35828025477706998</v>
      </c>
      <c r="J29" s="20">
        <v>1850</v>
      </c>
      <c r="K29" s="20">
        <v>1783</v>
      </c>
      <c r="L29" s="21">
        <v>0.96399999999999997</v>
      </c>
      <c r="M29" s="20">
        <v>8225</v>
      </c>
      <c r="N29" s="20">
        <v>8386</v>
      </c>
      <c r="O29" s="20">
        <v>8046</v>
      </c>
      <c r="P29" s="21">
        <v>0.97823708206686932</v>
      </c>
      <c r="Q29" s="20">
        <v>21</v>
      </c>
      <c r="R29" s="20">
        <v>0</v>
      </c>
      <c r="S29" s="20">
        <v>0</v>
      </c>
      <c r="T29" s="21">
        <v>0</v>
      </c>
      <c r="U29" s="20">
        <v>0</v>
      </c>
      <c r="V29" s="21">
        <v>0</v>
      </c>
      <c r="W29" s="20">
        <v>2286</v>
      </c>
      <c r="X29" s="21">
        <v>0.91003184713375795</v>
      </c>
      <c r="Y29" s="20">
        <v>519</v>
      </c>
      <c r="Z29" s="23">
        <v>0.20660828025477709</v>
      </c>
      <c r="AA29" s="20">
        <v>24</v>
      </c>
      <c r="AB29" s="21">
        <v>9.5541401273885346E-3</v>
      </c>
      <c r="AC29" s="20">
        <v>493</v>
      </c>
      <c r="AD29" s="21">
        <v>0.19625796178343949</v>
      </c>
      <c r="AE29" s="20">
        <v>55</v>
      </c>
      <c r="AF29" s="21">
        <v>0.11156186612576061</v>
      </c>
      <c r="AG29" s="20">
        <v>471</v>
      </c>
      <c r="AH29" s="21">
        <v>0.95537525354969577</v>
      </c>
      <c r="AI29" s="24">
        <v>472</v>
      </c>
      <c r="AJ29" s="21">
        <v>0.18789808917197451</v>
      </c>
      <c r="AK29" s="24">
        <v>6</v>
      </c>
      <c r="AL29" s="21">
        <v>0.87923728813559321</v>
      </c>
      <c r="AM29" s="24">
        <v>471</v>
      </c>
      <c r="AN29" s="24">
        <v>415</v>
      </c>
      <c r="AO29" s="21">
        <v>0.16520700636942681</v>
      </c>
      <c r="AP29" s="21">
        <v>0.8417849898580122</v>
      </c>
      <c r="AQ29" s="22">
        <v>0.97718631178707227</v>
      </c>
      <c r="AR29" s="24">
        <v>0</v>
      </c>
      <c r="AS29" s="24">
        <v>0</v>
      </c>
      <c r="AT29" s="24">
        <v>65</v>
      </c>
      <c r="AU29" s="24">
        <v>57</v>
      </c>
      <c r="AV29" s="24">
        <v>56</v>
      </c>
      <c r="AW29" s="24">
        <v>25</v>
      </c>
      <c r="AX29" s="21">
        <v>2.2691082802547769E-2</v>
      </c>
      <c r="AY29" s="21">
        <v>2.229299363057325E-2</v>
      </c>
      <c r="AZ29" s="21">
        <v>9.9522292993630568E-3</v>
      </c>
      <c r="BA29" s="21">
        <v>0.13493975903614461</v>
      </c>
      <c r="BB29" s="24">
        <v>0</v>
      </c>
      <c r="BC29" s="24">
        <v>0</v>
      </c>
      <c r="BD29" s="22">
        <v>1</v>
      </c>
      <c r="BE29" s="22">
        <v>1</v>
      </c>
      <c r="BF29" s="22" t="s">
        <v>89</v>
      </c>
    </row>
    <row r="30" spans="1:58" ht="19.5" customHeight="1">
      <c r="A30" s="25">
        <v>27</v>
      </c>
      <c r="B30" s="20" t="s">
        <v>88</v>
      </c>
      <c r="C30" s="26">
        <v>46088</v>
      </c>
      <c r="D30" s="20" t="s">
        <v>14</v>
      </c>
      <c r="E30" s="20">
        <v>92</v>
      </c>
      <c r="F30" s="20">
        <v>86</v>
      </c>
      <c r="G30" s="21">
        <v>0.93478260869565222</v>
      </c>
      <c r="H30" s="20">
        <v>45</v>
      </c>
      <c r="I30" s="22">
        <v>0.4891304347826087</v>
      </c>
      <c r="J30" s="20">
        <v>50</v>
      </c>
      <c r="K30" s="20">
        <v>50</v>
      </c>
      <c r="L30" s="21">
        <v>1</v>
      </c>
      <c r="M30" s="20">
        <v>193</v>
      </c>
      <c r="N30" s="20">
        <v>165</v>
      </c>
      <c r="O30" s="20">
        <v>190</v>
      </c>
      <c r="P30" s="21">
        <v>0.98445595854922274</v>
      </c>
      <c r="Q30" s="20">
        <v>0</v>
      </c>
      <c r="R30" s="20">
        <v>0</v>
      </c>
      <c r="S30" s="20">
        <v>0</v>
      </c>
      <c r="T30" s="21">
        <v>0</v>
      </c>
      <c r="U30" s="20">
        <v>0</v>
      </c>
      <c r="V30" s="21">
        <v>0</v>
      </c>
      <c r="W30" s="20">
        <v>0</v>
      </c>
      <c r="X30" s="21">
        <v>0</v>
      </c>
      <c r="Y30" s="20">
        <v>0</v>
      </c>
      <c r="Z30" s="23">
        <v>0</v>
      </c>
      <c r="AA30" s="20">
        <v>0</v>
      </c>
      <c r="AB30" s="21">
        <v>0</v>
      </c>
      <c r="AC30" s="20">
        <v>31</v>
      </c>
      <c r="AD30" s="21">
        <v>0.33695652173913038</v>
      </c>
      <c r="AE30" s="20">
        <v>23</v>
      </c>
      <c r="AF30" s="21">
        <v>0.74193548387096775</v>
      </c>
      <c r="AG30" s="20">
        <v>27</v>
      </c>
      <c r="AH30" s="21">
        <v>0.87096774193548387</v>
      </c>
      <c r="AI30" s="24">
        <v>0</v>
      </c>
      <c r="AJ30" s="21">
        <v>0</v>
      </c>
      <c r="AK30" s="24">
        <v>0</v>
      </c>
      <c r="AL30" s="21">
        <v>0</v>
      </c>
      <c r="AM30" s="24">
        <v>0</v>
      </c>
      <c r="AN30" s="24">
        <v>0</v>
      </c>
      <c r="AO30" s="21">
        <v>0</v>
      </c>
      <c r="AP30" s="21">
        <v>0</v>
      </c>
      <c r="AQ30" s="22">
        <v>1</v>
      </c>
      <c r="AR30" s="24">
        <v>0</v>
      </c>
      <c r="AS30" s="24">
        <v>0</v>
      </c>
      <c r="AT30" s="24">
        <v>0</v>
      </c>
      <c r="AU30" s="24">
        <v>0</v>
      </c>
      <c r="AV30" s="24">
        <v>0</v>
      </c>
      <c r="AW30" s="24">
        <v>0</v>
      </c>
      <c r="AX30" s="21">
        <v>0</v>
      </c>
      <c r="AY30" s="21">
        <v>0</v>
      </c>
      <c r="AZ30" s="21">
        <v>0</v>
      </c>
      <c r="BA30" s="21">
        <v>0</v>
      </c>
      <c r="BB30" s="24">
        <v>0</v>
      </c>
      <c r="BC30" s="24">
        <v>0</v>
      </c>
      <c r="BD30" s="22" t="s">
        <v>89</v>
      </c>
      <c r="BE30" s="22" t="s">
        <v>89</v>
      </c>
      <c r="BF30" s="22" t="s">
        <v>89</v>
      </c>
    </row>
    <row r="31" spans="1:58" ht="19.5" customHeight="1">
      <c r="A31" s="25">
        <v>28</v>
      </c>
      <c r="B31" s="20" t="s">
        <v>88</v>
      </c>
      <c r="C31" s="26">
        <v>46088</v>
      </c>
      <c r="D31" s="20" t="s">
        <v>13</v>
      </c>
      <c r="E31" s="20">
        <v>4523</v>
      </c>
      <c r="F31" s="20">
        <v>4045</v>
      </c>
      <c r="G31" s="21">
        <v>0.89431793057705067</v>
      </c>
      <c r="H31" s="20">
        <v>3061</v>
      </c>
      <c r="I31" s="22">
        <v>0.67676321025867792</v>
      </c>
      <c r="J31" s="20">
        <v>5230</v>
      </c>
      <c r="K31" s="20">
        <v>5128</v>
      </c>
      <c r="L31" s="21">
        <v>0.98</v>
      </c>
      <c r="M31" s="20">
        <v>21913</v>
      </c>
      <c r="N31" s="20">
        <v>22499</v>
      </c>
      <c r="O31" s="20">
        <v>21558</v>
      </c>
      <c r="P31" s="21">
        <v>0.98379957103089488</v>
      </c>
      <c r="Q31" s="20">
        <v>24</v>
      </c>
      <c r="R31" s="20">
        <v>0</v>
      </c>
      <c r="S31" s="20">
        <v>0</v>
      </c>
      <c r="T31" s="21">
        <v>0</v>
      </c>
      <c r="U31" s="20">
        <v>0</v>
      </c>
      <c r="V31" s="21">
        <v>0</v>
      </c>
      <c r="W31" s="20">
        <v>3306</v>
      </c>
      <c r="X31" s="21">
        <v>0.73093079814282558</v>
      </c>
      <c r="Y31" s="20">
        <v>924</v>
      </c>
      <c r="Z31" s="23">
        <v>0.20428918859164269</v>
      </c>
      <c r="AA31" s="20">
        <v>88</v>
      </c>
      <c r="AB31" s="21">
        <v>1.945611319920407E-2</v>
      </c>
      <c r="AC31" s="20">
        <v>1069</v>
      </c>
      <c r="AD31" s="21">
        <v>0.23634755693124029</v>
      </c>
      <c r="AE31" s="20">
        <v>129</v>
      </c>
      <c r="AF31" s="21">
        <v>0.1206735266604303</v>
      </c>
      <c r="AG31" s="20">
        <v>1011</v>
      </c>
      <c r="AH31" s="21">
        <v>0.94574368568755851</v>
      </c>
      <c r="AI31" s="24">
        <v>1047</v>
      </c>
      <c r="AJ31" s="21">
        <v>0.23148352863143931</v>
      </c>
      <c r="AK31" s="24">
        <v>10</v>
      </c>
      <c r="AL31" s="21">
        <v>0.94460362941738296</v>
      </c>
      <c r="AM31" s="24">
        <v>1042</v>
      </c>
      <c r="AN31" s="24">
        <v>989</v>
      </c>
      <c r="AO31" s="21">
        <v>0.2186601812956003</v>
      </c>
      <c r="AP31" s="21">
        <v>0.92516370439663231</v>
      </c>
      <c r="AQ31" s="22">
        <v>0.97318007662835249</v>
      </c>
      <c r="AR31" s="24">
        <v>0</v>
      </c>
      <c r="AS31" s="24">
        <v>0</v>
      </c>
      <c r="AT31" s="24">
        <v>201</v>
      </c>
      <c r="AU31" s="24">
        <v>191</v>
      </c>
      <c r="AV31" s="24">
        <v>190</v>
      </c>
      <c r="AW31" s="24">
        <v>86</v>
      </c>
      <c r="AX31" s="21">
        <v>4.222860933009065E-2</v>
      </c>
      <c r="AY31" s="21">
        <v>4.200751713464515E-2</v>
      </c>
      <c r="AZ31" s="21">
        <v>1.9013928808313069E-2</v>
      </c>
      <c r="BA31" s="21">
        <v>0.19211324570273</v>
      </c>
      <c r="BB31" s="24">
        <v>0</v>
      </c>
      <c r="BC31" s="24">
        <v>0</v>
      </c>
      <c r="BD31" s="22">
        <v>0.99206349206349209</v>
      </c>
      <c r="BE31" s="22">
        <v>1</v>
      </c>
      <c r="BF31" s="22" t="s">
        <v>89</v>
      </c>
    </row>
    <row r="32" spans="1:58" ht="19.5" customHeight="1">
      <c r="A32" s="25">
        <v>29</v>
      </c>
      <c r="B32" s="20" t="s">
        <v>88</v>
      </c>
      <c r="C32" s="26">
        <v>46089</v>
      </c>
      <c r="D32" s="20" t="s">
        <v>12</v>
      </c>
      <c r="E32" s="20">
        <v>2613</v>
      </c>
      <c r="F32" s="20">
        <v>2366</v>
      </c>
      <c r="G32" s="21">
        <v>0.90547263681592038</v>
      </c>
      <c r="H32" s="20">
        <v>913</v>
      </c>
      <c r="I32" s="22">
        <v>0.34940681209337932</v>
      </c>
      <c r="J32" s="20">
        <v>2386</v>
      </c>
      <c r="K32" s="20">
        <v>2285</v>
      </c>
      <c r="L32" s="21">
        <v>0.95799999999999996</v>
      </c>
      <c r="M32" s="20">
        <v>10283</v>
      </c>
      <c r="N32" s="20">
        <v>10039</v>
      </c>
      <c r="O32" s="20">
        <v>10003</v>
      </c>
      <c r="P32" s="21">
        <v>0.97277059223961881</v>
      </c>
      <c r="Q32" s="20">
        <v>24</v>
      </c>
      <c r="R32" s="20">
        <v>0</v>
      </c>
      <c r="S32" s="20">
        <v>0</v>
      </c>
      <c r="T32" s="21">
        <v>0</v>
      </c>
      <c r="U32" s="20">
        <v>0</v>
      </c>
      <c r="V32" s="21">
        <v>0</v>
      </c>
      <c r="W32" s="20">
        <v>2674</v>
      </c>
      <c r="X32" s="21">
        <v>1.02334481438959</v>
      </c>
      <c r="Y32" s="20">
        <v>598</v>
      </c>
      <c r="Z32" s="23">
        <v>0.22885572139303481</v>
      </c>
      <c r="AA32" s="20">
        <v>45</v>
      </c>
      <c r="AB32" s="21">
        <v>1.7221584385763489E-2</v>
      </c>
      <c r="AC32" s="20">
        <v>513</v>
      </c>
      <c r="AD32" s="21">
        <v>0.1963260619977038</v>
      </c>
      <c r="AE32" s="20">
        <v>57</v>
      </c>
      <c r="AF32" s="21">
        <v>0.1111111111111111</v>
      </c>
      <c r="AG32" s="20">
        <v>482</v>
      </c>
      <c r="AH32" s="21">
        <v>0.93957115009746583</v>
      </c>
      <c r="AI32" s="24">
        <v>492</v>
      </c>
      <c r="AJ32" s="21">
        <v>0.1882893226176808</v>
      </c>
      <c r="AK32" s="24">
        <v>4</v>
      </c>
      <c r="AL32" s="21">
        <v>0.86382113821138207</v>
      </c>
      <c r="AM32" s="24">
        <v>487</v>
      </c>
      <c r="AN32" s="24">
        <v>425</v>
      </c>
      <c r="AO32" s="21">
        <v>0.1626482969766552</v>
      </c>
      <c r="AP32" s="21">
        <v>0.82846003898635479</v>
      </c>
      <c r="AQ32" s="22">
        <v>0.93033707865168536</v>
      </c>
      <c r="AR32" s="24">
        <v>0</v>
      </c>
      <c r="AS32" s="24">
        <v>0</v>
      </c>
      <c r="AT32" s="24">
        <v>123</v>
      </c>
      <c r="AU32" s="24">
        <v>118</v>
      </c>
      <c r="AV32" s="24">
        <v>117</v>
      </c>
      <c r="AW32" s="24">
        <v>55</v>
      </c>
      <c r="AX32" s="21">
        <v>4.5158821278224258E-2</v>
      </c>
      <c r="AY32" s="21">
        <v>4.4776119402985072E-2</v>
      </c>
      <c r="AZ32" s="21">
        <v>2.1048603138155379E-2</v>
      </c>
      <c r="BA32" s="21">
        <v>0.2752941176470588</v>
      </c>
      <c r="BB32" s="24">
        <v>0</v>
      </c>
      <c r="BC32" s="24">
        <v>0</v>
      </c>
      <c r="BD32" s="22">
        <v>1</v>
      </c>
      <c r="BE32" s="22">
        <v>0.9642857142857143</v>
      </c>
      <c r="BF32" s="22" t="s">
        <v>89</v>
      </c>
    </row>
    <row r="33" spans="1:58" ht="19.5" customHeight="1">
      <c r="A33" s="25">
        <v>30</v>
      </c>
      <c r="B33" s="20" t="s">
        <v>88</v>
      </c>
      <c r="C33" s="26">
        <v>46089</v>
      </c>
      <c r="D33" s="20" t="s">
        <v>11</v>
      </c>
      <c r="E33" s="20">
        <v>2121</v>
      </c>
      <c r="F33" s="20">
        <v>1934</v>
      </c>
      <c r="G33" s="21">
        <v>0.91183404054691186</v>
      </c>
      <c r="H33" s="20">
        <v>917</v>
      </c>
      <c r="I33" s="22">
        <v>0.43234323432343241</v>
      </c>
      <c r="J33" s="20">
        <v>1772</v>
      </c>
      <c r="K33" s="20">
        <v>1700</v>
      </c>
      <c r="L33" s="21">
        <v>0.95899999999999996</v>
      </c>
      <c r="M33" s="20">
        <v>8079</v>
      </c>
      <c r="N33" s="20">
        <v>7869</v>
      </c>
      <c r="O33" s="20">
        <v>7883</v>
      </c>
      <c r="P33" s="21">
        <v>0.97573957172917436</v>
      </c>
      <c r="Q33" s="20">
        <v>21</v>
      </c>
      <c r="R33" s="20">
        <v>0</v>
      </c>
      <c r="S33" s="20">
        <v>0</v>
      </c>
      <c r="T33" s="21">
        <v>0</v>
      </c>
      <c r="U33" s="20">
        <v>0</v>
      </c>
      <c r="V33" s="21">
        <v>0</v>
      </c>
      <c r="W33" s="20">
        <v>2704</v>
      </c>
      <c r="X33" s="21">
        <v>1.2748703441772751</v>
      </c>
      <c r="Y33" s="20">
        <v>604</v>
      </c>
      <c r="Z33" s="23">
        <v>0.28477133427628482</v>
      </c>
      <c r="AA33" s="20">
        <v>16</v>
      </c>
      <c r="AB33" s="21">
        <v>7.5436115040075436E-3</v>
      </c>
      <c r="AC33" s="20">
        <v>469</v>
      </c>
      <c r="AD33" s="21">
        <v>0.22112211221122111</v>
      </c>
      <c r="AE33" s="20">
        <v>55</v>
      </c>
      <c r="AF33" s="21">
        <v>0.11727078891258</v>
      </c>
      <c r="AG33" s="20">
        <v>452</v>
      </c>
      <c r="AH33" s="21">
        <v>0.96375266524520253</v>
      </c>
      <c r="AI33" s="24">
        <v>453</v>
      </c>
      <c r="AJ33" s="21">
        <v>0.2135785007072136</v>
      </c>
      <c r="AK33" s="24">
        <v>4</v>
      </c>
      <c r="AL33" s="21">
        <v>0.84988962472406182</v>
      </c>
      <c r="AM33" s="24">
        <v>448</v>
      </c>
      <c r="AN33" s="24">
        <v>385</v>
      </c>
      <c r="AO33" s="21">
        <v>0.18151815181518149</v>
      </c>
      <c r="AP33" s="21">
        <v>0.82089552238805974</v>
      </c>
      <c r="AQ33" s="22">
        <v>0.95525727069351229</v>
      </c>
      <c r="AR33" s="24">
        <v>0</v>
      </c>
      <c r="AS33" s="24">
        <v>0</v>
      </c>
      <c r="AT33" s="24">
        <v>66</v>
      </c>
      <c r="AU33" s="24">
        <v>65</v>
      </c>
      <c r="AV33" s="24">
        <v>61</v>
      </c>
      <c r="AW33" s="24">
        <v>18</v>
      </c>
      <c r="AX33" s="21">
        <v>3.0645921735030651E-2</v>
      </c>
      <c r="AY33" s="21">
        <v>2.876001885902876E-2</v>
      </c>
      <c r="AZ33" s="21">
        <v>8.4865629420084864E-3</v>
      </c>
      <c r="BA33" s="21">
        <v>0.15844155844155841</v>
      </c>
      <c r="BB33" s="24">
        <v>0</v>
      </c>
      <c r="BC33" s="24">
        <v>0</v>
      </c>
      <c r="BD33" s="22">
        <v>0.98412698412698407</v>
      </c>
      <c r="BE33" s="22">
        <v>1</v>
      </c>
      <c r="BF33" s="22" t="s">
        <v>89</v>
      </c>
    </row>
    <row r="34" spans="1:58" ht="19.5" customHeight="1">
      <c r="A34" s="25">
        <v>31</v>
      </c>
      <c r="B34" s="20" t="s">
        <v>88</v>
      </c>
      <c r="C34" s="26">
        <v>46089</v>
      </c>
      <c r="D34" s="20" t="s">
        <v>14</v>
      </c>
      <c r="E34" s="20">
        <v>83</v>
      </c>
      <c r="F34" s="20">
        <v>80</v>
      </c>
      <c r="G34" s="21">
        <v>0.96385542168674698</v>
      </c>
      <c r="H34" s="20">
        <v>40</v>
      </c>
      <c r="I34" s="22">
        <v>0.48192771084337349</v>
      </c>
      <c r="J34" s="20">
        <v>31</v>
      </c>
      <c r="K34" s="20">
        <v>31</v>
      </c>
      <c r="L34" s="21">
        <v>1</v>
      </c>
      <c r="M34" s="20">
        <v>174</v>
      </c>
      <c r="N34" s="20">
        <v>178</v>
      </c>
      <c r="O34" s="20">
        <v>172</v>
      </c>
      <c r="P34" s="21">
        <v>0.9885057471264368</v>
      </c>
      <c r="Q34" s="20">
        <v>0</v>
      </c>
      <c r="R34" s="20">
        <v>0</v>
      </c>
      <c r="S34" s="20">
        <v>0</v>
      </c>
      <c r="T34" s="21">
        <v>0</v>
      </c>
      <c r="U34" s="20">
        <v>0</v>
      </c>
      <c r="V34" s="21">
        <v>0</v>
      </c>
      <c r="W34" s="20">
        <v>0</v>
      </c>
      <c r="X34" s="21">
        <v>0</v>
      </c>
      <c r="Y34" s="20">
        <v>1</v>
      </c>
      <c r="Z34" s="23">
        <v>1.204819277108434E-2</v>
      </c>
      <c r="AA34" s="20">
        <v>0</v>
      </c>
      <c r="AB34" s="21">
        <v>0</v>
      </c>
      <c r="AC34" s="20">
        <v>34</v>
      </c>
      <c r="AD34" s="21">
        <v>0.40963855421686751</v>
      </c>
      <c r="AE34" s="20">
        <v>8</v>
      </c>
      <c r="AF34" s="21">
        <v>0.23529411764705879</v>
      </c>
      <c r="AG34" s="20">
        <v>34</v>
      </c>
      <c r="AH34" s="21">
        <v>1</v>
      </c>
      <c r="AI34" s="24">
        <v>0</v>
      </c>
      <c r="AJ34" s="21">
        <v>0</v>
      </c>
      <c r="AK34" s="24">
        <v>0</v>
      </c>
      <c r="AL34" s="21">
        <v>0</v>
      </c>
      <c r="AM34" s="24">
        <v>0</v>
      </c>
      <c r="AN34" s="24">
        <v>0</v>
      </c>
      <c r="AO34" s="21">
        <v>0</v>
      </c>
      <c r="AP34" s="21">
        <v>0</v>
      </c>
      <c r="AQ34" s="22">
        <v>0.94736842105263153</v>
      </c>
      <c r="AR34" s="24">
        <v>0</v>
      </c>
      <c r="AS34" s="24">
        <v>0</v>
      </c>
      <c r="AT34" s="24">
        <v>0</v>
      </c>
      <c r="AU34" s="24">
        <v>0</v>
      </c>
      <c r="AV34" s="24">
        <v>0</v>
      </c>
      <c r="AW34" s="24">
        <v>0</v>
      </c>
      <c r="AX34" s="21">
        <v>0</v>
      </c>
      <c r="AY34" s="21">
        <v>0</v>
      </c>
      <c r="AZ34" s="21">
        <v>0</v>
      </c>
      <c r="BA34" s="21">
        <v>0</v>
      </c>
      <c r="BB34" s="24">
        <v>0</v>
      </c>
      <c r="BC34" s="24">
        <v>0</v>
      </c>
      <c r="BD34" s="22" t="s">
        <v>89</v>
      </c>
      <c r="BE34" s="22" t="s">
        <v>89</v>
      </c>
      <c r="BF34" s="22" t="s">
        <v>89</v>
      </c>
    </row>
    <row r="35" spans="1:58" ht="19.5" customHeight="1">
      <c r="A35" s="25">
        <v>32</v>
      </c>
      <c r="B35" s="20" t="s">
        <v>88</v>
      </c>
      <c r="C35" s="26">
        <v>46089</v>
      </c>
      <c r="D35" s="20" t="s">
        <v>13</v>
      </c>
      <c r="E35" s="20">
        <v>4100</v>
      </c>
      <c r="F35" s="20">
        <v>3675</v>
      </c>
      <c r="G35" s="21">
        <v>0.89634146341463417</v>
      </c>
      <c r="H35" s="20">
        <v>2780</v>
      </c>
      <c r="I35" s="22">
        <v>0.67804878048780493</v>
      </c>
      <c r="J35" s="20">
        <v>4850</v>
      </c>
      <c r="K35" s="20">
        <v>4737</v>
      </c>
      <c r="L35" s="21">
        <v>0.97699999999999998</v>
      </c>
      <c r="M35" s="20">
        <v>21742</v>
      </c>
      <c r="N35" s="20">
        <v>21054</v>
      </c>
      <c r="O35" s="20">
        <v>21261</v>
      </c>
      <c r="P35" s="21">
        <v>0.9778769202465275</v>
      </c>
      <c r="Q35" s="20">
        <v>19</v>
      </c>
      <c r="R35" s="20">
        <v>0</v>
      </c>
      <c r="S35" s="20">
        <v>0</v>
      </c>
      <c r="T35" s="21">
        <v>0</v>
      </c>
      <c r="U35" s="20">
        <v>0</v>
      </c>
      <c r="V35" s="21">
        <v>0</v>
      </c>
      <c r="W35" s="20">
        <v>3802</v>
      </c>
      <c r="X35" s="21">
        <v>0.92731707317073175</v>
      </c>
      <c r="Y35" s="20">
        <v>923</v>
      </c>
      <c r="Z35" s="23">
        <v>0.2251219512195122</v>
      </c>
      <c r="AA35" s="20">
        <v>102</v>
      </c>
      <c r="AB35" s="21">
        <v>2.487804878048781E-2</v>
      </c>
      <c r="AC35" s="20">
        <v>1065</v>
      </c>
      <c r="AD35" s="21">
        <v>0.25975609756097562</v>
      </c>
      <c r="AE35" s="20">
        <v>87</v>
      </c>
      <c r="AF35" s="21">
        <v>8.1690140845070425E-2</v>
      </c>
      <c r="AG35" s="20">
        <v>1009</v>
      </c>
      <c r="AH35" s="21">
        <v>0.94741784037558685</v>
      </c>
      <c r="AI35" s="24">
        <v>1053</v>
      </c>
      <c r="AJ35" s="21">
        <v>0.25682926829268288</v>
      </c>
      <c r="AK35" s="24">
        <v>3</v>
      </c>
      <c r="AL35" s="21">
        <v>0.9145299145299145</v>
      </c>
      <c r="AM35" s="24">
        <v>1041</v>
      </c>
      <c r="AN35" s="24">
        <v>963</v>
      </c>
      <c r="AO35" s="21">
        <v>0.23487804878048779</v>
      </c>
      <c r="AP35" s="21">
        <v>0.90422535211267607</v>
      </c>
      <c r="AQ35" s="22">
        <v>0.94938016528925617</v>
      </c>
      <c r="AR35" s="24">
        <v>0</v>
      </c>
      <c r="AS35" s="24">
        <v>0</v>
      </c>
      <c r="AT35" s="24">
        <v>206</v>
      </c>
      <c r="AU35" s="24">
        <v>201</v>
      </c>
      <c r="AV35" s="24">
        <v>194</v>
      </c>
      <c r="AW35" s="24">
        <v>68</v>
      </c>
      <c r="AX35" s="21">
        <v>4.9024390243902441E-2</v>
      </c>
      <c r="AY35" s="21">
        <v>4.7317073170731708E-2</v>
      </c>
      <c r="AZ35" s="21">
        <v>1.6585365853658541E-2</v>
      </c>
      <c r="BA35" s="21">
        <v>0.201453790238837</v>
      </c>
      <c r="BB35" s="24">
        <v>0</v>
      </c>
      <c r="BC35" s="24">
        <v>0</v>
      </c>
      <c r="BD35" s="22">
        <v>1</v>
      </c>
      <c r="BE35" s="22">
        <v>1</v>
      </c>
      <c r="BF35" s="22" t="s">
        <v>89</v>
      </c>
    </row>
    <row r="36" spans="1:58" ht="19.5" customHeight="1">
      <c r="A36" s="25">
        <v>33</v>
      </c>
      <c r="B36" s="20" t="s">
        <v>88</v>
      </c>
      <c r="C36" s="26">
        <v>46090</v>
      </c>
      <c r="D36" s="20" t="s">
        <v>12</v>
      </c>
      <c r="E36" s="20">
        <v>2309</v>
      </c>
      <c r="F36" s="20">
        <v>2048</v>
      </c>
      <c r="G36" s="21">
        <v>0.88696405370290166</v>
      </c>
      <c r="H36" s="20">
        <v>734</v>
      </c>
      <c r="I36" s="22">
        <v>0.31788653096578612</v>
      </c>
      <c r="J36" s="20">
        <v>2292</v>
      </c>
      <c r="K36" s="20">
        <v>2184</v>
      </c>
      <c r="L36" s="21">
        <v>0.95299999999999996</v>
      </c>
      <c r="M36" s="20">
        <v>10146</v>
      </c>
      <c r="N36" s="20">
        <v>9774</v>
      </c>
      <c r="O36" s="20">
        <v>9906</v>
      </c>
      <c r="P36" s="21">
        <v>0.97634535777646358</v>
      </c>
      <c r="Q36" s="20">
        <v>21</v>
      </c>
      <c r="R36" s="20">
        <v>0</v>
      </c>
      <c r="S36" s="20">
        <v>0</v>
      </c>
      <c r="T36" s="21">
        <v>0</v>
      </c>
      <c r="U36" s="20">
        <v>0</v>
      </c>
      <c r="V36" s="21">
        <v>0</v>
      </c>
      <c r="W36" s="20">
        <v>2836</v>
      </c>
      <c r="X36" s="21">
        <v>1.2282373321784319</v>
      </c>
      <c r="Y36" s="20">
        <v>761</v>
      </c>
      <c r="Z36" s="23">
        <v>0.32957990472065829</v>
      </c>
      <c r="AA36" s="20">
        <v>26</v>
      </c>
      <c r="AB36" s="21">
        <v>1.126028583802512E-2</v>
      </c>
      <c r="AC36" s="20">
        <v>286</v>
      </c>
      <c r="AD36" s="21">
        <v>0.12386314421827629</v>
      </c>
      <c r="AE36" s="20">
        <v>50</v>
      </c>
      <c r="AF36" s="21">
        <v>0.17482517482517479</v>
      </c>
      <c r="AG36" s="20">
        <v>261</v>
      </c>
      <c r="AH36" s="21">
        <v>0.91258741258741261</v>
      </c>
      <c r="AI36" s="24">
        <v>290</v>
      </c>
      <c r="AJ36" s="21">
        <v>0.12559549588566479</v>
      </c>
      <c r="AK36" s="24">
        <v>3</v>
      </c>
      <c r="AL36" s="21">
        <v>0.86206896551724133</v>
      </c>
      <c r="AM36" s="24">
        <v>285</v>
      </c>
      <c r="AN36" s="24">
        <v>250</v>
      </c>
      <c r="AO36" s="21">
        <v>0.10827197921178</v>
      </c>
      <c r="AP36" s="21">
        <v>0.87412587412587417</v>
      </c>
      <c r="AQ36" s="22">
        <v>0.97624190064794814</v>
      </c>
      <c r="AR36" s="24">
        <v>0</v>
      </c>
      <c r="AS36" s="24">
        <v>0</v>
      </c>
      <c r="AT36" s="24">
        <v>49</v>
      </c>
      <c r="AU36" s="24">
        <v>44</v>
      </c>
      <c r="AV36" s="24">
        <v>48</v>
      </c>
      <c r="AW36" s="24">
        <v>65</v>
      </c>
      <c r="AX36" s="21">
        <v>1.9055868341273281E-2</v>
      </c>
      <c r="AY36" s="21">
        <v>2.0788220008661758E-2</v>
      </c>
      <c r="AZ36" s="21">
        <v>2.8150714595062801E-2</v>
      </c>
      <c r="BA36" s="21">
        <v>0.192</v>
      </c>
      <c r="BB36" s="24">
        <v>0</v>
      </c>
      <c r="BC36" s="24">
        <v>0</v>
      </c>
      <c r="BD36" s="22">
        <v>0.96969696969696972</v>
      </c>
      <c r="BE36" s="22">
        <v>1</v>
      </c>
      <c r="BF36" s="22" t="s">
        <v>89</v>
      </c>
    </row>
    <row r="37" spans="1:58" ht="19.5" customHeight="1">
      <c r="A37" s="25">
        <v>34</v>
      </c>
      <c r="B37" s="20" t="s">
        <v>88</v>
      </c>
      <c r="C37" s="26">
        <v>46090</v>
      </c>
      <c r="D37" s="20" t="s">
        <v>11</v>
      </c>
      <c r="E37" s="20">
        <v>1776</v>
      </c>
      <c r="F37" s="20">
        <v>1579</v>
      </c>
      <c r="G37" s="21">
        <v>0.88907657657657657</v>
      </c>
      <c r="H37" s="20">
        <v>700</v>
      </c>
      <c r="I37" s="22">
        <v>0.39414414414414423</v>
      </c>
      <c r="J37" s="20">
        <v>1491</v>
      </c>
      <c r="K37" s="20">
        <v>1448</v>
      </c>
      <c r="L37" s="21">
        <v>0.97099999999999997</v>
      </c>
      <c r="M37" s="20">
        <v>7926</v>
      </c>
      <c r="N37" s="20">
        <v>7408</v>
      </c>
      <c r="O37" s="20">
        <v>7783</v>
      </c>
      <c r="P37" s="21">
        <v>0.98195811254100429</v>
      </c>
      <c r="Q37" s="20">
        <v>16</v>
      </c>
      <c r="R37" s="20">
        <v>0</v>
      </c>
      <c r="S37" s="20">
        <v>0</v>
      </c>
      <c r="T37" s="21">
        <v>0</v>
      </c>
      <c r="U37" s="20">
        <v>0</v>
      </c>
      <c r="V37" s="21">
        <v>0</v>
      </c>
      <c r="W37" s="20">
        <v>2713</v>
      </c>
      <c r="X37" s="21">
        <v>1.5275900900900901</v>
      </c>
      <c r="Y37" s="20">
        <v>965</v>
      </c>
      <c r="Z37" s="23">
        <v>0.54335585585585588</v>
      </c>
      <c r="AA37" s="20">
        <v>10</v>
      </c>
      <c r="AB37" s="21">
        <v>5.6306306306306304E-3</v>
      </c>
      <c r="AC37" s="20">
        <v>241</v>
      </c>
      <c r="AD37" s="21">
        <v>0.1356981981981982</v>
      </c>
      <c r="AE37" s="20">
        <v>45</v>
      </c>
      <c r="AF37" s="21">
        <v>0.18672199170124479</v>
      </c>
      <c r="AG37" s="20">
        <v>220</v>
      </c>
      <c r="AH37" s="21">
        <v>0.91286307053941906</v>
      </c>
      <c r="AI37" s="24">
        <v>250</v>
      </c>
      <c r="AJ37" s="21">
        <v>0.1407657657657658</v>
      </c>
      <c r="AK37" s="24">
        <v>3</v>
      </c>
      <c r="AL37" s="21">
        <v>0.81599999999999995</v>
      </c>
      <c r="AM37" s="24">
        <v>243</v>
      </c>
      <c r="AN37" s="24">
        <v>204</v>
      </c>
      <c r="AO37" s="21">
        <v>0.1148648648648649</v>
      </c>
      <c r="AP37" s="21">
        <v>0.84647302904564314</v>
      </c>
      <c r="AQ37" s="22">
        <v>0.97453703703703709</v>
      </c>
      <c r="AR37" s="24">
        <v>0</v>
      </c>
      <c r="AS37" s="24">
        <v>0</v>
      </c>
      <c r="AT37" s="24">
        <v>60</v>
      </c>
      <c r="AU37" s="24">
        <v>52</v>
      </c>
      <c r="AV37" s="24">
        <v>58</v>
      </c>
      <c r="AW37" s="24">
        <v>34</v>
      </c>
      <c r="AX37" s="21">
        <v>2.9279279279279279E-2</v>
      </c>
      <c r="AY37" s="21">
        <v>3.2657657657657657E-2</v>
      </c>
      <c r="AZ37" s="21">
        <v>1.9144144144144139E-2</v>
      </c>
      <c r="BA37" s="21">
        <v>0.28431372549019612</v>
      </c>
      <c r="BB37" s="24">
        <v>0</v>
      </c>
      <c r="BC37" s="24">
        <v>0</v>
      </c>
      <c r="BD37" s="22">
        <v>1</v>
      </c>
      <c r="BE37" s="22">
        <v>1</v>
      </c>
      <c r="BF37" s="22" t="s">
        <v>89</v>
      </c>
    </row>
    <row r="38" spans="1:58" ht="19.5" customHeight="1">
      <c r="A38" s="25">
        <v>35</v>
      </c>
      <c r="B38" s="20" t="s">
        <v>88</v>
      </c>
      <c r="C38" s="26">
        <v>46090</v>
      </c>
      <c r="D38" s="20" t="s">
        <v>14</v>
      </c>
      <c r="E38" s="20">
        <v>92</v>
      </c>
      <c r="F38" s="20">
        <v>91</v>
      </c>
      <c r="G38" s="21">
        <v>0.98913043478260865</v>
      </c>
      <c r="H38" s="20">
        <v>48</v>
      </c>
      <c r="I38" s="22">
        <v>0.52173913043478259</v>
      </c>
      <c r="J38" s="20">
        <v>47</v>
      </c>
      <c r="K38" s="20">
        <v>45</v>
      </c>
      <c r="L38" s="21">
        <v>0.95699999999999996</v>
      </c>
      <c r="M38" s="20">
        <v>214</v>
      </c>
      <c r="N38" s="20">
        <v>164</v>
      </c>
      <c r="O38" s="20">
        <v>210</v>
      </c>
      <c r="P38" s="21">
        <v>0.98130841121495327</v>
      </c>
      <c r="Q38" s="20">
        <v>1</v>
      </c>
      <c r="R38" s="20">
        <v>0</v>
      </c>
      <c r="S38" s="20">
        <v>0</v>
      </c>
      <c r="T38" s="21">
        <v>0</v>
      </c>
      <c r="U38" s="20">
        <v>0</v>
      </c>
      <c r="V38" s="21">
        <v>0</v>
      </c>
      <c r="W38" s="20">
        <v>0</v>
      </c>
      <c r="X38" s="21">
        <v>0</v>
      </c>
      <c r="Y38" s="20">
        <v>0</v>
      </c>
      <c r="Z38" s="23">
        <v>0</v>
      </c>
      <c r="AA38" s="20">
        <v>0</v>
      </c>
      <c r="AB38" s="21">
        <v>0</v>
      </c>
      <c r="AC38" s="20">
        <v>20</v>
      </c>
      <c r="AD38" s="21">
        <v>0.21739130434782611</v>
      </c>
      <c r="AE38" s="20">
        <v>24</v>
      </c>
      <c r="AF38" s="21">
        <v>1.2</v>
      </c>
      <c r="AG38" s="20">
        <v>20</v>
      </c>
      <c r="AH38" s="21">
        <v>1</v>
      </c>
      <c r="AI38" s="24">
        <v>0</v>
      </c>
      <c r="AJ38" s="21">
        <v>0</v>
      </c>
      <c r="AK38" s="24">
        <v>0</v>
      </c>
      <c r="AL38" s="21">
        <v>0</v>
      </c>
      <c r="AM38" s="24">
        <v>0</v>
      </c>
      <c r="AN38" s="24">
        <v>0</v>
      </c>
      <c r="AO38" s="21">
        <v>0</v>
      </c>
      <c r="AP38" s="21">
        <v>0</v>
      </c>
      <c r="AQ38" s="22">
        <v>0.95</v>
      </c>
      <c r="AR38" s="24">
        <v>0</v>
      </c>
      <c r="AS38" s="24">
        <v>0</v>
      </c>
      <c r="AT38" s="24">
        <v>0</v>
      </c>
      <c r="AU38" s="24">
        <v>0</v>
      </c>
      <c r="AV38" s="24">
        <v>0</v>
      </c>
      <c r="AW38" s="24">
        <v>0</v>
      </c>
      <c r="AX38" s="21">
        <v>0</v>
      </c>
      <c r="AY38" s="21">
        <v>0</v>
      </c>
      <c r="AZ38" s="21">
        <v>0</v>
      </c>
      <c r="BA38" s="21">
        <v>0</v>
      </c>
      <c r="BB38" s="24">
        <v>0</v>
      </c>
      <c r="BC38" s="24">
        <v>0</v>
      </c>
      <c r="BD38" s="22" t="s">
        <v>89</v>
      </c>
      <c r="BE38" s="22" t="s">
        <v>89</v>
      </c>
      <c r="BF38" s="22" t="s">
        <v>89</v>
      </c>
    </row>
    <row r="39" spans="1:58" ht="19.5" customHeight="1">
      <c r="A39" s="25">
        <v>36</v>
      </c>
      <c r="B39" s="20" t="s">
        <v>88</v>
      </c>
      <c r="C39" s="26">
        <v>46090</v>
      </c>
      <c r="D39" s="20" t="s">
        <v>13</v>
      </c>
      <c r="E39" s="20">
        <v>4319</v>
      </c>
      <c r="F39" s="20">
        <v>3809</v>
      </c>
      <c r="G39" s="21">
        <v>0.88191711044223198</v>
      </c>
      <c r="H39" s="20">
        <v>2661</v>
      </c>
      <c r="I39" s="22">
        <v>0.61611484139847184</v>
      </c>
      <c r="J39" s="20">
        <v>5018</v>
      </c>
      <c r="K39" s="20">
        <v>4880</v>
      </c>
      <c r="L39" s="21">
        <v>0.97199999999999998</v>
      </c>
      <c r="M39" s="20">
        <v>21791</v>
      </c>
      <c r="N39" s="20">
        <v>21182</v>
      </c>
      <c r="O39" s="20">
        <v>21294</v>
      </c>
      <c r="P39" s="21">
        <v>0.97719241888853192</v>
      </c>
      <c r="Q39" s="20">
        <v>24</v>
      </c>
      <c r="R39" s="20">
        <v>0</v>
      </c>
      <c r="S39" s="20">
        <v>0</v>
      </c>
      <c r="T39" s="21">
        <v>0</v>
      </c>
      <c r="U39" s="20">
        <v>0</v>
      </c>
      <c r="V39" s="21">
        <v>0</v>
      </c>
      <c r="W39" s="20">
        <v>4082</v>
      </c>
      <c r="X39" s="21">
        <v>0.94512618661727255</v>
      </c>
      <c r="Y39" s="20">
        <v>1246</v>
      </c>
      <c r="Z39" s="23">
        <v>0.28849270664505672</v>
      </c>
      <c r="AA39" s="20">
        <v>82</v>
      </c>
      <c r="AB39" s="21">
        <v>1.8985876360268581E-2</v>
      </c>
      <c r="AC39" s="20">
        <v>527</v>
      </c>
      <c r="AD39" s="21">
        <v>0.1220189858763603</v>
      </c>
      <c r="AE39" s="20">
        <v>77</v>
      </c>
      <c r="AF39" s="21">
        <v>0.14611005692599621</v>
      </c>
      <c r="AG39" s="20">
        <v>490</v>
      </c>
      <c r="AH39" s="21">
        <v>0.92979127134724859</v>
      </c>
      <c r="AI39" s="24">
        <v>529</v>
      </c>
      <c r="AJ39" s="21">
        <v>0.1224820560314888</v>
      </c>
      <c r="AK39" s="24">
        <v>3</v>
      </c>
      <c r="AL39" s="21">
        <v>0.90170132325141772</v>
      </c>
      <c r="AM39" s="24">
        <v>522</v>
      </c>
      <c r="AN39" s="24">
        <v>477</v>
      </c>
      <c r="AO39" s="21">
        <v>0.11044223199814771</v>
      </c>
      <c r="AP39" s="21">
        <v>0.90512333965844405</v>
      </c>
      <c r="AQ39" s="22">
        <v>0.95092024539877296</v>
      </c>
      <c r="AR39" s="24">
        <v>0</v>
      </c>
      <c r="AS39" s="24">
        <v>0</v>
      </c>
      <c r="AT39" s="24">
        <v>106</v>
      </c>
      <c r="AU39" s="24">
        <v>97</v>
      </c>
      <c r="AV39" s="24">
        <v>107</v>
      </c>
      <c r="AW39" s="24">
        <v>134</v>
      </c>
      <c r="AX39" s="21">
        <v>2.2458902523732348E-2</v>
      </c>
      <c r="AY39" s="21">
        <v>2.4774253299374851E-2</v>
      </c>
      <c r="AZ39" s="21">
        <v>3.1025700393609631E-2</v>
      </c>
      <c r="BA39" s="21">
        <v>0.2243186582809224</v>
      </c>
      <c r="BB39" s="24">
        <v>0</v>
      </c>
      <c r="BC39" s="24">
        <v>0</v>
      </c>
      <c r="BD39" s="22">
        <v>0.95161290322580649</v>
      </c>
      <c r="BE39" s="22">
        <v>0.96</v>
      </c>
      <c r="BF39" s="22" t="s">
        <v>89</v>
      </c>
    </row>
    <row r="40" spans="1:58" ht="19.5" customHeight="1">
      <c r="A40" s="25">
        <v>37</v>
      </c>
      <c r="B40" s="20" t="s">
        <v>88</v>
      </c>
      <c r="C40" s="26">
        <v>46091</v>
      </c>
      <c r="D40" s="20" t="s">
        <v>12</v>
      </c>
      <c r="E40" s="20">
        <v>2582</v>
      </c>
      <c r="F40" s="20">
        <v>2302</v>
      </c>
      <c r="G40" s="21">
        <v>0.8915569326103796</v>
      </c>
      <c r="H40" s="20">
        <v>782</v>
      </c>
      <c r="I40" s="22">
        <v>0.30286599535244002</v>
      </c>
      <c r="J40" s="20">
        <v>2238</v>
      </c>
      <c r="K40" s="20">
        <v>2129</v>
      </c>
      <c r="L40" s="21">
        <v>0.95099999999999996</v>
      </c>
      <c r="M40" s="20">
        <v>9646</v>
      </c>
      <c r="N40" s="20">
        <v>9639</v>
      </c>
      <c r="O40" s="20">
        <v>9408</v>
      </c>
      <c r="P40" s="21">
        <v>0.97532656023222064</v>
      </c>
      <c r="Q40" s="20">
        <v>20</v>
      </c>
      <c r="R40" s="20">
        <v>0</v>
      </c>
      <c r="S40" s="20">
        <v>0</v>
      </c>
      <c r="T40" s="21">
        <v>0</v>
      </c>
      <c r="U40" s="20">
        <v>0</v>
      </c>
      <c r="V40" s="21">
        <v>0</v>
      </c>
      <c r="W40" s="20">
        <v>2332</v>
      </c>
      <c r="X40" s="21">
        <v>0.90317583268783885</v>
      </c>
      <c r="Y40" s="20">
        <v>324</v>
      </c>
      <c r="Z40" s="23">
        <v>0.1254841208365608</v>
      </c>
      <c r="AA40" s="20">
        <v>27</v>
      </c>
      <c r="AB40" s="21">
        <v>1.0457010069713399E-2</v>
      </c>
      <c r="AC40" s="20">
        <v>279</v>
      </c>
      <c r="AD40" s="21">
        <v>0.1080557707203718</v>
      </c>
      <c r="AE40" s="20">
        <v>61</v>
      </c>
      <c r="AF40" s="21">
        <v>0.2186379928315412</v>
      </c>
      <c r="AG40" s="20">
        <v>256</v>
      </c>
      <c r="AH40" s="21">
        <v>0.91756272401433692</v>
      </c>
      <c r="AI40" s="24">
        <v>284</v>
      </c>
      <c r="AJ40" s="21">
        <v>0.109992254066615</v>
      </c>
      <c r="AK40" s="24">
        <v>1</v>
      </c>
      <c r="AL40" s="21">
        <v>0.8380281690140845</v>
      </c>
      <c r="AM40" s="24">
        <v>281</v>
      </c>
      <c r="AN40" s="24">
        <v>238</v>
      </c>
      <c r="AO40" s="21">
        <v>9.2176607281177381E-2</v>
      </c>
      <c r="AP40" s="21">
        <v>0.8530465949820788</v>
      </c>
      <c r="AQ40" s="22">
        <v>0.96691176470588236</v>
      </c>
      <c r="AR40" s="24">
        <v>0</v>
      </c>
      <c r="AS40" s="24">
        <v>0</v>
      </c>
      <c r="AT40" s="24">
        <v>71</v>
      </c>
      <c r="AU40" s="24">
        <v>64</v>
      </c>
      <c r="AV40" s="24">
        <v>67</v>
      </c>
      <c r="AW40" s="24">
        <v>62</v>
      </c>
      <c r="AX40" s="21">
        <v>2.4786986831913251E-2</v>
      </c>
      <c r="AY40" s="21">
        <v>2.5948876839659182E-2</v>
      </c>
      <c r="AZ40" s="21">
        <v>2.4012393493415961E-2</v>
      </c>
      <c r="BA40" s="21">
        <v>0.28151260504201681</v>
      </c>
      <c r="BB40" s="24">
        <v>0</v>
      </c>
      <c r="BC40" s="24">
        <v>0</v>
      </c>
      <c r="BD40" s="22">
        <v>1</v>
      </c>
      <c r="BE40" s="22">
        <v>1</v>
      </c>
      <c r="BF40" s="22" t="s">
        <v>89</v>
      </c>
    </row>
    <row r="41" spans="1:58" ht="19.5" customHeight="1">
      <c r="A41" s="25">
        <v>38</v>
      </c>
      <c r="B41" s="20" t="s">
        <v>88</v>
      </c>
      <c r="C41" s="26">
        <v>46091</v>
      </c>
      <c r="D41" s="20" t="s">
        <v>11</v>
      </c>
      <c r="E41" s="20">
        <v>1792</v>
      </c>
      <c r="F41" s="20">
        <v>1601</v>
      </c>
      <c r="G41" s="21">
        <v>0.8934151785714286</v>
      </c>
      <c r="H41" s="20">
        <v>765</v>
      </c>
      <c r="I41" s="22">
        <v>0.42689732142857151</v>
      </c>
      <c r="J41" s="20">
        <v>1644</v>
      </c>
      <c r="K41" s="20">
        <v>1569</v>
      </c>
      <c r="L41" s="21">
        <v>0.95399999999999996</v>
      </c>
      <c r="M41" s="20">
        <v>7509</v>
      </c>
      <c r="N41" s="20">
        <v>7563</v>
      </c>
      <c r="O41" s="20">
        <v>7333</v>
      </c>
      <c r="P41" s="21">
        <v>0.97656145958183516</v>
      </c>
      <c r="Q41" s="20">
        <v>16</v>
      </c>
      <c r="R41" s="20">
        <v>0</v>
      </c>
      <c r="S41" s="20">
        <v>0</v>
      </c>
      <c r="T41" s="21">
        <v>0</v>
      </c>
      <c r="U41" s="20">
        <v>0</v>
      </c>
      <c r="V41" s="21">
        <v>0</v>
      </c>
      <c r="W41" s="20">
        <v>2064</v>
      </c>
      <c r="X41" s="21">
        <v>1.151785714285714</v>
      </c>
      <c r="Y41" s="20">
        <v>354</v>
      </c>
      <c r="Z41" s="23">
        <v>0.19754464285714279</v>
      </c>
      <c r="AA41" s="20">
        <v>17</v>
      </c>
      <c r="AB41" s="21">
        <v>9.4866071428571421E-3</v>
      </c>
      <c r="AC41" s="20">
        <v>300</v>
      </c>
      <c r="AD41" s="21">
        <v>0.1674107142857143</v>
      </c>
      <c r="AE41" s="20">
        <v>33</v>
      </c>
      <c r="AF41" s="21">
        <v>0.11</v>
      </c>
      <c r="AG41" s="20">
        <v>280</v>
      </c>
      <c r="AH41" s="21">
        <v>0.93333333333333335</v>
      </c>
      <c r="AI41" s="24">
        <v>276</v>
      </c>
      <c r="AJ41" s="21">
        <v>0.15401785714285721</v>
      </c>
      <c r="AK41" s="24">
        <v>3</v>
      </c>
      <c r="AL41" s="21">
        <v>0.85869565217391308</v>
      </c>
      <c r="AM41" s="24">
        <v>276</v>
      </c>
      <c r="AN41" s="24">
        <v>237</v>
      </c>
      <c r="AO41" s="21">
        <v>0.1322544642857143</v>
      </c>
      <c r="AP41" s="21">
        <v>0.79</v>
      </c>
      <c r="AQ41" s="22">
        <v>0.98654708520179368</v>
      </c>
      <c r="AR41" s="24">
        <v>0</v>
      </c>
      <c r="AS41" s="24">
        <v>0</v>
      </c>
      <c r="AT41" s="24">
        <v>55</v>
      </c>
      <c r="AU41" s="24">
        <v>50</v>
      </c>
      <c r="AV41" s="24">
        <v>45</v>
      </c>
      <c r="AW41" s="24">
        <v>26</v>
      </c>
      <c r="AX41" s="21">
        <v>2.7901785714285719E-2</v>
      </c>
      <c r="AY41" s="21">
        <v>2.511160714285714E-2</v>
      </c>
      <c r="AZ41" s="21">
        <v>1.450892857142857E-2</v>
      </c>
      <c r="BA41" s="21">
        <v>0.189873417721519</v>
      </c>
      <c r="BB41" s="24">
        <v>0</v>
      </c>
      <c r="BC41" s="24">
        <v>0</v>
      </c>
      <c r="BD41" s="22">
        <v>0.97142857142857142</v>
      </c>
      <c r="BE41" s="22">
        <v>1</v>
      </c>
      <c r="BF41" s="22" t="s">
        <v>89</v>
      </c>
    </row>
    <row r="42" spans="1:58" ht="19.5" customHeight="1">
      <c r="A42" s="25">
        <v>39</v>
      </c>
      <c r="B42" s="20" t="s">
        <v>88</v>
      </c>
      <c r="C42" s="26">
        <v>46091</v>
      </c>
      <c r="D42" s="20" t="s">
        <v>14</v>
      </c>
      <c r="E42" s="20">
        <v>101</v>
      </c>
      <c r="F42" s="20">
        <v>93</v>
      </c>
      <c r="G42" s="21">
        <v>0.92079207920792083</v>
      </c>
      <c r="H42" s="20">
        <v>48</v>
      </c>
      <c r="I42" s="22">
        <v>0.47524752475247523</v>
      </c>
      <c r="J42" s="20">
        <v>44</v>
      </c>
      <c r="K42" s="20">
        <v>44</v>
      </c>
      <c r="L42" s="21">
        <v>1</v>
      </c>
      <c r="M42" s="20">
        <v>207</v>
      </c>
      <c r="N42" s="20">
        <v>182</v>
      </c>
      <c r="O42" s="20">
        <v>206</v>
      </c>
      <c r="P42" s="21">
        <v>0.99516908212560384</v>
      </c>
      <c r="Q42" s="20">
        <v>0</v>
      </c>
      <c r="R42" s="20">
        <v>0</v>
      </c>
      <c r="S42" s="20">
        <v>0</v>
      </c>
      <c r="T42" s="21">
        <v>0</v>
      </c>
      <c r="U42" s="20">
        <v>0</v>
      </c>
      <c r="V42" s="21">
        <v>0</v>
      </c>
      <c r="W42" s="20">
        <v>1</v>
      </c>
      <c r="X42" s="21">
        <v>9.9009900990099011E-3</v>
      </c>
      <c r="Y42" s="20">
        <v>0</v>
      </c>
      <c r="Z42" s="23">
        <v>0</v>
      </c>
      <c r="AA42" s="20">
        <v>0</v>
      </c>
      <c r="AB42" s="21">
        <v>0</v>
      </c>
      <c r="AC42" s="20">
        <v>27</v>
      </c>
      <c r="AD42" s="21">
        <v>0.26732673267326729</v>
      </c>
      <c r="AE42" s="20">
        <v>12</v>
      </c>
      <c r="AF42" s="21">
        <v>0.44444444444444442</v>
      </c>
      <c r="AG42" s="20">
        <v>26</v>
      </c>
      <c r="AH42" s="21">
        <v>0.96296296296296291</v>
      </c>
      <c r="AI42" s="24">
        <v>1</v>
      </c>
      <c r="AJ42" s="21">
        <v>9.9009900990099011E-3</v>
      </c>
      <c r="AK42" s="24">
        <v>0</v>
      </c>
      <c r="AL42" s="21">
        <v>0</v>
      </c>
      <c r="AM42" s="24">
        <v>0</v>
      </c>
      <c r="AN42" s="24">
        <v>0</v>
      </c>
      <c r="AO42" s="21">
        <v>0</v>
      </c>
      <c r="AP42" s="21">
        <v>0</v>
      </c>
      <c r="AQ42" s="22">
        <v>1</v>
      </c>
      <c r="AR42" s="24">
        <v>0</v>
      </c>
      <c r="AS42" s="24">
        <v>0</v>
      </c>
      <c r="AT42" s="24">
        <v>0</v>
      </c>
      <c r="AU42" s="24">
        <v>0</v>
      </c>
      <c r="AV42" s="24">
        <v>0</v>
      </c>
      <c r="AW42" s="24">
        <v>0</v>
      </c>
      <c r="AX42" s="21">
        <v>0</v>
      </c>
      <c r="AY42" s="21">
        <v>0</v>
      </c>
      <c r="AZ42" s="21">
        <v>0</v>
      </c>
      <c r="BA42" s="21">
        <v>0</v>
      </c>
      <c r="BB42" s="24">
        <v>0</v>
      </c>
      <c r="BC42" s="24">
        <v>0</v>
      </c>
      <c r="BD42" s="22" t="s">
        <v>89</v>
      </c>
      <c r="BE42" s="22" t="s">
        <v>89</v>
      </c>
      <c r="BF42" s="22" t="s">
        <v>89</v>
      </c>
    </row>
    <row r="43" spans="1:58" ht="19.5" customHeight="1">
      <c r="A43" s="25">
        <v>40</v>
      </c>
      <c r="B43" s="20" t="s">
        <v>88</v>
      </c>
      <c r="C43" s="26">
        <v>46091</v>
      </c>
      <c r="D43" s="20" t="s">
        <v>13</v>
      </c>
      <c r="E43" s="20">
        <v>4643</v>
      </c>
      <c r="F43" s="20">
        <v>4044</v>
      </c>
      <c r="G43" s="21">
        <v>0.87098858496661646</v>
      </c>
      <c r="H43" s="20">
        <v>2909</v>
      </c>
      <c r="I43" s="22">
        <v>0.62653456816713327</v>
      </c>
      <c r="J43" s="20">
        <v>4895</v>
      </c>
      <c r="K43" s="20">
        <v>4775</v>
      </c>
      <c r="L43" s="21">
        <v>0.97499999999999998</v>
      </c>
      <c r="M43" s="20">
        <v>21172</v>
      </c>
      <c r="N43" s="20">
        <v>20822</v>
      </c>
      <c r="O43" s="20">
        <v>20762</v>
      </c>
      <c r="P43" s="21">
        <v>0.98063480068014364</v>
      </c>
      <c r="Q43" s="20">
        <v>25</v>
      </c>
      <c r="R43" s="20">
        <v>0</v>
      </c>
      <c r="S43" s="20">
        <v>0</v>
      </c>
      <c r="T43" s="21">
        <v>0</v>
      </c>
      <c r="U43" s="20">
        <v>0</v>
      </c>
      <c r="V43" s="21">
        <v>0</v>
      </c>
      <c r="W43" s="20">
        <v>2871</v>
      </c>
      <c r="X43" s="21">
        <v>0.61835020460908896</v>
      </c>
      <c r="Y43" s="20">
        <v>542</v>
      </c>
      <c r="Z43" s="23">
        <v>0.116734869696317</v>
      </c>
      <c r="AA43" s="20">
        <v>93</v>
      </c>
      <c r="AB43" s="21">
        <v>2.0030152918371739E-2</v>
      </c>
      <c r="AC43" s="20">
        <v>513</v>
      </c>
      <c r="AD43" s="21">
        <v>0.110488908033599</v>
      </c>
      <c r="AE43" s="20">
        <v>71</v>
      </c>
      <c r="AF43" s="21">
        <v>0.138401559454191</v>
      </c>
      <c r="AG43" s="20">
        <v>469</v>
      </c>
      <c r="AH43" s="21">
        <v>0.91423001949317739</v>
      </c>
      <c r="AI43" s="24">
        <v>525</v>
      </c>
      <c r="AJ43" s="21">
        <v>0.113073443894034</v>
      </c>
      <c r="AK43" s="24">
        <v>1</v>
      </c>
      <c r="AL43" s="21">
        <v>0.92761904761904757</v>
      </c>
      <c r="AM43" s="24">
        <v>516</v>
      </c>
      <c r="AN43" s="24">
        <v>487</v>
      </c>
      <c r="AO43" s="21">
        <v>0.1048890803359897</v>
      </c>
      <c r="AP43" s="21">
        <v>0.949317738791423</v>
      </c>
      <c r="AQ43" s="22">
        <v>0.97894736842105268</v>
      </c>
      <c r="AR43" s="24">
        <v>0</v>
      </c>
      <c r="AS43" s="24">
        <v>0</v>
      </c>
      <c r="AT43" s="24">
        <v>104</v>
      </c>
      <c r="AU43" s="24">
        <v>98</v>
      </c>
      <c r="AV43" s="24">
        <v>93</v>
      </c>
      <c r="AW43" s="24">
        <v>144</v>
      </c>
      <c r="AX43" s="21">
        <v>2.110704286021969E-2</v>
      </c>
      <c r="AY43" s="21">
        <v>2.0030152918371739E-2</v>
      </c>
      <c r="AZ43" s="21">
        <v>3.1014430325220759E-2</v>
      </c>
      <c r="BA43" s="21">
        <v>0.19096509240246409</v>
      </c>
      <c r="BB43" s="24">
        <v>0</v>
      </c>
      <c r="BC43" s="24">
        <v>0</v>
      </c>
      <c r="BD43" s="22">
        <v>0.98360655737704916</v>
      </c>
      <c r="BE43" s="22">
        <v>1</v>
      </c>
      <c r="BF43" s="22" t="s">
        <v>89</v>
      </c>
    </row>
    <row r="44" spans="1:58" ht="19.5" customHeight="1">
      <c r="A44" s="25">
        <v>41</v>
      </c>
      <c r="B44" s="20" t="s">
        <v>88</v>
      </c>
      <c r="C44" s="26">
        <v>46092</v>
      </c>
      <c r="D44" s="20" t="s">
        <v>12</v>
      </c>
      <c r="E44" s="20">
        <v>3587</v>
      </c>
      <c r="F44" s="20">
        <v>3037</v>
      </c>
      <c r="G44" s="21">
        <v>0.84666852522999725</v>
      </c>
      <c r="H44" s="20">
        <v>1898</v>
      </c>
      <c r="I44" s="22">
        <v>0.52913298020630051</v>
      </c>
      <c r="J44" s="20">
        <v>3324</v>
      </c>
      <c r="K44" s="20">
        <v>3223</v>
      </c>
      <c r="L44" s="21">
        <v>0.97</v>
      </c>
      <c r="M44" s="20">
        <v>11585</v>
      </c>
      <c r="N44" s="20">
        <v>11571</v>
      </c>
      <c r="O44" s="20">
        <v>11358</v>
      </c>
      <c r="P44" s="21">
        <v>0.98040569702201119</v>
      </c>
      <c r="Q44" s="20">
        <v>22</v>
      </c>
      <c r="R44" s="20">
        <v>0</v>
      </c>
      <c r="S44" s="20">
        <v>0</v>
      </c>
      <c r="T44" s="21">
        <v>0</v>
      </c>
      <c r="U44" s="20">
        <v>0</v>
      </c>
      <c r="V44" s="21">
        <v>0</v>
      </c>
      <c r="W44" s="20">
        <v>2042</v>
      </c>
      <c r="X44" s="21">
        <v>0.56927794814608312</v>
      </c>
      <c r="Y44" s="20">
        <v>439</v>
      </c>
      <c r="Z44" s="23">
        <v>0.1223863953164204</v>
      </c>
      <c r="AA44" s="20">
        <v>34</v>
      </c>
      <c r="AB44" s="21">
        <v>9.4786729857819912E-3</v>
      </c>
      <c r="AC44" s="20">
        <v>248</v>
      </c>
      <c r="AD44" s="21">
        <v>6.913855589629217E-2</v>
      </c>
      <c r="AE44" s="20">
        <v>52</v>
      </c>
      <c r="AF44" s="21">
        <v>0.20967741935483869</v>
      </c>
      <c r="AG44" s="20">
        <v>233</v>
      </c>
      <c r="AH44" s="21">
        <v>0.93951612903225812</v>
      </c>
      <c r="AI44" s="24">
        <v>271</v>
      </c>
      <c r="AJ44" s="21">
        <v>7.5550599386674105E-2</v>
      </c>
      <c r="AK44" s="24">
        <v>0</v>
      </c>
      <c r="AL44" s="21">
        <v>0.8487084870848709</v>
      </c>
      <c r="AM44" s="24">
        <v>267</v>
      </c>
      <c r="AN44" s="24">
        <v>230</v>
      </c>
      <c r="AO44" s="21">
        <v>6.4120434903819343E-2</v>
      </c>
      <c r="AP44" s="21">
        <v>0.92741935483870963</v>
      </c>
      <c r="AQ44" s="22">
        <v>0.97709923664122134</v>
      </c>
      <c r="AR44" s="24">
        <v>0</v>
      </c>
      <c r="AS44" s="24">
        <v>0</v>
      </c>
      <c r="AT44" s="24">
        <v>77</v>
      </c>
      <c r="AU44" s="24">
        <v>73</v>
      </c>
      <c r="AV44" s="24">
        <v>71</v>
      </c>
      <c r="AW44" s="24">
        <v>57</v>
      </c>
      <c r="AX44" s="21">
        <v>2.0351268469473102E-2</v>
      </c>
      <c r="AY44" s="21">
        <v>1.9793699470309449E-2</v>
      </c>
      <c r="AZ44" s="21">
        <v>1.589071647616393E-2</v>
      </c>
      <c r="BA44" s="21">
        <v>0.30869565217391298</v>
      </c>
      <c r="BB44" s="24">
        <v>0</v>
      </c>
      <c r="BC44" s="24">
        <v>0</v>
      </c>
      <c r="BD44" s="22">
        <v>1</v>
      </c>
      <c r="BE44" s="22">
        <v>1</v>
      </c>
      <c r="BF44" s="22" t="s">
        <v>89</v>
      </c>
    </row>
    <row r="45" spans="1:58" ht="19.5" customHeight="1">
      <c r="A45" s="25">
        <v>42</v>
      </c>
      <c r="B45" s="20" t="s">
        <v>88</v>
      </c>
      <c r="C45" s="26">
        <v>46092</v>
      </c>
      <c r="D45" s="20" t="s">
        <v>11</v>
      </c>
      <c r="E45" s="20">
        <v>2061</v>
      </c>
      <c r="F45" s="20">
        <v>1719</v>
      </c>
      <c r="G45" s="21">
        <v>0.83406113537117899</v>
      </c>
      <c r="H45" s="20">
        <v>798</v>
      </c>
      <c r="I45" s="22">
        <v>0.38719068413391561</v>
      </c>
      <c r="J45" s="20">
        <v>1566</v>
      </c>
      <c r="K45" s="20">
        <v>1496</v>
      </c>
      <c r="L45" s="21">
        <v>0.95499999999999996</v>
      </c>
      <c r="M45" s="20">
        <v>8136</v>
      </c>
      <c r="N45" s="20">
        <v>8019</v>
      </c>
      <c r="O45" s="20">
        <v>7945</v>
      </c>
      <c r="P45" s="21">
        <v>0.97652409046214361</v>
      </c>
      <c r="Q45" s="20">
        <v>19</v>
      </c>
      <c r="R45" s="20">
        <v>0</v>
      </c>
      <c r="S45" s="20">
        <v>0</v>
      </c>
      <c r="T45" s="21">
        <v>0</v>
      </c>
      <c r="U45" s="20">
        <v>0</v>
      </c>
      <c r="V45" s="21">
        <v>0</v>
      </c>
      <c r="W45" s="20">
        <v>2059</v>
      </c>
      <c r="X45" s="21">
        <v>0.99902959728287244</v>
      </c>
      <c r="Y45" s="20">
        <v>1818</v>
      </c>
      <c r="Z45" s="23">
        <v>0.88209606986899558</v>
      </c>
      <c r="AA45" s="20">
        <v>19</v>
      </c>
      <c r="AB45" s="21">
        <v>9.2188258127122759E-3</v>
      </c>
      <c r="AC45" s="20">
        <v>278</v>
      </c>
      <c r="AD45" s="21">
        <v>0.13488597768073751</v>
      </c>
      <c r="AE45" s="20">
        <v>33</v>
      </c>
      <c r="AF45" s="21">
        <v>0.11870503597122301</v>
      </c>
      <c r="AG45" s="20">
        <v>265</v>
      </c>
      <c r="AH45" s="21">
        <v>0.9532374100719424</v>
      </c>
      <c r="AI45" s="24">
        <v>280</v>
      </c>
      <c r="AJ45" s="21">
        <v>0.1358563803978651</v>
      </c>
      <c r="AK45" s="24">
        <v>2</v>
      </c>
      <c r="AL45" s="21">
        <v>0.8928571428571429</v>
      </c>
      <c r="AM45" s="24">
        <v>278</v>
      </c>
      <c r="AN45" s="24">
        <v>250</v>
      </c>
      <c r="AO45" s="21">
        <v>0.12130033964095099</v>
      </c>
      <c r="AP45" s="21">
        <v>0.89928057553956831</v>
      </c>
      <c r="AQ45" s="22">
        <v>0.97752808988764039</v>
      </c>
      <c r="AR45" s="24">
        <v>0</v>
      </c>
      <c r="AS45" s="24">
        <v>0</v>
      </c>
      <c r="AT45" s="24">
        <v>50</v>
      </c>
      <c r="AU45" s="24">
        <v>41</v>
      </c>
      <c r="AV45" s="24">
        <v>39</v>
      </c>
      <c r="AW45" s="24">
        <v>48</v>
      </c>
      <c r="AX45" s="21">
        <v>1.9893255701115959E-2</v>
      </c>
      <c r="AY45" s="21">
        <v>1.892285298398836E-2</v>
      </c>
      <c r="AZ45" s="21">
        <v>2.3289665211062589E-2</v>
      </c>
      <c r="BA45" s="21">
        <v>0.156</v>
      </c>
      <c r="BB45" s="24">
        <v>0</v>
      </c>
      <c r="BC45" s="24">
        <v>0</v>
      </c>
      <c r="BD45" s="22">
        <v>1</v>
      </c>
      <c r="BE45" s="22">
        <v>1</v>
      </c>
      <c r="BF45" s="22" t="s">
        <v>89</v>
      </c>
    </row>
    <row r="46" spans="1:58" ht="19.5" customHeight="1">
      <c r="A46" s="25">
        <v>43</v>
      </c>
      <c r="B46" s="20" t="s">
        <v>88</v>
      </c>
      <c r="C46" s="26">
        <v>46092</v>
      </c>
      <c r="D46" s="20" t="s">
        <v>14</v>
      </c>
      <c r="E46" s="20">
        <v>92</v>
      </c>
      <c r="F46" s="20">
        <v>87</v>
      </c>
      <c r="G46" s="21">
        <v>0.94565217391304346</v>
      </c>
      <c r="H46" s="20">
        <v>45</v>
      </c>
      <c r="I46" s="22">
        <v>0.4891304347826087</v>
      </c>
      <c r="J46" s="20">
        <v>71</v>
      </c>
      <c r="K46" s="20">
        <v>69</v>
      </c>
      <c r="L46" s="21">
        <v>0.97199999999999998</v>
      </c>
      <c r="M46" s="20">
        <v>277</v>
      </c>
      <c r="N46" s="20">
        <v>242</v>
      </c>
      <c r="O46" s="20">
        <v>273</v>
      </c>
      <c r="P46" s="21">
        <v>0.98555956678700363</v>
      </c>
      <c r="Q46" s="20">
        <v>0</v>
      </c>
      <c r="R46" s="20">
        <v>0</v>
      </c>
      <c r="S46" s="20">
        <v>0</v>
      </c>
      <c r="T46" s="21">
        <v>0</v>
      </c>
      <c r="U46" s="20">
        <v>0</v>
      </c>
      <c r="V46" s="21">
        <v>0</v>
      </c>
      <c r="W46" s="20">
        <v>0</v>
      </c>
      <c r="X46" s="21">
        <v>0</v>
      </c>
      <c r="Y46" s="20">
        <v>0</v>
      </c>
      <c r="Z46" s="23">
        <v>0</v>
      </c>
      <c r="AA46" s="20">
        <v>0</v>
      </c>
      <c r="AB46" s="21">
        <v>0</v>
      </c>
      <c r="AC46" s="20">
        <v>15</v>
      </c>
      <c r="AD46" s="21">
        <v>0.1630434782608696</v>
      </c>
      <c r="AE46" s="20">
        <v>20</v>
      </c>
      <c r="AF46" s="21">
        <v>1.333333333333333</v>
      </c>
      <c r="AG46" s="20">
        <v>15</v>
      </c>
      <c r="AH46" s="21">
        <v>1</v>
      </c>
      <c r="AI46" s="24">
        <v>0</v>
      </c>
      <c r="AJ46" s="21">
        <v>0</v>
      </c>
      <c r="AK46" s="24">
        <v>0</v>
      </c>
      <c r="AL46" s="21">
        <v>0</v>
      </c>
      <c r="AM46" s="24">
        <v>0</v>
      </c>
      <c r="AN46" s="24">
        <v>0</v>
      </c>
      <c r="AO46" s="21">
        <v>0</v>
      </c>
      <c r="AP46" s="21">
        <v>0</v>
      </c>
      <c r="AQ46" s="22">
        <v>1</v>
      </c>
      <c r="AR46" s="24">
        <v>0</v>
      </c>
      <c r="AS46" s="24">
        <v>0</v>
      </c>
      <c r="AT46" s="24">
        <v>0</v>
      </c>
      <c r="AU46" s="24">
        <v>0</v>
      </c>
      <c r="AV46" s="24">
        <v>0</v>
      </c>
      <c r="AW46" s="24">
        <v>0</v>
      </c>
      <c r="AX46" s="21">
        <v>0</v>
      </c>
      <c r="AY46" s="21">
        <v>0</v>
      </c>
      <c r="AZ46" s="21">
        <v>0</v>
      </c>
      <c r="BA46" s="21">
        <v>0</v>
      </c>
      <c r="BB46" s="24">
        <v>0</v>
      </c>
      <c r="BC46" s="24">
        <v>0</v>
      </c>
      <c r="BD46" s="22" t="s">
        <v>89</v>
      </c>
      <c r="BE46" s="22" t="s">
        <v>89</v>
      </c>
      <c r="BF46" s="22" t="s">
        <v>89</v>
      </c>
    </row>
    <row r="47" spans="1:58" ht="19.5" customHeight="1">
      <c r="A47" s="25">
        <v>44</v>
      </c>
      <c r="B47" s="20" t="s">
        <v>88</v>
      </c>
      <c r="C47" s="26">
        <v>46092</v>
      </c>
      <c r="D47" s="20" t="s">
        <v>13</v>
      </c>
      <c r="E47" s="20">
        <v>3728</v>
      </c>
      <c r="F47" s="20">
        <v>3295</v>
      </c>
      <c r="G47" s="21">
        <v>0.88385193133047213</v>
      </c>
      <c r="H47" s="20">
        <v>1890</v>
      </c>
      <c r="I47" s="22">
        <v>0.50697424892703857</v>
      </c>
      <c r="J47" s="20">
        <v>4344</v>
      </c>
      <c r="K47" s="20">
        <v>4235</v>
      </c>
      <c r="L47" s="21">
        <v>0.97499999999999998</v>
      </c>
      <c r="M47" s="20">
        <v>21173</v>
      </c>
      <c r="N47" s="20">
        <v>21093</v>
      </c>
      <c r="O47" s="20">
        <v>20845</v>
      </c>
      <c r="P47" s="21">
        <v>0.98450857223822796</v>
      </c>
      <c r="Q47" s="20">
        <v>31</v>
      </c>
      <c r="R47" s="20">
        <v>0</v>
      </c>
      <c r="S47" s="20">
        <v>0</v>
      </c>
      <c r="T47" s="21">
        <v>0</v>
      </c>
      <c r="U47" s="20">
        <v>0</v>
      </c>
      <c r="V47" s="21">
        <v>0</v>
      </c>
      <c r="W47" s="20">
        <v>2594</v>
      </c>
      <c r="X47" s="21">
        <v>0.69581545064377681</v>
      </c>
      <c r="Y47" s="20">
        <v>652</v>
      </c>
      <c r="Z47" s="23">
        <v>0.17489270386266101</v>
      </c>
      <c r="AA47" s="20">
        <v>94</v>
      </c>
      <c r="AB47" s="21">
        <v>2.5214592274678111E-2</v>
      </c>
      <c r="AC47" s="20">
        <v>485</v>
      </c>
      <c r="AD47" s="21">
        <v>0.13009656652360521</v>
      </c>
      <c r="AE47" s="20">
        <v>81</v>
      </c>
      <c r="AF47" s="21">
        <v>0.1670103092783505</v>
      </c>
      <c r="AG47" s="20">
        <v>450</v>
      </c>
      <c r="AH47" s="21">
        <v>0.92783505154639179</v>
      </c>
      <c r="AI47" s="24">
        <v>494</v>
      </c>
      <c r="AJ47" s="21">
        <v>0.13251072961373389</v>
      </c>
      <c r="AK47" s="24">
        <v>4</v>
      </c>
      <c r="AL47" s="21">
        <v>0.93117408906882593</v>
      </c>
      <c r="AM47" s="24">
        <v>491</v>
      </c>
      <c r="AN47" s="24">
        <v>460</v>
      </c>
      <c r="AO47" s="21">
        <v>0.1233905579399142</v>
      </c>
      <c r="AP47" s="21">
        <v>0.94845360824742264</v>
      </c>
      <c r="AQ47" s="22">
        <v>0.96907216494845361</v>
      </c>
      <c r="AR47" s="24">
        <v>0</v>
      </c>
      <c r="AS47" s="24">
        <v>0</v>
      </c>
      <c r="AT47" s="24">
        <v>79</v>
      </c>
      <c r="AU47" s="24">
        <v>69</v>
      </c>
      <c r="AV47" s="24">
        <v>76</v>
      </c>
      <c r="AW47" s="24">
        <v>108</v>
      </c>
      <c r="AX47" s="21">
        <v>1.850858369098712E-2</v>
      </c>
      <c r="AY47" s="21">
        <v>2.03862660944206E-2</v>
      </c>
      <c r="AZ47" s="21">
        <v>2.896995708154506E-2</v>
      </c>
      <c r="BA47" s="21">
        <v>0.16521739130434779</v>
      </c>
      <c r="BB47" s="24">
        <v>0</v>
      </c>
      <c r="BC47" s="24">
        <v>0</v>
      </c>
      <c r="BD47" s="22">
        <v>0.98181818181818181</v>
      </c>
      <c r="BE47" s="22">
        <v>1</v>
      </c>
      <c r="BF47" s="22" t="s">
        <v>89</v>
      </c>
    </row>
    <row r="48" spans="1:58" ht="19.5" customHeight="1">
      <c r="A48" s="25">
        <v>45</v>
      </c>
      <c r="B48" s="20" t="s">
        <v>88</v>
      </c>
      <c r="C48" s="26">
        <v>46093</v>
      </c>
      <c r="D48" s="20" t="s">
        <v>12</v>
      </c>
      <c r="E48" s="20">
        <v>3403</v>
      </c>
      <c r="F48" s="20">
        <v>2934</v>
      </c>
      <c r="G48" s="21">
        <v>0.86218042903320602</v>
      </c>
      <c r="H48" s="20">
        <v>1582</v>
      </c>
      <c r="I48" s="22">
        <v>0.46488392594769318</v>
      </c>
      <c r="J48" s="20">
        <v>3668</v>
      </c>
      <c r="K48" s="20">
        <v>3508</v>
      </c>
      <c r="L48" s="21">
        <v>0.95599999999999996</v>
      </c>
      <c r="M48" s="20">
        <v>12153</v>
      </c>
      <c r="N48" s="20">
        <v>12128</v>
      </c>
      <c r="O48" s="20">
        <v>11851</v>
      </c>
      <c r="P48" s="21">
        <v>0.97515016868262983</v>
      </c>
      <c r="Q48" s="20">
        <v>26</v>
      </c>
      <c r="R48" s="20">
        <v>0</v>
      </c>
      <c r="S48" s="20">
        <v>0</v>
      </c>
      <c r="T48" s="21">
        <v>0</v>
      </c>
      <c r="U48" s="20">
        <v>0</v>
      </c>
      <c r="V48" s="21">
        <v>0</v>
      </c>
      <c r="W48" s="20">
        <v>2069</v>
      </c>
      <c r="X48" s="21">
        <v>0.6079929473993535</v>
      </c>
      <c r="Y48" s="20">
        <v>669</v>
      </c>
      <c r="Z48" s="23">
        <v>0.19659124302086389</v>
      </c>
      <c r="AA48" s="20">
        <v>38</v>
      </c>
      <c r="AB48" s="21">
        <v>1.116661769027329E-2</v>
      </c>
      <c r="AC48" s="20">
        <v>269</v>
      </c>
      <c r="AD48" s="21">
        <v>7.9047898912724068E-2</v>
      </c>
      <c r="AE48" s="20">
        <v>36</v>
      </c>
      <c r="AF48" s="21">
        <v>0.1338289962825279</v>
      </c>
      <c r="AG48" s="20">
        <v>253</v>
      </c>
      <c r="AH48" s="21">
        <v>0.94052044609665431</v>
      </c>
      <c r="AI48" s="24">
        <v>254</v>
      </c>
      <c r="AJ48" s="21">
        <v>7.4640023508668815E-2</v>
      </c>
      <c r="AK48" s="24">
        <v>7</v>
      </c>
      <c r="AL48" s="21">
        <v>0.82283464566929132</v>
      </c>
      <c r="AM48" s="24">
        <v>253</v>
      </c>
      <c r="AN48" s="24">
        <v>209</v>
      </c>
      <c r="AO48" s="21">
        <v>6.1416397296503077E-2</v>
      </c>
      <c r="AP48" s="21">
        <v>0.77695167286245348</v>
      </c>
      <c r="AQ48" s="22">
        <v>0.97391304347826091</v>
      </c>
      <c r="AR48" s="24">
        <v>0</v>
      </c>
      <c r="AS48" s="24">
        <v>0</v>
      </c>
      <c r="AT48" s="24">
        <v>57</v>
      </c>
      <c r="AU48" s="24">
        <v>54</v>
      </c>
      <c r="AV48" s="24">
        <v>52</v>
      </c>
      <c r="AW48" s="24">
        <v>68</v>
      </c>
      <c r="AX48" s="21">
        <v>1.5868351454598879E-2</v>
      </c>
      <c r="AY48" s="21">
        <v>1.528063473405818E-2</v>
      </c>
      <c r="AZ48" s="21">
        <v>1.9982368498383779E-2</v>
      </c>
      <c r="BA48" s="21">
        <v>0.24880382775119619</v>
      </c>
      <c r="BB48" s="24">
        <v>0</v>
      </c>
      <c r="BC48" s="24">
        <v>1</v>
      </c>
      <c r="BD48" s="22">
        <v>0.92</v>
      </c>
      <c r="BE48" s="22">
        <v>1</v>
      </c>
      <c r="BF48" s="22" t="s">
        <v>89</v>
      </c>
    </row>
    <row r="49" spans="1:58" ht="19.5" customHeight="1">
      <c r="A49" s="25">
        <v>46</v>
      </c>
      <c r="B49" s="20" t="s">
        <v>88</v>
      </c>
      <c r="C49" s="26">
        <v>46093</v>
      </c>
      <c r="D49" s="20" t="s">
        <v>11</v>
      </c>
      <c r="E49" s="20">
        <v>2904</v>
      </c>
      <c r="F49" s="20">
        <v>2501</v>
      </c>
      <c r="G49" s="21">
        <v>0.86122589531680438</v>
      </c>
      <c r="H49" s="20">
        <v>1441</v>
      </c>
      <c r="I49" s="22">
        <v>0.49621212121212122</v>
      </c>
      <c r="J49" s="20">
        <v>2166</v>
      </c>
      <c r="K49" s="20">
        <v>2034</v>
      </c>
      <c r="L49" s="21">
        <v>0.93899999999999995</v>
      </c>
      <c r="M49" s="20">
        <v>8664</v>
      </c>
      <c r="N49" s="20">
        <v>8686</v>
      </c>
      <c r="O49" s="20">
        <v>8445</v>
      </c>
      <c r="P49" s="21">
        <v>0.97472299168975074</v>
      </c>
      <c r="Q49" s="20">
        <v>19</v>
      </c>
      <c r="R49" s="20">
        <v>0</v>
      </c>
      <c r="S49" s="20">
        <v>0</v>
      </c>
      <c r="T49" s="21">
        <v>0</v>
      </c>
      <c r="U49" s="20">
        <v>0</v>
      </c>
      <c r="V49" s="21">
        <v>0</v>
      </c>
      <c r="W49" s="20">
        <v>2091</v>
      </c>
      <c r="X49" s="21">
        <v>0.7200413223140496</v>
      </c>
      <c r="Y49" s="20">
        <v>746</v>
      </c>
      <c r="Z49" s="23">
        <v>0.25688705234159781</v>
      </c>
      <c r="AA49" s="20">
        <v>12</v>
      </c>
      <c r="AB49" s="21">
        <v>4.1322314049586778E-3</v>
      </c>
      <c r="AC49" s="20">
        <v>291</v>
      </c>
      <c r="AD49" s="21">
        <v>0.10020661157024791</v>
      </c>
      <c r="AE49" s="20">
        <v>34</v>
      </c>
      <c r="AF49" s="21">
        <v>0.11683848797250861</v>
      </c>
      <c r="AG49" s="20">
        <v>277</v>
      </c>
      <c r="AH49" s="21">
        <v>0.95189003436426112</v>
      </c>
      <c r="AI49" s="24">
        <v>282</v>
      </c>
      <c r="AJ49" s="21">
        <v>9.7107438016528921E-2</v>
      </c>
      <c r="AK49" s="24">
        <v>1</v>
      </c>
      <c r="AL49" s="21">
        <v>0.80851063829787229</v>
      </c>
      <c r="AM49" s="24">
        <v>280</v>
      </c>
      <c r="AN49" s="24">
        <v>228</v>
      </c>
      <c r="AO49" s="21">
        <v>7.8512396694214878E-2</v>
      </c>
      <c r="AP49" s="21">
        <v>0.78350515463917525</v>
      </c>
      <c r="AQ49" s="22">
        <v>0.98804780876494025</v>
      </c>
      <c r="AR49" s="24">
        <v>0</v>
      </c>
      <c r="AS49" s="24">
        <v>0</v>
      </c>
      <c r="AT49" s="24">
        <v>50</v>
      </c>
      <c r="AU49" s="24">
        <v>46</v>
      </c>
      <c r="AV49" s="24">
        <v>45</v>
      </c>
      <c r="AW49" s="24">
        <v>32</v>
      </c>
      <c r="AX49" s="21">
        <v>1.5840220385674932E-2</v>
      </c>
      <c r="AY49" s="21">
        <v>1.549586776859504E-2</v>
      </c>
      <c r="AZ49" s="21">
        <v>1.1019283746556471E-2</v>
      </c>
      <c r="BA49" s="21">
        <v>0.19736842105263161</v>
      </c>
      <c r="BB49" s="24">
        <v>0</v>
      </c>
      <c r="BC49" s="24">
        <v>0</v>
      </c>
      <c r="BD49" s="22">
        <v>1</v>
      </c>
      <c r="BE49" s="22">
        <v>1</v>
      </c>
      <c r="BF49" s="22" t="s">
        <v>89</v>
      </c>
    </row>
    <row r="50" spans="1:58" ht="19.5" customHeight="1">
      <c r="A50" s="25">
        <v>47</v>
      </c>
      <c r="B50" s="20" t="s">
        <v>88</v>
      </c>
      <c r="C50" s="26">
        <v>46093</v>
      </c>
      <c r="D50" s="20" t="s">
        <v>14</v>
      </c>
      <c r="E50" s="20">
        <v>95</v>
      </c>
      <c r="F50" s="20">
        <v>88</v>
      </c>
      <c r="G50" s="21">
        <v>0.9263157894736842</v>
      </c>
      <c r="H50" s="20">
        <v>45</v>
      </c>
      <c r="I50" s="22">
        <v>0.47368421052631582</v>
      </c>
      <c r="J50" s="20">
        <v>52</v>
      </c>
      <c r="K50" s="20">
        <v>50</v>
      </c>
      <c r="L50" s="21">
        <v>0.96199999999999997</v>
      </c>
      <c r="M50" s="20">
        <v>240</v>
      </c>
      <c r="N50" s="20">
        <v>224</v>
      </c>
      <c r="O50" s="20">
        <v>232</v>
      </c>
      <c r="P50" s="21">
        <v>0.96666666666666667</v>
      </c>
      <c r="Q50" s="20">
        <v>0</v>
      </c>
      <c r="R50" s="20">
        <v>0</v>
      </c>
      <c r="S50" s="20">
        <v>0</v>
      </c>
      <c r="T50" s="21">
        <v>0</v>
      </c>
      <c r="U50" s="20">
        <v>0</v>
      </c>
      <c r="V50" s="21">
        <v>0</v>
      </c>
      <c r="W50" s="20">
        <v>0</v>
      </c>
      <c r="X50" s="21">
        <v>0</v>
      </c>
      <c r="Y50" s="20">
        <v>0</v>
      </c>
      <c r="Z50" s="23">
        <v>0</v>
      </c>
      <c r="AA50" s="20">
        <v>0</v>
      </c>
      <c r="AB50" s="21">
        <v>0</v>
      </c>
      <c r="AC50" s="20">
        <v>18</v>
      </c>
      <c r="AD50" s="21">
        <v>0.18947368421052629</v>
      </c>
      <c r="AE50" s="20">
        <v>11</v>
      </c>
      <c r="AF50" s="21">
        <v>0.61111111111111116</v>
      </c>
      <c r="AG50" s="20">
        <v>17</v>
      </c>
      <c r="AH50" s="21">
        <v>0.94444444444444442</v>
      </c>
      <c r="AI50" s="24">
        <v>0</v>
      </c>
      <c r="AJ50" s="21">
        <v>0</v>
      </c>
      <c r="AK50" s="24">
        <v>0</v>
      </c>
      <c r="AL50" s="21">
        <v>0</v>
      </c>
      <c r="AM50" s="24">
        <v>0</v>
      </c>
      <c r="AN50" s="24">
        <v>0</v>
      </c>
      <c r="AO50" s="21">
        <v>0</v>
      </c>
      <c r="AP50" s="21">
        <v>0</v>
      </c>
      <c r="AQ50" s="22">
        <v>1</v>
      </c>
      <c r="AR50" s="24">
        <v>0</v>
      </c>
      <c r="AS50" s="24">
        <v>0</v>
      </c>
      <c r="AT50" s="24">
        <v>0</v>
      </c>
      <c r="AU50" s="24">
        <v>0</v>
      </c>
      <c r="AV50" s="24">
        <v>0</v>
      </c>
      <c r="AW50" s="24">
        <v>0</v>
      </c>
      <c r="AX50" s="21">
        <v>0</v>
      </c>
      <c r="AY50" s="21">
        <v>0</v>
      </c>
      <c r="AZ50" s="21">
        <v>0</v>
      </c>
      <c r="BA50" s="21">
        <v>0</v>
      </c>
      <c r="BB50" s="24">
        <v>0</v>
      </c>
      <c r="BC50" s="24">
        <v>0</v>
      </c>
      <c r="BD50" s="22" t="s">
        <v>89</v>
      </c>
      <c r="BE50" s="22" t="s">
        <v>89</v>
      </c>
      <c r="BF50" s="22" t="s">
        <v>89</v>
      </c>
    </row>
    <row r="51" spans="1:58" ht="19.5" customHeight="1">
      <c r="A51" s="25">
        <v>48</v>
      </c>
      <c r="B51" s="20" t="s">
        <v>88</v>
      </c>
      <c r="C51" s="26">
        <v>46093</v>
      </c>
      <c r="D51" s="20" t="s">
        <v>13</v>
      </c>
      <c r="E51" s="20">
        <v>3519</v>
      </c>
      <c r="F51" s="20">
        <v>3181</v>
      </c>
      <c r="G51" s="21">
        <v>0.90394998579141805</v>
      </c>
      <c r="H51" s="20">
        <v>1928</v>
      </c>
      <c r="I51" s="22">
        <v>0.54788292128445581</v>
      </c>
      <c r="J51" s="20">
        <v>4195</v>
      </c>
      <c r="K51" s="20">
        <v>4066</v>
      </c>
      <c r="L51" s="21">
        <v>0.96899999999999997</v>
      </c>
      <c r="M51" s="20">
        <v>21481</v>
      </c>
      <c r="N51" s="20">
        <v>21427</v>
      </c>
      <c r="O51" s="20">
        <v>21129</v>
      </c>
      <c r="P51" s="21">
        <v>0.98361342581816491</v>
      </c>
      <c r="Q51" s="20">
        <v>17</v>
      </c>
      <c r="R51" s="20">
        <v>0</v>
      </c>
      <c r="S51" s="20">
        <v>0</v>
      </c>
      <c r="T51" s="21">
        <v>0</v>
      </c>
      <c r="U51" s="20">
        <v>0</v>
      </c>
      <c r="V51" s="21">
        <v>0</v>
      </c>
      <c r="W51" s="20">
        <v>2727</v>
      </c>
      <c r="X51" s="21">
        <v>0.77493606138107418</v>
      </c>
      <c r="Y51" s="20">
        <v>1018</v>
      </c>
      <c r="Z51" s="23">
        <v>0.28928672918442738</v>
      </c>
      <c r="AA51" s="20">
        <v>90</v>
      </c>
      <c r="AB51" s="21">
        <v>2.557544757033248E-2</v>
      </c>
      <c r="AC51" s="20">
        <v>511</v>
      </c>
      <c r="AD51" s="21">
        <v>0.14521170787155441</v>
      </c>
      <c r="AE51" s="20">
        <v>95</v>
      </c>
      <c r="AF51" s="21">
        <v>0.18590998043052839</v>
      </c>
      <c r="AG51" s="20">
        <v>476</v>
      </c>
      <c r="AH51" s="21">
        <v>0.93150684931506844</v>
      </c>
      <c r="AI51" s="24">
        <v>505</v>
      </c>
      <c r="AJ51" s="21">
        <v>0.14350667803353229</v>
      </c>
      <c r="AK51" s="24">
        <v>4</v>
      </c>
      <c r="AL51" s="21">
        <v>0.86138613861386137</v>
      </c>
      <c r="AM51" s="24">
        <v>498</v>
      </c>
      <c r="AN51" s="24">
        <v>435</v>
      </c>
      <c r="AO51" s="21">
        <v>0.123614663256607</v>
      </c>
      <c r="AP51" s="21">
        <v>0.85127201565557731</v>
      </c>
      <c r="AQ51" s="22">
        <v>0.967741935483871</v>
      </c>
      <c r="AR51" s="24">
        <v>0</v>
      </c>
      <c r="AS51" s="24">
        <v>0</v>
      </c>
      <c r="AT51" s="24">
        <v>79</v>
      </c>
      <c r="AU51" s="24">
        <v>76</v>
      </c>
      <c r="AV51" s="24">
        <v>76</v>
      </c>
      <c r="AW51" s="24">
        <v>128</v>
      </c>
      <c r="AX51" s="21">
        <v>2.1597044614947429E-2</v>
      </c>
      <c r="AY51" s="21">
        <v>2.1597044614947429E-2</v>
      </c>
      <c r="AZ51" s="21">
        <v>3.6373969877806188E-2</v>
      </c>
      <c r="BA51" s="21">
        <v>0.17471264367816089</v>
      </c>
      <c r="BB51" s="24">
        <v>0</v>
      </c>
      <c r="BC51" s="24">
        <v>0</v>
      </c>
      <c r="BD51" s="22">
        <v>0.98076923076923073</v>
      </c>
      <c r="BE51" s="22">
        <v>1</v>
      </c>
      <c r="BF51" s="22" t="s">
        <v>89</v>
      </c>
    </row>
    <row r="52" spans="1:58" ht="19.5" customHeight="1">
      <c r="A52" s="25">
        <v>49</v>
      </c>
      <c r="B52" s="20" t="s">
        <v>88</v>
      </c>
      <c r="C52" s="26">
        <v>46094</v>
      </c>
      <c r="D52" s="20" t="s">
        <v>12</v>
      </c>
      <c r="E52" s="20">
        <v>2378</v>
      </c>
      <c r="F52" s="20">
        <v>2074</v>
      </c>
      <c r="G52" s="21">
        <v>0.872161480235492</v>
      </c>
      <c r="H52" s="20">
        <v>781</v>
      </c>
      <c r="I52" s="22">
        <v>0.32842724978973931</v>
      </c>
      <c r="J52" s="20">
        <v>1929</v>
      </c>
      <c r="K52" s="20">
        <v>1846</v>
      </c>
      <c r="L52" s="21">
        <v>0.95699999999999996</v>
      </c>
      <c r="M52" s="20">
        <v>10096</v>
      </c>
      <c r="N52" s="20">
        <v>10406</v>
      </c>
      <c r="O52" s="20">
        <v>9901</v>
      </c>
      <c r="P52" s="21">
        <v>0.98068541996830427</v>
      </c>
      <c r="Q52" s="20">
        <v>14</v>
      </c>
      <c r="R52" s="20">
        <v>0</v>
      </c>
      <c r="S52" s="20">
        <v>0</v>
      </c>
      <c r="T52" s="21">
        <v>0</v>
      </c>
      <c r="U52" s="20">
        <v>0</v>
      </c>
      <c r="V52" s="21">
        <v>0</v>
      </c>
      <c r="W52" s="20">
        <v>1893</v>
      </c>
      <c r="X52" s="21">
        <v>0.79604709840201848</v>
      </c>
      <c r="Y52" s="20">
        <v>467</v>
      </c>
      <c r="Z52" s="23">
        <v>0.19638351555929351</v>
      </c>
      <c r="AA52" s="20">
        <v>26</v>
      </c>
      <c r="AB52" s="21">
        <v>1.093355761143818E-2</v>
      </c>
      <c r="AC52" s="20">
        <v>286</v>
      </c>
      <c r="AD52" s="21">
        <v>0.12026913372582</v>
      </c>
      <c r="AE52" s="20">
        <v>58</v>
      </c>
      <c r="AF52" s="21">
        <v>0.20279720279720281</v>
      </c>
      <c r="AG52" s="20">
        <v>269</v>
      </c>
      <c r="AH52" s="21">
        <v>0.94055944055944052</v>
      </c>
      <c r="AI52" s="24">
        <v>293</v>
      </c>
      <c r="AJ52" s="21">
        <v>0.1232127838519765</v>
      </c>
      <c r="AK52" s="24">
        <v>4</v>
      </c>
      <c r="AL52" s="21">
        <v>0.83276450511945388</v>
      </c>
      <c r="AM52" s="24">
        <v>292</v>
      </c>
      <c r="AN52" s="24">
        <v>244</v>
      </c>
      <c r="AO52" s="21">
        <v>0.1026072329688814</v>
      </c>
      <c r="AP52" s="21">
        <v>0.85314685314685312</v>
      </c>
      <c r="AQ52" s="22">
        <v>0.97356828193832601</v>
      </c>
      <c r="AR52" s="24">
        <v>0</v>
      </c>
      <c r="AS52" s="24">
        <v>0</v>
      </c>
      <c r="AT52" s="24">
        <v>58</v>
      </c>
      <c r="AU52" s="24">
        <v>53</v>
      </c>
      <c r="AV52" s="24">
        <v>53</v>
      </c>
      <c r="AW52" s="24">
        <v>66</v>
      </c>
      <c r="AX52" s="21">
        <v>2.2287636669470139E-2</v>
      </c>
      <c r="AY52" s="21">
        <v>2.2287636669470139E-2</v>
      </c>
      <c r="AZ52" s="21">
        <v>2.775441547518924E-2</v>
      </c>
      <c r="BA52" s="21">
        <v>0.21721311475409841</v>
      </c>
      <c r="BB52" s="24">
        <v>0</v>
      </c>
      <c r="BC52" s="24">
        <v>0</v>
      </c>
      <c r="BD52" s="22">
        <v>0.94117647058823528</v>
      </c>
      <c r="BE52" s="22">
        <v>1</v>
      </c>
      <c r="BF52" s="22" t="s">
        <v>89</v>
      </c>
    </row>
    <row r="53" spans="1:58" ht="19.5" customHeight="1">
      <c r="A53" s="25">
        <v>50</v>
      </c>
      <c r="B53" s="20" t="s">
        <v>88</v>
      </c>
      <c r="C53" s="26">
        <v>46094</v>
      </c>
      <c r="D53" s="20" t="s">
        <v>11</v>
      </c>
      <c r="E53" s="20">
        <v>3159</v>
      </c>
      <c r="F53" s="20">
        <v>2661</v>
      </c>
      <c r="G53" s="21">
        <v>0.84235517568850904</v>
      </c>
      <c r="H53" s="20">
        <v>1817</v>
      </c>
      <c r="I53" s="22">
        <v>0.57518201962646409</v>
      </c>
      <c r="J53" s="20">
        <v>3104</v>
      </c>
      <c r="K53" s="20">
        <v>2990</v>
      </c>
      <c r="L53" s="21">
        <v>0.96299999999999997</v>
      </c>
      <c r="M53" s="20">
        <v>10379</v>
      </c>
      <c r="N53" s="20">
        <v>10645</v>
      </c>
      <c r="O53" s="20">
        <v>10168</v>
      </c>
      <c r="P53" s="21">
        <v>0.97967048848636673</v>
      </c>
      <c r="Q53" s="20">
        <v>27</v>
      </c>
      <c r="R53" s="20">
        <v>0</v>
      </c>
      <c r="S53" s="20">
        <v>0</v>
      </c>
      <c r="T53" s="21">
        <v>0</v>
      </c>
      <c r="U53" s="20">
        <v>0</v>
      </c>
      <c r="V53" s="21">
        <v>0</v>
      </c>
      <c r="W53" s="20">
        <v>2149</v>
      </c>
      <c r="X53" s="21">
        <v>0.6802785691674581</v>
      </c>
      <c r="Y53" s="20">
        <v>528</v>
      </c>
      <c r="Z53" s="23">
        <v>0.16714150047483381</v>
      </c>
      <c r="AA53" s="20">
        <v>17</v>
      </c>
      <c r="AB53" s="21">
        <v>5.3814498258942696E-3</v>
      </c>
      <c r="AC53" s="20">
        <v>282</v>
      </c>
      <c r="AD53" s="21">
        <v>8.9268755935422606E-2</v>
      </c>
      <c r="AE53" s="20">
        <v>52</v>
      </c>
      <c r="AF53" s="21">
        <v>0.18439716312056739</v>
      </c>
      <c r="AG53" s="20">
        <v>272</v>
      </c>
      <c r="AH53" s="21">
        <v>0.96453900709219853</v>
      </c>
      <c r="AI53" s="24">
        <v>276</v>
      </c>
      <c r="AJ53" s="21">
        <v>8.7369420702754039E-2</v>
      </c>
      <c r="AK53" s="24">
        <v>5</v>
      </c>
      <c r="AL53" s="21">
        <v>0.87681159420289856</v>
      </c>
      <c r="AM53" s="24">
        <v>275</v>
      </c>
      <c r="AN53" s="24">
        <v>242</v>
      </c>
      <c r="AO53" s="21">
        <v>7.6606521050965493E-2</v>
      </c>
      <c r="AP53" s="21">
        <v>0.85815602836879434</v>
      </c>
      <c r="AQ53" s="22">
        <v>0.98141263940520451</v>
      </c>
      <c r="AR53" s="24">
        <v>0</v>
      </c>
      <c r="AS53" s="24">
        <v>0</v>
      </c>
      <c r="AT53" s="24">
        <v>59</v>
      </c>
      <c r="AU53" s="24">
        <v>52</v>
      </c>
      <c r="AV53" s="24">
        <v>59</v>
      </c>
      <c r="AW53" s="24">
        <v>34</v>
      </c>
      <c r="AX53" s="21">
        <v>1.646090534979424E-2</v>
      </c>
      <c r="AY53" s="21">
        <v>1.8676796454574231E-2</v>
      </c>
      <c r="AZ53" s="21">
        <v>1.0762899651788539E-2</v>
      </c>
      <c r="BA53" s="21">
        <v>0.243801652892562</v>
      </c>
      <c r="BB53" s="24">
        <v>0</v>
      </c>
      <c r="BC53" s="24">
        <v>0</v>
      </c>
      <c r="BD53" s="22">
        <v>1</v>
      </c>
      <c r="BE53" s="22">
        <v>1</v>
      </c>
      <c r="BF53" s="22" t="s">
        <v>89</v>
      </c>
    </row>
    <row r="54" spans="1:58" ht="19.5" customHeight="1">
      <c r="A54" s="25">
        <v>51</v>
      </c>
      <c r="B54" s="20" t="s">
        <v>88</v>
      </c>
      <c r="C54" s="26">
        <v>46094</v>
      </c>
      <c r="D54" s="20" t="s">
        <v>14</v>
      </c>
      <c r="E54" s="20">
        <v>100</v>
      </c>
      <c r="F54" s="20">
        <v>97</v>
      </c>
      <c r="G54" s="21">
        <v>0.97</v>
      </c>
      <c r="H54" s="20">
        <v>54</v>
      </c>
      <c r="I54" s="22">
        <v>0.54</v>
      </c>
      <c r="J54" s="20">
        <v>45</v>
      </c>
      <c r="K54" s="20">
        <v>42</v>
      </c>
      <c r="L54" s="21">
        <v>0.93300000000000005</v>
      </c>
      <c r="M54" s="20">
        <v>248</v>
      </c>
      <c r="N54" s="20">
        <v>238</v>
      </c>
      <c r="O54" s="20">
        <v>241</v>
      </c>
      <c r="P54" s="21">
        <v>0.97177419354838712</v>
      </c>
      <c r="Q54" s="20">
        <v>0</v>
      </c>
      <c r="R54" s="20">
        <v>0</v>
      </c>
      <c r="S54" s="20">
        <v>0</v>
      </c>
      <c r="T54" s="21">
        <v>0</v>
      </c>
      <c r="U54" s="20">
        <v>0</v>
      </c>
      <c r="V54" s="21">
        <v>0</v>
      </c>
      <c r="W54" s="20">
        <v>0</v>
      </c>
      <c r="X54" s="21">
        <v>0</v>
      </c>
      <c r="Y54" s="20">
        <v>1</v>
      </c>
      <c r="Z54" s="23">
        <v>0.01</v>
      </c>
      <c r="AA54" s="20">
        <v>0</v>
      </c>
      <c r="AB54" s="21">
        <v>0</v>
      </c>
      <c r="AC54" s="20">
        <v>32</v>
      </c>
      <c r="AD54" s="21">
        <v>0.32</v>
      </c>
      <c r="AE54" s="20">
        <v>12</v>
      </c>
      <c r="AF54" s="21">
        <v>0.375</v>
      </c>
      <c r="AG54" s="20">
        <v>30</v>
      </c>
      <c r="AH54" s="21">
        <v>0.9375</v>
      </c>
      <c r="AI54" s="24">
        <v>0</v>
      </c>
      <c r="AJ54" s="21">
        <v>0</v>
      </c>
      <c r="AK54" s="24">
        <v>0</v>
      </c>
      <c r="AL54" s="21">
        <v>0</v>
      </c>
      <c r="AM54" s="24">
        <v>0</v>
      </c>
      <c r="AN54" s="24">
        <v>0</v>
      </c>
      <c r="AO54" s="21">
        <v>0</v>
      </c>
      <c r="AP54" s="21">
        <v>0</v>
      </c>
      <c r="AQ54" s="22">
        <v>1</v>
      </c>
      <c r="AR54" s="24">
        <v>0</v>
      </c>
      <c r="AS54" s="24">
        <v>0</v>
      </c>
      <c r="AT54" s="24">
        <v>0</v>
      </c>
      <c r="AU54" s="24">
        <v>0</v>
      </c>
      <c r="AV54" s="24">
        <v>0</v>
      </c>
      <c r="AW54" s="24">
        <v>0</v>
      </c>
      <c r="AX54" s="21">
        <v>0</v>
      </c>
      <c r="AY54" s="21">
        <v>0</v>
      </c>
      <c r="AZ54" s="21">
        <v>0</v>
      </c>
      <c r="BA54" s="21">
        <v>0</v>
      </c>
      <c r="BB54" s="24">
        <v>0</v>
      </c>
      <c r="BC54" s="24">
        <v>0</v>
      </c>
      <c r="BD54" s="22" t="s">
        <v>89</v>
      </c>
      <c r="BE54" s="22" t="s">
        <v>89</v>
      </c>
      <c r="BF54" s="22" t="s">
        <v>89</v>
      </c>
    </row>
    <row r="55" spans="1:58" ht="19.5" customHeight="1">
      <c r="A55" s="25">
        <v>52</v>
      </c>
      <c r="B55" s="20" t="s">
        <v>88</v>
      </c>
      <c r="C55" s="26">
        <v>46094</v>
      </c>
      <c r="D55" s="20" t="s">
        <v>13</v>
      </c>
      <c r="E55" s="20">
        <v>4039</v>
      </c>
      <c r="F55" s="20">
        <v>3613</v>
      </c>
      <c r="G55" s="21">
        <v>0.89452834860113895</v>
      </c>
      <c r="H55" s="20">
        <v>2478</v>
      </c>
      <c r="I55" s="22">
        <v>0.61351819757365689</v>
      </c>
      <c r="J55" s="20">
        <v>4173</v>
      </c>
      <c r="K55" s="20">
        <v>4067</v>
      </c>
      <c r="L55" s="21">
        <v>0.97499999999999998</v>
      </c>
      <c r="M55" s="20">
        <v>22104</v>
      </c>
      <c r="N55" s="20">
        <v>22913</v>
      </c>
      <c r="O55" s="20">
        <v>21811</v>
      </c>
      <c r="P55" s="21">
        <v>0.98674448063698883</v>
      </c>
      <c r="Q55" s="20">
        <v>7</v>
      </c>
      <c r="R55" s="20">
        <v>0</v>
      </c>
      <c r="S55" s="20">
        <v>0</v>
      </c>
      <c r="T55" s="21">
        <v>0</v>
      </c>
      <c r="U55" s="20">
        <v>0</v>
      </c>
      <c r="V55" s="21">
        <v>0</v>
      </c>
      <c r="W55" s="20">
        <v>2555</v>
      </c>
      <c r="X55" s="21">
        <v>0.63258232235701906</v>
      </c>
      <c r="Y55" s="20">
        <v>830</v>
      </c>
      <c r="Z55" s="23">
        <v>0.2054964100024759</v>
      </c>
      <c r="AA55" s="20">
        <v>80</v>
      </c>
      <c r="AB55" s="21">
        <v>1.9806882891804899E-2</v>
      </c>
      <c r="AC55" s="20">
        <v>543</v>
      </c>
      <c r="AD55" s="21">
        <v>0.1344392176281258</v>
      </c>
      <c r="AE55" s="20">
        <v>102</v>
      </c>
      <c r="AF55" s="21">
        <v>0.18784530386740331</v>
      </c>
      <c r="AG55" s="20">
        <v>507</v>
      </c>
      <c r="AH55" s="21">
        <v>0.93370165745856348</v>
      </c>
      <c r="AI55" s="24">
        <v>543</v>
      </c>
      <c r="AJ55" s="21">
        <v>0.1344392176281258</v>
      </c>
      <c r="AK55" s="24">
        <v>2</v>
      </c>
      <c r="AL55" s="21">
        <v>0.91344383057090239</v>
      </c>
      <c r="AM55" s="24">
        <v>537</v>
      </c>
      <c r="AN55" s="24">
        <v>496</v>
      </c>
      <c r="AO55" s="21">
        <v>0.12280267392919041</v>
      </c>
      <c r="AP55" s="21">
        <v>0.91344383057090239</v>
      </c>
      <c r="AQ55" s="22">
        <v>0.95081967213114749</v>
      </c>
      <c r="AR55" s="24">
        <v>0</v>
      </c>
      <c r="AS55" s="24">
        <v>0</v>
      </c>
      <c r="AT55" s="24">
        <v>91</v>
      </c>
      <c r="AU55" s="24">
        <v>86</v>
      </c>
      <c r="AV55" s="24">
        <v>88</v>
      </c>
      <c r="AW55" s="24">
        <v>138</v>
      </c>
      <c r="AX55" s="21">
        <v>2.1292399108690269E-2</v>
      </c>
      <c r="AY55" s="21">
        <v>2.1787571180985389E-2</v>
      </c>
      <c r="AZ55" s="21">
        <v>3.4166872988363448E-2</v>
      </c>
      <c r="BA55" s="21">
        <v>0.17741935483870969</v>
      </c>
      <c r="BB55" s="24">
        <v>0</v>
      </c>
      <c r="BC55" s="24">
        <v>0</v>
      </c>
      <c r="BD55" s="22">
        <v>1</v>
      </c>
      <c r="BE55" s="22">
        <v>1</v>
      </c>
      <c r="BF55" s="22" t="s">
        <v>89</v>
      </c>
    </row>
    <row r="56" spans="1:58" ht="19.5" customHeight="1">
      <c r="A56" s="25">
        <v>53</v>
      </c>
      <c r="B56" s="20" t="s">
        <v>88</v>
      </c>
      <c r="C56" s="26">
        <v>46095</v>
      </c>
      <c r="D56" s="20" t="s">
        <v>12</v>
      </c>
      <c r="E56" s="20">
        <v>2549</v>
      </c>
      <c r="F56" s="20">
        <v>2257</v>
      </c>
      <c r="G56" s="21">
        <v>0.88544527265594353</v>
      </c>
      <c r="H56" s="20">
        <v>863</v>
      </c>
      <c r="I56" s="22">
        <v>0.33856414280109848</v>
      </c>
      <c r="J56" s="20">
        <v>2360</v>
      </c>
      <c r="K56" s="20">
        <v>2243</v>
      </c>
      <c r="L56" s="21">
        <v>0.95</v>
      </c>
      <c r="M56" s="20">
        <v>11010</v>
      </c>
      <c r="N56" s="20">
        <v>11315</v>
      </c>
      <c r="O56" s="20">
        <v>10785</v>
      </c>
      <c r="P56" s="21">
        <v>0.97956403269754766</v>
      </c>
      <c r="Q56" s="20">
        <v>16</v>
      </c>
      <c r="R56" s="20">
        <v>0</v>
      </c>
      <c r="S56" s="20">
        <v>0</v>
      </c>
      <c r="T56" s="21">
        <v>0</v>
      </c>
      <c r="U56" s="20">
        <v>0</v>
      </c>
      <c r="V56" s="21">
        <v>0</v>
      </c>
      <c r="W56" s="20">
        <v>1724</v>
      </c>
      <c r="X56" s="21">
        <v>0.67634366418203218</v>
      </c>
      <c r="Y56" s="20">
        <v>520</v>
      </c>
      <c r="Z56" s="23">
        <v>0.2040015692428403</v>
      </c>
      <c r="AA56" s="20">
        <v>22</v>
      </c>
      <c r="AB56" s="21">
        <v>8.6308356218124747E-3</v>
      </c>
      <c r="AC56" s="20">
        <v>426</v>
      </c>
      <c r="AD56" s="21">
        <v>0.1671243624950961</v>
      </c>
      <c r="AE56" s="20">
        <v>57</v>
      </c>
      <c r="AF56" s="21">
        <v>0.13380281690140841</v>
      </c>
      <c r="AG56" s="20">
        <v>406</v>
      </c>
      <c r="AH56" s="21">
        <v>0.95305164319248825</v>
      </c>
      <c r="AI56" s="24">
        <v>415</v>
      </c>
      <c r="AJ56" s="21">
        <v>0.16280894468418991</v>
      </c>
      <c r="AK56" s="24">
        <v>1</v>
      </c>
      <c r="AL56" s="21">
        <v>0.87228915662650608</v>
      </c>
      <c r="AM56" s="24">
        <v>406</v>
      </c>
      <c r="AN56" s="24">
        <v>362</v>
      </c>
      <c r="AO56" s="21">
        <v>0.14201647704982351</v>
      </c>
      <c r="AP56" s="21">
        <v>0.84976525821596249</v>
      </c>
      <c r="AQ56" s="22">
        <v>0.95185185185185184</v>
      </c>
      <c r="AR56" s="24">
        <v>0</v>
      </c>
      <c r="AS56" s="24">
        <v>0</v>
      </c>
      <c r="AT56" s="24">
        <v>106</v>
      </c>
      <c r="AU56" s="24">
        <v>101</v>
      </c>
      <c r="AV56" s="24">
        <v>99</v>
      </c>
      <c r="AW56" s="24">
        <v>62</v>
      </c>
      <c r="AX56" s="21">
        <v>3.9623381718320909E-2</v>
      </c>
      <c r="AY56" s="21">
        <v>3.8838760298156139E-2</v>
      </c>
      <c r="AZ56" s="21">
        <v>2.4323264025107889E-2</v>
      </c>
      <c r="BA56" s="21">
        <v>0.27348066298342538</v>
      </c>
      <c r="BB56" s="24">
        <v>0</v>
      </c>
      <c r="BC56" s="24">
        <v>0</v>
      </c>
      <c r="BD56" s="22">
        <v>0.98</v>
      </c>
      <c r="BE56" s="22">
        <v>1</v>
      </c>
      <c r="BF56" s="22" t="s">
        <v>89</v>
      </c>
    </row>
    <row r="57" spans="1:58" ht="19.5" customHeight="1">
      <c r="A57" s="25">
        <v>54</v>
      </c>
      <c r="B57" s="20" t="s">
        <v>88</v>
      </c>
      <c r="C57" s="26">
        <v>46095</v>
      </c>
      <c r="D57" s="20" t="s">
        <v>11</v>
      </c>
      <c r="E57" s="20">
        <v>2404</v>
      </c>
      <c r="F57" s="20">
        <v>2004</v>
      </c>
      <c r="G57" s="21">
        <v>0.83361064891846925</v>
      </c>
      <c r="H57" s="20">
        <v>923</v>
      </c>
      <c r="I57" s="22">
        <v>0.38394342762063233</v>
      </c>
      <c r="J57" s="20">
        <v>1630</v>
      </c>
      <c r="K57" s="20">
        <v>1547</v>
      </c>
      <c r="L57" s="21">
        <v>0.94899999999999995</v>
      </c>
      <c r="M57" s="20">
        <v>8415</v>
      </c>
      <c r="N57" s="20">
        <v>8895</v>
      </c>
      <c r="O57" s="20">
        <v>8264</v>
      </c>
      <c r="P57" s="21">
        <v>0.9820558526440879</v>
      </c>
      <c r="Q57" s="20">
        <v>12</v>
      </c>
      <c r="R57" s="20">
        <v>0</v>
      </c>
      <c r="S57" s="20">
        <v>0</v>
      </c>
      <c r="T57" s="21">
        <v>0</v>
      </c>
      <c r="U57" s="20">
        <v>0</v>
      </c>
      <c r="V57" s="21">
        <v>0</v>
      </c>
      <c r="W57" s="20">
        <v>2007</v>
      </c>
      <c r="X57" s="21">
        <v>0.83485856905158073</v>
      </c>
      <c r="Y57" s="20">
        <v>540</v>
      </c>
      <c r="Z57" s="23">
        <v>0.22462562396006661</v>
      </c>
      <c r="AA57" s="20">
        <v>16</v>
      </c>
      <c r="AB57" s="21">
        <v>6.6555740432612306E-3</v>
      </c>
      <c r="AC57" s="20">
        <v>469</v>
      </c>
      <c r="AD57" s="21">
        <v>0.19509151414309481</v>
      </c>
      <c r="AE57" s="20">
        <v>78</v>
      </c>
      <c r="AF57" s="21">
        <v>0.16631130063965879</v>
      </c>
      <c r="AG57" s="20">
        <v>446</v>
      </c>
      <c r="AH57" s="21">
        <v>0.95095948827292109</v>
      </c>
      <c r="AI57" s="24">
        <v>479</v>
      </c>
      <c r="AJ57" s="21">
        <v>0.1992512479201331</v>
      </c>
      <c r="AK57" s="24">
        <v>7</v>
      </c>
      <c r="AL57" s="21">
        <v>0.86221294363256784</v>
      </c>
      <c r="AM57" s="24">
        <v>477</v>
      </c>
      <c r="AN57" s="24">
        <v>413</v>
      </c>
      <c r="AO57" s="21">
        <v>0.17179700499168049</v>
      </c>
      <c r="AP57" s="21">
        <v>0.88059701492537312</v>
      </c>
      <c r="AQ57" s="22">
        <v>0.96616541353383456</v>
      </c>
      <c r="AR57" s="24">
        <v>0</v>
      </c>
      <c r="AS57" s="24">
        <v>0</v>
      </c>
      <c r="AT57" s="24">
        <v>81</v>
      </c>
      <c r="AU57" s="24">
        <v>76</v>
      </c>
      <c r="AV57" s="24">
        <v>75</v>
      </c>
      <c r="AW57" s="24">
        <v>28</v>
      </c>
      <c r="AX57" s="21">
        <v>3.1613976705490848E-2</v>
      </c>
      <c r="AY57" s="21">
        <v>3.1198003327787022E-2</v>
      </c>
      <c r="AZ57" s="21">
        <v>1.164725457570715E-2</v>
      </c>
      <c r="BA57" s="21">
        <v>0.18159806295399519</v>
      </c>
      <c r="BB57" s="24">
        <v>0</v>
      </c>
      <c r="BC57" s="24">
        <v>0</v>
      </c>
      <c r="BD57" s="22">
        <v>1</v>
      </c>
      <c r="BE57" s="22">
        <v>1</v>
      </c>
      <c r="BF57" s="22" t="s">
        <v>89</v>
      </c>
    </row>
    <row r="58" spans="1:58" ht="19.5" customHeight="1">
      <c r="A58" s="25">
        <v>55</v>
      </c>
      <c r="B58" s="20" t="s">
        <v>88</v>
      </c>
      <c r="C58" s="26">
        <v>46095</v>
      </c>
      <c r="D58" s="20" t="s">
        <v>14</v>
      </c>
      <c r="E58" s="20">
        <v>120</v>
      </c>
      <c r="F58" s="20">
        <v>114</v>
      </c>
      <c r="G58" s="21">
        <v>0.95</v>
      </c>
      <c r="H58" s="20">
        <v>72</v>
      </c>
      <c r="I58" s="22">
        <v>0.6</v>
      </c>
      <c r="J58" s="20">
        <v>67</v>
      </c>
      <c r="K58" s="20">
        <v>66</v>
      </c>
      <c r="L58" s="21">
        <v>0.98499999999999999</v>
      </c>
      <c r="M58" s="20">
        <v>266</v>
      </c>
      <c r="N58" s="20">
        <v>254</v>
      </c>
      <c r="O58" s="20">
        <v>262</v>
      </c>
      <c r="P58" s="21">
        <v>0.98496240601503759</v>
      </c>
      <c r="Q58" s="20">
        <v>0</v>
      </c>
      <c r="R58" s="20">
        <v>0</v>
      </c>
      <c r="S58" s="20">
        <v>0</v>
      </c>
      <c r="T58" s="21">
        <v>0</v>
      </c>
      <c r="U58" s="20">
        <v>0</v>
      </c>
      <c r="V58" s="21">
        <v>0</v>
      </c>
      <c r="W58" s="20">
        <v>0</v>
      </c>
      <c r="X58" s="21">
        <v>0</v>
      </c>
      <c r="Y58" s="20">
        <v>1</v>
      </c>
      <c r="Z58" s="23">
        <v>8.3333333333333332E-3</v>
      </c>
      <c r="AA58" s="20">
        <v>0</v>
      </c>
      <c r="AB58" s="21">
        <v>0</v>
      </c>
      <c r="AC58" s="20">
        <v>33</v>
      </c>
      <c r="AD58" s="21">
        <v>0.27500000000000002</v>
      </c>
      <c r="AE58" s="20">
        <v>12</v>
      </c>
      <c r="AF58" s="21">
        <v>0.36363636363636359</v>
      </c>
      <c r="AG58" s="20">
        <v>32</v>
      </c>
      <c r="AH58" s="21">
        <v>0.96969696969696972</v>
      </c>
      <c r="AI58" s="24">
        <v>0</v>
      </c>
      <c r="AJ58" s="21">
        <v>0</v>
      </c>
      <c r="AK58" s="24">
        <v>0</v>
      </c>
      <c r="AL58" s="21">
        <v>0</v>
      </c>
      <c r="AM58" s="24">
        <v>0</v>
      </c>
      <c r="AN58" s="24">
        <v>0</v>
      </c>
      <c r="AO58" s="21">
        <v>0</v>
      </c>
      <c r="AP58" s="21">
        <v>0</v>
      </c>
      <c r="AQ58" s="22">
        <v>1</v>
      </c>
      <c r="AR58" s="24">
        <v>0</v>
      </c>
      <c r="AS58" s="24">
        <v>0</v>
      </c>
      <c r="AT58" s="24">
        <v>0</v>
      </c>
      <c r="AU58" s="24">
        <v>0</v>
      </c>
      <c r="AV58" s="24">
        <v>0</v>
      </c>
      <c r="AW58" s="24">
        <v>0</v>
      </c>
      <c r="AX58" s="21">
        <v>0</v>
      </c>
      <c r="AY58" s="21">
        <v>0</v>
      </c>
      <c r="AZ58" s="21">
        <v>0</v>
      </c>
      <c r="BA58" s="21">
        <v>0</v>
      </c>
      <c r="BB58" s="24">
        <v>0</v>
      </c>
      <c r="BC58" s="24">
        <v>0</v>
      </c>
      <c r="BD58" s="22" t="s">
        <v>89</v>
      </c>
      <c r="BE58" s="22" t="s">
        <v>89</v>
      </c>
      <c r="BF58" s="22" t="s">
        <v>89</v>
      </c>
    </row>
    <row r="59" spans="1:58" ht="19.5" customHeight="1">
      <c r="A59" s="25">
        <v>56</v>
      </c>
      <c r="B59" s="20" t="s">
        <v>88</v>
      </c>
      <c r="C59" s="26">
        <v>46095</v>
      </c>
      <c r="D59" s="20" t="s">
        <v>13</v>
      </c>
      <c r="E59" s="20">
        <v>5260</v>
      </c>
      <c r="F59" s="20">
        <v>4468</v>
      </c>
      <c r="G59" s="21">
        <v>0.84942965779467683</v>
      </c>
      <c r="H59" s="20">
        <v>3899</v>
      </c>
      <c r="I59" s="22">
        <v>0.74125475285171105</v>
      </c>
      <c r="J59" s="20">
        <v>5987</v>
      </c>
      <c r="K59" s="20">
        <v>5837</v>
      </c>
      <c r="L59" s="21">
        <v>0.97499999999999998</v>
      </c>
      <c r="M59" s="20">
        <v>24212</v>
      </c>
      <c r="N59" s="20">
        <v>24831</v>
      </c>
      <c r="O59" s="20">
        <v>23872</v>
      </c>
      <c r="P59" s="21">
        <v>0.98595737650751691</v>
      </c>
      <c r="Q59" s="20">
        <v>28</v>
      </c>
      <c r="R59" s="20">
        <v>0</v>
      </c>
      <c r="S59" s="20">
        <v>0</v>
      </c>
      <c r="T59" s="21">
        <v>0</v>
      </c>
      <c r="U59" s="20">
        <v>0</v>
      </c>
      <c r="V59" s="21">
        <v>0</v>
      </c>
      <c r="W59" s="20">
        <v>2621</v>
      </c>
      <c r="X59" s="21">
        <v>0.49828897338403039</v>
      </c>
      <c r="Y59" s="20">
        <v>855</v>
      </c>
      <c r="Z59" s="23">
        <v>0.1625475285171103</v>
      </c>
      <c r="AA59" s="20">
        <v>87</v>
      </c>
      <c r="AB59" s="21">
        <v>1.6539923954372621E-2</v>
      </c>
      <c r="AC59" s="20">
        <v>894</v>
      </c>
      <c r="AD59" s="21">
        <v>0.16996197718631181</v>
      </c>
      <c r="AE59" s="20">
        <v>99</v>
      </c>
      <c r="AF59" s="21">
        <v>0.1107382550335571</v>
      </c>
      <c r="AG59" s="20">
        <v>849</v>
      </c>
      <c r="AH59" s="21">
        <v>0.94966442953020136</v>
      </c>
      <c r="AI59" s="24">
        <v>879</v>
      </c>
      <c r="AJ59" s="21">
        <v>0.16711026615969579</v>
      </c>
      <c r="AK59" s="24">
        <v>3</v>
      </c>
      <c r="AL59" s="21">
        <v>0.91808873720136519</v>
      </c>
      <c r="AM59" s="24">
        <v>865</v>
      </c>
      <c r="AN59" s="24">
        <v>807</v>
      </c>
      <c r="AO59" s="21">
        <v>0.15342205323193919</v>
      </c>
      <c r="AP59" s="21">
        <v>0.90268456375838924</v>
      </c>
      <c r="AQ59" s="22">
        <v>0.96730769230769231</v>
      </c>
      <c r="AR59" s="24">
        <v>0</v>
      </c>
      <c r="AS59" s="24">
        <v>0</v>
      </c>
      <c r="AT59" s="24">
        <v>165</v>
      </c>
      <c r="AU59" s="24">
        <v>160</v>
      </c>
      <c r="AV59" s="24">
        <v>157</v>
      </c>
      <c r="AW59" s="24">
        <v>119</v>
      </c>
      <c r="AX59" s="21">
        <v>3.0418250950570339E-2</v>
      </c>
      <c r="AY59" s="21">
        <v>2.9847908745247152E-2</v>
      </c>
      <c r="AZ59" s="21">
        <v>2.262357414448669E-2</v>
      </c>
      <c r="BA59" s="21">
        <v>0.19454770755886</v>
      </c>
      <c r="BB59" s="24">
        <v>0</v>
      </c>
      <c r="BC59" s="24">
        <v>0</v>
      </c>
      <c r="BD59" s="22">
        <v>0.9642857142857143</v>
      </c>
      <c r="BE59" s="22">
        <v>1</v>
      </c>
      <c r="BF59" s="22" t="s">
        <v>89</v>
      </c>
    </row>
    <row r="60" spans="1:58" ht="19.5" customHeight="1">
      <c r="A60" s="25">
        <v>57</v>
      </c>
      <c r="B60" s="20" t="s">
        <v>88</v>
      </c>
      <c r="C60" s="26">
        <v>46096</v>
      </c>
      <c r="D60" s="20" t="s">
        <v>12</v>
      </c>
      <c r="E60" s="20">
        <v>2463</v>
      </c>
      <c r="F60" s="20">
        <v>2191</v>
      </c>
      <c r="G60" s="21">
        <v>0.88956557044254969</v>
      </c>
      <c r="H60" s="20">
        <v>936</v>
      </c>
      <c r="I60" s="22">
        <v>0.3800243605359318</v>
      </c>
      <c r="J60" s="20">
        <v>2430</v>
      </c>
      <c r="K60" s="20">
        <v>2292</v>
      </c>
      <c r="L60" s="21">
        <v>0.94299999999999995</v>
      </c>
      <c r="M60" s="20">
        <v>11758</v>
      </c>
      <c r="N60" s="20">
        <v>11383</v>
      </c>
      <c r="O60" s="20">
        <v>11500</v>
      </c>
      <c r="P60" s="21">
        <v>0.97805749277087939</v>
      </c>
      <c r="Q60" s="20">
        <v>32</v>
      </c>
      <c r="R60" s="20">
        <v>0</v>
      </c>
      <c r="S60" s="20">
        <v>0</v>
      </c>
      <c r="T60" s="21">
        <v>0</v>
      </c>
      <c r="U60" s="20">
        <v>0</v>
      </c>
      <c r="V60" s="21">
        <v>0</v>
      </c>
      <c r="W60" s="20">
        <v>1773</v>
      </c>
      <c r="X60" s="21">
        <v>0.71985383678440928</v>
      </c>
      <c r="Y60" s="20">
        <v>475</v>
      </c>
      <c r="Z60" s="23">
        <v>0.19285424279334151</v>
      </c>
      <c r="AA60" s="20">
        <v>27</v>
      </c>
      <c r="AB60" s="21">
        <v>1.096224116930572E-2</v>
      </c>
      <c r="AC60" s="20">
        <v>446</v>
      </c>
      <c r="AD60" s="21">
        <v>0.18107998375964271</v>
      </c>
      <c r="AE60" s="20">
        <v>66</v>
      </c>
      <c r="AF60" s="21">
        <v>0.1479820627802691</v>
      </c>
      <c r="AG60" s="20">
        <v>416</v>
      </c>
      <c r="AH60" s="21">
        <v>0.93273542600896864</v>
      </c>
      <c r="AI60" s="24">
        <v>434</v>
      </c>
      <c r="AJ60" s="21">
        <v>0.1762078765732846</v>
      </c>
      <c r="AK60" s="24">
        <v>3</v>
      </c>
      <c r="AL60" s="21">
        <v>0.82718894009216593</v>
      </c>
      <c r="AM60" s="24">
        <v>434</v>
      </c>
      <c r="AN60" s="24">
        <v>359</v>
      </c>
      <c r="AO60" s="21">
        <v>0.1457572066585465</v>
      </c>
      <c r="AP60" s="21">
        <v>0.80493273542600896</v>
      </c>
      <c r="AQ60" s="22">
        <v>0.96437659033078882</v>
      </c>
      <c r="AR60" s="24">
        <v>0</v>
      </c>
      <c r="AS60" s="24">
        <v>0</v>
      </c>
      <c r="AT60" s="24">
        <v>109</v>
      </c>
      <c r="AU60" s="24">
        <v>106</v>
      </c>
      <c r="AV60" s="24">
        <v>106</v>
      </c>
      <c r="AW60" s="24">
        <v>56</v>
      </c>
      <c r="AX60" s="21">
        <v>4.3036946812829879E-2</v>
      </c>
      <c r="AY60" s="21">
        <v>4.3036946812829879E-2</v>
      </c>
      <c r="AZ60" s="21">
        <v>2.2736500203004471E-2</v>
      </c>
      <c r="BA60" s="21">
        <v>0.29526462395543168</v>
      </c>
      <c r="BB60" s="24">
        <v>0</v>
      </c>
      <c r="BC60" s="24">
        <v>0</v>
      </c>
      <c r="BD60" s="22">
        <v>1</v>
      </c>
      <c r="BE60" s="22">
        <v>1</v>
      </c>
      <c r="BF60" s="22" t="s">
        <v>89</v>
      </c>
    </row>
    <row r="61" spans="1:58" ht="19.5" customHeight="1">
      <c r="A61" s="25">
        <v>58</v>
      </c>
      <c r="B61" s="20" t="s">
        <v>88</v>
      </c>
      <c r="C61" s="26">
        <v>46096</v>
      </c>
      <c r="D61" s="20" t="s">
        <v>11</v>
      </c>
      <c r="E61" s="20">
        <v>2225</v>
      </c>
      <c r="F61" s="20">
        <v>2012</v>
      </c>
      <c r="G61" s="21">
        <v>0.90426966292134836</v>
      </c>
      <c r="H61" s="20">
        <v>1097</v>
      </c>
      <c r="I61" s="22">
        <v>0.49303370786516848</v>
      </c>
      <c r="J61" s="20">
        <v>2059</v>
      </c>
      <c r="K61" s="20">
        <v>1849</v>
      </c>
      <c r="L61" s="21">
        <v>0.89800000000000002</v>
      </c>
      <c r="M61" s="20">
        <v>9171</v>
      </c>
      <c r="N61" s="20">
        <v>9121</v>
      </c>
      <c r="O61" s="20">
        <v>8858</v>
      </c>
      <c r="P61" s="21">
        <v>0.96587067931523285</v>
      </c>
      <c r="Q61" s="20">
        <v>27</v>
      </c>
      <c r="R61" s="20">
        <v>0</v>
      </c>
      <c r="S61" s="20">
        <v>0</v>
      </c>
      <c r="T61" s="21">
        <v>0</v>
      </c>
      <c r="U61" s="20">
        <v>0</v>
      </c>
      <c r="V61" s="21">
        <v>0</v>
      </c>
      <c r="W61" s="20">
        <v>2371</v>
      </c>
      <c r="X61" s="21">
        <v>1.0656179775280901</v>
      </c>
      <c r="Y61" s="20">
        <v>493</v>
      </c>
      <c r="Z61" s="23">
        <v>0.22157303370786521</v>
      </c>
      <c r="AA61" s="20">
        <v>13</v>
      </c>
      <c r="AB61" s="21">
        <v>5.8426966292134831E-3</v>
      </c>
      <c r="AC61" s="20">
        <v>530</v>
      </c>
      <c r="AD61" s="21">
        <v>0.23820224719101121</v>
      </c>
      <c r="AE61" s="20">
        <v>65</v>
      </c>
      <c r="AF61" s="21">
        <v>0.12264150943396231</v>
      </c>
      <c r="AG61" s="20">
        <v>497</v>
      </c>
      <c r="AH61" s="21">
        <v>0.93773584905660379</v>
      </c>
      <c r="AI61" s="24">
        <v>518</v>
      </c>
      <c r="AJ61" s="21">
        <v>0.23280898876404491</v>
      </c>
      <c r="AK61" s="24">
        <v>4</v>
      </c>
      <c r="AL61" s="21">
        <v>0.86100386100386095</v>
      </c>
      <c r="AM61" s="24">
        <v>515</v>
      </c>
      <c r="AN61" s="24">
        <v>446</v>
      </c>
      <c r="AO61" s="21">
        <v>0.2004494382022472</v>
      </c>
      <c r="AP61" s="21">
        <v>0.84150943396226419</v>
      </c>
      <c r="AQ61" s="22">
        <v>0.97968397291196385</v>
      </c>
      <c r="AR61" s="24">
        <v>0</v>
      </c>
      <c r="AS61" s="24">
        <v>0</v>
      </c>
      <c r="AT61" s="24">
        <v>85</v>
      </c>
      <c r="AU61" s="24">
        <v>84</v>
      </c>
      <c r="AV61" s="24">
        <v>80</v>
      </c>
      <c r="AW61" s="24">
        <v>29</v>
      </c>
      <c r="AX61" s="21">
        <v>3.7752808988764042E-2</v>
      </c>
      <c r="AY61" s="21">
        <v>3.5955056179775277E-2</v>
      </c>
      <c r="AZ61" s="21">
        <v>1.303370786516854E-2</v>
      </c>
      <c r="BA61" s="21">
        <v>0.179372197309417</v>
      </c>
      <c r="BB61" s="24">
        <v>0</v>
      </c>
      <c r="BC61" s="24">
        <v>1</v>
      </c>
      <c r="BD61" s="22">
        <v>1</v>
      </c>
      <c r="BE61" s="22">
        <v>0.91666666666666663</v>
      </c>
      <c r="BF61" s="22" t="s">
        <v>89</v>
      </c>
    </row>
    <row r="62" spans="1:58" ht="19.5" customHeight="1">
      <c r="A62" s="25">
        <v>59</v>
      </c>
      <c r="B62" s="20" t="s">
        <v>88</v>
      </c>
      <c r="C62" s="26">
        <v>46096</v>
      </c>
      <c r="D62" s="20" t="s">
        <v>14</v>
      </c>
      <c r="E62" s="20">
        <v>121</v>
      </c>
      <c r="F62" s="20">
        <v>114</v>
      </c>
      <c r="G62" s="21">
        <v>0.94214876033057848</v>
      </c>
      <c r="H62" s="20">
        <v>81</v>
      </c>
      <c r="I62" s="22">
        <v>0.66942148760330578</v>
      </c>
      <c r="J62" s="20">
        <v>74</v>
      </c>
      <c r="K62" s="20">
        <v>73</v>
      </c>
      <c r="L62" s="21">
        <v>0.98599999999999999</v>
      </c>
      <c r="M62" s="20">
        <v>314</v>
      </c>
      <c r="N62" s="20">
        <v>302</v>
      </c>
      <c r="O62" s="20">
        <v>307</v>
      </c>
      <c r="P62" s="21">
        <v>0.97770700636942676</v>
      </c>
      <c r="Q62" s="20">
        <v>0</v>
      </c>
      <c r="R62" s="20">
        <v>0</v>
      </c>
      <c r="S62" s="20">
        <v>0</v>
      </c>
      <c r="T62" s="21">
        <v>0</v>
      </c>
      <c r="U62" s="20">
        <v>0</v>
      </c>
      <c r="V62" s="21">
        <v>0</v>
      </c>
      <c r="W62" s="20">
        <v>0</v>
      </c>
      <c r="X62" s="21">
        <v>0</v>
      </c>
      <c r="Y62" s="20">
        <v>0</v>
      </c>
      <c r="Z62" s="23">
        <v>0</v>
      </c>
      <c r="AA62" s="20">
        <v>0</v>
      </c>
      <c r="AB62" s="21">
        <v>0</v>
      </c>
      <c r="AC62" s="20">
        <v>40</v>
      </c>
      <c r="AD62" s="21">
        <v>0.33057851239669422</v>
      </c>
      <c r="AE62" s="20">
        <v>24</v>
      </c>
      <c r="AF62" s="21">
        <v>0.6</v>
      </c>
      <c r="AG62" s="20">
        <v>39</v>
      </c>
      <c r="AH62" s="21">
        <v>0.97499999999999998</v>
      </c>
      <c r="AI62" s="24">
        <v>0</v>
      </c>
      <c r="AJ62" s="21">
        <v>0</v>
      </c>
      <c r="AK62" s="24">
        <v>0</v>
      </c>
      <c r="AL62" s="21">
        <v>0</v>
      </c>
      <c r="AM62" s="24">
        <v>0</v>
      </c>
      <c r="AN62" s="24">
        <v>0</v>
      </c>
      <c r="AO62" s="21">
        <v>0</v>
      </c>
      <c r="AP62" s="21">
        <v>0</v>
      </c>
      <c r="AQ62" s="22">
        <v>1</v>
      </c>
      <c r="AR62" s="24">
        <v>0</v>
      </c>
      <c r="AS62" s="24">
        <v>0</v>
      </c>
      <c r="AT62" s="24">
        <v>0</v>
      </c>
      <c r="AU62" s="24">
        <v>0</v>
      </c>
      <c r="AV62" s="24">
        <v>0</v>
      </c>
      <c r="AW62" s="24">
        <v>0</v>
      </c>
      <c r="AX62" s="21">
        <v>0</v>
      </c>
      <c r="AY62" s="21">
        <v>0</v>
      </c>
      <c r="AZ62" s="21">
        <v>0</v>
      </c>
      <c r="BA62" s="21">
        <v>0</v>
      </c>
      <c r="BB62" s="24">
        <v>0</v>
      </c>
      <c r="BC62" s="24">
        <v>0</v>
      </c>
      <c r="BD62" s="22" t="s">
        <v>89</v>
      </c>
      <c r="BE62" s="22" t="s">
        <v>89</v>
      </c>
      <c r="BF62" s="22" t="s">
        <v>89</v>
      </c>
    </row>
    <row r="63" spans="1:58" ht="19.5" customHeight="1">
      <c r="A63" s="25">
        <v>60</v>
      </c>
      <c r="B63" s="20" t="s">
        <v>88</v>
      </c>
      <c r="C63" s="26">
        <v>46096</v>
      </c>
      <c r="D63" s="20" t="s">
        <v>13</v>
      </c>
      <c r="E63" s="20">
        <v>5716</v>
      </c>
      <c r="F63" s="20">
        <v>4946</v>
      </c>
      <c r="G63" s="21">
        <v>0.86529041287613717</v>
      </c>
      <c r="H63" s="20">
        <v>4289</v>
      </c>
      <c r="I63" s="22">
        <v>0.75034989503149052</v>
      </c>
      <c r="J63" s="20">
        <v>6668</v>
      </c>
      <c r="K63" s="20">
        <v>6376</v>
      </c>
      <c r="L63" s="21">
        <v>0.95599999999999996</v>
      </c>
      <c r="M63" s="20">
        <v>25070</v>
      </c>
      <c r="N63" s="20">
        <v>25417</v>
      </c>
      <c r="O63" s="20">
        <v>24567</v>
      </c>
      <c r="P63" s="21">
        <v>0.979936178699641</v>
      </c>
      <c r="Q63" s="20">
        <v>33</v>
      </c>
      <c r="R63" s="20">
        <v>0</v>
      </c>
      <c r="S63" s="20">
        <v>0</v>
      </c>
      <c r="T63" s="21">
        <v>0</v>
      </c>
      <c r="U63" s="20">
        <v>0</v>
      </c>
      <c r="V63" s="21">
        <v>0</v>
      </c>
      <c r="W63" s="20">
        <v>3082</v>
      </c>
      <c r="X63" s="21">
        <v>0.53918824352694195</v>
      </c>
      <c r="Y63" s="20">
        <v>688</v>
      </c>
      <c r="Z63" s="23">
        <v>0.1203638908327502</v>
      </c>
      <c r="AA63" s="20">
        <v>73</v>
      </c>
      <c r="AB63" s="21">
        <v>1.277116864940518E-2</v>
      </c>
      <c r="AC63" s="20">
        <v>1014</v>
      </c>
      <c r="AD63" s="21">
        <v>0.17739678096571029</v>
      </c>
      <c r="AE63" s="20">
        <v>131</v>
      </c>
      <c r="AF63" s="21">
        <v>0.1291913214990138</v>
      </c>
      <c r="AG63" s="20">
        <v>958</v>
      </c>
      <c r="AH63" s="21">
        <v>0.94477317554240636</v>
      </c>
      <c r="AI63" s="24">
        <v>996</v>
      </c>
      <c r="AJ63" s="21">
        <v>0.1742477256822953</v>
      </c>
      <c r="AK63" s="24">
        <v>10</v>
      </c>
      <c r="AL63" s="21">
        <v>0.92871485943775101</v>
      </c>
      <c r="AM63" s="24">
        <v>989</v>
      </c>
      <c r="AN63" s="24">
        <v>925</v>
      </c>
      <c r="AO63" s="21">
        <v>0.1618264520643807</v>
      </c>
      <c r="AP63" s="21">
        <v>0.91222879684418146</v>
      </c>
      <c r="AQ63" s="22">
        <v>0.96827262044653351</v>
      </c>
      <c r="AR63" s="24">
        <v>0</v>
      </c>
      <c r="AS63" s="24">
        <v>0</v>
      </c>
      <c r="AT63" s="24">
        <v>196</v>
      </c>
      <c r="AU63" s="24">
        <v>189</v>
      </c>
      <c r="AV63" s="24">
        <v>182</v>
      </c>
      <c r="AW63" s="24">
        <v>88</v>
      </c>
      <c r="AX63" s="21">
        <v>3.3065080475857253E-2</v>
      </c>
      <c r="AY63" s="21">
        <v>3.184044786564031E-2</v>
      </c>
      <c r="AZ63" s="21">
        <v>1.5395381385584319E-2</v>
      </c>
      <c r="BA63" s="21">
        <v>0.19675675675675669</v>
      </c>
      <c r="BB63" s="24">
        <v>0</v>
      </c>
      <c r="BC63" s="24">
        <v>0</v>
      </c>
      <c r="BD63" s="22">
        <v>0.98305084745762716</v>
      </c>
      <c r="BE63" s="22">
        <v>1</v>
      </c>
      <c r="BF63" s="22" t="s">
        <v>89</v>
      </c>
    </row>
    <row r="64" spans="1:58" ht="19.5" customHeight="1">
      <c r="A64" s="25">
        <v>61</v>
      </c>
      <c r="B64" s="20" t="s">
        <v>88</v>
      </c>
      <c r="C64" s="26">
        <v>46097</v>
      </c>
      <c r="D64" s="20" t="s">
        <v>12</v>
      </c>
      <c r="E64" s="20">
        <v>4162</v>
      </c>
      <c r="F64" s="20">
        <v>3539</v>
      </c>
      <c r="G64" s="21">
        <v>0.85031234983181159</v>
      </c>
      <c r="H64" s="20">
        <v>2290</v>
      </c>
      <c r="I64" s="22">
        <v>0.5502162421912542</v>
      </c>
      <c r="J64" s="20">
        <v>3496</v>
      </c>
      <c r="K64" s="20">
        <v>3346</v>
      </c>
      <c r="L64" s="21">
        <v>0.95699999999999996</v>
      </c>
      <c r="M64" s="20">
        <v>11820</v>
      </c>
      <c r="N64" s="20">
        <v>11839</v>
      </c>
      <c r="O64" s="20">
        <v>11530</v>
      </c>
      <c r="P64" s="21">
        <v>0.97546531302876482</v>
      </c>
      <c r="Q64" s="20">
        <v>50</v>
      </c>
      <c r="R64" s="20">
        <v>0</v>
      </c>
      <c r="S64" s="20">
        <v>0</v>
      </c>
      <c r="T64" s="21">
        <v>0</v>
      </c>
      <c r="U64" s="20">
        <v>0</v>
      </c>
      <c r="V64" s="21">
        <v>0</v>
      </c>
      <c r="W64" s="20">
        <v>2381</v>
      </c>
      <c r="X64" s="21">
        <v>0.57208073041806828</v>
      </c>
      <c r="Y64" s="20">
        <v>436</v>
      </c>
      <c r="Z64" s="23">
        <v>0.1047573282075925</v>
      </c>
      <c r="AA64" s="20">
        <v>24</v>
      </c>
      <c r="AB64" s="21">
        <v>5.7664584334454587E-3</v>
      </c>
      <c r="AC64" s="20">
        <v>299</v>
      </c>
      <c r="AD64" s="21">
        <v>7.1840461316674681E-2</v>
      </c>
      <c r="AE64" s="20">
        <v>48</v>
      </c>
      <c r="AF64" s="21">
        <v>0.16053511705685619</v>
      </c>
      <c r="AG64" s="20">
        <v>272</v>
      </c>
      <c r="AH64" s="21">
        <v>0.90969899665551834</v>
      </c>
      <c r="AI64" s="24">
        <v>296</v>
      </c>
      <c r="AJ64" s="21">
        <v>7.1119654012493996E-2</v>
      </c>
      <c r="AK64" s="24">
        <v>1</v>
      </c>
      <c r="AL64" s="21">
        <v>0.8783783783783784</v>
      </c>
      <c r="AM64" s="24">
        <v>293</v>
      </c>
      <c r="AN64" s="24">
        <v>260</v>
      </c>
      <c r="AO64" s="21">
        <v>6.2469966362325803E-2</v>
      </c>
      <c r="AP64" s="21">
        <v>0.86956521739130432</v>
      </c>
      <c r="AQ64" s="22">
        <v>0.96019900497512434</v>
      </c>
      <c r="AR64" s="24">
        <v>0</v>
      </c>
      <c r="AS64" s="24">
        <v>0</v>
      </c>
      <c r="AT64" s="24">
        <v>80</v>
      </c>
      <c r="AU64" s="24">
        <v>74</v>
      </c>
      <c r="AV64" s="24">
        <v>75</v>
      </c>
      <c r="AW64" s="24">
        <v>116</v>
      </c>
      <c r="AX64" s="21">
        <v>1.7779913503123499E-2</v>
      </c>
      <c r="AY64" s="21">
        <v>1.8020182604517061E-2</v>
      </c>
      <c r="AZ64" s="21">
        <v>2.7871215761653051E-2</v>
      </c>
      <c r="BA64" s="21">
        <v>0.28846153846153838</v>
      </c>
      <c r="BB64" s="24">
        <v>0</v>
      </c>
      <c r="BC64" s="24">
        <v>0</v>
      </c>
      <c r="BD64" s="22">
        <v>1</v>
      </c>
      <c r="BE64" s="22">
        <v>1</v>
      </c>
      <c r="BF64" s="22" t="s">
        <v>89</v>
      </c>
    </row>
    <row r="65" spans="1:58" ht="19.5" customHeight="1">
      <c r="A65" s="25">
        <v>62</v>
      </c>
      <c r="B65" s="20" t="s">
        <v>88</v>
      </c>
      <c r="C65" s="26">
        <v>46097</v>
      </c>
      <c r="D65" s="20" t="s">
        <v>11</v>
      </c>
      <c r="E65" s="20">
        <v>2053</v>
      </c>
      <c r="F65" s="20">
        <v>1810</v>
      </c>
      <c r="G65" s="21">
        <v>0.88163662932294207</v>
      </c>
      <c r="H65" s="20">
        <v>768</v>
      </c>
      <c r="I65" s="22">
        <v>0.37408670238675112</v>
      </c>
      <c r="J65" s="20">
        <v>1664</v>
      </c>
      <c r="K65" s="20">
        <v>1568</v>
      </c>
      <c r="L65" s="21">
        <v>0.94199999999999995</v>
      </c>
      <c r="M65" s="20">
        <v>9019</v>
      </c>
      <c r="N65" s="20">
        <v>8334</v>
      </c>
      <c r="O65" s="20">
        <v>8801</v>
      </c>
      <c r="P65" s="21">
        <v>0.97582880585430753</v>
      </c>
      <c r="Q65" s="20">
        <v>24</v>
      </c>
      <c r="R65" s="20">
        <v>0</v>
      </c>
      <c r="S65" s="20">
        <v>0</v>
      </c>
      <c r="T65" s="21">
        <v>0</v>
      </c>
      <c r="U65" s="20">
        <v>0</v>
      </c>
      <c r="V65" s="21">
        <v>0</v>
      </c>
      <c r="W65" s="20">
        <v>2566</v>
      </c>
      <c r="X65" s="21">
        <v>1.2498782269849</v>
      </c>
      <c r="Y65" s="20">
        <v>962</v>
      </c>
      <c r="Z65" s="23">
        <v>0.46858256210423771</v>
      </c>
      <c r="AA65" s="20">
        <v>5</v>
      </c>
      <c r="AB65" s="21">
        <v>2.4354603019970771E-3</v>
      </c>
      <c r="AC65" s="20">
        <v>251</v>
      </c>
      <c r="AD65" s="21">
        <v>0.1222601071602533</v>
      </c>
      <c r="AE65" s="20">
        <v>37</v>
      </c>
      <c r="AF65" s="21">
        <v>0.14741035856573709</v>
      </c>
      <c r="AG65" s="20">
        <v>238</v>
      </c>
      <c r="AH65" s="21">
        <v>0.94820717131474108</v>
      </c>
      <c r="AI65" s="24">
        <v>245</v>
      </c>
      <c r="AJ65" s="21">
        <v>0.11933755479785681</v>
      </c>
      <c r="AK65" s="24">
        <v>0</v>
      </c>
      <c r="AL65" s="21">
        <v>0.87346938775510208</v>
      </c>
      <c r="AM65" s="24">
        <v>242</v>
      </c>
      <c r="AN65" s="24">
        <v>214</v>
      </c>
      <c r="AO65" s="21">
        <v>0.10423770092547489</v>
      </c>
      <c r="AP65" s="21">
        <v>0.85258964143426297</v>
      </c>
      <c r="AQ65" s="22">
        <v>0.97352342158859473</v>
      </c>
      <c r="AR65" s="24">
        <v>0</v>
      </c>
      <c r="AS65" s="24">
        <v>0</v>
      </c>
      <c r="AT65" s="24">
        <v>56</v>
      </c>
      <c r="AU65" s="24">
        <v>41</v>
      </c>
      <c r="AV65" s="24">
        <v>42</v>
      </c>
      <c r="AW65" s="24">
        <v>47</v>
      </c>
      <c r="AX65" s="21">
        <v>1.9970774476376039E-2</v>
      </c>
      <c r="AY65" s="21">
        <v>2.0457866536775449E-2</v>
      </c>
      <c r="AZ65" s="21">
        <v>2.2893326838772529E-2</v>
      </c>
      <c r="BA65" s="21">
        <v>0.19626168224299059</v>
      </c>
      <c r="BB65" s="24">
        <v>0</v>
      </c>
      <c r="BC65" s="24">
        <v>0</v>
      </c>
      <c r="BD65" s="22">
        <v>0.97142857142857142</v>
      </c>
      <c r="BE65" s="22">
        <v>1</v>
      </c>
      <c r="BF65" s="22" t="s">
        <v>89</v>
      </c>
    </row>
    <row r="66" spans="1:58" ht="19.5" customHeight="1">
      <c r="A66" s="25">
        <v>63</v>
      </c>
      <c r="B66" s="20" t="s">
        <v>88</v>
      </c>
      <c r="C66" s="26">
        <v>46097</v>
      </c>
      <c r="D66" s="20" t="s">
        <v>14</v>
      </c>
      <c r="E66" s="20">
        <v>113</v>
      </c>
      <c r="F66" s="20">
        <v>107</v>
      </c>
      <c r="G66" s="21">
        <v>0.94690265486725667</v>
      </c>
      <c r="H66" s="20">
        <v>51</v>
      </c>
      <c r="I66" s="22">
        <v>0.45132743362831862</v>
      </c>
      <c r="J66" s="20">
        <v>74</v>
      </c>
      <c r="K66" s="20">
        <v>72</v>
      </c>
      <c r="L66" s="21">
        <v>0.97299999999999998</v>
      </c>
      <c r="M66" s="20">
        <v>295</v>
      </c>
      <c r="N66" s="20">
        <v>241</v>
      </c>
      <c r="O66" s="20">
        <v>289</v>
      </c>
      <c r="P66" s="21">
        <v>0.97966101694915253</v>
      </c>
      <c r="Q66" s="20">
        <v>1</v>
      </c>
      <c r="R66" s="20">
        <v>0</v>
      </c>
      <c r="S66" s="20">
        <v>0</v>
      </c>
      <c r="T66" s="21">
        <v>0</v>
      </c>
      <c r="U66" s="20">
        <v>0</v>
      </c>
      <c r="V66" s="21">
        <v>0</v>
      </c>
      <c r="W66" s="20">
        <v>1</v>
      </c>
      <c r="X66" s="21">
        <v>8.8495575221238937E-3</v>
      </c>
      <c r="Y66" s="20">
        <v>1</v>
      </c>
      <c r="Z66" s="23">
        <v>8.8495575221238937E-3</v>
      </c>
      <c r="AA66" s="20">
        <v>0</v>
      </c>
      <c r="AB66" s="21">
        <v>0</v>
      </c>
      <c r="AC66" s="20">
        <v>14</v>
      </c>
      <c r="AD66" s="21">
        <v>0.1238938053097345</v>
      </c>
      <c r="AE66" s="20">
        <v>18</v>
      </c>
      <c r="AF66" s="21">
        <v>1.285714285714286</v>
      </c>
      <c r="AG66" s="20">
        <v>14</v>
      </c>
      <c r="AH66" s="21">
        <v>1</v>
      </c>
      <c r="AI66" s="24">
        <v>0</v>
      </c>
      <c r="AJ66" s="21">
        <v>0</v>
      </c>
      <c r="AK66" s="24">
        <v>0</v>
      </c>
      <c r="AL66" s="21">
        <v>0</v>
      </c>
      <c r="AM66" s="24">
        <v>0</v>
      </c>
      <c r="AN66" s="24">
        <v>0</v>
      </c>
      <c r="AO66" s="21">
        <v>0</v>
      </c>
      <c r="AP66" s="21">
        <v>0</v>
      </c>
      <c r="AQ66" s="22">
        <v>0.96</v>
      </c>
      <c r="AR66" s="24">
        <v>0</v>
      </c>
      <c r="AS66" s="24">
        <v>0</v>
      </c>
      <c r="AT66" s="24">
        <v>0</v>
      </c>
      <c r="AU66" s="24">
        <v>0</v>
      </c>
      <c r="AV66" s="24">
        <v>0</v>
      </c>
      <c r="AW66" s="24">
        <v>0</v>
      </c>
      <c r="AX66" s="21">
        <v>0</v>
      </c>
      <c r="AY66" s="21">
        <v>0</v>
      </c>
      <c r="AZ66" s="21">
        <v>0</v>
      </c>
      <c r="BA66" s="21">
        <v>0</v>
      </c>
      <c r="BB66" s="24">
        <v>0</v>
      </c>
      <c r="BC66" s="24">
        <v>0</v>
      </c>
      <c r="BD66" s="22" t="s">
        <v>89</v>
      </c>
      <c r="BE66" s="22" t="s">
        <v>89</v>
      </c>
      <c r="BF66" s="22" t="s">
        <v>89</v>
      </c>
    </row>
    <row r="67" spans="1:58" ht="19.5" customHeight="1">
      <c r="A67" s="25">
        <v>64</v>
      </c>
      <c r="B67" s="20" t="s">
        <v>88</v>
      </c>
      <c r="C67" s="26">
        <v>46097</v>
      </c>
      <c r="D67" s="20" t="s">
        <v>13</v>
      </c>
      <c r="E67" s="20">
        <v>4055</v>
      </c>
      <c r="F67" s="20">
        <v>3661</v>
      </c>
      <c r="G67" s="21">
        <v>0.90283600493218252</v>
      </c>
      <c r="H67" s="20">
        <v>2506</v>
      </c>
      <c r="I67" s="22">
        <v>0.61800246609124543</v>
      </c>
      <c r="J67" s="20">
        <v>5208</v>
      </c>
      <c r="K67" s="20">
        <v>5093</v>
      </c>
      <c r="L67" s="21">
        <v>0.97799999999999998</v>
      </c>
      <c r="M67" s="20">
        <v>23280</v>
      </c>
      <c r="N67" s="20">
        <v>23067</v>
      </c>
      <c r="O67" s="20">
        <v>22921</v>
      </c>
      <c r="P67" s="21">
        <v>0.98457903780068734</v>
      </c>
      <c r="Q67" s="20">
        <v>19</v>
      </c>
      <c r="R67" s="20">
        <v>0</v>
      </c>
      <c r="S67" s="20">
        <v>0</v>
      </c>
      <c r="T67" s="21">
        <v>0</v>
      </c>
      <c r="U67" s="20">
        <v>0</v>
      </c>
      <c r="V67" s="21">
        <v>0</v>
      </c>
      <c r="W67" s="20">
        <v>3506</v>
      </c>
      <c r="X67" s="21">
        <v>0.86461159062885329</v>
      </c>
      <c r="Y67" s="20">
        <v>652</v>
      </c>
      <c r="Z67" s="23">
        <v>0.1607891491985203</v>
      </c>
      <c r="AA67" s="20">
        <v>74</v>
      </c>
      <c r="AB67" s="21">
        <v>1.8249075215782989E-2</v>
      </c>
      <c r="AC67" s="20">
        <v>524</v>
      </c>
      <c r="AD67" s="21">
        <v>0.12922318125770649</v>
      </c>
      <c r="AE67" s="20">
        <v>89</v>
      </c>
      <c r="AF67" s="21">
        <v>0.16984732824427479</v>
      </c>
      <c r="AG67" s="20">
        <v>489</v>
      </c>
      <c r="AH67" s="21">
        <v>0.93320610687022898</v>
      </c>
      <c r="AI67" s="24">
        <v>526</v>
      </c>
      <c r="AJ67" s="21">
        <v>0.12971639950678171</v>
      </c>
      <c r="AK67" s="24">
        <v>2</v>
      </c>
      <c r="AL67" s="21">
        <v>0.94296577946768056</v>
      </c>
      <c r="AM67" s="24">
        <v>520</v>
      </c>
      <c r="AN67" s="24">
        <v>496</v>
      </c>
      <c r="AO67" s="21">
        <v>0.1223181257706535</v>
      </c>
      <c r="AP67" s="21">
        <v>0.94656488549618323</v>
      </c>
      <c r="AQ67" s="22">
        <v>0.96719576719576716</v>
      </c>
      <c r="AR67" s="24">
        <v>0</v>
      </c>
      <c r="AS67" s="24">
        <v>0</v>
      </c>
      <c r="AT67" s="24">
        <v>106</v>
      </c>
      <c r="AU67" s="24">
        <v>88</v>
      </c>
      <c r="AV67" s="24">
        <v>92</v>
      </c>
      <c r="AW67" s="24">
        <v>167</v>
      </c>
      <c r="AX67" s="21">
        <v>2.170160295930949E-2</v>
      </c>
      <c r="AY67" s="21">
        <v>2.2688039457459931E-2</v>
      </c>
      <c r="AZ67" s="21">
        <v>4.1183723797780521E-2</v>
      </c>
      <c r="BA67" s="21">
        <v>0.18548387096774191</v>
      </c>
      <c r="BB67" s="24">
        <v>0</v>
      </c>
      <c r="BC67" s="24">
        <v>1</v>
      </c>
      <c r="BD67" s="22">
        <v>0.98484848484848486</v>
      </c>
      <c r="BE67" s="22">
        <v>0.95454545454545459</v>
      </c>
      <c r="BF67" s="22" t="s">
        <v>89</v>
      </c>
    </row>
    <row r="68" spans="1:58" ht="19.5" customHeight="1">
      <c r="A68" s="25">
        <v>65</v>
      </c>
      <c r="B68" s="20" t="s">
        <v>88</v>
      </c>
      <c r="C68" s="26">
        <v>46098</v>
      </c>
      <c r="D68" s="20" t="s">
        <v>12</v>
      </c>
      <c r="E68" s="20">
        <v>3656</v>
      </c>
      <c r="F68" s="20">
        <v>3121</v>
      </c>
      <c r="G68" s="21">
        <v>0.8536652078774617</v>
      </c>
      <c r="H68" s="20">
        <v>1923</v>
      </c>
      <c r="I68" s="22">
        <v>0.52598468271334797</v>
      </c>
      <c r="J68" s="20">
        <v>3612</v>
      </c>
      <c r="K68" s="20">
        <v>3512</v>
      </c>
      <c r="L68" s="21">
        <v>0.97199999999999998</v>
      </c>
      <c r="M68" s="20">
        <v>13348</v>
      </c>
      <c r="N68" s="20">
        <v>13596</v>
      </c>
      <c r="O68" s="20">
        <v>13137</v>
      </c>
      <c r="P68" s="21">
        <v>0.98419238837278988</v>
      </c>
      <c r="Q68" s="20">
        <v>37</v>
      </c>
      <c r="R68" s="20">
        <v>0</v>
      </c>
      <c r="S68" s="20">
        <v>0</v>
      </c>
      <c r="T68" s="21">
        <v>0</v>
      </c>
      <c r="U68" s="20">
        <v>0</v>
      </c>
      <c r="V68" s="21">
        <v>0</v>
      </c>
      <c r="W68" s="20">
        <v>2451</v>
      </c>
      <c r="X68" s="21">
        <v>0.67040481400437635</v>
      </c>
      <c r="Y68" s="20">
        <v>320</v>
      </c>
      <c r="Z68" s="23">
        <v>8.7527352297592995E-2</v>
      </c>
      <c r="AA68" s="20">
        <v>32</v>
      </c>
      <c r="AB68" s="21">
        <v>8.7527352297592995E-3</v>
      </c>
      <c r="AC68" s="20">
        <v>257</v>
      </c>
      <c r="AD68" s="21">
        <v>7.029540481400437E-2</v>
      </c>
      <c r="AE68" s="20">
        <v>49</v>
      </c>
      <c r="AF68" s="21">
        <v>0.19066147859922181</v>
      </c>
      <c r="AG68" s="20">
        <v>226</v>
      </c>
      <c r="AH68" s="21">
        <v>0.87937743190661477</v>
      </c>
      <c r="AI68" s="24">
        <v>255</v>
      </c>
      <c r="AJ68" s="21">
        <v>6.9748358862144422E-2</v>
      </c>
      <c r="AK68" s="24">
        <v>3</v>
      </c>
      <c r="AL68" s="21">
        <v>0.83529411764705885</v>
      </c>
      <c r="AM68" s="24">
        <v>255</v>
      </c>
      <c r="AN68" s="24">
        <v>213</v>
      </c>
      <c r="AO68" s="21">
        <v>5.8260393873085341E-2</v>
      </c>
      <c r="AP68" s="21">
        <v>0.8287937743190662</v>
      </c>
      <c r="AQ68" s="22">
        <v>0.97026022304832715</v>
      </c>
      <c r="AR68" s="24">
        <v>0</v>
      </c>
      <c r="AS68" s="24">
        <v>0</v>
      </c>
      <c r="AT68" s="24">
        <v>50</v>
      </c>
      <c r="AU68" s="24">
        <v>46</v>
      </c>
      <c r="AV68" s="24">
        <v>46</v>
      </c>
      <c r="AW68" s="24">
        <v>71</v>
      </c>
      <c r="AX68" s="21">
        <v>1.2582056892778991E-2</v>
      </c>
      <c r="AY68" s="21">
        <v>1.2582056892778991E-2</v>
      </c>
      <c r="AZ68" s="21">
        <v>1.9420131291028452E-2</v>
      </c>
      <c r="BA68" s="21">
        <v>0.215962441314554</v>
      </c>
      <c r="BB68" s="24">
        <v>0</v>
      </c>
      <c r="BC68" s="24">
        <v>1</v>
      </c>
      <c r="BD68" s="22">
        <v>0.95238095238095233</v>
      </c>
      <c r="BE68" s="22">
        <v>1</v>
      </c>
      <c r="BF68" s="22" t="s">
        <v>89</v>
      </c>
    </row>
    <row r="69" spans="1:58" ht="19.5" customHeight="1">
      <c r="A69" s="25">
        <v>66</v>
      </c>
      <c r="B69" s="20" t="s">
        <v>88</v>
      </c>
      <c r="C69" s="26">
        <v>46098</v>
      </c>
      <c r="D69" s="20" t="s">
        <v>11</v>
      </c>
      <c r="E69" s="20">
        <v>2319</v>
      </c>
      <c r="F69" s="20">
        <v>2009</v>
      </c>
      <c r="G69" s="21">
        <v>0.86632169038378615</v>
      </c>
      <c r="H69" s="20">
        <v>1357</v>
      </c>
      <c r="I69" s="22">
        <v>0.58516601983613625</v>
      </c>
      <c r="J69" s="20">
        <v>2218</v>
      </c>
      <c r="K69" s="20">
        <v>2166</v>
      </c>
      <c r="L69" s="21">
        <v>0.97699999999999998</v>
      </c>
      <c r="M69" s="20">
        <v>8660</v>
      </c>
      <c r="N69" s="20">
        <v>8727</v>
      </c>
      <c r="O69" s="20">
        <v>8521</v>
      </c>
      <c r="P69" s="21">
        <v>0.98394919168591222</v>
      </c>
      <c r="Q69" s="20">
        <v>13</v>
      </c>
      <c r="R69" s="20">
        <v>0</v>
      </c>
      <c r="S69" s="20">
        <v>0</v>
      </c>
      <c r="T69" s="21">
        <v>0</v>
      </c>
      <c r="U69" s="20">
        <v>0</v>
      </c>
      <c r="V69" s="21">
        <v>0</v>
      </c>
      <c r="W69" s="20">
        <v>2720</v>
      </c>
      <c r="X69" s="21">
        <v>1.1729193617938769</v>
      </c>
      <c r="Y69" s="20">
        <v>311</v>
      </c>
      <c r="Z69" s="23">
        <v>0.13410952996981459</v>
      </c>
      <c r="AA69" s="20">
        <v>5</v>
      </c>
      <c r="AB69" s="21">
        <v>2.15610176800345E-3</v>
      </c>
      <c r="AC69" s="20">
        <v>283</v>
      </c>
      <c r="AD69" s="21">
        <v>0.1220353600689953</v>
      </c>
      <c r="AE69" s="20">
        <v>43</v>
      </c>
      <c r="AF69" s="21">
        <v>0.1519434628975265</v>
      </c>
      <c r="AG69" s="20">
        <v>265</v>
      </c>
      <c r="AH69" s="21">
        <v>0.93639575971731448</v>
      </c>
      <c r="AI69" s="24">
        <v>284</v>
      </c>
      <c r="AJ69" s="21">
        <v>0.12246658042259589</v>
      </c>
      <c r="AK69" s="24">
        <v>3</v>
      </c>
      <c r="AL69" s="21">
        <v>0.83098591549295775</v>
      </c>
      <c r="AM69" s="24">
        <v>282</v>
      </c>
      <c r="AN69" s="24">
        <v>236</v>
      </c>
      <c r="AO69" s="21">
        <v>0.10176800344976281</v>
      </c>
      <c r="AP69" s="21">
        <v>0.83392226148409898</v>
      </c>
      <c r="AQ69" s="22">
        <v>0.96460176991150437</v>
      </c>
      <c r="AR69" s="24">
        <v>0</v>
      </c>
      <c r="AS69" s="24">
        <v>0</v>
      </c>
      <c r="AT69" s="24">
        <v>49</v>
      </c>
      <c r="AU69" s="24">
        <v>41</v>
      </c>
      <c r="AV69" s="24">
        <v>41</v>
      </c>
      <c r="AW69" s="24">
        <v>40</v>
      </c>
      <c r="AX69" s="21">
        <v>1.768003449762829E-2</v>
      </c>
      <c r="AY69" s="21">
        <v>1.768003449762829E-2</v>
      </c>
      <c r="AZ69" s="21">
        <v>1.72488141440276E-2</v>
      </c>
      <c r="BA69" s="21">
        <v>0.17372881355932199</v>
      </c>
      <c r="BB69" s="24">
        <v>0</v>
      </c>
      <c r="BC69" s="24">
        <v>0</v>
      </c>
      <c r="BD69" s="22">
        <v>1</v>
      </c>
      <c r="BE69" s="22">
        <v>1</v>
      </c>
      <c r="BF69" s="22" t="s">
        <v>89</v>
      </c>
    </row>
    <row r="70" spans="1:58" ht="19.5" customHeight="1">
      <c r="A70" s="25">
        <v>67</v>
      </c>
      <c r="B70" s="20" t="s">
        <v>88</v>
      </c>
      <c r="C70" s="26">
        <v>46098</v>
      </c>
      <c r="D70" s="20" t="s">
        <v>14</v>
      </c>
      <c r="E70" s="20">
        <v>165</v>
      </c>
      <c r="F70" s="20">
        <v>156</v>
      </c>
      <c r="G70" s="21">
        <v>0.94545454545454544</v>
      </c>
      <c r="H70" s="20">
        <v>76</v>
      </c>
      <c r="I70" s="22">
        <v>0.46060606060606057</v>
      </c>
      <c r="J70" s="20">
        <v>150</v>
      </c>
      <c r="K70" s="20">
        <v>145</v>
      </c>
      <c r="L70" s="21">
        <v>0.96699999999999997</v>
      </c>
      <c r="M70" s="20">
        <v>421</v>
      </c>
      <c r="N70" s="20">
        <v>441</v>
      </c>
      <c r="O70" s="20">
        <v>411</v>
      </c>
      <c r="P70" s="21">
        <v>0.97624703087885989</v>
      </c>
      <c r="Q70" s="20">
        <v>2</v>
      </c>
      <c r="R70" s="20">
        <v>0</v>
      </c>
      <c r="S70" s="20">
        <v>0</v>
      </c>
      <c r="T70" s="21">
        <v>0</v>
      </c>
      <c r="U70" s="20">
        <v>0</v>
      </c>
      <c r="V70" s="21">
        <v>0</v>
      </c>
      <c r="W70" s="20">
        <v>1</v>
      </c>
      <c r="X70" s="21">
        <v>6.0606060606060606E-3</v>
      </c>
      <c r="Y70" s="20">
        <v>1</v>
      </c>
      <c r="Z70" s="23">
        <v>6.0606060606060606E-3</v>
      </c>
      <c r="AA70" s="20">
        <v>0</v>
      </c>
      <c r="AB70" s="21">
        <v>0</v>
      </c>
      <c r="AC70" s="20">
        <v>26</v>
      </c>
      <c r="AD70" s="21">
        <v>0.15757575757575759</v>
      </c>
      <c r="AE70" s="20">
        <v>16</v>
      </c>
      <c r="AF70" s="21">
        <v>0.61538461538461542</v>
      </c>
      <c r="AG70" s="20">
        <v>24</v>
      </c>
      <c r="AH70" s="21">
        <v>0.92307692307692313</v>
      </c>
      <c r="AI70" s="24">
        <v>0</v>
      </c>
      <c r="AJ70" s="21">
        <v>0</v>
      </c>
      <c r="AK70" s="24">
        <v>0</v>
      </c>
      <c r="AL70" s="21">
        <v>0</v>
      </c>
      <c r="AM70" s="24">
        <v>0</v>
      </c>
      <c r="AN70" s="24">
        <v>0</v>
      </c>
      <c r="AO70" s="21">
        <v>0</v>
      </c>
      <c r="AP70" s="21">
        <v>0</v>
      </c>
      <c r="AQ70" s="22">
        <v>1</v>
      </c>
      <c r="AR70" s="24">
        <v>0</v>
      </c>
      <c r="AS70" s="24">
        <v>0</v>
      </c>
      <c r="AT70" s="24">
        <v>0</v>
      </c>
      <c r="AU70" s="24">
        <v>0</v>
      </c>
      <c r="AV70" s="24">
        <v>0</v>
      </c>
      <c r="AW70" s="24">
        <v>0</v>
      </c>
      <c r="AX70" s="21">
        <v>0</v>
      </c>
      <c r="AY70" s="21">
        <v>0</v>
      </c>
      <c r="AZ70" s="21">
        <v>0</v>
      </c>
      <c r="BA70" s="21">
        <v>0</v>
      </c>
      <c r="BB70" s="24">
        <v>0</v>
      </c>
      <c r="BC70" s="24">
        <v>0</v>
      </c>
      <c r="BD70" s="22" t="s">
        <v>89</v>
      </c>
      <c r="BE70" s="22" t="s">
        <v>89</v>
      </c>
      <c r="BF70" s="22" t="s">
        <v>89</v>
      </c>
    </row>
    <row r="71" spans="1:58" ht="19.5" customHeight="1">
      <c r="A71" s="25">
        <v>68</v>
      </c>
      <c r="B71" s="20" t="s">
        <v>88</v>
      </c>
      <c r="C71" s="26">
        <v>46098</v>
      </c>
      <c r="D71" s="20" t="s">
        <v>13</v>
      </c>
      <c r="E71" s="20">
        <v>3458</v>
      </c>
      <c r="F71" s="20">
        <v>3146</v>
      </c>
      <c r="G71" s="21">
        <v>0.90977443609022557</v>
      </c>
      <c r="H71" s="20">
        <v>1876</v>
      </c>
      <c r="I71" s="22">
        <v>0.54251012145748989</v>
      </c>
      <c r="J71" s="20">
        <v>4145</v>
      </c>
      <c r="K71" s="20">
        <v>4047</v>
      </c>
      <c r="L71" s="21">
        <v>0.97599999999999998</v>
      </c>
      <c r="M71" s="20">
        <v>22257</v>
      </c>
      <c r="N71" s="20">
        <v>21724</v>
      </c>
      <c r="O71" s="20">
        <v>21982</v>
      </c>
      <c r="P71" s="21">
        <v>0.98764433661320039</v>
      </c>
      <c r="Q71" s="20">
        <v>20</v>
      </c>
      <c r="R71" s="20">
        <v>0</v>
      </c>
      <c r="S71" s="20">
        <v>0</v>
      </c>
      <c r="T71" s="21">
        <v>0</v>
      </c>
      <c r="U71" s="20">
        <v>0</v>
      </c>
      <c r="V71" s="21">
        <v>0</v>
      </c>
      <c r="W71" s="20">
        <v>4197</v>
      </c>
      <c r="X71" s="21">
        <v>1.213707345286293</v>
      </c>
      <c r="Y71" s="20">
        <v>497</v>
      </c>
      <c r="Z71" s="23">
        <v>0.1437246963562753</v>
      </c>
      <c r="AA71" s="20">
        <v>78</v>
      </c>
      <c r="AB71" s="21">
        <v>2.2556390977443611E-2</v>
      </c>
      <c r="AC71" s="20">
        <v>490</v>
      </c>
      <c r="AD71" s="21">
        <v>0.1417004048582996</v>
      </c>
      <c r="AE71" s="20">
        <v>65</v>
      </c>
      <c r="AF71" s="21">
        <v>0.1326530612244898</v>
      </c>
      <c r="AG71" s="20">
        <v>456</v>
      </c>
      <c r="AH71" s="21">
        <v>0.93061224489795913</v>
      </c>
      <c r="AI71" s="24">
        <v>492</v>
      </c>
      <c r="AJ71" s="21">
        <v>0.1422787738577212</v>
      </c>
      <c r="AK71" s="24">
        <v>3</v>
      </c>
      <c r="AL71" s="21">
        <v>0.9065040650406504</v>
      </c>
      <c r="AM71" s="24">
        <v>483</v>
      </c>
      <c r="AN71" s="24">
        <v>446</v>
      </c>
      <c r="AO71" s="21">
        <v>0.12897628687102369</v>
      </c>
      <c r="AP71" s="21">
        <v>0.91020408163265309</v>
      </c>
      <c r="AQ71" s="22">
        <v>0.96913580246913578</v>
      </c>
      <c r="AR71" s="24">
        <v>0</v>
      </c>
      <c r="AS71" s="24">
        <v>0</v>
      </c>
      <c r="AT71" s="24">
        <v>87</v>
      </c>
      <c r="AU71" s="24">
        <v>83</v>
      </c>
      <c r="AV71" s="24">
        <v>81</v>
      </c>
      <c r="AW71" s="24">
        <v>127</v>
      </c>
      <c r="AX71" s="21">
        <v>2.400231347599769E-2</v>
      </c>
      <c r="AY71" s="21">
        <v>2.3423944476576058E-2</v>
      </c>
      <c r="AZ71" s="21">
        <v>3.6726431463273569E-2</v>
      </c>
      <c r="BA71" s="21">
        <v>0.18161434977578481</v>
      </c>
      <c r="BB71" s="24">
        <v>0</v>
      </c>
      <c r="BC71" s="24">
        <v>0</v>
      </c>
      <c r="BD71" s="22">
        <v>1</v>
      </c>
      <c r="BE71" s="22">
        <v>1</v>
      </c>
      <c r="BF71" s="22" t="s">
        <v>89</v>
      </c>
    </row>
    <row r="72" spans="1:58" ht="19.5" customHeight="1">
      <c r="A72" s="25">
        <v>69</v>
      </c>
      <c r="B72" s="20" t="s">
        <v>88</v>
      </c>
      <c r="C72" s="26">
        <v>46099</v>
      </c>
      <c r="D72" s="20" t="s">
        <v>12</v>
      </c>
      <c r="E72" s="20">
        <v>2623</v>
      </c>
      <c r="F72" s="20">
        <v>2294</v>
      </c>
      <c r="G72" s="21">
        <v>0.87457110179184139</v>
      </c>
      <c r="H72" s="20">
        <v>966</v>
      </c>
      <c r="I72" s="22">
        <v>0.36828059473884872</v>
      </c>
      <c r="J72" s="20">
        <v>3108</v>
      </c>
      <c r="K72" s="20">
        <v>3034</v>
      </c>
      <c r="L72" s="21">
        <v>0.97599999999999998</v>
      </c>
      <c r="M72" s="20">
        <v>11996</v>
      </c>
      <c r="N72" s="20">
        <v>11988</v>
      </c>
      <c r="O72" s="20">
        <v>11831</v>
      </c>
      <c r="P72" s="21">
        <v>0.98624541513837949</v>
      </c>
      <c r="Q72" s="20">
        <v>13</v>
      </c>
      <c r="R72" s="20">
        <v>0</v>
      </c>
      <c r="S72" s="20">
        <v>0</v>
      </c>
      <c r="T72" s="21">
        <v>0</v>
      </c>
      <c r="U72" s="20">
        <v>0</v>
      </c>
      <c r="V72" s="21">
        <v>0</v>
      </c>
      <c r="W72" s="20">
        <v>2762</v>
      </c>
      <c r="X72" s="21">
        <v>1.0529927563858179</v>
      </c>
      <c r="Y72" s="20">
        <v>388</v>
      </c>
      <c r="Z72" s="23">
        <v>0.1479222264582539</v>
      </c>
      <c r="AA72" s="20">
        <v>19</v>
      </c>
      <c r="AB72" s="21">
        <v>7.2436141822340844E-3</v>
      </c>
      <c r="AC72" s="20">
        <v>232</v>
      </c>
      <c r="AD72" s="21">
        <v>8.8448341593595117E-2</v>
      </c>
      <c r="AE72" s="20">
        <v>47</v>
      </c>
      <c r="AF72" s="21">
        <v>0.20258620689655171</v>
      </c>
      <c r="AG72" s="20">
        <v>208</v>
      </c>
      <c r="AH72" s="21">
        <v>0.89655172413793105</v>
      </c>
      <c r="AI72" s="24">
        <v>248</v>
      </c>
      <c r="AJ72" s="21">
        <v>9.4548227220739606E-2</v>
      </c>
      <c r="AK72" s="24">
        <v>0</v>
      </c>
      <c r="AL72" s="21">
        <v>0.85483870967741937</v>
      </c>
      <c r="AM72" s="24">
        <v>242</v>
      </c>
      <c r="AN72" s="24">
        <v>212</v>
      </c>
      <c r="AO72" s="21">
        <v>8.082348455966451E-2</v>
      </c>
      <c r="AP72" s="21">
        <v>0.91379310344827591</v>
      </c>
      <c r="AQ72" s="22">
        <v>0.98222222222222222</v>
      </c>
      <c r="AR72" s="24">
        <v>0</v>
      </c>
      <c r="AS72" s="24">
        <v>0</v>
      </c>
      <c r="AT72" s="24">
        <v>57</v>
      </c>
      <c r="AU72" s="24">
        <v>53</v>
      </c>
      <c r="AV72" s="24">
        <v>54</v>
      </c>
      <c r="AW72" s="24">
        <v>79</v>
      </c>
      <c r="AX72" s="21">
        <v>2.0205871139916131E-2</v>
      </c>
      <c r="AY72" s="21">
        <v>2.0587113991612661E-2</v>
      </c>
      <c r="AZ72" s="21">
        <v>3.011818528402592E-2</v>
      </c>
      <c r="BA72" s="21">
        <v>0.25471698113207553</v>
      </c>
      <c r="BB72" s="24">
        <v>0</v>
      </c>
      <c r="BC72" s="24">
        <v>2</v>
      </c>
      <c r="BD72" s="22">
        <v>0.8666666666666667</v>
      </c>
      <c r="BE72" s="22">
        <v>0.94736842105263153</v>
      </c>
      <c r="BF72" s="22" t="s">
        <v>89</v>
      </c>
    </row>
    <row r="73" spans="1:58" ht="19.5" customHeight="1">
      <c r="A73" s="25">
        <v>70</v>
      </c>
      <c r="B73" s="20" t="s">
        <v>88</v>
      </c>
      <c r="C73" s="26">
        <v>46099</v>
      </c>
      <c r="D73" s="20" t="s">
        <v>11</v>
      </c>
      <c r="E73" s="20">
        <v>3507</v>
      </c>
      <c r="F73" s="20">
        <v>2942</v>
      </c>
      <c r="G73" s="21">
        <v>0.83889364128885091</v>
      </c>
      <c r="H73" s="20">
        <v>2546</v>
      </c>
      <c r="I73" s="22">
        <v>0.72597661819218706</v>
      </c>
      <c r="J73" s="20">
        <v>2970</v>
      </c>
      <c r="K73" s="20">
        <v>2896</v>
      </c>
      <c r="L73" s="21">
        <v>0.97499999999999998</v>
      </c>
      <c r="M73" s="20">
        <v>9350</v>
      </c>
      <c r="N73" s="20">
        <v>9777</v>
      </c>
      <c r="O73" s="20">
        <v>9170</v>
      </c>
      <c r="P73" s="21">
        <v>0.98074866310160425</v>
      </c>
      <c r="Q73" s="20">
        <v>16</v>
      </c>
      <c r="R73" s="20">
        <v>0</v>
      </c>
      <c r="S73" s="20">
        <v>0</v>
      </c>
      <c r="T73" s="21">
        <v>0</v>
      </c>
      <c r="U73" s="20">
        <v>0</v>
      </c>
      <c r="V73" s="21">
        <v>0</v>
      </c>
      <c r="W73" s="20">
        <v>3158</v>
      </c>
      <c r="X73" s="21">
        <v>0.90048474479612206</v>
      </c>
      <c r="Y73" s="20">
        <v>443</v>
      </c>
      <c r="Z73" s="23">
        <v>0.1263187909894497</v>
      </c>
      <c r="AA73" s="20">
        <v>12</v>
      </c>
      <c r="AB73" s="21">
        <v>3.4217279726261761E-3</v>
      </c>
      <c r="AC73" s="20">
        <v>263</v>
      </c>
      <c r="AD73" s="21">
        <v>7.4992871400057032E-2</v>
      </c>
      <c r="AE73" s="20">
        <v>43</v>
      </c>
      <c r="AF73" s="21">
        <v>0.1634980988593156</v>
      </c>
      <c r="AG73" s="20">
        <v>248</v>
      </c>
      <c r="AH73" s="21">
        <v>0.94296577946768056</v>
      </c>
      <c r="AI73" s="24">
        <v>270</v>
      </c>
      <c r="AJ73" s="21">
        <v>7.6988879384088965E-2</v>
      </c>
      <c r="AK73" s="24">
        <v>0</v>
      </c>
      <c r="AL73" s="21">
        <v>0.85185185185185186</v>
      </c>
      <c r="AM73" s="24">
        <v>267</v>
      </c>
      <c r="AN73" s="24">
        <v>230</v>
      </c>
      <c r="AO73" s="21">
        <v>6.5583119475335044E-2</v>
      </c>
      <c r="AP73" s="21">
        <v>0.87452471482889738</v>
      </c>
      <c r="AQ73" s="22">
        <v>0.98127340823970033</v>
      </c>
      <c r="AR73" s="24">
        <v>0</v>
      </c>
      <c r="AS73" s="24">
        <v>0</v>
      </c>
      <c r="AT73" s="24">
        <v>38</v>
      </c>
      <c r="AU73" s="24">
        <v>28</v>
      </c>
      <c r="AV73" s="24">
        <v>29</v>
      </c>
      <c r="AW73" s="24">
        <v>38</v>
      </c>
      <c r="AX73" s="21">
        <v>7.9840319361277438E-3</v>
      </c>
      <c r="AY73" s="21">
        <v>8.2691759338465922E-3</v>
      </c>
      <c r="AZ73" s="21">
        <v>1.0835471913316221E-2</v>
      </c>
      <c r="BA73" s="21">
        <v>0.1260869565217391</v>
      </c>
      <c r="BB73" s="24">
        <v>0</v>
      </c>
      <c r="BC73" s="24">
        <v>0</v>
      </c>
      <c r="BD73" s="22">
        <v>1</v>
      </c>
      <c r="BE73" s="22">
        <v>1</v>
      </c>
      <c r="BF73" s="22" t="s">
        <v>89</v>
      </c>
    </row>
    <row r="74" spans="1:58" ht="19.5" customHeight="1">
      <c r="A74" s="25">
        <v>71</v>
      </c>
      <c r="B74" s="20" t="s">
        <v>88</v>
      </c>
      <c r="C74" s="26">
        <v>46099</v>
      </c>
      <c r="D74" s="20" t="s">
        <v>14</v>
      </c>
      <c r="E74" s="20">
        <v>265</v>
      </c>
      <c r="F74" s="20">
        <v>245</v>
      </c>
      <c r="G74" s="21">
        <v>0.92452830188679247</v>
      </c>
      <c r="H74" s="20">
        <v>142</v>
      </c>
      <c r="I74" s="22">
        <v>0.53584905660377358</v>
      </c>
      <c r="J74" s="20">
        <v>214</v>
      </c>
      <c r="K74" s="20">
        <v>208</v>
      </c>
      <c r="L74" s="21">
        <v>0.97199999999999998</v>
      </c>
      <c r="M74" s="20">
        <v>516</v>
      </c>
      <c r="N74" s="20">
        <v>783</v>
      </c>
      <c r="O74" s="20">
        <v>507</v>
      </c>
      <c r="P74" s="21">
        <v>0.98255813953488369</v>
      </c>
      <c r="Q74" s="20">
        <v>1</v>
      </c>
      <c r="R74" s="20">
        <v>0</v>
      </c>
      <c r="S74" s="20">
        <v>0</v>
      </c>
      <c r="T74" s="21">
        <v>0</v>
      </c>
      <c r="U74" s="20">
        <v>0</v>
      </c>
      <c r="V74" s="21">
        <v>0</v>
      </c>
      <c r="W74" s="20">
        <v>2</v>
      </c>
      <c r="X74" s="21">
        <v>7.5471698113207548E-3</v>
      </c>
      <c r="Y74" s="20">
        <v>0</v>
      </c>
      <c r="Z74" s="23">
        <v>0</v>
      </c>
      <c r="AA74" s="20">
        <v>0</v>
      </c>
      <c r="AB74" s="21">
        <v>0</v>
      </c>
      <c r="AC74" s="20">
        <v>25</v>
      </c>
      <c r="AD74" s="21">
        <v>9.4339622641509441E-2</v>
      </c>
      <c r="AE74" s="20">
        <v>14</v>
      </c>
      <c r="AF74" s="21">
        <v>0.56000000000000005</v>
      </c>
      <c r="AG74" s="20">
        <v>25</v>
      </c>
      <c r="AH74" s="21">
        <v>1</v>
      </c>
      <c r="AI74" s="24">
        <v>0</v>
      </c>
      <c r="AJ74" s="21">
        <v>0</v>
      </c>
      <c r="AK74" s="24">
        <v>0</v>
      </c>
      <c r="AL74" s="21">
        <v>0</v>
      </c>
      <c r="AM74" s="24">
        <v>0</v>
      </c>
      <c r="AN74" s="24">
        <v>0</v>
      </c>
      <c r="AO74" s="21">
        <v>0</v>
      </c>
      <c r="AP74" s="21">
        <v>0</v>
      </c>
      <c r="AQ74" s="22">
        <v>1</v>
      </c>
      <c r="AR74" s="24">
        <v>0</v>
      </c>
      <c r="AS74" s="24">
        <v>0</v>
      </c>
      <c r="AT74" s="24">
        <v>0</v>
      </c>
      <c r="AU74" s="24">
        <v>0</v>
      </c>
      <c r="AV74" s="24">
        <v>0</v>
      </c>
      <c r="AW74" s="24">
        <v>0</v>
      </c>
      <c r="AX74" s="21">
        <v>0</v>
      </c>
      <c r="AY74" s="21">
        <v>0</v>
      </c>
      <c r="AZ74" s="21">
        <v>0</v>
      </c>
      <c r="BA74" s="21">
        <v>0</v>
      </c>
      <c r="BB74" s="24">
        <v>0</v>
      </c>
      <c r="BC74" s="24">
        <v>0</v>
      </c>
      <c r="BD74" s="22" t="s">
        <v>89</v>
      </c>
      <c r="BE74" s="22" t="s">
        <v>89</v>
      </c>
      <c r="BF74" s="22" t="s">
        <v>89</v>
      </c>
    </row>
    <row r="75" spans="1:58" ht="19.5" customHeight="1">
      <c r="A75" s="25">
        <v>72</v>
      </c>
      <c r="B75" s="20" t="s">
        <v>88</v>
      </c>
      <c r="C75" s="26">
        <v>46099</v>
      </c>
      <c r="D75" s="20" t="s">
        <v>13</v>
      </c>
      <c r="E75" s="20">
        <v>3615</v>
      </c>
      <c r="F75" s="20">
        <v>3268</v>
      </c>
      <c r="G75" s="21">
        <v>0.90401106500691564</v>
      </c>
      <c r="H75" s="20">
        <v>1900</v>
      </c>
      <c r="I75" s="22">
        <v>0.52558782849239283</v>
      </c>
      <c r="J75" s="20">
        <v>3968</v>
      </c>
      <c r="K75" s="20">
        <v>3898</v>
      </c>
      <c r="L75" s="21">
        <v>0.98199999999999998</v>
      </c>
      <c r="M75" s="20">
        <v>22009</v>
      </c>
      <c r="N75" s="20">
        <v>21468</v>
      </c>
      <c r="O75" s="20">
        <v>21742</v>
      </c>
      <c r="P75" s="21">
        <v>0.98786859920941428</v>
      </c>
      <c r="Q75" s="20">
        <v>14</v>
      </c>
      <c r="R75" s="20">
        <v>0</v>
      </c>
      <c r="S75" s="20">
        <v>0</v>
      </c>
      <c r="T75" s="21">
        <v>0</v>
      </c>
      <c r="U75" s="20">
        <v>0</v>
      </c>
      <c r="V75" s="21">
        <v>0</v>
      </c>
      <c r="W75" s="20">
        <v>4978</v>
      </c>
      <c r="X75" s="21">
        <v>1.3770401106500689</v>
      </c>
      <c r="Y75" s="20">
        <v>659</v>
      </c>
      <c r="Z75" s="23">
        <v>0.1822959889349931</v>
      </c>
      <c r="AA75" s="20">
        <v>64</v>
      </c>
      <c r="AB75" s="21">
        <v>1.7704011065006919E-2</v>
      </c>
      <c r="AC75" s="20">
        <v>500</v>
      </c>
      <c r="AD75" s="21">
        <v>0.13831258644536651</v>
      </c>
      <c r="AE75" s="20">
        <v>77</v>
      </c>
      <c r="AF75" s="21">
        <v>0.154</v>
      </c>
      <c r="AG75" s="20">
        <v>447</v>
      </c>
      <c r="AH75" s="21">
        <v>0.89400000000000002</v>
      </c>
      <c r="AI75" s="24">
        <v>490</v>
      </c>
      <c r="AJ75" s="21">
        <v>0.13554633471645919</v>
      </c>
      <c r="AK75" s="24">
        <v>1</v>
      </c>
      <c r="AL75" s="21">
        <v>0.89387755102040811</v>
      </c>
      <c r="AM75" s="24">
        <v>484</v>
      </c>
      <c r="AN75" s="24">
        <v>438</v>
      </c>
      <c r="AO75" s="21">
        <v>0.12116182572614111</v>
      </c>
      <c r="AP75" s="21">
        <v>0.876</v>
      </c>
      <c r="AQ75" s="22">
        <v>0.97161572052401746</v>
      </c>
      <c r="AR75" s="24">
        <v>0</v>
      </c>
      <c r="AS75" s="24">
        <v>0</v>
      </c>
      <c r="AT75" s="24">
        <v>100</v>
      </c>
      <c r="AU75" s="24">
        <v>94</v>
      </c>
      <c r="AV75" s="24">
        <v>100</v>
      </c>
      <c r="AW75" s="24">
        <v>138</v>
      </c>
      <c r="AX75" s="21">
        <v>2.6002766251728909E-2</v>
      </c>
      <c r="AY75" s="21">
        <v>2.7662517289073301E-2</v>
      </c>
      <c r="AZ75" s="21">
        <v>3.8174273858921158E-2</v>
      </c>
      <c r="BA75" s="21">
        <v>0.22831050228310501</v>
      </c>
      <c r="BB75" s="24">
        <v>0</v>
      </c>
      <c r="BC75" s="24">
        <v>0</v>
      </c>
      <c r="BD75" s="22">
        <v>0.98360655737704916</v>
      </c>
      <c r="BE75" s="22">
        <v>1</v>
      </c>
      <c r="BF75" s="22" t="s">
        <v>89</v>
      </c>
    </row>
    <row r="76" spans="1:58" ht="19.5" customHeight="1">
      <c r="A76" s="25">
        <v>73</v>
      </c>
      <c r="B76" s="20" t="s">
        <v>88</v>
      </c>
      <c r="C76" s="26">
        <v>46100</v>
      </c>
      <c r="D76" s="20" t="s">
        <v>12</v>
      </c>
      <c r="E76" s="20">
        <v>2070</v>
      </c>
      <c r="F76" s="20">
        <v>1842</v>
      </c>
      <c r="G76" s="21">
        <v>0.88985507246376816</v>
      </c>
      <c r="H76" s="20">
        <v>704</v>
      </c>
      <c r="I76" s="22">
        <v>0.34009661835748789</v>
      </c>
      <c r="J76" s="20">
        <v>2713</v>
      </c>
      <c r="K76" s="20">
        <v>2616</v>
      </c>
      <c r="L76" s="21">
        <v>0.96399999999999997</v>
      </c>
      <c r="M76" s="20">
        <v>11312</v>
      </c>
      <c r="N76" s="20">
        <v>11144</v>
      </c>
      <c r="O76" s="20">
        <v>11094</v>
      </c>
      <c r="P76" s="21">
        <v>0.98072842998585574</v>
      </c>
      <c r="Q76" s="20">
        <v>16</v>
      </c>
      <c r="R76" s="20">
        <v>0</v>
      </c>
      <c r="S76" s="20">
        <v>0</v>
      </c>
      <c r="T76" s="21">
        <v>0</v>
      </c>
      <c r="U76" s="20">
        <v>0</v>
      </c>
      <c r="V76" s="21">
        <v>0</v>
      </c>
      <c r="W76" s="20">
        <v>3193</v>
      </c>
      <c r="X76" s="21">
        <v>1.5425120772946861</v>
      </c>
      <c r="Y76" s="20">
        <v>552</v>
      </c>
      <c r="Z76" s="23">
        <v>0.26666666666666672</v>
      </c>
      <c r="AA76" s="20">
        <v>9</v>
      </c>
      <c r="AB76" s="21">
        <v>4.3478260869565218E-3</v>
      </c>
      <c r="AC76" s="20">
        <v>242</v>
      </c>
      <c r="AD76" s="21">
        <v>0.1169082125603865</v>
      </c>
      <c r="AE76" s="20">
        <v>45</v>
      </c>
      <c r="AF76" s="21">
        <v>0.18595041322314049</v>
      </c>
      <c r="AG76" s="20">
        <v>233</v>
      </c>
      <c r="AH76" s="21">
        <v>0.96280991735537191</v>
      </c>
      <c r="AI76" s="24">
        <v>251</v>
      </c>
      <c r="AJ76" s="21">
        <v>0.121256038647343</v>
      </c>
      <c r="AK76" s="24">
        <v>1</v>
      </c>
      <c r="AL76" s="21">
        <v>0.87649402390438247</v>
      </c>
      <c r="AM76" s="24">
        <v>247</v>
      </c>
      <c r="AN76" s="24">
        <v>220</v>
      </c>
      <c r="AO76" s="21">
        <v>0.106280193236715</v>
      </c>
      <c r="AP76" s="21">
        <v>0.90909090909090906</v>
      </c>
      <c r="AQ76" s="22">
        <v>0.94883720930232562</v>
      </c>
      <c r="AR76" s="24">
        <v>0</v>
      </c>
      <c r="AS76" s="24">
        <v>0</v>
      </c>
      <c r="AT76" s="24">
        <v>55</v>
      </c>
      <c r="AU76" s="24">
        <v>48</v>
      </c>
      <c r="AV76" s="24">
        <v>52</v>
      </c>
      <c r="AW76" s="24">
        <v>77</v>
      </c>
      <c r="AX76" s="21">
        <v>2.318840579710145E-2</v>
      </c>
      <c r="AY76" s="21">
        <v>2.5120772946859899E-2</v>
      </c>
      <c r="AZ76" s="21">
        <v>3.7198067632850239E-2</v>
      </c>
      <c r="BA76" s="21">
        <v>0.23636363636363639</v>
      </c>
      <c r="BB76" s="24">
        <v>0</v>
      </c>
      <c r="BC76" s="24">
        <v>0</v>
      </c>
      <c r="BD76" s="22">
        <v>1</v>
      </c>
      <c r="BE76" s="22">
        <v>1</v>
      </c>
      <c r="BF76" s="22" t="s">
        <v>89</v>
      </c>
    </row>
    <row r="77" spans="1:58" ht="19.5" customHeight="1">
      <c r="A77" s="25">
        <v>74</v>
      </c>
      <c r="B77" s="20" t="s">
        <v>88</v>
      </c>
      <c r="C77" s="26">
        <v>46100</v>
      </c>
      <c r="D77" s="20" t="s">
        <v>11</v>
      </c>
      <c r="E77" s="20">
        <v>1827</v>
      </c>
      <c r="F77" s="20">
        <v>1601</v>
      </c>
      <c r="G77" s="21">
        <v>0.87629994526546251</v>
      </c>
      <c r="H77" s="20">
        <v>949</v>
      </c>
      <c r="I77" s="22">
        <v>0.51943076081007111</v>
      </c>
      <c r="J77" s="20">
        <v>2481</v>
      </c>
      <c r="K77" s="20">
        <v>2416</v>
      </c>
      <c r="L77" s="21">
        <v>0.97399999999999998</v>
      </c>
      <c r="M77" s="20">
        <v>9145</v>
      </c>
      <c r="N77" s="20">
        <v>9362</v>
      </c>
      <c r="O77" s="20">
        <v>8992</v>
      </c>
      <c r="P77" s="21">
        <v>0.98326954620010931</v>
      </c>
      <c r="Q77" s="20">
        <v>20</v>
      </c>
      <c r="R77" s="20">
        <v>0</v>
      </c>
      <c r="S77" s="20">
        <v>0</v>
      </c>
      <c r="T77" s="21">
        <v>0</v>
      </c>
      <c r="U77" s="20">
        <v>0</v>
      </c>
      <c r="V77" s="21">
        <v>0</v>
      </c>
      <c r="W77" s="20">
        <v>4234</v>
      </c>
      <c r="X77" s="21">
        <v>2.3174603174603181</v>
      </c>
      <c r="Y77" s="20">
        <v>914</v>
      </c>
      <c r="Z77" s="23">
        <v>0.50027367268746581</v>
      </c>
      <c r="AA77" s="20">
        <v>5</v>
      </c>
      <c r="AB77" s="21">
        <v>2.7367268746579091E-3</v>
      </c>
      <c r="AC77" s="20">
        <v>295</v>
      </c>
      <c r="AD77" s="21">
        <v>0.16146688560481659</v>
      </c>
      <c r="AE77" s="20">
        <v>40</v>
      </c>
      <c r="AF77" s="21">
        <v>0.13559322033898311</v>
      </c>
      <c r="AG77" s="20">
        <v>269</v>
      </c>
      <c r="AH77" s="21">
        <v>0.91186440677966096</v>
      </c>
      <c r="AI77" s="24">
        <v>283</v>
      </c>
      <c r="AJ77" s="21">
        <v>0.15489874110563759</v>
      </c>
      <c r="AK77" s="24">
        <v>1</v>
      </c>
      <c r="AL77" s="21">
        <v>0.8127208480565371</v>
      </c>
      <c r="AM77" s="24">
        <v>281</v>
      </c>
      <c r="AN77" s="24">
        <v>230</v>
      </c>
      <c r="AO77" s="21">
        <v>0.1258894362342638</v>
      </c>
      <c r="AP77" s="21">
        <v>0.77966101694915257</v>
      </c>
      <c r="AQ77" s="22">
        <v>0.96875</v>
      </c>
      <c r="AR77" s="24">
        <v>0</v>
      </c>
      <c r="AS77" s="24">
        <v>0</v>
      </c>
      <c r="AT77" s="24">
        <v>51</v>
      </c>
      <c r="AU77" s="24">
        <v>46</v>
      </c>
      <c r="AV77" s="24">
        <v>46</v>
      </c>
      <c r="AW77" s="24">
        <v>40</v>
      </c>
      <c r="AX77" s="21">
        <v>2.517788724685276E-2</v>
      </c>
      <c r="AY77" s="21">
        <v>2.517788724685276E-2</v>
      </c>
      <c r="AZ77" s="21">
        <v>2.189381499726327E-2</v>
      </c>
      <c r="BA77" s="21">
        <v>0.2</v>
      </c>
      <c r="BB77" s="24">
        <v>0</v>
      </c>
      <c r="BC77" s="24">
        <v>0</v>
      </c>
      <c r="BD77" s="22">
        <v>1</v>
      </c>
      <c r="BE77" s="22">
        <v>1</v>
      </c>
      <c r="BF77" s="22" t="s">
        <v>89</v>
      </c>
    </row>
    <row r="78" spans="1:58" ht="19.5" customHeight="1">
      <c r="A78" s="25">
        <v>75</v>
      </c>
      <c r="B78" s="20" t="s">
        <v>88</v>
      </c>
      <c r="C78" s="26">
        <v>46100</v>
      </c>
      <c r="D78" s="20" t="s">
        <v>14</v>
      </c>
      <c r="E78" s="20">
        <v>289</v>
      </c>
      <c r="F78" s="20">
        <v>261</v>
      </c>
      <c r="G78" s="21">
        <v>0.90311418685121103</v>
      </c>
      <c r="H78" s="20">
        <v>143</v>
      </c>
      <c r="I78" s="22">
        <v>0.49480968858131491</v>
      </c>
      <c r="J78" s="20">
        <v>269</v>
      </c>
      <c r="K78" s="20">
        <v>262</v>
      </c>
      <c r="L78" s="21">
        <v>0.97399999999999998</v>
      </c>
      <c r="M78" s="20">
        <v>852</v>
      </c>
      <c r="N78" s="20">
        <v>636</v>
      </c>
      <c r="O78" s="20">
        <v>841</v>
      </c>
      <c r="P78" s="21">
        <v>0.98708920187793425</v>
      </c>
      <c r="Q78" s="20">
        <v>2</v>
      </c>
      <c r="R78" s="20">
        <v>0</v>
      </c>
      <c r="S78" s="20">
        <v>0</v>
      </c>
      <c r="T78" s="21">
        <v>0</v>
      </c>
      <c r="U78" s="20">
        <v>0</v>
      </c>
      <c r="V78" s="21">
        <v>0</v>
      </c>
      <c r="W78" s="20">
        <v>0</v>
      </c>
      <c r="X78" s="21">
        <v>0</v>
      </c>
      <c r="Y78" s="20">
        <v>3</v>
      </c>
      <c r="Z78" s="23">
        <v>1.038062283737024E-2</v>
      </c>
      <c r="AA78" s="20">
        <v>0</v>
      </c>
      <c r="AB78" s="21">
        <v>0</v>
      </c>
      <c r="AC78" s="20">
        <v>31</v>
      </c>
      <c r="AD78" s="21">
        <v>0.1072664359861592</v>
      </c>
      <c r="AE78" s="20">
        <v>17</v>
      </c>
      <c r="AF78" s="21">
        <v>0.54838709677419351</v>
      </c>
      <c r="AG78" s="20">
        <v>29</v>
      </c>
      <c r="AH78" s="21">
        <v>0.93548387096774188</v>
      </c>
      <c r="AI78" s="24">
        <v>0</v>
      </c>
      <c r="AJ78" s="21">
        <v>0</v>
      </c>
      <c r="AK78" s="24">
        <v>0</v>
      </c>
      <c r="AL78" s="21">
        <v>0</v>
      </c>
      <c r="AM78" s="24">
        <v>0</v>
      </c>
      <c r="AN78" s="24">
        <v>0</v>
      </c>
      <c r="AO78" s="21">
        <v>0</v>
      </c>
      <c r="AP78" s="21">
        <v>0</v>
      </c>
      <c r="AQ78" s="22">
        <v>0.8666666666666667</v>
      </c>
      <c r="AR78" s="24">
        <v>0</v>
      </c>
      <c r="AS78" s="24">
        <v>0</v>
      </c>
      <c r="AT78" s="24">
        <v>0</v>
      </c>
      <c r="AU78" s="24">
        <v>0</v>
      </c>
      <c r="AV78" s="24">
        <v>0</v>
      </c>
      <c r="AW78" s="24">
        <v>0</v>
      </c>
      <c r="AX78" s="21">
        <v>0</v>
      </c>
      <c r="AY78" s="21">
        <v>0</v>
      </c>
      <c r="AZ78" s="21">
        <v>0</v>
      </c>
      <c r="BA78" s="21">
        <v>0</v>
      </c>
      <c r="BB78" s="24">
        <v>0</v>
      </c>
      <c r="BC78" s="24">
        <v>0</v>
      </c>
      <c r="BD78" s="22" t="s">
        <v>89</v>
      </c>
      <c r="BE78" s="22" t="s">
        <v>89</v>
      </c>
      <c r="BF78" s="22" t="s">
        <v>89</v>
      </c>
    </row>
    <row r="79" spans="1:58" ht="19.5" customHeight="1">
      <c r="A79" s="25">
        <v>76</v>
      </c>
      <c r="B79" s="20" t="s">
        <v>88</v>
      </c>
      <c r="C79" s="26">
        <v>46100</v>
      </c>
      <c r="D79" s="20" t="s">
        <v>13</v>
      </c>
      <c r="E79" s="20">
        <v>5040</v>
      </c>
      <c r="F79" s="20">
        <v>4370</v>
      </c>
      <c r="G79" s="21">
        <v>0.86706349206349209</v>
      </c>
      <c r="H79" s="20">
        <v>3448</v>
      </c>
      <c r="I79" s="22">
        <v>0.68412698412698414</v>
      </c>
      <c r="J79" s="20">
        <v>5488</v>
      </c>
      <c r="K79" s="20">
        <v>5364</v>
      </c>
      <c r="L79" s="21">
        <v>0.97699999999999998</v>
      </c>
      <c r="M79" s="20">
        <v>22951</v>
      </c>
      <c r="N79" s="20">
        <v>22825</v>
      </c>
      <c r="O79" s="20">
        <v>22636</v>
      </c>
      <c r="P79" s="21">
        <v>0.98627510783843841</v>
      </c>
      <c r="Q79" s="20">
        <v>18</v>
      </c>
      <c r="R79" s="20">
        <v>0</v>
      </c>
      <c r="S79" s="20">
        <v>0</v>
      </c>
      <c r="T79" s="21">
        <v>0</v>
      </c>
      <c r="U79" s="20">
        <v>0</v>
      </c>
      <c r="V79" s="21">
        <v>0</v>
      </c>
      <c r="W79" s="20">
        <v>5651</v>
      </c>
      <c r="X79" s="21">
        <v>1.121230158730159</v>
      </c>
      <c r="Y79" s="20">
        <v>828</v>
      </c>
      <c r="Z79" s="23">
        <v>0.16428571428571431</v>
      </c>
      <c r="AA79" s="20">
        <v>54</v>
      </c>
      <c r="AB79" s="21">
        <v>1.0714285714285709E-2</v>
      </c>
      <c r="AC79" s="20">
        <v>466</v>
      </c>
      <c r="AD79" s="21">
        <v>9.2460317460317465E-2</v>
      </c>
      <c r="AE79" s="20">
        <v>81</v>
      </c>
      <c r="AF79" s="21">
        <v>0.1738197424892704</v>
      </c>
      <c r="AG79" s="20">
        <v>437</v>
      </c>
      <c r="AH79" s="21">
        <v>0.9377682403433476</v>
      </c>
      <c r="AI79" s="24">
        <v>484</v>
      </c>
      <c r="AJ79" s="21">
        <v>9.6031746031746038E-2</v>
      </c>
      <c r="AK79" s="24">
        <v>0</v>
      </c>
      <c r="AL79" s="21">
        <v>0.92355371900826444</v>
      </c>
      <c r="AM79" s="24">
        <v>475</v>
      </c>
      <c r="AN79" s="24">
        <v>447</v>
      </c>
      <c r="AO79" s="21">
        <v>8.8690476190476195E-2</v>
      </c>
      <c r="AP79" s="21">
        <v>0.95922746781115875</v>
      </c>
      <c r="AQ79" s="22">
        <v>0.97522522522522526</v>
      </c>
      <c r="AR79" s="24">
        <v>0</v>
      </c>
      <c r="AS79" s="24">
        <v>0</v>
      </c>
      <c r="AT79" s="24">
        <v>77</v>
      </c>
      <c r="AU79" s="24">
        <v>70</v>
      </c>
      <c r="AV79" s="24">
        <v>69</v>
      </c>
      <c r="AW79" s="24">
        <v>133</v>
      </c>
      <c r="AX79" s="21">
        <v>1.388888888888889E-2</v>
      </c>
      <c r="AY79" s="21">
        <v>1.369047619047619E-2</v>
      </c>
      <c r="AZ79" s="21">
        <v>2.6388888888888889E-2</v>
      </c>
      <c r="BA79" s="21">
        <v>0.15436241610738249</v>
      </c>
      <c r="BB79" s="24">
        <v>0</v>
      </c>
      <c r="BC79" s="24">
        <v>0</v>
      </c>
      <c r="BD79" s="22">
        <v>1</v>
      </c>
      <c r="BE79" s="22">
        <v>1</v>
      </c>
      <c r="BF79" s="22" t="s">
        <v>89</v>
      </c>
    </row>
    <row r="80" spans="1:58" ht="19.5" customHeight="1">
      <c r="A80" s="25">
        <v>77</v>
      </c>
      <c r="B80" s="20" t="s">
        <v>88</v>
      </c>
      <c r="C80" s="26">
        <v>46101</v>
      </c>
      <c r="D80" s="20" t="s">
        <v>12</v>
      </c>
      <c r="E80" s="20">
        <v>1840</v>
      </c>
      <c r="F80" s="20">
        <v>1650</v>
      </c>
      <c r="G80" s="21">
        <v>0.89673913043478259</v>
      </c>
      <c r="H80" s="20">
        <v>682</v>
      </c>
      <c r="I80" s="22">
        <v>0.3706521739130435</v>
      </c>
      <c r="J80" s="20">
        <v>2359</v>
      </c>
      <c r="K80" s="20">
        <v>2277</v>
      </c>
      <c r="L80" s="21">
        <v>0.96499999999999997</v>
      </c>
      <c r="M80" s="20">
        <v>11218</v>
      </c>
      <c r="N80" s="20">
        <v>11466</v>
      </c>
      <c r="O80" s="20">
        <v>11066</v>
      </c>
      <c r="P80" s="21">
        <v>0.98645034765555362</v>
      </c>
      <c r="Q80" s="20">
        <v>11</v>
      </c>
      <c r="R80" s="20">
        <v>0</v>
      </c>
      <c r="S80" s="20">
        <v>0</v>
      </c>
      <c r="T80" s="21">
        <v>0</v>
      </c>
      <c r="U80" s="20">
        <v>0</v>
      </c>
      <c r="V80" s="21">
        <v>0</v>
      </c>
      <c r="W80" s="20">
        <v>2803</v>
      </c>
      <c r="X80" s="21">
        <v>1.5233695652173911</v>
      </c>
      <c r="Y80" s="20">
        <v>499</v>
      </c>
      <c r="Z80" s="23">
        <v>0.27119565217391312</v>
      </c>
      <c r="AA80" s="20">
        <v>11</v>
      </c>
      <c r="AB80" s="21">
        <v>5.9782608695652176E-3</v>
      </c>
      <c r="AC80" s="20">
        <v>283</v>
      </c>
      <c r="AD80" s="21">
        <v>0.15380434782608701</v>
      </c>
      <c r="AE80" s="20">
        <v>44</v>
      </c>
      <c r="AF80" s="21">
        <v>0.15547703180212011</v>
      </c>
      <c r="AG80" s="20">
        <v>256</v>
      </c>
      <c r="AH80" s="21">
        <v>0.90459363957597172</v>
      </c>
      <c r="AI80" s="24">
        <v>277</v>
      </c>
      <c r="AJ80" s="21">
        <v>0.15054347826086961</v>
      </c>
      <c r="AK80" s="24">
        <v>3</v>
      </c>
      <c r="AL80" s="21">
        <v>0.87364620938628157</v>
      </c>
      <c r="AM80" s="24">
        <v>273</v>
      </c>
      <c r="AN80" s="24">
        <v>242</v>
      </c>
      <c r="AO80" s="21">
        <v>0.1315217391304348</v>
      </c>
      <c r="AP80" s="21">
        <v>0.85512367491166075</v>
      </c>
      <c r="AQ80" s="22">
        <v>0.99555555555555553</v>
      </c>
      <c r="AR80" s="24">
        <v>0</v>
      </c>
      <c r="AS80" s="24">
        <v>0</v>
      </c>
      <c r="AT80" s="24">
        <v>65</v>
      </c>
      <c r="AU80" s="24">
        <v>61</v>
      </c>
      <c r="AV80" s="24">
        <v>59</v>
      </c>
      <c r="AW80" s="24">
        <v>111</v>
      </c>
      <c r="AX80" s="21">
        <v>3.3152173913043481E-2</v>
      </c>
      <c r="AY80" s="21">
        <v>3.206521739130435E-2</v>
      </c>
      <c r="AZ80" s="21">
        <v>6.0326086956521738E-2</v>
      </c>
      <c r="BA80" s="21">
        <v>0.243801652892562</v>
      </c>
      <c r="BB80" s="24">
        <v>0</v>
      </c>
      <c r="BC80" s="24">
        <v>0</v>
      </c>
      <c r="BD80" s="22">
        <v>1</v>
      </c>
      <c r="BE80" s="22">
        <v>1</v>
      </c>
      <c r="BF80" s="22" t="s">
        <v>89</v>
      </c>
    </row>
    <row r="81" spans="1:58" ht="19.5" customHeight="1">
      <c r="A81" s="25">
        <v>78</v>
      </c>
      <c r="B81" s="20" t="s">
        <v>88</v>
      </c>
      <c r="C81" s="26">
        <v>46101</v>
      </c>
      <c r="D81" s="20" t="s">
        <v>11</v>
      </c>
      <c r="E81" s="20">
        <v>1766</v>
      </c>
      <c r="F81" s="20">
        <v>1601</v>
      </c>
      <c r="G81" s="21">
        <v>0.9065685164212911</v>
      </c>
      <c r="H81" s="20">
        <v>744</v>
      </c>
      <c r="I81" s="22">
        <v>0.42129105322763299</v>
      </c>
      <c r="J81" s="20">
        <v>1536</v>
      </c>
      <c r="K81" s="20">
        <v>1489</v>
      </c>
      <c r="L81" s="21">
        <v>0.96899999999999997</v>
      </c>
      <c r="M81" s="20">
        <v>8641</v>
      </c>
      <c r="N81" s="20">
        <v>8885</v>
      </c>
      <c r="O81" s="20">
        <v>8509</v>
      </c>
      <c r="P81" s="21">
        <v>0.98472399027890289</v>
      </c>
      <c r="Q81" s="20">
        <v>16</v>
      </c>
      <c r="R81" s="20">
        <v>0</v>
      </c>
      <c r="S81" s="20">
        <v>0</v>
      </c>
      <c r="T81" s="21">
        <v>0</v>
      </c>
      <c r="U81" s="20">
        <v>0</v>
      </c>
      <c r="V81" s="21">
        <v>0</v>
      </c>
      <c r="W81" s="20">
        <v>3867</v>
      </c>
      <c r="X81" s="21">
        <v>2.189694224235561</v>
      </c>
      <c r="Y81" s="20">
        <v>582</v>
      </c>
      <c r="Z81" s="23">
        <v>0.32955832389580969</v>
      </c>
      <c r="AA81" s="20">
        <v>6</v>
      </c>
      <c r="AB81" s="21">
        <v>3.397508493771234E-3</v>
      </c>
      <c r="AC81" s="20">
        <v>276</v>
      </c>
      <c r="AD81" s="21">
        <v>0.1562853907134768</v>
      </c>
      <c r="AE81" s="20">
        <v>42</v>
      </c>
      <c r="AF81" s="21">
        <v>0.1521739130434783</v>
      </c>
      <c r="AG81" s="20">
        <v>256</v>
      </c>
      <c r="AH81" s="21">
        <v>0.92753623188405798</v>
      </c>
      <c r="AI81" s="24">
        <v>278</v>
      </c>
      <c r="AJ81" s="21">
        <v>0.1574178935447339</v>
      </c>
      <c r="AK81" s="24">
        <v>0</v>
      </c>
      <c r="AL81" s="21">
        <v>0.81294964028776984</v>
      </c>
      <c r="AM81" s="24">
        <v>267</v>
      </c>
      <c r="AN81" s="24">
        <v>226</v>
      </c>
      <c r="AO81" s="21">
        <v>0.12797281993204981</v>
      </c>
      <c r="AP81" s="21">
        <v>0.8188405797101449</v>
      </c>
      <c r="AQ81" s="22">
        <v>0.97318007662835249</v>
      </c>
      <c r="AR81" s="24">
        <v>0</v>
      </c>
      <c r="AS81" s="24">
        <v>0</v>
      </c>
      <c r="AT81" s="24">
        <v>42</v>
      </c>
      <c r="AU81" s="24">
        <v>37</v>
      </c>
      <c r="AV81" s="24">
        <v>37</v>
      </c>
      <c r="AW81" s="24">
        <v>58</v>
      </c>
      <c r="AX81" s="21">
        <v>2.0951302378255949E-2</v>
      </c>
      <c r="AY81" s="21">
        <v>2.0951302378255949E-2</v>
      </c>
      <c r="AZ81" s="21">
        <v>3.2842582106455263E-2</v>
      </c>
      <c r="BA81" s="21">
        <v>0.16371681415929201</v>
      </c>
      <c r="BB81" s="24">
        <v>0</v>
      </c>
      <c r="BC81" s="24">
        <v>0</v>
      </c>
      <c r="BD81" s="22">
        <v>1</v>
      </c>
      <c r="BE81" s="22">
        <v>1</v>
      </c>
      <c r="BF81" s="22" t="s">
        <v>89</v>
      </c>
    </row>
    <row r="82" spans="1:58" ht="19.5" customHeight="1">
      <c r="A82" s="25">
        <v>79</v>
      </c>
      <c r="B82" s="20" t="s">
        <v>88</v>
      </c>
      <c r="C82" s="26">
        <v>46101</v>
      </c>
      <c r="D82" s="20" t="s">
        <v>14</v>
      </c>
      <c r="E82" s="20">
        <v>2343</v>
      </c>
      <c r="F82" s="20">
        <v>2075</v>
      </c>
      <c r="G82" s="21">
        <v>0.88561673068715319</v>
      </c>
      <c r="H82" s="20">
        <v>579</v>
      </c>
      <c r="I82" s="22">
        <v>0.24711907810499359</v>
      </c>
      <c r="J82" s="20">
        <v>402</v>
      </c>
      <c r="K82" s="20">
        <v>392</v>
      </c>
      <c r="L82" s="21">
        <v>0.97499999999999998</v>
      </c>
      <c r="M82" s="20">
        <v>1003</v>
      </c>
      <c r="N82" s="20">
        <v>1456</v>
      </c>
      <c r="O82" s="20">
        <v>970</v>
      </c>
      <c r="P82" s="21">
        <v>0.96709870388833497</v>
      </c>
      <c r="Q82" s="20">
        <v>0</v>
      </c>
      <c r="R82" s="20">
        <v>0</v>
      </c>
      <c r="S82" s="20">
        <v>0</v>
      </c>
      <c r="T82" s="21">
        <v>0</v>
      </c>
      <c r="U82" s="20">
        <v>0</v>
      </c>
      <c r="V82" s="21">
        <v>0</v>
      </c>
      <c r="W82" s="20">
        <v>7</v>
      </c>
      <c r="X82" s="21">
        <v>2.9876227059325651E-3</v>
      </c>
      <c r="Y82" s="20">
        <v>36</v>
      </c>
      <c r="Z82" s="23">
        <v>1.536491677336748E-2</v>
      </c>
      <c r="AA82" s="20">
        <v>0</v>
      </c>
      <c r="AB82" s="21">
        <v>0</v>
      </c>
      <c r="AC82" s="20">
        <v>64</v>
      </c>
      <c r="AD82" s="21">
        <v>2.7315407597097739E-2</v>
      </c>
      <c r="AE82" s="20">
        <v>22</v>
      </c>
      <c r="AF82" s="21">
        <v>0.34375</v>
      </c>
      <c r="AG82" s="20">
        <v>60</v>
      </c>
      <c r="AH82" s="21">
        <v>0.9375</v>
      </c>
      <c r="AI82" s="24">
        <v>0</v>
      </c>
      <c r="AJ82" s="21">
        <v>0</v>
      </c>
      <c r="AK82" s="24">
        <v>0</v>
      </c>
      <c r="AL82" s="21">
        <v>0</v>
      </c>
      <c r="AM82" s="24">
        <v>0</v>
      </c>
      <c r="AN82" s="24">
        <v>0</v>
      </c>
      <c r="AO82" s="21">
        <v>0</v>
      </c>
      <c r="AP82" s="21">
        <v>0</v>
      </c>
      <c r="AQ82" s="22">
        <v>1</v>
      </c>
      <c r="AR82" s="24">
        <v>383</v>
      </c>
      <c r="AS82" s="24">
        <v>54</v>
      </c>
      <c r="AT82" s="24">
        <v>0</v>
      </c>
      <c r="AU82" s="24">
        <v>0</v>
      </c>
      <c r="AV82" s="24">
        <v>0</v>
      </c>
      <c r="AW82" s="24">
        <v>0</v>
      </c>
      <c r="AX82" s="21">
        <v>0</v>
      </c>
      <c r="AY82" s="21">
        <v>0</v>
      </c>
      <c r="AZ82" s="21">
        <v>0</v>
      </c>
      <c r="BA82" s="21">
        <v>0</v>
      </c>
      <c r="BB82" s="24">
        <v>0</v>
      </c>
      <c r="BC82" s="24">
        <v>0</v>
      </c>
      <c r="BD82" s="22" t="s">
        <v>89</v>
      </c>
      <c r="BE82" s="22" t="s">
        <v>89</v>
      </c>
      <c r="BF82" s="22" t="s">
        <v>89</v>
      </c>
    </row>
    <row r="83" spans="1:58" ht="19.5" customHeight="1">
      <c r="A83" s="25">
        <v>80</v>
      </c>
      <c r="B83" s="20" t="s">
        <v>88</v>
      </c>
      <c r="C83" s="26">
        <v>46101</v>
      </c>
      <c r="D83" s="20" t="s">
        <v>13</v>
      </c>
      <c r="E83" s="20">
        <v>4739</v>
      </c>
      <c r="F83" s="20">
        <v>4092</v>
      </c>
      <c r="G83" s="21">
        <v>0.86347330660476895</v>
      </c>
      <c r="H83" s="20">
        <v>3505</v>
      </c>
      <c r="I83" s="22">
        <v>0.73960751213336151</v>
      </c>
      <c r="J83" s="20">
        <v>5402</v>
      </c>
      <c r="K83" s="20">
        <v>5290</v>
      </c>
      <c r="L83" s="21">
        <v>0.97899999999999998</v>
      </c>
      <c r="M83" s="20">
        <v>22922</v>
      </c>
      <c r="N83" s="20">
        <v>23864</v>
      </c>
      <c r="O83" s="20">
        <v>22644</v>
      </c>
      <c r="P83" s="21">
        <v>0.9878719134455981</v>
      </c>
      <c r="Q83" s="20">
        <v>19</v>
      </c>
      <c r="R83" s="20">
        <v>0</v>
      </c>
      <c r="S83" s="20">
        <v>0</v>
      </c>
      <c r="T83" s="21">
        <v>0</v>
      </c>
      <c r="U83" s="20">
        <v>0</v>
      </c>
      <c r="V83" s="21">
        <v>0</v>
      </c>
      <c r="W83" s="20">
        <v>4649</v>
      </c>
      <c r="X83" s="21">
        <v>0.98100865161426465</v>
      </c>
      <c r="Y83" s="20">
        <v>751</v>
      </c>
      <c r="Z83" s="23">
        <v>0.15847225152985861</v>
      </c>
      <c r="AA83" s="20">
        <v>57</v>
      </c>
      <c r="AB83" s="21">
        <v>1.2027853977632411E-2</v>
      </c>
      <c r="AC83" s="20">
        <v>534</v>
      </c>
      <c r="AD83" s="21">
        <v>0.11268200042203</v>
      </c>
      <c r="AE83" s="20">
        <v>71</v>
      </c>
      <c r="AF83" s="21">
        <v>0.1329588014981273</v>
      </c>
      <c r="AG83" s="20">
        <v>485</v>
      </c>
      <c r="AH83" s="21">
        <v>0.90823970037453183</v>
      </c>
      <c r="AI83" s="24">
        <v>535</v>
      </c>
      <c r="AJ83" s="21">
        <v>0.1128930154040937</v>
      </c>
      <c r="AK83" s="24">
        <v>2</v>
      </c>
      <c r="AL83" s="21">
        <v>0.92523364485981308</v>
      </c>
      <c r="AM83" s="24">
        <v>527</v>
      </c>
      <c r="AN83" s="24">
        <v>495</v>
      </c>
      <c r="AO83" s="21">
        <v>0.1044524161215446</v>
      </c>
      <c r="AP83" s="21">
        <v>0.9269662921348315</v>
      </c>
      <c r="AQ83" s="22">
        <v>0.98663697104677062</v>
      </c>
      <c r="AR83" s="24">
        <v>0</v>
      </c>
      <c r="AS83" s="24">
        <v>0</v>
      </c>
      <c r="AT83" s="24">
        <v>95</v>
      </c>
      <c r="AU83" s="24">
        <v>86</v>
      </c>
      <c r="AV83" s="24">
        <v>85</v>
      </c>
      <c r="AW83" s="24">
        <v>155</v>
      </c>
      <c r="AX83" s="21">
        <v>1.8147288457480482E-2</v>
      </c>
      <c r="AY83" s="21">
        <v>1.793627347541675E-2</v>
      </c>
      <c r="AZ83" s="21">
        <v>3.2707322219877613E-2</v>
      </c>
      <c r="BA83" s="21">
        <v>0.17171717171717171</v>
      </c>
      <c r="BB83" s="24">
        <v>0</v>
      </c>
      <c r="BC83" s="24">
        <v>0</v>
      </c>
      <c r="BD83" s="22">
        <v>1</v>
      </c>
      <c r="BE83" s="22">
        <v>1</v>
      </c>
      <c r="BF83" s="22" t="s">
        <v>89</v>
      </c>
    </row>
    <row r="84" spans="1:58" ht="19.5" customHeight="1">
      <c r="A84" s="25">
        <v>81</v>
      </c>
      <c r="B84" s="20" t="s">
        <v>88</v>
      </c>
      <c r="C84" s="26">
        <v>46102</v>
      </c>
      <c r="D84" s="20" t="s">
        <v>12</v>
      </c>
      <c r="E84" s="20">
        <v>1935</v>
      </c>
      <c r="F84" s="20">
        <v>1746</v>
      </c>
      <c r="G84" s="21">
        <v>0.9023255813953488</v>
      </c>
      <c r="H84" s="20">
        <v>796</v>
      </c>
      <c r="I84" s="22">
        <v>0.41136950904392772</v>
      </c>
      <c r="J84" s="20">
        <v>2163</v>
      </c>
      <c r="K84" s="20">
        <v>2099</v>
      </c>
      <c r="L84" s="21">
        <v>0.97</v>
      </c>
      <c r="M84" s="20">
        <v>10954</v>
      </c>
      <c r="N84" s="20">
        <v>10860</v>
      </c>
      <c r="O84" s="20">
        <v>10793</v>
      </c>
      <c r="P84" s="21">
        <v>0.98530217272229326</v>
      </c>
      <c r="Q84" s="20">
        <v>14</v>
      </c>
      <c r="R84" s="20">
        <v>0</v>
      </c>
      <c r="S84" s="20">
        <v>0</v>
      </c>
      <c r="T84" s="21">
        <v>0</v>
      </c>
      <c r="U84" s="20">
        <v>0</v>
      </c>
      <c r="V84" s="21">
        <v>0</v>
      </c>
      <c r="W84" s="20">
        <v>3026</v>
      </c>
      <c r="X84" s="21">
        <v>1.5638242894056851</v>
      </c>
      <c r="Y84" s="20">
        <v>646</v>
      </c>
      <c r="Z84" s="23">
        <v>0.33385012919896639</v>
      </c>
      <c r="AA84" s="20">
        <v>27</v>
      </c>
      <c r="AB84" s="21">
        <v>1.395348837209302E-2</v>
      </c>
      <c r="AC84" s="20">
        <v>389</v>
      </c>
      <c r="AD84" s="21">
        <v>0.20103359173126609</v>
      </c>
      <c r="AE84" s="20">
        <v>74</v>
      </c>
      <c r="AF84" s="21">
        <v>0.19023136246786629</v>
      </c>
      <c r="AG84" s="20">
        <v>362</v>
      </c>
      <c r="AH84" s="21">
        <v>0.93059125964010281</v>
      </c>
      <c r="AI84" s="24">
        <v>401</v>
      </c>
      <c r="AJ84" s="21">
        <v>0.20723514211886301</v>
      </c>
      <c r="AK84" s="24">
        <v>1</v>
      </c>
      <c r="AL84" s="21">
        <v>0.86034912718204493</v>
      </c>
      <c r="AM84" s="24">
        <v>400</v>
      </c>
      <c r="AN84" s="24">
        <v>345</v>
      </c>
      <c r="AO84" s="21">
        <v>0.17829457364341089</v>
      </c>
      <c r="AP84" s="21">
        <v>0.88688946015424164</v>
      </c>
      <c r="AQ84" s="22">
        <v>0.96680497925311204</v>
      </c>
      <c r="AR84" s="24">
        <v>0</v>
      </c>
      <c r="AS84" s="24">
        <v>0</v>
      </c>
      <c r="AT84" s="24">
        <v>88</v>
      </c>
      <c r="AU84" s="24">
        <v>82</v>
      </c>
      <c r="AV84" s="24">
        <v>77</v>
      </c>
      <c r="AW84" s="24">
        <v>76</v>
      </c>
      <c r="AX84" s="21">
        <v>4.2377260981912142E-2</v>
      </c>
      <c r="AY84" s="21">
        <v>3.9793281653746772E-2</v>
      </c>
      <c r="AZ84" s="21">
        <v>3.9276485788113692E-2</v>
      </c>
      <c r="BA84" s="21">
        <v>0.22318840579710139</v>
      </c>
      <c r="BB84" s="24">
        <v>0</v>
      </c>
      <c r="BC84" s="24">
        <v>0</v>
      </c>
      <c r="BD84" s="22">
        <v>0.98181818181818181</v>
      </c>
      <c r="BE84" s="22">
        <v>1</v>
      </c>
      <c r="BF84" s="22" t="s">
        <v>89</v>
      </c>
    </row>
    <row r="85" spans="1:58" ht="19.5" customHeight="1">
      <c r="A85" s="25">
        <v>82</v>
      </c>
      <c r="B85" s="20" t="s">
        <v>88</v>
      </c>
      <c r="C85" s="26">
        <v>46102</v>
      </c>
      <c r="D85" s="20" t="s">
        <v>11</v>
      </c>
      <c r="E85" s="20">
        <v>1779</v>
      </c>
      <c r="F85" s="20">
        <v>1639</v>
      </c>
      <c r="G85" s="21">
        <v>0.92130410342889268</v>
      </c>
      <c r="H85" s="20">
        <v>956</v>
      </c>
      <c r="I85" s="22">
        <v>0.53738055087127601</v>
      </c>
      <c r="J85" s="20">
        <v>1586</v>
      </c>
      <c r="K85" s="20">
        <v>1545</v>
      </c>
      <c r="L85" s="21">
        <v>0.97399999999999998</v>
      </c>
      <c r="M85" s="20">
        <v>8846</v>
      </c>
      <c r="N85" s="20">
        <v>8866</v>
      </c>
      <c r="O85" s="20">
        <v>8715</v>
      </c>
      <c r="P85" s="21">
        <v>0.98519104680081393</v>
      </c>
      <c r="Q85" s="20">
        <v>15</v>
      </c>
      <c r="R85" s="20">
        <v>0</v>
      </c>
      <c r="S85" s="20">
        <v>0</v>
      </c>
      <c r="T85" s="21">
        <v>0</v>
      </c>
      <c r="U85" s="20">
        <v>0</v>
      </c>
      <c r="V85" s="21">
        <v>0</v>
      </c>
      <c r="W85" s="20">
        <v>2833</v>
      </c>
      <c r="X85" s="21">
        <v>1.592467678471051</v>
      </c>
      <c r="Y85" s="20">
        <v>984</v>
      </c>
      <c r="Z85" s="23">
        <v>0.55311973018549743</v>
      </c>
      <c r="AA85" s="20">
        <v>14</v>
      </c>
      <c r="AB85" s="21">
        <v>7.8695896571107371E-3</v>
      </c>
      <c r="AC85" s="20">
        <v>521</v>
      </c>
      <c r="AD85" s="21">
        <v>0.29286115795390671</v>
      </c>
      <c r="AE85" s="20">
        <v>69</v>
      </c>
      <c r="AF85" s="21">
        <v>0.1324376199616123</v>
      </c>
      <c r="AG85" s="20">
        <v>494</v>
      </c>
      <c r="AH85" s="21">
        <v>0.94817658349328215</v>
      </c>
      <c r="AI85" s="24">
        <v>535</v>
      </c>
      <c r="AJ85" s="21">
        <v>0.30073074761101742</v>
      </c>
      <c r="AK85" s="24">
        <v>3</v>
      </c>
      <c r="AL85" s="21">
        <v>0.82242990654205606</v>
      </c>
      <c r="AM85" s="24">
        <v>532</v>
      </c>
      <c r="AN85" s="24">
        <v>440</v>
      </c>
      <c r="AO85" s="21">
        <v>0.24732996065205171</v>
      </c>
      <c r="AP85" s="21">
        <v>0.84452975047984646</v>
      </c>
      <c r="AQ85" s="22">
        <v>0.96078431372549022</v>
      </c>
      <c r="AR85" s="24">
        <v>0</v>
      </c>
      <c r="AS85" s="24">
        <v>0</v>
      </c>
      <c r="AT85" s="24">
        <v>74</v>
      </c>
      <c r="AU85" s="24">
        <v>66</v>
      </c>
      <c r="AV85" s="24">
        <v>64</v>
      </c>
      <c r="AW85" s="24">
        <v>44</v>
      </c>
      <c r="AX85" s="21">
        <v>3.7099494097807759E-2</v>
      </c>
      <c r="AY85" s="21">
        <v>3.5975267003934802E-2</v>
      </c>
      <c r="AZ85" s="21">
        <v>2.4732996065205171E-2</v>
      </c>
      <c r="BA85" s="21">
        <v>0.14545454545454539</v>
      </c>
      <c r="BB85" s="24">
        <v>0</v>
      </c>
      <c r="BC85" s="24">
        <v>0</v>
      </c>
      <c r="BD85" s="22">
        <v>1</v>
      </c>
      <c r="BE85" s="22">
        <v>1</v>
      </c>
      <c r="BF85" s="22" t="s">
        <v>89</v>
      </c>
    </row>
    <row r="86" spans="1:58" ht="19.5" customHeight="1">
      <c r="A86" s="25">
        <v>83</v>
      </c>
      <c r="B86" s="20" t="s">
        <v>88</v>
      </c>
      <c r="C86" s="26">
        <v>46102</v>
      </c>
      <c r="D86" s="20" t="s">
        <v>14</v>
      </c>
      <c r="E86" s="20">
        <v>1788</v>
      </c>
      <c r="F86" s="20">
        <v>1643</v>
      </c>
      <c r="G86" s="21">
        <v>0.91890380313199105</v>
      </c>
      <c r="H86" s="20">
        <v>476</v>
      </c>
      <c r="I86" s="22">
        <v>0.26621923937360181</v>
      </c>
      <c r="J86" s="20">
        <v>2515</v>
      </c>
      <c r="K86" s="20">
        <v>2462</v>
      </c>
      <c r="L86" s="21">
        <v>0.97899999999999998</v>
      </c>
      <c r="M86" s="20">
        <v>4233</v>
      </c>
      <c r="N86" s="20">
        <v>4218</v>
      </c>
      <c r="O86" s="20">
        <v>4073</v>
      </c>
      <c r="P86" s="21">
        <v>0.96220174816914716</v>
      </c>
      <c r="Q86" s="20">
        <v>14</v>
      </c>
      <c r="R86" s="20">
        <v>0</v>
      </c>
      <c r="S86" s="20">
        <v>0</v>
      </c>
      <c r="T86" s="21">
        <v>0</v>
      </c>
      <c r="U86" s="20">
        <v>0</v>
      </c>
      <c r="V86" s="21">
        <v>0</v>
      </c>
      <c r="W86" s="20">
        <v>10</v>
      </c>
      <c r="X86" s="21">
        <v>5.5928411633109623E-3</v>
      </c>
      <c r="Y86" s="20">
        <v>74</v>
      </c>
      <c r="Z86" s="23">
        <v>4.1387024608501119E-2</v>
      </c>
      <c r="AA86" s="20">
        <v>0</v>
      </c>
      <c r="AB86" s="21">
        <v>0</v>
      </c>
      <c r="AC86" s="20">
        <v>123</v>
      </c>
      <c r="AD86" s="21">
        <v>6.879194630872483E-2</v>
      </c>
      <c r="AE86" s="20">
        <v>31</v>
      </c>
      <c r="AF86" s="21">
        <v>0.25203252032520318</v>
      </c>
      <c r="AG86" s="20">
        <v>107</v>
      </c>
      <c r="AH86" s="21">
        <v>0.86991869918699183</v>
      </c>
      <c r="AI86" s="24">
        <v>0</v>
      </c>
      <c r="AJ86" s="21">
        <v>0</v>
      </c>
      <c r="AK86" s="24">
        <v>0</v>
      </c>
      <c r="AL86" s="21">
        <v>0</v>
      </c>
      <c r="AM86" s="24">
        <v>0</v>
      </c>
      <c r="AN86" s="24">
        <v>0</v>
      </c>
      <c r="AO86" s="21">
        <v>0</v>
      </c>
      <c r="AP86" s="21">
        <v>0</v>
      </c>
      <c r="AQ86" s="22">
        <v>1</v>
      </c>
      <c r="AR86" s="24">
        <v>560</v>
      </c>
      <c r="AS86" s="24">
        <v>79</v>
      </c>
      <c r="AT86" s="24">
        <v>0</v>
      </c>
      <c r="AU86" s="24">
        <v>0</v>
      </c>
      <c r="AV86" s="24">
        <v>0</v>
      </c>
      <c r="AW86" s="24">
        <v>0</v>
      </c>
      <c r="AX86" s="21">
        <v>0</v>
      </c>
      <c r="AY86" s="21">
        <v>0</v>
      </c>
      <c r="AZ86" s="21">
        <v>0</v>
      </c>
      <c r="BA86" s="21">
        <v>0</v>
      </c>
      <c r="BB86" s="24">
        <v>0</v>
      </c>
      <c r="BC86" s="24">
        <v>0</v>
      </c>
      <c r="BD86" s="22" t="s">
        <v>89</v>
      </c>
      <c r="BE86" s="22" t="s">
        <v>89</v>
      </c>
      <c r="BF86" s="22" t="s">
        <v>89</v>
      </c>
    </row>
    <row r="87" spans="1:58" ht="19.5" customHeight="1">
      <c r="A87" s="25">
        <v>84</v>
      </c>
      <c r="B87" s="20" t="s">
        <v>88</v>
      </c>
      <c r="C87" s="26">
        <v>46102</v>
      </c>
      <c r="D87" s="20" t="s">
        <v>13</v>
      </c>
      <c r="E87" s="20">
        <v>4313</v>
      </c>
      <c r="F87" s="20">
        <v>3734</v>
      </c>
      <c r="G87" s="21">
        <v>0.86575469510781355</v>
      </c>
      <c r="H87" s="20">
        <v>3363</v>
      </c>
      <c r="I87" s="22">
        <v>0.77973568281938321</v>
      </c>
      <c r="J87" s="20">
        <v>5793</v>
      </c>
      <c r="K87" s="20">
        <v>5724</v>
      </c>
      <c r="L87" s="21">
        <v>0.98799999999999999</v>
      </c>
      <c r="M87" s="20">
        <v>23306</v>
      </c>
      <c r="N87" s="20">
        <v>23863</v>
      </c>
      <c r="O87" s="20">
        <v>23057</v>
      </c>
      <c r="P87" s="21">
        <v>0.98931605595125716</v>
      </c>
      <c r="Q87" s="20">
        <v>19</v>
      </c>
      <c r="R87" s="20">
        <v>0</v>
      </c>
      <c r="S87" s="20">
        <v>0</v>
      </c>
      <c r="T87" s="21">
        <v>0</v>
      </c>
      <c r="U87" s="20">
        <v>0</v>
      </c>
      <c r="V87" s="21">
        <v>0</v>
      </c>
      <c r="W87" s="20">
        <v>4404</v>
      </c>
      <c r="X87" s="21">
        <v>1.0210990030141429</v>
      </c>
      <c r="Y87" s="20">
        <v>994</v>
      </c>
      <c r="Z87" s="23">
        <v>0.23046603292371901</v>
      </c>
      <c r="AA87" s="20">
        <v>74</v>
      </c>
      <c r="AB87" s="21">
        <v>1.7157431022490149E-2</v>
      </c>
      <c r="AC87" s="20">
        <v>746</v>
      </c>
      <c r="AD87" s="21">
        <v>0.172965453280779</v>
      </c>
      <c r="AE87" s="20">
        <v>104</v>
      </c>
      <c r="AF87" s="21">
        <v>0.1394101876675603</v>
      </c>
      <c r="AG87" s="20">
        <v>690</v>
      </c>
      <c r="AH87" s="21">
        <v>0.92493297587131362</v>
      </c>
      <c r="AI87" s="24">
        <v>749</v>
      </c>
      <c r="AJ87" s="21">
        <v>0.17366102480871781</v>
      </c>
      <c r="AK87" s="24">
        <v>1</v>
      </c>
      <c r="AL87" s="21">
        <v>0.93190921228304402</v>
      </c>
      <c r="AM87" s="24">
        <v>742</v>
      </c>
      <c r="AN87" s="24">
        <v>698</v>
      </c>
      <c r="AO87" s="21">
        <v>0.16183630883375841</v>
      </c>
      <c r="AP87" s="21">
        <v>0.93565683646112596</v>
      </c>
      <c r="AQ87" s="22">
        <v>0.97445972495088407</v>
      </c>
      <c r="AR87" s="24">
        <v>0</v>
      </c>
      <c r="AS87" s="24">
        <v>0</v>
      </c>
      <c r="AT87" s="24">
        <v>132</v>
      </c>
      <c r="AU87" s="24">
        <v>124</v>
      </c>
      <c r="AV87" s="24">
        <v>123</v>
      </c>
      <c r="AW87" s="24">
        <v>106</v>
      </c>
      <c r="AX87" s="21">
        <v>2.875028982146997E-2</v>
      </c>
      <c r="AY87" s="21">
        <v>2.851843264549038E-2</v>
      </c>
      <c r="AZ87" s="21">
        <v>2.457686065383724E-2</v>
      </c>
      <c r="BA87" s="21">
        <v>0.17621776504298001</v>
      </c>
      <c r="BB87" s="24">
        <v>0</v>
      </c>
      <c r="BC87" s="24">
        <v>1</v>
      </c>
      <c r="BD87" s="22">
        <v>0.97402597402597402</v>
      </c>
      <c r="BE87" s="22">
        <v>1</v>
      </c>
      <c r="BF87" s="22" t="s">
        <v>89</v>
      </c>
    </row>
    <row r="88" spans="1:58" ht="19.5" customHeight="1">
      <c r="A88" s="25">
        <v>85</v>
      </c>
      <c r="B88" s="20" t="s">
        <v>88</v>
      </c>
      <c r="C88" s="26">
        <v>46103</v>
      </c>
      <c r="D88" s="20" t="s">
        <v>12</v>
      </c>
      <c r="E88" s="20">
        <v>2157</v>
      </c>
      <c r="F88" s="20">
        <v>1952</v>
      </c>
      <c r="G88" s="21">
        <v>0.90496059341678259</v>
      </c>
      <c r="H88" s="20">
        <v>888</v>
      </c>
      <c r="I88" s="22">
        <v>0.41168289290681498</v>
      </c>
      <c r="J88" s="20">
        <v>2046</v>
      </c>
      <c r="K88" s="20">
        <v>1980</v>
      </c>
      <c r="L88" s="21">
        <v>0.96799999999999997</v>
      </c>
      <c r="M88" s="20">
        <v>10788</v>
      </c>
      <c r="N88" s="20">
        <v>10817</v>
      </c>
      <c r="O88" s="20">
        <v>10660</v>
      </c>
      <c r="P88" s="21">
        <v>0.98813496477567664</v>
      </c>
      <c r="Q88" s="20">
        <v>15</v>
      </c>
      <c r="R88" s="20">
        <v>0</v>
      </c>
      <c r="S88" s="20">
        <v>0</v>
      </c>
      <c r="T88" s="21">
        <v>0</v>
      </c>
      <c r="U88" s="20">
        <v>0</v>
      </c>
      <c r="V88" s="21">
        <v>0</v>
      </c>
      <c r="W88" s="20">
        <v>3149</v>
      </c>
      <c r="X88" s="21">
        <v>1.4598980064904961</v>
      </c>
      <c r="Y88" s="20">
        <v>347</v>
      </c>
      <c r="Z88" s="23">
        <v>0.16087158089939729</v>
      </c>
      <c r="AA88" s="20">
        <v>18</v>
      </c>
      <c r="AB88" s="21">
        <v>8.3449235048678721E-3</v>
      </c>
      <c r="AC88" s="20">
        <v>455</v>
      </c>
      <c r="AD88" s="21">
        <v>0.21094112192860451</v>
      </c>
      <c r="AE88" s="20">
        <v>60</v>
      </c>
      <c r="AF88" s="21">
        <v>0.1318681318681319</v>
      </c>
      <c r="AG88" s="20">
        <v>417</v>
      </c>
      <c r="AH88" s="21">
        <v>0.91648351648351645</v>
      </c>
      <c r="AI88" s="24">
        <v>458</v>
      </c>
      <c r="AJ88" s="21">
        <v>0.2123319425127492</v>
      </c>
      <c r="AK88" s="24">
        <v>3</v>
      </c>
      <c r="AL88" s="21">
        <v>0.83406113537117899</v>
      </c>
      <c r="AM88" s="24">
        <v>456</v>
      </c>
      <c r="AN88" s="24">
        <v>382</v>
      </c>
      <c r="AO88" s="21">
        <v>0.17709782104775151</v>
      </c>
      <c r="AP88" s="21">
        <v>0.83956043956043958</v>
      </c>
      <c r="AQ88" s="22">
        <v>0.97843665768194066</v>
      </c>
      <c r="AR88" s="24">
        <v>0</v>
      </c>
      <c r="AS88" s="24">
        <v>0</v>
      </c>
      <c r="AT88" s="24">
        <v>114</v>
      </c>
      <c r="AU88" s="24">
        <v>107</v>
      </c>
      <c r="AV88" s="24">
        <v>104</v>
      </c>
      <c r="AW88" s="24">
        <v>61</v>
      </c>
      <c r="AX88" s="21">
        <v>4.9605934167825681E-2</v>
      </c>
      <c r="AY88" s="21">
        <v>4.8215113583681038E-2</v>
      </c>
      <c r="AZ88" s="21">
        <v>2.8280018544274459E-2</v>
      </c>
      <c r="BA88" s="21">
        <v>0.27225130890052363</v>
      </c>
      <c r="BB88" s="24">
        <v>0</v>
      </c>
      <c r="BC88" s="24">
        <v>0</v>
      </c>
      <c r="BD88" s="22">
        <v>0.9838709677419355</v>
      </c>
      <c r="BE88" s="22">
        <v>1</v>
      </c>
      <c r="BF88" s="22" t="s">
        <v>89</v>
      </c>
    </row>
    <row r="89" spans="1:58" ht="19.5" customHeight="1">
      <c r="A89" s="25">
        <v>86</v>
      </c>
      <c r="B89" s="20" t="s">
        <v>88</v>
      </c>
      <c r="C89" s="26">
        <v>46103</v>
      </c>
      <c r="D89" s="20" t="s">
        <v>11</v>
      </c>
      <c r="E89" s="20">
        <v>1896</v>
      </c>
      <c r="F89" s="20">
        <v>1743</v>
      </c>
      <c r="G89" s="21">
        <v>0.91930379746835444</v>
      </c>
      <c r="H89" s="20">
        <v>1041</v>
      </c>
      <c r="I89" s="22">
        <v>0.54905063291139244</v>
      </c>
      <c r="J89" s="20">
        <v>1581</v>
      </c>
      <c r="K89" s="20">
        <v>1527</v>
      </c>
      <c r="L89" s="21">
        <v>0.96599999999999997</v>
      </c>
      <c r="M89" s="20">
        <v>9150</v>
      </c>
      <c r="N89" s="20">
        <v>9106</v>
      </c>
      <c r="O89" s="20">
        <v>9024</v>
      </c>
      <c r="P89" s="21">
        <v>0.98622950819672128</v>
      </c>
      <c r="Q89" s="20">
        <v>25</v>
      </c>
      <c r="R89" s="20">
        <v>0</v>
      </c>
      <c r="S89" s="20">
        <v>0</v>
      </c>
      <c r="T89" s="21">
        <v>0</v>
      </c>
      <c r="U89" s="20">
        <v>0</v>
      </c>
      <c r="V89" s="21">
        <v>0</v>
      </c>
      <c r="W89" s="20">
        <v>2734</v>
      </c>
      <c r="X89" s="21">
        <v>1.441983122362869</v>
      </c>
      <c r="Y89" s="20">
        <v>398</v>
      </c>
      <c r="Z89" s="23">
        <v>0.20991561181434601</v>
      </c>
      <c r="AA89" s="20">
        <v>11</v>
      </c>
      <c r="AB89" s="21">
        <v>5.8016877637130796E-3</v>
      </c>
      <c r="AC89" s="20">
        <v>537</v>
      </c>
      <c r="AD89" s="21">
        <v>0.28322784810126578</v>
      </c>
      <c r="AE89" s="20">
        <v>74</v>
      </c>
      <c r="AF89" s="21">
        <v>0.13780260707635009</v>
      </c>
      <c r="AG89" s="20">
        <v>499</v>
      </c>
      <c r="AH89" s="21">
        <v>0.92923649906890127</v>
      </c>
      <c r="AI89" s="24">
        <v>529</v>
      </c>
      <c r="AJ89" s="21">
        <v>0.27900843881856541</v>
      </c>
      <c r="AK89" s="24">
        <v>0</v>
      </c>
      <c r="AL89" s="21">
        <v>0.86578449905482047</v>
      </c>
      <c r="AM89" s="24">
        <v>525</v>
      </c>
      <c r="AN89" s="24">
        <v>458</v>
      </c>
      <c r="AO89" s="21">
        <v>0.24156118143459909</v>
      </c>
      <c r="AP89" s="21">
        <v>0.85288640595903165</v>
      </c>
      <c r="AQ89" s="22">
        <v>0.98353909465020573</v>
      </c>
      <c r="AR89" s="24">
        <v>0</v>
      </c>
      <c r="AS89" s="24">
        <v>0</v>
      </c>
      <c r="AT89" s="24">
        <v>105</v>
      </c>
      <c r="AU89" s="24">
        <v>98</v>
      </c>
      <c r="AV89" s="24">
        <v>92</v>
      </c>
      <c r="AW89" s="24">
        <v>24</v>
      </c>
      <c r="AX89" s="21">
        <v>5.1687763713080169E-2</v>
      </c>
      <c r="AY89" s="21">
        <v>4.852320675105485E-2</v>
      </c>
      <c r="AZ89" s="21">
        <v>1.2658227848101271E-2</v>
      </c>
      <c r="BA89" s="21">
        <v>0.20087336244541479</v>
      </c>
      <c r="BB89" s="24">
        <v>0</v>
      </c>
      <c r="BC89" s="24">
        <v>1</v>
      </c>
      <c r="BD89" s="22">
        <v>0.96875</v>
      </c>
      <c r="BE89" s="22">
        <v>1</v>
      </c>
      <c r="BF89" s="22" t="s">
        <v>89</v>
      </c>
    </row>
    <row r="90" spans="1:58" ht="19.5" customHeight="1">
      <c r="A90" s="25">
        <v>87</v>
      </c>
      <c r="B90" s="20" t="s">
        <v>88</v>
      </c>
      <c r="C90" s="26">
        <v>46103</v>
      </c>
      <c r="D90" s="20" t="s">
        <v>14</v>
      </c>
      <c r="E90" s="20">
        <v>1608</v>
      </c>
      <c r="F90" s="20">
        <v>1457</v>
      </c>
      <c r="G90" s="21">
        <v>0.90609452736318408</v>
      </c>
      <c r="H90" s="20">
        <v>531</v>
      </c>
      <c r="I90" s="22">
        <v>0.33022388059701491</v>
      </c>
      <c r="J90" s="20">
        <v>1325</v>
      </c>
      <c r="K90" s="20">
        <v>1277</v>
      </c>
      <c r="L90" s="21">
        <v>0.96399999999999997</v>
      </c>
      <c r="M90" s="20">
        <v>2913</v>
      </c>
      <c r="N90" s="20">
        <v>3013</v>
      </c>
      <c r="O90" s="20">
        <v>2798</v>
      </c>
      <c r="P90" s="21">
        <v>0.96052179883281841</v>
      </c>
      <c r="Q90" s="20">
        <v>8</v>
      </c>
      <c r="R90" s="20">
        <v>0</v>
      </c>
      <c r="S90" s="20">
        <v>0</v>
      </c>
      <c r="T90" s="21">
        <v>0</v>
      </c>
      <c r="U90" s="20">
        <v>0</v>
      </c>
      <c r="V90" s="21">
        <v>0</v>
      </c>
      <c r="W90" s="20">
        <v>9</v>
      </c>
      <c r="X90" s="21">
        <v>5.597014925373134E-3</v>
      </c>
      <c r="Y90" s="20">
        <v>93</v>
      </c>
      <c r="Z90" s="23">
        <v>5.7835820895522388E-2</v>
      </c>
      <c r="AA90" s="20">
        <v>0</v>
      </c>
      <c r="AB90" s="21">
        <v>0</v>
      </c>
      <c r="AC90" s="20">
        <v>136</v>
      </c>
      <c r="AD90" s="21">
        <v>8.45771144278607E-2</v>
      </c>
      <c r="AE90" s="20">
        <v>25</v>
      </c>
      <c r="AF90" s="21">
        <v>0.18382352941176469</v>
      </c>
      <c r="AG90" s="20">
        <v>122</v>
      </c>
      <c r="AH90" s="21">
        <v>0.8970588235294118</v>
      </c>
      <c r="AI90" s="24">
        <v>0</v>
      </c>
      <c r="AJ90" s="21">
        <v>0</v>
      </c>
      <c r="AK90" s="24">
        <v>0</v>
      </c>
      <c r="AL90" s="21">
        <v>0</v>
      </c>
      <c r="AM90" s="24">
        <v>0</v>
      </c>
      <c r="AN90" s="24">
        <v>0</v>
      </c>
      <c r="AO90" s="21">
        <v>0</v>
      </c>
      <c r="AP90" s="21">
        <v>0</v>
      </c>
      <c r="AQ90" s="22">
        <v>0.98360655737704916</v>
      </c>
      <c r="AR90" s="24">
        <v>449</v>
      </c>
      <c r="AS90" s="24">
        <v>62</v>
      </c>
      <c r="AT90" s="24">
        <v>0</v>
      </c>
      <c r="AU90" s="24">
        <v>0</v>
      </c>
      <c r="AV90" s="24">
        <v>0</v>
      </c>
      <c r="AW90" s="24">
        <v>0</v>
      </c>
      <c r="AX90" s="21">
        <v>0</v>
      </c>
      <c r="AY90" s="21">
        <v>0</v>
      </c>
      <c r="AZ90" s="21">
        <v>0</v>
      </c>
      <c r="BA90" s="21">
        <v>0</v>
      </c>
      <c r="BB90" s="24">
        <v>0</v>
      </c>
      <c r="BC90" s="24">
        <v>0</v>
      </c>
      <c r="BD90" s="22" t="s">
        <v>89</v>
      </c>
      <c r="BE90" s="22" t="s">
        <v>89</v>
      </c>
      <c r="BF90" s="22" t="s">
        <v>89</v>
      </c>
    </row>
    <row r="91" spans="1:58" ht="19.5" customHeight="1">
      <c r="A91" s="25">
        <v>88</v>
      </c>
      <c r="B91" s="20" t="s">
        <v>88</v>
      </c>
      <c r="C91" s="26">
        <v>46103</v>
      </c>
      <c r="D91" s="20" t="s">
        <v>13</v>
      </c>
      <c r="E91" s="20">
        <v>4599</v>
      </c>
      <c r="F91" s="20">
        <v>4072</v>
      </c>
      <c r="G91" s="21">
        <v>0.88540987171124153</v>
      </c>
      <c r="H91" s="20">
        <v>3508</v>
      </c>
      <c r="I91" s="22">
        <v>0.76277451619917369</v>
      </c>
      <c r="J91" s="20">
        <v>5406</v>
      </c>
      <c r="K91" s="20">
        <v>5313</v>
      </c>
      <c r="L91" s="21">
        <v>0.98299999999999998</v>
      </c>
      <c r="M91" s="20">
        <v>23475</v>
      </c>
      <c r="N91" s="20">
        <v>23785</v>
      </c>
      <c r="O91" s="20">
        <v>23203</v>
      </c>
      <c r="P91" s="21">
        <v>0.98841320553780621</v>
      </c>
      <c r="Q91" s="20">
        <v>24</v>
      </c>
      <c r="R91" s="20">
        <v>0</v>
      </c>
      <c r="S91" s="20">
        <v>0</v>
      </c>
      <c r="T91" s="21">
        <v>0</v>
      </c>
      <c r="U91" s="20">
        <v>0</v>
      </c>
      <c r="V91" s="21">
        <v>0</v>
      </c>
      <c r="W91" s="20">
        <v>4216</v>
      </c>
      <c r="X91" s="21">
        <v>0.91672102631006736</v>
      </c>
      <c r="Y91" s="20">
        <v>658</v>
      </c>
      <c r="Z91" s="23">
        <v>0.14307458143074581</v>
      </c>
      <c r="AA91" s="20">
        <v>66</v>
      </c>
      <c r="AB91" s="21">
        <v>1.435094585779517E-2</v>
      </c>
      <c r="AC91" s="20">
        <v>843</v>
      </c>
      <c r="AD91" s="21">
        <v>0.18330071754729291</v>
      </c>
      <c r="AE91" s="20">
        <v>123</v>
      </c>
      <c r="AF91" s="21">
        <v>0.14590747330960849</v>
      </c>
      <c r="AG91" s="20">
        <v>767</v>
      </c>
      <c r="AH91" s="21">
        <v>0.90984578884934753</v>
      </c>
      <c r="AI91" s="24">
        <v>826</v>
      </c>
      <c r="AJ91" s="21">
        <v>0.17960426179604261</v>
      </c>
      <c r="AK91" s="24">
        <v>6</v>
      </c>
      <c r="AL91" s="21">
        <v>0.92736077481840196</v>
      </c>
      <c r="AM91" s="24">
        <v>818</v>
      </c>
      <c r="AN91" s="24">
        <v>766</v>
      </c>
      <c r="AO91" s="21">
        <v>0.16655794737986521</v>
      </c>
      <c r="AP91" s="21">
        <v>0.90865954922894421</v>
      </c>
      <c r="AQ91" s="22">
        <v>0.97493036211699169</v>
      </c>
      <c r="AR91" s="24">
        <v>0</v>
      </c>
      <c r="AS91" s="24">
        <v>0</v>
      </c>
      <c r="AT91" s="24">
        <v>177</v>
      </c>
      <c r="AU91" s="24">
        <v>172</v>
      </c>
      <c r="AV91" s="24">
        <v>166</v>
      </c>
      <c r="AW91" s="24">
        <v>83</v>
      </c>
      <c r="AX91" s="21">
        <v>3.739943465970863E-2</v>
      </c>
      <c r="AY91" s="21">
        <v>3.6094803218090887E-2</v>
      </c>
      <c r="AZ91" s="21">
        <v>1.804740160904544E-2</v>
      </c>
      <c r="BA91" s="21">
        <v>0.21671018276762399</v>
      </c>
      <c r="BB91" s="24">
        <v>0</v>
      </c>
      <c r="BC91" s="24">
        <v>0</v>
      </c>
      <c r="BD91" s="22">
        <v>0.98969072164948457</v>
      </c>
      <c r="BE91" s="22">
        <v>1</v>
      </c>
      <c r="BF91" s="22" t="s">
        <v>89</v>
      </c>
    </row>
    <row r="92" spans="1:58" ht="19.5" customHeight="1">
      <c r="A92" s="25">
        <v>89</v>
      </c>
      <c r="B92" s="20" t="s">
        <v>88</v>
      </c>
      <c r="C92" s="26">
        <v>46104</v>
      </c>
      <c r="D92" s="20" t="s">
        <v>12</v>
      </c>
      <c r="E92" s="20">
        <v>3372</v>
      </c>
      <c r="F92" s="20">
        <v>2895</v>
      </c>
      <c r="G92" s="21">
        <v>0.85854092526690395</v>
      </c>
      <c r="H92" s="20">
        <v>1799</v>
      </c>
      <c r="I92" s="22">
        <v>0.53351126927639381</v>
      </c>
      <c r="J92" s="20">
        <v>2264</v>
      </c>
      <c r="K92" s="20">
        <v>2198</v>
      </c>
      <c r="L92" s="21">
        <v>0.97099999999999997</v>
      </c>
      <c r="M92" s="20">
        <v>10913</v>
      </c>
      <c r="N92" s="20">
        <v>10779</v>
      </c>
      <c r="O92" s="20">
        <v>10756</v>
      </c>
      <c r="P92" s="21">
        <v>0.98561348849995423</v>
      </c>
      <c r="Q92" s="20">
        <v>15</v>
      </c>
      <c r="R92" s="20">
        <v>0</v>
      </c>
      <c r="S92" s="20">
        <v>0</v>
      </c>
      <c r="T92" s="21">
        <v>0</v>
      </c>
      <c r="U92" s="20">
        <v>0</v>
      </c>
      <c r="V92" s="21">
        <v>0</v>
      </c>
      <c r="W92" s="20">
        <v>3040</v>
      </c>
      <c r="X92" s="21">
        <v>0.9015421115065243</v>
      </c>
      <c r="Y92" s="20">
        <v>422</v>
      </c>
      <c r="Z92" s="23">
        <v>0.1251482799525504</v>
      </c>
      <c r="AA92" s="20">
        <v>15</v>
      </c>
      <c r="AB92" s="21">
        <v>4.4483985765124559E-3</v>
      </c>
      <c r="AC92" s="20">
        <v>279</v>
      </c>
      <c r="AD92" s="21">
        <v>8.274021352313167E-2</v>
      </c>
      <c r="AE92" s="20">
        <v>55</v>
      </c>
      <c r="AF92" s="21">
        <v>0.1971326164874552</v>
      </c>
      <c r="AG92" s="20">
        <v>250</v>
      </c>
      <c r="AH92" s="21">
        <v>0.89605734767025091</v>
      </c>
      <c r="AI92" s="24">
        <v>282</v>
      </c>
      <c r="AJ92" s="21">
        <v>8.3629893238434158E-2</v>
      </c>
      <c r="AK92" s="24">
        <v>2</v>
      </c>
      <c r="AL92" s="21">
        <v>0.81205673758865249</v>
      </c>
      <c r="AM92" s="24">
        <v>279</v>
      </c>
      <c r="AN92" s="24">
        <v>229</v>
      </c>
      <c r="AO92" s="21">
        <v>6.7912218268090158E-2</v>
      </c>
      <c r="AP92" s="21">
        <v>0.82078853046594979</v>
      </c>
      <c r="AQ92" s="22">
        <v>0.99012345679012348</v>
      </c>
      <c r="AR92" s="24">
        <v>0</v>
      </c>
      <c r="AS92" s="24">
        <v>0</v>
      </c>
      <c r="AT92" s="24">
        <v>74</v>
      </c>
      <c r="AU92" s="24">
        <v>61</v>
      </c>
      <c r="AV92" s="24">
        <v>69</v>
      </c>
      <c r="AW92" s="24">
        <v>108</v>
      </c>
      <c r="AX92" s="21">
        <v>1.809015421115065E-2</v>
      </c>
      <c r="AY92" s="21">
        <v>2.0462633451957299E-2</v>
      </c>
      <c r="AZ92" s="21">
        <v>3.2028469750889681E-2</v>
      </c>
      <c r="BA92" s="21">
        <v>0.30131004366812231</v>
      </c>
      <c r="BB92" s="24">
        <v>0</v>
      </c>
      <c r="BC92" s="24">
        <v>0</v>
      </c>
      <c r="BD92" s="22">
        <v>0.97368421052631582</v>
      </c>
      <c r="BE92" s="22">
        <v>1</v>
      </c>
      <c r="BF92" s="22" t="s">
        <v>89</v>
      </c>
    </row>
    <row r="93" spans="1:58" ht="19.5" customHeight="1">
      <c r="A93" s="25">
        <v>90</v>
      </c>
      <c r="B93" s="20" t="s">
        <v>88</v>
      </c>
      <c r="C93" s="26">
        <v>46104</v>
      </c>
      <c r="D93" s="20" t="s">
        <v>11</v>
      </c>
      <c r="E93" s="20">
        <v>1818</v>
      </c>
      <c r="F93" s="20">
        <v>1632</v>
      </c>
      <c r="G93" s="21">
        <v>0.89768976897689767</v>
      </c>
      <c r="H93" s="20">
        <v>874</v>
      </c>
      <c r="I93" s="22">
        <v>0.48074807480748077</v>
      </c>
      <c r="J93" s="20">
        <v>1292</v>
      </c>
      <c r="K93" s="20">
        <v>1260</v>
      </c>
      <c r="L93" s="21">
        <v>0.97499999999999998</v>
      </c>
      <c r="M93" s="20">
        <v>8505</v>
      </c>
      <c r="N93" s="20">
        <v>8334</v>
      </c>
      <c r="O93" s="20">
        <v>8383</v>
      </c>
      <c r="P93" s="21">
        <v>0.98565549676660791</v>
      </c>
      <c r="Q93" s="20">
        <v>18</v>
      </c>
      <c r="R93" s="20">
        <v>0</v>
      </c>
      <c r="S93" s="20">
        <v>0</v>
      </c>
      <c r="T93" s="21">
        <v>0</v>
      </c>
      <c r="U93" s="20">
        <v>0</v>
      </c>
      <c r="V93" s="21">
        <v>0</v>
      </c>
      <c r="W93" s="20">
        <v>2521</v>
      </c>
      <c r="X93" s="21">
        <v>1.3866886688668869</v>
      </c>
      <c r="Y93" s="20">
        <v>1172</v>
      </c>
      <c r="Z93" s="23">
        <v>0.64466446644664466</v>
      </c>
      <c r="AA93" s="20">
        <v>11</v>
      </c>
      <c r="AB93" s="21">
        <v>6.0506050605060504E-3</v>
      </c>
      <c r="AC93" s="20">
        <v>322</v>
      </c>
      <c r="AD93" s="21">
        <v>0.17711771177117711</v>
      </c>
      <c r="AE93" s="20">
        <v>48</v>
      </c>
      <c r="AF93" s="21">
        <v>0.14906832298136649</v>
      </c>
      <c r="AG93" s="20">
        <v>289</v>
      </c>
      <c r="AH93" s="21">
        <v>0.89751552795031053</v>
      </c>
      <c r="AI93" s="24">
        <v>321</v>
      </c>
      <c r="AJ93" s="21">
        <v>0.17656765676567659</v>
      </c>
      <c r="AK93" s="24">
        <v>1</v>
      </c>
      <c r="AL93" s="21">
        <v>0.85358255451713394</v>
      </c>
      <c r="AM93" s="24">
        <v>317</v>
      </c>
      <c r="AN93" s="24">
        <v>274</v>
      </c>
      <c r="AO93" s="21">
        <v>0.15071507150715069</v>
      </c>
      <c r="AP93" s="21">
        <v>0.85093167701863359</v>
      </c>
      <c r="AQ93" s="22">
        <v>0.98185483870967738</v>
      </c>
      <c r="AR93" s="24">
        <v>0</v>
      </c>
      <c r="AS93" s="24">
        <v>0</v>
      </c>
      <c r="AT93" s="24">
        <v>63</v>
      </c>
      <c r="AU93" s="24">
        <v>51</v>
      </c>
      <c r="AV93" s="24">
        <v>54</v>
      </c>
      <c r="AW93" s="24">
        <v>73</v>
      </c>
      <c r="AX93" s="21">
        <v>2.8052805280528049E-2</v>
      </c>
      <c r="AY93" s="21">
        <v>2.9702970297029702E-2</v>
      </c>
      <c r="AZ93" s="21">
        <v>4.0154015401540163E-2</v>
      </c>
      <c r="BA93" s="21">
        <v>0.1970802919708029</v>
      </c>
      <c r="BB93" s="24">
        <v>0</v>
      </c>
      <c r="BC93" s="24">
        <v>1</v>
      </c>
      <c r="BD93" s="22">
        <v>0.95652173913043481</v>
      </c>
      <c r="BE93" s="22">
        <v>1</v>
      </c>
      <c r="BF93" s="22" t="s">
        <v>89</v>
      </c>
    </row>
    <row r="94" spans="1:58" ht="19.5" customHeight="1">
      <c r="A94" s="25">
        <v>91</v>
      </c>
      <c r="B94" s="20" t="s">
        <v>88</v>
      </c>
      <c r="C94" s="26">
        <v>46104</v>
      </c>
      <c r="D94" s="20" t="s">
        <v>14</v>
      </c>
      <c r="E94" s="20">
        <v>1984</v>
      </c>
      <c r="F94" s="20">
        <v>1815</v>
      </c>
      <c r="G94" s="21">
        <v>0.91481854838709675</v>
      </c>
      <c r="H94" s="20">
        <v>396</v>
      </c>
      <c r="I94" s="22">
        <v>0.1995967741935484</v>
      </c>
      <c r="J94" s="20">
        <v>1082</v>
      </c>
      <c r="K94" s="20">
        <v>1042</v>
      </c>
      <c r="L94" s="21">
        <v>0.96299999999999997</v>
      </c>
      <c r="M94" s="20">
        <v>2773</v>
      </c>
      <c r="N94" s="20">
        <v>2769</v>
      </c>
      <c r="O94" s="20">
        <v>2694</v>
      </c>
      <c r="P94" s="21">
        <v>0.97151099891813919</v>
      </c>
      <c r="Q94" s="20">
        <v>4</v>
      </c>
      <c r="R94" s="20">
        <v>0</v>
      </c>
      <c r="S94" s="20">
        <v>0</v>
      </c>
      <c r="T94" s="21">
        <v>0</v>
      </c>
      <c r="U94" s="20">
        <v>0</v>
      </c>
      <c r="V94" s="21">
        <v>0</v>
      </c>
      <c r="W94" s="20">
        <v>11</v>
      </c>
      <c r="X94" s="21">
        <v>5.5443548387096777E-3</v>
      </c>
      <c r="Y94" s="20">
        <v>83</v>
      </c>
      <c r="Z94" s="23">
        <v>4.1834677419354843E-2</v>
      </c>
      <c r="AA94" s="20">
        <v>0</v>
      </c>
      <c r="AB94" s="21">
        <v>0</v>
      </c>
      <c r="AC94" s="20">
        <v>88</v>
      </c>
      <c r="AD94" s="21">
        <v>4.4354838709677422E-2</v>
      </c>
      <c r="AE94" s="20">
        <v>28</v>
      </c>
      <c r="AF94" s="21">
        <v>0.31818181818181818</v>
      </c>
      <c r="AG94" s="20">
        <v>75</v>
      </c>
      <c r="AH94" s="21">
        <v>0.85227272727272729</v>
      </c>
      <c r="AI94" s="24">
        <v>0</v>
      </c>
      <c r="AJ94" s="21">
        <v>0</v>
      </c>
      <c r="AK94" s="24">
        <v>0</v>
      </c>
      <c r="AL94" s="21">
        <v>0</v>
      </c>
      <c r="AM94" s="24">
        <v>0</v>
      </c>
      <c r="AN94" s="24">
        <v>0</v>
      </c>
      <c r="AO94" s="21">
        <v>0</v>
      </c>
      <c r="AP94" s="21">
        <v>0</v>
      </c>
      <c r="AQ94" s="22">
        <v>0.96969696969696972</v>
      </c>
      <c r="AR94" s="24">
        <v>252</v>
      </c>
      <c r="AS94" s="24">
        <v>34</v>
      </c>
      <c r="AT94" s="24">
        <v>0</v>
      </c>
      <c r="AU94" s="24">
        <v>0</v>
      </c>
      <c r="AV94" s="24">
        <v>0</v>
      </c>
      <c r="AW94" s="24">
        <v>0</v>
      </c>
      <c r="AX94" s="21">
        <v>0</v>
      </c>
      <c r="AY94" s="21">
        <v>0</v>
      </c>
      <c r="AZ94" s="21">
        <v>0</v>
      </c>
      <c r="BA94" s="21">
        <v>0</v>
      </c>
      <c r="BB94" s="24">
        <v>0</v>
      </c>
      <c r="BC94" s="24">
        <v>0</v>
      </c>
      <c r="BD94" s="22" t="s">
        <v>89</v>
      </c>
      <c r="BE94" s="22" t="s">
        <v>89</v>
      </c>
      <c r="BF94" s="22" t="s">
        <v>89</v>
      </c>
    </row>
    <row r="95" spans="1:58" ht="19.5" customHeight="1">
      <c r="A95" s="25">
        <v>92</v>
      </c>
      <c r="B95" s="20" t="s">
        <v>88</v>
      </c>
      <c r="C95" s="26">
        <v>46104</v>
      </c>
      <c r="D95" s="20" t="s">
        <v>13</v>
      </c>
      <c r="E95" s="20">
        <v>3592</v>
      </c>
      <c r="F95" s="20">
        <v>3189</v>
      </c>
      <c r="G95" s="21">
        <v>0.88780623608017817</v>
      </c>
      <c r="H95" s="20">
        <v>2429</v>
      </c>
      <c r="I95" s="22">
        <v>0.67622494432071267</v>
      </c>
      <c r="J95" s="20">
        <v>3398</v>
      </c>
      <c r="K95" s="20">
        <v>3312</v>
      </c>
      <c r="L95" s="21">
        <v>0.97499999999999998</v>
      </c>
      <c r="M95" s="20">
        <v>20752</v>
      </c>
      <c r="N95" s="20">
        <v>20268</v>
      </c>
      <c r="O95" s="20">
        <v>20452</v>
      </c>
      <c r="P95" s="21">
        <v>0.98554356206630689</v>
      </c>
      <c r="Q95" s="20">
        <v>23</v>
      </c>
      <c r="R95" s="20">
        <v>0</v>
      </c>
      <c r="S95" s="20">
        <v>0</v>
      </c>
      <c r="T95" s="21">
        <v>0</v>
      </c>
      <c r="U95" s="20">
        <v>0</v>
      </c>
      <c r="V95" s="21">
        <v>0</v>
      </c>
      <c r="W95" s="20">
        <v>3864</v>
      </c>
      <c r="X95" s="21">
        <v>1.075723830734967</v>
      </c>
      <c r="Y95" s="20">
        <v>731</v>
      </c>
      <c r="Z95" s="23">
        <v>0.20350779510022271</v>
      </c>
      <c r="AA95" s="20">
        <v>93</v>
      </c>
      <c r="AB95" s="21">
        <v>2.5890868596881961E-2</v>
      </c>
      <c r="AC95" s="20">
        <v>455</v>
      </c>
      <c r="AD95" s="21">
        <v>0.1266703786191537</v>
      </c>
      <c r="AE95" s="20">
        <v>53</v>
      </c>
      <c r="AF95" s="21">
        <v>0.1164835164835165</v>
      </c>
      <c r="AG95" s="20">
        <v>416</v>
      </c>
      <c r="AH95" s="21">
        <v>0.91428571428571426</v>
      </c>
      <c r="AI95" s="24">
        <v>463</v>
      </c>
      <c r="AJ95" s="21">
        <v>0.12889755011135859</v>
      </c>
      <c r="AK95" s="24">
        <v>4</v>
      </c>
      <c r="AL95" s="21">
        <v>0.92656587473002161</v>
      </c>
      <c r="AM95" s="24">
        <v>456</v>
      </c>
      <c r="AN95" s="24">
        <v>429</v>
      </c>
      <c r="AO95" s="21">
        <v>0.11943207126948779</v>
      </c>
      <c r="AP95" s="21">
        <v>0.94285714285714284</v>
      </c>
      <c r="AQ95" s="22">
        <v>0.96259351620947631</v>
      </c>
      <c r="AR95" s="24">
        <v>0</v>
      </c>
      <c r="AS95" s="24">
        <v>0</v>
      </c>
      <c r="AT95" s="24">
        <v>92</v>
      </c>
      <c r="AU95" s="24">
        <v>80</v>
      </c>
      <c r="AV95" s="24">
        <v>86</v>
      </c>
      <c r="AW95" s="24">
        <v>140</v>
      </c>
      <c r="AX95" s="21">
        <v>2.2271714922049001E-2</v>
      </c>
      <c r="AY95" s="21">
        <v>2.3942093541202671E-2</v>
      </c>
      <c r="AZ95" s="21">
        <v>3.8975501113585748E-2</v>
      </c>
      <c r="BA95" s="21">
        <v>0.20046620046620051</v>
      </c>
      <c r="BB95" s="24">
        <v>0</v>
      </c>
      <c r="BC95" s="24">
        <v>0</v>
      </c>
      <c r="BD95" s="22">
        <v>0.96825396825396826</v>
      </c>
      <c r="BE95" s="22">
        <v>1</v>
      </c>
      <c r="BF95" s="22" t="s">
        <v>89</v>
      </c>
    </row>
    <row r="96" spans="1:58" ht="19.5" customHeight="1">
      <c r="A96" s="25">
        <v>93</v>
      </c>
      <c r="B96" s="20" t="s">
        <v>88</v>
      </c>
      <c r="C96" s="26">
        <v>46105</v>
      </c>
      <c r="D96" s="20" t="s">
        <v>12</v>
      </c>
      <c r="E96" s="20">
        <v>3771</v>
      </c>
      <c r="F96" s="20">
        <v>3213</v>
      </c>
      <c r="G96" s="21">
        <v>0.85202863961813846</v>
      </c>
      <c r="H96" s="20">
        <v>2595</v>
      </c>
      <c r="I96" s="22">
        <v>0.68814638027048525</v>
      </c>
      <c r="J96" s="20">
        <v>4141</v>
      </c>
      <c r="K96" s="20">
        <v>4043</v>
      </c>
      <c r="L96" s="21">
        <v>0.97599999999999998</v>
      </c>
      <c r="M96" s="20">
        <v>12591</v>
      </c>
      <c r="N96" s="20">
        <v>12915</v>
      </c>
      <c r="O96" s="20">
        <v>12381</v>
      </c>
      <c r="P96" s="21">
        <v>0.983321420061949</v>
      </c>
      <c r="Q96" s="20">
        <v>16</v>
      </c>
      <c r="R96" s="20">
        <v>0</v>
      </c>
      <c r="S96" s="20">
        <v>0</v>
      </c>
      <c r="T96" s="21">
        <v>0</v>
      </c>
      <c r="U96" s="20">
        <v>0</v>
      </c>
      <c r="V96" s="21">
        <v>0</v>
      </c>
      <c r="W96" s="20">
        <v>3085</v>
      </c>
      <c r="X96" s="21">
        <v>0.81808538849111645</v>
      </c>
      <c r="Y96" s="20">
        <v>472</v>
      </c>
      <c r="Z96" s="23">
        <v>0.12516573853089369</v>
      </c>
      <c r="AA96" s="20">
        <v>23</v>
      </c>
      <c r="AB96" s="21">
        <v>6.0991779368867677E-3</v>
      </c>
      <c r="AC96" s="20">
        <v>275</v>
      </c>
      <c r="AD96" s="21">
        <v>7.2924953593211356E-2</v>
      </c>
      <c r="AE96" s="20">
        <v>41</v>
      </c>
      <c r="AF96" s="21">
        <v>0.14909090909090911</v>
      </c>
      <c r="AG96" s="20">
        <v>244</v>
      </c>
      <c r="AH96" s="21">
        <v>0.88727272727272732</v>
      </c>
      <c r="AI96" s="24">
        <v>290</v>
      </c>
      <c r="AJ96" s="21">
        <v>7.6902678334659247E-2</v>
      </c>
      <c r="AK96" s="24">
        <v>3</v>
      </c>
      <c r="AL96" s="21">
        <v>0.82413793103448274</v>
      </c>
      <c r="AM96" s="24">
        <v>288</v>
      </c>
      <c r="AN96" s="24">
        <v>239</v>
      </c>
      <c r="AO96" s="21">
        <v>6.3378414213736411E-2</v>
      </c>
      <c r="AP96" s="21">
        <v>0.86909090909090914</v>
      </c>
      <c r="AQ96" s="22">
        <v>0.96837944664031617</v>
      </c>
      <c r="AR96" s="24">
        <v>0</v>
      </c>
      <c r="AS96" s="24">
        <v>0</v>
      </c>
      <c r="AT96" s="24">
        <v>68</v>
      </c>
      <c r="AU96" s="24">
        <v>64</v>
      </c>
      <c r="AV96" s="24">
        <v>64</v>
      </c>
      <c r="AW96" s="24">
        <v>83</v>
      </c>
      <c r="AX96" s="21">
        <v>1.6971625563511009E-2</v>
      </c>
      <c r="AY96" s="21">
        <v>1.6971625563511009E-2</v>
      </c>
      <c r="AZ96" s="21">
        <v>2.2010076902678331E-2</v>
      </c>
      <c r="BA96" s="21">
        <v>0.26778242677824271</v>
      </c>
      <c r="BB96" s="24">
        <v>0</v>
      </c>
      <c r="BC96" s="24">
        <v>0</v>
      </c>
      <c r="BD96" s="22">
        <v>1</v>
      </c>
      <c r="BE96" s="22">
        <v>1</v>
      </c>
      <c r="BF96" s="22" t="s">
        <v>89</v>
      </c>
    </row>
    <row r="97" spans="1:58" ht="19.5" customHeight="1">
      <c r="A97" s="25">
        <v>94</v>
      </c>
      <c r="B97" s="20" t="s">
        <v>88</v>
      </c>
      <c r="C97" s="26">
        <v>46105</v>
      </c>
      <c r="D97" s="20" t="s">
        <v>11</v>
      </c>
      <c r="E97" s="20">
        <v>1694</v>
      </c>
      <c r="F97" s="20">
        <v>1471</v>
      </c>
      <c r="G97" s="21">
        <v>0.86835891381345931</v>
      </c>
      <c r="H97" s="20">
        <v>893</v>
      </c>
      <c r="I97" s="22">
        <v>0.52715466351829987</v>
      </c>
      <c r="J97" s="20">
        <v>1930</v>
      </c>
      <c r="K97" s="20">
        <v>1877</v>
      </c>
      <c r="L97" s="21">
        <v>0.97299999999999998</v>
      </c>
      <c r="M97" s="20">
        <v>8635</v>
      </c>
      <c r="N97" s="20">
        <v>8632</v>
      </c>
      <c r="O97" s="20">
        <v>8483</v>
      </c>
      <c r="P97" s="21">
        <v>0.9823972206137811</v>
      </c>
      <c r="Q97" s="20">
        <v>18</v>
      </c>
      <c r="R97" s="20">
        <v>0</v>
      </c>
      <c r="S97" s="20">
        <v>0</v>
      </c>
      <c r="T97" s="21">
        <v>0</v>
      </c>
      <c r="U97" s="20">
        <v>0</v>
      </c>
      <c r="V97" s="21">
        <v>0</v>
      </c>
      <c r="W97" s="20">
        <v>2956</v>
      </c>
      <c r="X97" s="21">
        <v>1.7449822904368359</v>
      </c>
      <c r="Y97" s="20">
        <v>1023</v>
      </c>
      <c r="Z97" s="23">
        <v>0.60389610389610393</v>
      </c>
      <c r="AA97" s="20">
        <v>12</v>
      </c>
      <c r="AB97" s="21">
        <v>7.0838252656434484E-3</v>
      </c>
      <c r="AC97" s="20">
        <v>324</v>
      </c>
      <c r="AD97" s="21">
        <v>0.19126328217237309</v>
      </c>
      <c r="AE97" s="20">
        <v>50</v>
      </c>
      <c r="AF97" s="21">
        <v>0.15432098765432101</v>
      </c>
      <c r="AG97" s="20">
        <v>294</v>
      </c>
      <c r="AH97" s="21">
        <v>0.90740740740740744</v>
      </c>
      <c r="AI97" s="24">
        <v>338</v>
      </c>
      <c r="AJ97" s="21">
        <v>0.19952774498229051</v>
      </c>
      <c r="AK97" s="24">
        <v>0</v>
      </c>
      <c r="AL97" s="21">
        <v>0.85207100591715978</v>
      </c>
      <c r="AM97" s="24">
        <v>334</v>
      </c>
      <c r="AN97" s="24">
        <v>288</v>
      </c>
      <c r="AO97" s="21">
        <v>0.17001180637544269</v>
      </c>
      <c r="AP97" s="21">
        <v>0.88888888888888884</v>
      </c>
      <c r="AQ97" s="22">
        <v>0.96979865771812079</v>
      </c>
      <c r="AR97" s="24">
        <v>0</v>
      </c>
      <c r="AS97" s="24">
        <v>0</v>
      </c>
      <c r="AT97" s="24">
        <v>66</v>
      </c>
      <c r="AU97" s="24">
        <v>57</v>
      </c>
      <c r="AV97" s="24">
        <v>60</v>
      </c>
      <c r="AW97" s="24">
        <v>58</v>
      </c>
      <c r="AX97" s="21">
        <v>3.3648170011806373E-2</v>
      </c>
      <c r="AY97" s="21">
        <v>3.541912632821724E-2</v>
      </c>
      <c r="AZ97" s="21">
        <v>3.4238488783943331E-2</v>
      </c>
      <c r="BA97" s="21">
        <v>0.20833333333333329</v>
      </c>
      <c r="BB97" s="24">
        <v>0</v>
      </c>
      <c r="BC97" s="24">
        <v>0</v>
      </c>
      <c r="BD97" s="22">
        <v>1</v>
      </c>
      <c r="BE97" s="22">
        <v>1</v>
      </c>
      <c r="BF97" s="22" t="s">
        <v>89</v>
      </c>
    </row>
    <row r="98" spans="1:58" ht="19.5" customHeight="1">
      <c r="A98" s="25">
        <v>95</v>
      </c>
      <c r="B98" s="20" t="s">
        <v>88</v>
      </c>
      <c r="C98" s="26">
        <v>46105</v>
      </c>
      <c r="D98" s="20" t="s">
        <v>14</v>
      </c>
      <c r="E98" s="20">
        <v>1959</v>
      </c>
      <c r="F98" s="20">
        <v>1729</v>
      </c>
      <c r="G98" s="21">
        <v>0.88259315977539565</v>
      </c>
      <c r="H98" s="20">
        <v>367</v>
      </c>
      <c r="I98" s="22">
        <v>0.18734047983665139</v>
      </c>
      <c r="J98" s="20">
        <v>1315</v>
      </c>
      <c r="K98" s="20">
        <v>1273</v>
      </c>
      <c r="L98" s="21">
        <v>0.96799999999999997</v>
      </c>
      <c r="M98" s="20">
        <v>4014</v>
      </c>
      <c r="N98" s="20">
        <v>3714</v>
      </c>
      <c r="O98" s="20">
        <v>3915</v>
      </c>
      <c r="P98" s="21">
        <v>0.9753363228699552</v>
      </c>
      <c r="Q98" s="20">
        <v>10</v>
      </c>
      <c r="R98" s="20">
        <v>0</v>
      </c>
      <c r="S98" s="20">
        <v>0</v>
      </c>
      <c r="T98" s="21">
        <v>0</v>
      </c>
      <c r="U98" s="20">
        <v>0</v>
      </c>
      <c r="V98" s="21">
        <v>0</v>
      </c>
      <c r="W98" s="20">
        <v>13</v>
      </c>
      <c r="X98" s="21">
        <v>6.636038795303726E-3</v>
      </c>
      <c r="Y98" s="20">
        <v>118</v>
      </c>
      <c r="Z98" s="23">
        <v>6.0234813680449209E-2</v>
      </c>
      <c r="AA98" s="20">
        <v>0</v>
      </c>
      <c r="AB98" s="21">
        <v>0</v>
      </c>
      <c r="AC98" s="20">
        <v>89</v>
      </c>
      <c r="AD98" s="21">
        <v>4.5431342521694743E-2</v>
      </c>
      <c r="AE98" s="20">
        <v>38</v>
      </c>
      <c r="AF98" s="21">
        <v>0.42696629213483139</v>
      </c>
      <c r="AG98" s="20">
        <v>79</v>
      </c>
      <c r="AH98" s="21">
        <v>0.88764044943820219</v>
      </c>
      <c r="AI98" s="24">
        <v>3</v>
      </c>
      <c r="AJ98" s="21">
        <v>1.5313935681470141E-3</v>
      </c>
      <c r="AK98" s="24">
        <v>0</v>
      </c>
      <c r="AL98" s="21">
        <v>0.33333333333333331</v>
      </c>
      <c r="AM98" s="24">
        <v>3</v>
      </c>
      <c r="AN98" s="24">
        <v>1</v>
      </c>
      <c r="AO98" s="21">
        <v>5.1046452271567128E-4</v>
      </c>
      <c r="AP98" s="21">
        <v>1.123595505617977E-2</v>
      </c>
      <c r="AQ98" s="22">
        <v>0.86956521739130432</v>
      </c>
      <c r="AR98" s="24">
        <v>225</v>
      </c>
      <c r="AS98" s="24">
        <v>28</v>
      </c>
      <c r="AT98" s="24">
        <v>0</v>
      </c>
      <c r="AU98" s="24">
        <v>0</v>
      </c>
      <c r="AV98" s="24">
        <v>0</v>
      </c>
      <c r="AW98" s="24">
        <v>0</v>
      </c>
      <c r="AX98" s="21">
        <v>0</v>
      </c>
      <c r="AY98" s="21">
        <v>0</v>
      </c>
      <c r="AZ98" s="21">
        <v>0</v>
      </c>
      <c r="BA98" s="21">
        <v>0</v>
      </c>
      <c r="BB98" s="24">
        <v>0</v>
      </c>
      <c r="BC98" s="24">
        <v>0</v>
      </c>
      <c r="BD98" s="22">
        <v>1</v>
      </c>
      <c r="BE98" s="22" t="s">
        <v>89</v>
      </c>
      <c r="BF98" s="22" t="s">
        <v>89</v>
      </c>
    </row>
    <row r="99" spans="1:58" ht="19.5" customHeight="1">
      <c r="A99" s="25">
        <v>96</v>
      </c>
      <c r="B99" s="20" t="s">
        <v>88</v>
      </c>
      <c r="C99" s="26">
        <v>46105</v>
      </c>
      <c r="D99" s="20" t="s">
        <v>13</v>
      </c>
      <c r="E99" s="20">
        <v>2191</v>
      </c>
      <c r="F99" s="20">
        <v>1974</v>
      </c>
      <c r="G99" s="21">
        <v>0.90095846645367417</v>
      </c>
      <c r="H99" s="20">
        <v>1445</v>
      </c>
      <c r="I99" s="22">
        <v>0.65951620264719302</v>
      </c>
      <c r="J99" s="20">
        <v>4500</v>
      </c>
      <c r="K99" s="20">
        <v>4421</v>
      </c>
      <c r="L99" s="21">
        <v>0.98199999999999998</v>
      </c>
      <c r="M99" s="20">
        <v>21348</v>
      </c>
      <c r="N99" s="20">
        <v>20675</v>
      </c>
      <c r="O99" s="20">
        <v>21079</v>
      </c>
      <c r="P99" s="21">
        <v>0.98739928798950727</v>
      </c>
      <c r="Q99" s="20">
        <v>13</v>
      </c>
      <c r="R99" s="20">
        <v>0</v>
      </c>
      <c r="S99" s="20">
        <v>0</v>
      </c>
      <c r="T99" s="21">
        <v>0</v>
      </c>
      <c r="U99" s="20">
        <v>0</v>
      </c>
      <c r="V99" s="21">
        <v>0</v>
      </c>
      <c r="W99" s="20">
        <v>4048</v>
      </c>
      <c r="X99" s="21">
        <v>1.847558192606116</v>
      </c>
      <c r="Y99" s="20">
        <v>720</v>
      </c>
      <c r="Z99" s="23">
        <v>0.32861706983112732</v>
      </c>
      <c r="AA99" s="20">
        <v>101</v>
      </c>
      <c r="AB99" s="21">
        <v>4.6097672295755357E-2</v>
      </c>
      <c r="AC99" s="20">
        <v>447</v>
      </c>
      <c r="AD99" s="21">
        <v>0.20401643085349161</v>
      </c>
      <c r="AE99" s="20">
        <v>73</v>
      </c>
      <c r="AF99" s="21">
        <v>0.16331096196868011</v>
      </c>
      <c r="AG99" s="20">
        <v>410</v>
      </c>
      <c r="AH99" s="21">
        <v>0.91722595078299773</v>
      </c>
      <c r="AI99" s="24">
        <v>458</v>
      </c>
      <c r="AJ99" s="21">
        <v>0.20903696942035599</v>
      </c>
      <c r="AK99" s="24">
        <v>2</v>
      </c>
      <c r="AL99" s="21">
        <v>0.92139737991266379</v>
      </c>
      <c r="AM99" s="24">
        <v>456</v>
      </c>
      <c r="AN99" s="24">
        <v>422</v>
      </c>
      <c r="AO99" s="21">
        <v>0.19260611592879959</v>
      </c>
      <c r="AP99" s="21">
        <v>0.94407158836689042</v>
      </c>
      <c r="AQ99" s="22">
        <v>0.965034965034965</v>
      </c>
      <c r="AR99" s="24">
        <v>0</v>
      </c>
      <c r="AS99" s="24">
        <v>0</v>
      </c>
      <c r="AT99" s="24">
        <v>82</v>
      </c>
      <c r="AU99" s="24">
        <v>74</v>
      </c>
      <c r="AV99" s="24">
        <v>76</v>
      </c>
      <c r="AW99" s="24">
        <v>109</v>
      </c>
      <c r="AX99" s="21">
        <v>3.377453217708809E-2</v>
      </c>
      <c r="AY99" s="21">
        <v>3.4687357371063439E-2</v>
      </c>
      <c r="AZ99" s="21">
        <v>4.974897307165678E-2</v>
      </c>
      <c r="BA99" s="21">
        <v>0.18009478672985779</v>
      </c>
      <c r="BB99" s="24">
        <v>0</v>
      </c>
      <c r="BC99" s="24">
        <v>0</v>
      </c>
      <c r="BD99" s="22">
        <v>1</v>
      </c>
      <c r="BE99" s="22">
        <v>1</v>
      </c>
      <c r="BF99" s="22" t="s">
        <v>89</v>
      </c>
    </row>
    <row r="100" spans="1:58" ht="19.5" customHeight="1">
      <c r="A100" s="25">
        <v>97</v>
      </c>
      <c r="B100" s="20" t="s">
        <v>88</v>
      </c>
      <c r="C100" s="26">
        <v>46106</v>
      </c>
      <c r="D100" s="20" t="s">
        <v>12</v>
      </c>
      <c r="E100" s="20">
        <v>3348</v>
      </c>
      <c r="F100" s="20">
        <v>2806</v>
      </c>
      <c r="G100" s="21">
        <v>0.83811230585424135</v>
      </c>
      <c r="H100" s="20">
        <v>2219</v>
      </c>
      <c r="I100" s="22">
        <v>0.66278375149342894</v>
      </c>
      <c r="J100" s="20">
        <v>4066</v>
      </c>
      <c r="K100" s="20">
        <v>3969</v>
      </c>
      <c r="L100" s="21">
        <v>0.97599999999999998</v>
      </c>
      <c r="M100" s="20">
        <v>12562</v>
      </c>
      <c r="N100" s="20">
        <v>12768</v>
      </c>
      <c r="O100" s="20">
        <v>12360</v>
      </c>
      <c r="P100" s="21">
        <v>0.98391975800031839</v>
      </c>
      <c r="Q100" s="20">
        <v>26</v>
      </c>
      <c r="R100" s="20">
        <v>0</v>
      </c>
      <c r="S100" s="20">
        <v>0</v>
      </c>
      <c r="T100" s="21">
        <v>0</v>
      </c>
      <c r="U100" s="20">
        <v>0</v>
      </c>
      <c r="V100" s="21">
        <v>0</v>
      </c>
      <c r="W100" s="20">
        <v>3065</v>
      </c>
      <c r="X100" s="21">
        <v>0.91547192353643969</v>
      </c>
      <c r="Y100" s="20">
        <v>514</v>
      </c>
      <c r="Z100" s="23">
        <v>0.15352449223416961</v>
      </c>
      <c r="AA100" s="20">
        <v>28</v>
      </c>
      <c r="AB100" s="21">
        <v>8.3632019115890081E-3</v>
      </c>
      <c r="AC100" s="20">
        <v>286</v>
      </c>
      <c r="AD100" s="21">
        <v>8.5424133811230582E-2</v>
      </c>
      <c r="AE100" s="20">
        <v>47</v>
      </c>
      <c r="AF100" s="21">
        <v>0.16433566433566429</v>
      </c>
      <c r="AG100" s="20">
        <v>260</v>
      </c>
      <c r="AH100" s="21">
        <v>0.90909090909090906</v>
      </c>
      <c r="AI100" s="24">
        <v>285</v>
      </c>
      <c r="AJ100" s="21">
        <v>8.5125448028673834E-2</v>
      </c>
      <c r="AK100" s="24">
        <v>4</v>
      </c>
      <c r="AL100" s="21">
        <v>0.92982456140350878</v>
      </c>
      <c r="AM100" s="24">
        <v>283</v>
      </c>
      <c r="AN100" s="24">
        <v>265</v>
      </c>
      <c r="AO100" s="21">
        <v>7.9151732377538836E-2</v>
      </c>
      <c r="AP100" s="21">
        <v>0.92657342657342656</v>
      </c>
      <c r="AQ100" s="22">
        <v>0.94636015325670497</v>
      </c>
      <c r="AR100" s="24">
        <v>0</v>
      </c>
      <c r="AS100" s="24">
        <v>0</v>
      </c>
      <c r="AT100" s="24">
        <v>72</v>
      </c>
      <c r="AU100" s="24">
        <v>60</v>
      </c>
      <c r="AV100" s="24">
        <v>62</v>
      </c>
      <c r="AW100" s="24">
        <v>85</v>
      </c>
      <c r="AX100" s="21">
        <v>1.7921146953405021E-2</v>
      </c>
      <c r="AY100" s="21">
        <v>1.8518518518518521E-2</v>
      </c>
      <c r="AZ100" s="21">
        <v>2.5388291517323771E-2</v>
      </c>
      <c r="BA100" s="21">
        <v>0.2339622641509434</v>
      </c>
      <c r="BB100" s="24">
        <v>0</v>
      </c>
      <c r="BC100" s="24">
        <v>0</v>
      </c>
      <c r="BD100" s="22">
        <v>0.96875</v>
      </c>
      <c r="BE100" s="22">
        <v>1</v>
      </c>
      <c r="BF100" s="22" t="s">
        <v>89</v>
      </c>
    </row>
    <row r="101" spans="1:58" ht="19.5" customHeight="1">
      <c r="A101" s="25">
        <v>98</v>
      </c>
      <c r="B101" s="20" t="s">
        <v>88</v>
      </c>
      <c r="C101" s="26">
        <v>46106</v>
      </c>
      <c r="D101" s="20" t="s">
        <v>11</v>
      </c>
      <c r="E101" s="20">
        <v>2247</v>
      </c>
      <c r="F101" s="20">
        <v>1969</v>
      </c>
      <c r="G101" s="21">
        <v>0.8762794837561193</v>
      </c>
      <c r="H101" s="20">
        <v>1321</v>
      </c>
      <c r="I101" s="22">
        <v>0.58789497107254118</v>
      </c>
      <c r="J101" s="20">
        <v>1653</v>
      </c>
      <c r="K101" s="20">
        <v>1582</v>
      </c>
      <c r="L101" s="21">
        <v>0.95699999999999996</v>
      </c>
      <c r="M101" s="20">
        <v>8582</v>
      </c>
      <c r="N101" s="20">
        <v>8658</v>
      </c>
      <c r="O101" s="20">
        <v>8424</v>
      </c>
      <c r="P101" s="21">
        <v>0.98158937310650196</v>
      </c>
      <c r="Q101" s="20">
        <v>31</v>
      </c>
      <c r="R101" s="20">
        <v>0</v>
      </c>
      <c r="S101" s="20">
        <v>0</v>
      </c>
      <c r="T101" s="21">
        <v>0</v>
      </c>
      <c r="U101" s="20">
        <v>0</v>
      </c>
      <c r="V101" s="21">
        <v>0</v>
      </c>
      <c r="W101" s="20">
        <v>2909</v>
      </c>
      <c r="X101" s="21">
        <v>1.294615042278594</v>
      </c>
      <c r="Y101" s="20">
        <v>569</v>
      </c>
      <c r="Z101" s="23">
        <v>0.25322652425456171</v>
      </c>
      <c r="AA101" s="20">
        <v>17</v>
      </c>
      <c r="AB101" s="21">
        <v>7.5656430796617706E-3</v>
      </c>
      <c r="AC101" s="20">
        <v>334</v>
      </c>
      <c r="AD101" s="21">
        <v>0.148642634623943</v>
      </c>
      <c r="AE101" s="20">
        <v>47</v>
      </c>
      <c r="AF101" s="21">
        <v>0.1407185628742515</v>
      </c>
      <c r="AG101" s="20">
        <v>296</v>
      </c>
      <c r="AH101" s="21">
        <v>0.88622754491017963</v>
      </c>
      <c r="AI101" s="24">
        <v>322</v>
      </c>
      <c r="AJ101" s="21">
        <v>0.14330218068535819</v>
      </c>
      <c r="AK101" s="24">
        <v>1</v>
      </c>
      <c r="AL101" s="21">
        <v>0.8571428571428571</v>
      </c>
      <c r="AM101" s="24">
        <v>321</v>
      </c>
      <c r="AN101" s="24">
        <v>276</v>
      </c>
      <c r="AO101" s="21">
        <v>0.12283044058744989</v>
      </c>
      <c r="AP101" s="21">
        <v>0.82634730538922152</v>
      </c>
      <c r="AQ101" s="22">
        <v>0.97151898734177211</v>
      </c>
      <c r="AR101" s="24">
        <v>0</v>
      </c>
      <c r="AS101" s="24">
        <v>0</v>
      </c>
      <c r="AT101" s="24">
        <v>85</v>
      </c>
      <c r="AU101" s="24">
        <v>80</v>
      </c>
      <c r="AV101" s="24">
        <v>77</v>
      </c>
      <c r="AW101" s="24">
        <v>60</v>
      </c>
      <c r="AX101" s="21">
        <v>3.5603026257231857E-2</v>
      </c>
      <c r="AY101" s="21">
        <v>3.4267912772585667E-2</v>
      </c>
      <c r="AZ101" s="21">
        <v>2.67022696929239E-2</v>
      </c>
      <c r="BA101" s="21">
        <v>0.27898550724637677</v>
      </c>
      <c r="BB101" s="24">
        <v>0</v>
      </c>
      <c r="BC101" s="24">
        <v>1</v>
      </c>
      <c r="BD101" s="22">
        <v>1</v>
      </c>
      <c r="BE101" s="22">
        <v>0.92307692307692313</v>
      </c>
      <c r="BF101" s="22" t="s">
        <v>89</v>
      </c>
    </row>
    <row r="102" spans="1:58" ht="19.5" customHeight="1">
      <c r="A102" s="25">
        <v>99</v>
      </c>
      <c r="B102" s="20" t="s">
        <v>88</v>
      </c>
      <c r="C102" s="26">
        <v>46106</v>
      </c>
      <c r="D102" s="20" t="s">
        <v>14</v>
      </c>
      <c r="E102" s="20">
        <v>1546</v>
      </c>
      <c r="F102" s="20">
        <v>1378</v>
      </c>
      <c r="G102" s="21">
        <v>0.89133247089262613</v>
      </c>
      <c r="H102" s="20">
        <v>369</v>
      </c>
      <c r="I102" s="22">
        <v>0.2386804657179819</v>
      </c>
      <c r="J102" s="20">
        <v>1202</v>
      </c>
      <c r="K102" s="20">
        <v>1158</v>
      </c>
      <c r="L102" s="21">
        <v>0.96299999999999997</v>
      </c>
      <c r="M102" s="20">
        <v>3428</v>
      </c>
      <c r="N102" s="20">
        <v>3422</v>
      </c>
      <c r="O102" s="20">
        <v>3321</v>
      </c>
      <c r="P102" s="21">
        <v>0.96878646441073513</v>
      </c>
      <c r="Q102" s="20">
        <v>12</v>
      </c>
      <c r="R102" s="20">
        <v>0</v>
      </c>
      <c r="S102" s="20">
        <v>0</v>
      </c>
      <c r="T102" s="21">
        <v>0</v>
      </c>
      <c r="U102" s="20">
        <v>0</v>
      </c>
      <c r="V102" s="21">
        <v>0</v>
      </c>
      <c r="W102" s="20">
        <v>31</v>
      </c>
      <c r="X102" s="21">
        <v>2.0051746442432079E-2</v>
      </c>
      <c r="Y102" s="20">
        <v>191</v>
      </c>
      <c r="Z102" s="23">
        <v>0.12354463130659769</v>
      </c>
      <c r="AA102" s="20">
        <v>0</v>
      </c>
      <c r="AB102" s="21">
        <v>0</v>
      </c>
      <c r="AC102" s="20">
        <v>70</v>
      </c>
      <c r="AD102" s="21">
        <v>4.5278137128072438E-2</v>
      </c>
      <c r="AE102" s="20">
        <v>26</v>
      </c>
      <c r="AF102" s="21">
        <v>0.37142857142857139</v>
      </c>
      <c r="AG102" s="20">
        <v>57</v>
      </c>
      <c r="AH102" s="21">
        <v>0.81428571428571428</v>
      </c>
      <c r="AI102" s="24">
        <v>2</v>
      </c>
      <c r="AJ102" s="21">
        <v>1.29366106080207E-3</v>
      </c>
      <c r="AK102" s="24">
        <v>0</v>
      </c>
      <c r="AL102" s="21">
        <v>1</v>
      </c>
      <c r="AM102" s="24">
        <v>2</v>
      </c>
      <c r="AN102" s="24">
        <v>2</v>
      </c>
      <c r="AO102" s="21">
        <v>1.29366106080207E-3</v>
      </c>
      <c r="AP102" s="21">
        <v>2.8571428571428571E-2</v>
      </c>
      <c r="AQ102" s="22">
        <v>0.95454545454545459</v>
      </c>
      <c r="AR102" s="24">
        <v>221</v>
      </c>
      <c r="AS102" s="24">
        <v>24</v>
      </c>
      <c r="AT102" s="24">
        <v>0</v>
      </c>
      <c r="AU102" s="24">
        <v>0</v>
      </c>
      <c r="AV102" s="24">
        <v>0</v>
      </c>
      <c r="AW102" s="24">
        <v>0</v>
      </c>
      <c r="AX102" s="21">
        <v>0</v>
      </c>
      <c r="AY102" s="21">
        <v>0</v>
      </c>
      <c r="AZ102" s="21">
        <v>0</v>
      </c>
      <c r="BA102" s="21">
        <v>0</v>
      </c>
      <c r="BB102" s="24">
        <v>0</v>
      </c>
      <c r="BC102" s="24">
        <v>0</v>
      </c>
      <c r="BD102" s="22">
        <v>1</v>
      </c>
      <c r="BE102" s="22" t="s">
        <v>89</v>
      </c>
      <c r="BF102" s="22" t="s">
        <v>89</v>
      </c>
    </row>
    <row r="103" spans="1:58" ht="19.5" customHeight="1">
      <c r="A103" s="25">
        <v>100</v>
      </c>
      <c r="B103" s="20" t="s">
        <v>88</v>
      </c>
      <c r="C103" s="26">
        <v>46106</v>
      </c>
      <c r="D103" s="20" t="s">
        <v>13</v>
      </c>
      <c r="E103" s="20">
        <v>2485</v>
      </c>
      <c r="F103" s="20">
        <v>2287</v>
      </c>
      <c r="G103" s="21">
        <v>0.92032193158953723</v>
      </c>
      <c r="H103" s="20">
        <v>1456</v>
      </c>
      <c r="I103" s="22">
        <v>0.58591549295774648</v>
      </c>
      <c r="J103" s="20">
        <v>3316</v>
      </c>
      <c r="K103" s="20">
        <v>3235</v>
      </c>
      <c r="L103" s="21">
        <v>0.97599999999999998</v>
      </c>
      <c r="M103" s="20">
        <v>19780</v>
      </c>
      <c r="N103" s="20">
        <v>19231</v>
      </c>
      <c r="O103" s="20">
        <v>19522</v>
      </c>
      <c r="P103" s="21">
        <v>0.9869565217391304</v>
      </c>
      <c r="Q103" s="20">
        <v>25</v>
      </c>
      <c r="R103" s="20">
        <v>0</v>
      </c>
      <c r="S103" s="20">
        <v>0</v>
      </c>
      <c r="T103" s="21">
        <v>0</v>
      </c>
      <c r="U103" s="20">
        <v>0</v>
      </c>
      <c r="V103" s="21">
        <v>0</v>
      </c>
      <c r="W103" s="20">
        <v>4466</v>
      </c>
      <c r="X103" s="21">
        <v>1.7971830985915489</v>
      </c>
      <c r="Y103" s="20">
        <v>793</v>
      </c>
      <c r="Z103" s="23">
        <v>0.31911468812877258</v>
      </c>
      <c r="AA103" s="20">
        <v>107</v>
      </c>
      <c r="AB103" s="21">
        <v>4.3058350100603618E-2</v>
      </c>
      <c r="AC103" s="20">
        <v>471</v>
      </c>
      <c r="AD103" s="21">
        <v>0.18953722334004031</v>
      </c>
      <c r="AE103" s="20">
        <v>78</v>
      </c>
      <c r="AF103" s="21">
        <v>0.16560509554140129</v>
      </c>
      <c r="AG103" s="20">
        <v>438</v>
      </c>
      <c r="AH103" s="21">
        <v>0.92993630573248409</v>
      </c>
      <c r="AI103" s="24">
        <v>511</v>
      </c>
      <c r="AJ103" s="21">
        <v>0.20563380281690141</v>
      </c>
      <c r="AK103" s="24">
        <v>1</v>
      </c>
      <c r="AL103" s="21">
        <v>0.9178082191780822</v>
      </c>
      <c r="AM103" s="24">
        <v>505</v>
      </c>
      <c r="AN103" s="24">
        <v>469</v>
      </c>
      <c r="AO103" s="21">
        <v>0.18873239436619721</v>
      </c>
      <c r="AP103" s="21">
        <v>0.99575371549893843</v>
      </c>
      <c r="AQ103" s="22">
        <v>0.96990740740740744</v>
      </c>
      <c r="AR103" s="24">
        <v>0</v>
      </c>
      <c r="AS103" s="24">
        <v>0</v>
      </c>
      <c r="AT103" s="24">
        <v>75</v>
      </c>
      <c r="AU103" s="24">
        <v>66</v>
      </c>
      <c r="AV103" s="24">
        <v>67</v>
      </c>
      <c r="AW103" s="24">
        <v>133</v>
      </c>
      <c r="AX103" s="21">
        <v>2.6559356136820929E-2</v>
      </c>
      <c r="AY103" s="21">
        <v>2.696177062374245E-2</v>
      </c>
      <c r="AZ103" s="21">
        <v>5.3521126760563378E-2</v>
      </c>
      <c r="BA103" s="21">
        <v>0.14285714285714279</v>
      </c>
      <c r="BB103" s="24">
        <v>0</v>
      </c>
      <c r="BC103" s="24">
        <v>0</v>
      </c>
      <c r="BD103" s="22">
        <v>1</v>
      </c>
      <c r="BE103" s="22">
        <v>1</v>
      </c>
      <c r="BF103" s="22" t="s">
        <v>89</v>
      </c>
    </row>
    <row r="104" spans="1:58" ht="19.5" customHeight="1">
      <c r="A104" s="25">
        <v>101</v>
      </c>
      <c r="B104" s="20" t="s">
        <v>88</v>
      </c>
      <c r="C104" s="26">
        <v>46107</v>
      </c>
      <c r="D104" s="20" t="s">
        <v>12</v>
      </c>
      <c r="E104" s="20">
        <v>3175</v>
      </c>
      <c r="F104" s="20">
        <v>2741</v>
      </c>
      <c r="G104" s="21">
        <v>0.86330708661417321</v>
      </c>
      <c r="H104" s="20">
        <v>1403</v>
      </c>
      <c r="I104" s="22">
        <v>0.44188976377952749</v>
      </c>
      <c r="J104" s="20">
        <v>2257</v>
      </c>
      <c r="K104" s="20">
        <v>2165</v>
      </c>
      <c r="L104" s="21">
        <v>0.95899999999999996</v>
      </c>
      <c r="M104" s="20">
        <v>11074</v>
      </c>
      <c r="N104" s="20">
        <v>11075</v>
      </c>
      <c r="O104" s="20">
        <v>10899</v>
      </c>
      <c r="P104" s="21">
        <v>0.98419721871049304</v>
      </c>
      <c r="Q104" s="20">
        <v>36</v>
      </c>
      <c r="R104" s="20">
        <v>0</v>
      </c>
      <c r="S104" s="20">
        <v>0</v>
      </c>
      <c r="T104" s="21">
        <v>0</v>
      </c>
      <c r="U104" s="20">
        <v>0</v>
      </c>
      <c r="V104" s="21">
        <v>0</v>
      </c>
      <c r="W104" s="20">
        <v>3037</v>
      </c>
      <c r="X104" s="21">
        <v>0.95653543307086619</v>
      </c>
      <c r="Y104" s="20">
        <v>468</v>
      </c>
      <c r="Z104" s="23">
        <v>0.14740157480314961</v>
      </c>
      <c r="AA104" s="20">
        <v>17</v>
      </c>
      <c r="AB104" s="21">
        <v>5.3543307086614169E-3</v>
      </c>
      <c r="AC104" s="20">
        <v>265</v>
      </c>
      <c r="AD104" s="21">
        <v>8.3464566929133857E-2</v>
      </c>
      <c r="AE104" s="20">
        <v>59</v>
      </c>
      <c r="AF104" s="21">
        <v>0.2226415094339623</v>
      </c>
      <c r="AG104" s="20">
        <v>242</v>
      </c>
      <c r="AH104" s="21">
        <v>0.91320754716981134</v>
      </c>
      <c r="AI104" s="24">
        <v>298</v>
      </c>
      <c r="AJ104" s="21">
        <v>9.3858267716535437E-2</v>
      </c>
      <c r="AK104" s="24">
        <v>2</v>
      </c>
      <c r="AL104" s="21">
        <v>0.79194630872483218</v>
      </c>
      <c r="AM104" s="24">
        <v>283</v>
      </c>
      <c r="AN104" s="24">
        <v>236</v>
      </c>
      <c r="AO104" s="21">
        <v>7.4330708661417319E-2</v>
      </c>
      <c r="AP104" s="21">
        <v>0.89056603773584908</v>
      </c>
      <c r="AQ104" s="22">
        <v>0.94814814814814818</v>
      </c>
      <c r="AR104" s="24">
        <v>0</v>
      </c>
      <c r="AS104" s="24">
        <v>0</v>
      </c>
      <c r="AT104" s="24">
        <v>81</v>
      </c>
      <c r="AU104" s="24">
        <v>77</v>
      </c>
      <c r="AV104" s="24">
        <v>76</v>
      </c>
      <c r="AW104" s="24">
        <v>75</v>
      </c>
      <c r="AX104" s="21">
        <v>2.4251968503937009E-2</v>
      </c>
      <c r="AY104" s="21">
        <v>2.3937007874015748E-2</v>
      </c>
      <c r="AZ104" s="21">
        <v>2.3622047244094491E-2</v>
      </c>
      <c r="BA104" s="21">
        <v>0.32203389830508472</v>
      </c>
      <c r="BB104" s="24">
        <v>0</v>
      </c>
      <c r="BC104" s="24">
        <v>0</v>
      </c>
      <c r="BD104" s="22">
        <v>0.9642857142857143</v>
      </c>
      <c r="BE104" s="22">
        <v>1</v>
      </c>
      <c r="BF104" s="22" t="s">
        <v>89</v>
      </c>
    </row>
    <row r="105" spans="1:58" ht="19.5" customHeight="1">
      <c r="A105" s="25">
        <v>102</v>
      </c>
      <c r="B105" s="20" t="s">
        <v>88</v>
      </c>
      <c r="C105" s="26">
        <v>46107</v>
      </c>
      <c r="D105" s="20" t="s">
        <v>11</v>
      </c>
      <c r="E105" s="20">
        <v>3275</v>
      </c>
      <c r="F105" s="20">
        <v>2869</v>
      </c>
      <c r="G105" s="21">
        <v>0.87603053435114508</v>
      </c>
      <c r="H105" s="20">
        <v>2317</v>
      </c>
      <c r="I105" s="22">
        <v>0.70748091603053431</v>
      </c>
      <c r="J105" s="20">
        <v>3717</v>
      </c>
      <c r="K105" s="20">
        <v>3612</v>
      </c>
      <c r="L105" s="21">
        <v>0.97199999999999998</v>
      </c>
      <c r="M105" s="20">
        <v>11179</v>
      </c>
      <c r="N105" s="20">
        <v>11448</v>
      </c>
      <c r="O105" s="20">
        <v>10999</v>
      </c>
      <c r="P105" s="21">
        <v>0.98389838089274528</v>
      </c>
      <c r="Q105" s="20">
        <v>36</v>
      </c>
      <c r="R105" s="20">
        <v>0</v>
      </c>
      <c r="S105" s="20">
        <v>0</v>
      </c>
      <c r="T105" s="21">
        <v>0</v>
      </c>
      <c r="U105" s="20">
        <v>0</v>
      </c>
      <c r="V105" s="21">
        <v>0</v>
      </c>
      <c r="W105" s="20">
        <v>2953</v>
      </c>
      <c r="X105" s="21">
        <v>0.90167938931297709</v>
      </c>
      <c r="Y105" s="20">
        <v>476</v>
      </c>
      <c r="Z105" s="23">
        <v>0.14534351145038171</v>
      </c>
      <c r="AA105" s="20">
        <v>22</v>
      </c>
      <c r="AB105" s="21">
        <v>6.7175572519083968E-3</v>
      </c>
      <c r="AC105" s="20">
        <v>285</v>
      </c>
      <c r="AD105" s="21">
        <v>8.7022900763358779E-2</v>
      </c>
      <c r="AE105" s="20">
        <v>60</v>
      </c>
      <c r="AF105" s="21">
        <v>0.2105263157894737</v>
      </c>
      <c r="AG105" s="20">
        <v>267</v>
      </c>
      <c r="AH105" s="21">
        <v>0.93684210526315792</v>
      </c>
      <c r="AI105" s="24">
        <v>295</v>
      </c>
      <c r="AJ105" s="21">
        <v>9.0076335877862596E-2</v>
      </c>
      <c r="AK105" s="24">
        <v>0</v>
      </c>
      <c r="AL105" s="21">
        <v>0.87118644067796613</v>
      </c>
      <c r="AM105" s="24">
        <v>292</v>
      </c>
      <c r="AN105" s="24">
        <v>257</v>
      </c>
      <c r="AO105" s="21">
        <v>7.8473282442748094E-2</v>
      </c>
      <c r="AP105" s="21">
        <v>0.90175438596491231</v>
      </c>
      <c r="AQ105" s="22">
        <v>0.96885813148788924</v>
      </c>
      <c r="AR105" s="24">
        <v>0</v>
      </c>
      <c r="AS105" s="24">
        <v>0</v>
      </c>
      <c r="AT105" s="24">
        <v>55</v>
      </c>
      <c r="AU105" s="24">
        <v>35</v>
      </c>
      <c r="AV105" s="24">
        <v>39</v>
      </c>
      <c r="AW105" s="24">
        <v>60</v>
      </c>
      <c r="AX105" s="21">
        <v>1.0687022900763361E-2</v>
      </c>
      <c r="AY105" s="21">
        <v>1.1908396946564891E-2</v>
      </c>
      <c r="AZ105" s="21">
        <v>1.8320610687022901E-2</v>
      </c>
      <c r="BA105" s="21">
        <v>0.1517509727626459</v>
      </c>
      <c r="BB105" s="24">
        <v>0</v>
      </c>
      <c r="BC105" s="24">
        <v>0</v>
      </c>
      <c r="BD105" s="22">
        <v>1</v>
      </c>
      <c r="BE105" s="22">
        <v>1</v>
      </c>
      <c r="BF105" s="22" t="s">
        <v>89</v>
      </c>
    </row>
    <row r="106" spans="1:58" ht="19.5" customHeight="1">
      <c r="A106" s="25">
        <v>103</v>
      </c>
      <c r="B106" s="20" t="s">
        <v>88</v>
      </c>
      <c r="C106" s="26">
        <v>46107</v>
      </c>
      <c r="D106" s="20" t="s">
        <v>14</v>
      </c>
      <c r="E106" s="20">
        <v>1914</v>
      </c>
      <c r="F106" s="20">
        <v>1678</v>
      </c>
      <c r="G106" s="21">
        <v>0.87669801462904906</v>
      </c>
      <c r="H106" s="20">
        <v>405</v>
      </c>
      <c r="I106" s="22">
        <v>0.2115987460815047</v>
      </c>
      <c r="J106" s="20">
        <v>1194</v>
      </c>
      <c r="K106" s="20">
        <v>1153</v>
      </c>
      <c r="L106" s="21">
        <v>0.96599999999999997</v>
      </c>
      <c r="M106" s="20">
        <v>3338</v>
      </c>
      <c r="N106" s="20">
        <v>3445</v>
      </c>
      <c r="O106" s="20">
        <v>3246</v>
      </c>
      <c r="P106" s="21">
        <v>0.97243858597962851</v>
      </c>
      <c r="Q106" s="20">
        <v>12</v>
      </c>
      <c r="R106" s="20">
        <v>0</v>
      </c>
      <c r="S106" s="20">
        <v>0</v>
      </c>
      <c r="T106" s="21">
        <v>0</v>
      </c>
      <c r="U106" s="20">
        <v>0</v>
      </c>
      <c r="V106" s="21">
        <v>0</v>
      </c>
      <c r="W106" s="20">
        <v>37</v>
      </c>
      <c r="X106" s="21">
        <v>1.9331243469174499E-2</v>
      </c>
      <c r="Y106" s="20">
        <v>149</v>
      </c>
      <c r="Z106" s="23">
        <v>7.7847439916405428E-2</v>
      </c>
      <c r="AA106" s="20">
        <v>0</v>
      </c>
      <c r="AB106" s="21">
        <v>0</v>
      </c>
      <c r="AC106" s="20">
        <v>108</v>
      </c>
      <c r="AD106" s="21">
        <v>5.6426332288401257E-2</v>
      </c>
      <c r="AE106" s="20">
        <v>25</v>
      </c>
      <c r="AF106" s="21">
        <v>0.23148148148148151</v>
      </c>
      <c r="AG106" s="20">
        <v>95</v>
      </c>
      <c r="AH106" s="21">
        <v>0.87962962962962965</v>
      </c>
      <c r="AI106" s="24">
        <v>2</v>
      </c>
      <c r="AJ106" s="21">
        <v>1.0449320794148379E-3</v>
      </c>
      <c r="AK106" s="24">
        <v>0</v>
      </c>
      <c r="AL106" s="21">
        <v>0.5</v>
      </c>
      <c r="AM106" s="24">
        <v>2</v>
      </c>
      <c r="AN106" s="24">
        <v>1</v>
      </c>
      <c r="AO106" s="21">
        <v>5.2246603970741907E-4</v>
      </c>
      <c r="AP106" s="21">
        <v>9.2592592592592587E-3</v>
      </c>
      <c r="AQ106" s="22">
        <v>0.93333333333333335</v>
      </c>
      <c r="AR106" s="24">
        <v>219</v>
      </c>
      <c r="AS106" s="24">
        <v>40</v>
      </c>
      <c r="AT106" s="24">
        <v>0</v>
      </c>
      <c r="AU106" s="24">
        <v>0</v>
      </c>
      <c r="AV106" s="24">
        <v>0</v>
      </c>
      <c r="AW106" s="24">
        <v>0</v>
      </c>
      <c r="AX106" s="21">
        <v>0</v>
      </c>
      <c r="AY106" s="21">
        <v>0</v>
      </c>
      <c r="AZ106" s="21">
        <v>0</v>
      </c>
      <c r="BA106" s="21">
        <v>0</v>
      </c>
      <c r="BB106" s="24">
        <v>0</v>
      </c>
      <c r="BC106" s="24">
        <v>0</v>
      </c>
      <c r="BD106" s="22">
        <v>1</v>
      </c>
      <c r="BE106" s="22" t="s">
        <v>89</v>
      </c>
      <c r="BF106" s="22" t="s">
        <v>89</v>
      </c>
    </row>
    <row r="107" spans="1:58" ht="19.5" customHeight="1">
      <c r="A107" s="25">
        <v>104</v>
      </c>
      <c r="B107" s="20" t="s">
        <v>88</v>
      </c>
      <c r="C107" s="26">
        <v>46107</v>
      </c>
      <c r="D107" s="20" t="s">
        <v>13</v>
      </c>
      <c r="E107" s="20">
        <v>2691</v>
      </c>
      <c r="F107" s="20">
        <v>2461</v>
      </c>
      <c r="G107" s="21">
        <v>0.9145299145299145</v>
      </c>
      <c r="H107" s="20">
        <v>1568</v>
      </c>
      <c r="I107" s="22">
        <v>0.58268301746562612</v>
      </c>
      <c r="J107" s="20">
        <v>3867</v>
      </c>
      <c r="K107" s="20">
        <v>3781</v>
      </c>
      <c r="L107" s="21">
        <v>0.97799999999999998</v>
      </c>
      <c r="M107" s="20">
        <v>19795</v>
      </c>
      <c r="N107" s="20">
        <v>19647</v>
      </c>
      <c r="O107" s="20">
        <v>19572</v>
      </c>
      <c r="P107" s="21">
        <v>0.98873452892144476</v>
      </c>
      <c r="Q107" s="20">
        <v>25</v>
      </c>
      <c r="R107" s="20">
        <v>0</v>
      </c>
      <c r="S107" s="20">
        <v>0</v>
      </c>
      <c r="T107" s="21">
        <v>0</v>
      </c>
      <c r="U107" s="20">
        <v>0</v>
      </c>
      <c r="V107" s="21">
        <v>0</v>
      </c>
      <c r="W107" s="20">
        <v>4547</v>
      </c>
      <c r="X107" s="21">
        <v>1.6897064288368639</v>
      </c>
      <c r="Y107" s="20">
        <v>755</v>
      </c>
      <c r="Z107" s="23">
        <v>0.28056484578223712</v>
      </c>
      <c r="AA107" s="20">
        <v>97</v>
      </c>
      <c r="AB107" s="21">
        <v>3.6046079524340392E-2</v>
      </c>
      <c r="AC107" s="20">
        <v>528</v>
      </c>
      <c r="AD107" s="21">
        <v>0.1962095875139353</v>
      </c>
      <c r="AE107" s="20">
        <v>88</v>
      </c>
      <c r="AF107" s="21">
        <v>0.16666666666666671</v>
      </c>
      <c r="AG107" s="20">
        <v>477</v>
      </c>
      <c r="AH107" s="21">
        <v>0.90340909090909094</v>
      </c>
      <c r="AI107" s="24">
        <v>532</v>
      </c>
      <c r="AJ107" s="21">
        <v>0.19769602378298029</v>
      </c>
      <c r="AK107" s="24">
        <v>4</v>
      </c>
      <c r="AL107" s="21">
        <v>0.90977443609022557</v>
      </c>
      <c r="AM107" s="24">
        <v>525</v>
      </c>
      <c r="AN107" s="24">
        <v>484</v>
      </c>
      <c r="AO107" s="21">
        <v>0.17985878855444071</v>
      </c>
      <c r="AP107" s="21">
        <v>0.91666666666666663</v>
      </c>
      <c r="AQ107" s="22">
        <v>0.97885835095137419</v>
      </c>
      <c r="AR107" s="24">
        <v>0</v>
      </c>
      <c r="AS107" s="24">
        <v>0</v>
      </c>
      <c r="AT107" s="24">
        <v>84</v>
      </c>
      <c r="AU107" s="24">
        <v>82</v>
      </c>
      <c r="AV107" s="24">
        <v>84</v>
      </c>
      <c r="AW107" s="24">
        <v>138</v>
      </c>
      <c r="AX107" s="21">
        <v>3.047194351542178E-2</v>
      </c>
      <c r="AY107" s="21">
        <v>3.121516164994426E-2</v>
      </c>
      <c r="AZ107" s="21">
        <v>5.128205128205128E-2</v>
      </c>
      <c r="BA107" s="21">
        <v>0.1735537190082645</v>
      </c>
      <c r="BB107" s="24">
        <v>0</v>
      </c>
      <c r="BC107" s="24">
        <v>0</v>
      </c>
      <c r="BD107" s="22">
        <v>0.98630136986301364</v>
      </c>
      <c r="BE107" s="22">
        <v>1</v>
      </c>
      <c r="BF107" s="22" t="s">
        <v>89</v>
      </c>
    </row>
    <row r="108" spans="1:58" ht="19.5" customHeight="1">
      <c r="A108" s="25">
        <v>105</v>
      </c>
      <c r="B108" s="20" t="s">
        <v>88</v>
      </c>
      <c r="C108" s="26">
        <v>46108</v>
      </c>
      <c r="D108" s="20" t="s">
        <v>12</v>
      </c>
      <c r="E108" s="20">
        <v>3606</v>
      </c>
      <c r="F108" s="20">
        <v>3043</v>
      </c>
      <c r="G108" s="21">
        <v>0.84387132556849698</v>
      </c>
      <c r="H108" s="20">
        <v>2016</v>
      </c>
      <c r="I108" s="22">
        <v>0.55906821963394338</v>
      </c>
      <c r="J108" s="20">
        <v>4188</v>
      </c>
      <c r="K108" s="20">
        <v>4096</v>
      </c>
      <c r="L108" s="21">
        <v>0.97799999999999998</v>
      </c>
      <c r="M108" s="20">
        <v>14751</v>
      </c>
      <c r="N108" s="20">
        <v>14957</v>
      </c>
      <c r="O108" s="20">
        <v>14512</v>
      </c>
      <c r="P108" s="21">
        <v>0.98379770862992344</v>
      </c>
      <c r="Q108" s="20">
        <v>39</v>
      </c>
      <c r="R108" s="20">
        <v>0</v>
      </c>
      <c r="S108" s="20">
        <v>0</v>
      </c>
      <c r="T108" s="21">
        <v>0</v>
      </c>
      <c r="U108" s="20">
        <v>0</v>
      </c>
      <c r="V108" s="21">
        <v>0</v>
      </c>
      <c r="W108" s="20">
        <v>2796</v>
      </c>
      <c r="X108" s="21">
        <v>0.77537437603993342</v>
      </c>
      <c r="Y108" s="20">
        <v>549</v>
      </c>
      <c r="Z108" s="23">
        <v>0.1522462562396007</v>
      </c>
      <c r="AA108" s="20">
        <v>27</v>
      </c>
      <c r="AB108" s="21">
        <v>7.4875207986688846E-3</v>
      </c>
      <c r="AC108" s="20">
        <v>350</v>
      </c>
      <c r="AD108" s="21">
        <v>9.706045479755962E-2</v>
      </c>
      <c r="AE108" s="20">
        <v>67</v>
      </c>
      <c r="AF108" s="21">
        <v>0.19142857142857139</v>
      </c>
      <c r="AG108" s="20">
        <v>310</v>
      </c>
      <c r="AH108" s="21">
        <v>0.88571428571428568</v>
      </c>
      <c r="AI108" s="24">
        <v>360</v>
      </c>
      <c r="AJ108" s="21">
        <v>9.9833610648918464E-2</v>
      </c>
      <c r="AK108" s="24">
        <v>2</v>
      </c>
      <c r="AL108" s="21">
        <v>0.83333333333333337</v>
      </c>
      <c r="AM108" s="24">
        <v>341</v>
      </c>
      <c r="AN108" s="24">
        <v>300</v>
      </c>
      <c r="AO108" s="21">
        <v>8.3194675540765387E-2</v>
      </c>
      <c r="AP108" s="21">
        <v>0.8571428571428571</v>
      </c>
      <c r="AQ108" s="22">
        <v>0.95849056603773586</v>
      </c>
      <c r="AR108" s="24">
        <v>0</v>
      </c>
      <c r="AS108" s="24">
        <v>0</v>
      </c>
      <c r="AT108" s="24">
        <v>67</v>
      </c>
      <c r="AU108" s="24">
        <v>58</v>
      </c>
      <c r="AV108" s="24">
        <v>59</v>
      </c>
      <c r="AW108" s="24">
        <v>92</v>
      </c>
      <c r="AX108" s="21">
        <v>1.6084303937881309E-2</v>
      </c>
      <c r="AY108" s="21">
        <v>1.6361619523017189E-2</v>
      </c>
      <c r="AZ108" s="21">
        <v>2.5513033832501392E-2</v>
      </c>
      <c r="BA108" s="21">
        <v>0.19666666666666671</v>
      </c>
      <c r="BB108" s="24">
        <v>0</v>
      </c>
      <c r="BC108" s="24">
        <v>0</v>
      </c>
      <c r="BD108" s="22">
        <v>1</v>
      </c>
      <c r="BE108" s="22">
        <v>1</v>
      </c>
      <c r="BF108" s="22" t="s">
        <v>89</v>
      </c>
    </row>
    <row r="109" spans="1:58" ht="19.5" customHeight="1">
      <c r="A109" s="25">
        <v>106</v>
      </c>
      <c r="B109" s="20" t="s">
        <v>88</v>
      </c>
      <c r="C109" s="26">
        <v>46108</v>
      </c>
      <c r="D109" s="20" t="s">
        <v>11</v>
      </c>
      <c r="E109" s="20">
        <v>1902</v>
      </c>
      <c r="F109" s="20">
        <v>1705</v>
      </c>
      <c r="G109" s="21">
        <v>0.89642481598317558</v>
      </c>
      <c r="H109" s="20">
        <v>848</v>
      </c>
      <c r="I109" s="22">
        <v>0.44584647739221872</v>
      </c>
      <c r="J109" s="20">
        <v>1663</v>
      </c>
      <c r="K109" s="20">
        <v>1589</v>
      </c>
      <c r="L109" s="21">
        <v>0.95599999999999996</v>
      </c>
      <c r="M109" s="20">
        <v>9564</v>
      </c>
      <c r="N109" s="20">
        <v>9616</v>
      </c>
      <c r="O109" s="20">
        <v>9313</v>
      </c>
      <c r="P109" s="21">
        <v>0.97375575073191134</v>
      </c>
      <c r="Q109" s="20">
        <v>47</v>
      </c>
      <c r="R109" s="20">
        <v>0</v>
      </c>
      <c r="S109" s="20">
        <v>0</v>
      </c>
      <c r="T109" s="21">
        <v>0</v>
      </c>
      <c r="U109" s="20">
        <v>0</v>
      </c>
      <c r="V109" s="21">
        <v>0</v>
      </c>
      <c r="W109" s="20">
        <v>3449</v>
      </c>
      <c r="X109" s="21">
        <v>1.81335436382755</v>
      </c>
      <c r="Y109" s="20">
        <v>609</v>
      </c>
      <c r="Z109" s="23">
        <v>0.32018927444794948</v>
      </c>
      <c r="AA109" s="20">
        <v>21</v>
      </c>
      <c r="AB109" s="21">
        <v>1.10410094637224E-2</v>
      </c>
      <c r="AC109" s="20">
        <v>354</v>
      </c>
      <c r="AD109" s="21">
        <v>0.18611987381703471</v>
      </c>
      <c r="AE109" s="20">
        <v>64</v>
      </c>
      <c r="AF109" s="21">
        <v>0.1807909604519774</v>
      </c>
      <c r="AG109" s="20">
        <v>332</v>
      </c>
      <c r="AH109" s="21">
        <v>0.93785310734463279</v>
      </c>
      <c r="AI109" s="24">
        <v>346</v>
      </c>
      <c r="AJ109" s="21">
        <v>0.18191377497371189</v>
      </c>
      <c r="AK109" s="24">
        <v>0</v>
      </c>
      <c r="AL109" s="21">
        <v>0.80346820809248554</v>
      </c>
      <c r="AM109" s="24">
        <v>334</v>
      </c>
      <c r="AN109" s="24">
        <v>278</v>
      </c>
      <c r="AO109" s="21">
        <v>0.14616193480546791</v>
      </c>
      <c r="AP109" s="21">
        <v>0.78531073446327682</v>
      </c>
      <c r="AQ109" s="22">
        <v>0.95940959409594095</v>
      </c>
      <c r="AR109" s="24">
        <v>0</v>
      </c>
      <c r="AS109" s="24">
        <v>0</v>
      </c>
      <c r="AT109" s="24">
        <v>50</v>
      </c>
      <c r="AU109" s="24">
        <v>41</v>
      </c>
      <c r="AV109" s="24">
        <v>41</v>
      </c>
      <c r="AW109" s="24">
        <v>62</v>
      </c>
      <c r="AX109" s="21">
        <v>2.1556256572029441E-2</v>
      </c>
      <c r="AY109" s="21">
        <v>2.1556256572029441E-2</v>
      </c>
      <c r="AZ109" s="21">
        <v>3.2597266035751839E-2</v>
      </c>
      <c r="BA109" s="21">
        <v>0.14748201438848921</v>
      </c>
      <c r="BB109" s="24">
        <v>0</v>
      </c>
      <c r="BC109" s="24">
        <v>0</v>
      </c>
      <c r="BD109" s="22">
        <v>1</v>
      </c>
      <c r="BE109" s="22">
        <v>1</v>
      </c>
      <c r="BF109" s="22" t="s">
        <v>89</v>
      </c>
    </row>
    <row r="110" spans="1:58" ht="19.5" customHeight="1">
      <c r="A110" s="25">
        <v>107</v>
      </c>
      <c r="B110" s="20" t="s">
        <v>88</v>
      </c>
      <c r="C110" s="26">
        <v>46108</v>
      </c>
      <c r="D110" s="20" t="s">
        <v>14</v>
      </c>
      <c r="E110" s="20">
        <v>2082</v>
      </c>
      <c r="F110" s="20">
        <v>1741</v>
      </c>
      <c r="G110" s="21">
        <v>0.83621517771373677</v>
      </c>
      <c r="H110" s="20">
        <v>424</v>
      </c>
      <c r="I110" s="22">
        <v>0.2036503362151777</v>
      </c>
      <c r="J110" s="20">
        <v>1143</v>
      </c>
      <c r="K110" s="20">
        <v>1113</v>
      </c>
      <c r="L110" s="21">
        <v>0.97399999999999998</v>
      </c>
      <c r="M110" s="20">
        <v>3851</v>
      </c>
      <c r="N110" s="20">
        <v>4114</v>
      </c>
      <c r="O110" s="20">
        <v>3772</v>
      </c>
      <c r="P110" s="21">
        <v>0.97948584783173198</v>
      </c>
      <c r="Q110" s="20">
        <v>5</v>
      </c>
      <c r="R110" s="20">
        <v>0</v>
      </c>
      <c r="S110" s="20">
        <v>0</v>
      </c>
      <c r="T110" s="21">
        <v>0</v>
      </c>
      <c r="U110" s="20">
        <v>0</v>
      </c>
      <c r="V110" s="21">
        <v>0</v>
      </c>
      <c r="W110" s="20">
        <v>37</v>
      </c>
      <c r="X110" s="21">
        <v>1.777137367915466E-2</v>
      </c>
      <c r="Y110" s="20">
        <v>136</v>
      </c>
      <c r="Z110" s="23">
        <v>6.5321805955811718E-2</v>
      </c>
      <c r="AA110" s="20">
        <v>0</v>
      </c>
      <c r="AB110" s="21">
        <v>0</v>
      </c>
      <c r="AC110" s="20">
        <v>125</v>
      </c>
      <c r="AD110" s="21">
        <v>6.0038424591738707E-2</v>
      </c>
      <c r="AE110" s="20">
        <v>42</v>
      </c>
      <c r="AF110" s="21">
        <v>0.33600000000000002</v>
      </c>
      <c r="AG110" s="20">
        <v>108</v>
      </c>
      <c r="AH110" s="21">
        <v>0.86399999999999999</v>
      </c>
      <c r="AI110" s="24">
        <v>12</v>
      </c>
      <c r="AJ110" s="21">
        <v>5.763688760806916E-3</v>
      </c>
      <c r="AK110" s="24">
        <v>0</v>
      </c>
      <c r="AL110" s="21">
        <v>0.58333333333333337</v>
      </c>
      <c r="AM110" s="24">
        <v>11</v>
      </c>
      <c r="AN110" s="24">
        <v>7</v>
      </c>
      <c r="AO110" s="21">
        <v>3.3621517771373682E-3</v>
      </c>
      <c r="AP110" s="21">
        <v>5.6000000000000001E-2</v>
      </c>
      <c r="AQ110" s="22">
        <v>1</v>
      </c>
      <c r="AR110" s="24">
        <v>206</v>
      </c>
      <c r="AS110" s="24">
        <v>28</v>
      </c>
      <c r="AT110" s="24">
        <v>0</v>
      </c>
      <c r="AU110" s="24">
        <v>0</v>
      </c>
      <c r="AV110" s="24">
        <v>0</v>
      </c>
      <c r="AW110" s="24">
        <v>0</v>
      </c>
      <c r="AX110" s="21">
        <v>0</v>
      </c>
      <c r="AY110" s="21">
        <v>0</v>
      </c>
      <c r="AZ110" s="21">
        <v>0</v>
      </c>
      <c r="BA110" s="21">
        <v>0</v>
      </c>
      <c r="BB110" s="24">
        <v>0</v>
      </c>
      <c r="BC110" s="24">
        <v>0</v>
      </c>
      <c r="BD110" s="22">
        <v>1</v>
      </c>
      <c r="BE110" s="22" t="s">
        <v>89</v>
      </c>
      <c r="BF110" s="22" t="s">
        <v>89</v>
      </c>
    </row>
    <row r="111" spans="1:58" ht="19.5" customHeight="1">
      <c r="A111" s="25">
        <v>108</v>
      </c>
      <c r="B111" s="20" t="s">
        <v>88</v>
      </c>
      <c r="C111" s="26">
        <v>46108</v>
      </c>
      <c r="D111" s="20" t="s">
        <v>13</v>
      </c>
      <c r="E111" s="20">
        <v>2943</v>
      </c>
      <c r="F111" s="20">
        <v>2571</v>
      </c>
      <c r="G111" s="21">
        <v>0.87359836901121302</v>
      </c>
      <c r="H111" s="20">
        <v>1967</v>
      </c>
      <c r="I111" s="22">
        <v>0.66836561331974176</v>
      </c>
      <c r="J111" s="20">
        <v>3408</v>
      </c>
      <c r="K111" s="20">
        <v>3322</v>
      </c>
      <c r="L111" s="21">
        <v>0.97499999999999998</v>
      </c>
      <c r="M111" s="20">
        <v>20699</v>
      </c>
      <c r="N111" s="20">
        <v>20830</v>
      </c>
      <c r="O111" s="20">
        <v>20463</v>
      </c>
      <c r="P111" s="21">
        <v>0.98859848301850328</v>
      </c>
      <c r="Q111" s="20">
        <v>53</v>
      </c>
      <c r="R111" s="20">
        <v>0</v>
      </c>
      <c r="S111" s="20">
        <v>0</v>
      </c>
      <c r="T111" s="21">
        <v>0</v>
      </c>
      <c r="U111" s="20">
        <v>0</v>
      </c>
      <c r="V111" s="21">
        <v>0</v>
      </c>
      <c r="W111" s="20">
        <v>4772</v>
      </c>
      <c r="X111" s="21">
        <v>1.621474685694869</v>
      </c>
      <c r="Y111" s="20">
        <v>815</v>
      </c>
      <c r="Z111" s="23">
        <v>0.27692830445124023</v>
      </c>
      <c r="AA111" s="20">
        <v>112</v>
      </c>
      <c r="AB111" s="21">
        <v>3.8056405028882093E-2</v>
      </c>
      <c r="AC111" s="20">
        <v>576</v>
      </c>
      <c r="AD111" s="21">
        <v>0.19571865443425079</v>
      </c>
      <c r="AE111" s="20">
        <v>80</v>
      </c>
      <c r="AF111" s="21">
        <v>0.1388888888888889</v>
      </c>
      <c r="AG111" s="20">
        <v>522</v>
      </c>
      <c r="AH111" s="21">
        <v>0.90625</v>
      </c>
      <c r="AI111" s="24">
        <v>600</v>
      </c>
      <c r="AJ111" s="21">
        <v>0.2038735983690112</v>
      </c>
      <c r="AK111" s="24">
        <v>9</v>
      </c>
      <c r="AL111" s="21">
        <v>0.91833333333333333</v>
      </c>
      <c r="AM111" s="24">
        <v>584</v>
      </c>
      <c r="AN111" s="24">
        <v>551</v>
      </c>
      <c r="AO111" s="21">
        <v>0.18722392116887529</v>
      </c>
      <c r="AP111" s="21">
        <v>0.95659722222222221</v>
      </c>
      <c r="AQ111" s="22">
        <v>0.96169354838709675</v>
      </c>
      <c r="AR111" s="24">
        <v>0</v>
      </c>
      <c r="AS111" s="24">
        <v>0</v>
      </c>
      <c r="AT111" s="24">
        <v>93</v>
      </c>
      <c r="AU111" s="24">
        <v>83</v>
      </c>
      <c r="AV111" s="24">
        <v>82</v>
      </c>
      <c r="AW111" s="24">
        <v>131</v>
      </c>
      <c r="AX111" s="21">
        <v>2.8202514441046551E-2</v>
      </c>
      <c r="AY111" s="21">
        <v>2.786272511043153E-2</v>
      </c>
      <c r="AZ111" s="21">
        <v>4.4512402310567453E-2</v>
      </c>
      <c r="BA111" s="21">
        <v>0.14882032667876591</v>
      </c>
      <c r="BB111" s="24">
        <v>0</v>
      </c>
      <c r="BC111" s="24">
        <v>0</v>
      </c>
      <c r="BD111" s="22">
        <v>0.97674418604651159</v>
      </c>
      <c r="BE111" s="22">
        <v>1</v>
      </c>
      <c r="BF111" s="22" t="s">
        <v>89</v>
      </c>
    </row>
    <row r="112" spans="1:58" ht="19.5" customHeight="1">
      <c r="A112" s="25">
        <v>109</v>
      </c>
      <c r="B112" s="20" t="s">
        <v>88</v>
      </c>
      <c r="C112" s="26">
        <v>46109</v>
      </c>
      <c r="D112" s="20" t="s">
        <v>12</v>
      </c>
      <c r="E112" s="20">
        <v>2267</v>
      </c>
      <c r="F112" s="20">
        <v>1955</v>
      </c>
      <c r="G112" s="21">
        <v>0.86237318041464495</v>
      </c>
      <c r="H112" s="20">
        <v>851</v>
      </c>
      <c r="I112" s="22">
        <v>0.3753859726510807</v>
      </c>
      <c r="J112" s="20">
        <v>2323</v>
      </c>
      <c r="K112" s="20">
        <v>2224</v>
      </c>
      <c r="L112" s="21">
        <v>0.95699999999999996</v>
      </c>
      <c r="M112" s="20">
        <v>12308</v>
      </c>
      <c r="N112" s="20">
        <v>12453</v>
      </c>
      <c r="O112" s="20">
        <v>12097</v>
      </c>
      <c r="P112" s="21">
        <v>0.98285667858303538</v>
      </c>
      <c r="Q112" s="20">
        <v>46</v>
      </c>
      <c r="R112" s="20">
        <v>0</v>
      </c>
      <c r="S112" s="20">
        <v>0</v>
      </c>
      <c r="T112" s="21">
        <v>0</v>
      </c>
      <c r="U112" s="20">
        <v>0</v>
      </c>
      <c r="V112" s="21">
        <v>0</v>
      </c>
      <c r="W112" s="20">
        <v>2805</v>
      </c>
      <c r="X112" s="21">
        <v>1.23731804146449</v>
      </c>
      <c r="Y112" s="20">
        <v>461</v>
      </c>
      <c r="Z112" s="23">
        <v>0.20335244816938691</v>
      </c>
      <c r="AA112" s="20">
        <v>43</v>
      </c>
      <c r="AB112" s="21">
        <v>1.8967798853109841E-2</v>
      </c>
      <c r="AC112" s="20">
        <v>429</v>
      </c>
      <c r="AD112" s="21">
        <v>0.1892368769298633</v>
      </c>
      <c r="AE112" s="20">
        <v>65</v>
      </c>
      <c r="AF112" s="21">
        <v>0.15151515151515149</v>
      </c>
      <c r="AG112" s="20">
        <v>390</v>
      </c>
      <c r="AH112" s="21">
        <v>0.90909090909090906</v>
      </c>
      <c r="AI112" s="24">
        <v>459</v>
      </c>
      <c r="AJ112" s="21">
        <v>0.20247022496691661</v>
      </c>
      <c r="AK112" s="24">
        <v>2</v>
      </c>
      <c r="AL112" s="21">
        <v>0.81263616557734208</v>
      </c>
      <c r="AM112" s="24">
        <v>450</v>
      </c>
      <c r="AN112" s="24">
        <v>373</v>
      </c>
      <c r="AO112" s="21">
        <v>0.16453462726069701</v>
      </c>
      <c r="AP112" s="21">
        <v>0.86946386946386944</v>
      </c>
      <c r="AQ112" s="22">
        <v>0.95061728395061729</v>
      </c>
      <c r="AR112" s="24">
        <v>0</v>
      </c>
      <c r="AS112" s="24">
        <v>0</v>
      </c>
      <c r="AT112" s="24">
        <v>101</v>
      </c>
      <c r="AU112" s="24">
        <v>97</v>
      </c>
      <c r="AV112" s="24">
        <v>97</v>
      </c>
      <c r="AW112" s="24">
        <v>50</v>
      </c>
      <c r="AX112" s="21">
        <v>4.2787825319805912E-2</v>
      </c>
      <c r="AY112" s="21">
        <v>4.2787825319805912E-2</v>
      </c>
      <c r="AZ112" s="21">
        <v>2.205558006175562E-2</v>
      </c>
      <c r="BA112" s="21">
        <v>0.26005361930294912</v>
      </c>
      <c r="BB112" s="24">
        <v>0</v>
      </c>
      <c r="BC112" s="24">
        <v>0</v>
      </c>
      <c r="BD112" s="22">
        <v>1</v>
      </c>
      <c r="BE112" s="22">
        <v>1</v>
      </c>
      <c r="BF112" s="22" t="s">
        <v>89</v>
      </c>
    </row>
    <row r="113" spans="1:58" ht="19.5" customHeight="1">
      <c r="A113" s="25">
        <v>110</v>
      </c>
      <c r="B113" s="20" t="s">
        <v>88</v>
      </c>
      <c r="C113" s="26">
        <v>46109</v>
      </c>
      <c r="D113" s="20" t="s">
        <v>11</v>
      </c>
      <c r="E113" s="20">
        <v>2286</v>
      </c>
      <c r="F113" s="20">
        <v>2090</v>
      </c>
      <c r="G113" s="21">
        <v>0.91426071741032366</v>
      </c>
      <c r="H113" s="20">
        <v>1015</v>
      </c>
      <c r="I113" s="22">
        <v>0.44400699912510938</v>
      </c>
      <c r="J113" s="20">
        <v>1792</v>
      </c>
      <c r="K113" s="20">
        <v>1687</v>
      </c>
      <c r="L113" s="21">
        <v>0.94099999999999995</v>
      </c>
      <c r="M113" s="20">
        <v>9503</v>
      </c>
      <c r="N113" s="20">
        <v>9783</v>
      </c>
      <c r="O113" s="20">
        <v>9310</v>
      </c>
      <c r="P113" s="21">
        <v>0.9796906240134694</v>
      </c>
      <c r="Q113" s="20">
        <v>78</v>
      </c>
      <c r="R113" s="20">
        <v>0</v>
      </c>
      <c r="S113" s="20">
        <v>0</v>
      </c>
      <c r="T113" s="21">
        <v>0</v>
      </c>
      <c r="U113" s="20">
        <v>0</v>
      </c>
      <c r="V113" s="21">
        <v>0</v>
      </c>
      <c r="W113" s="20">
        <v>3297</v>
      </c>
      <c r="X113" s="21">
        <v>1.4422572178477691</v>
      </c>
      <c r="Y113" s="20">
        <v>523</v>
      </c>
      <c r="Z113" s="23">
        <v>0.22878390201224849</v>
      </c>
      <c r="AA113" s="20">
        <v>18</v>
      </c>
      <c r="AB113" s="21">
        <v>7.874015748031496E-3</v>
      </c>
      <c r="AC113" s="20">
        <v>592</v>
      </c>
      <c r="AD113" s="21">
        <v>0.25896762904636922</v>
      </c>
      <c r="AE113" s="20">
        <v>69</v>
      </c>
      <c r="AF113" s="21">
        <v>0.1165540540540541</v>
      </c>
      <c r="AG113" s="20">
        <v>552</v>
      </c>
      <c r="AH113" s="21">
        <v>0.93243243243243246</v>
      </c>
      <c r="AI113" s="24">
        <v>599</v>
      </c>
      <c r="AJ113" s="21">
        <v>0.26202974628171483</v>
      </c>
      <c r="AK113" s="24">
        <v>2</v>
      </c>
      <c r="AL113" s="21">
        <v>0.84641068447412349</v>
      </c>
      <c r="AM113" s="24">
        <v>587</v>
      </c>
      <c r="AN113" s="24">
        <v>507</v>
      </c>
      <c r="AO113" s="21">
        <v>0.22178477690288709</v>
      </c>
      <c r="AP113" s="21">
        <v>0.85641891891891897</v>
      </c>
      <c r="AQ113" s="22">
        <v>0.98466257668711654</v>
      </c>
      <c r="AR113" s="24">
        <v>0</v>
      </c>
      <c r="AS113" s="24">
        <v>0</v>
      </c>
      <c r="AT113" s="24">
        <v>96</v>
      </c>
      <c r="AU113" s="24">
        <v>89</v>
      </c>
      <c r="AV113" s="24">
        <v>86</v>
      </c>
      <c r="AW113" s="24">
        <v>39</v>
      </c>
      <c r="AX113" s="21">
        <v>3.8932633420822399E-2</v>
      </c>
      <c r="AY113" s="21">
        <v>3.762029746281715E-2</v>
      </c>
      <c r="AZ113" s="21">
        <v>1.7060367454068241E-2</v>
      </c>
      <c r="BA113" s="21">
        <v>0.16962524654832351</v>
      </c>
      <c r="BB113" s="24">
        <v>0</v>
      </c>
      <c r="BC113" s="24">
        <v>0</v>
      </c>
      <c r="BD113" s="22">
        <v>0.9850746268656716</v>
      </c>
      <c r="BE113" s="22">
        <v>1</v>
      </c>
      <c r="BF113" s="22" t="s">
        <v>89</v>
      </c>
    </row>
    <row r="114" spans="1:58" ht="19.5" customHeight="1">
      <c r="A114" s="25">
        <v>111</v>
      </c>
      <c r="B114" s="20" t="s">
        <v>88</v>
      </c>
      <c r="C114" s="26">
        <v>46109</v>
      </c>
      <c r="D114" s="20" t="s">
        <v>14</v>
      </c>
      <c r="E114" s="20">
        <v>2570</v>
      </c>
      <c r="F114" s="20">
        <v>2151</v>
      </c>
      <c r="G114" s="21">
        <v>0.83696498054474711</v>
      </c>
      <c r="H114" s="20">
        <v>643</v>
      </c>
      <c r="I114" s="22">
        <v>0.25019455252918288</v>
      </c>
      <c r="J114" s="20">
        <v>1420</v>
      </c>
      <c r="K114" s="20">
        <v>1394</v>
      </c>
      <c r="L114" s="21">
        <v>0.98199999999999998</v>
      </c>
      <c r="M114" s="20">
        <v>4821</v>
      </c>
      <c r="N114" s="20">
        <v>5281</v>
      </c>
      <c r="O114" s="20">
        <v>4712</v>
      </c>
      <c r="P114" s="21">
        <v>0.97739058286662517</v>
      </c>
      <c r="Q114" s="20">
        <v>2</v>
      </c>
      <c r="R114" s="20">
        <v>0</v>
      </c>
      <c r="S114" s="20">
        <v>0</v>
      </c>
      <c r="T114" s="21">
        <v>0</v>
      </c>
      <c r="U114" s="20">
        <v>0</v>
      </c>
      <c r="V114" s="21">
        <v>0</v>
      </c>
      <c r="W114" s="20">
        <v>59</v>
      </c>
      <c r="X114" s="21">
        <v>2.2957198443579772E-2</v>
      </c>
      <c r="Y114" s="20">
        <v>188</v>
      </c>
      <c r="Z114" s="23">
        <v>7.315175097276265E-2</v>
      </c>
      <c r="AA114" s="20">
        <v>0</v>
      </c>
      <c r="AB114" s="21">
        <v>0</v>
      </c>
      <c r="AC114" s="20">
        <v>260</v>
      </c>
      <c r="AD114" s="21">
        <v>0.10116731517509731</v>
      </c>
      <c r="AE114" s="20">
        <v>93</v>
      </c>
      <c r="AF114" s="21">
        <v>0.3576923076923077</v>
      </c>
      <c r="AG114" s="20">
        <v>238</v>
      </c>
      <c r="AH114" s="21">
        <v>0.91538461538461535</v>
      </c>
      <c r="AI114" s="24">
        <v>113</v>
      </c>
      <c r="AJ114" s="21">
        <v>4.3968871595330743E-2</v>
      </c>
      <c r="AK114" s="24">
        <v>4</v>
      </c>
      <c r="AL114" s="21">
        <v>0.52212389380530977</v>
      </c>
      <c r="AM114" s="24">
        <v>112</v>
      </c>
      <c r="AN114" s="24">
        <v>59</v>
      </c>
      <c r="AO114" s="21">
        <v>2.2957198443579772E-2</v>
      </c>
      <c r="AP114" s="21">
        <v>0.22692307692307689</v>
      </c>
      <c r="AQ114" s="22">
        <v>0.95454545454545459</v>
      </c>
      <c r="AR114" s="24">
        <v>387</v>
      </c>
      <c r="AS114" s="24">
        <v>59</v>
      </c>
      <c r="AT114" s="24">
        <v>0</v>
      </c>
      <c r="AU114" s="24">
        <v>0</v>
      </c>
      <c r="AV114" s="24">
        <v>0</v>
      </c>
      <c r="AW114" s="24">
        <v>0</v>
      </c>
      <c r="AX114" s="21">
        <v>0</v>
      </c>
      <c r="AY114" s="21">
        <v>0</v>
      </c>
      <c r="AZ114" s="21">
        <v>0</v>
      </c>
      <c r="BA114" s="21">
        <v>0</v>
      </c>
      <c r="BB114" s="24">
        <v>0</v>
      </c>
      <c r="BC114" s="24">
        <v>0</v>
      </c>
      <c r="BD114" s="22">
        <v>0.93103448275862066</v>
      </c>
      <c r="BE114" s="22" t="s">
        <v>89</v>
      </c>
      <c r="BF114" s="22" t="s">
        <v>89</v>
      </c>
    </row>
    <row r="115" spans="1:58" ht="19.5" customHeight="1">
      <c r="A115" s="25">
        <v>112</v>
      </c>
      <c r="B115" s="20" t="s">
        <v>88</v>
      </c>
      <c r="C115" s="26">
        <v>46109</v>
      </c>
      <c r="D115" s="20" t="s">
        <v>13</v>
      </c>
      <c r="E115" s="20">
        <v>4859</v>
      </c>
      <c r="F115" s="20">
        <v>4260</v>
      </c>
      <c r="G115" s="21">
        <v>0.87672360568018115</v>
      </c>
      <c r="H115" s="20">
        <v>3584</v>
      </c>
      <c r="I115" s="22">
        <v>0.73760032928586128</v>
      </c>
      <c r="J115" s="20">
        <v>5182</v>
      </c>
      <c r="K115" s="20">
        <v>5072</v>
      </c>
      <c r="L115" s="21">
        <v>0.97899999999999998</v>
      </c>
      <c r="M115" s="20">
        <v>22262</v>
      </c>
      <c r="N115" s="20">
        <v>22998</v>
      </c>
      <c r="O115" s="20">
        <v>21987</v>
      </c>
      <c r="P115" s="21">
        <v>0.98764711167011054</v>
      </c>
      <c r="Q115" s="20">
        <v>33</v>
      </c>
      <c r="R115" s="20">
        <v>0</v>
      </c>
      <c r="S115" s="20">
        <v>0</v>
      </c>
      <c r="T115" s="21">
        <v>0</v>
      </c>
      <c r="U115" s="20">
        <v>0</v>
      </c>
      <c r="V115" s="21">
        <v>0</v>
      </c>
      <c r="W115" s="20">
        <v>4988</v>
      </c>
      <c r="X115" s="21">
        <v>1.0265486725663719</v>
      </c>
      <c r="Y115" s="20">
        <v>697</v>
      </c>
      <c r="Z115" s="23">
        <v>0.1434451533237292</v>
      </c>
      <c r="AA115" s="20">
        <v>116</v>
      </c>
      <c r="AB115" s="21">
        <v>2.3873224943403989E-2</v>
      </c>
      <c r="AC115" s="20">
        <v>794</v>
      </c>
      <c r="AD115" s="21">
        <v>0.1634081086643342</v>
      </c>
      <c r="AE115" s="20">
        <v>114</v>
      </c>
      <c r="AF115" s="21">
        <v>0.14357682619647361</v>
      </c>
      <c r="AG115" s="20">
        <v>736</v>
      </c>
      <c r="AH115" s="21">
        <v>0.92695214105793455</v>
      </c>
      <c r="AI115" s="24">
        <v>820</v>
      </c>
      <c r="AJ115" s="21">
        <v>0.1687590039102696</v>
      </c>
      <c r="AK115" s="24">
        <v>13</v>
      </c>
      <c r="AL115" s="21">
        <v>0.90975609756097564</v>
      </c>
      <c r="AM115" s="24">
        <v>811</v>
      </c>
      <c r="AN115" s="24">
        <v>746</v>
      </c>
      <c r="AO115" s="21">
        <v>0.1535295328256843</v>
      </c>
      <c r="AP115" s="21">
        <v>0.93954659949622166</v>
      </c>
      <c r="AQ115" s="22">
        <v>0.97463768115942029</v>
      </c>
      <c r="AR115" s="24">
        <v>0</v>
      </c>
      <c r="AS115" s="24">
        <v>0</v>
      </c>
      <c r="AT115" s="24">
        <v>123</v>
      </c>
      <c r="AU115" s="24">
        <v>118</v>
      </c>
      <c r="AV115" s="24">
        <v>117</v>
      </c>
      <c r="AW115" s="24">
        <v>91</v>
      </c>
      <c r="AX115" s="21">
        <v>2.4284832270014409E-2</v>
      </c>
      <c r="AY115" s="21">
        <v>2.4079028606709199E-2</v>
      </c>
      <c r="AZ115" s="21">
        <v>1.8728133360773822E-2</v>
      </c>
      <c r="BA115" s="21">
        <v>0.15683646112600541</v>
      </c>
      <c r="BB115" s="24">
        <v>0</v>
      </c>
      <c r="BC115" s="24">
        <v>0</v>
      </c>
      <c r="BD115" s="22">
        <v>0.98913043478260865</v>
      </c>
      <c r="BE115" s="22">
        <v>1</v>
      </c>
      <c r="BF115" s="22" t="s">
        <v>89</v>
      </c>
    </row>
    <row r="116" spans="1:58" ht="19.5" customHeight="1">
      <c r="A116" s="25">
        <v>113</v>
      </c>
      <c r="B116" s="20" t="s">
        <v>88</v>
      </c>
      <c r="C116" s="26">
        <v>46110</v>
      </c>
      <c r="D116" s="20" t="s">
        <v>12</v>
      </c>
      <c r="E116" s="20">
        <v>2052</v>
      </c>
      <c r="F116" s="20">
        <v>1765</v>
      </c>
      <c r="G116" s="21">
        <v>0.86013645224171542</v>
      </c>
      <c r="H116" s="20">
        <v>807</v>
      </c>
      <c r="I116" s="22">
        <v>0.39327485380116961</v>
      </c>
      <c r="J116" s="20">
        <v>2245</v>
      </c>
      <c r="K116" s="20">
        <v>2175</v>
      </c>
      <c r="L116" s="21">
        <v>0.96899999999999997</v>
      </c>
      <c r="M116" s="20">
        <v>11142</v>
      </c>
      <c r="N116" s="20">
        <v>10973</v>
      </c>
      <c r="O116" s="20">
        <v>10962</v>
      </c>
      <c r="P116" s="21">
        <v>0.98384491114701134</v>
      </c>
      <c r="Q116" s="20">
        <v>22</v>
      </c>
      <c r="R116" s="20">
        <v>0</v>
      </c>
      <c r="S116" s="20">
        <v>0</v>
      </c>
      <c r="T116" s="21">
        <v>0</v>
      </c>
      <c r="U116" s="20">
        <v>0</v>
      </c>
      <c r="V116" s="21">
        <v>0</v>
      </c>
      <c r="W116" s="20">
        <v>854</v>
      </c>
      <c r="X116" s="21">
        <v>0.41617933723196882</v>
      </c>
      <c r="Y116" s="20">
        <v>348</v>
      </c>
      <c r="Z116" s="23">
        <v>0.16959064327485379</v>
      </c>
      <c r="AA116" s="20">
        <v>33</v>
      </c>
      <c r="AB116" s="21">
        <v>1.6081871345029239E-2</v>
      </c>
      <c r="AC116" s="20">
        <v>450</v>
      </c>
      <c r="AD116" s="21">
        <v>0.2192982456140351</v>
      </c>
      <c r="AE116" s="20">
        <v>95</v>
      </c>
      <c r="AF116" s="21">
        <v>0.21111111111111111</v>
      </c>
      <c r="AG116" s="20">
        <v>408</v>
      </c>
      <c r="AH116" s="21">
        <v>0.90666666666666662</v>
      </c>
      <c r="AI116" s="24">
        <v>447</v>
      </c>
      <c r="AJ116" s="21">
        <v>0.21783625730994149</v>
      </c>
      <c r="AK116" s="24">
        <v>4</v>
      </c>
      <c r="AL116" s="21">
        <v>0.85906040268456374</v>
      </c>
      <c r="AM116" s="24">
        <v>443</v>
      </c>
      <c r="AN116" s="24">
        <v>384</v>
      </c>
      <c r="AO116" s="21">
        <v>0.1871345029239766</v>
      </c>
      <c r="AP116" s="21">
        <v>0.85333333333333339</v>
      </c>
      <c r="AQ116" s="22">
        <v>0.96445497630331756</v>
      </c>
      <c r="AR116" s="24">
        <v>0</v>
      </c>
      <c r="AS116" s="24">
        <v>0</v>
      </c>
      <c r="AT116" s="24">
        <v>108</v>
      </c>
      <c r="AU116" s="24">
        <v>102</v>
      </c>
      <c r="AV116" s="24">
        <v>101</v>
      </c>
      <c r="AW116" s="24">
        <v>53</v>
      </c>
      <c r="AX116" s="21">
        <v>4.9707602339181277E-2</v>
      </c>
      <c r="AY116" s="21">
        <v>4.9220272904483428E-2</v>
      </c>
      <c r="AZ116" s="21">
        <v>2.582846003898635E-2</v>
      </c>
      <c r="BA116" s="21">
        <v>0.26302083333333331</v>
      </c>
      <c r="BB116" s="24">
        <v>0</v>
      </c>
      <c r="BC116" s="24">
        <v>0</v>
      </c>
      <c r="BD116" s="22">
        <v>0.98305084745762716</v>
      </c>
      <c r="BE116" s="22">
        <v>1</v>
      </c>
      <c r="BF116" s="22" t="s">
        <v>89</v>
      </c>
    </row>
    <row r="117" spans="1:58" ht="19.5" customHeight="1">
      <c r="A117" s="25">
        <v>114</v>
      </c>
      <c r="B117" s="20" t="s">
        <v>88</v>
      </c>
      <c r="C117" s="26">
        <v>46110</v>
      </c>
      <c r="D117" s="20" t="s">
        <v>11</v>
      </c>
      <c r="E117" s="20">
        <v>2245</v>
      </c>
      <c r="F117" s="20">
        <v>2044</v>
      </c>
      <c r="G117" s="21">
        <v>0.91046770601336302</v>
      </c>
      <c r="H117" s="20">
        <v>978</v>
      </c>
      <c r="I117" s="22">
        <v>0.4356347438752784</v>
      </c>
      <c r="J117" s="20">
        <v>1810</v>
      </c>
      <c r="K117" s="20">
        <v>1708</v>
      </c>
      <c r="L117" s="21">
        <v>0.94399999999999995</v>
      </c>
      <c r="M117" s="20">
        <v>11030</v>
      </c>
      <c r="N117" s="20">
        <v>10490</v>
      </c>
      <c r="O117" s="20">
        <v>10812</v>
      </c>
      <c r="P117" s="21">
        <v>0.9802357207615594</v>
      </c>
      <c r="Q117" s="20">
        <v>43</v>
      </c>
      <c r="R117" s="20">
        <v>0</v>
      </c>
      <c r="S117" s="20">
        <v>0</v>
      </c>
      <c r="T117" s="21">
        <v>0</v>
      </c>
      <c r="U117" s="20">
        <v>0</v>
      </c>
      <c r="V117" s="21">
        <v>0</v>
      </c>
      <c r="W117" s="20">
        <v>1011</v>
      </c>
      <c r="X117" s="21">
        <v>0.45033407572383072</v>
      </c>
      <c r="Y117" s="20">
        <v>442</v>
      </c>
      <c r="Z117" s="23">
        <v>0.19688195991091309</v>
      </c>
      <c r="AA117" s="20">
        <v>27</v>
      </c>
      <c r="AB117" s="21">
        <v>1.2026726057906461E-2</v>
      </c>
      <c r="AC117" s="20">
        <v>538</v>
      </c>
      <c r="AD117" s="21">
        <v>0.2396436525612472</v>
      </c>
      <c r="AE117" s="20">
        <v>73</v>
      </c>
      <c r="AF117" s="21">
        <v>0.1356877323420074</v>
      </c>
      <c r="AG117" s="20">
        <v>498</v>
      </c>
      <c r="AH117" s="21">
        <v>0.92565055762081783</v>
      </c>
      <c r="AI117" s="24">
        <v>532</v>
      </c>
      <c r="AJ117" s="21">
        <v>0.2369710467706013</v>
      </c>
      <c r="AK117" s="24">
        <v>2</v>
      </c>
      <c r="AL117" s="21">
        <v>0.84586466165413532</v>
      </c>
      <c r="AM117" s="24">
        <v>525</v>
      </c>
      <c r="AN117" s="24">
        <v>450</v>
      </c>
      <c r="AO117" s="21">
        <v>0.200445434298441</v>
      </c>
      <c r="AP117" s="21">
        <v>0.83643122676579928</v>
      </c>
      <c r="AQ117" s="22">
        <v>0.97970479704797053</v>
      </c>
      <c r="AR117" s="24">
        <v>0</v>
      </c>
      <c r="AS117" s="24">
        <v>0</v>
      </c>
      <c r="AT117" s="24">
        <v>93</v>
      </c>
      <c r="AU117" s="24">
        <v>86</v>
      </c>
      <c r="AV117" s="24">
        <v>81</v>
      </c>
      <c r="AW117" s="24">
        <v>35</v>
      </c>
      <c r="AX117" s="21">
        <v>3.8307349665924278E-2</v>
      </c>
      <c r="AY117" s="21">
        <v>3.6080178173719377E-2</v>
      </c>
      <c r="AZ117" s="21">
        <v>1.5590200445434301E-2</v>
      </c>
      <c r="BA117" s="21">
        <v>0.18</v>
      </c>
      <c r="BB117" s="24">
        <v>0</v>
      </c>
      <c r="BC117" s="24">
        <v>1</v>
      </c>
      <c r="BD117" s="22">
        <v>0.94915254237288138</v>
      </c>
      <c r="BE117" s="22">
        <v>1</v>
      </c>
      <c r="BF117" s="22" t="s">
        <v>89</v>
      </c>
    </row>
    <row r="118" spans="1:58" ht="19.5" customHeight="1">
      <c r="A118" s="25">
        <v>115</v>
      </c>
      <c r="B118" s="20" t="s">
        <v>88</v>
      </c>
      <c r="C118" s="26">
        <v>46110</v>
      </c>
      <c r="D118" s="20" t="s">
        <v>14</v>
      </c>
      <c r="E118" s="20">
        <v>3001</v>
      </c>
      <c r="F118" s="20">
        <v>2556</v>
      </c>
      <c r="G118" s="21">
        <v>0.85171609463512166</v>
      </c>
      <c r="H118" s="20">
        <v>698</v>
      </c>
      <c r="I118" s="22">
        <v>0.23258913695434849</v>
      </c>
      <c r="J118" s="20">
        <v>1554</v>
      </c>
      <c r="K118" s="20">
        <v>1530</v>
      </c>
      <c r="L118" s="21">
        <v>0.98499999999999999</v>
      </c>
      <c r="M118" s="20">
        <v>5057</v>
      </c>
      <c r="N118" s="20">
        <v>4999</v>
      </c>
      <c r="O118" s="20">
        <v>4949</v>
      </c>
      <c r="P118" s="21">
        <v>0.97864346450464701</v>
      </c>
      <c r="Q118" s="20">
        <v>6</v>
      </c>
      <c r="R118" s="20">
        <v>0</v>
      </c>
      <c r="S118" s="20">
        <v>0</v>
      </c>
      <c r="T118" s="21">
        <v>0</v>
      </c>
      <c r="U118" s="20">
        <v>0</v>
      </c>
      <c r="V118" s="21">
        <v>0</v>
      </c>
      <c r="W118" s="20">
        <v>77</v>
      </c>
      <c r="X118" s="21">
        <v>2.565811396201266E-2</v>
      </c>
      <c r="Y118" s="20">
        <v>194</v>
      </c>
      <c r="Z118" s="23">
        <v>6.4645118293902029E-2</v>
      </c>
      <c r="AA118" s="20">
        <v>0</v>
      </c>
      <c r="AB118" s="21">
        <v>0</v>
      </c>
      <c r="AC118" s="20">
        <v>247</v>
      </c>
      <c r="AD118" s="21">
        <v>8.2305898033988675E-2</v>
      </c>
      <c r="AE118" s="20">
        <v>61</v>
      </c>
      <c r="AF118" s="21">
        <v>0.24696356275303641</v>
      </c>
      <c r="AG118" s="20">
        <v>220</v>
      </c>
      <c r="AH118" s="21">
        <v>0.89068825910931171</v>
      </c>
      <c r="AI118" s="24">
        <v>118</v>
      </c>
      <c r="AJ118" s="21">
        <v>3.9320226591136292E-2</v>
      </c>
      <c r="AK118" s="24">
        <v>1</v>
      </c>
      <c r="AL118" s="21">
        <v>0.50847457627118642</v>
      </c>
      <c r="AM118" s="24">
        <v>117</v>
      </c>
      <c r="AN118" s="24">
        <v>60</v>
      </c>
      <c r="AO118" s="21">
        <v>1.9993335554815059E-2</v>
      </c>
      <c r="AP118" s="21">
        <v>0.24291497975708501</v>
      </c>
      <c r="AQ118" s="22">
        <v>0.96273291925465843</v>
      </c>
      <c r="AR118" s="24">
        <v>354</v>
      </c>
      <c r="AS118" s="24">
        <v>39</v>
      </c>
      <c r="AT118" s="24">
        <v>0</v>
      </c>
      <c r="AU118" s="24">
        <v>0</v>
      </c>
      <c r="AV118" s="24">
        <v>0</v>
      </c>
      <c r="AW118" s="24">
        <v>0</v>
      </c>
      <c r="AX118" s="21">
        <v>0</v>
      </c>
      <c r="AY118" s="21">
        <v>0</v>
      </c>
      <c r="AZ118" s="21">
        <v>0</v>
      </c>
      <c r="BA118" s="21">
        <v>0</v>
      </c>
      <c r="BB118" s="24">
        <v>0</v>
      </c>
      <c r="BC118" s="24">
        <v>0</v>
      </c>
      <c r="BD118" s="22">
        <v>0.90909090909090906</v>
      </c>
      <c r="BE118" s="22" t="s">
        <v>89</v>
      </c>
      <c r="BF118" s="22" t="s">
        <v>89</v>
      </c>
    </row>
    <row r="119" spans="1:58" ht="19.5" customHeight="1">
      <c r="A119" s="25">
        <v>116</v>
      </c>
      <c r="B119" s="20" t="s">
        <v>88</v>
      </c>
      <c r="C119" s="26">
        <v>46110</v>
      </c>
      <c r="D119" s="20" t="s">
        <v>13</v>
      </c>
      <c r="E119" s="20">
        <v>4802</v>
      </c>
      <c r="F119" s="20">
        <v>4236</v>
      </c>
      <c r="G119" s="21">
        <v>0.88213244481466058</v>
      </c>
      <c r="H119" s="20">
        <v>3601</v>
      </c>
      <c r="I119" s="22">
        <v>0.74989587671803415</v>
      </c>
      <c r="J119" s="20">
        <v>5365</v>
      </c>
      <c r="K119" s="20">
        <v>5273</v>
      </c>
      <c r="L119" s="21">
        <v>0.98299999999999998</v>
      </c>
      <c r="M119" s="20">
        <v>22903</v>
      </c>
      <c r="N119" s="20">
        <v>23026</v>
      </c>
      <c r="O119" s="20">
        <v>22603</v>
      </c>
      <c r="P119" s="21">
        <v>0.98690127930838756</v>
      </c>
      <c r="Q119" s="20">
        <v>21</v>
      </c>
      <c r="R119" s="20">
        <v>0</v>
      </c>
      <c r="S119" s="20">
        <v>0</v>
      </c>
      <c r="T119" s="21">
        <v>0</v>
      </c>
      <c r="U119" s="20">
        <v>0</v>
      </c>
      <c r="V119" s="21">
        <v>0</v>
      </c>
      <c r="W119" s="20">
        <v>1876</v>
      </c>
      <c r="X119" s="21">
        <v>0.39067055393585998</v>
      </c>
      <c r="Y119" s="20">
        <v>520</v>
      </c>
      <c r="Z119" s="23">
        <v>0.1082882132444815</v>
      </c>
      <c r="AA119" s="20">
        <v>119</v>
      </c>
      <c r="AB119" s="21">
        <v>2.478134110787172E-2</v>
      </c>
      <c r="AC119" s="20">
        <v>773</v>
      </c>
      <c r="AD119" s="21">
        <v>0.1609745939192003</v>
      </c>
      <c r="AE119" s="20">
        <v>112</v>
      </c>
      <c r="AF119" s="21">
        <v>0.14489003880983181</v>
      </c>
      <c r="AG119" s="20">
        <v>706</v>
      </c>
      <c r="AH119" s="21">
        <v>0.91332470892626128</v>
      </c>
      <c r="AI119" s="24">
        <v>781</v>
      </c>
      <c r="AJ119" s="21">
        <v>0.16264056643065389</v>
      </c>
      <c r="AK119" s="24">
        <v>5</v>
      </c>
      <c r="AL119" s="21">
        <v>0.92701664532650452</v>
      </c>
      <c r="AM119" s="24">
        <v>771</v>
      </c>
      <c r="AN119" s="24">
        <v>724</v>
      </c>
      <c r="AO119" s="21">
        <v>0.15077051228654731</v>
      </c>
      <c r="AP119" s="21">
        <v>0.93661060802069862</v>
      </c>
      <c r="AQ119" s="22">
        <v>0.96574440052700927</v>
      </c>
      <c r="AR119" s="24">
        <v>0</v>
      </c>
      <c r="AS119" s="24">
        <v>0</v>
      </c>
      <c r="AT119" s="24">
        <v>165</v>
      </c>
      <c r="AU119" s="24">
        <v>160</v>
      </c>
      <c r="AV119" s="24">
        <v>159</v>
      </c>
      <c r="AW119" s="24">
        <v>96</v>
      </c>
      <c r="AX119" s="21">
        <v>3.3319450229071221E-2</v>
      </c>
      <c r="AY119" s="21">
        <v>3.3111203665139533E-2</v>
      </c>
      <c r="AZ119" s="21">
        <v>1.999167013744273E-2</v>
      </c>
      <c r="BA119" s="21">
        <v>0.21961325966850831</v>
      </c>
      <c r="BB119" s="24">
        <v>0</v>
      </c>
      <c r="BC119" s="24">
        <v>1</v>
      </c>
      <c r="BD119" s="22">
        <v>0.97530864197530864</v>
      </c>
      <c r="BE119" s="22">
        <v>1</v>
      </c>
      <c r="BF119" s="22" t="s">
        <v>89</v>
      </c>
    </row>
    <row r="120" spans="1:58" ht="19.5" customHeight="1">
      <c r="A120" s="25">
        <v>117</v>
      </c>
      <c r="B120" s="20" t="s">
        <v>88</v>
      </c>
      <c r="C120" s="26">
        <v>46111</v>
      </c>
      <c r="D120" s="20" t="s">
        <v>12</v>
      </c>
      <c r="E120" s="20">
        <v>2763</v>
      </c>
      <c r="F120" s="20">
        <v>2368</v>
      </c>
      <c r="G120" s="21">
        <v>0.85703944987332614</v>
      </c>
      <c r="H120" s="20">
        <v>1582</v>
      </c>
      <c r="I120" s="22">
        <v>0.57256605139341299</v>
      </c>
      <c r="J120" s="20">
        <v>2931</v>
      </c>
      <c r="K120" s="20">
        <v>2847</v>
      </c>
      <c r="L120" s="21">
        <v>0.97099999999999997</v>
      </c>
      <c r="M120" s="20">
        <v>13206</v>
      </c>
      <c r="N120" s="20">
        <v>12571</v>
      </c>
      <c r="O120" s="20">
        <v>12961</v>
      </c>
      <c r="P120" s="21">
        <v>0.98144782674541875</v>
      </c>
      <c r="Q120" s="20">
        <v>34</v>
      </c>
      <c r="R120" s="20">
        <v>0</v>
      </c>
      <c r="S120" s="20">
        <v>0</v>
      </c>
      <c r="T120" s="21">
        <v>0</v>
      </c>
      <c r="U120" s="20">
        <v>0</v>
      </c>
      <c r="V120" s="21">
        <v>0</v>
      </c>
      <c r="W120" s="20">
        <v>5028</v>
      </c>
      <c r="X120" s="21">
        <v>1.819761129207383</v>
      </c>
      <c r="Y120" s="20">
        <v>389</v>
      </c>
      <c r="Z120" s="23">
        <v>0.1407889974665219</v>
      </c>
      <c r="AA120" s="20">
        <v>45</v>
      </c>
      <c r="AB120" s="21">
        <v>1.6286644951140069E-2</v>
      </c>
      <c r="AC120" s="20">
        <v>307</v>
      </c>
      <c r="AD120" s="21">
        <v>0.1111111111111111</v>
      </c>
      <c r="AE120" s="20">
        <v>71</v>
      </c>
      <c r="AF120" s="21">
        <v>0.23127035830618889</v>
      </c>
      <c r="AG120" s="20">
        <v>239</v>
      </c>
      <c r="AH120" s="21">
        <v>0.77850162866449513</v>
      </c>
      <c r="AI120" s="24">
        <v>275</v>
      </c>
      <c r="AJ120" s="21">
        <v>9.9529496923633734E-2</v>
      </c>
      <c r="AK120" s="24">
        <v>2</v>
      </c>
      <c r="AL120" s="21">
        <v>0.80727272727272725</v>
      </c>
      <c r="AM120" s="24">
        <v>268</v>
      </c>
      <c r="AN120" s="24">
        <v>222</v>
      </c>
      <c r="AO120" s="21">
        <v>8.0347448425624315E-2</v>
      </c>
      <c r="AP120" s="21">
        <v>0.72312703583061888</v>
      </c>
      <c r="AQ120" s="22">
        <v>0.96560196560196565</v>
      </c>
      <c r="AR120" s="24">
        <v>0</v>
      </c>
      <c r="AS120" s="24">
        <v>0</v>
      </c>
      <c r="AT120" s="24">
        <v>75</v>
      </c>
      <c r="AU120" s="24">
        <v>65</v>
      </c>
      <c r="AV120" s="24">
        <v>64</v>
      </c>
      <c r="AW120" s="24">
        <v>90</v>
      </c>
      <c r="AX120" s="21">
        <v>2.3525153818313431E-2</v>
      </c>
      <c r="AY120" s="21">
        <v>2.3163228374954759E-2</v>
      </c>
      <c r="AZ120" s="21">
        <v>3.2573289902280131E-2</v>
      </c>
      <c r="BA120" s="21">
        <v>0.28828828828828829</v>
      </c>
      <c r="BB120" s="24">
        <v>0</v>
      </c>
      <c r="BC120" s="24">
        <v>0</v>
      </c>
      <c r="BD120" s="22">
        <v>0.97499999999999998</v>
      </c>
      <c r="BE120" s="22">
        <v>1</v>
      </c>
      <c r="BF120" s="22" t="s">
        <v>89</v>
      </c>
    </row>
    <row r="121" spans="1:58" ht="19.5" customHeight="1">
      <c r="A121" s="25">
        <v>118</v>
      </c>
      <c r="B121" s="20" t="s">
        <v>88</v>
      </c>
      <c r="C121" s="26">
        <v>46111</v>
      </c>
      <c r="D121" s="20" t="s">
        <v>11</v>
      </c>
      <c r="E121" s="20">
        <v>2867</v>
      </c>
      <c r="F121" s="20">
        <v>2521</v>
      </c>
      <c r="G121" s="21">
        <v>0.87931635856295776</v>
      </c>
      <c r="H121" s="20">
        <v>1550</v>
      </c>
      <c r="I121" s="22">
        <v>0.54063480990582491</v>
      </c>
      <c r="J121" s="20">
        <v>1998</v>
      </c>
      <c r="K121" s="20">
        <v>1929</v>
      </c>
      <c r="L121" s="21">
        <v>0.96499999999999997</v>
      </c>
      <c r="M121" s="20">
        <v>10052</v>
      </c>
      <c r="N121" s="20">
        <v>9563</v>
      </c>
      <c r="O121" s="20">
        <v>9844</v>
      </c>
      <c r="P121" s="21">
        <v>0.97930760047751686</v>
      </c>
      <c r="Q121" s="20">
        <v>46</v>
      </c>
      <c r="R121" s="20">
        <v>0</v>
      </c>
      <c r="S121" s="20">
        <v>0</v>
      </c>
      <c r="T121" s="21">
        <v>0</v>
      </c>
      <c r="U121" s="20">
        <v>0</v>
      </c>
      <c r="V121" s="21">
        <v>0</v>
      </c>
      <c r="W121" s="20">
        <v>5602</v>
      </c>
      <c r="X121" s="21">
        <v>1.953958841995117</v>
      </c>
      <c r="Y121" s="20">
        <v>497</v>
      </c>
      <c r="Z121" s="23">
        <v>0.17335193582141609</v>
      </c>
      <c r="AA121" s="20">
        <v>21</v>
      </c>
      <c r="AB121" s="21">
        <v>7.3247296825950468E-3</v>
      </c>
      <c r="AC121" s="20">
        <v>317</v>
      </c>
      <c r="AD121" s="21">
        <v>0.11056853854203</v>
      </c>
      <c r="AE121" s="20">
        <v>57</v>
      </c>
      <c r="AF121" s="21">
        <v>0.17981072555205049</v>
      </c>
      <c r="AG121" s="20">
        <v>272</v>
      </c>
      <c r="AH121" s="21">
        <v>0.85804416403785488</v>
      </c>
      <c r="AI121" s="24">
        <v>312</v>
      </c>
      <c r="AJ121" s="21">
        <v>0.10882455528426931</v>
      </c>
      <c r="AK121" s="24">
        <v>2</v>
      </c>
      <c r="AL121" s="21">
        <v>0.82371794871794868</v>
      </c>
      <c r="AM121" s="24">
        <v>312</v>
      </c>
      <c r="AN121" s="24">
        <v>257</v>
      </c>
      <c r="AO121" s="21">
        <v>8.9640739448901288E-2</v>
      </c>
      <c r="AP121" s="21">
        <v>0.81072555205047314</v>
      </c>
      <c r="AQ121" s="22">
        <v>0.96146044624746452</v>
      </c>
      <c r="AR121" s="24">
        <v>0</v>
      </c>
      <c r="AS121" s="24">
        <v>0</v>
      </c>
      <c r="AT121" s="24">
        <v>79</v>
      </c>
      <c r="AU121" s="24">
        <v>68</v>
      </c>
      <c r="AV121" s="24">
        <v>72</v>
      </c>
      <c r="AW121" s="24">
        <v>81</v>
      </c>
      <c r="AX121" s="21">
        <v>2.3718172305545869E-2</v>
      </c>
      <c r="AY121" s="21">
        <v>2.5113358911754449E-2</v>
      </c>
      <c r="AZ121" s="21">
        <v>2.8252528775723752E-2</v>
      </c>
      <c r="BA121" s="21">
        <v>0.28015564202334631</v>
      </c>
      <c r="BB121" s="24">
        <v>0</v>
      </c>
      <c r="BC121" s="24">
        <v>1</v>
      </c>
      <c r="BD121" s="22">
        <v>1</v>
      </c>
      <c r="BE121" s="22">
        <v>0.84615384615384615</v>
      </c>
      <c r="BF121" s="22" t="s">
        <v>89</v>
      </c>
    </row>
    <row r="122" spans="1:58" ht="19.5" customHeight="1">
      <c r="A122" s="25">
        <v>119</v>
      </c>
      <c r="B122" s="20" t="s">
        <v>88</v>
      </c>
      <c r="C122" s="26">
        <v>46111</v>
      </c>
      <c r="D122" s="20" t="s">
        <v>14</v>
      </c>
      <c r="E122" s="20">
        <v>2455</v>
      </c>
      <c r="F122" s="20">
        <v>1937</v>
      </c>
      <c r="G122" s="21">
        <v>0.78900203665987778</v>
      </c>
      <c r="H122" s="20">
        <v>754</v>
      </c>
      <c r="I122" s="22">
        <v>0.30712830957230142</v>
      </c>
      <c r="J122" s="20">
        <v>1771</v>
      </c>
      <c r="K122" s="20">
        <v>1726</v>
      </c>
      <c r="L122" s="21">
        <v>0.97499999999999998</v>
      </c>
      <c r="M122" s="20">
        <v>5650</v>
      </c>
      <c r="N122" s="20">
        <v>4963</v>
      </c>
      <c r="O122" s="20">
        <v>5505</v>
      </c>
      <c r="P122" s="21">
        <v>0.97433628318584076</v>
      </c>
      <c r="Q122" s="20">
        <v>6</v>
      </c>
      <c r="R122" s="20">
        <v>0</v>
      </c>
      <c r="S122" s="20">
        <v>0</v>
      </c>
      <c r="T122" s="21">
        <v>0</v>
      </c>
      <c r="U122" s="20">
        <v>0</v>
      </c>
      <c r="V122" s="21">
        <v>0</v>
      </c>
      <c r="W122" s="20">
        <v>45</v>
      </c>
      <c r="X122" s="21">
        <v>1.8329938900203669E-2</v>
      </c>
      <c r="Y122" s="20">
        <v>182</v>
      </c>
      <c r="Z122" s="23">
        <v>7.4134419551934824E-2</v>
      </c>
      <c r="AA122" s="20">
        <v>0</v>
      </c>
      <c r="AB122" s="21">
        <v>0</v>
      </c>
      <c r="AC122" s="20">
        <v>193</v>
      </c>
      <c r="AD122" s="21">
        <v>7.8615071283095722E-2</v>
      </c>
      <c r="AE122" s="20">
        <v>60</v>
      </c>
      <c r="AF122" s="21">
        <v>0.31088082901554398</v>
      </c>
      <c r="AG122" s="20">
        <v>171</v>
      </c>
      <c r="AH122" s="21">
        <v>0.88601036269430056</v>
      </c>
      <c r="AI122" s="24">
        <v>100</v>
      </c>
      <c r="AJ122" s="21">
        <v>4.0733197556008148E-2</v>
      </c>
      <c r="AK122" s="24">
        <v>1</v>
      </c>
      <c r="AL122" s="21">
        <v>0.7</v>
      </c>
      <c r="AM122" s="24">
        <v>100</v>
      </c>
      <c r="AN122" s="24">
        <v>70</v>
      </c>
      <c r="AO122" s="21">
        <v>2.8513238289205701E-2</v>
      </c>
      <c r="AP122" s="21">
        <v>0.36269430051813473</v>
      </c>
      <c r="AQ122" s="22">
        <v>0.94936708860759489</v>
      </c>
      <c r="AR122" s="24">
        <v>223</v>
      </c>
      <c r="AS122" s="24">
        <v>32</v>
      </c>
      <c r="AT122" s="24">
        <v>0</v>
      </c>
      <c r="AU122" s="24">
        <v>0</v>
      </c>
      <c r="AV122" s="24">
        <v>0</v>
      </c>
      <c r="AW122" s="24">
        <v>0</v>
      </c>
      <c r="AX122" s="21">
        <v>0</v>
      </c>
      <c r="AY122" s="21">
        <v>0</v>
      </c>
      <c r="AZ122" s="21">
        <v>0</v>
      </c>
      <c r="BA122" s="21">
        <v>0</v>
      </c>
      <c r="BB122" s="24">
        <v>0</v>
      </c>
      <c r="BC122" s="24">
        <v>0</v>
      </c>
      <c r="BD122" s="22">
        <v>1</v>
      </c>
      <c r="BE122" s="22" t="s">
        <v>89</v>
      </c>
      <c r="BF122" s="22" t="s">
        <v>89</v>
      </c>
    </row>
    <row r="123" spans="1:58" ht="19.5" customHeight="1">
      <c r="A123" s="25">
        <v>120</v>
      </c>
      <c r="B123" s="20" t="s">
        <v>88</v>
      </c>
      <c r="C123" s="26">
        <v>46111</v>
      </c>
      <c r="D123" s="20" t="s">
        <v>13</v>
      </c>
      <c r="E123" s="20">
        <v>3170</v>
      </c>
      <c r="F123" s="20">
        <v>2821</v>
      </c>
      <c r="G123" s="21">
        <v>0.88990536277602528</v>
      </c>
      <c r="H123" s="20">
        <v>1942</v>
      </c>
      <c r="I123" s="22">
        <v>0.61261829652996846</v>
      </c>
      <c r="J123" s="20">
        <v>4353</v>
      </c>
      <c r="K123" s="20">
        <v>4268</v>
      </c>
      <c r="L123" s="21">
        <v>0.98</v>
      </c>
      <c r="M123" s="20">
        <v>21044</v>
      </c>
      <c r="N123" s="20">
        <v>20533</v>
      </c>
      <c r="O123" s="20">
        <v>20724</v>
      </c>
      <c r="P123" s="21">
        <v>0.98479376544383201</v>
      </c>
      <c r="Q123" s="20">
        <v>48</v>
      </c>
      <c r="R123" s="20">
        <v>0</v>
      </c>
      <c r="S123" s="20">
        <v>0</v>
      </c>
      <c r="T123" s="21">
        <v>0</v>
      </c>
      <c r="U123" s="20">
        <v>0</v>
      </c>
      <c r="V123" s="21">
        <v>0</v>
      </c>
      <c r="W123" s="20">
        <v>8422</v>
      </c>
      <c r="X123" s="21">
        <v>2.6567823343848578</v>
      </c>
      <c r="Y123" s="20">
        <v>540</v>
      </c>
      <c r="Z123" s="23">
        <v>0.1703470031545741</v>
      </c>
      <c r="AA123" s="20">
        <v>138</v>
      </c>
      <c r="AB123" s="21">
        <v>4.3533123028391157E-2</v>
      </c>
      <c r="AC123" s="20">
        <v>546</v>
      </c>
      <c r="AD123" s="21">
        <v>0.17223974763406941</v>
      </c>
      <c r="AE123" s="20">
        <v>114</v>
      </c>
      <c r="AF123" s="21">
        <v>0.2087912087912088</v>
      </c>
      <c r="AG123" s="20">
        <v>492</v>
      </c>
      <c r="AH123" s="21">
        <v>0.90109890109890112</v>
      </c>
      <c r="AI123" s="24">
        <v>562</v>
      </c>
      <c r="AJ123" s="21">
        <v>0.17728706624605681</v>
      </c>
      <c r="AK123" s="24">
        <v>5</v>
      </c>
      <c r="AL123" s="21">
        <v>0.91637010676156583</v>
      </c>
      <c r="AM123" s="24">
        <v>556</v>
      </c>
      <c r="AN123" s="24">
        <v>515</v>
      </c>
      <c r="AO123" s="21">
        <v>0.16246056782334381</v>
      </c>
      <c r="AP123" s="21">
        <v>0.9432234432234432</v>
      </c>
      <c r="AQ123" s="22">
        <v>0.96361185983827491</v>
      </c>
      <c r="AR123" s="24">
        <v>0</v>
      </c>
      <c r="AS123" s="24">
        <v>0</v>
      </c>
      <c r="AT123" s="24">
        <v>107</v>
      </c>
      <c r="AU123" s="24">
        <v>97</v>
      </c>
      <c r="AV123" s="24">
        <v>95</v>
      </c>
      <c r="AW123" s="24">
        <v>159</v>
      </c>
      <c r="AX123" s="21">
        <v>3.0599369085173501E-2</v>
      </c>
      <c r="AY123" s="21">
        <v>2.996845425867508E-2</v>
      </c>
      <c r="AZ123" s="21">
        <v>5.0157728706624598E-2</v>
      </c>
      <c r="BA123" s="21">
        <v>0.1844660194174757</v>
      </c>
      <c r="BB123" s="24">
        <v>0</v>
      </c>
      <c r="BC123" s="24">
        <v>1</v>
      </c>
      <c r="BD123" s="22">
        <v>0.96808510638297873</v>
      </c>
      <c r="BE123" s="22">
        <v>1</v>
      </c>
      <c r="BF123" s="22" t="s">
        <v>89</v>
      </c>
    </row>
    <row r="124" spans="1:58" ht="19.5" customHeight="1">
      <c r="A124" s="25">
        <v>121</v>
      </c>
      <c r="B124" s="20" t="s">
        <v>88</v>
      </c>
      <c r="C124" s="26">
        <v>46112</v>
      </c>
      <c r="D124" s="20" t="s">
        <v>12</v>
      </c>
      <c r="E124" s="20">
        <v>3252</v>
      </c>
      <c r="F124" s="20">
        <v>2628</v>
      </c>
      <c r="G124" s="21">
        <v>0.80811808118081185</v>
      </c>
      <c r="H124" s="20">
        <v>1352</v>
      </c>
      <c r="I124" s="22">
        <v>0.41574415744157439</v>
      </c>
      <c r="J124" s="20">
        <v>2704</v>
      </c>
      <c r="K124" s="20">
        <v>2580</v>
      </c>
      <c r="L124" s="21">
        <v>0.95399999999999996</v>
      </c>
      <c r="M124" s="20">
        <v>11660</v>
      </c>
      <c r="N124" s="20">
        <v>11435</v>
      </c>
      <c r="O124" s="20">
        <v>11381</v>
      </c>
      <c r="P124" s="21">
        <v>0.9760720411663808</v>
      </c>
      <c r="Q124" s="20">
        <v>46</v>
      </c>
      <c r="R124" s="20">
        <v>0</v>
      </c>
      <c r="S124" s="20">
        <v>0</v>
      </c>
      <c r="T124" s="21">
        <v>0</v>
      </c>
      <c r="U124" s="20">
        <v>0</v>
      </c>
      <c r="V124" s="21">
        <v>0</v>
      </c>
      <c r="W124" s="20">
        <v>5835</v>
      </c>
      <c r="X124" s="21">
        <v>1.7942804428044281</v>
      </c>
      <c r="Y124" s="20">
        <v>477</v>
      </c>
      <c r="Z124" s="23">
        <v>0.14667896678966791</v>
      </c>
      <c r="AA124" s="20">
        <v>36</v>
      </c>
      <c r="AB124" s="21">
        <v>1.107011070110701E-2</v>
      </c>
      <c r="AC124" s="20">
        <v>273</v>
      </c>
      <c r="AD124" s="21">
        <v>8.3948339483394835E-2</v>
      </c>
      <c r="AE124" s="20">
        <v>50</v>
      </c>
      <c r="AF124" s="21">
        <v>0.18315018315018311</v>
      </c>
      <c r="AG124" s="20">
        <v>231</v>
      </c>
      <c r="AH124" s="21">
        <v>0.84615384615384615</v>
      </c>
      <c r="AI124" s="24">
        <v>262</v>
      </c>
      <c r="AJ124" s="21">
        <v>8.0565805658056586E-2</v>
      </c>
      <c r="AK124" s="24">
        <v>2</v>
      </c>
      <c r="AL124" s="21">
        <v>0.85114503816793896</v>
      </c>
      <c r="AM124" s="24">
        <v>262</v>
      </c>
      <c r="AN124" s="24">
        <v>223</v>
      </c>
      <c r="AO124" s="21">
        <v>6.857318573185732E-2</v>
      </c>
      <c r="AP124" s="21">
        <v>0.81684981684981683</v>
      </c>
      <c r="AQ124" s="22">
        <v>0.96370967741935487</v>
      </c>
      <c r="AR124" s="24">
        <v>0</v>
      </c>
      <c r="AS124" s="24">
        <v>0</v>
      </c>
      <c r="AT124" s="24">
        <v>70</v>
      </c>
      <c r="AU124" s="24">
        <v>64</v>
      </c>
      <c r="AV124" s="24">
        <v>62</v>
      </c>
      <c r="AW124" s="24">
        <v>124</v>
      </c>
      <c r="AX124" s="21">
        <v>1.968019680196802E-2</v>
      </c>
      <c r="AY124" s="21">
        <v>1.9065190651906521E-2</v>
      </c>
      <c r="AZ124" s="21">
        <v>3.8130381303813042E-2</v>
      </c>
      <c r="BA124" s="21">
        <v>0.27802690582959638</v>
      </c>
      <c r="BB124" s="24">
        <v>0</v>
      </c>
      <c r="BC124" s="24">
        <v>0</v>
      </c>
      <c r="BD124" s="22">
        <v>0.97499999999999998</v>
      </c>
      <c r="BE124" s="22">
        <v>1</v>
      </c>
      <c r="BF124" s="22" t="s">
        <v>89</v>
      </c>
    </row>
    <row r="125" spans="1:58" ht="19.5" customHeight="1">
      <c r="A125" s="25">
        <v>122</v>
      </c>
      <c r="B125" s="20" t="s">
        <v>88</v>
      </c>
      <c r="C125" s="26">
        <v>46112</v>
      </c>
      <c r="D125" s="20" t="s">
        <v>11</v>
      </c>
      <c r="E125" s="20">
        <v>2487</v>
      </c>
      <c r="F125" s="20">
        <v>2196</v>
      </c>
      <c r="G125" s="21">
        <v>0.88299155609167668</v>
      </c>
      <c r="H125" s="20">
        <v>1143</v>
      </c>
      <c r="I125" s="22">
        <v>0.45958986731001211</v>
      </c>
      <c r="J125" s="20">
        <v>2348</v>
      </c>
      <c r="K125" s="20">
        <v>2256</v>
      </c>
      <c r="L125" s="21">
        <v>0.96099999999999997</v>
      </c>
      <c r="M125" s="20">
        <v>9485</v>
      </c>
      <c r="N125" s="20">
        <v>9397</v>
      </c>
      <c r="O125" s="20">
        <v>9249</v>
      </c>
      <c r="P125" s="21">
        <v>0.97511860832894048</v>
      </c>
      <c r="Q125" s="20">
        <v>45</v>
      </c>
      <c r="R125" s="20">
        <v>0</v>
      </c>
      <c r="S125" s="20">
        <v>0</v>
      </c>
      <c r="T125" s="21">
        <v>0</v>
      </c>
      <c r="U125" s="20">
        <v>0</v>
      </c>
      <c r="V125" s="21">
        <v>0</v>
      </c>
      <c r="W125" s="20">
        <v>5766</v>
      </c>
      <c r="X125" s="21">
        <v>2.318455971049457</v>
      </c>
      <c r="Y125" s="20">
        <v>509</v>
      </c>
      <c r="Z125" s="23">
        <v>0.20466425412143141</v>
      </c>
      <c r="AA125" s="20">
        <v>21</v>
      </c>
      <c r="AB125" s="21">
        <v>8.4439083232810616E-3</v>
      </c>
      <c r="AC125" s="20">
        <v>310</v>
      </c>
      <c r="AD125" s="21">
        <v>0.12464817048653</v>
      </c>
      <c r="AE125" s="20">
        <v>47</v>
      </c>
      <c r="AF125" s="21">
        <v>0.15161290322580651</v>
      </c>
      <c r="AG125" s="20">
        <v>261</v>
      </c>
      <c r="AH125" s="21">
        <v>0.84193548387096773</v>
      </c>
      <c r="AI125" s="24">
        <v>300</v>
      </c>
      <c r="AJ125" s="21">
        <v>0.120627261761158</v>
      </c>
      <c r="AK125" s="24">
        <v>1</v>
      </c>
      <c r="AL125" s="21">
        <v>0.83666666666666667</v>
      </c>
      <c r="AM125" s="24">
        <v>298</v>
      </c>
      <c r="AN125" s="24">
        <v>251</v>
      </c>
      <c r="AO125" s="21">
        <v>0.10092480900683561</v>
      </c>
      <c r="AP125" s="21">
        <v>0.80967741935483872</v>
      </c>
      <c r="AQ125" s="22">
        <v>0.96797153024911031</v>
      </c>
      <c r="AR125" s="24">
        <v>0</v>
      </c>
      <c r="AS125" s="24">
        <v>0</v>
      </c>
      <c r="AT125" s="24">
        <v>59</v>
      </c>
      <c r="AU125" s="24">
        <v>51</v>
      </c>
      <c r="AV125" s="24">
        <v>53</v>
      </c>
      <c r="AW125" s="24">
        <v>105</v>
      </c>
      <c r="AX125" s="21">
        <v>2.050663449939686E-2</v>
      </c>
      <c r="AY125" s="21">
        <v>2.1310816244471249E-2</v>
      </c>
      <c r="AZ125" s="21">
        <v>4.2219541616405308E-2</v>
      </c>
      <c r="BA125" s="21">
        <v>0.21115537848605581</v>
      </c>
      <c r="BB125" s="24">
        <v>0</v>
      </c>
      <c r="BC125" s="24">
        <v>0</v>
      </c>
      <c r="BD125" s="22">
        <v>0.95454545454545459</v>
      </c>
      <c r="BE125" s="22">
        <v>1</v>
      </c>
      <c r="BF125" s="22" t="s">
        <v>89</v>
      </c>
    </row>
    <row r="126" spans="1:58" ht="19.5" customHeight="1">
      <c r="A126" s="25">
        <v>123</v>
      </c>
      <c r="B126" s="20" t="s">
        <v>88</v>
      </c>
      <c r="C126" s="26">
        <v>46112</v>
      </c>
      <c r="D126" s="20" t="s">
        <v>14</v>
      </c>
      <c r="E126" s="20">
        <v>2002</v>
      </c>
      <c r="F126" s="20">
        <v>1779</v>
      </c>
      <c r="G126" s="21">
        <v>0.88861138861138866</v>
      </c>
      <c r="H126" s="20">
        <v>429</v>
      </c>
      <c r="I126" s="22">
        <v>0.2142857142857143</v>
      </c>
      <c r="J126" s="20">
        <v>1060</v>
      </c>
      <c r="K126" s="20">
        <v>1016</v>
      </c>
      <c r="L126" s="21">
        <v>0.95799999999999996</v>
      </c>
      <c r="M126" s="20">
        <v>4772</v>
      </c>
      <c r="N126" s="20">
        <v>4618</v>
      </c>
      <c r="O126" s="20">
        <v>4631</v>
      </c>
      <c r="P126" s="21">
        <v>0.97045264040234702</v>
      </c>
      <c r="Q126" s="20">
        <v>6</v>
      </c>
      <c r="R126" s="20">
        <v>0</v>
      </c>
      <c r="S126" s="20">
        <v>0</v>
      </c>
      <c r="T126" s="21">
        <v>0</v>
      </c>
      <c r="U126" s="20">
        <v>0</v>
      </c>
      <c r="V126" s="21">
        <v>0</v>
      </c>
      <c r="W126" s="20">
        <v>52</v>
      </c>
      <c r="X126" s="21">
        <v>2.5974025974025979E-2</v>
      </c>
      <c r="Y126" s="20">
        <v>182</v>
      </c>
      <c r="Z126" s="23">
        <v>9.0909090909090912E-2</v>
      </c>
      <c r="AA126" s="20">
        <v>0</v>
      </c>
      <c r="AB126" s="21">
        <v>0</v>
      </c>
      <c r="AC126" s="20">
        <v>208</v>
      </c>
      <c r="AD126" s="21">
        <v>0.1038961038961039</v>
      </c>
      <c r="AE126" s="20">
        <v>70</v>
      </c>
      <c r="AF126" s="21">
        <v>0.33653846153846162</v>
      </c>
      <c r="AG126" s="20">
        <v>183</v>
      </c>
      <c r="AH126" s="21">
        <v>0.87980769230769229</v>
      </c>
      <c r="AI126" s="24">
        <v>160</v>
      </c>
      <c r="AJ126" s="21">
        <v>7.992007992007992E-2</v>
      </c>
      <c r="AK126" s="24">
        <v>4</v>
      </c>
      <c r="AL126" s="21">
        <v>0.63749999999999996</v>
      </c>
      <c r="AM126" s="24">
        <v>158</v>
      </c>
      <c r="AN126" s="24">
        <v>102</v>
      </c>
      <c r="AO126" s="21">
        <v>5.0949050949050952E-2</v>
      </c>
      <c r="AP126" s="21">
        <v>0.49038461538461542</v>
      </c>
      <c r="AQ126" s="22">
        <v>0.9568965517241379</v>
      </c>
      <c r="AR126" s="24">
        <v>199</v>
      </c>
      <c r="AS126" s="24">
        <v>34</v>
      </c>
      <c r="AT126" s="24">
        <v>0</v>
      </c>
      <c r="AU126" s="24">
        <v>0</v>
      </c>
      <c r="AV126" s="24">
        <v>0</v>
      </c>
      <c r="AW126" s="24">
        <v>0</v>
      </c>
      <c r="AX126" s="21">
        <v>0</v>
      </c>
      <c r="AY126" s="21">
        <v>0</v>
      </c>
      <c r="AZ126" s="21">
        <v>0</v>
      </c>
      <c r="BA126" s="21">
        <v>0</v>
      </c>
      <c r="BB126" s="24">
        <v>0</v>
      </c>
      <c r="BC126" s="24">
        <v>1</v>
      </c>
      <c r="BD126" s="22">
        <v>0.94444444444444442</v>
      </c>
      <c r="BE126" s="22" t="s">
        <v>89</v>
      </c>
      <c r="BF126" s="22" t="s">
        <v>89</v>
      </c>
    </row>
    <row r="127" spans="1:58" ht="19.5" customHeight="1">
      <c r="A127" s="25">
        <v>124</v>
      </c>
      <c r="B127" s="20" t="s">
        <v>88</v>
      </c>
      <c r="C127" s="26">
        <v>46112</v>
      </c>
      <c r="D127" s="20" t="s">
        <v>13</v>
      </c>
      <c r="E127" s="20">
        <v>3578</v>
      </c>
      <c r="F127" s="20">
        <v>3129</v>
      </c>
      <c r="G127" s="21">
        <v>0.8745108999441028</v>
      </c>
      <c r="H127" s="20">
        <v>2310</v>
      </c>
      <c r="I127" s="22">
        <v>0.64561207378423702</v>
      </c>
      <c r="J127" s="20">
        <v>3724</v>
      </c>
      <c r="K127" s="20">
        <v>3612</v>
      </c>
      <c r="L127" s="21">
        <v>0.97</v>
      </c>
      <c r="M127" s="20">
        <v>21362</v>
      </c>
      <c r="N127" s="20">
        <v>20896</v>
      </c>
      <c r="O127" s="20">
        <v>20967</v>
      </c>
      <c r="P127" s="21">
        <v>0.98150922198296042</v>
      </c>
      <c r="Q127" s="20">
        <v>31</v>
      </c>
      <c r="R127" s="20">
        <v>0</v>
      </c>
      <c r="S127" s="20">
        <v>0</v>
      </c>
      <c r="T127" s="21">
        <v>0</v>
      </c>
      <c r="U127" s="20">
        <v>0</v>
      </c>
      <c r="V127" s="21">
        <v>0</v>
      </c>
      <c r="W127" s="20">
        <v>9441</v>
      </c>
      <c r="X127" s="21">
        <v>2.638624930128564</v>
      </c>
      <c r="Y127" s="20">
        <v>705</v>
      </c>
      <c r="Z127" s="23">
        <v>0.1970374510899944</v>
      </c>
      <c r="AA127" s="20">
        <v>109</v>
      </c>
      <c r="AB127" s="21">
        <v>3.0463946338736721E-2</v>
      </c>
      <c r="AC127" s="20">
        <v>498</v>
      </c>
      <c r="AD127" s="21">
        <v>0.13918390162101729</v>
      </c>
      <c r="AE127" s="20">
        <v>88</v>
      </c>
      <c r="AF127" s="21">
        <v>0.17670682730923701</v>
      </c>
      <c r="AG127" s="20">
        <v>433</v>
      </c>
      <c r="AH127" s="21">
        <v>0.86947791164658639</v>
      </c>
      <c r="AI127" s="24">
        <v>491</v>
      </c>
      <c r="AJ127" s="21">
        <v>0.1372275013974287</v>
      </c>
      <c r="AK127" s="24">
        <v>5</v>
      </c>
      <c r="AL127" s="21">
        <v>0.90020366598778001</v>
      </c>
      <c r="AM127" s="24">
        <v>483</v>
      </c>
      <c r="AN127" s="24">
        <v>442</v>
      </c>
      <c r="AO127" s="21">
        <v>0.12353269983230861</v>
      </c>
      <c r="AP127" s="21">
        <v>0.8875502008032129</v>
      </c>
      <c r="AQ127" s="22">
        <v>0.97020484171322163</v>
      </c>
      <c r="AR127" s="24">
        <v>0</v>
      </c>
      <c r="AS127" s="24">
        <v>0</v>
      </c>
      <c r="AT127" s="24">
        <v>98</v>
      </c>
      <c r="AU127" s="24">
        <v>86</v>
      </c>
      <c r="AV127" s="24">
        <v>89</v>
      </c>
      <c r="AW127" s="24">
        <v>203</v>
      </c>
      <c r="AX127" s="21">
        <v>2.4035774175517052E-2</v>
      </c>
      <c r="AY127" s="21">
        <v>2.4874231414197881E-2</v>
      </c>
      <c r="AZ127" s="21">
        <v>5.6735606484069313E-2</v>
      </c>
      <c r="BA127" s="21">
        <v>0.20135746606334839</v>
      </c>
      <c r="BB127" s="24">
        <v>0</v>
      </c>
      <c r="BC127" s="24">
        <v>0</v>
      </c>
      <c r="BD127" s="22">
        <v>0.98734177215189878</v>
      </c>
      <c r="BE127" s="22">
        <v>1</v>
      </c>
      <c r="BF127" s="22" t="s">
        <v>89</v>
      </c>
    </row>
    <row r="128" spans="1:58" ht="19.5" customHeight="1">
      <c r="A128" s="25">
        <v>125</v>
      </c>
      <c r="B128" s="20" t="s">
        <v>88</v>
      </c>
      <c r="C128" s="26">
        <v>46113</v>
      </c>
      <c r="D128" s="20" t="s">
        <v>12</v>
      </c>
      <c r="E128" s="20">
        <v>2586</v>
      </c>
      <c r="F128" s="20">
        <v>2170</v>
      </c>
      <c r="G128" s="21">
        <v>0.83913379737045635</v>
      </c>
      <c r="H128" s="20">
        <v>1097</v>
      </c>
      <c r="I128" s="22">
        <v>0.42420726991492652</v>
      </c>
      <c r="J128" s="20">
        <v>2265</v>
      </c>
      <c r="K128" s="20">
        <v>2213</v>
      </c>
      <c r="L128" s="21">
        <v>0.97699999999999998</v>
      </c>
      <c r="M128" s="20">
        <v>10478</v>
      </c>
      <c r="N128" s="20">
        <v>10620</v>
      </c>
      <c r="O128" s="20">
        <v>10334</v>
      </c>
      <c r="P128" s="21">
        <v>0.98625691925940062</v>
      </c>
      <c r="Q128" s="20">
        <v>20</v>
      </c>
      <c r="R128" s="20">
        <v>0</v>
      </c>
      <c r="S128" s="20">
        <v>0</v>
      </c>
      <c r="T128" s="21">
        <v>0</v>
      </c>
      <c r="U128" s="20">
        <v>0</v>
      </c>
      <c r="V128" s="21">
        <v>0</v>
      </c>
      <c r="W128" s="20">
        <v>3022</v>
      </c>
      <c r="X128" s="21">
        <v>1.168600154679041</v>
      </c>
      <c r="Y128" s="20">
        <v>292</v>
      </c>
      <c r="Z128" s="23">
        <v>0.1129156999226605</v>
      </c>
      <c r="AA128" s="20">
        <v>38</v>
      </c>
      <c r="AB128" s="21">
        <v>1.4694508894044859E-2</v>
      </c>
      <c r="AC128" s="20">
        <v>250</v>
      </c>
      <c r="AD128" s="21">
        <v>9.6674400618716169E-2</v>
      </c>
      <c r="AE128" s="20">
        <v>41</v>
      </c>
      <c r="AF128" s="21">
        <v>0.16400000000000001</v>
      </c>
      <c r="AG128" s="20">
        <v>238</v>
      </c>
      <c r="AH128" s="21">
        <v>0.95199999999999996</v>
      </c>
      <c r="AI128" s="24">
        <v>255</v>
      </c>
      <c r="AJ128" s="21">
        <v>9.860788863109049E-2</v>
      </c>
      <c r="AK128" s="24">
        <v>1</v>
      </c>
      <c r="AL128" s="21">
        <v>0.87058823529411766</v>
      </c>
      <c r="AM128" s="24">
        <v>254</v>
      </c>
      <c r="AN128" s="24">
        <v>222</v>
      </c>
      <c r="AO128" s="21">
        <v>8.584686774941995E-2</v>
      </c>
      <c r="AP128" s="21">
        <v>0.88800000000000001</v>
      </c>
      <c r="AQ128" s="22">
        <v>0.98007968127490042</v>
      </c>
      <c r="AR128" s="24">
        <v>0</v>
      </c>
      <c r="AS128" s="24">
        <v>0</v>
      </c>
      <c r="AT128" s="24">
        <v>57</v>
      </c>
      <c r="AU128" s="24">
        <v>49</v>
      </c>
      <c r="AV128" s="24">
        <v>53</v>
      </c>
      <c r="AW128" s="24">
        <v>74</v>
      </c>
      <c r="AX128" s="21">
        <v>1.894818252126837E-2</v>
      </c>
      <c r="AY128" s="21">
        <v>2.0494972931167831E-2</v>
      </c>
      <c r="AZ128" s="21">
        <v>2.8615622583139981E-2</v>
      </c>
      <c r="BA128" s="21">
        <v>0.23873873873873869</v>
      </c>
      <c r="BB128" s="24">
        <v>0</v>
      </c>
      <c r="BC128" s="24">
        <v>0</v>
      </c>
      <c r="BD128" s="22">
        <v>1</v>
      </c>
      <c r="BE128" s="22">
        <v>1</v>
      </c>
      <c r="BF128" s="22" t="s">
        <v>89</v>
      </c>
    </row>
    <row r="129" spans="1:58" ht="19.5" customHeight="1">
      <c r="A129" s="25">
        <v>126</v>
      </c>
      <c r="B129" s="20" t="s">
        <v>88</v>
      </c>
      <c r="C129" s="26">
        <v>46113</v>
      </c>
      <c r="D129" s="20" t="s">
        <v>11</v>
      </c>
      <c r="E129" s="20">
        <v>2253</v>
      </c>
      <c r="F129" s="20">
        <v>2020</v>
      </c>
      <c r="G129" s="21">
        <v>0.89658233466489123</v>
      </c>
      <c r="H129" s="20">
        <v>992</v>
      </c>
      <c r="I129" s="22">
        <v>0.44030181979582778</v>
      </c>
      <c r="J129" s="20">
        <v>1637</v>
      </c>
      <c r="K129" s="20">
        <v>1513</v>
      </c>
      <c r="L129" s="21">
        <v>0.92400000000000004</v>
      </c>
      <c r="M129" s="20">
        <v>8929</v>
      </c>
      <c r="N129" s="20">
        <v>8866</v>
      </c>
      <c r="O129" s="20">
        <v>8735</v>
      </c>
      <c r="P129" s="21">
        <v>0.97827304289394112</v>
      </c>
      <c r="Q129" s="20">
        <v>45</v>
      </c>
      <c r="R129" s="20">
        <v>0</v>
      </c>
      <c r="S129" s="20">
        <v>0</v>
      </c>
      <c r="T129" s="21">
        <v>0</v>
      </c>
      <c r="U129" s="20">
        <v>0</v>
      </c>
      <c r="V129" s="21">
        <v>0</v>
      </c>
      <c r="W129" s="20">
        <v>2806</v>
      </c>
      <c r="X129" s="21">
        <v>1.2454505104305369</v>
      </c>
      <c r="Y129" s="20">
        <v>539</v>
      </c>
      <c r="Z129" s="23">
        <v>0.2392365734576121</v>
      </c>
      <c r="AA129" s="20">
        <v>23</v>
      </c>
      <c r="AB129" s="21">
        <v>1.0208610741233909E-2</v>
      </c>
      <c r="AC129" s="20">
        <v>275</v>
      </c>
      <c r="AD129" s="21">
        <v>0.12205947625388371</v>
      </c>
      <c r="AE129" s="20">
        <v>34</v>
      </c>
      <c r="AF129" s="21">
        <v>0.1236363636363636</v>
      </c>
      <c r="AG129" s="20">
        <v>252</v>
      </c>
      <c r="AH129" s="21">
        <v>0.91636363636363638</v>
      </c>
      <c r="AI129" s="24">
        <v>257</v>
      </c>
      <c r="AJ129" s="21">
        <v>0.11407012871726591</v>
      </c>
      <c r="AK129" s="24">
        <v>1</v>
      </c>
      <c r="AL129" s="21">
        <v>0.88715953307392992</v>
      </c>
      <c r="AM129" s="24">
        <v>256</v>
      </c>
      <c r="AN129" s="24">
        <v>228</v>
      </c>
      <c r="AO129" s="21">
        <v>0.10119840213049271</v>
      </c>
      <c r="AP129" s="21">
        <v>0.8290909090909091</v>
      </c>
      <c r="AQ129" s="22">
        <v>0.97491039426523296</v>
      </c>
      <c r="AR129" s="24">
        <v>0</v>
      </c>
      <c r="AS129" s="24">
        <v>0</v>
      </c>
      <c r="AT129" s="24">
        <v>44</v>
      </c>
      <c r="AU129" s="24">
        <v>34</v>
      </c>
      <c r="AV129" s="24">
        <v>37</v>
      </c>
      <c r="AW129" s="24">
        <v>53</v>
      </c>
      <c r="AX129" s="21">
        <v>1.5090989791389261E-2</v>
      </c>
      <c r="AY129" s="21">
        <v>1.6422547714158901E-2</v>
      </c>
      <c r="AZ129" s="21">
        <v>2.3524189968930319E-2</v>
      </c>
      <c r="BA129" s="21">
        <v>0.162280701754386</v>
      </c>
      <c r="BB129" s="24">
        <v>0</v>
      </c>
      <c r="BC129" s="24">
        <v>0</v>
      </c>
      <c r="BD129" s="22">
        <v>1</v>
      </c>
      <c r="BE129" s="22">
        <v>1</v>
      </c>
      <c r="BF129" s="22" t="s">
        <v>89</v>
      </c>
    </row>
    <row r="130" spans="1:58" ht="19.5" customHeight="1">
      <c r="A130" s="25">
        <v>127</v>
      </c>
      <c r="B130" s="20" t="s">
        <v>88</v>
      </c>
      <c r="C130" s="26">
        <v>46113</v>
      </c>
      <c r="D130" s="20" t="s">
        <v>14</v>
      </c>
      <c r="E130" s="20">
        <v>2082</v>
      </c>
      <c r="F130" s="20">
        <v>1875</v>
      </c>
      <c r="G130" s="21">
        <v>0.90057636887608072</v>
      </c>
      <c r="H130" s="20">
        <v>436</v>
      </c>
      <c r="I130" s="22">
        <v>0.2094140249759846</v>
      </c>
      <c r="J130" s="20">
        <v>1200</v>
      </c>
      <c r="K130" s="20">
        <v>1154</v>
      </c>
      <c r="L130" s="21">
        <v>0.96199999999999997</v>
      </c>
      <c r="M130" s="20">
        <v>4822</v>
      </c>
      <c r="N130" s="20">
        <v>4887</v>
      </c>
      <c r="O130" s="20">
        <v>4711</v>
      </c>
      <c r="P130" s="21">
        <v>0.97698050601410202</v>
      </c>
      <c r="Q130" s="20">
        <v>17</v>
      </c>
      <c r="R130" s="20">
        <v>0</v>
      </c>
      <c r="S130" s="20">
        <v>0</v>
      </c>
      <c r="T130" s="21">
        <v>0</v>
      </c>
      <c r="U130" s="20">
        <v>0</v>
      </c>
      <c r="V130" s="21">
        <v>0</v>
      </c>
      <c r="W130" s="20">
        <v>61</v>
      </c>
      <c r="X130" s="21">
        <v>2.929875120076849E-2</v>
      </c>
      <c r="Y130" s="20">
        <v>190</v>
      </c>
      <c r="Z130" s="23">
        <v>9.1258405379442839E-2</v>
      </c>
      <c r="AA130" s="20">
        <v>0</v>
      </c>
      <c r="AB130" s="21">
        <v>0</v>
      </c>
      <c r="AC130" s="20">
        <v>314</v>
      </c>
      <c r="AD130" s="21">
        <v>0.15081652257444761</v>
      </c>
      <c r="AE130" s="20">
        <v>170</v>
      </c>
      <c r="AF130" s="21">
        <v>0.54140127388535031</v>
      </c>
      <c r="AG130" s="20">
        <v>299</v>
      </c>
      <c r="AH130" s="21">
        <v>0.95222929936305734</v>
      </c>
      <c r="AI130" s="24">
        <v>332</v>
      </c>
      <c r="AJ130" s="21">
        <v>0.159462055715658</v>
      </c>
      <c r="AK130" s="24">
        <v>0</v>
      </c>
      <c r="AL130" s="21">
        <v>0.69578313253012047</v>
      </c>
      <c r="AM130" s="24">
        <v>331</v>
      </c>
      <c r="AN130" s="24">
        <v>231</v>
      </c>
      <c r="AO130" s="21">
        <v>0.1109510086455331</v>
      </c>
      <c r="AP130" s="21">
        <v>0.73566878980891715</v>
      </c>
      <c r="AQ130" s="22">
        <v>0.95321637426900585</v>
      </c>
      <c r="AR130" s="24">
        <v>216</v>
      </c>
      <c r="AS130" s="24">
        <v>34</v>
      </c>
      <c r="AT130" s="24">
        <v>0</v>
      </c>
      <c r="AU130" s="24">
        <v>0</v>
      </c>
      <c r="AV130" s="24">
        <v>0</v>
      </c>
      <c r="AW130" s="24">
        <v>0</v>
      </c>
      <c r="AX130" s="21">
        <v>0</v>
      </c>
      <c r="AY130" s="21">
        <v>0</v>
      </c>
      <c r="AZ130" s="21">
        <v>0</v>
      </c>
      <c r="BA130" s="21">
        <v>0</v>
      </c>
      <c r="BB130" s="24">
        <v>0</v>
      </c>
      <c r="BC130" s="24">
        <v>0</v>
      </c>
      <c r="BD130" s="22">
        <v>0.98666666666666669</v>
      </c>
      <c r="BE130" s="22" t="s">
        <v>89</v>
      </c>
      <c r="BF130" s="22" t="s">
        <v>89</v>
      </c>
    </row>
    <row r="131" spans="1:58" ht="19.5" customHeight="1">
      <c r="A131" s="25">
        <v>128</v>
      </c>
      <c r="B131" s="20" t="s">
        <v>88</v>
      </c>
      <c r="C131" s="26">
        <v>46113</v>
      </c>
      <c r="D131" s="20" t="s">
        <v>13</v>
      </c>
      <c r="E131" s="20">
        <v>2815</v>
      </c>
      <c r="F131" s="20">
        <v>2517</v>
      </c>
      <c r="G131" s="21">
        <v>0.89413854351687394</v>
      </c>
      <c r="H131" s="20">
        <v>1765</v>
      </c>
      <c r="I131" s="22">
        <v>0.62699822380106573</v>
      </c>
      <c r="J131" s="20">
        <v>3755</v>
      </c>
      <c r="K131" s="20">
        <v>3690</v>
      </c>
      <c r="L131" s="21">
        <v>0.98299999999999998</v>
      </c>
      <c r="M131" s="20">
        <v>19465</v>
      </c>
      <c r="N131" s="20">
        <v>18962</v>
      </c>
      <c r="O131" s="20">
        <v>19200</v>
      </c>
      <c r="P131" s="21">
        <v>0.98638582070382741</v>
      </c>
      <c r="Q131" s="20">
        <v>18</v>
      </c>
      <c r="R131" s="20">
        <v>0</v>
      </c>
      <c r="S131" s="20">
        <v>0</v>
      </c>
      <c r="T131" s="21">
        <v>0</v>
      </c>
      <c r="U131" s="20">
        <v>0</v>
      </c>
      <c r="V131" s="21">
        <v>0</v>
      </c>
      <c r="W131" s="20">
        <v>4506</v>
      </c>
      <c r="X131" s="21">
        <v>1.6007104795737119</v>
      </c>
      <c r="Y131" s="20">
        <v>483</v>
      </c>
      <c r="Z131" s="23">
        <v>0.17158081705150979</v>
      </c>
      <c r="AA131" s="20">
        <v>108</v>
      </c>
      <c r="AB131" s="21">
        <v>3.8365896980461812E-2</v>
      </c>
      <c r="AC131" s="20">
        <v>403</v>
      </c>
      <c r="AD131" s="21">
        <v>0.14316163410301949</v>
      </c>
      <c r="AE131" s="20">
        <v>46</v>
      </c>
      <c r="AF131" s="21">
        <v>0.11414392059553349</v>
      </c>
      <c r="AG131" s="20">
        <v>386</v>
      </c>
      <c r="AH131" s="21">
        <v>0.95781637717121593</v>
      </c>
      <c r="AI131" s="24">
        <v>404</v>
      </c>
      <c r="AJ131" s="21">
        <v>0.14351687388987569</v>
      </c>
      <c r="AK131" s="24">
        <v>2</v>
      </c>
      <c r="AL131" s="21">
        <v>0.90099009900990101</v>
      </c>
      <c r="AM131" s="24">
        <v>399</v>
      </c>
      <c r="AN131" s="24">
        <v>364</v>
      </c>
      <c r="AO131" s="21">
        <v>0.12930728241563061</v>
      </c>
      <c r="AP131" s="21">
        <v>0.90322580645161288</v>
      </c>
      <c r="AQ131" s="22">
        <v>0.9665178571428571</v>
      </c>
      <c r="AR131" s="24">
        <v>0</v>
      </c>
      <c r="AS131" s="24">
        <v>0</v>
      </c>
      <c r="AT131" s="24">
        <v>49</v>
      </c>
      <c r="AU131" s="24">
        <v>47</v>
      </c>
      <c r="AV131" s="24">
        <v>49</v>
      </c>
      <c r="AW131" s="24">
        <v>82</v>
      </c>
      <c r="AX131" s="21">
        <v>1.6696269982238009E-2</v>
      </c>
      <c r="AY131" s="21">
        <v>1.7406749555950271E-2</v>
      </c>
      <c r="AZ131" s="21">
        <v>2.912966252220249E-2</v>
      </c>
      <c r="BA131" s="21">
        <v>0.13461538461538461</v>
      </c>
      <c r="BB131" s="24">
        <v>0</v>
      </c>
      <c r="BC131" s="24">
        <v>0</v>
      </c>
      <c r="BD131" s="22">
        <v>0.98333333333333328</v>
      </c>
      <c r="BE131" s="22">
        <v>1</v>
      </c>
      <c r="BF131" s="22" t="s">
        <v>89</v>
      </c>
    </row>
    <row r="132" spans="1:58" ht="19.5" customHeight="1">
      <c r="A132" s="25">
        <v>129</v>
      </c>
      <c r="B132" s="20" t="s">
        <v>88</v>
      </c>
      <c r="C132" s="26">
        <v>46114</v>
      </c>
      <c r="D132" s="20" t="s">
        <v>12</v>
      </c>
      <c r="E132" s="20">
        <v>2372</v>
      </c>
      <c r="F132" s="20">
        <v>1892</v>
      </c>
      <c r="G132" s="21">
        <v>0.79763912310286678</v>
      </c>
      <c r="H132" s="20">
        <v>956</v>
      </c>
      <c r="I132" s="22">
        <v>0.40303541315345698</v>
      </c>
      <c r="J132" s="20">
        <v>2002</v>
      </c>
      <c r="K132" s="20">
        <v>1947</v>
      </c>
      <c r="L132" s="21">
        <v>0.97299999999999998</v>
      </c>
      <c r="M132" s="20">
        <v>10930</v>
      </c>
      <c r="N132" s="20">
        <v>10945</v>
      </c>
      <c r="O132" s="20">
        <v>10761</v>
      </c>
      <c r="P132" s="21">
        <v>0.9845379688929552</v>
      </c>
      <c r="Q132" s="20">
        <v>13</v>
      </c>
      <c r="R132" s="20">
        <v>0</v>
      </c>
      <c r="S132" s="20">
        <v>0</v>
      </c>
      <c r="T132" s="21">
        <v>0</v>
      </c>
      <c r="U132" s="20">
        <v>0</v>
      </c>
      <c r="V132" s="21">
        <v>0</v>
      </c>
      <c r="W132" s="20">
        <v>1942</v>
      </c>
      <c r="X132" s="21">
        <v>0.81871838111298478</v>
      </c>
      <c r="Y132" s="20">
        <v>660</v>
      </c>
      <c r="Z132" s="23">
        <v>0.27824620573355818</v>
      </c>
      <c r="AA132" s="20">
        <v>30</v>
      </c>
      <c r="AB132" s="21">
        <v>1.264755480607083E-2</v>
      </c>
      <c r="AC132" s="20">
        <v>228</v>
      </c>
      <c r="AD132" s="21">
        <v>9.6121416526138273E-2</v>
      </c>
      <c r="AE132" s="20">
        <v>54</v>
      </c>
      <c r="AF132" s="21">
        <v>0.23684210526315791</v>
      </c>
      <c r="AG132" s="20">
        <v>210</v>
      </c>
      <c r="AH132" s="21">
        <v>0.92105263157894735</v>
      </c>
      <c r="AI132" s="24">
        <v>229</v>
      </c>
      <c r="AJ132" s="21">
        <v>9.654300168634064E-2</v>
      </c>
      <c r="AK132" s="24">
        <v>0</v>
      </c>
      <c r="AL132" s="21">
        <v>0.82969432314410485</v>
      </c>
      <c r="AM132" s="24">
        <v>228</v>
      </c>
      <c r="AN132" s="24">
        <v>190</v>
      </c>
      <c r="AO132" s="21">
        <v>8.0101180438448563E-2</v>
      </c>
      <c r="AP132" s="21">
        <v>0.83333333333333337</v>
      </c>
      <c r="AQ132" s="22">
        <v>0.96943231441048039</v>
      </c>
      <c r="AR132" s="24">
        <v>0</v>
      </c>
      <c r="AS132" s="24">
        <v>0</v>
      </c>
      <c r="AT132" s="24">
        <v>53</v>
      </c>
      <c r="AU132" s="24">
        <v>47</v>
      </c>
      <c r="AV132" s="24">
        <v>45</v>
      </c>
      <c r="AW132" s="24">
        <v>60</v>
      </c>
      <c r="AX132" s="21">
        <v>1.9814502529510961E-2</v>
      </c>
      <c r="AY132" s="21">
        <v>1.897133220910624E-2</v>
      </c>
      <c r="AZ132" s="21">
        <v>2.529510961214165E-2</v>
      </c>
      <c r="BA132" s="21">
        <v>0.23684210526315791</v>
      </c>
      <c r="BB132" s="24">
        <v>0</v>
      </c>
      <c r="BC132" s="24">
        <v>0</v>
      </c>
      <c r="BD132" s="22">
        <v>1</v>
      </c>
      <c r="BE132" s="22">
        <v>1</v>
      </c>
      <c r="BF132" s="22" t="s">
        <v>89</v>
      </c>
    </row>
    <row r="133" spans="1:58" ht="19.5" customHeight="1">
      <c r="A133" s="25">
        <v>130</v>
      </c>
      <c r="B133" s="20" t="s">
        <v>88</v>
      </c>
      <c r="C133" s="26">
        <v>46114</v>
      </c>
      <c r="D133" s="20" t="s">
        <v>11</v>
      </c>
      <c r="E133" s="20">
        <v>2323</v>
      </c>
      <c r="F133" s="20">
        <v>2014</v>
      </c>
      <c r="G133" s="21">
        <v>0.86698235040895388</v>
      </c>
      <c r="H133" s="20">
        <v>1333</v>
      </c>
      <c r="I133" s="22">
        <v>0.57382694791218247</v>
      </c>
      <c r="J133" s="20">
        <v>2266</v>
      </c>
      <c r="K133" s="20">
        <v>2177</v>
      </c>
      <c r="L133" s="21">
        <v>0.96099999999999997</v>
      </c>
      <c r="M133" s="20">
        <v>9783</v>
      </c>
      <c r="N133" s="20">
        <v>9800</v>
      </c>
      <c r="O133" s="20">
        <v>9590</v>
      </c>
      <c r="P133" s="21">
        <v>0.98027190023510169</v>
      </c>
      <c r="Q133" s="20">
        <v>47</v>
      </c>
      <c r="R133" s="20">
        <v>0</v>
      </c>
      <c r="S133" s="20">
        <v>0</v>
      </c>
      <c r="T133" s="21">
        <v>0</v>
      </c>
      <c r="U133" s="20">
        <v>0</v>
      </c>
      <c r="V133" s="21">
        <v>0</v>
      </c>
      <c r="W133" s="20">
        <v>1905</v>
      </c>
      <c r="X133" s="21">
        <v>0.82006026689625489</v>
      </c>
      <c r="Y133" s="20">
        <v>919</v>
      </c>
      <c r="Z133" s="23">
        <v>0.39560912613000432</v>
      </c>
      <c r="AA133" s="20">
        <v>26</v>
      </c>
      <c r="AB133" s="21">
        <v>1.1192423590185111E-2</v>
      </c>
      <c r="AC133" s="20">
        <v>247</v>
      </c>
      <c r="AD133" s="21">
        <v>0.1063280241067585</v>
      </c>
      <c r="AE133" s="20">
        <v>55</v>
      </c>
      <c r="AF133" s="21">
        <v>0.2226720647773279</v>
      </c>
      <c r="AG133" s="20">
        <v>229</v>
      </c>
      <c r="AH133" s="21">
        <v>0.92712550607287447</v>
      </c>
      <c r="AI133" s="24">
        <v>235</v>
      </c>
      <c r="AJ133" s="21">
        <v>0.1011622901420577</v>
      </c>
      <c r="AK133" s="24">
        <v>1</v>
      </c>
      <c r="AL133" s="21">
        <v>0.85531914893617023</v>
      </c>
      <c r="AM133" s="24">
        <v>236</v>
      </c>
      <c r="AN133" s="24">
        <v>201</v>
      </c>
      <c r="AO133" s="21">
        <v>8.6526043908738706E-2</v>
      </c>
      <c r="AP133" s="21">
        <v>0.81376518218623484</v>
      </c>
      <c r="AQ133" s="22">
        <v>0.95416666666666672</v>
      </c>
      <c r="AR133" s="24">
        <v>0</v>
      </c>
      <c r="AS133" s="24">
        <v>0</v>
      </c>
      <c r="AT133" s="24">
        <v>48</v>
      </c>
      <c r="AU133" s="24">
        <v>41</v>
      </c>
      <c r="AV133" s="24">
        <v>42</v>
      </c>
      <c r="AW133" s="24">
        <v>36</v>
      </c>
      <c r="AX133" s="21">
        <v>1.764959104606113E-2</v>
      </c>
      <c r="AY133" s="21">
        <v>1.8080068876452859E-2</v>
      </c>
      <c r="AZ133" s="21">
        <v>1.549720189410245E-2</v>
      </c>
      <c r="BA133" s="21">
        <v>0.20895522388059701</v>
      </c>
      <c r="BB133" s="24">
        <v>0</v>
      </c>
      <c r="BC133" s="24">
        <v>0</v>
      </c>
      <c r="BD133" s="22">
        <v>0.9642857142857143</v>
      </c>
      <c r="BE133" s="22">
        <v>1</v>
      </c>
      <c r="BF133" s="22" t="s">
        <v>89</v>
      </c>
    </row>
    <row r="134" spans="1:58" ht="19.5" customHeight="1">
      <c r="A134" s="25">
        <v>131</v>
      </c>
      <c r="B134" s="20" t="s">
        <v>88</v>
      </c>
      <c r="C134" s="26">
        <v>46114</v>
      </c>
      <c r="D134" s="20" t="s">
        <v>14</v>
      </c>
      <c r="E134" s="20">
        <v>3340</v>
      </c>
      <c r="F134" s="20">
        <v>2852</v>
      </c>
      <c r="G134" s="21">
        <v>0.8538922155688623</v>
      </c>
      <c r="H134" s="20">
        <v>1408</v>
      </c>
      <c r="I134" s="22">
        <v>0.42155688622754489</v>
      </c>
      <c r="J134" s="20">
        <v>1093</v>
      </c>
      <c r="K134" s="20">
        <v>1060</v>
      </c>
      <c r="L134" s="21">
        <v>0.97</v>
      </c>
      <c r="M134" s="20">
        <v>5162</v>
      </c>
      <c r="N134" s="20">
        <v>5778</v>
      </c>
      <c r="O134" s="20">
        <v>5050</v>
      </c>
      <c r="P134" s="21">
        <v>0.97830298333979082</v>
      </c>
      <c r="Q134" s="20">
        <v>5</v>
      </c>
      <c r="R134" s="20">
        <v>0</v>
      </c>
      <c r="S134" s="20">
        <v>0</v>
      </c>
      <c r="T134" s="21">
        <v>0</v>
      </c>
      <c r="U134" s="20">
        <v>0</v>
      </c>
      <c r="V134" s="21">
        <v>0</v>
      </c>
      <c r="W134" s="20">
        <v>74</v>
      </c>
      <c r="X134" s="21">
        <v>2.215568862275449E-2</v>
      </c>
      <c r="Y134" s="20">
        <v>194</v>
      </c>
      <c r="Z134" s="23">
        <v>5.8083832335329343E-2</v>
      </c>
      <c r="AA134" s="20">
        <v>0</v>
      </c>
      <c r="AB134" s="21">
        <v>0</v>
      </c>
      <c r="AC134" s="20">
        <v>569</v>
      </c>
      <c r="AD134" s="21">
        <v>0.17035928143712581</v>
      </c>
      <c r="AE134" s="20">
        <v>279</v>
      </c>
      <c r="AF134" s="21">
        <v>0.49033391915641478</v>
      </c>
      <c r="AG134" s="20">
        <v>523</v>
      </c>
      <c r="AH134" s="21">
        <v>0.91915641476274168</v>
      </c>
      <c r="AI134" s="24">
        <v>655</v>
      </c>
      <c r="AJ134" s="21">
        <v>0.19610778443113769</v>
      </c>
      <c r="AK134" s="24">
        <v>6</v>
      </c>
      <c r="AL134" s="21">
        <v>0.77099236641221369</v>
      </c>
      <c r="AM134" s="24">
        <v>653</v>
      </c>
      <c r="AN134" s="24">
        <v>505</v>
      </c>
      <c r="AO134" s="21">
        <v>0.15119760479041919</v>
      </c>
      <c r="AP134" s="21">
        <v>0.88752196836555364</v>
      </c>
      <c r="AQ134" s="22">
        <v>0.96358543417366949</v>
      </c>
      <c r="AR134" s="24">
        <v>223</v>
      </c>
      <c r="AS134" s="24">
        <v>40</v>
      </c>
      <c r="AT134" s="24">
        <v>0</v>
      </c>
      <c r="AU134" s="24">
        <v>0</v>
      </c>
      <c r="AV134" s="24">
        <v>0</v>
      </c>
      <c r="AW134" s="24">
        <v>0</v>
      </c>
      <c r="AX134" s="21">
        <v>0</v>
      </c>
      <c r="AY134" s="21">
        <v>0</v>
      </c>
      <c r="AZ134" s="21">
        <v>0</v>
      </c>
      <c r="BA134" s="21">
        <v>0</v>
      </c>
      <c r="BB134" s="24">
        <v>0</v>
      </c>
      <c r="BC134" s="24">
        <v>0</v>
      </c>
      <c r="BD134" s="22">
        <v>0.99115044247787609</v>
      </c>
      <c r="BE134" s="22" t="s">
        <v>89</v>
      </c>
      <c r="BF134" s="22" t="s">
        <v>89</v>
      </c>
    </row>
    <row r="135" spans="1:58" ht="19.5" customHeight="1">
      <c r="A135" s="25">
        <v>132</v>
      </c>
      <c r="B135" s="20" t="s">
        <v>88</v>
      </c>
      <c r="C135" s="26">
        <v>46114</v>
      </c>
      <c r="D135" s="20" t="s">
        <v>13</v>
      </c>
      <c r="E135" s="20">
        <v>2547</v>
      </c>
      <c r="F135" s="20">
        <v>2290</v>
      </c>
      <c r="G135" s="21">
        <v>0.89909697683549272</v>
      </c>
      <c r="H135" s="20">
        <v>1711</v>
      </c>
      <c r="I135" s="22">
        <v>0.67177071063996863</v>
      </c>
      <c r="J135" s="20">
        <v>2879</v>
      </c>
      <c r="K135" s="20">
        <v>2836</v>
      </c>
      <c r="L135" s="21">
        <v>0.98499999999999999</v>
      </c>
      <c r="M135" s="20">
        <v>18243</v>
      </c>
      <c r="N135" s="20">
        <v>18016</v>
      </c>
      <c r="O135" s="20">
        <v>18002</v>
      </c>
      <c r="P135" s="21">
        <v>0.98678945348900948</v>
      </c>
      <c r="Q135" s="20">
        <v>28</v>
      </c>
      <c r="R135" s="20">
        <v>0</v>
      </c>
      <c r="S135" s="20">
        <v>0</v>
      </c>
      <c r="T135" s="21">
        <v>0</v>
      </c>
      <c r="U135" s="20">
        <v>0</v>
      </c>
      <c r="V135" s="21">
        <v>0</v>
      </c>
      <c r="W135" s="20">
        <v>2825</v>
      </c>
      <c r="X135" s="21">
        <v>1.1091480172752259</v>
      </c>
      <c r="Y135" s="20">
        <v>886</v>
      </c>
      <c r="Z135" s="23">
        <v>0.34786022771888497</v>
      </c>
      <c r="AA135" s="20">
        <v>91</v>
      </c>
      <c r="AB135" s="21">
        <v>3.5728307813113473E-2</v>
      </c>
      <c r="AC135" s="20">
        <v>399</v>
      </c>
      <c r="AD135" s="21">
        <v>0.15665488810365141</v>
      </c>
      <c r="AE135" s="20">
        <v>93</v>
      </c>
      <c r="AF135" s="21">
        <v>0.23308270676691731</v>
      </c>
      <c r="AG135" s="20">
        <v>371</v>
      </c>
      <c r="AH135" s="21">
        <v>0.92982456140350878</v>
      </c>
      <c r="AI135" s="24">
        <v>388</v>
      </c>
      <c r="AJ135" s="21">
        <v>0.15233608166470361</v>
      </c>
      <c r="AK135" s="24">
        <v>1</v>
      </c>
      <c r="AL135" s="21">
        <v>0.93814432989690721</v>
      </c>
      <c r="AM135" s="24">
        <v>385</v>
      </c>
      <c r="AN135" s="24">
        <v>364</v>
      </c>
      <c r="AO135" s="21">
        <v>0.14291323125245389</v>
      </c>
      <c r="AP135" s="21">
        <v>0.91228070175438591</v>
      </c>
      <c r="AQ135" s="22">
        <v>0.98167539267015702</v>
      </c>
      <c r="AR135" s="24">
        <v>0</v>
      </c>
      <c r="AS135" s="24">
        <v>0</v>
      </c>
      <c r="AT135" s="24">
        <v>46</v>
      </c>
      <c r="AU135" s="24">
        <v>42</v>
      </c>
      <c r="AV135" s="24">
        <v>43</v>
      </c>
      <c r="AW135" s="24">
        <v>78</v>
      </c>
      <c r="AX135" s="21">
        <v>1.648998822143698E-2</v>
      </c>
      <c r="AY135" s="21">
        <v>1.688260698861406E-2</v>
      </c>
      <c r="AZ135" s="21">
        <v>3.0624263839811539E-2</v>
      </c>
      <c r="BA135" s="21">
        <v>0.1181318681318681</v>
      </c>
      <c r="BB135" s="24">
        <v>0</v>
      </c>
      <c r="BC135" s="24">
        <v>0</v>
      </c>
      <c r="BD135" s="22">
        <v>0.97727272727272729</v>
      </c>
      <c r="BE135" s="22">
        <v>1</v>
      </c>
      <c r="BF135" s="22" t="s">
        <v>89</v>
      </c>
    </row>
    <row r="136" spans="1:58" ht="19.5" customHeight="1">
      <c r="A136" s="25">
        <v>133</v>
      </c>
      <c r="B136" s="20" t="s">
        <v>88</v>
      </c>
      <c r="C136" s="26">
        <v>46115</v>
      </c>
      <c r="D136" s="20" t="s">
        <v>12</v>
      </c>
      <c r="E136" s="20">
        <v>2316</v>
      </c>
      <c r="F136" s="20">
        <v>2006</v>
      </c>
      <c r="G136" s="21">
        <v>0.86614853195164077</v>
      </c>
      <c r="H136" s="20">
        <v>1110</v>
      </c>
      <c r="I136" s="22">
        <v>0.47927461139896371</v>
      </c>
      <c r="J136" s="20">
        <v>1918</v>
      </c>
      <c r="K136" s="20">
        <v>1867</v>
      </c>
      <c r="L136" s="21">
        <v>0.97299999999999998</v>
      </c>
      <c r="M136" s="20">
        <v>11002</v>
      </c>
      <c r="N136" s="20">
        <v>10908</v>
      </c>
      <c r="O136" s="20">
        <v>10838</v>
      </c>
      <c r="P136" s="21">
        <v>0.98509361934193784</v>
      </c>
      <c r="Q136" s="20">
        <v>10</v>
      </c>
      <c r="R136" s="20">
        <v>0</v>
      </c>
      <c r="S136" s="20">
        <v>0</v>
      </c>
      <c r="T136" s="21">
        <v>0</v>
      </c>
      <c r="U136" s="20">
        <v>0</v>
      </c>
      <c r="V136" s="21">
        <v>0</v>
      </c>
      <c r="W136" s="20">
        <v>1683</v>
      </c>
      <c r="X136" s="21">
        <v>0.72668393782383423</v>
      </c>
      <c r="Y136" s="20">
        <v>303</v>
      </c>
      <c r="Z136" s="23">
        <v>0.13082901554404139</v>
      </c>
      <c r="AA136" s="20">
        <v>25</v>
      </c>
      <c r="AB136" s="21">
        <v>1.079447322970639E-2</v>
      </c>
      <c r="AC136" s="20">
        <v>183</v>
      </c>
      <c r="AD136" s="21">
        <v>7.901554404145078E-2</v>
      </c>
      <c r="AE136" s="20">
        <v>33</v>
      </c>
      <c r="AF136" s="21">
        <v>0.18032786885245899</v>
      </c>
      <c r="AG136" s="20">
        <v>172</v>
      </c>
      <c r="AH136" s="21">
        <v>0.93989071038251371</v>
      </c>
      <c r="AI136" s="24">
        <v>187</v>
      </c>
      <c r="AJ136" s="21">
        <v>8.07426597582038E-2</v>
      </c>
      <c r="AK136" s="24">
        <v>1</v>
      </c>
      <c r="AL136" s="21">
        <v>0.87700534759358284</v>
      </c>
      <c r="AM136" s="24">
        <v>186</v>
      </c>
      <c r="AN136" s="24">
        <v>164</v>
      </c>
      <c r="AO136" s="21">
        <v>7.0811744386873918E-2</v>
      </c>
      <c r="AP136" s="21">
        <v>0.89617486338797814</v>
      </c>
      <c r="AQ136" s="22">
        <v>0.96698113207547165</v>
      </c>
      <c r="AR136" s="24">
        <v>0</v>
      </c>
      <c r="AS136" s="24">
        <v>0</v>
      </c>
      <c r="AT136" s="24">
        <v>48</v>
      </c>
      <c r="AU136" s="24">
        <v>42</v>
      </c>
      <c r="AV136" s="24">
        <v>38</v>
      </c>
      <c r="AW136" s="24">
        <v>70</v>
      </c>
      <c r="AX136" s="21">
        <v>1.8134715025906731E-2</v>
      </c>
      <c r="AY136" s="21">
        <v>1.6407599309153711E-2</v>
      </c>
      <c r="AZ136" s="21">
        <v>3.022452504317789E-2</v>
      </c>
      <c r="BA136" s="21">
        <v>0.23170731707317069</v>
      </c>
      <c r="BB136" s="24">
        <v>0</v>
      </c>
      <c r="BC136" s="24">
        <v>0</v>
      </c>
      <c r="BD136" s="22">
        <v>0.967741935483871</v>
      </c>
      <c r="BE136" s="22">
        <v>1</v>
      </c>
      <c r="BF136" s="22" t="s">
        <v>89</v>
      </c>
    </row>
    <row r="137" spans="1:58" ht="19.5" customHeight="1">
      <c r="A137" s="25">
        <v>134</v>
      </c>
      <c r="B137" s="20" t="s">
        <v>88</v>
      </c>
      <c r="C137" s="26">
        <v>46115</v>
      </c>
      <c r="D137" s="20" t="s">
        <v>11</v>
      </c>
      <c r="E137" s="20">
        <v>2116</v>
      </c>
      <c r="F137" s="20">
        <v>1903</v>
      </c>
      <c r="G137" s="21">
        <v>0.89933837429111529</v>
      </c>
      <c r="H137" s="20">
        <v>1138</v>
      </c>
      <c r="I137" s="22">
        <v>0.53780718336483935</v>
      </c>
      <c r="J137" s="20">
        <v>1939</v>
      </c>
      <c r="K137" s="20">
        <v>1858</v>
      </c>
      <c r="L137" s="21">
        <v>0.95799999999999996</v>
      </c>
      <c r="M137" s="20">
        <v>9598</v>
      </c>
      <c r="N137" s="20">
        <v>9630</v>
      </c>
      <c r="O137" s="20">
        <v>9425</v>
      </c>
      <c r="P137" s="21">
        <v>0.98197541154407164</v>
      </c>
      <c r="Q137" s="20">
        <v>23</v>
      </c>
      <c r="R137" s="20">
        <v>0</v>
      </c>
      <c r="S137" s="20">
        <v>0</v>
      </c>
      <c r="T137" s="21">
        <v>0</v>
      </c>
      <c r="U137" s="20">
        <v>0</v>
      </c>
      <c r="V137" s="21">
        <v>0</v>
      </c>
      <c r="W137" s="20">
        <v>1597</v>
      </c>
      <c r="X137" s="21">
        <v>0.75472589792060496</v>
      </c>
      <c r="Y137" s="20">
        <v>488</v>
      </c>
      <c r="Z137" s="23">
        <v>0.23062381852551991</v>
      </c>
      <c r="AA137" s="20">
        <v>17</v>
      </c>
      <c r="AB137" s="21">
        <v>8.0340264650283558E-3</v>
      </c>
      <c r="AC137" s="20">
        <v>248</v>
      </c>
      <c r="AD137" s="21">
        <v>0.1172022684310019</v>
      </c>
      <c r="AE137" s="20">
        <v>31</v>
      </c>
      <c r="AF137" s="21">
        <v>0.125</v>
      </c>
      <c r="AG137" s="20">
        <v>234</v>
      </c>
      <c r="AH137" s="21">
        <v>0.94354838709677424</v>
      </c>
      <c r="AI137" s="24">
        <v>241</v>
      </c>
      <c r="AJ137" s="21">
        <v>0.1138941398865785</v>
      </c>
      <c r="AK137" s="24">
        <v>1</v>
      </c>
      <c r="AL137" s="21">
        <v>0.89211618257261416</v>
      </c>
      <c r="AM137" s="24">
        <v>239</v>
      </c>
      <c r="AN137" s="24">
        <v>215</v>
      </c>
      <c r="AO137" s="21">
        <v>0.1016068052930057</v>
      </c>
      <c r="AP137" s="21">
        <v>0.86693548387096775</v>
      </c>
      <c r="AQ137" s="22">
        <v>0.96916299559471364</v>
      </c>
      <c r="AR137" s="24">
        <v>0</v>
      </c>
      <c r="AS137" s="24">
        <v>0</v>
      </c>
      <c r="AT137" s="24">
        <v>38</v>
      </c>
      <c r="AU137" s="24">
        <v>33</v>
      </c>
      <c r="AV137" s="24">
        <v>37</v>
      </c>
      <c r="AW137" s="24">
        <v>59</v>
      </c>
      <c r="AX137" s="21">
        <v>1.5595463137996221E-2</v>
      </c>
      <c r="AY137" s="21">
        <v>1.7485822306238189E-2</v>
      </c>
      <c r="AZ137" s="21">
        <v>2.7882797731569001E-2</v>
      </c>
      <c r="BA137" s="21">
        <v>0.17209302325581399</v>
      </c>
      <c r="BB137" s="24">
        <v>0</v>
      </c>
      <c r="BC137" s="24">
        <v>0</v>
      </c>
      <c r="BD137" s="22">
        <v>1</v>
      </c>
      <c r="BE137" s="22">
        <v>1</v>
      </c>
      <c r="BF137" s="22" t="s">
        <v>89</v>
      </c>
    </row>
    <row r="138" spans="1:58" ht="19.5" customHeight="1">
      <c r="A138" s="25">
        <v>135</v>
      </c>
      <c r="B138" s="20" t="s">
        <v>88</v>
      </c>
      <c r="C138" s="26">
        <v>46115</v>
      </c>
      <c r="D138" s="20" t="s">
        <v>14</v>
      </c>
      <c r="E138" s="20">
        <v>2621</v>
      </c>
      <c r="F138" s="20">
        <v>2410</v>
      </c>
      <c r="G138" s="21">
        <v>0.91949637542922547</v>
      </c>
      <c r="H138" s="20">
        <v>773</v>
      </c>
      <c r="I138" s="22">
        <v>0.29492560091568099</v>
      </c>
      <c r="J138" s="20">
        <v>2030</v>
      </c>
      <c r="K138" s="20">
        <v>1974</v>
      </c>
      <c r="L138" s="21">
        <v>0.97199999999999998</v>
      </c>
      <c r="M138" s="20">
        <v>6922</v>
      </c>
      <c r="N138" s="20">
        <v>7096</v>
      </c>
      <c r="O138" s="20">
        <v>6770</v>
      </c>
      <c r="P138" s="21">
        <v>0.97804102860444964</v>
      </c>
      <c r="Q138" s="20">
        <v>15</v>
      </c>
      <c r="R138" s="20">
        <v>0</v>
      </c>
      <c r="S138" s="20">
        <v>0</v>
      </c>
      <c r="T138" s="21">
        <v>0</v>
      </c>
      <c r="U138" s="20">
        <v>0</v>
      </c>
      <c r="V138" s="21">
        <v>0</v>
      </c>
      <c r="W138" s="20">
        <v>76</v>
      </c>
      <c r="X138" s="21">
        <v>2.899656619610836E-2</v>
      </c>
      <c r="Y138" s="20">
        <v>240</v>
      </c>
      <c r="Z138" s="23">
        <v>9.1568103777184287E-2</v>
      </c>
      <c r="AA138" s="20">
        <v>0</v>
      </c>
      <c r="AB138" s="21">
        <v>0</v>
      </c>
      <c r="AC138" s="20">
        <v>721</v>
      </c>
      <c r="AD138" s="21">
        <v>0.27508584509729112</v>
      </c>
      <c r="AE138" s="20">
        <v>332</v>
      </c>
      <c r="AF138" s="21">
        <v>0.46047156726768379</v>
      </c>
      <c r="AG138" s="20">
        <v>662</v>
      </c>
      <c r="AH138" s="21">
        <v>0.91816920943134539</v>
      </c>
      <c r="AI138" s="24">
        <v>865</v>
      </c>
      <c r="AJ138" s="21">
        <v>0.33002670736360168</v>
      </c>
      <c r="AK138" s="24">
        <v>3</v>
      </c>
      <c r="AL138" s="21">
        <v>0.84508670520231211</v>
      </c>
      <c r="AM138" s="24">
        <v>861</v>
      </c>
      <c r="AN138" s="24">
        <v>731</v>
      </c>
      <c r="AO138" s="21">
        <v>0.27890118275467379</v>
      </c>
      <c r="AP138" s="21">
        <v>1.013869625520111</v>
      </c>
      <c r="AQ138" s="22">
        <v>0.94233687405159328</v>
      </c>
      <c r="AR138" s="24">
        <v>249</v>
      </c>
      <c r="AS138" s="24">
        <v>45</v>
      </c>
      <c r="AT138" s="24">
        <v>0</v>
      </c>
      <c r="AU138" s="24">
        <v>0</v>
      </c>
      <c r="AV138" s="24">
        <v>0</v>
      </c>
      <c r="AW138" s="24">
        <v>0</v>
      </c>
      <c r="AX138" s="21">
        <v>0</v>
      </c>
      <c r="AY138" s="21">
        <v>0</v>
      </c>
      <c r="AZ138" s="21">
        <v>0</v>
      </c>
      <c r="BA138" s="21">
        <v>0</v>
      </c>
      <c r="BB138" s="24">
        <v>0</v>
      </c>
      <c r="BC138" s="24">
        <v>0</v>
      </c>
      <c r="BD138" s="22">
        <v>1</v>
      </c>
      <c r="BE138" s="22" t="s">
        <v>89</v>
      </c>
      <c r="BF138" s="22" t="s">
        <v>89</v>
      </c>
    </row>
    <row r="139" spans="1:58" ht="19.5" customHeight="1">
      <c r="A139" s="25">
        <v>136</v>
      </c>
      <c r="B139" s="20" t="s">
        <v>88</v>
      </c>
      <c r="C139" s="26">
        <v>46115</v>
      </c>
      <c r="D139" s="20" t="s">
        <v>13</v>
      </c>
      <c r="E139" s="20">
        <v>2520</v>
      </c>
      <c r="F139" s="20">
        <v>2242</v>
      </c>
      <c r="G139" s="21">
        <v>0.88968253968253963</v>
      </c>
      <c r="H139" s="20">
        <v>1680</v>
      </c>
      <c r="I139" s="22">
        <v>0.66666666666666663</v>
      </c>
      <c r="J139" s="20">
        <v>3744</v>
      </c>
      <c r="K139" s="20">
        <v>3672</v>
      </c>
      <c r="L139" s="21">
        <v>0.98099999999999998</v>
      </c>
      <c r="M139" s="20">
        <v>19649</v>
      </c>
      <c r="N139" s="20">
        <v>19621</v>
      </c>
      <c r="O139" s="20">
        <v>19207</v>
      </c>
      <c r="P139" s="21">
        <v>0.97750521655046063</v>
      </c>
      <c r="Q139" s="20">
        <v>21</v>
      </c>
      <c r="R139" s="20">
        <v>0</v>
      </c>
      <c r="S139" s="20">
        <v>0</v>
      </c>
      <c r="T139" s="21">
        <v>0</v>
      </c>
      <c r="U139" s="20">
        <v>0</v>
      </c>
      <c r="V139" s="21">
        <v>0</v>
      </c>
      <c r="W139" s="20">
        <v>2376</v>
      </c>
      <c r="X139" s="21">
        <v>0.94285714285714284</v>
      </c>
      <c r="Y139" s="20">
        <v>503</v>
      </c>
      <c r="Z139" s="23">
        <v>0.19960317460317459</v>
      </c>
      <c r="AA139" s="20">
        <v>114</v>
      </c>
      <c r="AB139" s="21">
        <v>4.5238095238095237E-2</v>
      </c>
      <c r="AC139" s="20">
        <v>421</v>
      </c>
      <c r="AD139" s="21">
        <v>0.16706349206349211</v>
      </c>
      <c r="AE139" s="20">
        <v>59</v>
      </c>
      <c r="AF139" s="21">
        <v>0.14014251781472681</v>
      </c>
      <c r="AG139" s="20">
        <v>396</v>
      </c>
      <c r="AH139" s="21">
        <v>0.94061757719714967</v>
      </c>
      <c r="AI139" s="24">
        <v>425</v>
      </c>
      <c r="AJ139" s="21">
        <v>0.16865079365079369</v>
      </c>
      <c r="AK139" s="24">
        <v>1</v>
      </c>
      <c r="AL139" s="21">
        <v>0.92941176470588238</v>
      </c>
      <c r="AM139" s="24">
        <v>422</v>
      </c>
      <c r="AN139" s="24">
        <v>395</v>
      </c>
      <c r="AO139" s="21">
        <v>0.15674603174603169</v>
      </c>
      <c r="AP139" s="21">
        <v>0.93824228028503565</v>
      </c>
      <c r="AQ139" s="22">
        <v>0.98157894736842111</v>
      </c>
      <c r="AR139" s="24">
        <v>0</v>
      </c>
      <c r="AS139" s="24">
        <v>0</v>
      </c>
      <c r="AT139" s="24">
        <v>61</v>
      </c>
      <c r="AU139" s="24">
        <v>53</v>
      </c>
      <c r="AV139" s="24">
        <v>50</v>
      </c>
      <c r="AW139" s="24">
        <v>111</v>
      </c>
      <c r="AX139" s="21">
        <v>2.103174603174603E-2</v>
      </c>
      <c r="AY139" s="21">
        <v>1.984126984126984E-2</v>
      </c>
      <c r="AZ139" s="21">
        <v>4.4047619047619051E-2</v>
      </c>
      <c r="BA139" s="21">
        <v>0.12658227848101269</v>
      </c>
      <c r="BB139" s="24">
        <v>0</v>
      </c>
      <c r="BC139" s="24">
        <v>0</v>
      </c>
      <c r="BD139" s="22">
        <v>1</v>
      </c>
      <c r="BE139" s="22">
        <v>1</v>
      </c>
      <c r="BF139" s="22" t="s">
        <v>89</v>
      </c>
    </row>
    <row r="140" spans="1:58" ht="19.5" customHeight="1">
      <c r="A140" s="25">
        <v>137</v>
      </c>
      <c r="B140" s="20" t="s">
        <v>88</v>
      </c>
      <c r="C140" s="26">
        <v>46116</v>
      </c>
      <c r="D140" s="20" t="s">
        <v>12</v>
      </c>
      <c r="E140" s="20">
        <v>3048</v>
      </c>
      <c r="F140" s="20">
        <v>2631</v>
      </c>
      <c r="G140" s="21">
        <v>0.86318897637795278</v>
      </c>
      <c r="H140" s="20">
        <v>2142</v>
      </c>
      <c r="I140" s="22">
        <v>0.702755905511811</v>
      </c>
      <c r="J140" s="20">
        <v>3421</v>
      </c>
      <c r="K140" s="20">
        <v>3341</v>
      </c>
      <c r="L140" s="21">
        <v>0.97699999999999998</v>
      </c>
      <c r="M140" s="20">
        <v>12054</v>
      </c>
      <c r="N140" s="20">
        <v>12757</v>
      </c>
      <c r="O140" s="20">
        <v>11871</v>
      </c>
      <c r="P140" s="21">
        <v>0.98481831757093086</v>
      </c>
      <c r="Q140" s="20">
        <v>28</v>
      </c>
      <c r="R140" s="20">
        <v>0</v>
      </c>
      <c r="S140" s="20">
        <v>0</v>
      </c>
      <c r="T140" s="21">
        <v>0</v>
      </c>
      <c r="U140" s="20">
        <v>0</v>
      </c>
      <c r="V140" s="21">
        <v>0</v>
      </c>
      <c r="W140" s="20">
        <v>1666</v>
      </c>
      <c r="X140" s="21">
        <v>0.54658792650918631</v>
      </c>
      <c r="Y140" s="20">
        <v>926</v>
      </c>
      <c r="Z140" s="23">
        <v>0.3038057742782152</v>
      </c>
      <c r="AA140" s="20">
        <v>36</v>
      </c>
      <c r="AB140" s="21">
        <v>1.181102362204724E-2</v>
      </c>
      <c r="AC140" s="20">
        <v>402</v>
      </c>
      <c r="AD140" s="21">
        <v>0.13188976377952749</v>
      </c>
      <c r="AE140" s="20">
        <v>50</v>
      </c>
      <c r="AF140" s="21">
        <v>0.12437810945273629</v>
      </c>
      <c r="AG140" s="20">
        <v>379</v>
      </c>
      <c r="AH140" s="21">
        <v>0.94278606965174128</v>
      </c>
      <c r="AI140" s="24">
        <v>398</v>
      </c>
      <c r="AJ140" s="21">
        <v>0.13057742782152229</v>
      </c>
      <c r="AK140" s="24">
        <v>1</v>
      </c>
      <c r="AL140" s="21">
        <v>0.84924623115577891</v>
      </c>
      <c r="AM140" s="24">
        <v>398</v>
      </c>
      <c r="AN140" s="24">
        <v>338</v>
      </c>
      <c r="AO140" s="21">
        <v>0.1108923884514436</v>
      </c>
      <c r="AP140" s="21">
        <v>0.84079601990049746</v>
      </c>
      <c r="AQ140" s="22">
        <v>0.95161290322580649</v>
      </c>
      <c r="AR140" s="24">
        <v>0</v>
      </c>
      <c r="AS140" s="24">
        <v>0</v>
      </c>
      <c r="AT140" s="24">
        <v>70</v>
      </c>
      <c r="AU140" s="24">
        <v>65</v>
      </c>
      <c r="AV140" s="24">
        <v>65</v>
      </c>
      <c r="AW140" s="24">
        <v>46</v>
      </c>
      <c r="AX140" s="21">
        <v>2.13254593175853E-2</v>
      </c>
      <c r="AY140" s="21">
        <v>2.13254593175853E-2</v>
      </c>
      <c r="AZ140" s="21">
        <v>1.5091863517060371E-2</v>
      </c>
      <c r="BA140" s="21">
        <v>0.19230769230769229</v>
      </c>
      <c r="BB140" s="24">
        <v>0</v>
      </c>
      <c r="BC140" s="24">
        <v>1</v>
      </c>
      <c r="BD140" s="22">
        <v>0.93023255813953487</v>
      </c>
      <c r="BE140" s="22">
        <v>0.875</v>
      </c>
      <c r="BF140" s="22" t="s">
        <v>89</v>
      </c>
    </row>
    <row r="141" spans="1:58" ht="25.7" customHeight="1">
      <c r="A141" s="25">
        <v>138</v>
      </c>
      <c r="B141" s="20" t="s">
        <v>88</v>
      </c>
      <c r="C141" s="26">
        <v>46116</v>
      </c>
      <c r="D141" s="20" t="s">
        <v>11</v>
      </c>
      <c r="E141" s="20">
        <v>1817</v>
      </c>
      <c r="F141" s="20">
        <v>1663</v>
      </c>
      <c r="G141" s="21">
        <v>0.91524490919097412</v>
      </c>
      <c r="H141" s="20">
        <v>875</v>
      </c>
      <c r="I141" s="22">
        <v>0.48156301596037432</v>
      </c>
      <c r="J141" s="20">
        <v>1482</v>
      </c>
      <c r="K141" s="20">
        <v>1411</v>
      </c>
      <c r="L141" s="21">
        <v>0.95199999999999996</v>
      </c>
      <c r="M141" s="20">
        <v>8588</v>
      </c>
      <c r="N141" s="20">
        <v>8919</v>
      </c>
      <c r="O141" s="20">
        <v>8442</v>
      </c>
      <c r="P141" s="21">
        <v>0.98299953423381459</v>
      </c>
      <c r="Q141" s="20">
        <v>40</v>
      </c>
      <c r="R141" s="20">
        <v>0</v>
      </c>
      <c r="S141" s="20">
        <v>0</v>
      </c>
      <c r="T141" s="21">
        <v>0</v>
      </c>
      <c r="U141" s="20">
        <v>0</v>
      </c>
      <c r="V141" s="21">
        <v>0</v>
      </c>
      <c r="W141" s="20">
        <v>2055</v>
      </c>
      <c r="X141" s="21">
        <v>1.1309851403412221</v>
      </c>
      <c r="Y141" s="20">
        <v>2214</v>
      </c>
      <c r="Z141" s="23">
        <v>1.2184920198128779</v>
      </c>
      <c r="AA141" s="20">
        <v>21</v>
      </c>
      <c r="AB141" s="21">
        <v>1.155751238304898E-2</v>
      </c>
      <c r="AC141" s="20">
        <v>478</v>
      </c>
      <c r="AD141" s="21">
        <v>0.26307099614749591</v>
      </c>
      <c r="AE141" s="20">
        <v>49</v>
      </c>
      <c r="AF141" s="21">
        <v>0.102510460251046</v>
      </c>
      <c r="AG141" s="20">
        <v>448</v>
      </c>
      <c r="AH141" s="21">
        <v>0.93723849372384938</v>
      </c>
      <c r="AI141" s="24">
        <v>457</v>
      </c>
      <c r="AJ141" s="21">
        <v>0.25151348376444688</v>
      </c>
      <c r="AK141" s="24">
        <v>4</v>
      </c>
      <c r="AL141" s="21">
        <v>0.85557986870897151</v>
      </c>
      <c r="AM141" s="24">
        <v>452</v>
      </c>
      <c r="AN141" s="24">
        <v>391</v>
      </c>
      <c r="AO141" s="21">
        <v>0.2151898734177215</v>
      </c>
      <c r="AP141" s="21">
        <v>0.81799163179916323</v>
      </c>
      <c r="AQ141" s="22">
        <v>0.9821428571428571</v>
      </c>
      <c r="AR141" s="24">
        <v>0</v>
      </c>
      <c r="AS141" s="24">
        <v>0</v>
      </c>
      <c r="AT141" s="24">
        <v>47</v>
      </c>
      <c r="AU141" s="24">
        <v>47</v>
      </c>
      <c r="AV141" s="24">
        <v>43</v>
      </c>
      <c r="AW141" s="24">
        <v>19</v>
      </c>
      <c r="AX141" s="21">
        <v>2.586681342872867E-2</v>
      </c>
      <c r="AY141" s="21">
        <v>2.3665382498624109E-2</v>
      </c>
      <c r="AZ141" s="21">
        <v>1.04567969179967E-2</v>
      </c>
      <c r="BA141" s="21">
        <v>0.1099744245524297</v>
      </c>
      <c r="BB141" s="24">
        <v>0</v>
      </c>
      <c r="BC141" s="24">
        <v>0</v>
      </c>
      <c r="BD141" s="22">
        <v>1</v>
      </c>
      <c r="BE141" s="22">
        <v>1</v>
      </c>
      <c r="BF141" s="22" t="s">
        <v>89</v>
      </c>
    </row>
    <row r="142" spans="1:58" ht="19.5" customHeight="1">
      <c r="A142" s="25">
        <v>139</v>
      </c>
      <c r="B142" s="20" t="s">
        <v>88</v>
      </c>
      <c r="C142" s="26">
        <v>46116</v>
      </c>
      <c r="D142" s="20" t="s">
        <v>14</v>
      </c>
      <c r="E142" s="20">
        <v>3047</v>
      </c>
      <c r="F142" s="20">
        <v>2770</v>
      </c>
      <c r="G142" s="21">
        <v>0.90909090909090906</v>
      </c>
      <c r="H142" s="20">
        <v>1133</v>
      </c>
      <c r="I142" s="22">
        <v>0.37184115523465711</v>
      </c>
      <c r="J142" s="20">
        <v>1506</v>
      </c>
      <c r="K142" s="20">
        <v>1445</v>
      </c>
      <c r="L142" s="21">
        <v>0.95899999999999996</v>
      </c>
      <c r="M142" s="20">
        <v>7107</v>
      </c>
      <c r="N142" s="20">
        <v>7816</v>
      </c>
      <c r="O142" s="20">
        <v>6939</v>
      </c>
      <c r="P142" s="21">
        <v>0.97636133389615876</v>
      </c>
      <c r="Q142" s="20">
        <v>14</v>
      </c>
      <c r="R142" s="20">
        <v>0</v>
      </c>
      <c r="S142" s="20">
        <v>0</v>
      </c>
      <c r="T142" s="21">
        <v>0</v>
      </c>
      <c r="U142" s="20">
        <v>0</v>
      </c>
      <c r="V142" s="21">
        <v>0</v>
      </c>
      <c r="W142" s="20">
        <v>86</v>
      </c>
      <c r="X142" s="21">
        <v>2.8224483098129308E-2</v>
      </c>
      <c r="Y142" s="20">
        <v>309</v>
      </c>
      <c r="Z142" s="23">
        <v>0.1014112241549065</v>
      </c>
      <c r="AA142" s="20">
        <v>0</v>
      </c>
      <c r="AB142" s="21">
        <v>0</v>
      </c>
      <c r="AC142" s="20">
        <v>1245</v>
      </c>
      <c r="AD142" s="21">
        <v>0.40859862159501148</v>
      </c>
      <c r="AE142" s="20">
        <v>413</v>
      </c>
      <c r="AF142" s="21">
        <v>0.33172690763052209</v>
      </c>
      <c r="AG142" s="20">
        <v>1160</v>
      </c>
      <c r="AH142" s="21">
        <v>0.93172690763052213</v>
      </c>
      <c r="AI142" s="24">
        <v>1386</v>
      </c>
      <c r="AJ142" s="21">
        <v>0.45487364620938631</v>
      </c>
      <c r="AK142" s="24">
        <v>11</v>
      </c>
      <c r="AL142" s="21">
        <v>0.8405483405483406</v>
      </c>
      <c r="AM142" s="24">
        <v>1380</v>
      </c>
      <c r="AN142" s="24">
        <v>1165</v>
      </c>
      <c r="AO142" s="21">
        <v>0.38234328848047261</v>
      </c>
      <c r="AP142" s="21">
        <v>0.93574297188755018</v>
      </c>
      <c r="AQ142" s="22">
        <v>0.95991091314031185</v>
      </c>
      <c r="AR142" s="24">
        <v>475</v>
      </c>
      <c r="AS142" s="24">
        <v>71</v>
      </c>
      <c r="AT142" s="24">
        <v>0</v>
      </c>
      <c r="AU142" s="24">
        <v>0</v>
      </c>
      <c r="AV142" s="24">
        <v>0</v>
      </c>
      <c r="AW142" s="24">
        <v>0</v>
      </c>
      <c r="AX142" s="21">
        <v>0</v>
      </c>
      <c r="AY142" s="21">
        <v>0</v>
      </c>
      <c r="AZ142" s="21">
        <v>0</v>
      </c>
      <c r="BA142" s="21">
        <v>0</v>
      </c>
      <c r="BB142" s="24">
        <v>0</v>
      </c>
      <c r="BC142" s="24">
        <v>0</v>
      </c>
      <c r="BD142" s="22">
        <v>0.97933884297520657</v>
      </c>
      <c r="BE142" s="22" t="s">
        <v>89</v>
      </c>
      <c r="BF142" s="22" t="s">
        <v>89</v>
      </c>
    </row>
    <row r="143" spans="1:58" ht="19.5" customHeight="1">
      <c r="A143" s="25">
        <v>140</v>
      </c>
      <c r="B143" s="20" t="s">
        <v>88</v>
      </c>
      <c r="C143" s="26">
        <v>46116</v>
      </c>
      <c r="D143" s="20" t="s">
        <v>13</v>
      </c>
      <c r="E143" s="20">
        <v>2264</v>
      </c>
      <c r="F143" s="20">
        <v>2058</v>
      </c>
      <c r="G143" s="21">
        <v>0.9090106007067138</v>
      </c>
      <c r="H143" s="20">
        <v>1498</v>
      </c>
      <c r="I143" s="22">
        <v>0.66166077738515905</v>
      </c>
      <c r="J143" s="20">
        <v>2828</v>
      </c>
      <c r="K143" s="20">
        <v>2747</v>
      </c>
      <c r="L143" s="21">
        <v>0.97099999999999997</v>
      </c>
      <c r="M143" s="20">
        <v>18263</v>
      </c>
      <c r="N143" s="20">
        <v>19118</v>
      </c>
      <c r="O143" s="20">
        <v>18004</v>
      </c>
      <c r="P143" s="21">
        <v>0.98581832119586044</v>
      </c>
      <c r="Q143" s="20">
        <v>33</v>
      </c>
      <c r="R143" s="20">
        <v>0</v>
      </c>
      <c r="S143" s="20">
        <v>0</v>
      </c>
      <c r="T143" s="21">
        <v>0</v>
      </c>
      <c r="U143" s="20">
        <v>0</v>
      </c>
      <c r="V143" s="21">
        <v>0</v>
      </c>
      <c r="W143" s="20">
        <v>2186</v>
      </c>
      <c r="X143" s="21">
        <v>0.96554770318021199</v>
      </c>
      <c r="Y143" s="20">
        <v>1410</v>
      </c>
      <c r="Z143" s="23">
        <v>0.62279151943462896</v>
      </c>
      <c r="AA143" s="20">
        <v>102</v>
      </c>
      <c r="AB143" s="21">
        <v>4.5053003533568912E-2</v>
      </c>
      <c r="AC143" s="20">
        <v>752</v>
      </c>
      <c r="AD143" s="21">
        <v>0.33215547703180209</v>
      </c>
      <c r="AE143" s="20">
        <v>85</v>
      </c>
      <c r="AF143" s="21">
        <v>0.113031914893617</v>
      </c>
      <c r="AG143" s="20">
        <v>698</v>
      </c>
      <c r="AH143" s="21">
        <v>0.92819148936170215</v>
      </c>
      <c r="AI143" s="24">
        <v>736</v>
      </c>
      <c r="AJ143" s="21">
        <v>0.32508833922261482</v>
      </c>
      <c r="AK143" s="24">
        <v>5</v>
      </c>
      <c r="AL143" s="21">
        <v>0.93342391304347827</v>
      </c>
      <c r="AM143" s="24">
        <v>734</v>
      </c>
      <c r="AN143" s="24">
        <v>687</v>
      </c>
      <c r="AO143" s="21">
        <v>0.30344522968197879</v>
      </c>
      <c r="AP143" s="21">
        <v>0.91356382978723405</v>
      </c>
      <c r="AQ143" s="22">
        <v>0.96420047732696901</v>
      </c>
      <c r="AR143" s="24">
        <v>0</v>
      </c>
      <c r="AS143" s="24">
        <v>0</v>
      </c>
      <c r="AT143" s="24">
        <v>89</v>
      </c>
      <c r="AU143" s="24">
        <v>87</v>
      </c>
      <c r="AV143" s="24">
        <v>82</v>
      </c>
      <c r="AW143" s="24">
        <v>63</v>
      </c>
      <c r="AX143" s="21">
        <v>3.8427561837455833E-2</v>
      </c>
      <c r="AY143" s="21">
        <v>3.6219081272084813E-2</v>
      </c>
      <c r="AZ143" s="21">
        <v>2.7826855123674912E-2</v>
      </c>
      <c r="BA143" s="21">
        <v>0.1193595342066958</v>
      </c>
      <c r="BB143" s="24">
        <v>0</v>
      </c>
      <c r="BC143" s="24">
        <v>0</v>
      </c>
      <c r="BD143" s="22">
        <v>0.98648648648648651</v>
      </c>
      <c r="BE143" s="22">
        <v>1</v>
      </c>
      <c r="BF143" s="22" t="s">
        <v>89</v>
      </c>
    </row>
    <row r="144" spans="1:58" ht="19.5" customHeight="1">
      <c r="A144" s="25">
        <v>141</v>
      </c>
      <c r="B144" s="20" t="s">
        <v>88</v>
      </c>
      <c r="C144" s="26">
        <v>46117</v>
      </c>
      <c r="D144" s="20" t="s">
        <v>12</v>
      </c>
      <c r="E144" s="20">
        <v>2798</v>
      </c>
      <c r="F144" s="20">
        <v>2443</v>
      </c>
      <c r="G144" s="21">
        <v>0.87312365975696926</v>
      </c>
      <c r="H144" s="20">
        <v>2026</v>
      </c>
      <c r="I144" s="22">
        <v>0.72408863473909935</v>
      </c>
      <c r="J144" s="20">
        <v>3195</v>
      </c>
      <c r="K144" s="20">
        <v>3117</v>
      </c>
      <c r="L144" s="21">
        <v>0.97599999999999998</v>
      </c>
      <c r="M144" s="20">
        <v>11993</v>
      </c>
      <c r="N144" s="20">
        <v>12337</v>
      </c>
      <c r="O144" s="20">
        <v>11809</v>
      </c>
      <c r="P144" s="21">
        <v>0.98465771700158422</v>
      </c>
      <c r="Q144" s="20">
        <v>19</v>
      </c>
      <c r="R144" s="20">
        <v>0</v>
      </c>
      <c r="S144" s="20">
        <v>0</v>
      </c>
      <c r="T144" s="21">
        <v>0</v>
      </c>
      <c r="U144" s="20">
        <v>0</v>
      </c>
      <c r="V144" s="21">
        <v>0</v>
      </c>
      <c r="W144" s="20">
        <v>480</v>
      </c>
      <c r="X144" s="21">
        <v>0.17155110793423881</v>
      </c>
      <c r="Y144" s="20">
        <v>508</v>
      </c>
      <c r="Z144" s="23">
        <v>0.18155825589706931</v>
      </c>
      <c r="AA144" s="20">
        <v>42</v>
      </c>
      <c r="AB144" s="21">
        <v>1.5010721944245889E-2</v>
      </c>
      <c r="AC144" s="20">
        <v>409</v>
      </c>
      <c r="AD144" s="21">
        <v>0.1461758398856326</v>
      </c>
      <c r="AE144" s="20">
        <v>51</v>
      </c>
      <c r="AF144" s="21">
        <v>0.12469437652811741</v>
      </c>
      <c r="AG144" s="20">
        <v>373</v>
      </c>
      <c r="AH144" s="21">
        <v>0.91198044009779955</v>
      </c>
      <c r="AI144" s="24">
        <v>395</v>
      </c>
      <c r="AJ144" s="21">
        <v>0.1411722659042173</v>
      </c>
      <c r="AK144" s="24">
        <v>1</v>
      </c>
      <c r="AL144" s="21">
        <v>0.8835443037974684</v>
      </c>
      <c r="AM144" s="24">
        <v>395</v>
      </c>
      <c r="AN144" s="24">
        <v>349</v>
      </c>
      <c r="AO144" s="21">
        <v>0.12473195139385269</v>
      </c>
      <c r="AP144" s="21">
        <v>0.85330073349633251</v>
      </c>
      <c r="AQ144" s="22">
        <v>0.9732620320855615</v>
      </c>
      <c r="AR144" s="24">
        <v>0</v>
      </c>
      <c r="AS144" s="24">
        <v>0</v>
      </c>
      <c r="AT144" s="24">
        <v>70</v>
      </c>
      <c r="AU144" s="24">
        <v>67</v>
      </c>
      <c r="AV144" s="24">
        <v>75</v>
      </c>
      <c r="AW144" s="24">
        <v>31</v>
      </c>
      <c r="AX144" s="21">
        <v>2.3945675482487491E-2</v>
      </c>
      <c r="AY144" s="21">
        <v>2.6804860614724799E-2</v>
      </c>
      <c r="AZ144" s="21">
        <v>1.107934238741958E-2</v>
      </c>
      <c r="BA144" s="21">
        <v>0.2148997134670487</v>
      </c>
      <c r="BB144" s="24">
        <v>0</v>
      </c>
      <c r="BC144" s="24">
        <v>0</v>
      </c>
      <c r="BD144" s="22">
        <v>1</v>
      </c>
      <c r="BE144" s="22">
        <v>1</v>
      </c>
      <c r="BF144" s="22" t="s">
        <v>89</v>
      </c>
    </row>
    <row r="145" spans="1:58" ht="19.5" customHeight="1">
      <c r="A145" s="25">
        <v>142</v>
      </c>
      <c r="B145" s="20" t="s">
        <v>88</v>
      </c>
      <c r="C145" s="26">
        <v>46117</v>
      </c>
      <c r="D145" s="20" t="s">
        <v>11</v>
      </c>
      <c r="E145" s="20">
        <v>1885</v>
      </c>
      <c r="F145" s="20">
        <v>1703</v>
      </c>
      <c r="G145" s="21">
        <v>0.90344827586206899</v>
      </c>
      <c r="H145" s="20">
        <v>876</v>
      </c>
      <c r="I145" s="22">
        <v>0.46472148541114061</v>
      </c>
      <c r="J145" s="20">
        <v>1304</v>
      </c>
      <c r="K145" s="20">
        <v>1221</v>
      </c>
      <c r="L145" s="21">
        <v>0.93600000000000005</v>
      </c>
      <c r="M145" s="20">
        <v>8957</v>
      </c>
      <c r="N145" s="20">
        <v>8674</v>
      </c>
      <c r="O145" s="20">
        <v>8773</v>
      </c>
      <c r="P145" s="21">
        <v>0.97945740761415656</v>
      </c>
      <c r="Q145" s="20">
        <v>43</v>
      </c>
      <c r="R145" s="20">
        <v>0</v>
      </c>
      <c r="S145" s="20">
        <v>0</v>
      </c>
      <c r="T145" s="21">
        <v>0</v>
      </c>
      <c r="U145" s="20">
        <v>0</v>
      </c>
      <c r="V145" s="21">
        <v>0</v>
      </c>
      <c r="W145" s="20">
        <v>455</v>
      </c>
      <c r="X145" s="21">
        <v>0.2413793103448276</v>
      </c>
      <c r="Y145" s="20">
        <v>523</v>
      </c>
      <c r="Z145" s="23">
        <v>0.27745358090185679</v>
      </c>
      <c r="AA145" s="20">
        <v>19</v>
      </c>
      <c r="AB145" s="21">
        <v>1.007957559681698E-2</v>
      </c>
      <c r="AC145" s="20">
        <v>377</v>
      </c>
      <c r="AD145" s="21">
        <v>0.2</v>
      </c>
      <c r="AE145" s="20">
        <v>62</v>
      </c>
      <c r="AF145" s="21">
        <v>0.1644562334217507</v>
      </c>
      <c r="AG145" s="20">
        <v>354</v>
      </c>
      <c r="AH145" s="21">
        <v>0.93899204244031831</v>
      </c>
      <c r="AI145" s="24">
        <v>389</v>
      </c>
      <c r="AJ145" s="21">
        <v>0.20636604774535811</v>
      </c>
      <c r="AK145" s="24">
        <v>1</v>
      </c>
      <c r="AL145" s="21">
        <v>0.86632390745501286</v>
      </c>
      <c r="AM145" s="24">
        <v>385</v>
      </c>
      <c r="AN145" s="24">
        <v>337</v>
      </c>
      <c r="AO145" s="21">
        <v>0.17877984084880641</v>
      </c>
      <c r="AP145" s="21">
        <v>0.8938992042440318</v>
      </c>
      <c r="AQ145" s="22">
        <v>0.96567505720823799</v>
      </c>
      <c r="AR145" s="24">
        <v>0</v>
      </c>
      <c r="AS145" s="24">
        <v>0</v>
      </c>
      <c r="AT145" s="24">
        <v>45</v>
      </c>
      <c r="AU145" s="24">
        <v>39</v>
      </c>
      <c r="AV145" s="24">
        <v>39</v>
      </c>
      <c r="AW145" s="24">
        <v>7</v>
      </c>
      <c r="AX145" s="21">
        <v>2.0689655172413789E-2</v>
      </c>
      <c r="AY145" s="21">
        <v>2.0689655172413789E-2</v>
      </c>
      <c r="AZ145" s="21">
        <v>3.7135278514588859E-3</v>
      </c>
      <c r="BA145" s="21">
        <v>0.11572700296735899</v>
      </c>
      <c r="BB145" s="24">
        <v>0</v>
      </c>
      <c r="BC145" s="24">
        <v>0</v>
      </c>
      <c r="BD145" s="22">
        <v>1</v>
      </c>
      <c r="BE145" s="22">
        <v>1</v>
      </c>
      <c r="BF145" s="22" t="s">
        <v>89</v>
      </c>
    </row>
    <row r="146" spans="1:58" ht="19.5" customHeight="1">
      <c r="A146" s="25">
        <v>143</v>
      </c>
      <c r="B146" s="20" t="s">
        <v>88</v>
      </c>
      <c r="C146" s="26">
        <v>46117</v>
      </c>
      <c r="D146" s="20" t="s">
        <v>14</v>
      </c>
      <c r="E146" s="20">
        <v>3139</v>
      </c>
      <c r="F146" s="20">
        <v>2853</v>
      </c>
      <c r="G146" s="21">
        <v>0.90888818094934698</v>
      </c>
      <c r="H146" s="20">
        <v>1167</v>
      </c>
      <c r="I146" s="22">
        <v>0.37177445046193047</v>
      </c>
      <c r="J146" s="20">
        <v>1561</v>
      </c>
      <c r="K146" s="20">
        <v>1493</v>
      </c>
      <c r="L146" s="21">
        <v>0.95599999999999996</v>
      </c>
      <c r="M146" s="20">
        <v>8157</v>
      </c>
      <c r="N146" s="20">
        <v>8038</v>
      </c>
      <c r="O146" s="20">
        <v>7960</v>
      </c>
      <c r="P146" s="21">
        <v>0.97584896407993138</v>
      </c>
      <c r="Q146" s="20">
        <v>22</v>
      </c>
      <c r="R146" s="20">
        <v>0</v>
      </c>
      <c r="S146" s="20">
        <v>0</v>
      </c>
      <c r="T146" s="21">
        <v>0</v>
      </c>
      <c r="U146" s="20">
        <v>0</v>
      </c>
      <c r="V146" s="21">
        <v>0</v>
      </c>
      <c r="W146" s="20">
        <v>120</v>
      </c>
      <c r="X146" s="21">
        <v>3.8228735266008278E-2</v>
      </c>
      <c r="Y146" s="20">
        <v>286</v>
      </c>
      <c r="Z146" s="23">
        <v>9.1111819050653076E-2</v>
      </c>
      <c r="AA146" s="20">
        <v>0</v>
      </c>
      <c r="AB146" s="21">
        <v>0</v>
      </c>
      <c r="AC146" s="20">
        <v>1164</v>
      </c>
      <c r="AD146" s="21">
        <v>0.37081873208028032</v>
      </c>
      <c r="AE146" s="20">
        <v>360</v>
      </c>
      <c r="AF146" s="21">
        <v>0.30927835051546387</v>
      </c>
      <c r="AG146" s="20">
        <v>1081</v>
      </c>
      <c r="AH146" s="21">
        <v>0.92869415807560141</v>
      </c>
      <c r="AI146" s="24">
        <v>1315</v>
      </c>
      <c r="AJ146" s="21">
        <v>0.41892322395667408</v>
      </c>
      <c r="AK146" s="24">
        <v>10</v>
      </c>
      <c r="AL146" s="21">
        <v>0.84942965779467683</v>
      </c>
      <c r="AM146" s="24">
        <v>1310</v>
      </c>
      <c r="AN146" s="24">
        <v>1117</v>
      </c>
      <c r="AO146" s="21">
        <v>0.35584581076776051</v>
      </c>
      <c r="AP146" s="21">
        <v>0.9596219931271478</v>
      </c>
      <c r="AQ146" s="22">
        <v>0.96418128654970758</v>
      </c>
      <c r="AR146" s="24">
        <v>519</v>
      </c>
      <c r="AS146" s="24">
        <v>71</v>
      </c>
      <c r="AT146" s="24">
        <v>0</v>
      </c>
      <c r="AU146" s="24">
        <v>0</v>
      </c>
      <c r="AV146" s="24">
        <v>0</v>
      </c>
      <c r="AW146" s="24">
        <v>0</v>
      </c>
      <c r="AX146" s="21">
        <v>0</v>
      </c>
      <c r="AY146" s="21">
        <v>0</v>
      </c>
      <c r="AZ146" s="21">
        <v>0</v>
      </c>
      <c r="BA146" s="21">
        <v>0</v>
      </c>
      <c r="BB146" s="24">
        <v>0</v>
      </c>
      <c r="BC146" s="24">
        <v>1</v>
      </c>
      <c r="BD146" s="22">
        <v>0.96</v>
      </c>
      <c r="BE146" s="22" t="s">
        <v>89</v>
      </c>
      <c r="BF146" s="22" t="s">
        <v>89</v>
      </c>
    </row>
    <row r="147" spans="1:58" ht="19.5" customHeight="1">
      <c r="A147" s="25">
        <v>144</v>
      </c>
      <c r="B147" s="20" t="s">
        <v>88</v>
      </c>
      <c r="C147" s="26">
        <v>46117</v>
      </c>
      <c r="D147" s="20" t="s">
        <v>13</v>
      </c>
      <c r="E147" s="20">
        <v>2462</v>
      </c>
      <c r="F147" s="20">
        <v>2271</v>
      </c>
      <c r="G147" s="21">
        <v>0.92242079610073113</v>
      </c>
      <c r="H147" s="20">
        <v>1609</v>
      </c>
      <c r="I147" s="22">
        <v>0.65353371242891956</v>
      </c>
      <c r="J147" s="20">
        <v>2971</v>
      </c>
      <c r="K147" s="20">
        <v>2910</v>
      </c>
      <c r="L147" s="21">
        <v>0.97899999999999998</v>
      </c>
      <c r="M147" s="20">
        <v>18123</v>
      </c>
      <c r="N147" s="20">
        <v>18068</v>
      </c>
      <c r="O147" s="20">
        <v>17911</v>
      </c>
      <c r="P147" s="21">
        <v>0.98830215747944605</v>
      </c>
      <c r="Q147" s="20">
        <v>24</v>
      </c>
      <c r="R147" s="20">
        <v>0</v>
      </c>
      <c r="S147" s="20">
        <v>0</v>
      </c>
      <c r="T147" s="21">
        <v>0</v>
      </c>
      <c r="U147" s="20">
        <v>0</v>
      </c>
      <c r="V147" s="21">
        <v>0</v>
      </c>
      <c r="W147" s="20">
        <v>539</v>
      </c>
      <c r="X147" s="21">
        <v>0.218927701056052</v>
      </c>
      <c r="Y147" s="20">
        <v>596</v>
      </c>
      <c r="Z147" s="23">
        <v>0.2420796100731113</v>
      </c>
      <c r="AA147" s="20">
        <v>108</v>
      </c>
      <c r="AB147" s="21">
        <v>4.3866774979691298E-2</v>
      </c>
      <c r="AC147" s="20">
        <v>753</v>
      </c>
      <c r="AD147" s="21">
        <v>0.30584890333062548</v>
      </c>
      <c r="AE147" s="20">
        <v>83</v>
      </c>
      <c r="AF147" s="21">
        <v>0.11022576361221779</v>
      </c>
      <c r="AG147" s="20">
        <v>712</v>
      </c>
      <c r="AH147" s="21">
        <v>0.94555112881806114</v>
      </c>
      <c r="AI147" s="24">
        <v>717</v>
      </c>
      <c r="AJ147" s="21">
        <v>0.29122664500406181</v>
      </c>
      <c r="AK147" s="24">
        <v>5</v>
      </c>
      <c r="AL147" s="21">
        <v>0.95258019525801951</v>
      </c>
      <c r="AM147" s="24">
        <v>715</v>
      </c>
      <c r="AN147" s="24">
        <v>683</v>
      </c>
      <c r="AO147" s="21">
        <v>0.27741673436230713</v>
      </c>
      <c r="AP147" s="21">
        <v>0.90703851261620183</v>
      </c>
      <c r="AQ147" s="22">
        <v>0.96478873239436624</v>
      </c>
      <c r="AR147" s="24">
        <v>0</v>
      </c>
      <c r="AS147" s="24">
        <v>0</v>
      </c>
      <c r="AT147" s="24">
        <v>99</v>
      </c>
      <c r="AU147" s="24">
        <v>95</v>
      </c>
      <c r="AV147" s="24">
        <v>92</v>
      </c>
      <c r="AW147" s="24">
        <v>46</v>
      </c>
      <c r="AX147" s="21">
        <v>3.8586515028432168E-2</v>
      </c>
      <c r="AY147" s="21">
        <v>3.736799350121852E-2</v>
      </c>
      <c r="AZ147" s="21">
        <v>1.868399675060926E-2</v>
      </c>
      <c r="BA147" s="21">
        <v>0.1346998535871157</v>
      </c>
      <c r="BB147" s="24">
        <v>0</v>
      </c>
      <c r="BC147" s="24">
        <v>0</v>
      </c>
      <c r="BD147" s="22">
        <v>0.9662921348314607</v>
      </c>
      <c r="BE147" s="22">
        <v>1</v>
      </c>
      <c r="BF147" s="22" t="s">
        <v>89</v>
      </c>
    </row>
    <row r="148" spans="1:58" ht="19.5" customHeight="1">
      <c r="A148" s="25">
        <v>145</v>
      </c>
      <c r="B148" s="20" t="s">
        <v>88</v>
      </c>
      <c r="C148" s="26">
        <v>46118</v>
      </c>
      <c r="D148" s="20" t="s">
        <v>12</v>
      </c>
      <c r="E148" s="20">
        <v>1908</v>
      </c>
      <c r="F148" s="20">
        <v>1666</v>
      </c>
      <c r="G148" s="21">
        <v>0.87316561844863727</v>
      </c>
      <c r="H148" s="20">
        <v>864</v>
      </c>
      <c r="I148" s="22">
        <v>0.45283018867924529</v>
      </c>
      <c r="J148" s="20">
        <v>2213</v>
      </c>
      <c r="K148" s="20">
        <v>2158</v>
      </c>
      <c r="L148" s="21">
        <v>0.97499999999999998</v>
      </c>
      <c r="M148" s="20">
        <v>11256</v>
      </c>
      <c r="N148" s="20">
        <v>10974</v>
      </c>
      <c r="O148" s="20">
        <v>11117</v>
      </c>
      <c r="P148" s="21">
        <v>0.98765103056147829</v>
      </c>
      <c r="Q148" s="20">
        <v>18</v>
      </c>
      <c r="R148" s="20">
        <v>0</v>
      </c>
      <c r="S148" s="20">
        <v>0</v>
      </c>
      <c r="T148" s="21">
        <v>0</v>
      </c>
      <c r="U148" s="20">
        <v>0</v>
      </c>
      <c r="V148" s="21">
        <v>0</v>
      </c>
      <c r="W148" s="20">
        <v>1963</v>
      </c>
      <c r="X148" s="21">
        <v>1.028825995807128</v>
      </c>
      <c r="Y148" s="20">
        <v>452</v>
      </c>
      <c r="Z148" s="23">
        <v>0.23689727463312371</v>
      </c>
      <c r="AA148" s="20">
        <v>36</v>
      </c>
      <c r="AB148" s="21">
        <v>1.886792452830189E-2</v>
      </c>
      <c r="AC148" s="20">
        <v>350</v>
      </c>
      <c r="AD148" s="21">
        <v>0.18343815513626829</v>
      </c>
      <c r="AE148" s="20">
        <v>46</v>
      </c>
      <c r="AF148" s="21">
        <v>0.13142857142857139</v>
      </c>
      <c r="AG148" s="20">
        <v>326</v>
      </c>
      <c r="AH148" s="21">
        <v>0.93142857142857138</v>
      </c>
      <c r="AI148" s="24">
        <v>336</v>
      </c>
      <c r="AJ148" s="21">
        <v>0.1761006289308176</v>
      </c>
      <c r="AK148" s="24">
        <v>0</v>
      </c>
      <c r="AL148" s="21">
        <v>0.8928571428571429</v>
      </c>
      <c r="AM148" s="24">
        <v>334</v>
      </c>
      <c r="AN148" s="24">
        <v>300</v>
      </c>
      <c r="AO148" s="21">
        <v>0.15723270440251569</v>
      </c>
      <c r="AP148" s="21">
        <v>0.8571428571428571</v>
      </c>
      <c r="AQ148" s="22">
        <v>0.97361477572559363</v>
      </c>
      <c r="AR148" s="24">
        <v>0</v>
      </c>
      <c r="AS148" s="24">
        <v>0</v>
      </c>
      <c r="AT148" s="24">
        <v>88</v>
      </c>
      <c r="AU148" s="24">
        <v>87</v>
      </c>
      <c r="AV148" s="24">
        <v>84</v>
      </c>
      <c r="AW148" s="24">
        <v>37</v>
      </c>
      <c r="AX148" s="21">
        <v>4.5597484276729557E-2</v>
      </c>
      <c r="AY148" s="21">
        <v>4.40251572327044E-2</v>
      </c>
      <c r="AZ148" s="21">
        <v>1.9392033542976941E-2</v>
      </c>
      <c r="BA148" s="21">
        <v>0.28000000000000003</v>
      </c>
      <c r="BB148" s="24">
        <v>0</v>
      </c>
      <c r="BC148" s="24">
        <v>0</v>
      </c>
      <c r="BD148" s="22">
        <v>0.97435897435897434</v>
      </c>
      <c r="BE148" s="22">
        <v>1</v>
      </c>
      <c r="BF148" s="22" t="s">
        <v>89</v>
      </c>
    </row>
    <row r="149" spans="1:58" ht="19.5" customHeight="1">
      <c r="A149" s="25">
        <v>146</v>
      </c>
      <c r="B149" s="20" t="s">
        <v>88</v>
      </c>
      <c r="C149" s="26">
        <v>46118</v>
      </c>
      <c r="D149" s="20" t="s">
        <v>11</v>
      </c>
      <c r="E149" s="20">
        <v>2834</v>
      </c>
      <c r="F149" s="20">
        <v>2500</v>
      </c>
      <c r="G149" s="21">
        <v>0.88214537755822164</v>
      </c>
      <c r="H149" s="20">
        <v>2058</v>
      </c>
      <c r="I149" s="22">
        <v>0.726182074805928</v>
      </c>
      <c r="J149" s="20">
        <v>2637</v>
      </c>
      <c r="K149" s="20">
        <v>2563</v>
      </c>
      <c r="L149" s="21">
        <v>0.97199999999999998</v>
      </c>
      <c r="M149" s="20">
        <v>10223</v>
      </c>
      <c r="N149" s="20">
        <v>10177</v>
      </c>
      <c r="O149" s="20">
        <v>10073</v>
      </c>
      <c r="P149" s="21">
        <v>0.98532720336496138</v>
      </c>
      <c r="Q149" s="20">
        <v>39</v>
      </c>
      <c r="R149" s="20">
        <v>0</v>
      </c>
      <c r="S149" s="20">
        <v>0</v>
      </c>
      <c r="T149" s="21">
        <v>0</v>
      </c>
      <c r="U149" s="20">
        <v>0</v>
      </c>
      <c r="V149" s="21">
        <v>0</v>
      </c>
      <c r="W149" s="20">
        <v>2093</v>
      </c>
      <c r="X149" s="21">
        <v>0.73853211009174313</v>
      </c>
      <c r="Y149" s="20">
        <v>540</v>
      </c>
      <c r="Z149" s="23">
        <v>0.1905434015525759</v>
      </c>
      <c r="AA149" s="20">
        <v>24</v>
      </c>
      <c r="AB149" s="21">
        <v>8.4685956245589278E-3</v>
      </c>
      <c r="AC149" s="20">
        <v>400</v>
      </c>
      <c r="AD149" s="21">
        <v>0.14114326040931549</v>
      </c>
      <c r="AE149" s="20">
        <v>70</v>
      </c>
      <c r="AF149" s="21">
        <v>0.17499999999999999</v>
      </c>
      <c r="AG149" s="20">
        <v>368</v>
      </c>
      <c r="AH149" s="21">
        <v>0.92</v>
      </c>
      <c r="AI149" s="24">
        <v>395</v>
      </c>
      <c r="AJ149" s="21">
        <v>0.13937896965419899</v>
      </c>
      <c r="AK149" s="24">
        <v>0</v>
      </c>
      <c r="AL149" s="21">
        <v>0.85822784810126584</v>
      </c>
      <c r="AM149" s="24">
        <v>397</v>
      </c>
      <c r="AN149" s="24">
        <v>339</v>
      </c>
      <c r="AO149" s="21">
        <v>0.1196189131968949</v>
      </c>
      <c r="AP149" s="21">
        <v>0.84750000000000003</v>
      </c>
      <c r="AQ149" s="22">
        <v>0.96486486486486489</v>
      </c>
      <c r="AR149" s="24">
        <v>0</v>
      </c>
      <c r="AS149" s="24">
        <v>0</v>
      </c>
      <c r="AT149" s="24">
        <v>59</v>
      </c>
      <c r="AU149" s="24">
        <v>57</v>
      </c>
      <c r="AV149" s="24">
        <v>56</v>
      </c>
      <c r="AW149" s="24">
        <v>17</v>
      </c>
      <c r="AX149" s="21">
        <v>2.011291460832745E-2</v>
      </c>
      <c r="AY149" s="21">
        <v>1.9760056457304161E-2</v>
      </c>
      <c r="AZ149" s="21">
        <v>5.9985885673959072E-3</v>
      </c>
      <c r="BA149" s="21">
        <v>0.16519174041297929</v>
      </c>
      <c r="BB149" s="24">
        <v>0</v>
      </c>
      <c r="BC149" s="24">
        <v>1</v>
      </c>
      <c r="BD149" s="22">
        <v>0.96153846153846156</v>
      </c>
      <c r="BE149" s="22">
        <v>1</v>
      </c>
      <c r="BF149" s="22" t="s">
        <v>89</v>
      </c>
    </row>
    <row r="150" spans="1:58" ht="19.5" customHeight="1">
      <c r="A150" s="25">
        <v>147</v>
      </c>
      <c r="B150" s="20" t="s">
        <v>88</v>
      </c>
      <c r="C150" s="26">
        <v>46118</v>
      </c>
      <c r="D150" s="20" t="s">
        <v>14</v>
      </c>
      <c r="E150" s="20">
        <v>2830</v>
      </c>
      <c r="F150" s="20">
        <v>2555</v>
      </c>
      <c r="G150" s="21">
        <v>0.90282685512367489</v>
      </c>
      <c r="H150" s="20">
        <v>1149</v>
      </c>
      <c r="I150" s="22">
        <v>0.40600706713780921</v>
      </c>
      <c r="J150" s="20">
        <v>1775</v>
      </c>
      <c r="K150" s="20">
        <v>1722</v>
      </c>
      <c r="L150" s="21">
        <v>0.97</v>
      </c>
      <c r="M150" s="20">
        <v>8906</v>
      </c>
      <c r="N150" s="20">
        <v>8879</v>
      </c>
      <c r="O150" s="20">
        <v>8694</v>
      </c>
      <c r="P150" s="21">
        <v>0.97619582304064678</v>
      </c>
      <c r="Q150" s="20">
        <v>15</v>
      </c>
      <c r="R150" s="20">
        <v>0</v>
      </c>
      <c r="S150" s="20">
        <v>0</v>
      </c>
      <c r="T150" s="21">
        <v>0</v>
      </c>
      <c r="U150" s="20">
        <v>0</v>
      </c>
      <c r="V150" s="21">
        <v>0</v>
      </c>
      <c r="W150" s="20">
        <v>103</v>
      </c>
      <c r="X150" s="21">
        <v>3.6395759717314492E-2</v>
      </c>
      <c r="Y150" s="20">
        <v>289</v>
      </c>
      <c r="Z150" s="23">
        <v>0.1021201413427562</v>
      </c>
      <c r="AA150" s="20">
        <v>0</v>
      </c>
      <c r="AB150" s="21">
        <v>0</v>
      </c>
      <c r="AC150" s="20">
        <v>1228</v>
      </c>
      <c r="AD150" s="21">
        <v>0.43392226148409901</v>
      </c>
      <c r="AE150" s="20">
        <v>369</v>
      </c>
      <c r="AF150" s="21">
        <v>0.30048859934853422</v>
      </c>
      <c r="AG150" s="20">
        <v>1139</v>
      </c>
      <c r="AH150" s="21">
        <v>0.92752442996742668</v>
      </c>
      <c r="AI150" s="24">
        <v>1357</v>
      </c>
      <c r="AJ150" s="21">
        <v>0.47950530035335692</v>
      </c>
      <c r="AK150" s="24">
        <v>10</v>
      </c>
      <c r="AL150" s="21">
        <v>0.85924834193072952</v>
      </c>
      <c r="AM150" s="24">
        <v>1358</v>
      </c>
      <c r="AN150" s="24">
        <v>1166</v>
      </c>
      <c r="AO150" s="21">
        <v>0.41201413427561839</v>
      </c>
      <c r="AP150" s="21">
        <v>0.94951140065146578</v>
      </c>
      <c r="AQ150" s="22">
        <v>0.95187165775401072</v>
      </c>
      <c r="AR150" s="24">
        <v>626</v>
      </c>
      <c r="AS150" s="24">
        <v>84</v>
      </c>
      <c r="AT150" s="24">
        <v>0</v>
      </c>
      <c r="AU150" s="24">
        <v>0</v>
      </c>
      <c r="AV150" s="24">
        <v>0</v>
      </c>
      <c r="AW150" s="24">
        <v>0</v>
      </c>
      <c r="AX150" s="21">
        <v>0</v>
      </c>
      <c r="AY150" s="21">
        <v>0</v>
      </c>
      <c r="AZ150" s="21">
        <v>0</v>
      </c>
      <c r="BA150" s="21">
        <v>0</v>
      </c>
      <c r="BB150" s="24">
        <v>0</v>
      </c>
      <c r="BC150" s="24">
        <v>0</v>
      </c>
      <c r="BD150" s="22">
        <v>0.98393574297188757</v>
      </c>
      <c r="BE150" s="22" t="s">
        <v>89</v>
      </c>
      <c r="BF150" s="22" t="s">
        <v>89</v>
      </c>
    </row>
    <row r="151" spans="1:58" ht="19.5" customHeight="1">
      <c r="A151" s="25">
        <v>148</v>
      </c>
      <c r="B151" s="20" t="s">
        <v>88</v>
      </c>
      <c r="C151" s="26">
        <v>46118</v>
      </c>
      <c r="D151" s="20" t="s">
        <v>13</v>
      </c>
      <c r="E151" s="20">
        <v>2719</v>
      </c>
      <c r="F151" s="20">
        <v>2453</v>
      </c>
      <c r="G151" s="21">
        <v>0.90216991541007718</v>
      </c>
      <c r="H151" s="20">
        <v>1694</v>
      </c>
      <c r="I151" s="22">
        <v>0.62302317028319232</v>
      </c>
      <c r="J151" s="20">
        <v>3149</v>
      </c>
      <c r="K151" s="20">
        <v>3090</v>
      </c>
      <c r="L151" s="21">
        <v>0.98099999999999998</v>
      </c>
      <c r="M151" s="20">
        <v>18670</v>
      </c>
      <c r="N151" s="20">
        <v>18182</v>
      </c>
      <c r="O151" s="20">
        <v>18463</v>
      </c>
      <c r="P151" s="21">
        <v>0.98891269416175687</v>
      </c>
      <c r="Q151" s="20">
        <v>25</v>
      </c>
      <c r="R151" s="20">
        <v>0</v>
      </c>
      <c r="S151" s="20">
        <v>0</v>
      </c>
      <c r="T151" s="21">
        <v>0</v>
      </c>
      <c r="U151" s="20">
        <v>0</v>
      </c>
      <c r="V151" s="21">
        <v>0</v>
      </c>
      <c r="W151" s="20">
        <v>3447</v>
      </c>
      <c r="X151" s="21">
        <v>1.2677454946671569</v>
      </c>
      <c r="Y151" s="20">
        <v>605</v>
      </c>
      <c r="Z151" s="23">
        <v>0.2225082751011401</v>
      </c>
      <c r="AA151" s="20">
        <v>112</v>
      </c>
      <c r="AB151" s="21">
        <v>4.1191614564177997E-2</v>
      </c>
      <c r="AC151" s="20">
        <v>612</v>
      </c>
      <c r="AD151" s="21">
        <v>0.22508275101140121</v>
      </c>
      <c r="AE151" s="20">
        <v>97</v>
      </c>
      <c r="AF151" s="21">
        <v>0.15849673202614381</v>
      </c>
      <c r="AG151" s="20">
        <v>576</v>
      </c>
      <c r="AH151" s="21">
        <v>0.94117647058823528</v>
      </c>
      <c r="AI151" s="24">
        <v>606</v>
      </c>
      <c r="AJ151" s="21">
        <v>0.2228760573740346</v>
      </c>
      <c r="AK151" s="24">
        <v>3</v>
      </c>
      <c r="AL151" s="21">
        <v>0.94224422442244227</v>
      </c>
      <c r="AM151" s="24">
        <v>603</v>
      </c>
      <c r="AN151" s="24">
        <v>571</v>
      </c>
      <c r="AO151" s="21">
        <v>0.21000367782272891</v>
      </c>
      <c r="AP151" s="21">
        <v>0.93300653594771243</v>
      </c>
      <c r="AQ151" s="22">
        <v>0.9746478873239437</v>
      </c>
      <c r="AR151" s="24">
        <v>0</v>
      </c>
      <c r="AS151" s="24">
        <v>0</v>
      </c>
      <c r="AT151" s="24">
        <v>100</v>
      </c>
      <c r="AU151" s="24">
        <v>94</v>
      </c>
      <c r="AV151" s="24">
        <v>99</v>
      </c>
      <c r="AW151" s="24">
        <v>39</v>
      </c>
      <c r="AX151" s="21">
        <v>3.457153365207797E-2</v>
      </c>
      <c r="AY151" s="21">
        <v>3.6410445016550212E-2</v>
      </c>
      <c r="AZ151" s="21">
        <v>1.4343508642883409E-2</v>
      </c>
      <c r="BA151" s="21">
        <v>0.1733800350262697</v>
      </c>
      <c r="BB151" s="24">
        <v>0</v>
      </c>
      <c r="BC151" s="24">
        <v>1</v>
      </c>
      <c r="BD151" s="22">
        <v>0.97368421052631582</v>
      </c>
      <c r="BE151" s="22">
        <v>1</v>
      </c>
      <c r="BF151" s="22" t="s">
        <v>89</v>
      </c>
    </row>
    <row r="152" spans="1:58" ht="19.5" customHeight="1">
      <c r="A152" s="25">
        <v>149</v>
      </c>
      <c r="B152" s="20" t="s">
        <v>88</v>
      </c>
      <c r="C152" s="26">
        <v>46119</v>
      </c>
      <c r="D152" s="20" t="s">
        <v>12</v>
      </c>
      <c r="E152" s="20">
        <v>1562</v>
      </c>
      <c r="F152" s="20">
        <v>1362</v>
      </c>
      <c r="G152" s="21">
        <v>0.87195902688860438</v>
      </c>
      <c r="H152" s="20">
        <v>550</v>
      </c>
      <c r="I152" s="22">
        <v>0.352112676056338</v>
      </c>
      <c r="J152" s="20">
        <v>1792</v>
      </c>
      <c r="K152" s="20">
        <v>1733</v>
      </c>
      <c r="L152" s="21">
        <v>0.96699999999999997</v>
      </c>
      <c r="M152" s="20">
        <v>10691</v>
      </c>
      <c r="N152" s="20">
        <v>10280</v>
      </c>
      <c r="O152" s="20">
        <v>10542</v>
      </c>
      <c r="P152" s="21">
        <v>0.98606304368160136</v>
      </c>
      <c r="Q152" s="20">
        <v>23</v>
      </c>
      <c r="R152" s="20">
        <v>0</v>
      </c>
      <c r="S152" s="20">
        <v>0</v>
      </c>
      <c r="T152" s="21">
        <v>0</v>
      </c>
      <c r="U152" s="20">
        <v>0</v>
      </c>
      <c r="V152" s="21">
        <v>0</v>
      </c>
      <c r="W152" s="20">
        <v>1690</v>
      </c>
      <c r="X152" s="21">
        <v>1.081946222791293</v>
      </c>
      <c r="Y152" s="20">
        <v>340</v>
      </c>
      <c r="Z152" s="23">
        <v>0.2176696542893726</v>
      </c>
      <c r="AA152" s="20">
        <v>38</v>
      </c>
      <c r="AB152" s="21">
        <v>2.4327784891165171E-2</v>
      </c>
      <c r="AC152" s="20">
        <v>200</v>
      </c>
      <c r="AD152" s="21">
        <v>0.12804097311139559</v>
      </c>
      <c r="AE152" s="20">
        <v>24</v>
      </c>
      <c r="AF152" s="21">
        <v>0.12</v>
      </c>
      <c r="AG152" s="20">
        <v>186</v>
      </c>
      <c r="AH152" s="21">
        <v>0.93</v>
      </c>
      <c r="AI152" s="24">
        <v>205</v>
      </c>
      <c r="AJ152" s="21">
        <v>0.1312419974391805</v>
      </c>
      <c r="AK152" s="24">
        <v>1</v>
      </c>
      <c r="AL152" s="21">
        <v>0.85365853658536583</v>
      </c>
      <c r="AM152" s="24">
        <v>198</v>
      </c>
      <c r="AN152" s="24">
        <v>175</v>
      </c>
      <c r="AO152" s="21">
        <v>0.11203585147247121</v>
      </c>
      <c r="AP152" s="21">
        <v>0.875</v>
      </c>
      <c r="AQ152" s="22">
        <v>0.9668874172185431</v>
      </c>
      <c r="AR152" s="24">
        <v>0</v>
      </c>
      <c r="AS152" s="24">
        <v>0</v>
      </c>
      <c r="AT152" s="24">
        <v>60</v>
      </c>
      <c r="AU152" s="24">
        <v>57</v>
      </c>
      <c r="AV152" s="24">
        <v>57</v>
      </c>
      <c r="AW152" s="24">
        <v>74</v>
      </c>
      <c r="AX152" s="21">
        <v>3.6491677336747762E-2</v>
      </c>
      <c r="AY152" s="21">
        <v>3.6491677336747762E-2</v>
      </c>
      <c r="AZ152" s="21">
        <v>4.7375160051216392E-2</v>
      </c>
      <c r="BA152" s="21">
        <v>0.32571428571428568</v>
      </c>
      <c r="BB152" s="24">
        <v>0</v>
      </c>
      <c r="BC152" s="24">
        <v>0</v>
      </c>
      <c r="BD152" s="22">
        <v>1</v>
      </c>
      <c r="BE152" s="22">
        <v>1</v>
      </c>
      <c r="BF152" s="22" t="s">
        <v>89</v>
      </c>
    </row>
    <row r="153" spans="1:58" ht="19.5" customHeight="1">
      <c r="A153" s="25">
        <v>150</v>
      </c>
      <c r="B153" s="20" t="s">
        <v>88</v>
      </c>
      <c r="C153" s="26">
        <v>46119</v>
      </c>
      <c r="D153" s="20" t="s">
        <v>11</v>
      </c>
      <c r="E153" s="20">
        <v>2894</v>
      </c>
      <c r="F153" s="20">
        <v>2548</v>
      </c>
      <c r="G153" s="21">
        <v>0.88044229440221145</v>
      </c>
      <c r="H153" s="20">
        <v>1751</v>
      </c>
      <c r="I153" s="22">
        <v>0.60504492052522463</v>
      </c>
      <c r="J153" s="20">
        <v>2466</v>
      </c>
      <c r="K153" s="20">
        <v>2355</v>
      </c>
      <c r="L153" s="21">
        <v>0.95499999999999996</v>
      </c>
      <c r="M153" s="20">
        <v>9773</v>
      </c>
      <c r="N153" s="20">
        <v>9664</v>
      </c>
      <c r="O153" s="20">
        <v>9571</v>
      </c>
      <c r="P153" s="21">
        <v>0.97933080937276173</v>
      </c>
      <c r="Q153" s="20">
        <v>42</v>
      </c>
      <c r="R153" s="20">
        <v>0</v>
      </c>
      <c r="S153" s="20">
        <v>0</v>
      </c>
      <c r="T153" s="21">
        <v>0</v>
      </c>
      <c r="U153" s="20">
        <v>0</v>
      </c>
      <c r="V153" s="21">
        <v>0</v>
      </c>
      <c r="W153" s="20">
        <v>1858</v>
      </c>
      <c r="X153" s="21">
        <v>0.64201796821008983</v>
      </c>
      <c r="Y153" s="20">
        <v>411</v>
      </c>
      <c r="Z153" s="23">
        <v>0.1420179682100898</v>
      </c>
      <c r="AA153" s="20">
        <v>19</v>
      </c>
      <c r="AB153" s="21">
        <v>6.5653075328265366E-3</v>
      </c>
      <c r="AC153" s="20">
        <v>239</v>
      </c>
      <c r="AD153" s="21">
        <v>8.2584657912923284E-2</v>
      </c>
      <c r="AE153" s="20">
        <v>32</v>
      </c>
      <c r="AF153" s="21">
        <v>0.1338912133891213</v>
      </c>
      <c r="AG153" s="20">
        <v>226</v>
      </c>
      <c r="AH153" s="21">
        <v>0.94560669456066948</v>
      </c>
      <c r="AI153" s="24">
        <v>238</v>
      </c>
      <c r="AJ153" s="21">
        <v>8.2239115411195579E-2</v>
      </c>
      <c r="AK153" s="24">
        <v>1</v>
      </c>
      <c r="AL153" s="21">
        <v>0.8571428571428571</v>
      </c>
      <c r="AM153" s="24">
        <v>236</v>
      </c>
      <c r="AN153" s="24">
        <v>204</v>
      </c>
      <c r="AO153" s="21">
        <v>7.049067035245335E-2</v>
      </c>
      <c r="AP153" s="21">
        <v>0.85355648535564854</v>
      </c>
      <c r="AQ153" s="22">
        <v>0.97674418604651159</v>
      </c>
      <c r="AR153" s="24">
        <v>0</v>
      </c>
      <c r="AS153" s="24">
        <v>0</v>
      </c>
      <c r="AT153" s="24">
        <v>52</v>
      </c>
      <c r="AU153" s="24">
        <v>41</v>
      </c>
      <c r="AV153" s="24">
        <v>42</v>
      </c>
      <c r="AW153" s="24">
        <v>44</v>
      </c>
      <c r="AX153" s="21">
        <v>1.416724257083621E-2</v>
      </c>
      <c r="AY153" s="21">
        <v>1.4512785072563931E-2</v>
      </c>
      <c r="AZ153" s="21">
        <v>1.520387007601935E-2</v>
      </c>
      <c r="BA153" s="21">
        <v>0.20588235294117649</v>
      </c>
      <c r="BB153" s="24">
        <v>0</v>
      </c>
      <c r="BC153" s="24">
        <v>0</v>
      </c>
      <c r="BD153" s="22">
        <v>1</v>
      </c>
      <c r="BE153" s="22">
        <v>1</v>
      </c>
      <c r="BF153" s="22" t="s">
        <v>89</v>
      </c>
    </row>
    <row r="154" spans="1:58" ht="19.5" customHeight="1">
      <c r="A154" s="25">
        <v>151</v>
      </c>
      <c r="B154" s="20" t="s">
        <v>88</v>
      </c>
      <c r="C154" s="26">
        <v>46119</v>
      </c>
      <c r="D154" s="20" t="s">
        <v>14</v>
      </c>
      <c r="E154" s="20">
        <v>3836</v>
      </c>
      <c r="F154" s="20">
        <v>3471</v>
      </c>
      <c r="G154" s="21">
        <v>0.90484880083420227</v>
      </c>
      <c r="H154" s="20">
        <v>978</v>
      </c>
      <c r="I154" s="22">
        <v>0.25495307612095941</v>
      </c>
      <c r="J154" s="20">
        <v>1734</v>
      </c>
      <c r="K154" s="20">
        <v>1669</v>
      </c>
      <c r="L154" s="21">
        <v>0.96299999999999997</v>
      </c>
      <c r="M154" s="20">
        <v>9164</v>
      </c>
      <c r="N154" s="20">
        <v>8970</v>
      </c>
      <c r="O154" s="20">
        <v>8911</v>
      </c>
      <c r="P154" s="21">
        <v>0.97239196857267574</v>
      </c>
      <c r="Q154" s="20">
        <v>25</v>
      </c>
      <c r="R154" s="20">
        <v>0</v>
      </c>
      <c r="S154" s="20">
        <v>0</v>
      </c>
      <c r="T154" s="21">
        <v>0</v>
      </c>
      <c r="U154" s="20">
        <v>0</v>
      </c>
      <c r="V154" s="21">
        <v>0</v>
      </c>
      <c r="W154" s="20">
        <v>131</v>
      </c>
      <c r="X154" s="21">
        <v>3.4150156412930142E-2</v>
      </c>
      <c r="Y154" s="20">
        <v>296</v>
      </c>
      <c r="Z154" s="23">
        <v>7.7163712200208553E-2</v>
      </c>
      <c r="AA154" s="20">
        <v>0</v>
      </c>
      <c r="AB154" s="21">
        <v>0</v>
      </c>
      <c r="AC154" s="20">
        <v>903</v>
      </c>
      <c r="AD154" s="21">
        <v>0.23540145985401459</v>
      </c>
      <c r="AE154" s="20">
        <v>335</v>
      </c>
      <c r="AF154" s="21">
        <v>0.3709856035437431</v>
      </c>
      <c r="AG154" s="20">
        <v>853</v>
      </c>
      <c r="AH154" s="21">
        <v>0.9446290143964563</v>
      </c>
      <c r="AI154" s="24">
        <v>1040</v>
      </c>
      <c r="AJ154" s="21">
        <v>0.27111574556830031</v>
      </c>
      <c r="AK154" s="24">
        <v>11</v>
      </c>
      <c r="AL154" s="21">
        <v>0.88461538461538458</v>
      </c>
      <c r="AM154" s="24">
        <v>1038</v>
      </c>
      <c r="AN154" s="24">
        <v>920</v>
      </c>
      <c r="AO154" s="21">
        <v>0.23983315954118881</v>
      </c>
      <c r="AP154" s="21">
        <v>1.018826135105205</v>
      </c>
      <c r="AQ154" s="22">
        <v>0.97072419106317409</v>
      </c>
      <c r="AR154" s="24">
        <v>884</v>
      </c>
      <c r="AS154" s="24">
        <v>145</v>
      </c>
      <c r="AT154" s="24">
        <v>0</v>
      </c>
      <c r="AU154" s="24">
        <v>0</v>
      </c>
      <c r="AV154" s="24">
        <v>0</v>
      </c>
      <c r="AW154" s="24">
        <v>0</v>
      </c>
      <c r="AX154" s="21">
        <v>0</v>
      </c>
      <c r="AY154" s="21">
        <v>0</v>
      </c>
      <c r="AZ154" s="21">
        <v>0</v>
      </c>
      <c r="BA154" s="21">
        <v>0</v>
      </c>
      <c r="BB154" s="24">
        <v>0</v>
      </c>
      <c r="BC154" s="24">
        <v>2</v>
      </c>
      <c r="BD154" s="22">
        <v>0.96818181818181814</v>
      </c>
      <c r="BE154" s="22" t="s">
        <v>89</v>
      </c>
      <c r="BF154" s="22" t="s">
        <v>89</v>
      </c>
    </row>
    <row r="155" spans="1:58" ht="19.5" customHeight="1">
      <c r="A155" s="25">
        <v>152</v>
      </c>
      <c r="B155" s="20" t="s">
        <v>88</v>
      </c>
      <c r="C155" s="26">
        <v>46119</v>
      </c>
      <c r="D155" s="20" t="s">
        <v>13</v>
      </c>
      <c r="E155" s="20">
        <v>3008</v>
      </c>
      <c r="F155" s="20">
        <v>2678</v>
      </c>
      <c r="G155" s="21">
        <v>0.89029255319148937</v>
      </c>
      <c r="H155" s="20">
        <v>1987</v>
      </c>
      <c r="I155" s="22">
        <v>0.66057180851063835</v>
      </c>
      <c r="J155" s="20">
        <v>3755</v>
      </c>
      <c r="K155" s="20">
        <v>3689</v>
      </c>
      <c r="L155" s="21">
        <v>0.98199999999999998</v>
      </c>
      <c r="M155" s="20">
        <v>18248</v>
      </c>
      <c r="N155" s="20">
        <v>17730</v>
      </c>
      <c r="O155" s="20">
        <v>17991</v>
      </c>
      <c r="P155" s="21">
        <v>0.98591626479614203</v>
      </c>
      <c r="Q155" s="20">
        <v>33</v>
      </c>
      <c r="R155" s="20">
        <v>0</v>
      </c>
      <c r="S155" s="20">
        <v>0</v>
      </c>
      <c r="T155" s="21">
        <v>0</v>
      </c>
      <c r="U155" s="20">
        <v>0</v>
      </c>
      <c r="V155" s="21">
        <v>0</v>
      </c>
      <c r="W155" s="20">
        <v>2714</v>
      </c>
      <c r="X155" s="21">
        <v>0.90226063829787229</v>
      </c>
      <c r="Y155" s="20">
        <v>431</v>
      </c>
      <c r="Z155" s="23">
        <v>0.1432845744680851</v>
      </c>
      <c r="AA155" s="20">
        <v>107</v>
      </c>
      <c r="AB155" s="21">
        <v>3.5571808510638299E-2</v>
      </c>
      <c r="AC155" s="20">
        <v>406</v>
      </c>
      <c r="AD155" s="21">
        <v>0.13497340425531909</v>
      </c>
      <c r="AE155" s="20">
        <v>75</v>
      </c>
      <c r="AF155" s="21">
        <v>0.18472906403940889</v>
      </c>
      <c r="AG155" s="20">
        <v>383</v>
      </c>
      <c r="AH155" s="21">
        <v>0.94334975369458129</v>
      </c>
      <c r="AI155" s="24">
        <v>432</v>
      </c>
      <c r="AJ155" s="21">
        <v>0.14361702127659581</v>
      </c>
      <c r="AK155" s="24">
        <v>0</v>
      </c>
      <c r="AL155" s="21">
        <v>0.94212962962962965</v>
      </c>
      <c r="AM155" s="24">
        <v>428</v>
      </c>
      <c r="AN155" s="24">
        <v>407</v>
      </c>
      <c r="AO155" s="21">
        <v>0.13530585106382981</v>
      </c>
      <c r="AP155" s="21">
        <v>1.0024630541871919</v>
      </c>
      <c r="AQ155" s="22">
        <v>0.95150501672240806</v>
      </c>
      <c r="AR155" s="24">
        <v>0</v>
      </c>
      <c r="AS155" s="24">
        <v>0</v>
      </c>
      <c r="AT155" s="24">
        <v>60</v>
      </c>
      <c r="AU155" s="24">
        <v>50</v>
      </c>
      <c r="AV155" s="24">
        <v>56</v>
      </c>
      <c r="AW155" s="24">
        <v>94</v>
      </c>
      <c r="AX155" s="21">
        <v>1.6622340425531911E-2</v>
      </c>
      <c r="AY155" s="21">
        <v>1.861702127659574E-2</v>
      </c>
      <c r="AZ155" s="21">
        <v>3.125E-2</v>
      </c>
      <c r="BA155" s="21">
        <v>0.13759213759213759</v>
      </c>
      <c r="BB155" s="24">
        <v>0</v>
      </c>
      <c r="BC155" s="24">
        <v>2</v>
      </c>
      <c r="BD155" s="22">
        <v>1</v>
      </c>
      <c r="BE155" s="22">
        <v>0.8</v>
      </c>
      <c r="BF155" s="22" t="s">
        <v>89</v>
      </c>
    </row>
    <row r="156" spans="1:58" ht="19.5" customHeight="1">
      <c r="A156" s="25">
        <v>153</v>
      </c>
      <c r="B156" s="20" t="s">
        <v>88</v>
      </c>
      <c r="C156" s="26">
        <v>46120</v>
      </c>
      <c r="D156" s="20" t="s">
        <v>12</v>
      </c>
      <c r="E156" s="20">
        <v>1853</v>
      </c>
      <c r="F156" s="20">
        <v>1590</v>
      </c>
      <c r="G156" s="21">
        <v>0.85806799784133836</v>
      </c>
      <c r="H156" s="20">
        <v>965</v>
      </c>
      <c r="I156" s="22">
        <v>0.52077711818672423</v>
      </c>
      <c r="J156" s="20">
        <v>2574</v>
      </c>
      <c r="K156" s="20">
        <v>2481</v>
      </c>
      <c r="L156" s="21">
        <v>0.96399999999999997</v>
      </c>
      <c r="M156" s="20">
        <v>11381</v>
      </c>
      <c r="N156" s="20">
        <v>11173</v>
      </c>
      <c r="O156" s="20">
        <v>11142</v>
      </c>
      <c r="P156" s="21">
        <v>0.97899999999999998</v>
      </c>
      <c r="Q156" s="20">
        <v>30</v>
      </c>
      <c r="R156" s="20">
        <v>0</v>
      </c>
      <c r="S156" s="20">
        <v>0</v>
      </c>
      <c r="T156" s="21">
        <v>0</v>
      </c>
      <c r="U156" s="20">
        <v>0</v>
      </c>
      <c r="V156" s="21">
        <v>0</v>
      </c>
      <c r="W156" s="20">
        <v>1582</v>
      </c>
      <c r="X156" s="21">
        <v>0.85375067458175935</v>
      </c>
      <c r="Y156" s="20">
        <v>456</v>
      </c>
      <c r="Z156" s="23">
        <v>0.24608742579600651</v>
      </c>
      <c r="AA156" s="20">
        <v>47</v>
      </c>
      <c r="AB156" s="21">
        <v>2.536427415002698E-2</v>
      </c>
      <c r="AC156" s="20">
        <v>206</v>
      </c>
      <c r="AD156" s="21">
        <v>0.1111710739341608</v>
      </c>
      <c r="AE156" s="20">
        <v>43</v>
      </c>
      <c r="AF156" s="21">
        <v>0.20873786407766989</v>
      </c>
      <c r="AG156" s="20">
        <v>188</v>
      </c>
      <c r="AH156" s="21">
        <v>0.91262135922330101</v>
      </c>
      <c r="AI156" s="24">
        <v>201</v>
      </c>
      <c r="AJ156" s="21">
        <v>0.10847274689692391</v>
      </c>
      <c r="AK156" s="24">
        <v>0</v>
      </c>
      <c r="AL156" s="21">
        <v>0.85572139303482586</v>
      </c>
      <c r="AM156" s="24">
        <v>201</v>
      </c>
      <c r="AN156" s="24">
        <v>172</v>
      </c>
      <c r="AO156" s="21">
        <v>9.2822450080949817E-2</v>
      </c>
      <c r="AP156" s="21">
        <v>0.83495145631067957</v>
      </c>
      <c r="AQ156" s="22">
        <v>0.98351648351648346</v>
      </c>
      <c r="AR156" s="24">
        <v>0</v>
      </c>
      <c r="AS156" s="24">
        <v>0</v>
      </c>
      <c r="AT156" s="24">
        <v>59</v>
      </c>
      <c r="AU156" s="24">
        <v>55</v>
      </c>
      <c r="AV156" s="24">
        <v>58</v>
      </c>
      <c r="AW156" s="24">
        <v>80</v>
      </c>
      <c r="AX156" s="21">
        <v>2.9681597409606041E-2</v>
      </c>
      <c r="AY156" s="21">
        <v>3.130059363194819E-2</v>
      </c>
      <c r="AZ156" s="21">
        <v>4.317323259579061E-2</v>
      </c>
      <c r="BA156" s="21">
        <v>0.33720930232558138</v>
      </c>
      <c r="BB156" s="24">
        <v>0</v>
      </c>
      <c r="BC156" s="24">
        <v>0</v>
      </c>
      <c r="BD156" s="22">
        <v>1</v>
      </c>
      <c r="BE156" s="22">
        <v>1</v>
      </c>
      <c r="BF156" s="22" t="s">
        <v>89</v>
      </c>
    </row>
    <row r="157" spans="1:58" ht="19.5" customHeight="1">
      <c r="A157" s="25">
        <v>154</v>
      </c>
      <c r="B157" s="20" t="s">
        <v>88</v>
      </c>
      <c r="C157" s="26">
        <v>46120</v>
      </c>
      <c r="D157" s="20" t="s">
        <v>11</v>
      </c>
      <c r="E157" s="20">
        <v>2054</v>
      </c>
      <c r="F157" s="20">
        <v>1841</v>
      </c>
      <c r="G157" s="21">
        <v>0.8962999026290166</v>
      </c>
      <c r="H157" s="20">
        <v>1125</v>
      </c>
      <c r="I157" s="22">
        <v>0.54771178188899705</v>
      </c>
      <c r="J157" s="20">
        <v>2635</v>
      </c>
      <c r="K157" s="20">
        <v>2562</v>
      </c>
      <c r="L157" s="21">
        <v>0.97199999999999998</v>
      </c>
      <c r="M157" s="20">
        <v>9630</v>
      </c>
      <c r="N157" s="20">
        <v>9781</v>
      </c>
      <c r="O157" s="20">
        <v>9466</v>
      </c>
      <c r="P157" s="21">
        <v>0.9829698857736241</v>
      </c>
      <c r="Q157" s="20">
        <v>29</v>
      </c>
      <c r="R157" s="20">
        <v>0</v>
      </c>
      <c r="S157" s="20">
        <v>0</v>
      </c>
      <c r="T157" s="21">
        <v>0</v>
      </c>
      <c r="U157" s="20">
        <v>0</v>
      </c>
      <c r="V157" s="21">
        <v>0</v>
      </c>
      <c r="W157" s="20">
        <v>1578</v>
      </c>
      <c r="X157" s="21">
        <v>0.76825705939629996</v>
      </c>
      <c r="Y157" s="20">
        <v>906</v>
      </c>
      <c r="Z157" s="23">
        <v>0.44109055501460559</v>
      </c>
      <c r="AA157" s="20">
        <v>18</v>
      </c>
      <c r="AB157" s="21">
        <v>8.7633885102239538E-3</v>
      </c>
      <c r="AC157" s="20">
        <v>210</v>
      </c>
      <c r="AD157" s="21">
        <v>0.1022395326192795</v>
      </c>
      <c r="AE157" s="20">
        <v>26</v>
      </c>
      <c r="AF157" s="21">
        <v>0.1238095238095238</v>
      </c>
      <c r="AG157" s="20">
        <v>184</v>
      </c>
      <c r="AH157" s="21">
        <v>0.87619047619047619</v>
      </c>
      <c r="AI157" s="24">
        <v>201</v>
      </c>
      <c r="AJ157" s="21">
        <v>9.7857838364167476E-2</v>
      </c>
      <c r="AK157" s="24">
        <v>1</v>
      </c>
      <c r="AL157" s="21">
        <v>0.82587064676616917</v>
      </c>
      <c r="AM157" s="24">
        <v>201</v>
      </c>
      <c r="AN157" s="24">
        <v>166</v>
      </c>
      <c r="AO157" s="21">
        <v>8.0817916260954234E-2</v>
      </c>
      <c r="AP157" s="21">
        <v>0.79047619047619044</v>
      </c>
      <c r="AQ157" s="22">
        <v>0.99082568807339455</v>
      </c>
      <c r="AR157" s="24">
        <v>0</v>
      </c>
      <c r="AS157" s="24">
        <v>0</v>
      </c>
      <c r="AT157" s="24">
        <v>43</v>
      </c>
      <c r="AU157" s="24">
        <v>36</v>
      </c>
      <c r="AV157" s="24">
        <v>39</v>
      </c>
      <c r="AW157" s="24">
        <v>40</v>
      </c>
      <c r="AX157" s="21">
        <v>1.7526777020447911E-2</v>
      </c>
      <c r="AY157" s="21">
        <v>1.8987341772151899E-2</v>
      </c>
      <c r="AZ157" s="21">
        <v>1.9474196689386561E-2</v>
      </c>
      <c r="BA157" s="21">
        <v>0.23493975903614461</v>
      </c>
      <c r="BB157" s="24">
        <v>0</v>
      </c>
      <c r="BC157" s="24">
        <v>0</v>
      </c>
      <c r="BD157" s="22">
        <v>0.95238095238095233</v>
      </c>
      <c r="BE157" s="22">
        <v>0.9</v>
      </c>
      <c r="BF157" s="22" t="s">
        <v>89</v>
      </c>
    </row>
    <row r="158" spans="1:58" ht="19.5" customHeight="1">
      <c r="A158" s="25">
        <v>155</v>
      </c>
      <c r="B158" s="20" t="s">
        <v>88</v>
      </c>
      <c r="C158" s="26">
        <v>46120</v>
      </c>
      <c r="D158" s="20" t="s">
        <v>14</v>
      </c>
      <c r="E158" s="20">
        <v>9856</v>
      </c>
      <c r="F158" s="20">
        <v>8790</v>
      </c>
      <c r="G158" s="21">
        <v>0.89184253246753242</v>
      </c>
      <c r="H158" s="20">
        <v>3167</v>
      </c>
      <c r="I158" s="22">
        <v>0.32132711038961043</v>
      </c>
      <c r="J158" s="20">
        <v>3081</v>
      </c>
      <c r="K158" s="20">
        <v>2982</v>
      </c>
      <c r="L158" s="21">
        <v>0.96799999999999997</v>
      </c>
      <c r="M158" s="20">
        <v>12289</v>
      </c>
      <c r="N158" s="20">
        <v>15053</v>
      </c>
      <c r="O158" s="20">
        <v>11881</v>
      </c>
      <c r="P158" s="21">
        <v>0.96679957685735207</v>
      </c>
      <c r="Q158" s="20">
        <v>59</v>
      </c>
      <c r="R158" s="20">
        <v>0</v>
      </c>
      <c r="S158" s="20">
        <v>0</v>
      </c>
      <c r="T158" s="21">
        <v>0</v>
      </c>
      <c r="U158" s="20">
        <v>0</v>
      </c>
      <c r="V158" s="21">
        <v>0</v>
      </c>
      <c r="W158" s="20">
        <v>275</v>
      </c>
      <c r="X158" s="21">
        <v>2.7901785714285719E-2</v>
      </c>
      <c r="Y158" s="20">
        <v>499</v>
      </c>
      <c r="Z158" s="23">
        <v>5.062905844155844E-2</v>
      </c>
      <c r="AA158" s="20">
        <v>0</v>
      </c>
      <c r="AB158" s="21">
        <v>0</v>
      </c>
      <c r="AC158" s="20">
        <v>1033</v>
      </c>
      <c r="AD158" s="21">
        <v>0.10480925324675321</v>
      </c>
      <c r="AE158" s="20">
        <v>369</v>
      </c>
      <c r="AF158" s="21">
        <v>0.35721200387221691</v>
      </c>
      <c r="AG158" s="20">
        <v>926</v>
      </c>
      <c r="AH158" s="21">
        <v>0.89641819941916745</v>
      </c>
      <c r="AI158" s="24">
        <v>1134</v>
      </c>
      <c r="AJ158" s="21">
        <v>0.1150568181818182</v>
      </c>
      <c r="AK158" s="24">
        <v>5</v>
      </c>
      <c r="AL158" s="21">
        <v>0.86419753086419748</v>
      </c>
      <c r="AM158" s="24">
        <v>1132</v>
      </c>
      <c r="AN158" s="24">
        <v>980</v>
      </c>
      <c r="AO158" s="21">
        <v>9.9431818181818177E-2</v>
      </c>
      <c r="AP158" s="21">
        <v>0.94869312681510165</v>
      </c>
      <c r="AQ158" s="22">
        <v>0.9580152671755725</v>
      </c>
      <c r="AR158" s="24">
        <v>1513</v>
      </c>
      <c r="AS158" s="24">
        <v>220</v>
      </c>
      <c r="AT158" s="24">
        <v>409</v>
      </c>
      <c r="AU158" s="24">
        <v>394</v>
      </c>
      <c r="AV158" s="24">
        <v>218</v>
      </c>
      <c r="AW158" s="24">
        <v>0</v>
      </c>
      <c r="AX158" s="21">
        <v>3.9975649350649352E-2</v>
      </c>
      <c r="AY158" s="21">
        <v>2.2118506493506489E-2</v>
      </c>
      <c r="AZ158" s="21">
        <v>0</v>
      </c>
      <c r="BA158" s="21">
        <v>0.22244897959183671</v>
      </c>
      <c r="BB158" s="24">
        <v>0</v>
      </c>
      <c r="BC158" s="24">
        <v>1</v>
      </c>
      <c r="BD158" s="22">
        <v>0.98514851485148514</v>
      </c>
      <c r="BE158" s="22">
        <v>0.92307692307692313</v>
      </c>
      <c r="BF158" s="22" t="s">
        <v>89</v>
      </c>
    </row>
    <row r="159" spans="1:58" ht="19.5" customHeight="1">
      <c r="A159" s="25">
        <v>156</v>
      </c>
      <c r="B159" s="20" t="s">
        <v>88</v>
      </c>
      <c r="C159" s="26">
        <v>46120</v>
      </c>
      <c r="D159" s="20" t="s">
        <v>13</v>
      </c>
      <c r="E159" s="20">
        <v>2911</v>
      </c>
      <c r="F159" s="20">
        <v>2581</v>
      </c>
      <c r="G159" s="21">
        <v>0.88663689453795946</v>
      </c>
      <c r="H159" s="20">
        <v>1829</v>
      </c>
      <c r="I159" s="22">
        <v>0.62830642390930946</v>
      </c>
      <c r="J159" s="20">
        <v>3814</v>
      </c>
      <c r="K159" s="20">
        <v>3734</v>
      </c>
      <c r="L159" s="21">
        <v>0.97899999999999998</v>
      </c>
      <c r="M159" s="20">
        <v>17597</v>
      </c>
      <c r="N159" s="20">
        <v>17671</v>
      </c>
      <c r="O159" s="20">
        <v>17332</v>
      </c>
      <c r="P159" s="21">
        <v>0.98494061487753592</v>
      </c>
      <c r="Q159" s="20">
        <v>26</v>
      </c>
      <c r="R159" s="20">
        <v>0</v>
      </c>
      <c r="S159" s="20">
        <v>0</v>
      </c>
      <c r="T159" s="21">
        <v>0</v>
      </c>
      <c r="U159" s="20">
        <v>0</v>
      </c>
      <c r="V159" s="21">
        <v>0</v>
      </c>
      <c r="W159" s="20">
        <v>2420</v>
      </c>
      <c r="X159" s="21">
        <v>0.8313294400549639</v>
      </c>
      <c r="Y159" s="20">
        <v>730</v>
      </c>
      <c r="Z159" s="23">
        <v>0.25077293026451392</v>
      </c>
      <c r="AA159" s="20">
        <v>102</v>
      </c>
      <c r="AB159" s="21">
        <v>3.503950532463071E-2</v>
      </c>
      <c r="AC159" s="20">
        <v>403</v>
      </c>
      <c r="AD159" s="21">
        <v>0.13844039848849191</v>
      </c>
      <c r="AE159" s="20">
        <v>56</v>
      </c>
      <c r="AF159" s="21">
        <v>0.13895781637717119</v>
      </c>
      <c r="AG159" s="20">
        <v>377</v>
      </c>
      <c r="AH159" s="21">
        <v>0.93548387096774188</v>
      </c>
      <c r="AI159" s="24">
        <v>405</v>
      </c>
      <c r="AJ159" s="21">
        <v>0.13912744761250431</v>
      </c>
      <c r="AK159" s="24">
        <v>0</v>
      </c>
      <c r="AL159" s="21">
        <v>0.9555555555555556</v>
      </c>
      <c r="AM159" s="24">
        <v>403</v>
      </c>
      <c r="AN159" s="24">
        <v>387</v>
      </c>
      <c r="AO159" s="21">
        <v>0.13294400549639299</v>
      </c>
      <c r="AP159" s="21">
        <v>0.96029776674937961</v>
      </c>
      <c r="AQ159" s="22">
        <v>0.97349397590361442</v>
      </c>
      <c r="AR159" s="24">
        <v>0</v>
      </c>
      <c r="AS159" s="24">
        <v>0</v>
      </c>
      <c r="AT159" s="24">
        <v>64</v>
      </c>
      <c r="AU159" s="24">
        <v>56</v>
      </c>
      <c r="AV159" s="24">
        <v>58</v>
      </c>
      <c r="AW159" s="24">
        <v>72</v>
      </c>
      <c r="AX159" s="21">
        <v>1.9237375472346271E-2</v>
      </c>
      <c r="AY159" s="21">
        <v>1.9924424596358639E-2</v>
      </c>
      <c r="AZ159" s="21">
        <v>2.4733768464445211E-2</v>
      </c>
      <c r="BA159" s="21">
        <v>0.14987080103359171</v>
      </c>
      <c r="BB159" s="24">
        <v>0</v>
      </c>
      <c r="BC159" s="24">
        <v>0</v>
      </c>
      <c r="BD159" s="22">
        <v>0.9850746268656716</v>
      </c>
      <c r="BE159" s="22">
        <v>1</v>
      </c>
      <c r="BF159" s="22" t="s">
        <v>89</v>
      </c>
    </row>
    <row r="160" spans="1:58" ht="19.5" customHeight="1">
      <c r="A160" s="25">
        <v>157</v>
      </c>
      <c r="B160" s="20" t="s">
        <v>88</v>
      </c>
      <c r="C160" s="26">
        <v>46121</v>
      </c>
      <c r="D160" s="20" t="s">
        <v>12</v>
      </c>
      <c r="E160" s="20">
        <v>1836</v>
      </c>
      <c r="F160" s="20">
        <v>1617</v>
      </c>
      <c r="G160" s="21">
        <v>0.88071895424836599</v>
      </c>
      <c r="H160" s="20">
        <v>697</v>
      </c>
      <c r="I160" s="22">
        <v>0.37962962962962971</v>
      </c>
      <c r="J160" s="20">
        <v>2204</v>
      </c>
      <c r="K160" s="20">
        <v>2154</v>
      </c>
      <c r="L160" s="21">
        <v>0.97699999999999998</v>
      </c>
      <c r="M160" s="20">
        <v>10556</v>
      </c>
      <c r="N160" s="20">
        <v>10333</v>
      </c>
      <c r="O160" s="20">
        <v>10433</v>
      </c>
      <c r="P160" s="21">
        <v>0.98834785903751421</v>
      </c>
      <c r="Q160" s="20">
        <v>16</v>
      </c>
      <c r="R160" s="20">
        <v>0</v>
      </c>
      <c r="S160" s="20">
        <v>0</v>
      </c>
      <c r="T160" s="21">
        <v>0</v>
      </c>
      <c r="U160" s="20">
        <v>0</v>
      </c>
      <c r="V160" s="21">
        <v>0</v>
      </c>
      <c r="W160" s="20">
        <v>1045</v>
      </c>
      <c r="X160" s="21">
        <v>0.56917211328976036</v>
      </c>
      <c r="Y160" s="20">
        <v>396</v>
      </c>
      <c r="Z160" s="23">
        <v>0.2156862745098039</v>
      </c>
      <c r="AA160" s="20">
        <v>41</v>
      </c>
      <c r="AB160" s="21">
        <v>2.2331154684095859E-2</v>
      </c>
      <c r="AC160" s="20">
        <v>171</v>
      </c>
      <c r="AD160" s="21">
        <v>9.3137254901960786E-2</v>
      </c>
      <c r="AE160" s="20">
        <v>37</v>
      </c>
      <c r="AF160" s="21">
        <v>0.21637426900584791</v>
      </c>
      <c r="AG160" s="20">
        <v>161</v>
      </c>
      <c r="AH160" s="21">
        <v>0.94152046783625731</v>
      </c>
      <c r="AI160" s="24">
        <v>158</v>
      </c>
      <c r="AJ160" s="21">
        <v>8.6056644880174296E-2</v>
      </c>
      <c r="AK160" s="24">
        <v>0</v>
      </c>
      <c r="AL160" s="21">
        <v>0.88607594936708856</v>
      </c>
      <c r="AM160" s="24">
        <v>159</v>
      </c>
      <c r="AN160" s="24">
        <v>140</v>
      </c>
      <c r="AO160" s="21">
        <v>7.6252723311546838E-2</v>
      </c>
      <c r="AP160" s="21">
        <v>0.81871345029239762</v>
      </c>
      <c r="AQ160" s="22">
        <v>0.96703296703296704</v>
      </c>
      <c r="AR160" s="24">
        <v>0</v>
      </c>
      <c r="AS160" s="24">
        <v>0</v>
      </c>
      <c r="AT160" s="24">
        <v>39</v>
      </c>
      <c r="AU160" s="24">
        <v>34</v>
      </c>
      <c r="AV160" s="24">
        <v>30</v>
      </c>
      <c r="AW160" s="24">
        <v>70</v>
      </c>
      <c r="AX160" s="21">
        <v>1.8518518518518521E-2</v>
      </c>
      <c r="AY160" s="21">
        <v>1.6339869281045749E-2</v>
      </c>
      <c r="AZ160" s="21">
        <v>3.8126361655773419E-2</v>
      </c>
      <c r="BA160" s="21">
        <v>0.2142857142857143</v>
      </c>
      <c r="BB160" s="24">
        <v>0</v>
      </c>
      <c r="BC160" s="24">
        <v>0</v>
      </c>
      <c r="BD160" s="22">
        <v>1</v>
      </c>
      <c r="BE160" s="22">
        <v>1</v>
      </c>
      <c r="BF160" s="22" t="s">
        <v>89</v>
      </c>
    </row>
    <row r="161" spans="1:58" ht="19.5" customHeight="1">
      <c r="A161" s="25">
        <v>158</v>
      </c>
      <c r="B161" s="20" t="s">
        <v>88</v>
      </c>
      <c r="C161" s="26">
        <v>46121</v>
      </c>
      <c r="D161" s="20" t="s">
        <v>11</v>
      </c>
      <c r="E161" s="20">
        <v>1927</v>
      </c>
      <c r="F161" s="20">
        <v>1753</v>
      </c>
      <c r="G161" s="21">
        <v>0.90970420342501301</v>
      </c>
      <c r="H161" s="20">
        <v>891</v>
      </c>
      <c r="I161" s="22">
        <v>0.46237675142708867</v>
      </c>
      <c r="J161" s="20">
        <v>1905</v>
      </c>
      <c r="K161" s="20">
        <v>1846</v>
      </c>
      <c r="L161" s="21">
        <v>0.96899999999999997</v>
      </c>
      <c r="M161" s="20">
        <v>9698</v>
      </c>
      <c r="N161" s="20">
        <v>9501</v>
      </c>
      <c r="O161" s="20">
        <v>9548</v>
      </c>
      <c r="P161" s="21">
        <v>0.98453289338007832</v>
      </c>
      <c r="Q161" s="20">
        <v>20</v>
      </c>
      <c r="R161" s="20">
        <v>0</v>
      </c>
      <c r="S161" s="20">
        <v>0</v>
      </c>
      <c r="T161" s="21">
        <v>0</v>
      </c>
      <c r="U161" s="20">
        <v>0</v>
      </c>
      <c r="V161" s="21">
        <v>0</v>
      </c>
      <c r="W161" s="20">
        <v>1512</v>
      </c>
      <c r="X161" s="21">
        <v>0.78463933575505973</v>
      </c>
      <c r="Y161" s="20">
        <v>495</v>
      </c>
      <c r="Z161" s="23">
        <v>0.25687597301504927</v>
      </c>
      <c r="AA161" s="20">
        <v>22</v>
      </c>
      <c r="AB161" s="21">
        <v>1.141670991177997E-2</v>
      </c>
      <c r="AC161" s="20">
        <v>237</v>
      </c>
      <c r="AD161" s="21">
        <v>0.12298910223144779</v>
      </c>
      <c r="AE161" s="20">
        <v>32</v>
      </c>
      <c r="AF161" s="21">
        <v>0.13502109704641349</v>
      </c>
      <c r="AG161" s="20">
        <v>215</v>
      </c>
      <c r="AH161" s="21">
        <v>0.90717299578059074</v>
      </c>
      <c r="AI161" s="24">
        <v>211</v>
      </c>
      <c r="AJ161" s="21">
        <v>0.10949662688116241</v>
      </c>
      <c r="AK161" s="24">
        <v>0</v>
      </c>
      <c r="AL161" s="21">
        <v>0.84360189573459721</v>
      </c>
      <c r="AM161" s="24">
        <v>210</v>
      </c>
      <c r="AN161" s="24">
        <v>178</v>
      </c>
      <c r="AO161" s="21">
        <v>9.2371562013492475E-2</v>
      </c>
      <c r="AP161" s="21">
        <v>0.75105485232067515</v>
      </c>
      <c r="AQ161" s="22">
        <v>0.984375</v>
      </c>
      <c r="AR161" s="24">
        <v>0</v>
      </c>
      <c r="AS161" s="24">
        <v>0</v>
      </c>
      <c r="AT161" s="24">
        <v>61</v>
      </c>
      <c r="AU161" s="24">
        <v>50</v>
      </c>
      <c r="AV161" s="24">
        <v>46</v>
      </c>
      <c r="AW161" s="24">
        <v>37</v>
      </c>
      <c r="AX161" s="21">
        <v>2.5947067981318111E-2</v>
      </c>
      <c r="AY161" s="21">
        <v>2.387130254281266E-2</v>
      </c>
      <c r="AZ161" s="21">
        <v>1.92008303061754E-2</v>
      </c>
      <c r="BA161" s="21">
        <v>0.25842696629213491</v>
      </c>
      <c r="BB161" s="24">
        <v>0</v>
      </c>
      <c r="BC161" s="24">
        <v>0</v>
      </c>
      <c r="BD161" s="22">
        <v>1</v>
      </c>
      <c r="BE161" s="22">
        <v>1</v>
      </c>
      <c r="BF161" s="22" t="s">
        <v>89</v>
      </c>
    </row>
    <row r="162" spans="1:58" ht="19.5" customHeight="1">
      <c r="A162" s="25">
        <v>159</v>
      </c>
      <c r="B162" s="20" t="s">
        <v>88</v>
      </c>
      <c r="C162" s="26">
        <v>46121</v>
      </c>
      <c r="D162" s="20" t="s">
        <v>14</v>
      </c>
      <c r="E162" s="20">
        <v>7828</v>
      </c>
      <c r="F162" s="20">
        <v>7077</v>
      </c>
      <c r="G162" s="21">
        <v>0.90406234031681143</v>
      </c>
      <c r="H162" s="20">
        <v>3592</v>
      </c>
      <c r="I162" s="22">
        <v>0.45886561062851311</v>
      </c>
      <c r="J162" s="20">
        <v>10669</v>
      </c>
      <c r="K162" s="20">
        <v>10494</v>
      </c>
      <c r="L162" s="21">
        <v>0.98399999999999999</v>
      </c>
      <c r="M162" s="20">
        <v>21520</v>
      </c>
      <c r="N162" s="20">
        <v>22442</v>
      </c>
      <c r="O162" s="20">
        <v>21132</v>
      </c>
      <c r="P162" s="21">
        <v>0.98197026022304834</v>
      </c>
      <c r="Q162" s="20">
        <v>40</v>
      </c>
      <c r="R162" s="20">
        <v>0</v>
      </c>
      <c r="S162" s="20">
        <v>0</v>
      </c>
      <c r="T162" s="21">
        <v>0</v>
      </c>
      <c r="U162" s="20">
        <v>0</v>
      </c>
      <c r="V162" s="21">
        <v>0</v>
      </c>
      <c r="W162" s="20">
        <v>205</v>
      </c>
      <c r="X162" s="21">
        <v>2.618804292284108E-2</v>
      </c>
      <c r="Y162" s="20">
        <v>724</v>
      </c>
      <c r="Z162" s="23">
        <v>9.2488502810424117E-2</v>
      </c>
      <c r="AA162" s="20">
        <v>1</v>
      </c>
      <c r="AB162" s="21">
        <v>1.2774655084312719E-4</v>
      </c>
      <c r="AC162" s="20">
        <v>1611</v>
      </c>
      <c r="AD162" s="21">
        <v>0.205799693408278</v>
      </c>
      <c r="AE162" s="20">
        <v>347</v>
      </c>
      <c r="AF162" s="21">
        <v>0.2153941651148355</v>
      </c>
      <c r="AG162" s="20">
        <v>1474</v>
      </c>
      <c r="AH162" s="21">
        <v>0.91495965238982002</v>
      </c>
      <c r="AI162" s="24">
        <v>1669</v>
      </c>
      <c r="AJ162" s="21">
        <v>0.21320899335717941</v>
      </c>
      <c r="AK162" s="24">
        <v>11</v>
      </c>
      <c r="AL162" s="21">
        <v>0.82204913121629719</v>
      </c>
      <c r="AM162" s="24">
        <v>1665</v>
      </c>
      <c r="AN162" s="24">
        <v>1372</v>
      </c>
      <c r="AO162" s="21">
        <v>0.1752682677567706</v>
      </c>
      <c r="AP162" s="21">
        <v>0.85164494103041588</v>
      </c>
      <c r="AQ162" s="22">
        <v>0.95302013422818788</v>
      </c>
      <c r="AR162" s="24">
        <v>0</v>
      </c>
      <c r="AS162" s="24">
        <v>0</v>
      </c>
      <c r="AT162" s="24">
        <v>369</v>
      </c>
      <c r="AU162" s="24">
        <v>327</v>
      </c>
      <c r="AV162" s="24">
        <v>327</v>
      </c>
      <c r="AW162" s="24">
        <v>0</v>
      </c>
      <c r="AX162" s="21">
        <v>4.1773122125702597E-2</v>
      </c>
      <c r="AY162" s="21">
        <v>4.1773122125702597E-2</v>
      </c>
      <c r="AZ162" s="21">
        <v>0</v>
      </c>
      <c r="BA162" s="21">
        <v>0.2383381924198251</v>
      </c>
      <c r="BB162" s="24">
        <v>0</v>
      </c>
      <c r="BC162" s="24">
        <v>0</v>
      </c>
      <c r="BD162" s="22">
        <v>0.98058252427184467</v>
      </c>
      <c r="BE162" s="22">
        <v>1</v>
      </c>
      <c r="BF162" s="22" t="s">
        <v>89</v>
      </c>
    </row>
    <row r="163" spans="1:58" ht="19.5" customHeight="1">
      <c r="A163" s="25">
        <v>160</v>
      </c>
      <c r="B163" s="20" t="s">
        <v>88</v>
      </c>
      <c r="C163" s="26">
        <v>46121</v>
      </c>
      <c r="D163" s="20" t="s">
        <v>13</v>
      </c>
      <c r="E163" s="20">
        <v>2803</v>
      </c>
      <c r="F163" s="20">
        <v>2521</v>
      </c>
      <c r="G163" s="21">
        <v>0.89939350695683196</v>
      </c>
      <c r="H163" s="20">
        <v>1684</v>
      </c>
      <c r="I163" s="22">
        <v>0.60078487334998221</v>
      </c>
      <c r="J163" s="20">
        <v>3458</v>
      </c>
      <c r="K163" s="20">
        <v>3377</v>
      </c>
      <c r="L163" s="21">
        <v>0.97699999999999998</v>
      </c>
      <c r="M163" s="20">
        <v>17243</v>
      </c>
      <c r="N163" s="20">
        <v>16699</v>
      </c>
      <c r="O163" s="20">
        <v>17014</v>
      </c>
      <c r="P163" s="21">
        <v>0.98671924839065128</v>
      </c>
      <c r="Q163" s="20">
        <v>35</v>
      </c>
      <c r="R163" s="20">
        <v>0</v>
      </c>
      <c r="S163" s="20">
        <v>0</v>
      </c>
      <c r="T163" s="21">
        <v>0</v>
      </c>
      <c r="U163" s="20">
        <v>0</v>
      </c>
      <c r="V163" s="21">
        <v>0</v>
      </c>
      <c r="W163" s="20">
        <v>1711</v>
      </c>
      <c r="X163" s="21">
        <v>0.61041740991794502</v>
      </c>
      <c r="Y163" s="20">
        <v>552</v>
      </c>
      <c r="Z163" s="23">
        <v>0.196931858722797</v>
      </c>
      <c r="AA163" s="20">
        <v>84</v>
      </c>
      <c r="AB163" s="21">
        <v>2.9967891544773459E-2</v>
      </c>
      <c r="AC163" s="20">
        <v>354</v>
      </c>
      <c r="AD163" s="21">
        <v>0.12629325722440241</v>
      </c>
      <c r="AE163" s="20">
        <v>43</v>
      </c>
      <c r="AF163" s="21">
        <v>0.12146892655367229</v>
      </c>
      <c r="AG163" s="20">
        <v>314</v>
      </c>
      <c r="AH163" s="21">
        <v>0.88700564971751417</v>
      </c>
      <c r="AI163" s="24">
        <v>330</v>
      </c>
      <c r="AJ163" s="21">
        <v>0.11773100249732429</v>
      </c>
      <c r="AK163" s="24">
        <v>1</v>
      </c>
      <c r="AL163" s="21">
        <v>0.95454545454545459</v>
      </c>
      <c r="AM163" s="24">
        <v>330</v>
      </c>
      <c r="AN163" s="24">
        <v>315</v>
      </c>
      <c r="AO163" s="21">
        <v>0.1123795932929005</v>
      </c>
      <c r="AP163" s="21">
        <v>0.88983050847457623</v>
      </c>
      <c r="AQ163" s="22">
        <v>0.93654822335025378</v>
      </c>
      <c r="AR163" s="24">
        <v>0</v>
      </c>
      <c r="AS163" s="24">
        <v>0</v>
      </c>
      <c r="AT163" s="24">
        <v>60</v>
      </c>
      <c r="AU163" s="24">
        <v>54</v>
      </c>
      <c r="AV163" s="24">
        <v>53</v>
      </c>
      <c r="AW163" s="24">
        <v>64</v>
      </c>
      <c r="AX163" s="21">
        <v>1.9265073135925789E-2</v>
      </c>
      <c r="AY163" s="21">
        <v>1.8908312522297539E-2</v>
      </c>
      <c r="AZ163" s="21">
        <v>2.2832679272208351E-2</v>
      </c>
      <c r="BA163" s="21">
        <v>0.16825396825396829</v>
      </c>
      <c r="BB163" s="24">
        <v>0</v>
      </c>
      <c r="BC163" s="24">
        <v>1</v>
      </c>
      <c r="BD163" s="22">
        <v>0.96</v>
      </c>
      <c r="BE163" s="22">
        <v>1</v>
      </c>
      <c r="BF163" s="22" t="s">
        <v>89</v>
      </c>
    </row>
    <row r="164" spans="1:58" ht="19.5" customHeight="1">
      <c r="A164" s="25">
        <v>161</v>
      </c>
      <c r="B164" s="20" t="s">
        <v>88</v>
      </c>
      <c r="C164" s="26">
        <v>46122</v>
      </c>
      <c r="D164" s="20" t="s">
        <v>12</v>
      </c>
      <c r="E164" s="20">
        <v>2010</v>
      </c>
      <c r="F164" s="20">
        <v>1754</v>
      </c>
      <c r="G164" s="21">
        <v>0.87263681592039799</v>
      </c>
      <c r="H164" s="20">
        <v>1156</v>
      </c>
      <c r="I164" s="22">
        <v>0.57512437810945272</v>
      </c>
      <c r="J164" s="20">
        <v>2614</v>
      </c>
      <c r="K164" s="20">
        <v>2530</v>
      </c>
      <c r="L164" s="21">
        <v>0.96799999999999997</v>
      </c>
      <c r="M164" s="20">
        <v>10971</v>
      </c>
      <c r="N164" s="20">
        <v>11173</v>
      </c>
      <c r="O164" s="20">
        <v>10786</v>
      </c>
      <c r="P164" s="21">
        <v>0.98313736213654179</v>
      </c>
      <c r="Q164" s="20">
        <v>36</v>
      </c>
      <c r="R164" s="20">
        <v>0</v>
      </c>
      <c r="S164" s="20">
        <v>0</v>
      </c>
      <c r="T164" s="21">
        <v>0</v>
      </c>
      <c r="U164" s="20">
        <v>0</v>
      </c>
      <c r="V164" s="21">
        <v>0</v>
      </c>
      <c r="W164" s="20">
        <v>1643</v>
      </c>
      <c r="X164" s="21">
        <v>0.81741293532338311</v>
      </c>
      <c r="Y164" s="20">
        <v>462</v>
      </c>
      <c r="Z164" s="23">
        <v>0.2298507462686567</v>
      </c>
      <c r="AA164" s="20">
        <v>33</v>
      </c>
      <c r="AB164" s="21">
        <v>1.641791044776119E-2</v>
      </c>
      <c r="AC164" s="20">
        <v>184</v>
      </c>
      <c r="AD164" s="21">
        <v>9.1542288557213927E-2</v>
      </c>
      <c r="AE164" s="20">
        <v>37</v>
      </c>
      <c r="AF164" s="21">
        <v>0.20108695652173911</v>
      </c>
      <c r="AG164" s="20">
        <v>169</v>
      </c>
      <c r="AH164" s="21">
        <v>0.91847826086956519</v>
      </c>
      <c r="AI164" s="24">
        <v>189</v>
      </c>
      <c r="AJ164" s="21">
        <v>9.4029850746268656E-2</v>
      </c>
      <c r="AK164" s="24">
        <v>0</v>
      </c>
      <c r="AL164" s="21">
        <v>0.83597883597883593</v>
      </c>
      <c r="AM164" s="24">
        <v>187</v>
      </c>
      <c r="AN164" s="24">
        <v>158</v>
      </c>
      <c r="AO164" s="21">
        <v>7.8606965174129351E-2</v>
      </c>
      <c r="AP164" s="21">
        <v>0.85869565217391308</v>
      </c>
      <c r="AQ164" s="22">
        <v>0.94339622641509435</v>
      </c>
      <c r="AR164" s="24">
        <v>0</v>
      </c>
      <c r="AS164" s="24">
        <v>0</v>
      </c>
      <c r="AT164" s="24">
        <v>50</v>
      </c>
      <c r="AU164" s="24">
        <v>48</v>
      </c>
      <c r="AV164" s="24">
        <v>49</v>
      </c>
      <c r="AW164" s="24">
        <v>79</v>
      </c>
      <c r="AX164" s="21">
        <v>2.388059701492537E-2</v>
      </c>
      <c r="AY164" s="21">
        <v>2.4378109452736319E-2</v>
      </c>
      <c r="AZ164" s="21">
        <v>3.9303482587064682E-2</v>
      </c>
      <c r="BA164" s="21">
        <v>0.310126582278481</v>
      </c>
      <c r="BB164" s="24">
        <v>0</v>
      </c>
      <c r="BC164" s="24">
        <v>0</v>
      </c>
      <c r="BD164" s="22">
        <v>1</v>
      </c>
      <c r="BE164" s="22">
        <v>1</v>
      </c>
      <c r="BF164" s="22" t="s">
        <v>89</v>
      </c>
    </row>
    <row r="165" spans="1:58" ht="19.5" customHeight="1">
      <c r="A165" s="25">
        <v>162</v>
      </c>
      <c r="B165" s="20" t="s">
        <v>88</v>
      </c>
      <c r="C165" s="26">
        <v>46122</v>
      </c>
      <c r="D165" s="20" t="s">
        <v>11</v>
      </c>
      <c r="E165" s="20">
        <v>2065</v>
      </c>
      <c r="F165" s="20">
        <v>1790</v>
      </c>
      <c r="G165" s="21">
        <v>0.86682808716707027</v>
      </c>
      <c r="H165" s="20">
        <v>1429</v>
      </c>
      <c r="I165" s="22">
        <v>0.69200968523002426</v>
      </c>
      <c r="J165" s="20">
        <v>2961</v>
      </c>
      <c r="K165" s="20">
        <v>2876</v>
      </c>
      <c r="L165" s="21">
        <v>0.97099999999999997</v>
      </c>
      <c r="M165" s="20">
        <v>10957</v>
      </c>
      <c r="N165" s="20">
        <v>11055</v>
      </c>
      <c r="O165" s="20">
        <v>10757</v>
      </c>
      <c r="P165" s="21">
        <v>0.9817468285114539</v>
      </c>
      <c r="Q165" s="20">
        <v>34</v>
      </c>
      <c r="R165" s="20">
        <v>0</v>
      </c>
      <c r="S165" s="20">
        <v>0</v>
      </c>
      <c r="T165" s="21">
        <v>0</v>
      </c>
      <c r="U165" s="20">
        <v>0</v>
      </c>
      <c r="V165" s="21">
        <v>0</v>
      </c>
      <c r="W165" s="20">
        <v>1480</v>
      </c>
      <c r="X165" s="21">
        <v>0.7167070217917676</v>
      </c>
      <c r="Y165" s="20">
        <v>522</v>
      </c>
      <c r="Z165" s="23">
        <v>0.25278450363196131</v>
      </c>
      <c r="AA165" s="20">
        <v>18</v>
      </c>
      <c r="AB165" s="21">
        <v>8.7167070217917669E-3</v>
      </c>
      <c r="AC165" s="20">
        <v>206</v>
      </c>
      <c r="AD165" s="21">
        <v>9.9757869249394671E-2</v>
      </c>
      <c r="AE165" s="20">
        <v>34</v>
      </c>
      <c r="AF165" s="21">
        <v>0.1650485436893204</v>
      </c>
      <c r="AG165" s="20">
        <v>186</v>
      </c>
      <c r="AH165" s="21">
        <v>0.90291262135922334</v>
      </c>
      <c r="AI165" s="24">
        <v>184</v>
      </c>
      <c r="AJ165" s="21">
        <v>8.9104116222760293E-2</v>
      </c>
      <c r="AK165" s="24">
        <v>2</v>
      </c>
      <c r="AL165" s="21">
        <v>0.88043478260869568</v>
      </c>
      <c r="AM165" s="24">
        <v>184</v>
      </c>
      <c r="AN165" s="24">
        <v>162</v>
      </c>
      <c r="AO165" s="21">
        <v>7.8450363196125902E-2</v>
      </c>
      <c r="AP165" s="21">
        <v>0.78640776699029125</v>
      </c>
      <c r="AQ165" s="22">
        <v>0.93103448275862066</v>
      </c>
      <c r="AR165" s="24">
        <v>0</v>
      </c>
      <c r="AS165" s="24">
        <v>0</v>
      </c>
      <c r="AT165" s="24">
        <v>48</v>
      </c>
      <c r="AU165" s="24">
        <v>46</v>
      </c>
      <c r="AV165" s="24">
        <v>50</v>
      </c>
      <c r="AW165" s="24">
        <v>42</v>
      </c>
      <c r="AX165" s="21">
        <v>2.227602905569007E-2</v>
      </c>
      <c r="AY165" s="21">
        <v>2.4213075060532691E-2</v>
      </c>
      <c r="AZ165" s="21">
        <v>2.033898305084746E-2</v>
      </c>
      <c r="BA165" s="21">
        <v>0.30864197530864201</v>
      </c>
      <c r="BB165" s="24">
        <v>0</v>
      </c>
      <c r="BC165" s="24">
        <v>0</v>
      </c>
      <c r="BD165" s="22">
        <v>0.96551724137931039</v>
      </c>
      <c r="BE165" s="22">
        <v>1</v>
      </c>
      <c r="BF165" s="22" t="s">
        <v>89</v>
      </c>
    </row>
    <row r="166" spans="1:58" ht="19.5" customHeight="1">
      <c r="A166" s="25">
        <v>163</v>
      </c>
      <c r="B166" s="20" t="s">
        <v>88</v>
      </c>
      <c r="C166" s="26">
        <v>46122</v>
      </c>
      <c r="D166" s="20" t="s">
        <v>14</v>
      </c>
      <c r="E166" s="20">
        <v>6715</v>
      </c>
      <c r="F166" s="20">
        <v>6039</v>
      </c>
      <c r="G166" s="21">
        <v>0.89932985852568881</v>
      </c>
      <c r="H166" s="20">
        <v>2889</v>
      </c>
      <c r="I166" s="22">
        <v>0.4302308265078183</v>
      </c>
      <c r="J166" s="20">
        <v>9421</v>
      </c>
      <c r="K166" s="20">
        <v>9281</v>
      </c>
      <c r="L166" s="21">
        <v>0.98499999999999999</v>
      </c>
      <c r="M166" s="20">
        <v>21280</v>
      </c>
      <c r="N166" s="20">
        <v>22468</v>
      </c>
      <c r="O166" s="20">
        <v>20902</v>
      </c>
      <c r="P166" s="21">
        <v>0.98223684210526319</v>
      </c>
      <c r="Q166" s="20">
        <v>34</v>
      </c>
      <c r="R166" s="20">
        <v>0</v>
      </c>
      <c r="S166" s="20">
        <v>0</v>
      </c>
      <c r="T166" s="21">
        <v>0</v>
      </c>
      <c r="U166" s="20">
        <v>0</v>
      </c>
      <c r="V166" s="21">
        <v>0</v>
      </c>
      <c r="W166" s="20">
        <v>574</v>
      </c>
      <c r="X166" s="21">
        <v>8.5480268056589731E-2</v>
      </c>
      <c r="Y166" s="20">
        <v>555</v>
      </c>
      <c r="Z166" s="23">
        <v>8.2650781831720033E-2</v>
      </c>
      <c r="AA166" s="20">
        <v>0</v>
      </c>
      <c r="AB166" s="21">
        <v>0</v>
      </c>
      <c r="AC166" s="20">
        <v>1590</v>
      </c>
      <c r="AD166" s="21">
        <v>0.23678332092330601</v>
      </c>
      <c r="AE166" s="20">
        <v>332</v>
      </c>
      <c r="AF166" s="21">
        <v>0.20880503144654089</v>
      </c>
      <c r="AG166" s="20">
        <v>1465</v>
      </c>
      <c r="AH166" s="21">
        <v>0.92138364779874216</v>
      </c>
      <c r="AI166" s="24">
        <v>1633</v>
      </c>
      <c r="AJ166" s="21">
        <v>0.243186895011169</v>
      </c>
      <c r="AK166" s="24">
        <v>15</v>
      </c>
      <c r="AL166" s="21">
        <v>0.80771586037966936</v>
      </c>
      <c r="AM166" s="24">
        <v>1626</v>
      </c>
      <c r="AN166" s="24">
        <v>1319</v>
      </c>
      <c r="AO166" s="21">
        <v>0.19642591213700669</v>
      </c>
      <c r="AP166" s="21">
        <v>0.82955974842767299</v>
      </c>
      <c r="AQ166" s="22">
        <v>0.97184900831733845</v>
      </c>
      <c r="AR166" s="24">
        <v>0</v>
      </c>
      <c r="AS166" s="24">
        <v>0</v>
      </c>
      <c r="AT166" s="24">
        <v>308</v>
      </c>
      <c r="AU166" s="24">
        <v>252</v>
      </c>
      <c r="AV166" s="24">
        <v>263</v>
      </c>
      <c r="AW166" s="24">
        <v>4</v>
      </c>
      <c r="AX166" s="21">
        <v>3.7527922561429637E-2</v>
      </c>
      <c r="AY166" s="21">
        <v>3.9166046165301567E-2</v>
      </c>
      <c r="AZ166" s="21">
        <v>5.9568131049888315E-4</v>
      </c>
      <c r="BA166" s="21">
        <v>0.19939347990902201</v>
      </c>
      <c r="BB166" s="24">
        <v>0</v>
      </c>
      <c r="BC166" s="24">
        <v>1</v>
      </c>
      <c r="BD166" s="22">
        <v>0.95473251028806583</v>
      </c>
      <c r="BE166" s="22">
        <v>1</v>
      </c>
      <c r="BF166" s="22" t="s">
        <v>89</v>
      </c>
    </row>
    <row r="167" spans="1:58" ht="19.5" customHeight="1">
      <c r="A167" s="25">
        <v>164</v>
      </c>
      <c r="B167" s="20" t="s">
        <v>88</v>
      </c>
      <c r="C167" s="26">
        <v>46122</v>
      </c>
      <c r="D167" s="20" t="s">
        <v>13</v>
      </c>
      <c r="E167" s="20">
        <v>2136</v>
      </c>
      <c r="F167" s="20">
        <v>1978</v>
      </c>
      <c r="G167" s="21">
        <v>0.92602996254681647</v>
      </c>
      <c r="H167" s="20">
        <v>1128</v>
      </c>
      <c r="I167" s="22">
        <v>0.5280898876404494</v>
      </c>
      <c r="J167" s="20">
        <v>3170</v>
      </c>
      <c r="K167" s="20">
        <v>3094</v>
      </c>
      <c r="L167" s="21">
        <v>0.97599999999999998</v>
      </c>
      <c r="M167" s="20">
        <v>17711</v>
      </c>
      <c r="N167" s="20">
        <v>17784</v>
      </c>
      <c r="O167" s="20">
        <v>17491</v>
      </c>
      <c r="P167" s="21">
        <v>0.98757834114392185</v>
      </c>
      <c r="Q167" s="20">
        <v>33</v>
      </c>
      <c r="R167" s="20">
        <v>0</v>
      </c>
      <c r="S167" s="20">
        <v>0</v>
      </c>
      <c r="T167" s="21">
        <v>0</v>
      </c>
      <c r="U167" s="20">
        <v>0</v>
      </c>
      <c r="V167" s="21">
        <v>0</v>
      </c>
      <c r="W167" s="20">
        <v>2679</v>
      </c>
      <c r="X167" s="21">
        <v>1.254213483146067</v>
      </c>
      <c r="Y167" s="20">
        <v>615</v>
      </c>
      <c r="Z167" s="23">
        <v>0.28792134831460681</v>
      </c>
      <c r="AA167" s="20">
        <v>88</v>
      </c>
      <c r="AB167" s="21">
        <v>4.1198501872659173E-2</v>
      </c>
      <c r="AC167" s="20">
        <v>404</v>
      </c>
      <c r="AD167" s="21">
        <v>0.18913857677902621</v>
      </c>
      <c r="AE167" s="20">
        <v>50</v>
      </c>
      <c r="AF167" s="21">
        <v>0.1237623762376238</v>
      </c>
      <c r="AG167" s="20">
        <v>368</v>
      </c>
      <c r="AH167" s="21">
        <v>0.91089108910891092</v>
      </c>
      <c r="AI167" s="24">
        <v>394</v>
      </c>
      <c r="AJ167" s="21">
        <v>0.18445692883895129</v>
      </c>
      <c r="AK167" s="24">
        <v>3</v>
      </c>
      <c r="AL167" s="21">
        <v>0.93147208121827407</v>
      </c>
      <c r="AM167" s="24">
        <v>391</v>
      </c>
      <c r="AN167" s="24">
        <v>367</v>
      </c>
      <c r="AO167" s="21">
        <v>0.17181647940074909</v>
      </c>
      <c r="AP167" s="21">
        <v>0.90841584158415845</v>
      </c>
      <c r="AQ167" s="22">
        <v>0.96142433234421365</v>
      </c>
      <c r="AR167" s="24">
        <v>0</v>
      </c>
      <c r="AS167" s="24">
        <v>0</v>
      </c>
      <c r="AT167" s="24">
        <v>66</v>
      </c>
      <c r="AU167" s="24">
        <v>62</v>
      </c>
      <c r="AV167" s="24">
        <v>61</v>
      </c>
      <c r="AW167" s="24">
        <v>95</v>
      </c>
      <c r="AX167" s="21">
        <v>2.9026217228464421E-2</v>
      </c>
      <c r="AY167" s="21">
        <v>2.8558052434456929E-2</v>
      </c>
      <c r="AZ167" s="21">
        <v>4.4475655430711608E-2</v>
      </c>
      <c r="BA167" s="21">
        <v>0.16621253405994549</v>
      </c>
      <c r="BB167" s="24">
        <v>0</v>
      </c>
      <c r="BC167" s="24">
        <v>0</v>
      </c>
      <c r="BD167" s="22">
        <v>0.98148148148148151</v>
      </c>
      <c r="BE167" s="22">
        <v>1</v>
      </c>
      <c r="BF167" s="22" t="s">
        <v>89</v>
      </c>
    </row>
    <row r="168" spans="1:58" ht="19.5" customHeight="1">
      <c r="A168" s="25">
        <v>165</v>
      </c>
      <c r="B168" s="20" t="s">
        <v>88</v>
      </c>
      <c r="C168" s="26">
        <v>46123</v>
      </c>
      <c r="D168" s="20" t="s">
        <v>12</v>
      </c>
      <c r="E168" s="20">
        <v>2005</v>
      </c>
      <c r="F168" s="20">
        <v>1770</v>
      </c>
      <c r="G168" s="21">
        <v>0.88279301745635907</v>
      </c>
      <c r="H168" s="20">
        <v>953</v>
      </c>
      <c r="I168" s="22">
        <v>0.47531172069825428</v>
      </c>
      <c r="J168" s="20">
        <v>2794</v>
      </c>
      <c r="K168" s="20">
        <v>2722</v>
      </c>
      <c r="L168" s="21">
        <v>0.97399999999999998</v>
      </c>
      <c r="M168" s="20">
        <v>12100</v>
      </c>
      <c r="N168" s="20">
        <v>12161</v>
      </c>
      <c r="O168" s="20">
        <v>11882</v>
      </c>
      <c r="P168" s="21">
        <v>0.98198347107438011</v>
      </c>
      <c r="Q168" s="20">
        <v>34</v>
      </c>
      <c r="R168" s="20">
        <v>0</v>
      </c>
      <c r="S168" s="20">
        <v>0</v>
      </c>
      <c r="T168" s="21">
        <v>0</v>
      </c>
      <c r="U168" s="20">
        <v>0</v>
      </c>
      <c r="V168" s="21">
        <v>0</v>
      </c>
      <c r="W168" s="20">
        <v>2183</v>
      </c>
      <c r="X168" s="21">
        <v>1.088778054862843</v>
      </c>
      <c r="Y168" s="20">
        <v>653</v>
      </c>
      <c r="Z168" s="23">
        <v>0.32568578553615962</v>
      </c>
      <c r="AA168" s="20">
        <v>30</v>
      </c>
      <c r="AB168" s="21">
        <v>1.4962593516209479E-2</v>
      </c>
      <c r="AC168" s="20">
        <v>308</v>
      </c>
      <c r="AD168" s="21">
        <v>0.15361596009975059</v>
      </c>
      <c r="AE168" s="20">
        <v>43</v>
      </c>
      <c r="AF168" s="21">
        <v>0.1396103896103896</v>
      </c>
      <c r="AG168" s="20">
        <v>279</v>
      </c>
      <c r="AH168" s="21">
        <v>0.9058441558441559</v>
      </c>
      <c r="AI168" s="24">
        <v>301</v>
      </c>
      <c r="AJ168" s="21">
        <v>0.15012468827930181</v>
      </c>
      <c r="AK168" s="24">
        <v>0</v>
      </c>
      <c r="AL168" s="21">
        <v>0.85049833887043191</v>
      </c>
      <c r="AM168" s="24">
        <v>300</v>
      </c>
      <c r="AN168" s="24">
        <v>256</v>
      </c>
      <c r="AO168" s="21">
        <v>0.12768079800498749</v>
      </c>
      <c r="AP168" s="21">
        <v>0.83116883116883122</v>
      </c>
      <c r="AQ168" s="22">
        <v>0.96511627906976749</v>
      </c>
      <c r="AR168" s="24">
        <v>0</v>
      </c>
      <c r="AS168" s="24">
        <v>0</v>
      </c>
      <c r="AT168" s="24">
        <v>71</v>
      </c>
      <c r="AU168" s="24">
        <v>62</v>
      </c>
      <c r="AV168" s="24">
        <v>58</v>
      </c>
      <c r="AW168" s="24">
        <v>60</v>
      </c>
      <c r="AX168" s="21">
        <v>3.0922693266832921E-2</v>
      </c>
      <c r="AY168" s="21">
        <v>2.8927680798004989E-2</v>
      </c>
      <c r="AZ168" s="21">
        <v>2.9925187032418948E-2</v>
      </c>
      <c r="BA168" s="21">
        <v>0.2265625</v>
      </c>
      <c r="BB168" s="24">
        <v>0</v>
      </c>
      <c r="BC168" s="24">
        <v>0</v>
      </c>
      <c r="BD168" s="22">
        <v>1</v>
      </c>
      <c r="BE168" s="22">
        <v>1</v>
      </c>
      <c r="BF168" s="22" t="s">
        <v>89</v>
      </c>
    </row>
    <row r="169" spans="1:58" ht="19.5" customHeight="1">
      <c r="A169" s="25">
        <v>166</v>
      </c>
      <c r="B169" s="20" t="s">
        <v>88</v>
      </c>
      <c r="C169" s="26">
        <v>46123</v>
      </c>
      <c r="D169" s="20" t="s">
        <v>11</v>
      </c>
      <c r="E169" s="20">
        <v>2272</v>
      </c>
      <c r="F169" s="20">
        <v>1929</v>
      </c>
      <c r="G169" s="21">
        <v>0.84903169014084512</v>
      </c>
      <c r="H169" s="20">
        <v>1002</v>
      </c>
      <c r="I169" s="22">
        <v>0.44102112676056338</v>
      </c>
      <c r="J169" s="20">
        <v>1829</v>
      </c>
      <c r="K169" s="20">
        <v>1783</v>
      </c>
      <c r="L169" s="21">
        <v>0.97499999999999998</v>
      </c>
      <c r="M169" s="20">
        <v>9762</v>
      </c>
      <c r="N169" s="20">
        <v>10092</v>
      </c>
      <c r="O169" s="20">
        <v>9603</v>
      </c>
      <c r="P169" s="21">
        <v>0.98371235402581436</v>
      </c>
      <c r="Q169" s="20">
        <v>27</v>
      </c>
      <c r="R169" s="20">
        <v>0</v>
      </c>
      <c r="S169" s="20">
        <v>0</v>
      </c>
      <c r="T169" s="21">
        <v>0</v>
      </c>
      <c r="U169" s="20">
        <v>0</v>
      </c>
      <c r="V169" s="21">
        <v>0</v>
      </c>
      <c r="W169" s="20">
        <v>1972</v>
      </c>
      <c r="X169" s="21">
        <v>0.86795774647887325</v>
      </c>
      <c r="Y169" s="20">
        <v>650</v>
      </c>
      <c r="Z169" s="23">
        <v>0.28609154929577463</v>
      </c>
      <c r="AA169" s="20">
        <v>21</v>
      </c>
      <c r="AB169" s="21">
        <v>9.2429577464788731E-3</v>
      </c>
      <c r="AC169" s="20">
        <v>401</v>
      </c>
      <c r="AD169" s="21">
        <v>0.17649647887323941</v>
      </c>
      <c r="AE169" s="20">
        <v>43</v>
      </c>
      <c r="AF169" s="21">
        <v>0.1072319201995012</v>
      </c>
      <c r="AG169" s="20">
        <v>364</v>
      </c>
      <c r="AH169" s="21">
        <v>0.9077306733167082</v>
      </c>
      <c r="AI169" s="24">
        <v>385</v>
      </c>
      <c r="AJ169" s="21">
        <v>0.16945422535211269</v>
      </c>
      <c r="AK169" s="24">
        <v>1</v>
      </c>
      <c r="AL169" s="21">
        <v>0.83896103896103891</v>
      </c>
      <c r="AM169" s="24">
        <v>381</v>
      </c>
      <c r="AN169" s="24">
        <v>323</v>
      </c>
      <c r="AO169" s="21">
        <v>0.1421654929577465</v>
      </c>
      <c r="AP169" s="21">
        <v>0.80548628428927682</v>
      </c>
      <c r="AQ169" s="22">
        <v>0.9732620320855615</v>
      </c>
      <c r="AR169" s="24">
        <v>0</v>
      </c>
      <c r="AS169" s="24">
        <v>0</v>
      </c>
      <c r="AT169" s="24">
        <v>81</v>
      </c>
      <c r="AU169" s="24">
        <v>70</v>
      </c>
      <c r="AV169" s="24">
        <v>64</v>
      </c>
      <c r="AW169" s="24">
        <v>31</v>
      </c>
      <c r="AX169" s="21">
        <v>3.0809859154929582E-2</v>
      </c>
      <c r="AY169" s="21">
        <v>2.8169014084507039E-2</v>
      </c>
      <c r="AZ169" s="21">
        <v>1.3644366197183099E-2</v>
      </c>
      <c r="BA169" s="21">
        <v>0.1981424148606811</v>
      </c>
      <c r="BB169" s="24">
        <v>0</v>
      </c>
      <c r="BC169" s="24">
        <v>0</v>
      </c>
      <c r="BD169" s="22">
        <v>1</v>
      </c>
      <c r="BE169" s="22">
        <v>1</v>
      </c>
      <c r="BF169" s="22" t="s">
        <v>89</v>
      </c>
    </row>
    <row r="170" spans="1:58" ht="19.5" customHeight="1">
      <c r="A170" s="25">
        <v>167</v>
      </c>
      <c r="B170" s="20" t="s">
        <v>88</v>
      </c>
      <c r="C170" s="26">
        <v>46123</v>
      </c>
      <c r="D170" s="20" t="s">
        <v>14</v>
      </c>
      <c r="E170" s="20">
        <v>9587</v>
      </c>
      <c r="F170" s="20">
        <v>8152</v>
      </c>
      <c r="G170" s="21">
        <v>0.85031813914676124</v>
      </c>
      <c r="H170" s="20">
        <v>3498</v>
      </c>
      <c r="I170" s="22">
        <v>0.3648690935642015</v>
      </c>
      <c r="J170" s="20">
        <v>6995</v>
      </c>
      <c r="K170" s="20">
        <v>6845</v>
      </c>
      <c r="L170" s="21">
        <v>0.97899999999999998</v>
      </c>
      <c r="M170" s="20">
        <v>21808</v>
      </c>
      <c r="N170" s="20">
        <v>25727</v>
      </c>
      <c r="O170" s="20">
        <v>21401</v>
      </c>
      <c r="P170" s="21">
        <v>0.98133712399119588</v>
      </c>
      <c r="Q170" s="20">
        <v>52</v>
      </c>
      <c r="R170" s="20">
        <v>0</v>
      </c>
      <c r="S170" s="20">
        <v>0</v>
      </c>
      <c r="T170" s="21">
        <v>0</v>
      </c>
      <c r="U170" s="20">
        <v>0</v>
      </c>
      <c r="V170" s="21">
        <v>0</v>
      </c>
      <c r="W170" s="20">
        <v>911</v>
      </c>
      <c r="X170" s="21">
        <v>9.5024512360488159E-2</v>
      </c>
      <c r="Y170" s="20">
        <v>809</v>
      </c>
      <c r="Z170" s="23">
        <v>8.4385104829456561E-2</v>
      </c>
      <c r="AA170" s="20">
        <v>0</v>
      </c>
      <c r="AB170" s="21">
        <v>0</v>
      </c>
      <c r="AC170" s="20">
        <v>2685</v>
      </c>
      <c r="AD170" s="21">
        <v>0.28006675706686129</v>
      </c>
      <c r="AE170" s="20">
        <v>539</v>
      </c>
      <c r="AF170" s="21">
        <v>0.2007448789571695</v>
      </c>
      <c r="AG170" s="20">
        <v>2445</v>
      </c>
      <c r="AH170" s="21">
        <v>0.91061452513966479</v>
      </c>
      <c r="AI170" s="24">
        <v>2739</v>
      </c>
      <c r="AJ170" s="21">
        <v>0.28569938458328992</v>
      </c>
      <c r="AK170" s="24">
        <v>32</v>
      </c>
      <c r="AL170" s="21">
        <v>0.78021175611537052</v>
      </c>
      <c r="AM170" s="24">
        <v>2726</v>
      </c>
      <c r="AN170" s="24">
        <v>2137</v>
      </c>
      <c r="AO170" s="21">
        <v>0.22290601856680919</v>
      </c>
      <c r="AP170" s="21">
        <v>0.79590316573556796</v>
      </c>
      <c r="AQ170" s="22">
        <v>0.96628498727735368</v>
      </c>
      <c r="AR170" s="24">
        <v>0</v>
      </c>
      <c r="AS170" s="24">
        <v>0</v>
      </c>
      <c r="AT170" s="24">
        <v>654</v>
      </c>
      <c r="AU170" s="24">
        <v>566</v>
      </c>
      <c r="AV170" s="24">
        <v>589</v>
      </c>
      <c r="AW170" s="24">
        <v>10</v>
      </c>
      <c r="AX170" s="21">
        <v>5.9038281005528319E-2</v>
      </c>
      <c r="AY170" s="21">
        <v>6.1437363095858982E-2</v>
      </c>
      <c r="AZ170" s="21">
        <v>1.043079169708981E-3</v>
      </c>
      <c r="BA170" s="21">
        <v>0.27562002807674307</v>
      </c>
      <c r="BB170" s="24">
        <v>0</v>
      </c>
      <c r="BC170" s="24">
        <v>1</v>
      </c>
      <c r="BD170" s="22">
        <v>0.97826086956521741</v>
      </c>
      <c r="BE170" s="22">
        <v>0.98</v>
      </c>
      <c r="BF170" s="22" t="s">
        <v>89</v>
      </c>
    </row>
    <row r="171" spans="1:58" ht="19.5" customHeight="1">
      <c r="A171" s="25">
        <v>168</v>
      </c>
      <c r="B171" s="20" t="s">
        <v>88</v>
      </c>
      <c r="C171" s="26">
        <v>46123</v>
      </c>
      <c r="D171" s="20" t="s">
        <v>13</v>
      </c>
      <c r="E171" s="20">
        <v>3608</v>
      </c>
      <c r="F171" s="20">
        <v>3173</v>
      </c>
      <c r="G171" s="21">
        <v>0.87943458980044342</v>
      </c>
      <c r="H171" s="20">
        <v>2052</v>
      </c>
      <c r="I171" s="22">
        <v>0.5687361419068736</v>
      </c>
      <c r="J171" s="20">
        <v>3821</v>
      </c>
      <c r="K171" s="20">
        <v>3736</v>
      </c>
      <c r="L171" s="21">
        <v>0.97799999999999998</v>
      </c>
      <c r="M171" s="20">
        <v>18561</v>
      </c>
      <c r="N171" s="20">
        <v>18959</v>
      </c>
      <c r="O171" s="20">
        <v>18298</v>
      </c>
      <c r="P171" s="21">
        <v>0.98583050482193846</v>
      </c>
      <c r="Q171" s="20">
        <v>32</v>
      </c>
      <c r="R171" s="20">
        <v>0</v>
      </c>
      <c r="S171" s="20">
        <v>0</v>
      </c>
      <c r="T171" s="21">
        <v>0</v>
      </c>
      <c r="U171" s="20">
        <v>0</v>
      </c>
      <c r="V171" s="21">
        <v>0</v>
      </c>
      <c r="W171" s="20">
        <v>3389</v>
      </c>
      <c r="X171" s="21">
        <v>0.93930155210643018</v>
      </c>
      <c r="Y171" s="20">
        <v>979</v>
      </c>
      <c r="Z171" s="23">
        <v>0.27134146341463422</v>
      </c>
      <c r="AA171" s="20">
        <v>104</v>
      </c>
      <c r="AB171" s="21">
        <v>2.8824833702882479E-2</v>
      </c>
      <c r="AC171" s="20">
        <v>617</v>
      </c>
      <c r="AD171" s="21">
        <v>0.1710088691796009</v>
      </c>
      <c r="AE171" s="20">
        <v>73</v>
      </c>
      <c r="AF171" s="21">
        <v>0.1183144246353322</v>
      </c>
      <c r="AG171" s="20">
        <v>568</v>
      </c>
      <c r="AH171" s="21">
        <v>0.9205834683954619</v>
      </c>
      <c r="AI171" s="24">
        <v>586</v>
      </c>
      <c r="AJ171" s="21">
        <v>0.16241685144124171</v>
      </c>
      <c r="AK171" s="24">
        <v>1</v>
      </c>
      <c r="AL171" s="21">
        <v>0.92832764505119458</v>
      </c>
      <c r="AM171" s="24">
        <v>584</v>
      </c>
      <c r="AN171" s="24">
        <v>544</v>
      </c>
      <c r="AO171" s="21">
        <v>0.15077605321507759</v>
      </c>
      <c r="AP171" s="21">
        <v>0.88168557536466774</v>
      </c>
      <c r="AQ171" s="22">
        <v>0.97461928934010156</v>
      </c>
      <c r="AR171" s="24">
        <v>0</v>
      </c>
      <c r="AS171" s="24">
        <v>0</v>
      </c>
      <c r="AT171" s="24">
        <v>105</v>
      </c>
      <c r="AU171" s="24">
        <v>96</v>
      </c>
      <c r="AV171" s="24">
        <v>95</v>
      </c>
      <c r="AW171" s="24">
        <v>65</v>
      </c>
      <c r="AX171" s="21">
        <v>2.660753880266075E-2</v>
      </c>
      <c r="AY171" s="21">
        <v>2.633037694013304E-2</v>
      </c>
      <c r="AZ171" s="21">
        <v>1.801552106430155E-2</v>
      </c>
      <c r="BA171" s="21">
        <v>0.17463235294117649</v>
      </c>
      <c r="BB171" s="24">
        <v>0</v>
      </c>
      <c r="BC171" s="24">
        <v>0</v>
      </c>
      <c r="BD171" s="22">
        <v>0.98461538461538467</v>
      </c>
      <c r="BE171" s="22">
        <v>1</v>
      </c>
      <c r="BF171" s="22" t="s">
        <v>89</v>
      </c>
    </row>
    <row r="172" spans="1:58" ht="19.5" customHeight="1">
      <c r="A172" s="25">
        <v>169</v>
      </c>
      <c r="B172" s="20" t="s">
        <v>88</v>
      </c>
      <c r="C172" s="26">
        <v>46124</v>
      </c>
      <c r="D172" s="20" t="s">
        <v>12</v>
      </c>
      <c r="E172" s="20">
        <v>2590</v>
      </c>
      <c r="F172" s="20">
        <v>2361</v>
      </c>
      <c r="G172" s="21">
        <v>0.91158301158301158</v>
      </c>
      <c r="H172" s="20">
        <v>676</v>
      </c>
      <c r="I172" s="22">
        <v>0.26100386100386103</v>
      </c>
      <c r="J172" s="20">
        <v>2412</v>
      </c>
      <c r="K172" s="20">
        <v>2336</v>
      </c>
      <c r="L172" s="21">
        <v>0.96799999999999997</v>
      </c>
      <c r="M172" s="20">
        <v>10896</v>
      </c>
      <c r="N172" s="20">
        <v>11140</v>
      </c>
      <c r="O172" s="20">
        <v>10740</v>
      </c>
      <c r="P172" s="21">
        <v>0.98568281938325997</v>
      </c>
      <c r="Q172" s="20">
        <v>30</v>
      </c>
      <c r="R172" s="20">
        <v>0</v>
      </c>
      <c r="S172" s="20">
        <v>0</v>
      </c>
      <c r="T172" s="21">
        <v>0</v>
      </c>
      <c r="U172" s="20">
        <v>0</v>
      </c>
      <c r="V172" s="21">
        <v>0</v>
      </c>
      <c r="W172" s="20">
        <v>1901</v>
      </c>
      <c r="X172" s="21">
        <v>0.733976833976834</v>
      </c>
      <c r="Y172" s="20">
        <v>552</v>
      </c>
      <c r="Z172" s="23">
        <v>0.2131274131274131</v>
      </c>
      <c r="AA172" s="20">
        <v>40</v>
      </c>
      <c r="AB172" s="21">
        <v>1.5444015444015439E-2</v>
      </c>
      <c r="AC172" s="20">
        <v>318</v>
      </c>
      <c r="AD172" s="21">
        <v>0.12277992277992281</v>
      </c>
      <c r="AE172" s="20">
        <v>32</v>
      </c>
      <c r="AF172" s="21">
        <v>0.1006289308176101</v>
      </c>
      <c r="AG172" s="20">
        <v>293</v>
      </c>
      <c r="AH172" s="21">
        <v>0.92138364779874216</v>
      </c>
      <c r="AI172" s="24">
        <v>302</v>
      </c>
      <c r="AJ172" s="21">
        <v>0.1166023166023166</v>
      </c>
      <c r="AK172" s="24">
        <v>1</v>
      </c>
      <c r="AL172" s="21">
        <v>0.8443708609271523</v>
      </c>
      <c r="AM172" s="24">
        <v>300</v>
      </c>
      <c r="AN172" s="24">
        <v>255</v>
      </c>
      <c r="AO172" s="21">
        <v>9.8455598455598453E-2</v>
      </c>
      <c r="AP172" s="21">
        <v>0.80188679245283023</v>
      </c>
      <c r="AQ172" s="22">
        <v>0.94680851063829785</v>
      </c>
      <c r="AR172" s="24">
        <v>0</v>
      </c>
      <c r="AS172" s="24">
        <v>0</v>
      </c>
      <c r="AT172" s="24">
        <v>82</v>
      </c>
      <c r="AU172" s="24">
        <v>74</v>
      </c>
      <c r="AV172" s="24">
        <v>74</v>
      </c>
      <c r="AW172" s="24">
        <v>45</v>
      </c>
      <c r="AX172" s="21">
        <v>2.8571428571428571E-2</v>
      </c>
      <c r="AY172" s="21">
        <v>2.8571428571428571E-2</v>
      </c>
      <c r="AZ172" s="21">
        <v>1.7374517374517371E-2</v>
      </c>
      <c r="BA172" s="21">
        <v>0.29019607843137257</v>
      </c>
      <c r="BB172" s="24">
        <v>0</v>
      </c>
      <c r="BC172" s="24">
        <v>0</v>
      </c>
      <c r="BD172" s="22">
        <v>1</v>
      </c>
      <c r="BE172" s="22">
        <v>1</v>
      </c>
      <c r="BF172" s="22" t="s">
        <v>89</v>
      </c>
    </row>
    <row r="173" spans="1:58" ht="19.5" customHeight="1">
      <c r="A173" s="25">
        <v>170</v>
      </c>
      <c r="B173" s="20" t="s">
        <v>88</v>
      </c>
      <c r="C173" s="26">
        <v>46124</v>
      </c>
      <c r="D173" s="20" t="s">
        <v>11</v>
      </c>
      <c r="E173" s="20">
        <v>2949</v>
      </c>
      <c r="F173" s="20">
        <v>2503</v>
      </c>
      <c r="G173" s="21">
        <v>0.84876229230247546</v>
      </c>
      <c r="H173" s="20">
        <v>1655</v>
      </c>
      <c r="I173" s="22">
        <v>0.56120718887758558</v>
      </c>
      <c r="J173" s="20">
        <v>2872</v>
      </c>
      <c r="K173" s="20">
        <v>2808</v>
      </c>
      <c r="L173" s="21">
        <v>0.97799999999999998</v>
      </c>
      <c r="M173" s="20">
        <v>10992</v>
      </c>
      <c r="N173" s="20">
        <v>11443</v>
      </c>
      <c r="O173" s="20">
        <v>10842</v>
      </c>
      <c r="P173" s="21">
        <v>0.986353711790393</v>
      </c>
      <c r="Q173" s="20">
        <v>23</v>
      </c>
      <c r="R173" s="20">
        <v>0</v>
      </c>
      <c r="S173" s="20">
        <v>0</v>
      </c>
      <c r="T173" s="21">
        <v>0</v>
      </c>
      <c r="U173" s="20">
        <v>0</v>
      </c>
      <c r="V173" s="21">
        <v>0</v>
      </c>
      <c r="W173" s="20">
        <v>1605</v>
      </c>
      <c r="X173" s="21">
        <v>0.54425228891149546</v>
      </c>
      <c r="Y173" s="20">
        <v>434</v>
      </c>
      <c r="Z173" s="23">
        <v>0.14716853170566291</v>
      </c>
      <c r="AA173" s="20">
        <v>30</v>
      </c>
      <c r="AB173" s="21">
        <v>1.0172939979654121E-2</v>
      </c>
      <c r="AC173" s="20">
        <v>397</v>
      </c>
      <c r="AD173" s="21">
        <v>0.13462190573075619</v>
      </c>
      <c r="AE173" s="20">
        <v>52</v>
      </c>
      <c r="AF173" s="21">
        <v>0.13098236775818639</v>
      </c>
      <c r="AG173" s="20">
        <v>367</v>
      </c>
      <c r="AH173" s="21">
        <v>0.92443324937027704</v>
      </c>
      <c r="AI173" s="24">
        <v>366</v>
      </c>
      <c r="AJ173" s="21">
        <v>0.1241098677517803</v>
      </c>
      <c r="AK173" s="24">
        <v>4</v>
      </c>
      <c r="AL173" s="21">
        <v>0.85792349726775952</v>
      </c>
      <c r="AM173" s="24">
        <v>367</v>
      </c>
      <c r="AN173" s="24">
        <v>314</v>
      </c>
      <c r="AO173" s="21">
        <v>0.1064767717870465</v>
      </c>
      <c r="AP173" s="21">
        <v>0.79093198992443325</v>
      </c>
      <c r="AQ173" s="22">
        <v>0.9555555555555556</v>
      </c>
      <c r="AR173" s="24">
        <v>0</v>
      </c>
      <c r="AS173" s="24">
        <v>0</v>
      </c>
      <c r="AT173" s="24">
        <v>71</v>
      </c>
      <c r="AU173" s="24">
        <v>67</v>
      </c>
      <c r="AV173" s="24">
        <v>66</v>
      </c>
      <c r="AW173" s="24">
        <v>23</v>
      </c>
      <c r="AX173" s="21">
        <v>2.2719565954560868E-2</v>
      </c>
      <c r="AY173" s="21">
        <v>2.2380467955239059E-2</v>
      </c>
      <c r="AZ173" s="21">
        <v>7.7992539844014917E-3</v>
      </c>
      <c r="BA173" s="21">
        <v>0.21019108280254781</v>
      </c>
      <c r="BB173" s="24">
        <v>0</v>
      </c>
      <c r="BC173" s="24">
        <v>0</v>
      </c>
      <c r="BD173" s="22">
        <v>1</v>
      </c>
      <c r="BE173" s="22">
        <v>1</v>
      </c>
      <c r="BF173" s="22" t="s">
        <v>89</v>
      </c>
    </row>
    <row r="174" spans="1:58" ht="19.5" customHeight="1">
      <c r="A174" s="25">
        <v>171</v>
      </c>
      <c r="B174" s="20" t="s">
        <v>88</v>
      </c>
      <c r="C174" s="26">
        <v>46124</v>
      </c>
      <c r="D174" s="20" t="s">
        <v>14</v>
      </c>
      <c r="E174" s="20">
        <v>10298</v>
      </c>
      <c r="F174" s="20">
        <v>9027</v>
      </c>
      <c r="G174" s="21">
        <v>0.87657797630607881</v>
      </c>
      <c r="H174" s="20">
        <v>3624</v>
      </c>
      <c r="I174" s="22">
        <v>0.35191299281413868</v>
      </c>
      <c r="J174" s="20">
        <v>10205</v>
      </c>
      <c r="K174" s="20">
        <v>10035</v>
      </c>
      <c r="L174" s="21">
        <v>0.98299999999999998</v>
      </c>
      <c r="M174" s="20">
        <v>29574</v>
      </c>
      <c r="N174" s="20">
        <v>30849</v>
      </c>
      <c r="O174" s="20">
        <v>29155</v>
      </c>
      <c r="P174" s="21">
        <v>0.98583214986136469</v>
      </c>
      <c r="Q174" s="20">
        <v>48</v>
      </c>
      <c r="R174" s="20">
        <v>0</v>
      </c>
      <c r="S174" s="20">
        <v>0</v>
      </c>
      <c r="T174" s="21">
        <v>0</v>
      </c>
      <c r="U174" s="20">
        <v>0</v>
      </c>
      <c r="V174" s="21">
        <v>0</v>
      </c>
      <c r="W174" s="20">
        <v>874</v>
      </c>
      <c r="X174" s="21">
        <v>8.4870848708487087E-2</v>
      </c>
      <c r="Y174" s="20">
        <v>880</v>
      </c>
      <c r="Z174" s="23">
        <v>8.5453486113808513E-2</v>
      </c>
      <c r="AA174" s="20">
        <v>0</v>
      </c>
      <c r="AB174" s="21">
        <v>0</v>
      </c>
      <c r="AC174" s="20">
        <v>2687</v>
      </c>
      <c r="AD174" s="21">
        <v>0.26092445134977671</v>
      </c>
      <c r="AE174" s="20">
        <v>486</v>
      </c>
      <c r="AF174" s="21">
        <v>0.18087085969482691</v>
      </c>
      <c r="AG174" s="20">
        <v>2442</v>
      </c>
      <c r="AH174" s="21">
        <v>0.9088202456270934</v>
      </c>
      <c r="AI174" s="24">
        <v>2658</v>
      </c>
      <c r="AJ174" s="21">
        <v>0.25810837055738978</v>
      </c>
      <c r="AK174" s="24">
        <v>22</v>
      </c>
      <c r="AL174" s="21">
        <v>0.79194883370955604</v>
      </c>
      <c r="AM174" s="24">
        <v>2651</v>
      </c>
      <c r="AN174" s="24">
        <v>2105</v>
      </c>
      <c r="AO174" s="21">
        <v>0.20440862303359869</v>
      </c>
      <c r="AP174" s="21">
        <v>0.78340156308150355</v>
      </c>
      <c r="AQ174" s="22">
        <v>0.97231012658227844</v>
      </c>
      <c r="AR174" s="24">
        <v>0</v>
      </c>
      <c r="AS174" s="24">
        <v>0</v>
      </c>
      <c r="AT174" s="24">
        <v>1440</v>
      </c>
      <c r="AU174" s="24">
        <v>1314</v>
      </c>
      <c r="AV174" s="24">
        <v>884</v>
      </c>
      <c r="AW174" s="24">
        <v>11</v>
      </c>
      <c r="AX174" s="21">
        <v>0.12759759176539129</v>
      </c>
      <c r="AY174" s="21">
        <v>8.5841911050689459E-2</v>
      </c>
      <c r="AZ174" s="21">
        <v>1.068168576422606E-3</v>
      </c>
      <c r="BA174" s="21">
        <v>0.41995249406175772</v>
      </c>
      <c r="BB174" s="24">
        <v>0</v>
      </c>
      <c r="BC174" s="24">
        <v>1</v>
      </c>
      <c r="BD174" s="22">
        <v>0.96783625730994149</v>
      </c>
      <c r="BE174" s="22">
        <v>1</v>
      </c>
      <c r="BF174" s="22" t="s">
        <v>89</v>
      </c>
    </row>
    <row r="175" spans="1:58" ht="19.5" customHeight="1">
      <c r="A175" s="25">
        <v>172</v>
      </c>
      <c r="B175" s="20" t="s">
        <v>88</v>
      </c>
      <c r="C175" s="26">
        <v>46124</v>
      </c>
      <c r="D175" s="20" t="s">
        <v>13</v>
      </c>
      <c r="E175" s="20">
        <v>3420</v>
      </c>
      <c r="F175" s="20">
        <v>3027</v>
      </c>
      <c r="G175" s="21">
        <v>0.88508771929824559</v>
      </c>
      <c r="H175" s="20">
        <v>1693</v>
      </c>
      <c r="I175" s="22">
        <v>0.49502923976608187</v>
      </c>
      <c r="J175" s="20">
        <v>3202</v>
      </c>
      <c r="K175" s="20">
        <v>3116</v>
      </c>
      <c r="L175" s="21">
        <v>0.97299999999999998</v>
      </c>
      <c r="M175" s="20">
        <v>17571</v>
      </c>
      <c r="N175" s="20">
        <v>17990</v>
      </c>
      <c r="O175" s="20">
        <v>17365</v>
      </c>
      <c r="P175" s="21">
        <v>0.98827613681634507</v>
      </c>
      <c r="Q175" s="20">
        <v>36</v>
      </c>
      <c r="R175" s="20">
        <v>0</v>
      </c>
      <c r="S175" s="20">
        <v>0</v>
      </c>
      <c r="T175" s="21">
        <v>0</v>
      </c>
      <c r="U175" s="20">
        <v>0</v>
      </c>
      <c r="V175" s="21">
        <v>0</v>
      </c>
      <c r="W175" s="20">
        <v>2540</v>
      </c>
      <c r="X175" s="21">
        <v>0.74269005847953218</v>
      </c>
      <c r="Y175" s="20">
        <v>672</v>
      </c>
      <c r="Z175" s="23">
        <v>0.19649122807017541</v>
      </c>
      <c r="AA175" s="20">
        <v>94</v>
      </c>
      <c r="AB175" s="21">
        <v>2.7485380116959061E-2</v>
      </c>
      <c r="AC175" s="20">
        <v>624</v>
      </c>
      <c r="AD175" s="21">
        <v>0.18245614035087721</v>
      </c>
      <c r="AE175" s="20">
        <v>66</v>
      </c>
      <c r="AF175" s="21">
        <v>0.1057692307692308</v>
      </c>
      <c r="AG175" s="20">
        <v>579</v>
      </c>
      <c r="AH175" s="21">
        <v>0.92788461538461542</v>
      </c>
      <c r="AI175" s="24">
        <v>623</v>
      </c>
      <c r="AJ175" s="21">
        <v>0.1821637426900585</v>
      </c>
      <c r="AK175" s="24">
        <v>2</v>
      </c>
      <c r="AL175" s="21">
        <v>0.9373996789727127</v>
      </c>
      <c r="AM175" s="24">
        <v>621</v>
      </c>
      <c r="AN175" s="24">
        <v>584</v>
      </c>
      <c r="AO175" s="21">
        <v>0.1707602339181287</v>
      </c>
      <c r="AP175" s="21">
        <v>0.9358974358974359</v>
      </c>
      <c r="AQ175" s="22">
        <v>0.97222222222222221</v>
      </c>
      <c r="AR175" s="24">
        <v>0</v>
      </c>
      <c r="AS175" s="24">
        <v>0</v>
      </c>
      <c r="AT175" s="24">
        <v>119</v>
      </c>
      <c r="AU175" s="24">
        <v>116</v>
      </c>
      <c r="AV175" s="24">
        <v>112</v>
      </c>
      <c r="AW175" s="24">
        <v>52</v>
      </c>
      <c r="AX175" s="21">
        <v>3.3918128654970757E-2</v>
      </c>
      <c r="AY175" s="21">
        <v>3.2748538011695909E-2</v>
      </c>
      <c r="AZ175" s="21">
        <v>1.5204678362573099E-2</v>
      </c>
      <c r="BA175" s="21">
        <v>0.19178082191780821</v>
      </c>
      <c r="BB175" s="24">
        <v>0</v>
      </c>
      <c r="BC175" s="24">
        <v>1</v>
      </c>
      <c r="BD175" s="22">
        <v>0.98305084745762716</v>
      </c>
      <c r="BE175" s="22">
        <v>0.91666666666666663</v>
      </c>
      <c r="BF175" s="22" t="s">
        <v>89</v>
      </c>
    </row>
    <row r="176" spans="1:58" ht="19.5" customHeight="1">
      <c r="A176" s="25">
        <v>173</v>
      </c>
      <c r="B176" s="20" t="s">
        <v>88</v>
      </c>
      <c r="C176" s="26">
        <v>46125</v>
      </c>
      <c r="D176" s="20" t="s">
        <v>12</v>
      </c>
      <c r="E176" s="20">
        <v>1869</v>
      </c>
      <c r="F176" s="20">
        <v>1709</v>
      </c>
      <c r="G176" s="21">
        <v>0.91439272338148747</v>
      </c>
      <c r="H176" s="20">
        <v>572</v>
      </c>
      <c r="I176" s="22">
        <v>0.30604601391118252</v>
      </c>
      <c r="J176" s="20">
        <v>2271</v>
      </c>
      <c r="K176" s="20">
        <v>2196</v>
      </c>
      <c r="L176" s="21">
        <v>0.96699999999999997</v>
      </c>
      <c r="M176" s="20">
        <v>10598</v>
      </c>
      <c r="N176" s="20">
        <v>9951</v>
      </c>
      <c r="O176" s="20">
        <v>10423</v>
      </c>
      <c r="P176" s="21">
        <v>0.98348745046235142</v>
      </c>
      <c r="Q176" s="20">
        <v>34</v>
      </c>
      <c r="R176" s="20">
        <v>0</v>
      </c>
      <c r="S176" s="20">
        <v>0</v>
      </c>
      <c r="T176" s="21">
        <v>0</v>
      </c>
      <c r="U176" s="20">
        <v>0</v>
      </c>
      <c r="V176" s="21">
        <v>0</v>
      </c>
      <c r="W176" s="20">
        <v>1584</v>
      </c>
      <c r="X176" s="21">
        <v>0.8475120385232745</v>
      </c>
      <c r="Y176" s="20">
        <v>710</v>
      </c>
      <c r="Z176" s="23">
        <v>0.37988228999464962</v>
      </c>
      <c r="AA176" s="20">
        <v>25</v>
      </c>
      <c r="AB176" s="21">
        <v>1.337613697164259E-2</v>
      </c>
      <c r="AC176" s="20">
        <v>186</v>
      </c>
      <c r="AD176" s="21">
        <v>9.9518459069020862E-2</v>
      </c>
      <c r="AE176" s="20">
        <v>18</v>
      </c>
      <c r="AF176" s="21">
        <v>9.6774193548387094E-2</v>
      </c>
      <c r="AG176" s="20">
        <v>173</v>
      </c>
      <c r="AH176" s="21">
        <v>0.93010752688172038</v>
      </c>
      <c r="AI176" s="24">
        <v>173</v>
      </c>
      <c r="AJ176" s="21">
        <v>9.2562867843766716E-2</v>
      </c>
      <c r="AK176" s="24">
        <v>0</v>
      </c>
      <c r="AL176" s="21">
        <v>0.87283236994219648</v>
      </c>
      <c r="AM176" s="24">
        <v>173</v>
      </c>
      <c r="AN176" s="24">
        <v>151</v>
      </c>
      <c r="AO176" s="21">
        <v>8.0791867308721246E-2</v>
      </c>
      <c r="AP176" s="21">
        <v>0.81182795698924726</v>
      </c>
      <c r="AQ176" s="22">
        <v>0.97602739726027399</v>
      </c>
      <c r="AR176" s="24">
        <v>0</v>
      </c>
      <c r="AS176" s="24">
        <v>0</v>
      </c>
      <c r="AT176" s="24">
        <v>60</v>
      </c>
      <c r="AU176" s="24">
        <v>54</v>
      </c>
      <c r="AV176" s="24">
        <v>56</v>
      </c>
      <c r="AW176" s="24">
        <v>70</v>
      </c>
      <c r="AX176" s="21">
        <v>2.889245585874799E-2</v>
      </c>
      <c r="AY176" s="21">
        <v>2.9962546816479401E-2</v>
      </c>
      <c r="AZ176" s="21">
        <v>3.7453183520599252E-2</v>
      </c>
      <c r="BA176" s="21">
        <v>0.37086092715231789</v>
      </c>
      <c r="BB176" s="24">
        <v>0</v>
      </c>
      <c r="BC176" s="24">
        <v>0</v>
      </c>
      <c r="BD176" s="22">
        <v>0.96296296296296291</v>
      </c>
      <c r="BE176" s="22">
        <v>1</v>
      </c>
      <c r="BF176" s="22" t="s">
        <v>89</v>
      </c>
    </row>
    <row r="177" spans="1:58" ht="19.5" customHeight="1">
      <c r="A177" s="25">
        <v>174</v>
      </c>
      <c r="B177" s="20" t="s">
        <v>88</v>
      </c>
      <c r="C177" s="26">
        <v>46125</v>
      </c>
      <c r="D177" s="20" t="s">
        <v>11</v>
      </c>
      <c r="E177" s="20">
        <v>2267</v>
      </c>
      <c r="F177" s="20">
        <v>2037</v>
      </c>
      <c r="G177" s="21">
        <v>0.89854433171592418</v>
      </c>
      <c r="H177" s="20">
        <v>1416</v>
      </c>
      <c r="I177" s="22">
        <v>0.62461402734891924</v>
      </c>
      <c r="J177" s="20">
        <v>2433</v>
      </c>
      <c r="K177" s="20">
        <v>2381</v>
      </c>
      <c r="L177" s="21">
        <v>0.97899999999999998</v>
      </c>
      <c r="M177" s="20">
        <v>10587</v>
      </c>
      <c r="N177" s="20">
        <v>9772</v>
      </c>
      <c r="O177" s="20">
        <v>10421</v>
      </c>
      <c r="P177" s="21">
        <v>0.98432039293473128</v>
      </c>
      <c r="Q177" s="20">
        <v>26</v>
      </c>
      <c r="R177" s="20">
        <v>0</v>
      </c>
      <c r="S177" s="20">
        <v>0</v>
      </c>
      <c r="T177" s="21">
        <v>0</v>
      </c>
      <c r="U177" s="20">
        <v>0</v>
      </c>
      <c r="V177" s="21">
        <v>0</v>
      </c>
      <c r="W177" s="20">
        <v>1314</v>
      </c>
      <c r="X177" s="21">
        <v>0.57962064402293778</v>
      </c>
      <c r="Y177" s="20">
        <v>648</v>
      </c>
      <c r="Z177" s="23">
        <v>0.28584031760035289</v>
      </c>
      <c r="AA177" s="20">
        <v>17</v>
      </c>
      <c r="AB177" s="21">
        <v>7.4988972209969126E-3</v>
      </c>
      <c r="AC177" s="20">
        <v>199</v>
      </c>
      <c r="AD177" s="21">
        <v>8.7781208645787381E-2</v>
      </c>
      <c r="AE177" s="20">
        <v>30</v>
      </c>
      <c r="AF177" s="21">
        <v>0.15075376884422109</v>
      </c>
      <c r="AG177" s="20">
        <v>184</v>
      </c>
      <c r="AH177" s="21">
        <v>0.92462311557788945</v>
      </c>
      <c r="AI177" s="24">
        <v>172</v>
      </c>
      <c r="AJ177" s="21">
        <v>7.5871195412439349E-2</v>
      </c>
      <c r="AK177" s="24">
        <v>0</v>
      </c>
      <c r="AL177" s="21">
        <v>0.81976744186046513</v>
      </c>
      <c r="AM177" s="24">
        <v>172</v>
      </c>
      <c r="AN177" s="24">
        <v>141</v>
      </c>
      <c r="AO177" s="21">
        <v>6.2196735774150858E-2</v>
      </c>
      <c r="AP177" s="21">
        <v>0.70854271356783916</v>
      </c>
      <c r="AQ177" s="22">
        <v>0.97159090909090906</v>
      </c>
      <c r="AR177" s="24">
        <v>0</v>
      </c>
      <c r="AS177" s="24">
        <v>0</v>
      </c>
      <c r="AT177" s="24">
        <v>63</v>
      </c>
      <c r="AU177" s="24">
        <v>53</v>
      </c>
      <c r="AV177" s="24">
        <v>55</v>
      </c>
      <c r="AW177" s="24">
        <v>49</v>
      </c>
      <c r="AX177" s="21">
        <v>2.337891486546096E-2</v>
      </c>
      <c r="AY177" s="21">
        <v>2.426113806793119E-2</v>
      </c>
      <c r="AZ177" s="21">
        <v>2.1614468460520508E-2</v>
      </c>
      <c r="BA177" s="21">
        <v>0.39007092198581561</v>
      </c>
      <c r="BB177" s="24">
        <v>0</v>
      </c>
      <c r="BC177" s="24">
        <v>0</v>
      </c>
      <c r="BD177" s="22">
        <v>0.95238095238095233</v>
      </c>
      <c r="BE177" s="22">
        <v>1</v>
      </c>
      <c r="BF177" s="22" t="s">
        <v>89</v>
      </c>
    </row>
    <row r="178" spans="1:58" ht="19.5" customHeight="1">
      <c r="A178" s="25">
        <v>175</v>
      </c>
      <c r="B178" s="20" t="s">
        <v>88</v>
      </c>
      <c r="C178" s="26">
        <v>46125</v>
      </c>
      <c r="D178" s="20" t="s">
        <v>14</v>
      </c>
      <c r="E178" s="20">
        <v>7603</v>
      </c>
      <c r="F178" s="20">
        <v>6827</v>
      </c>
      <c r="G178" s="21">
        <v>0.89793502564777061</v>
      </c>
      <c r="H178" s="20">
        <v>3252</v>
      </c>
      <c r="I178" s="22">
        <v>0.42772589767197161</v>
      </c>
      <c r="J178" s="20">
        <v>9747</v>
      </c>
      <c r="K178" s="20">
        <v>9503</v>
      </c>
      <c r="L178" s="21">
        <v>0.97499999999999998</v>
      </c>
      <c r="M178" s="20">
        <v>26994</v>
      </c>
      <c r="N178" s="20">
        <v>23824</v>
      </c>
      <c r="O178" s="20">
        <v>26522</v>
      </c>
      <c r="P178" s="21">
        <v>0.98251463288138108</v>
      </c>
      <c r="Q178" s="20">
        <v>95</v>
      </c>
      <c r="R178" s="20">
        <v>0</v>
      </c>
      <c r="S178" s="20">
        <v>0</v>
      </c>
      <c r="T178" s="21">
        <v>0</v>
      </c>
      <c r="U178" s="20">
        <v>0</v>
      </c>
      <c r="V178" s="21">
        <v>0</v>
      </c>
      <c r="W178" s="20">
        <v>830</v>
      </c>
      <c r="X178" s="21">
        <v>0.109167433907668</v>
      </c>
      <c r="Y178" s="20">
        <v>825</v>
      </c>
      <c r="Z178" s="23">
        <v>0.1085097987636459</v>
      </c>
      <c r="AA178" s="20">
        <v>0</v>
      </c>
      <c r="AB178" s="21">
        <v>0</v>
      </c>
      <c r="AC178" s="20">
        <v>1331</v>
      </c>
      <c r="AD178" s="21">
        <v>0.17506247533868211</v>
      </c>
      <c r="AE178" s="20">
        <v>232</v>
      </c>
      <c r="AF178" s="21">
        <v>0.17430503380916601</v>
      </c>
      <c r="AG178" s="20">
        <v>1211</v>
      </c>
      <c r="AH178" s="21">
        <v>0.90984222389181069</v>
      </c>
      <c r="AI178" s="24">
        <v>1328</v>
      </c>
      <c r="AJ178" s="21">
        <v>0.17466789425226881</v>
      </c>
      <c r="AK178" s="24">
        <v>1</v>
      </c>
      <c r="AL178" s="21">
        <v>0.83207831325301207</v>
      </c>
      <c r="AM178" s="24">
        <v>1328</v>
      </c>
      <c r="AN178" s="24">
        <v>1105</v>
      </c>
      <c r="AO178" s="21">
        <v>0.14533736682888329</v>
      </c>
      <c r="AP178" s="21">
        <v>0.83020285499624347</v>
      </c>
      <c r="AQ178" s="22">
        <v>0.97624999999999995</v>
      </c>
      <c r="AR178" s="24">
        <v>0</v>
      </c>
      <c r="AS178" s="24">
        <v>0</v>
      </c>
      <c r="AT178" s="24">
        <v>70</v>
      </c>
      <c r="AU178" s="24">
        <v>-43</v>
      </c>
      <c r="AV178" s="24">
        <v>129</v>
      </c>
      <c r="AW178" s="24">
        <v>10</v>
      </c>
      <c r="AX178" s="21">
        <v>-5.6556622385900302E-3</v>
      </c>
      <c r="AY178" s="21">
        <v>1.6966986715770089E-2</v>
      </c>
      <c r="AZ178" s="21">
        <v>1.315270288044193E-3</v>
      </c>
      <c r="BA178" s="21">
        <v>0.1167420814479638</v>
      </c>
      <c r="BB178" s="24">
        <v>0</v>
      </c>
      <c r="BC178" s="24">
        <v>0</v>
      </c>
      <c r="BD178" s="22">
        <v>0.98</v>
      </c>
      <c r="BE178" s="22">
        <v>0.98245614035087714</v>
      </c>
      <c r="BF178" s="22" t="s">
        <v>89</v>
      </c>
    </row>
    <row r="179" spans="1:58" ht="19.5" customHeight="1">
      <c r="A179" s="25">
        <v>176</v>
      </c>
      <c r="B179" s="20" t="s">
        <v>88</v>
      </c>
      <c r="C179" s="26">
        <v>46125</v>
      </c>
      <c r="D179" s="20" t="s">
        <v>13</v>
      </c>
      <c r="E179" s="20">
        <v>2748</v>
      </c>
      <c r="F179" s="20">
        <v>2457</v>
      </c>
      <c r="G179" s="21">
        <v>0.89410480349344978</v>
      </c>
      <c r="H179" s="20">
        <v>1445</v>
      </c>
      <c r="I179" s="22">
        <v>0.52583697234352256</v>
      </c>
      <c r="J179" s="20">
        <v>4244</v>
      </c>
      <c r="K179" s="20">
        <v>4134</v>
      </c>
      <c r="L179" s="21">
        <v>0.97399999999999998</v>
      </c>
      <c r="M179" s="20">
        <v>18438</v>
      </c>
      <c r="N179" s="20">
        <v>17486</v>
      </c>
      <c r="O179" s="20">
        <v>18175</v>
      </c>
      <c r="P179" s="21">
        <v>0.98573598004121921</v>
      </c>
      <c r="Q179" s="20">
        <v>46</v>
      </c>
      <c r="R179" s="20">
        <v>0</v>
      </c>
      <c r="S179" s="20">
        <v>0</v>
      </c>
      <c r="T179" s="21">
        <v>0</v>
      </c>
      <c r="U179" s="20">
        <v>0</v>
      </c>
      <c r="V179" s="21">
        <v>0</v>
      </c>
      <c r="W179" s="20">
        <v>1886</v>
      </c>
      <c r="X179" s="21">
        <v>0.68631732168850068</v>
      </c>
      <c r="Y179" s="20">
        <v>1097</v>
      </c>
      <c r="Z179" s="23">
        <v>0.3991994177583697</v>
      </c>
      <c r="AA179" s="20">
        <v>84</v>
      </c>
      <c r="AB179" s="21">
        <v>3.0567685589519649E-2</v>
      </c>
      <c r="AC179" s="20">
        <v>375</v>
      </c>
      <c r="AD179" s="21">
        <v>0.13646288209606991</v>
      </c>
      <c r="AE179" s="20">
        <v>59</v>
      </c>
      <c r="AF179" s="21">
        <v>0.1573333333333333</v>
      </c>
      <c r="AG179" s="20">
        <v>336</v>
      </c>
      <c r="AH179" s="21">
        <v>0.89600000000000002</v>
      </c>
      <c r="AI179" s="24">
        <v>375</v>
      </c>
      <c r="AJ179" s="21">
        <v>0.13646288209606991</v>
      </c>
      <c r="AK179" s="24">
        <v>0</v>
      </c>
      <c r="AL179" s="21">
        <v>0.94933333333333336</v>
      </c>
      <c r="AM179" s="24">
        <v>370</v>
      </c>
      <c r="AN179" s="24">
        <v>356</v>
      </c>
      <c r="AO179" s="21">
        <v>0.12954876273653559</v>
      </c>
      <c r="AP179" s="21">
        <v>0.94933333333333336</v>
      </c>
      <c r="AQ179" s="22">
        <v>0.94314381270903014</v>
      </c>
      <c r="AR179" s="24">
        <v>0</v>
      </c>
      <c r="AS179" s="24">
        <v>0</v>
      </c>
      <c r="AT179" s="24">
        <v>62</v>
      </c>
      <c r="AU179" s="24">
        <v>50</v>
      </c>
      <c r="AV179" s="24">
        <v>53</v>
      </c>
      <c r="AW179" s="24">
        <v>95</v>
      </c>
      <c r="AX179" s="21">
        <v>1.8195050946142651E-2</v>
      </c>
      <c r="AY179" s="21">
        <v>1.9286754002911209E-2</v>
      </c>
      <c r="AZ179" s="21">
        <v>3.4570596797671042E-2</v>
      </c>
      <c r="BA179" s="21">
        <v>0.148876404494382</v>
      </c>
      <c r="BB179" s="24">
        <v>0</v>
      </c>
      <c r="BC179" s="24">
        <v>0</v>
      </c>
      <c r="BD179" s="22">
        <v>1</v>
      </c>
      <c r="BE179" s="22">
        <v>1</v>
      </c>
      <c r="BF179" s="22" t="s">
        <v>89</v>
      </c>
    </row>
    <row r="180" spans="1:58" ht="19.5" customHeight="1">
      <c r="A180" s="25">
        <v>177</v>
      </c>
      <c r="B180" s="20" t="s">
        <v>88</v>
      </c>
      <c r="C180" s="26">
        <v>46126</v>
      </c>
      <c r="D180" s="20" t="s">
        <v>12</v>
      </c>
      <c r="E180" s="20">
        <v>1637</v>
      </c>
      <c r="F180" s="20">
        <v>1482</v>
      </c>
      <c r="G180" s="21">
        <v>0.90531459987782525</v>
      </c>
      <c r="H180" s="20">
        <v>496</v>
      </c>
      <c r="I180" s="22">
        <v>0.30299328039095907</v>
      </c>
      <c r="J180" s="20">
        <v>2064</v>
      </c>
      <c r="K180" s="20">
        <v>1969</v>
      </c>
      <c r="L180" s="21">
        <v>0.95399999999999996</v>
      </c>
      <c r="M180" s="20">
        <v>10265</v>
      </c>
      <c r="N180" s="20">
        <v>10090</v>
      </c>
      <c r="O180" s="20">
        <v>10064</v>
      </c>
      <c r="P180" s="21">
        <v>0.98041889917194347</v>
      </c>
      <c r="Q180" s="20">
        <v>39</v>
      </c>
      <c r="R180" s="20">
        <v>0</v>
      </c>
      <c r="S180" s="20">
        <v>0</v>
      </c>
      <c r="T180" s="21">
        <v>0</v>
      </c>
      <c r="U180" s="20">
        <v>0</v>
      </c>
      <c r="V180" s="21">
        <v>0</v>
      </c>
      <c r="W180" s="20">
        <v>1301</v>
      </c>
      <c r="X180" s="21">
        <v>0.7947464874770922</v>
      </c>
      <c r="Y180" s="20">
        <v>659</v>
      </c>
      <c r="Z180" s="23">
        <v>0.40256566890653628</v>
      </c>
      <c r="AA180" s="20">
        <v>33</v>
      </c>
      <c r="AB180" s="21">
        <v>2.0158827122785581E-2</v>
      </c>
      <c r="AC180" s="20">
        <v>190</v>
      </c>
      <c r="AD180" s="21">
        <v>0.1160659743433109</v>
      </c>
      <c r="AE180" s="20">
        <v>24</v>
      </c>
      <c r="AF180" s="21">
        <v>0.12631578947368419</v>
      </c>
      <c r="AG180" s="20">
        <v>183</v>
      </c>
      <c r="AH180" s="21">
        <v>0.9631578947368421</v>
      </c>
      <c r="AI180" s="24">
        <v>184</v>
      </c>
      <c r="AJ180" s="21">
        <v>0.112400733048259</v>
      </c>
      <c r="AK180" s="24">
        <v>2</v>
      </c>
      <c r="AL180" s="21">
        <v>0.92934782608695654</v>
      </c>
      <c r="AM180" s="24">
        <v>184</v>
      </c>
      <c r="AN180" s="24">
        <v>171</v>
      </c>
      <c r="AO180" s="21">
        <v>0.1044593769089798</v>
      </c>
      <c r="AP180" s="21">
        <v>0.9</v>
      </c>
      <c r="AQ180" s="22">
        <v>0.97546012269938653</v>
      </c>
      <c r="AR180" s="24">
        <v>0</v>
      </c>
      <c r="AS180" s="24">
        <v>0</v>
      </c>
      <c r="AT180" s="24">
        <v>48</v>
      </c>
      <c r="AU180" s="24">
        <v>44</v>
      </c>
      <c r="AV180" s="24">
        <v>48</v>
      </c>
      <c r="AW180" s="24">
        <v>56</v>
      </c>
      <c r="AX180" s="21">
        <v>2.687843616371411E-2</v>
      </c>
      <c r="AY180" s="21">
        <v>2.9321930360415391E-2</v>
      </c>
      <c r="AZ180" s="21">
        <v>3.4208918753817957E-2</v>
      </c>
      <c r="BA180" s="21">
        <v>0.2807017543859649</v>
      </c>
      <c r="BB180" s="24">
        <v>0</v>
      </c>
      <c r="BC180" s="24">
        <v>0</v>
      </c>
      <c r="BD180" s="22">
        <v>0.95833333333333337</v>
      </c>
      <c r="BE180" s="22">
        <v>1</v>
      </c>
      <c r="BF180" s="22" t="s">
        <v>89</v>
      </c>
    </row>
    <row r="181" spans="1:58" ht="19.5" customHeight="1">
      <c r="A181" s="25">
        <v>178</v>
      </c>
      <c r="B181" s="20" t="s">
        <v>88</v>
      </c>
      <c r="C181" s="26">
        <v>46126</v>
      </c>
      <c r="D181" s="20" t="s">
        <v>11</v>
      </c>
      <c r="E181" s="20">
        <v>1992</v>
      </c>
      <c r="F181" s="20">
        <v>1733</v>
      </c>
      <c r="G181" s="21">
        <v>0.86997991967871491</v>
      </c>
      <c r="H181" s="20">
        <v>1001</v>
      </c>
      <c r="I181" s="22">
        <v>0.5025100401606426</v>
      </c>
      <c r="J181" s="20">
        <v>2631</v>
      </c>
      <c r="K181" s="20">
        <v>2547</v>
      </c>
      <c r="L181" s="21">
        <v>0.96799999999999997</v>
      </c>
      <c r="M181" s="20">
        <v>9812</v>
      </c>
      <c r="N181" s="20">
        <v>9906</v>
      </c>
      <c r="O181" s="20">
        <v>9618</v>
      </c>
      <c r="P181" s="21">
        <v>0.98022829188748473</v>
      </c>
      <c r="Q181" s="20">
        <v>43</v>
      </c>
      <c r="R181" s="20">
        <v>0</v>
      </c>
      <c r="S181" s="20">
        <v>0</v>
      </c>
      <c r="T181" s="21">
        <v>0</v>
      </c>
      <c r="U181" s="20">
        <v>0</v>
      </c>
      <c r="V181" s="21">
        <v>0</v>
      </c>
      <c r="W181" s="20">
        <v>1228</v>
      </c>
      <c r="X181" s="21">
        <v>0.61646586345381527</v>
      </c>
      <c r="Y181" s="20">
        <v>548</v>
      </c>
      <c r="Z181" s="23">
        <v>0.27510040160642568</v>
      </c>
      <c r="AA181" s="20">
        <v>15</v>
      </c>
      <c r="AB181" s="21">
        <v>7.5301204819277108E-3</v>
      </c>
      <c r="AC181" s="20">
        <v>192</v>
      </c>
      <c r="AD181" s="21">
        <v>9.6385542168674704E-2</v>
      </c>
      <c r="AE181" s="20">
        <v>30</v>
      </c>
      <c r="AF181" s="21">
        <v>0.15625</v>
      </c>
      <c r="AG181" s="20">
        <v>168</v>
      </c>
      <c r="AH181" s="21">
        <v>0.875</v>
      </c>
      <c r="AI181" s="24">
        <v>169</v>
      </c>
      <c r="AJ181" s="21">
        <v>8.4839357429718876E-2</v>
      </c>
      <c r="AK181" s="24">
        <v>2</v>
      </c>
      <c r="AL181" s="21">
        <v>0.85207100591715978</v>
      </c>
      <c r="AM181" s="24">
        <v>169</v>
      </c>
      <c r="AN181" s="24">
        <v>144</v>
      </c>
      <c r="AO181" s="21">
        <v>7.2289156626506021E-2</v>
      </c>
      <c r="AP181" s="21">
        <v>0.75</v>
      </c>
      <c r="AQ181" s="22">
        <v>0.9760479041916168</v>
      </c>
      <c r="AR181" s="24">
        <v>0</v>
      </c>
      <c r="AS181" s="24">
        <v>0</v>
      </c>
      <c r="AT181" s="24">
        <v>55</v>
      </c>
      <c r="AU181" s="24">
        <v>45</v>
      </c>
      <c r="AV181" s="24">
        <v>47</v>
      </c>
      <c r="AW181" s="24">
        <v>47</v>
      </c>
      <c r="AX181" s="21">
        <v>2.2590361445783129E-2</v>
      </c>
      <c r="AY181" s="21">
        <v>2.3594377510040159E-2</v>
      </c>
      <c r="AZ181" s="21">
        <v>2.3594377510040159E-2</v>
      </c>
      <c r="BA181" s="21">
        <v>0.3263888888888889</v>
      </c>
      <c r="BB181" s="24">
        <v>0</v>
      </c>
      <c r="BC181" s="24">
        <v>0</v>
      </c>
      <c r="BD181" s="22">
        <v>1</v>
      </c>
      <c r="BE181" s="22">
        <v>1</v>
      </c>
      <c r="BF181" s="22" t="s">
        <v>89</v>
      </c>
    </row>
    <row r="182" spans="1:58" ht="19.5" customHeight="1">
      <c r="A182" s="25">
        <v>179</v>
      </c>
      <c r="B182" s="20" t="s">
        <v>88</v>
      </c>
      <c r="C182" s="26">
        <v>46126</v>
      </c>
      <c r="D182" s="20" t="s">
        <v>14</v>
      </c>
      <c r="E182" s="20">
        <v>7250</v>
      </c>
      <c r="F182" s="20">
        <v>6442</v>
      </c>
      <c r="G182" s="21">
        <v>0.88855172413793104</v>
      </c>
      <c r="H182" s="20">
        <v>3198</v>
      </c>
      <c r="I182" s="22">
        <v>0.44110344827586212</v>
      </c>
      <c r="J182" s="20">
        <v>7854</v>
      </c>
      <c r="K182" s="20">
        <v>7600</v>
      </c>
      <c r="L182" s="21">
        <v>0.96799999999999997</v>
      </c>
      <c r="M182" s="20">
        <v>23295</v>
      </c>
      <c r="N182" s="20">
        <v>23972</v>
      </c>
      <c r="O182" s="20">
        <v>22842</v>
      </c>
      <c r="P182" s="21">
        <v>0.98055376690276885</v>
      </c>
      <c r="Q182" s="20">
        <v>43</v>
      </c>
      <c r="R182" s="20">
        <v>0</v>
      </c>
      <c r="S182" s="20">
        <v>0</v>
      </c>
      <c r="T182" s="21">
        <v>0</v>
      </c>
      <c r="U182" s="20">
        <v>0</v>
      </c>
      <c r="V182" s="21">
        <v>0</v>
      </c>
      <c r="W182" s="20">
        <v>906</v>
      </c>
      <c r="X182" s="21">
        <v>0.1249655172413793</v>
      </c>
      <c r="Y182" s="20">
        <v>1128</v>
      </c>
      <c r="Z182" s="23">
        <v>0.1555862068965517</v>
      </c>
      <c r="AA182" s="20">
        <v>0</v>
      </c>
      <c r="AB182" s="21">
        <v>0</v>
      </c>
      <c r="AC182" s="20">
        <v>1344</v>
      </c>
      <c r="AD182" s="21">
        <v>0.1853793103448276</v>
      </c>
      <c r="AE182" s="20">
        <v>245</v>
      </c>
      <c r="AF182" s="21">
        <v>0.18229166666666671</v>
      </c>
      <c r="AG182" s="20">
        <v>1230</v>
      </c>
      <c r="AH182" s="21">
        <v>0.9151785714285714</v>
      </c>
      <c r="AI182" s="24">
        <v>1387</v>
      </c>
      <c r="AJ182" s="21">
        <v>0.19131034482758619</v>
      </c>
      <c r="AK182" s="24">
        <v>9</v>
      </c>
      <c r="AL182" s="21">
        <v>0.8406633020908435</v>
      </c>
      <c r="AM182" s="24">
        <v>1384</v>
      </c>
      <c r="AN182" s="24">
        <v>1166</v>
      </c>
      <c r="AO182" s="21">
        <v>0.16082758620689661</v>
      </c>
      <c r="AP182" s="21">
        <v>0.86755952380952384</v>
      </c>
      <c r="AQ182" s="22">
        <v>0.97366382649109218</v>
      </c>
      <c r="AR182" s="24">
        <v>0</v>
      </c>
      <c r="AS182" s="24">
        <v>0</v>
      </c>
      <c r="AT182" s="24">
        <v>116</v>
      </c>
      <c r="AU182" s="24">
        <v>-9</v>
      </c>
      <c r="AV182" s="24">
        <v>164</v>
      </c>
      <c r="AW182" s="24">
        <v>25</v>
      </c>
      <c r="AX182" s="21">
        <v>-1.2413793103448281E-3</v>
      </c>
      <c r="AY182" s="21">
        <v>2.2620689655172409E-2</v>
      </c>
      <c r="AZ182" s="21">
        <v>3.448275862068965E-3</v>
      </c>
      <c r="BA182" s="21">
        <v>0.1406518010291595</v>
      </c>
      <c r="BB182" s="24">
        <v>0</v>
      </c>
      <c r="BC182" s="24">
        <v>0</v>
      </c>
      <c r="BD182" s="22">
        <v>0.97142857142857142</v>
      </c>
      <c r="BE182" s="22">
        <v>1</v>
      </c>
      <c r="BF182" s="22" t="s">
        <v>89</v>
      </c>
    </row>
    <row r="183" spans="1:58" ht="19.5" customHeight="1">
      <c r="A183" s="25">
        <v>180</v>
      </c>
      <c r="B183" s="20" t="s">
        <v>88</v>
      </c>
      <c r="C183" s="26">
        <v>46126</v>
      </c>
      <c r="D183" s="20" t="s">
        <v>13</v>
      </c>
      <c r="E183" s="20">
        <v>3034</v>
      </c>
      <c r="F183" s="20">
        <v>2685</v>
      </c>
      <c r="G183" s="21">
        <v>0.88497033618984844</v>
      </c>
      <c r="H183" s="20">
        <v>1926</v>
      </c>
      <c r="I183" s="22">
        <v>0.63480553724456168</v>
      </c>
      <c r="J183" s="20">
        <v>3573</v>
      </c>
      <c r="K183" s="20">
        <v>3477</v>
      </c>
      <c r="L183" s="21">
        <v>0.97299999999999998</v>
      </c>
      <c r="M183" s="20">
        <v>17427</v>
      </c>
      <c r="N183" s="20">
        <v>17206</v>
      </c>
      <c r="O183" s="20">
        <v>17131</v>
      </c>
      <c r="P183" s="21">
        <v>0.98301486199575372</v>
      </c>
      <c r="Q183" s="20">
        <v>44</v>
      </c>
      <c r="R183" s="20">
        <v>0</v>
      </c>
      <c r="S183" s="20">
        <v>0</v>
      </c>
      <c r="T183" s="21">
        <v>0</v>
      </c>
      <c r="U183" s="20">
        <v>0</v>
      </c>
      <c r="V183" s="21">
        <v>0</v>
      </c>
      <c r="W183" s="20">
        <v>1788</v>
      </c>
      <c r="X183" s="21">
        <v>0.58932102834541855</v>
      </c>
      <c r="Y183" s="20">
        <v>615</v>
      </c>
      <c r="Z183" s="23">
        <v>0.20270270270270269</v>
      </c>
      <c r="AA183" s="20">
        <v>89</v>
      </c>
      <c r="AB183" s="21">
        <v>2.9334212261041531E-2</v>
      </c>
      <c r="AC183" s="20">
        <v>402</v>
      </c>
      <c r="AD183" s="21">
        <v>0.1324983520105471</v>
      </c>
      <c r="AE183" s="20">
        <v>53</v>
      </c>
      <c r="AF183" s="21">
        <v>0.13184079601990051</v>
      </c>
      <c r="AG183" s="20">
        <v>377</v>
      </c>
      <c r="AH183" s="21">
        <v>0.93781094527363185</v>
      </c>
      <c r="AI183" s="24">
        <v>385</v>
      </c>
      <c r="AJ183" s="21">
        <v>0.12689518787079759</v>
      </c>
      <c r="AK183" s="24">
        <v>4</v>
      </c>
      <c r="AL183" s="21">
        <v>0.93766233766233764</v>
      </c>
      <c r="AM183" s="24">
        <v>384</v>
      </c>
      <c r="AN183" s="24">
        <v>361</v>
      </c>
      <c r="AO183" s="21">
        <v>0.1189848384970336</v>
      </c>
      <c r="AP183" s="21">
        <v>0.89800995024875618</v>
      </c>
      <c r="AQ183" s="22">
        <v>0.95303867403314912</v>
      </c>
      <c r="AR183" s="24">
        <v>0</v>
      </c>
      <c r="AS183" s="24">
        <v>0</v>
      </c>
      <c r="AT183" s="24">
        <v>66</v>
      </c>
      <c r="AU183" s="24">
        <v>60</v>
      </c>
      <c r="AV183" s="24">
        <v>59</v>
      </c>
      <c r="AW183" s="24">
        <v>99</v>
      </c>
      <c r="AX183" s="21">
        <v>1.9775873434410021E-2</v>
      </c>
      <c r="AY183" s="21">
        <v>1.944627554383652E-2</v>
      </c>
      <c r="AZ183" s="21">
        <v>3.2630191166776533E-2</v>
      </c>
      <c r="BA183" s="21">
        <v>0.16343490304709141</v>
      </c>
      <c r="BB183" s="24">
        <v>0</v>
      </c>
      <c r="BC183" s="24">
        <v>0</v>
      </c>
      <c r="BD183" s="22">
        <v>1</v>
      </c>
      <c r="BE183" s="22">
        <v>1</v>
      </c>
      <c r="BF183" s="22" t="s">
        <v>89</v>
      </c>
    </row>
    <row r="184" spans="1:58" ht="19.5" customHeight="1">
      <c r="A184" s="25">
        <v>181</v>
      </c>
      <c r="B184" s="20" t="s">
        <v>88</v>
      </c>
      <c r="C184" s="26">
        <v>46127</v>
      </c>
      <c r="D184" s="20" t="s">
        <v>12</v>
      </c>
      <c r="E184" s="20">
        <v>1453</v>
      </c>
      <c r="F184" s="20">
        <v>1303</v>
      </c>
      <c r="G184" s="21">
        <v>0.89676531314521679</v>
      </c>
      <c r="H184" s="20">
        <v>489</v>
      </c>
      <c r="I184" s="22">
        <v>0.33654507914659332</v>
      </c>
      <c r="J184" s="20">
        <v>2147</v>
      </c>
      <c r="K184" s="20">
        <v>2088</v>
      </c>
      <c r="L184" s="21">
        <v>0.97299999999999998</v>
      </c>
      <c r="M184" s="20">
        <v>10096</v>
      </c>
      <c r="N184" s="20">
        <v>10105</v>
      </c>
      <c r="O184" s="20">
        <v>9866</v>
      </c>
      <c r="P184" s="21">
        <v>0.9772187004754358</v>
      </c>
      <c r="Q184" s="20">
        <v>22</v>
      </c>
      <c r="R184" s="20">
        <v>0</v>
      </c>
      <c r="S184" s="20">
        <v>0</v>
      </c>
      <c r="T184" s="21">
        <v>0</v>
      </c>
      <c r="U184" s="20">
        <v>0</v>
      </c>
      <c r="V184" s="21">
        <v>0</v>
      </c>
      <c r="W184" s="20">
        <v>1328</v>
      </c>
      <c r="X184" s="21">
        <v>0.91397109428768064</v>
      </c>
      <c r="Y184" s="20">
        <v>991</v>
      </c>
      <c r="Z184" s="23">
        <v>0.6820371644872677</v>
      </c>
      <c r="AA184" s="20">
        <v>40</v>
      </c>
      <c r="AB184" s="21">
        <v>2.7529249827942189E-2</v>
      </c>
      <c r="AC184" s="20">
        <v>189</v>
      </c>
      <c r="AD184" s="21">
        <v>0.13007570543702679</v>
      </c>
      <c r="AE184" s="20">
        <v>30</v>
      </c>
      <c r="AF184" s="21">
        <v>0.15873015873015869</v>
      </c>
      <c r="AG184" s="20">
        <v>172</v>
      </c>
      <c r="AH184" s="21">
        <v>0.91005291005291</v>
      </c>
      <c r="AI184" s="24">
        <v>176</v>
      </c>
      <c r="AJ184" s="21">
        <v>0.1211286992429456</v>
      </c>
      <c r="AK184" s="24">
        <v>0</v>
      </c>
      <c r="AL184" s="21">
        <v>0.8125</v>
      </c>
      <c r="AM184" s="24">
        <v>177</v>
      </c>
      <c r="AN184" s="24">
        <v>143</v>
      </c>
      <c r="AO184" s="21">
        <v>9.8417068134893329E-2</v>
      </c>
      <c r="AP184" s="21">
        <v>0.75661375661375663</v>
      </c>
      <c r="AQ184" s="22">
        <v>0.95808383233532934</v>
      </c>
      <c r="AR184" s="24">
        <v>0</v>
      </c>
      <c r="AS184" s="24">
        <v>0</v>
      </c>
      <c r="AT184" s="24">
        <v>51</v>
      </c>
      <c r="AU184" s="24">
        <v>47</v>
      </c>
      <c r="AV184" s="24">
        <v>47</v>
      </c>
      <c r="AW184" s="24">
        <v>61</v>
      </c>
      <c r="AX184" s="21">
        <v>3.2346868547832072E-2</v>
      </c>
      <c r="AY184" s="21">
        <v>3.2346868547832072E-2</v>
      </c>
      <c r="AZ184" s="21">
        <v>4.1982105987611838E-2</v>
      </c>
      <c r="BA184" s="21">
        <v>0.32867132867132859</v>
      </c>
      <c r="BB184" s="24">
        <v>0</v>
      </c>
      <c r="BC184" s="24">
        <v>0</v>
      </c>
      <c r="BD184" s="22">
        <v>0.9642857142857143</v>
      </c>
      <c r="BE184" s="22">
        <v>1</v>
      </c>
      <c r="BF184" s="22" t="s">
        <v>89</v>
      </c>
    </row>
    <row r="185" spans="1:58" ht="19.5" customHeight="1">
      <c r="A185" s="25">
        <v>182</v>
      </c>
      <c r="B185" s="20" t="s">
        <v>88</v>
      </c>
      <c r="C185" s="26">
        <v>46127</v>
      </c>
      <c r="D185" s="20" t="s">
        <v>11</v>
      </c>
      <c r="E185" s="20">
        <v>2329</v>
      </c>
      <c r="F185" s="20">
        <v>2082</v>
      </c>
      <c r="G185" s="21">
        <v>0.89394589952769432</v>
      </c>
      <c r="H185" s="20">
        <v>1269</v>
      </c>
      <c r="I185" s="22">
        <v>0.544869042507514</v>
      </c>
      <c r="J185" s="20">
        <v>2014</v>
      </c>
      <c r="K185" s="20">
        <v>1940</v>
      </c>
      <c r="L185" s="21">
        <v>0.96299999999999997</v>
      </c>
      <c r="M185" s="20">
        <v>9624</v>
      </c>
      <c r="N185" s="20">
        <v>9563</v>
      </c>
      <c r="O185" s="20">
        <v>9420</v>
      </c>
      <c r="P185" s="21">
        <v>0.97880299251870329</v>
      </c>
      <c r="Q185" s="20">
        <v>28</v>
      </c>
      <c r="R185" s="20">
        <v>0</v>
      </c>
      <c r="S185" s="20">
        <v>0</v>
      </c>
      <c r="T185" s="21">
        <v>0</v>
      </c>
      <c r="U185" s="20">
        <v>0</v>
      </c>
      <c r="V185" s="21">
        <v>0</v>
      </c>
      <c r="W185" s="20">
        <v>1276</v>
      </c>
      <c r="X185" s="21">
        <v>0.54787462430227563</v>
      </c>
      <c r="Y185" s="20">
        <v>858</v>
      </c>
      <c r="Z185" s="23">
        <v>0.36839845427221979</v>
      </c>
      <c r="AA185" s="20">
        <v>26</v>
      </c>
      <c r="AB185" s="21">
        <v>1.11635895234006E-2</v>
      </c>
      <c r="AC185" s="20">
        <v>218</v>
      </c>
      <c r="AD185" s="21">
        <v>9.3602404465435815E-2</v>
      </c>
      <c r="AE185" s="20">
        <v>38</v>
      </c>
      <c r="AF185" s="21">
        <v>0.1743119266055046</v>
      </c>
      <c r="AG185" s="20">
        <v>195</v>
      </c>
      <c r="AH185" s="21">
        <v>0.89449541284403666</v>
      </c>
      <c r="AI185" s="24">
        <v>201</v>
      </c>
      <c r="AJ185" s="21">
        <v>8.6303134392443109E-2</v>
      </c>
      <c r="AK185" s="24">
        <v>0</v>
      </c>
      <c r="AL185" s="21">
        <v>0.86567164179104472</v>
      </c>
      <c r="AM185" s="24">
        <v>201</v>
      </c>
      <c r="AN185" s="24">
        <v>174</v>
      </c>
      <c r="AO185" s="21">
        <v>7.4710176041219406E-2</v>
      </c>
      <c r="AP185" s="21">
        <v>0.79816513761467889</v>
      </c>
      <c r="AQ185" s="22">
        <v>0.9375</v>
      </c>
      <c r="AR185" s="24">
        <v>0</v>
      </c>
      <c r="AS185" s="24">
        <v>0</v>
      </c>
      <c r="AT185" s="24">
        <v>47</v>
      </c>
      <c r="AU185" s="24">
        <v>39</v>
      </c>
      <c r="AV185" s="24">
        <v>37</v>
      </c>
      <c r="AW185" s="24">
        <v>65</v>
      </c>
      <c r="AX185" s="21">
        <v>1.67453842851009E-2</v>
      </c>
      <c r="AY185" s="21">
        <v>1.5886646629454701E-2</v>
      </c>
      <c r="AZ185" s="21">
        <v>2.7908973808501499E-2</v>
      </c>
      <c r="BA185" s="21">
        <v>0.2126436781609195</v>
      </c>
      <c r="BB185" s="24">
        <v>0</v>
      </c>
      <c r="BC185" s="24">
        <v>0</v>
      </c>
      <c r="BD185" s="22">
        <v>1</v>
      </c>
      <c r="BE185" s="22">
        <v>1</v>
      </c>
      <c r="BF185" s="22" t="s">
        <v>89</v>
      </c>
    </row>
    <row r="186" spans="1:58" ht="19.5" customHeight="1">
      <c r="A186" s="25">
        <v>183</v>
      </c>
      <c r="B186" s="20" t="s">
        <v>88</v>
      </c>
      <c r="C186" s="26">
        <v>46127</v>
      </c>
      <c r="D186" s="20" t="s">
        <v>14</v>
      </c>
      <c r="E186" s="20">
        <v>8851</v>
      </c>
      <c r="F186" s="20">
        <v>7849</v>
      </c>
      <c r="G186" s="21">
        <v>0.8867924528301887</v>
      </c>
      <c r="H186" s="20">
        <v>3225</v>
      </c>
      <c r="I186" s="22">
        <v>0.36436560840582988</v>
      </c>
      <c r="J186" s="20">
        <v>8196</v>
      </c>
      <c r="K186" s="20">
        <v>7978</v>
      </c>
      <c r="L186" s="21">
        <v>0.97299999999999998</v>
      </c>
      <c r="M186" s="20">
        <v>26494</v>
      </c>
      <c r="N186" s="20">
        <v>26890</v>
      </c>
      <c r="O186" s="20">
        <v>26069</v>
      </c>
      <c r="P186" s="21">
        <v>0.98395863214312673</v>
      </c>
      <c r="Q186" s="20">
        <v>37</v>
      </c>
      <c r="R186" s="20">
        <v>0</v>
      </c>
      <c r="S186" s="20">
        <v>0</v>
      </c>
      <c r="T186" s="21">
        <v>0</v>
      </c>
      <c r="U186" s="20">
        <v>0</v>
      </c>
      <c r="V186" s="21">
        <v>0</v>
      </c>
      <c r="W186" s="20">
        <v>868</v>
      </c>
      <c r="X186" s="21">
        <v>9.806801491356909E-2</v>
      </c>
      <c r="Y186" s="20">
        <v>1052</v>
      </c>
      <c r="Z186" s="23">
        <v>0.1188566263699017</v>
      </c>
      <c r="AA186" s="20">
        <v>0</v>
      </c>
      <c r="AB186" s="21">
        <v>0</v>
      </c>
      <c r="AC186" s="20">
        <v>1464</v>
      </c>
      <c r="AD186" s="21">
        <v>0.1654050389786465</v>
      </c>
      <c r="AE186" s="20">
        <v>279</v>
      </c>
      <c r="AF186" s="21">
        <v>0.1905737704918033</v>
      </c>
      <c r="AG186" s="20">
        <v>1338</v>
      </c>
      <c r="AH186" s="21">
        <v>0.91393442622950816</v>
      </c>
      <c r="AI186" s="24">
        <v>1504</v>
      </c>
      <c r="AJ186" s="21">
        <v>0.1699243023387188</v>
      </c>
      <c r="AK186" s="24">
        <v>6</v>
      </c>
      <c r="AL186" s="21">
        <v>0.8730053191489362</v>
      </c>
      <c r="AM186" s="24">
        <v>1502</v>
      </c>
      <c r="AN186" s="24">
        <v>1313</v>
      </c>
      <c r="AO186" s="21">
        <v>0.1483448197943735</v>
      </c>
      <c r="AP186" s="21">
        <v>0.89685792349726778</v>
      </c>
      <c r="AQ186" s="22">
        <v>0.97622585438335807</v>
      </c>
      <c r="AR186" s="24">
        <v>0</v>
      </c>
      <c r="AS186" s="24">
        <v>0</v>
      </c>
      <c r="AT186" s="24">
        <v>108</v>
      </c>
      <c r="AU186" s="24">
        <v>1</v>
      </c>
      <c r="AV186" s="24">
        <v>212</v>
      </c>
      <c r="AW186" s="24">
        <v>29</v>
      </c>
      <c r="AX186" s="21">
        <v>1.129815840018077E-4</v>
      </c>
      <c r="AY186" s="21">
        <v>2.3952095808383232E-2</v>
      </c>
      <c r="AZ186" s="21">
        <v>3.276465936052424E-3</v>
      </c>
      <c r="BA186" s="21">
        <v>0.1614623000761615</v>
      </c>
      <c r="BB186" s="24">
        <v>0</v>
      </c>
      <c r="BC186" s="24">
        <v>1</v>
      </c>
      <c r="BD186" s="22">
        <v>0.98393574297188757</v>
      </c>
      <c r="BE186" s="22">
        <v>0.97297297297297303</v>
      </c>
      <c r="BF186" s="22" t="s">
        <v>89</v>
      </c>
    </row>
    <row r="187" spans="1:58" ht="19.5" customHeight="1">
      <c r="A187" s="25">
        <v>184</v>
      </c>
      <c r="B187" s="20" t="s">
        <v>88</v>
      </c>
      <c r="C187" s="26">
        <v>46127</v>
      </c>
      <c r="D187" s="20" t="s">
        <v>13</v>
      </c>
      <c r="E187" s="20">
        <v>3012</v>
      </c>
      <c r="F187" s="20">
        <v>2749</v>
      </c>
      <c r="G187" s="21">
        <v>0.91268260292164671</v>
      </c>
      <c r="H187" s="20">
        <v>1636</v>
      </c>
      <c r="I187" s="22">
        <v>0.5431606905710491</v>
      </c>
      <c r="J187" s="20">
        <v>4061</v>
      </c>
      <c r="K187" s="20">
        <v>3963</v>
      </c>
      <c r="L187" s="21">
        <v>0.97599999999999998</v>
      </c>
      <c r="M187" s="20">
        <v>17318</v>
      </c>
      <c r="N187" s="20">
        <v>17321</v>
      </c>
      <c r="O187" s="20">
        <v>17065</v>
      </c>
      <c r="P187" s="21">
        <v>0.98539092273934636</v>
      </c>
      <c r="Q187" s="20">
        <v>31</v>
      </c>
      <c r="R187" s="20">
        <v>0</v>
      </c>
      <c r="S187" s="20">
        <v>0</v>
      </c>
      <c r="T187" s="21">
        <v>0</v>
      </c>
      <c r="U187" s="20">
        <v>0</v>
      </c>
      <c r="V187" s="21">
        <v>0</v>
      </c>
      <c r="W187" s="20">
        <v>1898</v>
      </c>
      <c r="X187" s="21">
        <v>0.63014608233731739</v>
      </c>
      <c r="Y187" s="20">
        <v>1228</v>
      </c>
      <c r="Z187" s="23">
        <v>0.40770252324037187</v>
      </c>
      <c r="AA187" s="20">
        <v>109</v>
      </c>
      <c r="AB187" s="21">
        <v>3.6188579017264279E-2</v>
      </c>
      <c r="AC187" s="20">
        <v>411</v>
      </c>
      <c r="AD187" s="21">
        <v>0.13645418326693229</v>
      </c>
      <c r="AE187" s="20">
        <v>61</v>
      </c>
      <c r="AF187" s="21">
        <v>0.1484184914841849</v>
      </c>
      <c r="AG187" s="20">
        <v>382</v>
      </c>
      <c r="AH187" s="21">
        <v>0.92944038929440387</v>
      </c>
      <c r="AI187" s="24">
        <v>412</v>
      </c>
      <c r="AJ187" s="21">
        <v>0.13678618857901731</v>
      </c>
      <c r="AK187" s="24">
        <v>2</v>
      </c>
      <c r="AL187" s="21">
        <v>0.92233009708737868</v>
      </c>
      <c r="AM187" s="24">
        <v>411</v>
      </c>
      <c r="AN187" s="24">
        <v>380</v>
      </c>
      <c r="AO187" s="21">
        <v>0.1261620185922975</v>
      </c>
      <c r="AP187" s="21">
        <v>0.92457420924574207</v>
      </c>
      <c r="AQ187" s="22">
        <v>0.97340425531914898</v>
      </c>
      <c r="AR187" s="24">
        <v>0</v>
      </c>
      <c r="AS187" s="24">
        <v>0</v>
      </c>
      <c r="AT187" s="24">
        <v>70</v>
      </c>
      <c r="AU187" s="24">
        <v>64</v>
      </c>
      <c r="AV187" s="24">
        <v>63</v>
      </c>
      <c r="AW187" s="24">
        <v>99</v>
      </c>
      <c r="AX187" s="21">
        <v>2.124833997343957E-2</v>
      </c>
      <c r="AY187" s="21">
        <v>2.091633466135458E-2</v>
      </c>
      <c r="AZ187" s="21">
        <v>3.2868525896414341E-2</v>
      </c>
      <c r="BA187" s="21">
        <v>0.16578947368421049</v>
      </c>
      <c r="BB187" s="24">
        <v>0</v>
      </c>
      <c r="BC187" s="24">
        <v>0</v>
      </c>
      <c r="BD187" s="22">
        <v>0.94</v>
      </c>
      <c r="BE187" s="22">
        <v>1</v>
      </c>
      <c r="BF187" s="22" t="s">
        <v>89</v>
      </c>
    </row>
    <row r="188" spans="1:58" ht="19.5" customHeight="1">
      <c r="A188" s="25">
        <v>185</v>
      </c>
      <c r="B188" s="20" t="s">
        <v>88</v>
      </c>
      <c r="C188" s="26">
        <v>46128</v>
      </c>
      <c r="D188" s="20" t="s">
        <v>12</v>
      </c>
      <c r="E188" s="20">
        <v>1758</v>
      </c>
      <c r="F188" s="20">
        <v>1552</v>
      </c>
      <c r="G188" s="21">
        <v>0.88282138794084186</v>
      </c>
      <c r="H188" s="20">
        <v>783</v>
      </c>
      <c r="I188" s="22">
        <v>0.44539249146757681</v>
      </c>
      <c r="J188" s="20">
        <v>2734</v>
      </c>
      <c r="K188" s="20">
        <v>2647</v>
      </c>
      <c r="L188" s="21">
        <v>0.96799999999999997</v>
      </c>
      <c r="M188" s="20">
        <v>10297</v>
      </c>
      <c r="N188" s="20">
        <v>10376</v>
      </c>
      <c r="O188" s="20">
        <v>10121</v>
      </c>
      <c r="P188" s="21">
        <v>0.9829076430028163</v>
      </c>
      <c r="Q188" s="20">
        <v>34</v>
      </c>
      <c r="R188" s="20">
        <v>0</v>
      </c>
      <c r="S188" s="20">
        <v>0</v>
      </c>
      <c r="T188" s="21">
        <v>0</v>
      </c>
      <c r="U188" s="20">
        <v>0</v>
      </c>
      <c r="V188" s="21">
        <v>0</v>
      </c>
      <c r="W188" s="20">
        <v>2124</v>
      </c>
      <c r="X188" s="21">
        <v>1.208191126279863</v>
      </c>
      <c r="Y188" s="20">
        <v>635</v>
      </c>
      <c r="Z188" s="23">
        <v>0.36120591581342443</v>
      </c>
      <c r="AA188" s="20">
        <v>39</v>
      </c>
      <c r="AB188" s="21">
        <v>2.2184300341296929E-2</v>
      </c>
      <c r="AC188" s="20">
        <v>206</v>
      </c>
      <c r="AD188" s="21">
        <v>0.1171786120591581</v>
      </c>
      <c r="AE188" s="20">
        <v>25</v>
      </c>
      <c r="AF188" s="21">
        <v>0.1213592233009709</v>
      </c>
      <c r="AG188" s="20">
        <v>186</v>
      </c>
      <c r="AH188" s="21">
        <v>0.90291262135922334</v>
      </c>
      <c r="AI188" s="24">
        <v>196</v>
      </c>
      <c r="AJ188" s="21">
        <v>0.11149032992036401</v>
      </c>
      <c r="AK188" s="24">
        <v>0</v>
      </c>
      <c r="AL188" s="21">
        <v>0.83163265306122447</v>
      </c>
      <c r="AM188" s="24">
        <v>195</v>
      </c>
      <c r="AN188" s="24">
        <v>163</v>
      </c>
      <c r="AO188" s="21">
        <v>9.2718998862343568E-2</v>
      </c>
      <c r="AP188" s="21">
        <v>0.79126213592233008</v>
      </c>
      <c r="AQ188" s="22">
        <v>0.96987951807228912</v>
      </c>
      <c r="AR188" s="24">
        <v>0</v>
      </c>
      <c r="AS188" s="24">
        <v>0</v>
      </c>
      <c r="AT188" s="24">
        <v>60</v>
      </c>
      <c r="AU188" s="24">
        <v>56</v>
      </c>
      <c r="AV188" s="24">
        <v>56</v>
      </c>
      <c r="AW188" s="24">
        <v>51</v>
      </c>
      <c r="AX188" s="21">
        <v>3.1854379977246869E-2</v>
      </c>
      <c r="AY188" s="21">
        <v>3.1854379977246869E-2</v>
      </c>
      <c r="AZ188" s="21">
        <v>2.9010238907849831E-2</v>
      </c>
      <c r="BA188" s="21">
        <v>0.34355828220858903</v>
      </c>
      <c r="BB188" s="24">
        <v>0</v>
      </c>
      <c r="BC188" s="24">
        <v>0</v>
      </c>
      <c r="BD188" s="22">
        <v>1</v>
      </c>
      <c r="BE188" s="22">
        <v>1</v>
      </c>
      <c r="BF188" s="22" t="s">
        <v>89</v>
      </c>
    </row>
    <row r="189" spans="1:58" ht="19.5" customHeight="1">
      <c r="A189" s="25">
        <v>186</v>
      </c>
      <c r="B189" s="20" t="s">
        <v>88</v>
      </c>
      <c r="C189" s="26">
        <v>46128</v>
      </c>
      <c r="D189" s="20" t="s">
        <v>11</v>
      </c>
      <c r="E189" s="20">
        <v>2143</v>
      </c>
      <c r="F189" s="20">
        <v>1855</v>
      </c>
      <c r="G189" s="21">
        <v>0.86560895940270643</v>
      </c>
      <c r="H189" s="20">
        <v>1132</v>
      </c>
      <c r="I189" s="22">
        <v>0.52823145123658422</v>
      </c>
      <c r="J189" s="20">
        <v>3097</v>
      </c>
      <c r="K189" s="20">
        <v>3010</v>
      </c>
      <c r="L189" s="21">
        <v>0.97199999999999998</v>
      </c>
      <c r="M189" s="20">
        <v>10708</v>
      </c>
      <c r="N189" s="20">
        <v>10847</v>
      </c>
      <c r="O189" s="20">
        <v>10538</v>
      </c>
      <c r="P189" s="21">
        <v>0.98412401942472916</v>
      </c>
      <c r="Q189" s="20">
        <v>44</v>
      </c>
      <c r="R189" s="20">
        <v>0</v>
      </c>
      <c r="S189" s="20">
        <v>0</v>
      </c>
      <c r="T189" s="21">
        <v>0</v>
      </c>
      <c r="U189" s="20">
        <v>0</v>
      </c>
      <c r="V189" s="21">
        <v>0</v>
      </c>
      <c r="W189" s="20">
        <v>2099</v>
      </c>
      <c r="X189" s="21">
        <v>0.97946803546430239</v>
      </c>
      <c r="Y189" s="20">
        <v>709</v>
      </c>
      <c r="Z189" s="23">
        <v>0.3308446103593094</v>
      </c>
      <c r="AA189" s="20">
        <v>22</v>
      </c>
      <c r="AB189" s="21">
        <v>1.0265982267848811E-2</v>
      </c>
      <c r="AC189" s="20">
        <v>225</v>
      </c>
      <c r="AD189" s="21">
        <v>0.10499300046663559</v>
      </c>
      <c r="AE189" s="20">
        <v>26</v>
      </c>
      <c r="AF189" s="21">
        <v>0.11555555555555561</v>
      </c>
      <c r="AG189" s="20">
        <v>203</v>
      </c>
      <c r="AH189" s="21">
        <v>0.90222222222222226</v>
      </c>
      <c r="AI189" s="24">
        <v>205</v>
      </c>
      <c r="AJ189" s="21">
        <v>9.5660289314045729E-2</v>
      </c>
      <c r="AK189" s="24">
        <v>0</v>
      </c>
      <c r="AL189" s="21">
        <v>0.87804878048780488</v>
      </c>
      <c r="AM189" s="24">
        <v>206</v>
      </c>
      <c r="AN189" s="24">
        <v>180</v>
      </c>
      <c r="AO189" s="21">
        <v>8.399440037330845E-2</v>
      </c>
      <c r="AP189" s="21">
        <v>0.8</v>
      </c>
      <c r="AQ189" s="22">
        <v>0.97959183673469385</v>
      </c>
      <c r="AR189" s="24">
        <v>0</v>
      </c>
      <c r="AS189" s="24">
        <v>0</v>
      </c>
      <c r="AT189" s="24">
        <v>40</v>
      </c>
      <c r="AU189" s="24">
        <v>32</v>
      </c>
      <c r="AV189" s="24">
        <v>33</v>
      </c>
      <c r="AW189" s="24">
        <v>61</v>
      </c>
      <c r="AX189" s="21">
        <v>1.4932337844143721E-2</v>
      </c>
      <c r="AY189" s="21">
        <v>1.539897340177322E-2</v>
      </c>
      <c r="AZ189" s="21">
        <v>2.8464769015398971E-2</v>
      </c>
      <c r="BA189" s="21">
        <v>0.18333333333333329</v>
      </c>
      <c r="BB189" s="24">
        <v>0</v>
      </c>
      <c r="BC189" s="24">
        <v>0</v>
      </c>
      <c r="BD189" s="22">
        <v>1</v>
      </c>
      <c r="BE189" s="22">
        <v>1</v>
      </c>
      <c r="BF189" s="22" t="s">
        <v>89</v>
      </c>
    </row>
    <row r="190" spans="1:58" ht="19.5" customHeight="1">
      <c r="A190" s="25">
        <v>187</v>
      </c>
      <c r="B190" s="20" t="s">
        <v>88</v>
      </c>
      <c r="C190" s="26">
        <v>46128</v>
      </c>
      <c r="D190" s="20" t="s">
        <v>14</v>
      </c>
      <c r="E190" s="20">
        <v>7578</v>
      </c>
      <c r="F190" s="20">
        <v>6836</v>
      </c>
      <c r="G190" s="21">
        <v>0.90208498284507788</v>
      </c>
      <c r="H190" s="20">
        <v>2942</v>
      </c>
      <c r="I190" s="22">
        <v>0.38822908419107938</v>
      </c>
      <c r="J190" s="20">
        <v>8848</v>
      </c>
      <c r="K190" s="20">
        <v>8609</v>
      </c>
      <c r="L190" s="21">
        <v>0.97299999999999998</v>
      </c>
      <c r="M190" s="20">
        <v>27145</v>
      </c>
      <c r="N190" s="20">
        <v>27187</v>
      </c>
      <c r="O190" s="20">
        <v>26700</v>
      </c>
      <c r="P190" s="21">
        <v>0.98360655737704916</v>
      </c>
      <c r="Q190" s="20">
        <v>63</v>
      </c>
      <c r="R190" s="20">
        <v>0</v>
      </c>
      <c r="S190" s="20">
        <v>0</v>
      </c>
      <c r="T190" s="21">
        <v>0</v>
      </c>
      <c r="U190" s="20">
        <v>0</v>
      </c>
      <c r="V190" s="21">
        <v>0</v>
      </c>
      <c r="W190" s="20">
        <v>1054</v>
      </c>
      <c r="X190" s="21">
        <v>0.13908683029823171</v>
      </c>
      <c r="Y190" s="20">
        <v>1392</v>
      </c>
      <c r="Z190" s="23">
        <v>0.18368962787015039</v>
      </c>
      <c r="AA190" s="20">
        <v>0</v>
      </c>
      <c r="AB190" s="21">
        <v>0</v>
      </c>
      <c r="AC190" s="20">
        <v>1402</v>
      </c>
      <c r="AD190" s="21">
        <v>0.18500923726576929</v>
      </c>
      <c r="AE190" s="20">
        <v>265</v>
      </c>
      <c r="AF190" s="21">
        <v>0.18901569186875891</v>
      </c>
      <c r="AG190" s="20">
        <v>1277</v>
      </c>
      <c r="AH190" s="21">
        <v>0.91084165477888734</v>
      </c>
      <c r="AI190" s="24">
        <v>1464</v>
      </c>
      <c r="AJ190" s="21">
        <v>0.19319081551860651</v>
      </c>
      <c r="AK190" s="24">
        <v>10</v>
      </c>
      <c r="AL190" s="21">
        <v>0.92144808743169404</v>
      </c>
      <c r="AM190" s="24">
        <v>1461</v>
      </c>
      <c r="AN190" s="24">
        <v>1349</v>
      </c>
      <c r="AO190" s="21">
        <v>0.17801530746898919</v>
      </c>
      <c r="AP190" s="21">
        <v>0.96219686162624818</v>
      </c>
      <c r="AQ190" s="22">
        <v>0.97313633310946945</v>
      </c>
      <c r="AR190" s="24">
        <v>0</v>
      </c>
      <c r="AS190" s="24">
        <v>0</v>
      </c>
      <c r="AT190" s="24">
        <v>124</v>
      </c>
      <c r="AU190" s="24">
        <v>115</v>
      </c>
      <c r="AV190" s="24">
        <v>110</v>
      </c>
      <c r="AW190" s="24">
        <v>34</v>
      </c>
      <c r="AX190" s="21">
        <v>1.5175508049617309E-2</v>
      </c>
      <c r="AY190" s="21">
        <v>1.4515703351807871E-2</v>
      </c>
      <c r="AZ190" s="21">
        <v>4.4866719451042486E-3</v>
      </c>
      <c r="BA190" s="21">
        <v>8.1541882876204591E-2</v>
      </c>
      <c r="BB190" s="24">
        <v>0</v>
      </c>
      <c r="BC190" s="24">
        <v>2</v>
      </c>
      <c r="BD190" s="22">
        <v>0.9859154929577465</v>
      </c>
      <c r="BE190" s="22">
        <v>0.94444444444444442</v>
      </c>
      <c r="BF190" s="22" t="s">
        <v>89</v>
      </c>
    </row>
    <row r="191" spans="1:58" ht="19.5" customHeight="1">
      <c r="A191" s="25">
        <v>188</v>
      </c>
      <c r="B191" s="20" t="s">
        <v>88</v>
      </c>
      <c r="C191" s="26">
        <v>46128</v>
      </c>
      <c r="D191" s="20" t="s">
        <v>13</v>
      </c>
      <c r="E191" s="20">
        <v>2896</v>
      </c>
      <c r="F191" s="20">
        <v>2633</v>
      </c>
      <c r="G191" s="21">
        <v>0.90918508287292821</v>
      </c>
      <c r="H191" s="20">
        <v>1541</v>
      </c>
      <c r="I191" s="22">
        <v>0.53211325966850831</v>
      </c>
      <c r="J191" s="20">
        <v>3407</v>
      </c>
      <c r="K191" s="20">
        <v>3300</v>
      </c>
      <c r="L191" s="21">
        <v>0.96899999999999997</v>
      </c>
      <c r="M191" s="20">
        <v>16437</v>
      </c>
      <c r="N191" s="20">
        <v>16451</v>
      </c>
      <c r="O191" s="20">
        <v>16191</v>
      </c>
      <c r="P191" s="21">
        <v>0.98503376528563602</v>
      </c>
      <c r="Q191" s="20">
        <v>53</v>
      </c>
      <c r="R191" s="20">
        <v>0</v>
      </c>
      <c r="S191" s="20">
        <v>0</v>
      </c>
      <c r="T191" s="21">
        <v>0</v>
      </c>
      <c r="U191" s="20">
        <v>0</v>
      </c>
      <c r="V191" s="21">
        <v>0</v>
      </c>
      <c r="W191" s="20">
        <v>3213</v>
      </c>
      <c r="X191" s="21">
        <v>1.1094613259668511</v>
      </c>
      <c r="Y191" s="20">
        <v>706</v>
      </c>
      <c r="Z191" s="23">
        <v>0.24378453038674031</v>
      </c>
      <c r="AA191" s="20">
        <v>95</v>
      </c>
      <c r="AB191" s="21">
        <v>3.2803867403314917E-2</v>
      </c>
      <c r="AC191" s="20">
        <v>414</v>
      </c>
      <c r="AD191" s="21">
        <v>0.14295580110497241</v>
      </c>
      <c r="AE191" s="20">
        <v>55</v>
      </c>
      <c r="AF191" s="21">
        <v>0.1328502415458937</v>
      </c>
      <c r="AG191" s="20">
        <v>377</v>
      </c>
      <c r="AH191" s="21">
        <v>0.91062801932367154</v>
      </c>
      <c r="AI191" s="24">
        <v>424</v>
      </c>
      <c r="AJ191" s="21">
        <v>0.14640883977900551</v>
      </c>
      <c r="AK191" s="24">
        <v>1</v>
      </c>
      <c r="AL191" s="21">
        <v>0.93160377358490565</v>
      </c>
      <c r="AM191" s="24">
        <v>425</v>
      </c>
      <c r="AN191" s="24">
        <v>395</v>
      </c>
      <c r="AO191" s="21">
        <v>0.13639502762430941</v>
      </c>
      <c r="AP191" s="21">
        <v>0.95410628019323673</v>
      </c>
      <c r="AQ191" s="22">
        <v>0.96259351620947631</v>
      </c>
      <c r="AR191" s="24">
        <v>0</v>
      </c>
      <c r="AS191" s="24">
        <v>0</v>
      </c>
      <c r="AT191" s="24">
        <v>59</v>
      </c>
      <c r="AU191" s="24">
        <v>50</v>
      </c>
      <c r="AV191" s="24">
        <v>48</v>
      </c>
      <c r="AW191" s="24">
        <v>91</v>
      </c>
      <c r="AX191" s="21">
        <v>1.726519337016575E-2</v>
      </c>
      <c r="AY191" s="21">
        <v>1.6574585635359119E-2</v>
      </c>
      <c r="AZ191" s="21">
        <v>3.142265193370166E-2</v>
      </c>
      <c r="BA191" s="21">
        <v>0.12151898734177211</v>
      </c>
      <c r="BB191" s="24">
        <v>0</v>
      </c>
      <c r="BC191" s="24">
        <v>0</v>
      </c>
      <c r="BD191" s="22">
        <v>0.96153846153846156</v>
      </c>
      <c r="BE191" s="22">
        <v>1</v>
      </c>
      <c r="BF191" s="22" t="s">
        <v>89</v>
      </c>
    </row>
    <row r="192" spans="1:58" ht="19.5" customHeight="1">
      <c r="A192" s="25">
        <v>189</v>
      </c>
      <c r="B192" s="20" t="s">
        <v>88</v>
      </c>
      <c r="C192" s="26">
        <v>46129</v>
      </c>
      <c r="D192" s="20" t="s">
        <v>12</v>
      </c>
      <c r="E192" s="20">
        <v>1671</v>
      </c>
      <c r="F192" s="20">
        <v>1455</v>
      </c>
      <c r="G192" s="21">
        <v>0.87073608617594256</v>
      </c>
      <c r="H192" s="20">
        <v>747</v>
      </c>
      <c r="I192" s="22">
        <v>0.44703770197486542</v>
      </c>
      <c r="J192" s="20">
        <v>2339</v>
      </c>
      <c r="K192" s="20">
        <v>2267</v>
      </c>
      <c r="L192" s="21">
        <v>0.96899999999999997</v>
      </c>
      <c r="M192" s="20">
        <v>10358</v>
      </c>
      <c r="N192" s="20">
        <v>10490</v>
      </c>
      <c r="O192" s="20">
        <v>10208</v>
      </c>
      <c r="P192" s="21">
        <v>0.98551843985325349</v>
      </c>
      <c r="Q192" s="20">
        <v>28</v>
      </c>
      <c r="R192" s="20">
        <v>0</v>
      </c>
      <c r="S192" s="20">
        <v>0</v>
      </c>
      <c r="T192" s="21">
        <v>0</v>
      </c>
      <c r="U192" s="20">
        <v>0</v>
      </c>
      <c r="V192" s="21">
        <v>0</v>
      </c>
      <c r="W192" s="20">
        <v>1260</v>
      </c>
      <c r="X192" s="21">
        <v>0.75403949730700182</v>
      </c>
      <c r="Y192" s="20">
        <v>530</v>
      </c>
      <c r="Z192" s="23">
        <v>0.31717534410532622</v>
      </c>
      <c r="AA192" s="20">
        <v>31</v>
      </c>
      <c r="AB192" s="21">
        <v>1.8551765409934171E-2</v>
      </c>
      <c r="AC192" s="20">
        <v>212</v>
      </c>
      <c r="AD192" s="21">
        <v>0.12687013764213051</v>
      </c>
      <c r="AE192" s="20">
        <v>40</v>
      </c>
      <c r="AF192" s="21">
        <v>0.18867924528301891</v>
      </c>
      <c r="AG192" s="20">
        <v>200</v>
      </c>
      <c r="AH192" s="21">
        <v>0.94339622641509435</v>
      </c>
      <c r="AI192" s="24">
        <v>210</v>
      </c>
      <c r="AJ192" s="21">
        <v>0.12567324955116699</v>
      </c>
      <c r="AK192" s="24">
        <v>1</v>
      </c>
      <c r="AL192" s="21">
        <v>0.89047619047619042</v>
      </c>
      <c r="AM192" s="24">
        <v>209</v>
      </c>
      <c r="AN192" s="24">
        <v>187</v>
      </c>
      <c r="AO192" s="21">
        <v>0.1119090365050868</v>
      </c>
      <c r="AP192" s="21">
        <v>0.88207547169811318</v>
      </c>
      <c r="AQ192" s="22">
        <v>0.97777777777777775</v>
      </c>
      <c r="AR192" s="24">
        <v>0</v>
      </c>
      <c r="AS192" s="24">
        <v>0</v>
      </c>
      <c r="AT192" s="24">
        <v>60</v>
      </c>
      <c r="AU192" s="24">
        <v>52</v>
      </c>
      <c r="AV192" s="24">
        <v>49</v>
      </c>
      <c r="AW192" s="24">
        <v>75</v>
      </c>
      <c r="AX192" s="21">
        <v>3.111909036505087E-2</v>
      </c>
      <c r="AY192" s="21">
        <v>2.9323758228605629E-2</v>
      </c>
      <c r="AZ192" s="21">
        <v>4.4883303411131059E-2</v>
      </c>
      <c r="BA192" s="21">
        <v>0.26203208556149732</v>
      </c>
      <c r="BB192" s="24">
        <v>0</v>
      </c>
      <c r="BC192" s="24">
        <v>0</v>
      </c>
      <c r="BD192" s="22">
        <v>1</v>
      </c>
      <c r="BE192" s="22">
        <v>1</v>
      </c>
      <c r="BF192" s="22" t="s">
        <v>89</v>
      </c>
    </row>
    <row r="193" spans="1:58" ht="19.5" customHeight="1">
      <c r="A193" s="25">
        <v>190</v>
      </c>
      <c r="B193" s="20" t="s">
        <v>88</v>
      </c>
      <c r="C193" s="26">
        <v>46129</v>
      </c>
      <c r="D193" s="20" t="s">
        <v>11</v>
      </c>
      <c r="E193" s="20">
        <v>2247</v>
      </c>
      <c r="F193" s="20">
        <v>1974</v>
      </c>
      <c r="G193" s="21">
        <v>0.87850467289719625</v>
      </c>
      <c r="H193" s="20">
        <v>1196</v>
      </c>
      <c r="I193" s="22">
        <v>0.53226524254561636</v>
      </c>
      <c r="J193" s="20">
        <v>1833</v>
      </c>
      <c r="K193" s="20">
        <v>1783</v>
      </c>
      <c r="L193" s="21">
        <v>0.97299999999999998</v>
      </c>
      <c r="M193" s="20">
        <v>9765</v>
      </c>
      <c r="N193" s="20">
        <v>10016</v>
      </c>
      <c r="O193" s="20">
        <v>9638</v>
      </c>
      <c r="P193" s="21">
        <v>0.98699436763952897</v>
      </c>
      <c r="Q193" s="20">
        <v>25</v>
      </c>
      <c r="R193" s="20">
        <v>0</v>
      </c>
      <c r="S193" s="20">
        <v>0</v>
      </c>
      <c r="T193" s="21">
        <v>0</v>
      </c>
      <c r="U193" s="20">
        <v>0</v>
      </c>
      <c r="V193" s="21">
        <v>0</v>
      </c>
      <c r="W193" s="20">
        <v>1111</v>
      </c>
      <c r="X193" s="21">
        <v>0.49443702714730747</v>
      </c>
      <c r="Y193" s="20">
        <v>896</v>
      </c>
      <c r="Z193" s="23">
        <v>0.39875389408099687</v>
      </c>
      <c r="AA193" s="20">
        <v>27</v>
      </c>
      <c r="AB193" s="21">
        <v>1.2016021361815749E-2</v>
      </c>
      <c r="AC193" s="20">
        <v>239</v>
      </c>
      <c r="AD193" s="21">
        <v>0.1063640409434802</v>
      </c>
      <c r="AE193" s="20">
        <v>35</v>
      </c>
      <c r="AF193" s="21">
        <v>0.14644351464435151</v>
      </c>
      <c r="AG193" s="20">
        <v>215</v>
      </c>
      <c r="AH193" s="21">
        <v>0.89958158995815896</v>
      </c>
      <c r="AI193" s="24">
        <v>227</v>
      </c>
      <c r="AJ193" s="21">
        <v>0.1010235870048954</v>
      </c>
      <c r="AK193" s="24">
        <v>1</v>
      </c>
      <c r="AL193" s="21">
        <v>0.82378854625550657</v>
      </c>
      <c r="AM193" s="24">
        <v>227</v>
      </c>
      <c r="AN193" s="24">
        <v>187</v>
      </c>
      <c r="AO193" s="21">
        <v>8.3222073876279487E-2</v>
      </c>
      <c r="AP193" s="21">
        <v>0.78242677824267781</v>
      </c>
      <c r="AQ193" s="22">
        <v>0.95454545454545459</v>
      </c>
      <c r="AR193" s="24">
        <v>0</v>
      </c>
      <c r="AS193" s="24">
        <v>0</v>
      </c>
      <c r="AT193" s="24">
        <v>68</v>
      </c>
      <c r="AU193" s="24">
        <v>55</v>
      </c>
      <c r="AV193" s="24">
        <v>53</v>
      </c>
      <c r="AW193" s="24">
        <v>67</v>
      </c>
      <c r="AX193" s="21">
        <v>2.447708055184691E-2</v>
      </c>
      <c r="AY193" s="21">
        <v>2.3587004895416111E-2</v>
      </c>
      <c r="AZ193" s="21">
        <v>2.9817534490431691E-2</v>
      </c>
      <c r="BA193" s="21">
        <v>0.28342245989304821</v>
      </c>
      <c r="BB193" s="24">
        <v>0</v>
      </c>
      <c r="BC193" s="24">
        <v>0</v>
      </c>
      <c r="BD193" s="22">
        <v>1</v>
      </c>
      <c r="BE193" s="22">
        <v>1</v>
      </c>
      <c r="BF193" s="22" t="s">
        <v>89</v>
      </c>
    </row>
    <row r="194" spans="1:58" ht="19.5" customHeight="1">
      <c r="A194" s="25">
        <v>191</v>
      </c>
      <c r="B194" s="20" t="s">
        <v>88</v>
      </c>
      <c r="C194" s="26">
        <v>46129</v>
      </c>
      <c r="D194" s="20" t="s">
        <v>14</v>
      </c>
      <c r="E194" s="20">
        <v>7484</v>
      </c>
      <c r="F194" s="20">
        <v>6572</v>
      </c>
      <c r="G194" s="21">
        <v>0.87814003206841262</v>
      </c>
      <c r="H194" s="20">
        <v>2557</v>
      </c>
      <c r="I194" s="22">
        <v>0.34166221272047032</v>
      </c>
      <c r="J194" s="20">
        <v>8540</v>
      </c>
      <c r="K194" s="20">
        <v>8338</v>
      </c>
      <c r="L194" s="21">
        <v>0.97599999999999998</v>
      </c>
      <c r="M194" s="20">
        <v>27851</v>
      </c>
      <c r="N194" s="20">
        <v>29583</v>
      </c>
      <c r="O194" s="20">
        <v>27443</v>
      </c>
      <c r="P194" s="21">
        <v>0.98535061577681238</v>
      </c>
      <c r="Q194" s="20">
        <v>36</v>
      </c>
      <c r="R194" s="20">
        <v>0</v>
      </c>
      <c r="S194" s="20">
        <v>0</v>
      </c>
      <c r="T194" s="21">
        <v>0</v>
      </c>
      <c r="U194" s="20">
        <v>0</v>
      </c>
      <c r="V194" s="21">
        <v>0</v>
      </c>
      <c r="W194" s="20">
        <v>1030</v>
      </c>
      <c r="X194" s="21">
        <v>0.13762693746659541</v>
      </c>
      <c r="Y194" s="20">
        <v>1432</v>
      </c>
      <c r="Z194" s="23">
        <v>0.19134152859433459</v>
      </c>
      <c r="AA194" s="20">
        <v>1</v>
      </c>
      <c r="AB194" s="21">
        <v>1.3361838588989841E-4</v>
      </c>
      <c r="AC194" s="20">
        <v>1492</v>
      </c>
      <c r="AD194" s="21">
        <v>0.1993586317477285</v>
      </c>
      <c r="AE194" s="20">
        <v>318</v>
      </c>
      <c r="AF194" s="21">
        <v>0.21313672922252011</v>
      </c>
      <c r="AG194" s="20">
        <v>1369</v>
      </c>
      <c r="AH194" s="21">
        <v>0.91756032171581769</v>
      </c>
      <c r="AI194" s="24">
        <v>1575</v>
      </c>
      <c r="AJ194" s="21">
        <v>0.21044895777659009</v>
      </c>
      <c r="AK194" s="24">
        <v>17</v>
      </c>
      <c r="AL194" s="21">
        <v>0.89015873015873015</v>
      </c>
      <c r="AM194" s="24">
        <v>1571</v>
      </c>
      <c r="AN194" s="24">
        <v>1402</v>
      </c>
      <c r="AO194" s="21">
        <v>0.1873329770176376</v>
      </c>
      <c r="AP194" s="21">
        <v>0.93967828418230559</v>
      </c>
      <c r="AQ194" s="22">
        <v>0.96522948539638387</v>
      </c>
      <c r="AR194" s="24">
        <v>0</v>
      </c>
      <c r="AS194" s="24">
        <v>0</v>
      </c>
      <c r="AT194" s="24">
        <v>115</v>
      </c>
      <c r="AU194" s="24">
        <v>107</v>
      </c>
      <c r="AV194" s="24">
        <v>100</v>
      </c>
      <c r="AW194" s="24">
        <v>46</v>
      </c>
      <c r="AX194" s="21">
        <v>1.4297167290219129E-2</v>
      </c>
      <c r="AY194" s="21">
        <v>1.3361838588989851E-2</v>
      </c>
      <c r="AZ194" s="21">
        <v>6.1464457509353291E-3</v>
      </c>
      <c r="BA194" s="21">
        <v>7.1326676176890161E-2</v>
      </c>
      <c r="BB194" s="24">
        <v>0</v>
      </c>
      <c r="BC194" s="24">
        <v>1</v>
      </c>
      <c r="BD194" s="22">
        <v>0.97388059701492535</v>
      </c>
      <c r="BE194" s="22">
        <v>1</v>
      </c>
      <c r="BF194" s="22" t="s">
        <v>89</v>
      </c>
    </row>
    <row r="195" spans="1:58" ht="19.5" customHeight="1">
      <c r="A195" s="25">
        <v>192</v>
      </c>
      <c r="B195" s="20" t="s">
        <v>88</v>
      </c>
      <c r="C195" s="26">
        <v>46129</v>
      </c>
      <c r="D195" s="20" t="s">
        <v>13</v>
      </c>
      <c r="E195" s="20">
        <v>2846</v>
      </c>
      <c r="F195" s="20">
        <v>2518</v>
      </c>
      <c r="G195" s="21">
        <v>0.88475052705551649</v>
      </c>
      <c r="H195" s="20">
        <v>1537</v>
      </c>
      <c r="I195" s="22">
        <v>0.54005621925509484</v>
      </c>
      <c r="J195" s="20">
        <v>3785</v>
      </c>
      <c r="K195" s="20">
        <v>3693</v>
      </c>
      <c r="L195" s="21">
        <v>0.97599999999999998</v>
      </c>
      <c r="M195" s="20">
        <v>17345</v>
      </c>
      <c r="N195" s="20">
        <v>17765</v>
      </c>
      <c r="O195" s="20">
        <v>17120</v>
      </c>
      <c r="P195" s="21">
        <v>0.98702796194868836</v>
      </c>
      <c r="Q195" s="20">
        <v>55</v>
      </c>
      <c r="R195" s="20">
        <v>0</v>
      </c>
      <c r="S195" s="20">
        <v>0</v>
      </c>
      <c r="T195" s="21">
        <v>0</v>
      </c>
      <c r="U195" s="20">
        <v>0</v>
      </c>
      <c r="V195" s="21">
        <v>0</v>
      </c>
      <c r="W195" s="20">
        <v>2112</v>
      </c>
      <c r="X195" s="21">
        <v>0.74209416725228394</v>
      </c>
      <c r="Y195" s="20">
        <v>1077</v>
      </c>
      <c r="Z195" s="23">
        <v>0.37842586085734359</v>
      </c>
      <c r="AA195" s="20">
        <v>95</v>
      </c>
      <c r="AB195" s="21">
        <v>3.338018271257906E-2</v>
      </c>
      <c r="AC195" s="20">
        <v>425</v>
      </c>
      <c r="AD195" s="21">
        <v>0.14933239634574841</v>
      </c>
      <c r="AE195" s="20">
        <v>56</v>
      </c>
      <c r="AF195" s="21">
        <v>0.13176470588235301</v>
      </c>
      <c r="AG195" s="20">
        <v>398</v>
      </c>
      <c r="AH195" s="21">
        <v>0.93647058823529417</v>
      </c>
      <c r="AI195" s="24">
        <v>435</v>
      </c>
      <c r="AJ195" s="21">
        <v>0.15284609978917779</v>
      </c>
      <c r="AK195" s="24">
        <v>0</v>
      </c>
      <c r="AL195" s="21">
        <v>0.94712643678160924</v>
      </c>
      <c r="AM195" s="24">
        <v>433</v>
      </c>
      <c r="AN195" s="24">
        <v>412</v>
      </c>
      <c r="AO195" s="21">
        <v>0.1447645818692902</v>
      </c>
      <c r="AP195" s="21">
        <v>0.96941176470588231</v>
      </c>
      <c r="AQ195" s="22">
        <v>0.94736842105263153</v>
      </c>
      <c r="AR195" s="24">
        <v>0</v>
      </c>
      <c r="AS195" s="24">
        <v>0</v>
      </c>
      <c r="AT195" s="24">
        <v>55</v>
      </c>
      <c r="AU195" s="24">
        <v>47</v>
      </c>
      <c r="AV195" s="24">
        <v>52</v>
      </c>
      <c r="AW195" s="24">
        <v>98</v>
      </c>
      <c r="AX195" s="21">
        <v>1.651440618411806E-2</v>
      </c>
      <c r="AY195" s="21">
        <v>1.8271257905832752E-2</v>
      </c>
      <c r="AZ195" s="21">
        <v>3.4434293745607872E-2</v>
      </c>
      <c r="BA195" s="21">
        <v>0.12621359223300971</v>
      </c>
      <c r="BB195" s="24">
        <v>0</v>
      </c>
      <c r="BC195" s="24">
        <v>0</v>
      </c>
      <c r="BD195" s="22">
        <v>1</v>
      </c>
      <c r="BE195" s="22">
        <v>1</v>
      </c>
      <c r="BF195" s="22" t="s">
        <v>89</v>
      </c>
    </row>
    <row r="196" spans="1:58" ht="19.5" customHeight="1">
      <c r="A196" s="25">
        <v>193</v>
      </c>
      <c r="B196" s="20" t="s">
        <v>88</v>
      </c>
      <c r="C196" s="26">
        <v>46130</v>
      </c>
      <c r="D196" s="20" t="s">
        <v>12</v>
      </c>
      <c r="E196" s="20">
        <v>1619</v>
      </c>
      <c r="F196" s="20">
        <v>1410</v>
      </c>
      <c r="G196" s="21">
        <v>0.87090796788140823</v>
      </c>
      <c r="H196" s="20">
        <v>517</v>
      </c>
      <c r="I196" s="22">
        <v>0.31933292155651638</v>
      </c>
      <c r="J196" s="20">
        <v>1615</v>
      </c>
      <c r="K196" s="20">
        <v>1566</v>
      </c>
      <c r="L196" s="21">
        <v>0.97</v>
      </c>
      <c r="M196" s="20">
        <v>9423</v>
      </c>
      <c r="N196" s="20">
        <v>9373</v>
      </c>
      <c r="O196" s="20">
        <v>9264</v>
      </c>
      <c r="P196" s="21">
        <v>0.98312639286851322</v>
      </c>
      <c r="Q196" s="20">
        <v>34</v>
      </c>
      <c r="R196" s="20">
        <v>0</v>
      </c>
      <c r="S196" s="20">
        <v>0</v>
      </c>
      <c r="T196" s="21">
        <v>0</v>
      </c>
      <c r="U196" s="20">
        <v>0</v>
      </c>
      <c r="V196" s="21">
        <v>0</v>
      </c>
      <c r="W196" s="20">
        <v>1476</v>
      </c>
      <c r="X196" s="21">
        <v>0.91167387276096357</v>
      </c>
      <c r="Y196" s="20">
        <v>555</v>
      </c>
      <c r="Z196" s="23">
        <v>0.34280420012353302</v>
      </c>
      <c r="AA196" s="20">
        <v>40</v>
      </c>
      <c r="AB196" s="21">
        <v>2.4706609017912291E-2</v>
      </c>
      <c r="AC196" s="20">
        <v>288</v>
      </c>
      <c r="AD196" s="21">
        <v>0.1778875849289685</v>
      </c>
      <c r="AE196" s="20">
        <v>38</v>
      </c>
      <c r="AF196" s="21">
        <v>0.13194444444444439</v>
      </c>
      <c r="AG196" s="20">
        <v>271</v>
      </c>
      <c r="AH196" s="21">
        <v>0.94097222222222221</v>
      </c>
      <c r="AI196" s="24">
        <v>281</v>
      </c>
      <c r="AJ196" s="21">
        <v>0.17356392835083381</v>
      </c>
      <c r="AK196" s="24">
        <v>0</v>
      </c>
      <c r="AL196" s="21">
        <v>0.91103202846975084</v>
      </c>
      <c r="AM196" s="24">
        <v>280</v>
      </c>
      <c r="AN196" s="24">
        <v>256</v>
      </c>
      <c r="AO196" s="21">
        <v>0.1581222977146387</v>
      </c>
      <c r="AP196" s="21">
        <v>0.88888888888888884</v>
      </c>
      <c r="AQ196" s="22">
        <v>0.97512437810945274</v>
      </c>
      <c r="AR196" s="24">
        <v>0</v>
      </c>
      <c r="AS196" s="24">
        <v>0</v>
      </c>
      <c r="AT196" s="24">
        <v>101</v>
      </c>
      <c r="AU196" s="24">
        <v>96</v>
      </c>
      <c r="AV196" s="24">
        <v>94</v>
      </c>
      <c r="AW196" s="24">
        <v>49</v>
      </c>
      <c r="AX196" s="21">
        <v>5.92958616429895E-2</v>
      </c>
      <c r="AY196" s="21">
        <v>5.8060531192093888E-2</v>
      </c>
      <c r="AZ196" s="21">
        <v>3.026559604694256E-2</v>
      </c>
      <c r="BA196" s="21">
        <v>0.3671875</v>
      </c>
      <c r="BB196" s="24">
        <v>0</v>
      </c>
      <c r="BC196" s="24">
        <v>0</v>
      </c>
      <c r="BD196" s="22">
        <v>1</v>
      </c>
      <c r="BE196" s="22">
        <v>1</v>
      </c>
      <c r="BF196" s="22" t="s">
        <v>89</v>
      </c>
    </row>
    <row r="197" spans="1:58" ht="19.5" customHeight="1">
      <c r="A197" s="25">
        <v>194</v>
      </c>
      <c r="B197" s="20" t="s">
        <v>88</v>
      </c>
      <c r="C197" s="26">
        <v>46130</v>
      </c>
      <c r="D197" s="20" t="s">
        <v>11</v>
      </c>
      <c r="E197" s="20">
        <v>3761</v>
      </c>
      <c r="F197" s="20">
        <v>3206</v>
      </c>
      <c r="G197" s="21">
        <v>0.85243286360010639</v>
      </c>
      <c r="H197" s="20">
        <v>2415</v>
      </c>
      <c r="I197" s="22">
        <v>0.64211645838872644</v>
      </c>
      <c r="J197" s="20">
        <v>3704</v>
      </c>
      <c r="K197" s="20">
        <v>3650</v>
      </c>
      <c r="L197" s="21">
        <v>0.98499999999999999</v>
      </c>
      <c r="M197" s="20">
        <v>11328</v>
      </c>
      <c r="N197" s="20">
        <v>11796</v>
      </c>
      <c r="O197" s="20">
        <v>11180</v>
      </c>
      <c r="P197" s="21">
        <v>0.98693502824858759</v>
      </c>
      <c r="Q197" s="20">
        <v>22</v>
      </c>
      <c r="R197" s="20">
        <v>0</v>
      </c>
      <c r="S197" s="20">
        <v>0</v>
      </c>
      <c r="T197" s="21">
        <v>0</v>
      </c>
      <c r="U197" s="20">
        <v>0</v>
      </c>
      <c r="V197" s="21">
        <v>0</v>
      </c>
      <c r="W197" s="20">
        <v>1264</v>
      </c>
      <c r="X197" s="21">
        <v>0.33608082956660462</v>
      </c>
      <c r="Y197" s="20">
        <v>578</v>
      </c>
      <c r="Z197" s="23">
        <v>0.15368253124169101</v>
      </c>
      <c r="AA197" s="20">
        <v>31</v>
      </c>
      <c r="AB197" s="21">
        <v>8.2424886998138797E-3</v>
      </c>
      <c r="AC197" s="20">
        <v>442</v>
      </c>
      <c r="AD197" s="21">
        <v>0.1175219356554108</v>
      </c>
      <c r="AE197" s="20">
        <v>51</v>
      </c>
      <c r="AF197" s="21">
        <v>0.1153846153846154</v>
      </c>
      <c r="AG197" s="20">
        <v>412</v>
      </c>
      <c r="AH197" s="21">
        <v>0.9321266968325792</v>
      </c>
      <c r="AI197" s="24">
        <v>419</v>
      </c>
      <c r="AJ197" s="21">
        <v>0.1114065408136134</v>
      </c>
      <c r="AK197" s="24">
        <v>3</v>
      </c>
      <c r="AL197" s="21">
        <v>0.84964200477326968</v>
      </c>
      <c r="AM197" s="24">
        <v>418</v>
      </c>
      <c r="AN197" s="24">
        <v>356</v>
      </c>
      <c r="AO197" s="21">
        <v>9.465567668173358E-2</v>
      </c>
      <c r="AP197" s="21">
        <v>0.80542986425339369</v>
      </c>
      <c r="AQ197" s="22">
        <v>0.9634703196347032</v>
      </c>
      <c r="AR197" s="24">
        <v>0</v>
      </c>
      <c r="AS197" s="24">
        <v>0</v>
      </c>
      <c r="AT197" s="24">
        <v>95</v>
      </c>
      <c r="AU197" s="24">
        <v>87</v>
      </c>
      <c r="AV197" s="24">
        <v>88</v>
      </c>
      <c r="AW197" s="24">
        <v>46</v>
      </c>
      <c r="AX197" s="21">
        <v>2.313214570592927E-2</v>
      </c>
      <c r="AY197" s="21">
        <v>2.3398032438181331E-2</v>
      </c>
      <c r="AZ197" s="21">
        <v>1.2230789683594791E-2</v>
      </c>
      <c r="BA197" s="21">
        <v>0.24719101123595499</v>
      </c>
      <c r="BB197" s="24">
        <v>0</v>
      </c>
      <c r="BC197" s="24">
        <v>0</v>
      </c>
      <c r="BD197" s="22">
        <v>0.97872340425531912</v>
      </c>
      <c r="BE197" s="22">
        <v>1</v>
      </c>
      <c r="BF197" s="22" t="s">
        <v>89</v>
      </c>
    </row>
    <row r="198" spans="1:58" ht="19.5" customHeight="1">
      <c r="A198" s="25">
        <v>195</v>
      </c>
      <c r="B198" s="20" t="s">
        <v>88</v>
      </c>
      <c r="C198" s="26">
        <v>46130</v>
      </c>
      <c r="D198" s="20" t="s">
        <v>14</v>
      </c>
      <c r="E198" s="20">
        <v>9160</v>
      </c>
      <c r="F198" s="20">
        <v>8064</v>
      </c>
      <c r="G198" s="21">
        <v>0.88034934497816597</v>
      </c>
      <c r="H198" s="20">
        <v>2995</v>
      </c>
      <c r="I198" s="22">
        <v>0.32696506550218341</v>
      </c>
      <c r="J198" s="20">
        <v>6892</v>
      </c>
      <c r="K198" s="20">
        <v>6739</v>
      </c>
      <c r="L198" s="21">
        <v>0.97799999999999998</v>
      </c>
      <c r="M198" s="20">
        <v>27384</v>
      </c>
      <c r="N198" s="20">
        <v>29176</v>
      </c>
      <c r="O198" s="20">
        <v>27030</v>
      </c>
      <c r="P198" s="21">
        <v>0.98707274320771254</v>
      </c>
      <c r="Q198" s="20">
        <v>46</v>
      </c>
      <c r="R198" s="20">
        <v>0</v>
      </c>
      <c r="S198" s="20">
        <v>0</v>
      </c>
      <c r="T198" s="21">
        <v>0</v>
      </c>
      <c r="U198" s="20">
        <v>0</v>
      </c>
      <c r="V198" s="21">
        <v>0</v>
      </c>
      <c r="W198" s="20">
        <v>1266</v>
      </c>
      <c r="X198" s="21">
        <v>0.1382096069868996</v>
      </c>
      <c r="Y198" s="20">
        <v>1212</v>
      </c>
      <c r="Z198" s="23">
        <v>0.13231441048034931</v>
      </c>
      <c r="AA198" s="20">
        <v>4</v>
      </c>
      <c r="AB198" s="21">
        <v>4.3668122270742359E-4</v>
      </c>
      <c r="AC198" s="20">
        <v>2265</v>
      </c>
      <c r="AD198" s="21">
        <v>0.24727074235807861</v>
      </c>
      <c r="AE198" s="20">
        <v>339</v>
      </c>
      <c r="AF198" s="21">
        <v>0.14966887417218541</v>
      </c>
      <c r="AG198" s="20">
        <v>2088</v>
      </c>
      <c r="AH198" s="21">
        <v>0.92185430463576157</v>
      </c>
      <c r="AI198" s="24">
        <v>2273</v>
      </c>
      <c r="AJ198" s="21">
        <v>0.24814410480349339</v>
      </c>
      <c r="AK198" s="24">
        <v>21</v>
      </c>
      <c r="AL198" s="21">
        <v>0.92960844698636169</v>
      </c>
      <c r="AM198" s="24">
        <v>2272</v>
      </c>
      <c r="AN198" s="24">
        <v>2113</v>
      </c>
      <c r="AO198" s="21">
        <v>0.23067685589519649</v>
      </c>
      <c r="AP198" s="21">
        <v>0.93289183222958061</v>
      </c>
      <c r="AQ198" s="22">
        <v>0.98293963254593175</v>
      </c>
      <c r="AR198" s="24">
        <v>0</v>
      </c>
      <c r="AS198" s="24">
        <v>0</v>
      </c>
      <c r="AT198" s="24">
        <v>244</v>
      </c>
      <c r="AU198" s="24">
        <v>233</v>
      </c>
      <c r="AV198" s="24">
        <v>225</v>
      </c>
      <c r="AW198" s="24">
        <v>31</v>
      </c>
      <c r="AX198" s="21">
        <v>2.5436681222707421E-2</v>
      </c>
      <c r="AY198" s="21">
        <v>2.4563318777292571E-2</v>
      </c>
      <c r="AZ198" s="21">
        <v>3.3842794759825329E-3</v>
      </c>
      <c r="BA198" s="21">
        <v>0.1064836725035495</v>
      </c>
      <c r="BB198" s="24">
        <v>0</v>
      </c>
      <c r="BC198" s="24">
        <v>1</v>
      </c>
      <c r="BD198" s="22">
        <v>0.98653198653198648</v>
      </c>
      <c r="BE198" s="22">
        <v>1</v>
      </c>
      <c r="BF198" s="22" t="s">
        <v>89</v>
      </c>
    </row>
    <row r="199" spans="1:58" ht="19.5" customHeight="1">
      <c r="A199" s="25">
        <v>196</v>
      </c>
      <c r="B199" s="20" t="s">
        <v>88</v>
      </c>
      <c r="C199" s="26">
        <v>46130</v>
      </c>
      <c r="D199" s="20" t="s">
        <v>13</v>
      </c>
      <c r="E199" s="20">
        <v>2782</v>
      </c>
      <c r="F199" s="20">
        <v>2501</v>
      </c>
      <c r="G199" s="21">
        <v>0.89899352983465131</v>
      </c>
      <c r="H199" s="20">
        <v>1292</v>
      </c>
      <c r="I199" s="22">
        <v>0.46441409058231492</v>
      </c>
      <c r="J199" s="20">
        <v>2884</v>
      </c>
      <c r="K199" s="20">
        <v>2832</v>
      </c>
      <c r="L199" s="21">
        <v>0.98199999999999998</v>
      </c>
      <c r="M199" s="20">
        <v>16626</v>
      </c>
      <c r="N199" s="20">
        <v>16659</v>
      </c>
      <c r="O199" s="20">
        <v>16457</v>
      </c>
      <c r="P199" s="21">
        <v>0.98983519788283414</v>
      </c>
      <c r="Q199" s="20">
        <v>37</v>
      </c>
      <c r="R199" s="20">
        <v>0</v>
      </c>
      <c r="S199" s="20">
        <v>0</v>
      </c>
      <c r="T199" s="21">
        <v>0</v>
      </c>
      <c r="U199" s="20">
        <v>0</v>
      </c>
      <c r="V199" s="21">
        <v>0</v>
      </c>
      <c r="W199" s="20">
        <v>2079</v>
      </c>
      <c r="X199" s="21">
        <v>0.74730409777138751</v>
      </c>
      <c r="Y199" s="20">
        <v>775</v>
      </c>
      <c r="Z199" s="23">
        <v>0.27857656362329258</v>
      </c>
      <c r="AA199" s="20">
        <v>84</v>
      </c>
      <c r="AB199" s="21">
        <v>3.01941049604601E-2</v>
      </c>
      <c r="AC199" s="20">
        <v>628</v>
      </c>
      <c r="AD199" s="21">
        <v>0.2257368799424874</v>
      </c>
      <c r="AE199" s="20">
        <v>78</v>
      </c>
      <c r="AF199" s="21">
        <v>0.124203821656051</v>
      </c>
      <c r="AG199" s="20">
        <v>578</v>
      </c>
      <c r="AH199" s="21">
        <v>0.92038216560509556</v>
      </c>
      <c r="AI199" s="24">
        <v>620</v>
      </c>
      <c r="AJ199" s="21">
        <v>0.22286125089863409</v>
      </c>
      <c r="AK199" s="24">
        <v>1</v>
      </c>
      <c r="AL199" s="21">
        <v>0.93870967741935485</v>
      </c>
      <c r="AM199" s="24">
        <v>616</v>
      </c>
      <c r="AN199" s="24">
        <v>582</v>
      </c>
      <c r="AO199" s="21">
        <v>0.20920201294033069</v>
      </c>
      <c r="AP199" s="21">
        <v>0.92675159235668791</v>
      </c>
      <c r="AQ199" s="22">
        <v>0.9616306954436451</v>
      </c>
      <c r="AR199" s="24">
        <v>0</v>
      </c>
      <c r="AS199" s="24">
        <v>0</v>
      </c>
      <c r="AT199" s="24">
        <v>119</v>
      </c>
      <c r="AU199" s="24">
        <v>114</v>
      </c>
      <c r="AV199" s="24">
        <v>108</v>
      </c>
      <c r="AW199" s="24">
        <v>74</v>
      </c>
      <c r="AX199" s="21">
        <v>4.0977713874910143E-2</v>
      </c>
      <c r="AY199" s="21">
        <v>3.8820992092020133E-2</v>
      </c>
      <c r="AZ199" s="21">
        <v>2.6599568655643419E-2</v>
      </c>
      <c r="BA199" s="21">
        <v>0.18556701030927841</v>
      </c>
      <c r="BB199" s="24">
        <v>0</v>
      </c>
      <c r="BC199" s="24">
        <v>0</v>
      </c>
      <c r="BD199" s="22">
        <v>0.97647058823529409</v>
      </c>
      <c r="BE199" s="22">
        <v>1</v>
      </c>
      <c r="BF199" s="22" t="s">
        <v>89</v>
      </c>
    </row>
    <row r="200" spans="1:58" ht="19.5" customHeight="1">
      <c r="A200" s="25">
        <v>197</v>
      </c>
      <c r="B200" s="20" t="s">
        <v>88</v>
      </c>
      <c r="C200" s="26">
        <v>46131</v>
      </c>
      <c r="D200" s="20" t="s">
        <v>12</v>
      </c>
      <c r="E200" s="20">
        <v>1559</v>
      </c>
      <c r="F200" s="20">
        <v>1418</v>
      </c>
      <c r="G200" s="21">
        <v>0.90955740859525336</v>
      </c>
      <c r="H200" s="20">
        <v>555</v>
      </c>
      <c r="I200" s="22">
        <v>0.35599743425272612</v>
      </c>
      <c r="J200" s="20">
        <v>1849</v>
      </c>
      <c r="K200" s="20">
        <v>1788</v>
      </c>
      <c r="L200" s="21">
        <v>0.96699999999999997</v>
      </c>
      <c r="M200" s="20">
        <v>9780</v>
      </c>
      <c r="N200" s="20">
        <v>9652</v>
      </c>
      <c r="O200" s="20">
        <v>9643</v>
      </c>
      <c r="P200" s="21">
        <v>0.9859918200408998</v>
      </c>
      <c r="Q200" s="20">
        <v>38</v>
      </c>
      <c r="R200" s="20">
        <v>0</v>
      </c>
      <c r="S200" s="20">
        <v>0</v>
      </c>
      <c r="T200" s="21">
        <v>0</v>
      </c>
      <c r="U200" s="20">
        <v>0</v>
      </c>
      <c r="V200" s="21">
        <v>0</v>
      </c>
      <c r="W200" s="20">
        <v>1639</v>
      </c>
      <c r="X200" s="21">
        <v>1.051314945477871</v>
      </c>
      <c r="Y200" s="20">
        <v>406</v>
      </c>
      <c r="Z200" s="23">
        <v>0.26042334830019243</v>
      </c>
      <c r="AA200" s="20">
        <v>36</v>
      </c>
      <c r="AB200" s="21">
        <v>2.309172546504169E-2</v>
      </c>
      <c r="AC200" s="20">
        <v>276</v>
      </c>
      <c r="AD200" s="21">
        <v>0.17703656189865299</v>
      </c>
      <c r="AE200" s="20">
        <v>37</v>
      </c>
      <c r="AF200" s="21">
        <v>0.13405797101449279</v>
      </c>
      <c r="AG200" s="20">
        <v>251</v>
      </c>
      <c r="AH200" s="21">
        <v>0.90942028985507251</v>
      </c>
      <c r="AI200" s="24">
        <v>264</v>
      </c>
      <c r="AJ200" s="21">
        <v>0.16933932007697239</v>
      </c>
      <c r="AK200" s="24">
        <v>0</v>
      </c>
      <c r="AL200" s="21">
        <v>0.90530303030303028</v>
      </c>
      <c r="AM200" s="24">
        <v>262</v>
      </c>
      <c r="AN200" s="24">
        <v>239</v>
      </c>
      <c r="AO200" s="21">
        <v>0.15330339961513789</v>
      </c>
      <c r="AP200" s="21">
        <v>0.86594202898550721</v>
      </c>
      <c r="AQ200" s="22">
        <v>0.97628458498023718</v>
      </c>
      <c r="AR200" s="24">
        <v>0</v>
      </c>
      <c r="AS200" s="24">
        <v>0</v>
      </c>
      <c r="AT200" s="24">
        <v>97</v>
      </c>
      <c r="AU200" s="24">
        <v>88</v>
      </c>
      <c r="AV200" s="24">
        <v>88</v>
      </c>
      <c r="AW200" s="24">
        <v>32</v>
      </c>
      <c r="AX200" s="21">
        <v>5.644644002565747E-2</v>
      </c>
      <c r="AY200" s="21">
        <v>5.644644002565747E-2</v>
      </c>
      <c r="AZ200" s="21">
        <v>2.052597819114817E-2</v>
      </c>
      <c r="BA200" s="21">
        <v>0.3682008368200837</v>
      </c>
      <c r="BB200" s="24">
        <v>0</v>
      </c>
      <c r="BC200" s="24">
        <v>0</v>
      </c>
      <c r="BD200" s="22">
        <v>1</v>
      </c>
      <c r="BE200" s="22">
        <v>1</v>
      </c>
      <c r="BF200" s="22" t="s">
        <v>89</v>
      </c>
    </row>
    <row r="201" spans="1:58" ht="19.5" customHeight="1">
      <c r="A201" s="25">
        <v>198</v>
      </c>
      <c r="B201" s="20" t="s">
        <v>88</v>
      </c>
      <c r="C201" s="26">
        <v>46131</v>
      </c>
      <c r="D201" s="20" t="s">
        <v>11</v>
      </c>
      <c r="E201" s="20">
        <v>2418</v>
      </c>
      <c r="F201" s="20">
        <v>2168</v>
      </c>
      <c r="G201" s="21">
        <v>0.89660876757650954</v>
      </c>
      <c r="H201" s="20">
        <v>1386</v>
      </c>
      <c r="I201" s="22">
        <v>0.57320099255583123</v>
      </c>
      <c r="J201" s="20">
        <v>2372</v>
      </c>
      <c r="K201" s="20">
        <v>2304</v>
      </c>
      <c r="L201" s="21">
        <v>0.97099999999999997</v>
      </c>
      <c r="M201" s="20">
        <v>10828</v>
      </c>
      <c r="N201" s="20">
        <v>10577</v>
      </c>
      <c r="O201" s="20">
        <v>10663</v>
      </c>
      <c r="P201" s="21">
        <v>0.98476172885112667</v>
      </c>
      <c r="Q201" s="20">
        <v>36</v>
      </c>
      <c r="R201" s="20">
        <v>0</v>
      </c>
      <c r="S201" s="20">
        <v>0</v>
      </c>
      <c r="T201" s="21">
        <v>0</v>
      </c>
      <c r="U201" s="20">
        <v>0</v>
      </c>
      <c r="V201" s="21">
        <v>0</v>
      </c>
      <c r="W201" s="20">
        <v>1671</v>
      </c>
      <c r="X201" s="21">
        <v>0.69106699751861045</v>
      </c>
      <c r="Y201" s="20">
        <v>484</v>
      </c>
      <c r="Z201" s="23">
        <v>0.20016542597187759</v>
      </c>
      <c r="AA201" s="20">
        <v>20</v>
      </c>
      <c r="AB201" s="21">
        <v>8.271298593879239E-3</v>
      </c>
      <c r="AC201" s="20">
        <v>387</v>
      </c>
      <c r="AD201" s="21">
        <v>0.16004962779156329</v>
      </c>
      <c r="AE201" s="20">
        <v>47</v>
      </c>
      <c r="AF201" s="21">
        <v>0.1214470284237726</v>
      </c>
      <c r="AG201" s="20">
        <v>352</v>
      </c>
      <c r="AH201" s="21">
        <v>0.90956072351421191</v>
      </c>
      <c r="AI201" s="24">
        <v>371</v>
      </c>
      <c r="AJ201" s="21">
        <v>0.15343258891645989</v>
      </c>
      <c r="AK201" s="24">
        <v>3</v>
      </c>
      <c r="AL201" s="21">
        <v>0.84636118598382748</v>
      </c>
      <c r="AM201" s="24">
        <v>368</v>
      </c>
      <c r="AN201" s="24">
        <v>314</v>
      </c>
      <c r="AO201" s="21">
        <v>0.12985938792390411</v>
      </c>
      <c r="AP201" s="21">
        <v>0.81136950904392768</v>
      </c>
      <c r="AQ201" s="22">
        <v>0.9715762273901809</v>
      </c>
      <c r="AR201" s="24">
        <v>0</v>
      </c>
      <c r="AS201" s="24">
        <v>0</v>
      </c>
      <c r="AT201" s="24">
        <v>118</v>
      </c>
      <c r="AU201" s="24">
        <v>109</v>
      </c>
      <c r="AV201" s="24">
        <v>111</v>
      </c>
      <c r="AW201" s="24">
        <v>18</v>
      </c>
      <c r="AX201" s="21">
        <v>4.5078577336641848E-2</v>
      </c>
      <c r="AY201" s="21">
        <v>4.590570719602978E-2</v>
      </c>
      <c r="AZ201" s="21">
        <v>7.4441687344913151E-3</v>
      </c>
      <c r="BA201" s="21">
        <v>0.35350318471337577</v>
      </c>
      <c r="BB201" s="24">
        <v>0</v>
      </c>
      <c r="BC201" s="24">
        <v>0</v>
      </c>
      <c r="BD201" s="22">
        <v>1</v>
      </c>
      <c r="BE201" s="22">
        <v>0.96666666666666667</v>
      </c>
      <c r="BF201" s="22" t="s">
        <v>89</v>
      </c>
    </row>
    <row r="202" spans="1:58" ht="19.5" customHeight="1">
      <c r="A202" s="25">
        <v>199</v>
      </c>
      <c r="B202" s="20" t="s">
        <v>88</v>
      </c>
      <c r="C202" s="26">
        <v>46131</v>
      </c>
      <c r="D202" s="20" t="s">
        <v>14</v>
      </c>
      <c r="E202" s="20">
        <v>8662</v>
      </c>
      <c r="F202" s="20">
        <v>7712</v>
      </c>
      <c r="G202" s="21">
        <v>0.89032555991687834</v>
      </c>
      <c r="H202" s="20">
        <v>3369</v>
      </c>
      <c r="I202" s="22">
        <v>0.38894019856846002</v>
      </c>
      <c r="J202" s="20">
        <v>9552</v>
      </c>
      <c r="K202" s="20">
        <v>9296</v>
      </c>
      <c r="L202" s="21">
        <v>0.97299999999999998</v>
      </c>
      <c r="M202" s="20">
        <v>31767</v>
      </c>
      <c r="N202" s="20">
        <v>30772</v>
      </c>
      <c r="O202" s="20">
        <v>31255</v>
      </c>
      <c r="P202" s="21">
        <v>0.98388264551263893</v>
      </c>
      <c r="Q202" s="20">
        <v>145</v>
      </c>
      <c r="R202" s="20">
        <v>0</v>
      </c>
      <c r="S202" s="20">
        <v>0</v>
      </c>
      <c r="T202" s="21">
        <v>0</v>
      </c>
      <c r="U202" s="20">
        <v>0</v>
      </c>
      <c r="V202" s="21">
        <v>0</v>
      </c>
      <c r="W202" s="20">
        <v>1484</v>
      </c>
      <c r="X202" s="21">
        <v>0.17132302008773961</v>
      </c>
      <c r="Y202" s="20">
        <v>1109</v>
      </c>
      <c r="Z202" s="23">
        <v>0.12803047794966521</v>
      </c>
      <c r="AA202" s="20">
        <v>0</v>
      </c>
      <c r="AB202" s="21">
        <v>0</v>
      </c>
      <c r="AC202" s="20">
        <v>2126</v>
      </c>
      <c r="AD202" s="21">
        <v>0.24543985222812281</v>
      </c>
      <c r="AE202" s="20">
        <v>381</v>
      </c>
      <c r="AF202" s="21">
        <v>0.17920978363123241</v>
      </c>
      <c r="AG202" s="20">
        <v>1948</v>
      </c>
      <c r="AH202" s="21">
        <v>0.91627469426152397</v>
      </c>
      <c r="AI202" s="24">
        <v>2151</v>
      </c>
      <c r="AJ202" s="21">
        <v>0.24832602170399451</v>
      </c>
      <c r="AK202" s="24">
        <v>15</v>
      </c>
      <c r="AL202" s="21">
        <v>0.91166899116689915</v>
      </c>
      <c r="AM202" s="24">
        <v>2128</v>
      </c>
      <c r="AN202" s="24">
        <v>1961</v>
      </c>
      <c r="AO202" s="21">
        <v>0.2263911336873701</v>
      </c>
      <c r="AP202" s="21">
        <v>0.9223894637817498</v>
      </c>
      <c r="AQ202" s="22">
        <v>0.97028365601080591</v>
      </c>
      <c r="AR202" s="24">
        <v>0</v>
      </c>
      <c r="AS202" s="24">
        <v>0</v>
      </c>
      <c r="AT202" s="24">
        <v>271</v>
      </c>
      <c r="AU202" s="24">
        <v>256</v>
      </c>
      <c r="AV202" s="24">
        <v>251</v>
      </c>
      <c r="AW202" s="24">
        <v>17</v>
      </c>
      <c r="AX202" s="21">
        <v>2.9554375432925419E-2</v>
      </c>
      <c r="AY202" s="21">
        <v>2.8977141537751099E-2</v>
      </c>
      <c r="AZ202" s="21">
        <v>1.9625952435927039E-3</v>
      </c>
      <c r="BA202" s="21">
        <v>0.12799592044875061</v>
      </c>
      <c r="BB202" s="24">
        <v>0</v>
      </c>
      <c r="BC202" s="24">
        <v>0</v>
      </c>
      <c r="BD202" s="22">
        <v>0.96949152542372885</v>
      </c>
      <c r="BE202" s="22">
        <v>1</v>
      </c>
      <c r="BF202" s="22" t="s">
        <v>89</v>
      </c>
    </row>
    <row r="203" spans="1:58" ht="19.5" customHeight="1">
      <c r="A203" s="25">
        <v>200</v>
      </c>
      <c r="B203" s="20" t="s">
        <v>88</v>
      </c>
      <c r="C203" s="26">
        <v>46131</v>
      </c>
      <c r="D203" s="20" t="s">
        <v>13</v>
      </c>
      <c r="E203" s="20">
        <v>3027</v>
      </c>
      <c r="F203" s="20">
        <v>2729</v>
      </c>
      <c r="G203" s="21">
        <v>0.90155269243475389</v>
      </c>
      <c r="H203" s="20">
        <v>1559</v>
      </c>
      <c r="I203" s="22">
        <v>0.51503138420878758</v>
      </c>
      <c r="J203" s="20">
        <v>3129</v>
      </c>
      <c r="K203" s="20">
        <v>3055</v>
      </c>
      <c r="L203" s="21">
        <v>0.97599999999999998</v>
      </c>
      <c r="M203" s="20">
        <v>16459</v>
      </c>
      <c r="N203" s="20">
        <v>16709</v>
      </c>
      <c r="O203" s="20">
        <v>16253</v>
      </c>
      <c r="P203" s="21">
        <v>0.98748405127893557</v>
      </c>
      <c r="Q203" s="20">
        <v>43</v>
      </c>
      <c r="R203" s="20">
        <v>0</v>
      </c>
      <c r="S203" s="20">
        <v>0</v>
      </c>
      <c r="T203" s="21">
        <v>0</v>
      </c>
      <c r="U203" s="20">
        <v>0</v>
      </c>
      <c r="V203" s="21">
        <v>0</v>
      </c>
      <c r="W203" s="20">
        <v>2112</v>
      </c>
      <c r="X203" s="21">
        <v>0.69772051536174429</v>
      </c>
      <c r="Y203" s="20">
        <v>672</v>
      </c>
      <c r="Z203" s="23">
        <v>0.222001982160555</v>
      </c>
      <c r="AA203" s="20">
        <v>69</v>
      </c>
      <c r="AB203" s="21">
        <v>2.279484638255699E-2</v>
      </c>
      <c r="AC203" s="20">
        <v>640</v>
      </c>
      <c r="AD203" s="21">
        <v>0.21143045920052861</v>
      </c>
      <c r="AE203" s="20">
        <v>59</v>
      </c>
      <c r="AF203" s="21">
        <v>9.2187500000000006E-2</v>
      </c>
      <c r="AG203" s="20">
        <v>595</v>
      </c>
      <c r="AH203" s="21">
        <v>0.9296875</v>
      </c>
      <c r="AI203" s="24">
        <v>634</v>
      </c>
      <c r="AJ203" s="21">
        <v>0.20944829864552361</v>
      </c>
      <c r="AK203" s="24">
        <v>0</v>
      </c>
      <c r="AL203" s="21">
        <v>0.93690851735015768</v>
      </c>
      <c r="AM203" s="24">
        <v>628</v>
      </c>
      <c r="AN203" s="24">
        <v>594</v>
      </c>
      <c r="AO203" s="21">
        <v>0.19623389494549059</v>
      </c>
      <c r="AP203" s="21">
        <v>0.92812499999999998</v>
      </c>
      <c r="AQ203" s="22">
        <v>0.97712418300653592</v>
      </c>
      <c r="AR203" s="24">
        <v>0</v>
      </c>
      <c r="AS203" s="24">
        <v>0</v>
      </c>
      <c r="AT203" s="24">
        <v>136</v>
      </c>
      <c r="AU203" s="24">
        <v>129</v>
      </c>
      <c r="AV203" s="24">
        <v>128</v>
      </c>
      <c r="AW203" s="24">
        <v>59</v>
      </c>
      <c r="AX203" s="21">
        <v>4.261645193260654E-2</v>
      </c>
      <c r="AY203" s="21">
        <v>4.2286091840105712E-2</v>
      </c>
      <c r="AZ203" s="21">
        <v>1.9491245457548729E-2</v>
      </c>
      <c r="BA203" s="21">
        <v>0.21548821548821551</v>
      </c>
      <c r="BB203" s="24">
        <v>0</v>
      </c>
      <c r="BC203" s="24">
        <v>0</v>
      </c>
      <c r="BD203" s="22">
        <v>0.971830985915493</v>
      </c>
      <c r="BE203" s="22">
        <v>1</v>
      </c>
      <c r="BF203" s="22" t="s">
        <v>89</v>
      </c>
    </row>
    <row r="204" spans="1:58" ht="19.5" customHeight="1">
      <c r="A204" s="25">
        <v>201</v>
      </c>
      <c r="B204" s="20" t="s">
        <v>88</v>
      </c>
      <c r="C204" s="26">
        <v>46132</v>
      </c>
      <c r="D204" s="20" t="s">
        <v>12</v>
      </c>
      <c r="E204" s="20">
        <v>2009</v>
      </c>
      <c r="F204" s="20">
        <v>1692</v>
      </c>
      <c r="G204" s="21">
        <v>0.84221005475360877</v>
      </c>
      <c r="H204" s="20">
        <v>804</v>
      </c>
      <c r="I204" s="22">
        <v>0.40019910403185671</v>
      </c>
      <c r="J204" s="20">
        <v>1952</v>
      </c>
      <c r="K204" s="20">
        <v>1893</v>
      </c>
      <c r="L204" s="21">
        <v>0.97</v>
      </c>
      <c r="M204" s="20">
        <v>9619</v>
      </c>
      <c r="N204" s="20">
        <v>9215</v>
      </c>
      <c r="O204" s="20">
        <v>9478</v>
      </c>
      <c r="P204" s="21">
        <v>0.98534151159164152</v>
      </c>
      <c r="Q204" s="20">
        <v>41</v>
      </c>
      <c r="R204" s="20">
        <v>0</v>
      </c>
      <c r="S204" s="20">
        <v>0</v>
      </c>
      <c r="T204" s="21">
        <v>0</v>
      </c>
      <c r="U204" s="20">
        <v>0</v>
      </c>
      <c r="V204" s="21">
        <v>0</v>
      </c>
      <c r="W204" s="20">
        <v>1398</v>
      </c>
      <c r="X204" s="21">
        <v>0.69586859133897461</v>
      </c>
      <c r="Y204" s="20">
        <v>404</v>
      </c>
      <c r="Z204" s="23">
        <v>0.20109507217521161</v>
      </c>
      <c r="AA204" s="20">
        <v>36</v>
      </c>
      <c r="AB204" s="21">
        <v>1.7919362867098061E-2</v>
      </c>
      <c r="AC204" s="20">
        <v>162</v>
      </c>
      <c r="AD204" s="21">
        <v>8.0637132901941258E-2</v>
      </c>
      <c r="AE204" s="20">
        <v>42</v>
      </c>
      <c r="AF204" s="21">
        <v>0.25925925925925919</v>
      </c>
      <c r="AG204" s="20">
        <v>152</v>
      </c>
      <c r="AH204" s="21">
        <v>0.93827160493827155</v>
      </c>
      <c r="AI204" s="24">
        <v>170</v>
      </c>
      <c r="AJ204" s="21">
        <v>8.4619213539074173E-2</v>
      </c>
      <c r="AK204" s="24">
        <v>0</v>
      </c>
      <c r="AL204" s="21">
        <v>0.87647058823529411</v>
      </c>
      <c r="AM204" s="24">
        <v>170</v>
      </c>
      <c r="AN204" s="24">
        <v>149</v>
      </c>
      <c r="AO204" s="21">
        <v>7.4166251866600294E-2</v>
      </c>
      <c r="AP204" s="21">
        <v>0.91975308641975306</v>
      </c>
      <c r="AQ204" s="22">
        <v>0.97402597402597402</v>
      </c>
      <c r="AR204" s="24">
        <v>0</v>
      </c>
      <c r="AS204" s="24">
        <v>0</v>
      </c>
      <c r="AT204" s="24">
        <v>50</v>
      </c>
      <c r="AU204" s="24">
        <v>38</v>
      </c>
      <c r="AV204" s="24">
        <v>37</v>
      </c>
      <c r="AW204" s="24">
        <v>80</v>
      </c>
      <c r="AX204" s="21">
        <v>1.8914883026381279E-2</v>
      </c>
      <c r="AY204" s="21">
        <v>1.841712294673967E-2</v>
      </c>
      <c r="AZ204" s="21">
        <v>3.9820806371329023E-2</v>
      </c>
      <c r="BA204" s="21">
        <v>0.24832214765100671</v>
      </c>
      <c r="BB204" s="24">
        <v>0</v>
      </c>
      <c r="BC204" s="24">
        <v>0</v>
      </c>
      <c r="BD204" s="22">
        <v>1</v>
      </c>
      <c r="BE204" s="22">
        <v>1</v>
      </c>
      <c r="BF204" s="22" t="s">
        <v>89</v>
      </c>
    </row>
    <row r="205" spans="1:58" ht="19.5" customHeight="1">
      <c r="A205" s="25">
        <v>202</v>
      </c>
      <c r="B205" s="20" t="s">
        <v>88</v>
      </c>
      <c r="C205" s="26">
        <v>46132</v>
      </c>
      <c r="D205" s="20" t="s">
        <v>11</v>
      </c>
      <c r="E205" s="20">
        <v>2087</v>
      </c>
      <c r="F205" s="20">
        <v>1843</v>
      </c>
      <c r="G205" s="21">
        <v>0.88308576904647818</v>
      </c>
      <c r="H205" s="20">
        <v>1050</v>
      </c>
      <c r="I205" s="22">
        <v>0.5031145184475323</v>
      </c>
      <c r="J205" s="20">
        <v>1831</v>
      </c>
      <c r="K205" s="20">
        <v>1784</v>
      </c>
      <c r="L205" s="21">
        <v>0.97399999999999998</v>
      </c>
      <c r="M205" s="20">
        <v>9147</v>
      </c>
      <c r="N205" s="20">
        <v>8864</v>
      </c>
      <c r="O205" s="20">
        <v>9031</v>
      </c>
      <c r="P205" s="21">
        <v>0.98731824641959109</v>
      </c>
      <c r="Q205" s="20">
        <v>29</v>
      </c>
      <c r="R205" s="20">
        <v>0</v>
      </c>
      <c r="S205" s="20">
        <v>0</v>
      </c>
      <c r="T205" s="21">
        <v>0</v>
      </c>
      <c r="U205" s="20">
        <v>0</v>
      </c>
      <c r="V205" s="21">
        <v>0</v>
      </c>
      <c r="W205" s="20">
        <v>1483</v>
      </c>
      <c r="X205" s="21">
        <v>0.71058936272161</v>
      </c>
      <c r="Y205" s="20">
        <v>500</v>
      </c>
      <c r="Z205" s="23">
        <v>0.23957834211787249</v>
      </c>
      <c r="AA205" s="20">
        <v>27</v>
      </c>
      <c r="AB205" s="21">
        <v>1.2937230474365119E-2</v>
      </c>
      <c r="AC205" s="20">
        <v>198</v>
      </c>
      <c r="AD205" s="21">
        <v>9.4873023478677529E-2</v>
      </c>
      <c r="AE205" s="20">
        <v>20</v>
      </c>
      <c r="AF205" s="21">
        <v>0.10101010101010099</v>
      </c>
      <c r="AG205" s="20">
        <v>185</v>
      </c>
      <c r="AH205" s="21">
        <v>0.93434343434343436</v>
      </c>
      <c r="AI205" s="24">
        <v>179</v>
      </c>
      <c r="AJ205" s="21">
        <v>8.5769046478198371E-2</v>
      </c>
      <c r="AK205" s="24">
        <v>1</v>
      </c>
      <c r="AL205" s="21">
        <v>0.87150837988826813</v>
      </c>
      <c r="AM205" s="24">
        <v>179</v>
      </c>
      <c r="AN205" s="24">
        <v>156</v>
      </c>
      <c r="AO205" s="21">
        <v>7.474844274077623E-2</v>
      </c>
      <c r="AP205" s="21">
        <v>0.78787878787878785</v>
      </c>
      <c r="AQ205" s="22">
        <v>0.96764705882352942</v>
      </c>
      <c r="AR205" s="24">
        <v>0</v>
      </c>
      <c r="AS205" s="24">
        <v>0</v>
      </c>
      <c r="AT205" s="24">
        <v>57</v>
      </c>
      <c r="AU205" s="24">
        <v>40</v>
      </c>
      <c r="AV205" s="24">
        <v>41</v>
      </c>
      <c r="AW205" s="24">
        <v>76</v>
      </c>
      <c r="AX205" s="21">
        <v>1.91662673694298E-2</v>
      </c>
      <c r="AY205" s="21">
        <v>1.9645424053665549E-2</v>
      </c>
      <c r="AZ205" s="21">
        <v>3.6415908001916623E-2</v>
      </c>
      <c r="BA205" s="21">
        <v>0.26282051282051277</v>
      </c>
      <c r="BB205" s="24">
        <v>0</v>
      </c>
      <c r="BC205" s="24">
        <v>0</v>
      </c>
      <c r="BD205" s="22">
        <v>1</v>
      </c>
      <c r="BE205" s="22">
        <v>1</v>
      </c>
      <c r="BF205" s="22" t="s">
        <v>89</v>
      </c>
    </row>
    <row r="206" spans="1:58" ht="19.5" customHeight="1">
      <c r="A206" s="25">
        <v>203</v>
      </c>
      <c r="B206" s="20" t="s">
        <v>88</v>
      </c>
      <c r="C206" s="26">
        <v>46132</v>
      </c>
      <c r="D206" s="20" t="s">
        <v>14</v>
      </c>
      <c r="E206" s="20">
        <v>6077</v>
      </c>
      <c r="F206" s="20">
        <v>5546</v>
      </c>
      <c r="G206" s="21">
        <v>0.91262135922330101</v>
      </c>
      <c r="H206" s="20">
        <v>2296</v>
      </c>
      <c r="I206" s="22">
        <v>0.37781800230376827</v>
      </c>
      <c r="J206" s="20">
        <v>7760</v>
      </c>
      <c r="K206" s="20">
        <v>7553</v>
      </c>
      <c r="L206" s="21">
        <v>0.97299999999999998</v>
      </c>
      <c r="M206" s="20">
        <v>28158</v>
      </c>
      <c r="N206" s="20">
        <v>25505</v>
      </c>
      <c r="O206" s="20">
        <v>27702</v>
      </c>
      <c r="P206" s="21">
        <v>0.98380566801619429</v>
      </c>
      <c r="Q206" s="20">
        <v>88</v>
      </c>
      <c r="R206" s="20">
        <v>0</v>
      </c>
      <c r="S206" s="20">
        <v>0</v>
      </c>
      <c r="T206" s="21">
        <v>0</v>
      </c>
      <c r="U206" s="20">
        <v>0</v>
      </c>
      <c r="V206" s="21">
        <v>0</v>
      </c>
      <c r="W206" s="20">
        <v>1297</v>
      </c>
      <c r="X206" s="21">
        <v>0.21342767813065661</v>
      </c>
      <c r="Y206" s="20">
        <v>1178</v>
      </c>
      <c r="Z206" s="23">
        <v>0.1938456475234491</v>
      </c>
      <c r="AA206" s="20">
        <v>10</v>
      </c>
      <c r="AB206" s="21">
        <v>1.645548790521639E-3</v>
      </c>
      <c r="AC206" s="20">
        <v>1136</v>
      </c>
      <c r="AD206" s="21">
        <v>0.1869343426032582</v>
      </c>
      <c r="AE206" s="20">
        <v>275</v>
      </c>
      <c r="AF206" s="21">
        <v>0.2420774647887324</v>
      </c>
      <c r="AG206" s="20">
        <v>1035</v>
      </c>
      <c r="AH206" s="21">
        <v>0.91109154929577463</v>
      </c>
      <c r="AI206" s="24">
        <v>1213</v>
      </c>
      <c r="AJ206" s="21">
        <v>0.1996050682902748</v>
      </c>
      <c r="AK206" s="24">
        <v>2</v>
      </c>
      <c r="AL206" s="21">
        <v>0.90601813685078314</v>
      </c>
      <c r="AM206" s="24">
        <v>1210</v>
      </c>
      <c r="AN206" s="24">
        <v>1099</v>
      </c>
      <c r="AO206" s="21">
        <v>0.18084581207832809</v>
      </c>
      <c r="AP206" s="21">
        <v>0.96742957746478875</v>
      </c>
      <c r="AQ206" s="22">
        <v>0.96942188246536076</v>
      </c>
      <c r="AR206" s="24">
        <v>0</v>
      </c>
      <c r="AS206" s="24">
        <v>0</v>
      </c>
      <c r="AT206" s="24">
        <v>130</v>
      </c>
      <c r="AU206" s="24">
        <v>106</v>
      </c>
      <c r="AV206" s="24">
        <v>121</v>
      </c>
      <c r="AW206" s="24">
        <v>57</v>
      </c>
      <c r="AX206" s="21">
        <v>1.744281717952937E-2</v>
      </c>
      <c r="AY206" s="21">
        <v>1.991114036531183E-2</v>
      </c>
      <c r="AZ206" s="21">
        <v>9.3796281059733422E-3</v>
      </c>
      <c r="BA206" s="21">
        <v>0.1101000909918107</v>
      </c>
      <c r="BB206" s="24">
        <v>0</v>
      </c>
      <c r="BC206" s="24">
        <v>2</v>
      </c>
      <c r="BD206" s="22">
        <v>0.9606986899563319</v>
      </c>
      <c r="BE206" s="22">
        <v>1</v>
      </c>
      <c r="BF206" s="22" t="s">
        <v>89</v>
      </c>
    </row>
    <row r="207" spans="1:58" ht="19.5" customHeight="1">
      <c r="A207" s="25">
        <v>204</v>
      </c>
      <c r="B207" s="20" t="s">
        <v>88</v>
      </c>
      <c r="C207" s="26">
        <v>46132</v>
      </c>
      <c r="D207" s="20" t="s">
        <v>13</v>
      </c>
      <c r="E207" s="20">
        <v>2596</v>
      </c>
      <c r="F207" s="20">
        <v>2331</v>
      </c>
      <c r="G207" s="21">
        <v>0.8979198767334361</v>
      </c>
      <c r="H207" s="20">
        <v>1520</v>
      </c>
      <c r="I207" s="22">
        <v>0.58551617873651773</v>
      </c>
      <c r="J207" s="20">
        <v>3752</v>
      </c>
      <c r="K207" s="20">
        <v>3674</v>
      </c>
      <c r="L207" s="21">
        <v>0.97899999999999998</v>
      </c>
      <c r="M207" s="20">
        <v>17249</v>
      </c>
      <c r="N207" s="20">
        <v>16440</v>
      </c>
      <c r="O207" s="20">
        <v>17002</v>
      </c>
      <c r="P207" s="21">
        <v>0.98568032929445182</v>
      </c>
      <c r="Q207" s="20">
        <v>60</v>
      </c>
      <c r="R207" s="20">
        <v>0</v>
      </c>
      <c r="S207" s="20">
        <v>0</v>
      </c>
      <c r="T207" s="21">
        <v>0</v>
      </c>
      <c r="U207" s="20">
        <v>0</v>
      </c>
      <c r="V207" s="21">
        <v>0</v>
      </c>
      <c r="W207" s="20">
        <v>2038</v>
      </c>
      <c r="X207" s="21">
        <v>0.78505392912172578</v>
      </c>
      <c r="Y207" s="20">
        <v>596</v>
      </c>
      <c r="Z207" s="23">
        <v>0.2295839753466872</v>
      </c>
      <c r="AA207" s="20">
        <v>83</v>
      </c>
      <c r="AB207" s="21">
        <v>3.1972265023112477E-2</v>
      </c>
      <c r="AC207" s="20">
        <v>420</v>
      </c>
      <c r="AD207" s="21">
        <v>0.16178736517719569</v>
      </c>
      <c r="AE207" s="20">
        <v>54</v>
      </c>
      <c r="AF207" s="21">
        <v>0.12857142857142859</v>
      </c>
      <c r="AG207" s="20">
        <v>391</v>
      </c>
      <c r="AH207" s="21">
        <v>0.93095238095238098</v>
      </c>
      <c r="AI207" s="24">
        <v>420</v>
      </c>
      <c r="AJ207" s="21">
        <v>0.16178736517719569</v>
      </c>
      <c r="AK207" s="24">
        <v>0</v>
      </c>
      <c r="AL207" s="21">
        <v>0.94761904761904758</v>
      </c>
      <c r="AM207" s="24">
        <v>419</v>
      </c>
      <c r="AN207" s="24">
        <v>398</v>
      </c>
      <c r="AO207" s="21">
        <v>0.15331278890600919</v>
      </c>
      <c r="AP207" s="21">
        <v>0.94761904761904758</v>
      </c>
      <c r="AQ207" s="22">
        <v>0.96694214876033058</v>
      </c>
      <c r="AR207" s="24">
        <v>0</v>
      </c>
      <c r="AS207" s="24">
        <v>0</v>
      </c>
      <c r="AT207" s="24">
        <v>67</v>
      </c>
      <c r="AU207" s="24">
        <v>58</v>
      </c>
      <c r="AV207" s="24">
        <v>58</v>
      </c>
      <c r="AW207" s="24">
        <v>110</v>
      </c>
      <c r="AX207" s="21">
        <v>2.2342064714946069E-2</v>
      </c>
      <c r="AY207" s="21">
        <v>2.2342064714946069E-2</v>
      </c>
      <c r="AZ207" s="21">
        <v>4.2372881355932202E-2</v>
      </c>
      <c r="BA207" s="21">
        <v>0.14572864321608039</v>
      </c>
      <c r="BB207" s="24">
        <v>0</v>
      </c>
      <c r="BC207" s="24">
        <v>0</v>
      </c>
      <c r="BD207" s="22">
        <v>1</v>
      </c>
      <c r="BE207" s="22">
        <v>1</v>
      </c>
      <c r="BF207" s="22" t="s">
        <v>89</v>
      </c>
    </row>
    <row r="208" spans="1:58" ht="19.5" customHeight="1">
      <c r="A208" s="25">
        <v>205</v>
      </c>
      <c r="B208" s="20" t="s">
        <v>88</v>
      </c>
      <c r="C208" s="26">
        <v>46133</v>
      </c>
      <c r="D208" s="20" t="s">
        <v>12</v>
      </c>
      <c r="E208" s="20">
        <v>2079</v>
      </c>
      <c r="F208" s="20">
        <v>1757</v>
      </c>
      <c r="G208" s="21">
        <v>0.84511784511784516</v>
      </c>
      <c r="H208" s="20">
        <v>1042</v>
      </c>
      <c r="I208" s="22">
        <v>0.5012025012025012</v>
      </c>
      <c r="J208" s="20">
        <v>2232</v>
      </c>
      <c r="K208" s="20">
        <v>2165</v>
      </c>
      <c r="L208" s="21">
        <v>0.97</v>
      </c>
      <c r="M208" s="20">
        <v>8754</v>
      </c>
      <c r="N208" s="20">
        <v>8749</v>
      </c>
      <c r="O208" s="20">
        <v>8590</v>
      </c>
      <c r="P208" s="21">
        <v>0.98126570710532324</v>
      </c>
      <c r="Q208" s="20">
        <v>41</v>
      </c>
      <c r="R208" s="20">
        <v>0</v>
      </c>
      <c r="S208" s="20">
        <v>0</v>
      </c>
      <c r="T208" s="21">
        <v>0</v>
      </c>
      <c r="U208" s="20">
        <v>0</v>
      </c>
      <c r="V208" s="21">
        <v>0</v>
      </c>
      <c r="W208" s="20">
        <v>1302</v>
      </c>
      <c r="X208" s="21">
        <v>0.6262626262626263</v>
      </c>
      <c r="Y208" s="20">
        <v>470</v>
      </c>
      <c r="Z208" s="23">
        <v>0.22607022607022609</v>
      </c>
      <c r="AA208" s="20">
        <v>38</v>
      </c>
      <c r="AB208" s="21">
        <v>1.8278018278018279E-2</v>
      </c>
      <c r="AC208" s="20">
        <v>184</v>
      </c>
      <c r="AD208" s="21">
        <v>8.8504088504088502E-2</v>
      </c>
      <c r="AE208" s="20">
        <v>42</v>
      </c>
      <c r="AF208" s="21">
        <v>0.22826086956521741</v>
      </c>
      <c r="AG208" s="20">
        <v>155</v>
      </c>
      <c r="AH208" s="21">
        <v>0.84239130434782605</v>
      </c>
      <c r="AI208" s="24">
        <v>176</v>
      </c>
      <c r="AJ208" s="21">
        <v>8.4656084656084651E-2</v>
      </c>
      <c r="AK208" s="24">
        <v>0</v>
      </c>
      <c r="AL208" s="21">
        <v>0.84090909090909094</v>
      </c>
      <c r="AM208" s="24">
        <v>174</v>
      </c>
      <c r="AN208" s="24">
        <v>148</v>
      </c>
      <c r="AO208" s="21">
        <v>7.1188071188071189E-2</v>
      </c>
      <c r="AP208" s="21">
        <v>0.80434782608695654</v>
      </c>
      <c r="AQ208" s="22">
        <v>0.98136645962732916</v>
      </c>
      <c r="AR208" s="24">
        <v>0</v>
      </c>
      <c r="AS208" s="24">
        <v>0</v>
      </c>
      <c r="AT208" s="24">
        <v>39</v>
      </c>
      <c r="AU208" s="24">
        <v>36</v>
      </c>
      <c r="AV208" s="24">
        <v>38</v>
      </c>
      <c r="AW208" s="24">
        <v>52</v>
      </c>
      <c r="AX208" s="21">
        <v>1.7316017316017319E-2</v>
      </c>
      <c r="AY208" s="21">
        <v>1.8278018278018279E-2</v>
      </c>
      <c r="AZ208" s="21">
        <v>2.501202501202501E-2</v>
      </c>
      <c r="BA208" s="21">
        <v>0.25675675675675669</v>
      </c>
      <c r="BB208" s="24">
        <v>0</v>
      </c>
      <c r="BC208" s="24">
        <v>0</v>
      </c>
      <c r="BD208" s="22">
        <v>1</v>
      </c>
      <c r="BE208" s="22">
        <v>1</v>
      </c>
      <c r="BF208" s="22" t="s">
        <v>89</v>
      </c>
    </row>
    <row r="209" spans="1:58" ht="19.5" customHeight="1">
      <c r="A209" s="25">
        <v>206</v>
      </c>
      <c r="B209" s="20" t="s">
        <v>88</v>
      </c>
      <c r="C209" s="26">
        <v>46133</v>
      </c>
      <c r="D209" s="20" t="s">
        <v>11</v>
      </c>
      <c r="E209" s="20">
        <v>2182</v>
      </c>
      <c r="F209" s="20">
        <v>1897</v>
      </c>
      <c r="G209" s="21">
        <v>0.86938588450962417</v>
      </c>
      <c r="H209" s="20">
        <v>1138</v>
      </c>
      <c r="I209" s="22">
        <v>0.52153987167736027</v>
      </c>
      <c r="J209" s="20">
        <v>2349</v>
      </c>
      <c r="K209" s="20">
        <v>2292</v>
      </c>
      <c r="L209" s="21">
        <v>0.97599999999999998</v>
      </c>
      <c r="M209" s="20">
        <v>9799</v>
      </c>
      <c r="N209" s="20">
        <v>9470</v>
      </c>
      <c r="O209" s="20">
        <v>9621</v>
      </c>
      <c r="P209" s="21">
        <v>0.98183488111031736</v>
      </c>
      <c r="Q209" s="20">
        <v>44</v>
      </c>
      <c r="R209" s="20">
        <v>0</v>
      </c>
      <c r="S209" s="20">
        <v>0</v>
      </c>
      <c r="T209" s="21">
        <v>0</v>
      </c>
      <c r="U209" s="20">
        <v>0</v>
      </c>
      <c r="V209" s="21">
        <v>0</v>
      </c>
      <c r="W209" s="20">
        <v>2893</v>
      </c>
      <c r="X209" s="21">
        <v>1.325847846012832</v>
      </c>
      <c r="Y209" s="20">
        <v>736</v>
      </c>
      <c r="Z209" s="23">
        <v>0.33730522456461959</v>
      </c>
      <c r="AA209" s="20">
        <v>18</v>
      </c>
      <c r="AB209" s="21">
        <v>8.2493125572868919E-3</v>
      </c>
      <c r="AC209" s="20">
        <v>211</v>
      </c>
      <c r="AD209" s="21">
        <v>9.6700274977085249E-2</v>
      </c>
      <c r="AE209" s="20">
        <v>29</v>
      </c>
      <c r="AF209" s="21">
        <v>0.13744075829383889</v>
      </c>
      <c r="AG209" s="20">
        <v>186</v>
      </c>
      <c r="AH209" s="21">
        <v>0.88151658767772512</v>
      </c>
      <c r="AI209" s="24">
        <v>192</v>
      </c>
      <c r="AJ209" s="21">
        <v>8.7992667277726852E-2</v>
      </c>
      <c r="AK209" s="24">
        <v>0</v>
      </c>
      <c r="AL209" s="21">
        <v>0.859375</v>
      </c>
      <c r="AM209" s="24">
        <v>190</v>
      </c>
      <c r="AN209" s="24">
        <v>165</v>
      </c>
      <c r="AO209" s="21">
        <v>7.5618698441796514E-2</v>
      </c>
      <c r="AP209" s="21">
        <v>0.78199052132701419</v>
      </c>
      <c r="AQ209" s="22">
        <v>0.95541401273885351</v>
      </c>
      <c r="AR209" s="24">
        <v>0</v>
      </c>
      <c r="AS209" s="24">
        <v>0</v>
      </c>
      <c r="AT209" s="24">
        <v>49</v>
      </c>
      <c r="AU209" s="24">
        <v>42</v>
      </c>
      <c r="AV209" s="24">
        <v>42</v>
      </c>
      <c r="AW209" s="24">
        <v>53</v>
      </c>
      <c r="AX209" s="21">
        <v>1.924839596700275E-2</v>
      </c>
      <c r="AY209" s="21">
        <v>1.924839596700275E-2</v>
      </c>
      <c r="AZ209" s="21">
        <v>2.4289642529789181E-2</v>
      </c>
      <c r="BA209" s="21">
        <v>0.25454545454545452</v>
      </c>
      <c r="BB209" s="24">
        <v>0</v>
      </c>
      <c r="BC209" s="24">
        <v>0</v>
      </c>
      <c r="BD209" s="22">
        <v>0.97142857142857142</v>
      </c>
      <c r="BE209" s="22">
        <v>0.94736842105263153</v>
      </c>
      <c r="BF209" s="22" t="s">
        <v>89</v>
      </c>
    </row>
    <row r="210" spans="1:58" ht="19.5" customHeight="1">
      <c r="A210" s="25">
        <v>207</v>
      </c>
      <c r="B210" s="20" t="s">
        <v>88</v>
      </c>
      <c r="C210" s="26">
        <v>46133</v>
      </c>
      <c r="D210" s="20" t="s">
        <v>14</v>
      </c>
      <c r="E210" s="20">
        <v>6556</v>
      </c>
      <c r="F210" s="20">
        <v>5608</v>
      </c>
      <c r="G210" s="21">
        <v>0.8553996339231239</v>
      </c>
      <c r="H210" s="20">
        <v>2313</v>
      </c>
      <c r="I210" s="22">
        <v>0.35280658938377057</v>
      </c>
      <c r="J210" s="20">
        <v>6005</v>
      </c>
      <c r="K210" s="20">
        <v>5858</v>
      </c>
      <c r="L210" s="21">
        <v>0.97599999999999998</v>
      </c>
      <c r="M210" s="20">
        <v>23938</v>
      </c>
      <c r="N210" s="20">
        <v>24518</v>
      </c>
      <c r="O210" s="20">
        <v>23571</v>
      </c>
      <c r="P210" s="21">
        <v>0.98466872754616097</v>
      </c>
      <c r="Q210" s="20">
        <v>73</v>
      </c>
      <c r="R210" s="20">
        <v>0</v>
      </c>
      <c r="S210" s="20">
        <v>0</v>
      </c>
      <c r="T210" s="21">
        <v>0</v>
      </c>
      <c r="U210" s="20">
        <v>0</v>
      </c>
      <c r="V210" s="21">
        <v>0</v>
      </c>
      <c r="W210" s="20">
        <v>1551</v>
      </c>
      <c r="X210" s="21">
        <v>0.23657718120805371</v>
      </c>
      <c r="Y210" s="20">
        <v>1156</v>
      </c>
      <c r="Z210" s="23">
        <v>0.17632702867602201</v>
      </c>
      <c r="AA210" s="20">
        <v>17</v>
      </c>
      <c r="AB210" s="21">
        <v>2.593044539353264E-3</v>
      </c>
      <c r="AC210" s="20">
        <v>1139</v>
      </c>
      <c r="AD210" s="21">
        <v>0.17373398413666871</v>
      </c>
      <c r="AE210" s="20">
        <v>284</v>
      </c>
      <c r="AF210" s="21">
        <v>0.24934152765583839</v>
      </c>
      <c r="AG210" s="20">
        <v>1001</v>
      </c>
      <c r="AH210" s="21">
        <v>0.87884108867427568</v>
      </c>
      <c r="AI210" s="24">
        <v>1191</v>
      </c>
      <c r="AJ210" s="21">
        <v>0.18166564978645519</v>
      </c>
      <c r="AK210" s="24">
        <v>2</v>
      </c>
      <c r="AL210" s="21">
        <v>0.92107472712006722</v>
      </c>
      <c r="AM210" s="24">
        <v>1188</v>
      </c>
      <c r="AN210" s="24">
        <v>1097</v>
      </c>
      <c r="AO210" s="21">
        <v>0.16732763880414889</v>
      </c>
      <c r="AP210" s="21">
        <v>0.96312554872695344</v>
      </c>
      <c r="AQ210" s="22">
        <v>0.97297297297297303</v>
      </c>
      <c r="AR210" s="24">
        <v>0</v>
      </c>
      <c r="AS210" s="24">
        <v>0</v>
      </c>
      <c r="AT210" s="24">
        <v>120</v>
      </c>
      <c r="AU210" s="24">
        <v>116</v>
      </c>
      <c r="AV210" s="24">
        <v>117</v>
      </c>
      <c r="AW210" s="24">
        <v>65</v>
      </c>
      <c r="AX210" s="21">
        <v>1.7693715680292859E-2</v>
      </c>
      <c r="AY210" s="21">
        <v>1.7846247712019529E-2</v>
      </c>
      <c r="AZ210" s="21">
        <v>9.9145820622330693E-3</v>
      </c>
      <c r="BA210" s="21">
        <v>0.1066545123062899</v>
      </c>
      <c r="BB210" s="24">
        <v>0</v>
      </c>
      <c r="BC210" s="24">
        <v>0</v>
      </c>
      <c r="BD210" s="22">
        <v>0.99029126213592233</v>
      </c>
      <c r="BE210" s="22">
        <v>0.96666666666666667</v>
      </c>
      <c r="BF210" s="22" t="s">
        <v>89</v>
      </c>
    </row>
    <row r="211" spans="1:58" ht="19.5" customHeight="1">
      <c r="A211" s="25">
        <v>208</v>
      </c>
      <c r="B211" s="20" t="s">
        <v>88</v>
      </c>
      <c r="C211" s="26">
        <v>46133</v>
      </c>
      <c r="D211" s="20" t="s">
        <v>13</v>
      </c>
      <c r="E211" s="20">
        <v>2977</v>
      </c>
      <c r="F211" s="20">
        <v>2661</v>
      </c>
      <c r="G211" s="21">
        <v>0.89385287201881092</v>
      </c>
      <c r="H211" s="20">
        <v>2024</v>
      </c>
      <c r="I211" s="22">
        <v>0.67987907289217331</v>
      </c>
      <c r="J211" s="20">
        <v>2729</v>
      </c>
      <c r="K211" s="20">
        <v>2663</v>
      </c>
      <c r="L211" s="21">
        <v>0.97599999999999998</v>
      </c>
      <c r="M211" s="20">
        <v>14546</v>
      </c>
      <c r="N211" s="20">
        <v>14506</v>
      </c>
      <c r="O211" s="20">
        <v>14361</v>
      </c>
      <c r="P211" s="21">
        <v>0.98728172693523997</v>
      </c>
      <c r="Q211" s="20">
        <v>44</v>
      </c>
      <c r="R211" s="20">
        <v>0</v>
      </c>
      <c r="S211" s="20">
        <v>0</v>
      </c>
      <c r="T211" s="21">
        <v>0</v>
      </c>
      <c r="U211" s="20">
        <v>0</v>
      </c>
      <c r="V211" s="21">
        <v>0</v>
      </c>
      <c r="W211" s="20">
        <v>2123</v>
      </c>
      <c r="X211" s="21">
        <v>0.71313402754450794</v>
      </c>
      <c r="Y211" s="20">
        <v>783</v>
      </c>
      <c r="Z211" s="23">
        <v>0.26301645952300973</v>
      </c>
      <c r="AA211" s="20">
        <v>97</v>
      </c>
      <c r="AB211" s="21">
        <v>3.2583137386630837E-2</v>
      </c>
      <c r="AC211" s="20">
        <v>401</v>
      </c>
      <c r="AD211" s="21">
        <v>0.13469936177359759</v>
      </c>
      <c r="AE211" s="20">
        <v>58</v>
      </c>
      <c r="AF211" s="21">
        <v>0.14463840399002489</v>
      </c>
      <c r="AG211" s="20">
        <v>369</v>
      </c>
      <c r="AH211" s="21">
        <v>0.92019950124688277</v>
      </c>
      <c r="AI211" s="24">
        <v>408</v>
      </c>
      <c r="AJ211" s="21">
        <v>0.1370507222035606</v>
      </c>
      <c r="AK211" s="24">
        <v>1</v>
      </c>
      <c r="AL211" s="21">
        <v>0.93382352941176472</v>
      </c>
      <c r="AM211" s="24">
        <v>405</v>
      </c>
      <c r="AN211" s="24">
        <v>381</v>
      </c>
      <c r="AO211" s="21">
        <v>0.12798118911656031</v>
      </c>
      <c r="AP211" s="21">
        <v>0.95012468827930174</v>
      </c>
      <c r="AQ211" s="22">
        <v>0.96359223300970875</v>
      </c>
      <c r="AR211" s="24">
        <v>0</v>
      </c>
      <c r="AS211" s="24">
        <v>0</v>
      </c>
      <c r="AT211" s="24">
        <v>50</v>
      </c>
      <c r="AU211" s="24">
        <v>41</v>
      </c>
      <c r="AV211" s="24">
        <v>46</v>
      </c>
      <c r="AW211" s="24">
        <v>95</v>
      </c>
      <c r="AX211" s="21">
        <v>1.377225394692644E-2</v>
      </c>
      <c r="AY211" s="21">
        <v>1.545179711118576E-2</v>
      </c>
      <c r="AZ211" s="21">
        <v>3.1911320120927109E-2</v>
      </c>
      <c r="BA211" s="21">
        <v>0.1207349081364829</v>
      </c>
      <c r="BB211" s="24">
        <v>0</v>
      </c>
      <c r="BC211" s="24">
        <v>0</v>
      </c>
      <c r="BD211" s="22">
        <v>0.98275862068965514</v>
      </c>
      <c r="BE211" s="22">
        <v>1</v>
      </c>
      <c r="BF211" s="22" t="s">
        <v>89</v>
      </c>
    </row>
    <row r="212" spans="1:58" ht="19.5" customHeight="1">
      <c r="A212" s="25">
        <v>209</v>
      </c>
      <c r="B212" s="20" t="s">
        <v>88</v>
      </c>
      <c r="C212" s="26">
        <v>46134</v>
      </c>
      <c r="D212" s="20" t="s">
        <v>12</v>
      </c>
      <c r="E212" s="20">
        <v>2344</v>
      </c>
      <c r="F212" s="20">
        <v>2037</v>
      </c>
      <c r="G212" s="21">
        <v>0.86902730375426618</v>
      </c>
      <c r="H212" s="20">
        <v>931</v>
      </c>
      <c r="I212" s="22">
        <v>0.39718430034129693</v>
      </c>
      <c r="J212" s="20">
        <v>2087</v>
      </c>
      <c r="K212" s="20">
        <v>2026</v>
      </c>
      <c r="L212" s="21">
        <v>0.97099999999999997</v>
      </c>
      <c r="M212" s="20">
        <v>8866</v>
      </c>
      <c r="N212" s="20">
        <v>8714</v>
      </c>
      <c r="O212" s="20">
        <v>8705</v>
      </c>
      <c r="P212" s="21">
        <v>0.981840739905256</v>
      </c>
      <c r="Q212" s="20">
        <v>39</v>
      </c>
      <c r="R212" s="20">
        <v>0</v>
      </c>
      <c r="S212" s="20">
        <v>0</v>
      </c>
      <c r="T212" s="21">
        <v>0</v>
      </c>
      <c r="U212" s="20">
        <v>0</v>
      </c>
      <c r="V212" s="21">
        <v>0</v>
      </c>
      <c r="W212" s="20">
        <v>1031</v>
      </c>
      <c r="X212" s="21">
        <v>0.43984641638225258</v>
      </c>
      <c r="Y212" s="20">
        <v>766</v>
      </c>
      <c r="Z212" s="23">
        <v>0.32679180887372011</v>
      </c>
      <c r="AA212" s="20">
        <v>28</v>
      </c>
      <c r="AB212" s="21">
        <v>1.1945392491467579E-2</v>
      </c>
      <c r="AC212" s="20">
        <v>161</v>
      </c>
      <c r="AD212" s="21">
        <v>6.8686006825938561E-2</v>
      </c>
      <c r="AE212" s="20">
        <v>35</v>
      </c>
      <c r="AF212" s="21">
        <v>0.21739130434782611</v>
      </c>
      <c r="AG212" s="20">
        <v>141</v>
      </c>
      <c r="AH212" s="21">
        <v>0.87577639751552794</v>
      </c>
      <c r="AI212" s="24">
        <v>162</v>
      </c>
      <c r="AJ212" s="21">
        <v>6.9112627986348124E-2</v>
      </c>
      <c r="AK212" s="24">
        <v>0</v>
      </c>
      <c r="AL212" s="21">
        <v>0.82098765432098764</v>
      </c>
      <c r="AM212" s="24">
        <v>161</v>
      </c>
      <c r="AN212" s="24">
        <v>133</v>
      </c>
      <c r="AO212" s="21">
        <v>5.6740614334470987E-2</v>
      </c>
      <c r="AP212" s="21">
        <v>0.82608695652173914</v>
      </c>
      <c r="AQ212" s="22">
        <v>0.98159509202453987</v>
      </c>
      <c r="AR212" s="24">
        <v>0</v>
      </c>
      <c r="AS212" s="24">
        <v>0</v>
      </c>
      <c r="AT212" s="24">
        <v>47</v>
      </c>
      <c r="AU212" s="24">
        <v>44</v>
      </c>
      <c r="AV212" s="24">
        <v>43</v>
      </c>
      <c r="AW212" s="24">
        <v>59</v>
      </c>
      <c r="AX212" s="21">
        <v>1.877133105802048E-2</v>
      </c>
      <c r="AY212" s="21">
        <v>1.834470989761092E-2</v>
      </c>
      <c r="AZ212" s="21">
        <v>2.5170648464163819E-2</v>
      </c>
      <c r="BA212" s="21">
        <v>0.32330827067669171</v>
      </c>
      <c r="BB212" s="24">
        <v>0</v>
      </c>
      <c r="BC212" s="24">
        <v>1</v>
      </c>
      <c r="BD212" s="22">
        <v>0.91666666666666663</v>
      </c>
      <c r="BE212" s="22">
        <v>1</v>
      </c>
      <c r="BF212" s="22" t="s">
        <v>89</v>
      </c>
    </row>
    <row r="213" spans="1:58" ht="25.7" customHeight="1">
      <c r="A213" s="25">
        <v>210</v>
      </c>
      <c r="B213" s="20" t="s">
        <v>88</v>
      </c>
      <c r="C213" s="26">
        <v>46134</v>
      </c>
      <c r="D213" s="20" t="s">
        <v>11</v>
      </c>
      <c r="E213" s="20">
        <v>2232</v>
      </c>
      <c r="F213" s="20">
        <v>1952</v>
      </c>
      <c r="G213" s="21">
        <v>0.87455197132616491</v>
      </c>
      <c r="H213" s="20">
        <v>1287</v>
      </c>
      <c r="I213" s="22">
        <v>0.57661290322580649</v>
      </c>
      <c r="J213" s="20">
        <v>1420</v>
      </c>
      <c r="K213" s="20">
        <v>1375</v>
      </c>
      <c r="L213" s="21">
        <v>0.96799999999999997</v>
      </c>
      <c r="M213" s="20">
        <v>8403</v>
      </c>
      <c r="N213" s="20">
        <v>8262</v>
      </c>
      <c r="O213" s="20">
        <v>8255</v>
      </c>
      <c r="P213" s="21">
        <v>0.98238724265143396</v>
      </c>
      <c r="Q213" s="20">
        <v>31</v>
      </c>
      <c r="R213" s="20">
        <v>0</v>
      </c>
      <c r="S213" s="20">
        <v>0</v>
      </c>
      <c r="T213" s="21">
        <v>0</v>
      </c>
      <c r="U213" s="20">
        <v>0</v>
      </c>
      <c r="V213" s="21">
        <v>0</v>
      </c>
      <c r="W213" s="20">
        <v>1664</v>
      </c>
      <c r="X213" s="21">
        <v>0.74551971326164879</v>
      </c>
      <c r="Y213" s="20">
        <v>5660</v>
      </c>
      <c r="Z213" s="23">
        <v>2.5358422939068102</v>
      </c>
      <c r="AA213" s="20">
        <v>17</v>
      </c>
      <c r="AB213" s="21">
        <v>7.6164874551971334E-3</v>
      </c>
      <c r="AC213" s="20">
        <v>206</v>
      </c>
      <c r="AD213" s="21">
        <v>9.2293906810035839E-2</v>
      </c>
      <c r="AE213" s="20">
        <v>32</v>
      </c>
      <c r="AF213" s="21">
        <v>0.1553398058252427</v>
      </c>
      <c r="AG213" s="20">
        <v>183</v>
      </c>
      <c r="AH213" s="21">
        <v>0.88834951456310685</v>
      </c>
      <c r="AI213" s="24">
        <v>180</v>
      </c>
      <c r="AJ213" s="21">
        <v>8.0645161290322578E-2</v>
      </c>
      <c r="AK213" s="24">
        <v>0</v>
      </c>
      <c r="AL213" s="21">
        <v>0.87222222222222223</v>
      </c>
      <c r="AM213" s="24">
        <v>180</v>
      </c>
      <c r="AN213" s="24">
        <v>157</v>
      </c>
      <c r="AO213" s="21">
        <v>7.0340501792114693E-2</v>
      </c>
      <c r="AP213" s="21">
        <v>0.76213592233009708</v>
      </c>
      <c r="AQ213" s="22">
        <v>0.99428571428571433</v>
      </c>
      <c r="AR213" s="24">
        <v>0</v>
      </c>
      <c r="AS213" s="24">
        <v>0</v>
      </c>
      <c r="AT213" s="24">
        <v>53</v>
      </c>
      <c r="AU213" s="24">
        <v>47</v>
      </c>
      <c r="AV213" s="24">
        <v>46</v>
      </c>
      <c r="AW213" s="24">
        <v>68</v>
      </c>
      <c r="AX213" s="21">
        <v>2.10573476702509E-2</v>
      </c>
      <c r="AY213" s="21">
        <v>2.0609318996415771E-2</v>
      </c>
      <c r="AZ213" s="21">
        <v>3.046594982078853E-2</v>
      </c>
      <c r="BA213" s="21">
        <v>0.2929936305732484</v>
      </c>
      <c r="BB213" s="24">
        <v>0</v>
      </c>
      <c r="BC213" s="24">
        <v>0</v>
      </c>
      <c r="BD213" s="22">
        <v>1</v>
      </c>
      <c r="BE213" s="22">
        <v>1</v>
      </c>
      <c r="BF213" s="22" t="s">
        <v>89</v>
      </c>
    </row>
    <row r="214" spans="1:58" ht="19.5" customHeight="1">
      <c r="A214" s="25">
        <v>211</v>
      </c>
      <c r="B214" s="20" t="s">
        <v>88</v>
      </c>
      <c r="C214" s="26">
        <v>46134</v>
      </c>
      <c r="D214" s="20" t="s">
        <v>14</v>
      </c>
      <c r="E214" s="20">
        <v>6737</v>
      </c>
      <c r="F214" s="20">
        <v>6033</v>
      </c>
      <c r="G214" s="21">
        <v>0.8955024491613478</v>
      </c>
      <c r="H214" s="20">
        <v>2644</v>
      </c>
      <c r="I214" s="22">
        <v>0.39245955172925628</v>
      </c>
      <c r="J214" s="20">
        <v>6799</v>
      </c>
      <c r="K214" s="20">
        <v>6637</v>
      </c>
      <c r="L214" s="21">
        <v>0.97599999999999998</v>
      </c>
      <c r="M214" s="20">
        <v>25553</v>
      </c>
      <c r="N214" s="20">
        <v>25048</v>
      </c>
      <c r="O214" s="20">
        <v>25134</v>
      </c>
      <c r="P214" s="21">
        <v>0.98360270809689665</v>
      </c>
      <c r="Q214" s="20">
        <v>60</v>
      </c>
      <c r="R214" s="20">
        <v>0</v>
      </c>
      <c r="S214" s="20">
        <v>0</v>
      </c>
      <c r="T214" s="21">
        <v>0</v>
      </c>
      <c r="U214" s="20">
        <v>0</v>
      </c>
      <c r="V214" s="21">
        <v>0</v>
      </c>
      <c r="W214" s="20">
        <v>1496</v>
      </c>
      <c r="X214" s="21">
        <v>0.22205729553213599</v>
      </c>
      <c r="Y214" s="20">
        <v>997</v>
      </c>
      <c r="Z214" s="23">
        <v>0.14798871901439811</v>
      </c>
      <c r="AA214" s="20">
        <v>17</v>
      </c>
      <c r="AB214" s="21">
        <v>2.5233783583197269E-3</v>
      </c>
      <c r="AC214" s="20">
        <v>1121</v>
      </c>
      <c r="AD214" s="21">
        <v>0.16639453762802431</v>
      </c>
      <c r="AE214" s="20">
        <v>289</v>
      </c>
      <c r="AF214" s="21">
        <v>0.25780553077609281</v>
      </c>
      <c r="AG214" s="20">
        <v>997</v>
      </c>
      <c r="AH214" s="21">
        <v>0.88938447814451382</v>
      </c>
      <c r="AI214" s="24">
        <v>1213</v>
      </c>
      <c r="AJ214" s="21">
        <v>0.18005046756716639</v>
      </c>
      <c r="AK214" s="24">
        <v>5</v>
      </c>
      <c r="AL214" s="21">
        <v>0.90684253915910962</v>
      </c>
      <c r="AM214" s="24">
        <v>1207</v>
      </c>
      <c r="AN214" s="24">
        <v>1100</v>
      </c>
      <c r="AO214" s="21">
        <v>0.16327742318539409</v>
      </c>
      <c r="AP214" s="21">
        <v>0.98126672613737731</v>
      </c>
      <c r="AQ214" s="22">
        <v>0.97525597269624575</v>
      </c>
      <c r="AR214" s="24">
        <v>0</v>
      </c>
      <c r="AS214" s="24">
        <v>0</v>
      </c>
      <c r="AT214" s="24">
        <v>144</v>
      </c>
      <c r="AU214" s="24">
        <v>135</v>
      </c>
      <c r="AV214" s="24">
        <v>139</v>
      </c>
      <c r="AW214" s="24">
        <v>75</v>
      </c>
      <c r="AX214" s="21">
        <v>2.003859284548018E-2</v>
      </c>
      <c r="AY214" s="21">
        <v>2.0632328929790712E-2</v>
      </c>
      <c r="AZ214" s="21">
        <v>1.113255158082233E-2</v>
      </c>
      <c r="BA214" s="21">
        <v>0.1263636363636364</v>
      </c>
      <c r="BB214" s="24">
        <v>0</v>
      </c>
      <c r="BC214" s="24">
        <v>0</v>
      </c>
      <c r="BD214" s="22">
        <v>0.98492462311557794</v>
      </c>
      <c r="BE214" s="22">
        <v>1</v>
      </c>
      <c r="BF214" s="22" t="s">
        <v>89</v>
      </c>
    </row>
    <row r="215" spans="1:58" ht="19.5" customHeight="1">
      <c r="A215" s="25">
        <v>212</v>
      </c>
      <c r="B215" s="20" t="s">
        <v>88</v>
      </c>
      <c r="C215" s="26">
        <v>46134</v>
      </c>
      <c r="D215" s="20" t="s">
        <v>13</v>
      </c>
      <c r="E215" s="20">
        <v>2602</v>
      </c>
      <c r="F215" s="20">
        <v>2325</v>
      </c>
      <c r="G215" s="21">
        <v>0.893543428132206</v>
      </c>
      <c r="H215" s="20">
        <v>1544</v>
      </c>
      <c r="I215" s="22">
        <v>0.5933897002305919</v>
      </c>
      <c r="J215" s="20">
        <v>3823</v>
      </c>
      <c r="K215" s="20">
        <v>3772</v>
      </c>
      <c r="L215" s="21">
        <v>0.98699999999999999</v>
      </c>
      <c r="M215" s="20">
        <v>15795</v>
      </c>
      <c r="N215" s="20">
        <v>15402</v>
      </c>
      <c r="O215" s="20">
        <v>15567</v>
      </c>
      <c r="P215" s="21">
        <v>0.98556505223171886</v>
      </c>
      <c r="Q215" s="20">
        <v>55</v>
      </c>
      <c r="R215" s="20">
        <v>0</v>
      </c>
      <c r="S215" s="20">
        <v>0</v>
      </c>
      <c r="T215" s="21">
        <v>0</v>
      </c>
      <c r="U215" s="20">
        <v>0</v>
      </c>
      <c r="V215" s="21">
        <v>0</v>
      </c>
      <c r="W215" s="20">
        <v>1882</v>
      </c>
      <c r="X215" s="21">
        <v>0.72328977709454267</v>
      </c>
      <c r="Y215" s="20">
        <v>988</v>
      </c>
      <c r="Z215" s="23">
        <v>0.37970791698693312</v>
      </c>
      <c r="AA215" s="20">
        <v>87</v>
      </c>
      <c r="AB215" s="21">
        <v>3.3435818601076098E-2</v>
      </c>
      <c r="AC215" s="20">
        <v>418</v>
      </c>
      <c r="AD215" s="21">
        <v>0.16064565718677939</v>
      </c>
      <c r="AE215" s="20">
        <v>65</v>
      </c>
      <c r="AF215" s="21">
        <v>0.15550239234449759</v>
      </c>
      <c r="AG215" s="20">
        <v>383</v>
      </c>
      <c r="AH215" s="21">
        <v>0.91626794258373201</v>
      </c>
      <c r="AI215" s="24">
        <v>419</v>
      </c>
      <c r="AJ215" s="21">
        <v>0.16102997694081481</v>
      </c>
      <c r="AK215" s="24">
        <v>0</v>
      </c>
      <c r="AL215" s="21">
        <v>0.94510739856801906</v>
      </c>
      <c r="AM215" s="24">
        <v>415</v>
      </c>
      <c r="AN215" s="24">
        <v>396</v>
      </c>
      <c r="AO215" s="21">
        <v>0.15219062259800151</v>
      </c>
      <c r="AP215" s="21">
        <v>0.94736842105263153</v>
      </c>
      <c r="AQ215" s="22">
        <v>0.98961038961038961</v>
      </c>
      <c r="AR215" s="24">
        <v>0</v>
      </c>
      <c r="AS215" s="24">
        <v>0</v>
      </c>
      <c r="AT215" s="24">
        <v>59</v>
      </c>
      <c r="AU215" s="24">
        <v>52</v>
      </c>
      <c r="AV215" s="24">
        <v>54</v>
      </c>
      <c r="AW215" s="24">
        <v>152</v>
      </c>
      <c r="AX215" s="21">
        <v>1.9984627209838589E-2</v>
      </c>
      <c r="AY215" s="21">
        <v>2.0753266717909301E-2</v>
      </c>
      <c r="AZ215" s="21">
        <v>5.8416602613374329E-2</v>
      </c>
      <c r="BA215" s="21">
        <v>0.13636363636363641</v>
      </c>
      <c r="BB215" s="24">
        <v>0</v>
      </c>
      <c r="BC215" s="24">
        <v>1</v>
      </c>
      <c r="BD215" s="22">
        <v>0.98039215686274506</v>
      </c>
      <c r="BE215" s="22">
        <v>0.89473684210526316</v>
      </c>
      <c r="BF215" s="22" t="s">
        <v>89</v>
      </c>
    </row>
    <row r="216" spans="1:58" ht="19.5" customHeight="1">
      <c r="A216" s="25">
        <v>213</v>
      </c>
      <c r="B216" s="20" t="s">
        <v>88</v>
      </c>
      <c r="C216" s="26">
        <v>46135</v>
      </c>
      <c r="D216" s="20" t="s">
        <v>12</v>
      </c>
      <c r="E216" s="20">
        <v>2360</v>
      </c>
      <c r="F216" s="20">
        <v>2106</v>
      </c>
      <c r="G216" s="21">
        <v>0.89237288135593218</v>
      </c>
      <c r="H216" s="20">
        <v>1130</v>
      </c>
      <c r="I216" s="22">
        <v>0.4788135593220339</v>
      </c>
      <c r="J216" s="20">
        <v>1711</v>
      </c>
      <c r="K216" s="20">
        <v>1659</v>
      </c>
      <c r="L216" s="21">
        <v>0.97</v>
      </c>
      <c r="M216" s="20">
        <v>8442</v>
      </c>
      <c r="N216" s="20">
        <v>8406</v>
      </c>
      <c r="O216" s="20">
        <v>8290</v>
      </c>
      <c r="P216" s="21">
        <v>0.98199478796493722</v>
      </c>
      <c r="Q216" s="20">
        <v>47</v>
      </c>
      <c r="R216" s="20">
        <v>0</v>
      </c>
      <c r="S216" s="20">
        <v>0</v>
      </c>
      <c r="T216" s="21">
        <v>0</v>
      </c>
      <c r="U216" s="20">
        <v>0</v>
      </c>
      <c r="V216" s="21">
        <v>0</v>
      </c>
      <c r="W216" s="20">
        <v>2256</v>
      </c>
      <c r="X216" s="21">
        <v>0.95593220338983054</v>
      </c>
      <c r="Y216" s="20">
        <v>567</v>
      </c>
      <c r="Z216" s="23">
        <v>0.24025423728813561</v>
      </c>
      <c r="AA216" s="20">
        <v>51</v>
      </c>
      <c r="AB216" s="21">
        <v>2.161016949152542E-2</v>
      </c>
      <c r="AC216" s="20">
        <v>171</v>
      </c>
      <c r="AD216" s="21">
        <v>7.2457627118644063E-2</v>
      </c>
      <c r="AE216" s="20">
        <v>39</v>
      </c>
      <c r="AF216" s="21">
        <v>0.22807017543859651</v>
      </c>
      <c r="AG216" s="20">
        <v>144</v>
      </c>
      <c r="AH216" s="21">
        <v>0.84210526315789469</v>
      </c>
      <c r="AI216" s="24">
        <v>175</v>
      </c>
      <c r="AJ216" s="21">
        <v>7.4152542372881353E-2</v>
      </c>
      <c r="AK216" s="24">
        <v>0</v>
      </c>
      <c r="AL216" s="21">
        <v>0.86857142857142855</v>
      </c>
      <c r="AM216" s="24">
        <v>172</v>
      </c>
      <c r="AN216" s="24">
        <v>152</v>
      </c>
      <c r="AO216" s="21">
        <v>6.4406779661016947E-2</v>
      </c>
      <c r="AP216" s="21">
        <v>0.88888888888888884</v>
      </c>
      <c r="AQ216" s="22">
        <v>0.96598639455782309</v>
      </c>
      <c r="AR216" s="24">
        <v>0</v>
      </c>
      <c r="AS216" s="24">
        <v>0</v>
      </c>
      <c r="AT216" s="24">
        <v>48</v>
      </c>
      <c r="AU216" s="24">
        <v>42</v>
      </c>
      <c r="AV216" s="24">
        <v>45</v>
      </c>
      <c r="AW216" s="24">
        <v>53</v>
      </c>
      <c r="AX216" s="21">
        <v>1.7796610169491529E-2</v>
      </c>
      <c r="AY216" s="21">
        <v>1.9067796610169489E-2</v>
      </c>
      <c r="AZ216" s="21">
        <v>2.2457627118644071E-2</v>
      </c>
      <c r="BA216" s="21">
        <v>0.29605263157894729</v>
      </c>
      <c r="BB216" s="24">
        <v>0</v>
      </c>
      <c r="BC216" s="24">
        <v>0</v>
      </c>
      <c r="BD216" s="22">
        <v>1</v>
      </c>
      <c r="BE216" s="22">
        <v>1</v>
      </c>
      <c r="BF216" s="22" t="s">
        <v>89</v>
      </c>
    </row>
    <row r="217" spans="1:58" ht="25.7" customHeight="1">
      <c r="A217" s="25">
        <v>214</v>
      </c>
      <c r="B217" s="20" t="s">
        <v>88</v>
      </c>
      <c r="C217" s="26">
        <v>46135</v>
      </c>
      <c r="D217" s="20" t="s">
        <v>11</v>
      </c>
      <c r="E217" s="20">
        <v>1843</v>
      </c>
      <c r="F217" s="20">
        <v>1610</v>
      </c>
      <c r="G217" s="21">
        <v>0.8735756918068367</v>
      </c>
      <c r="H217" s="20">
        <v>947</v>
      </c>
      <c r="I217" s="22">
        <v>0.51383613673358652</v>
      </c>
      <c r="J217" s="20">
        <v>2329</v>
      </c>
      <c r="K217" s="20">
        <v>2281</v>
      </c>
      <c r="L217" s="21">
        <v>0.97899999999999998</v>
      </c>
      <c r="M217" s="20">
        <v>9214</v>
      </c>
      <c r="N217" s="20">
        <v>9240</v>
      </c>
      <c r="O217" s="20">
        <v>9055</v>
      </c>
      <c r="P217" s="21">
        <v>0.98274365096592142</v>
      </c>
      <c r="Q217" s="20">
        <v>61</v>
      </c>
      <c r="R217" s="20">
        <v>0</v>
      </c>
      <c r="S217" s="20">
        <v>0</v>
      </c>
      <c r="T217" s="21">
        <v>0</v>
      </c>
      <c r="U217" s="20">
        <v>0</v>
      </c>
      <c r="V217" s="21">
        <v>0</v>
      </c>
      <c r="W217" s="20">
        <v>2449</v>
      </c>
      <c r="X217" s="21">
        <v>1.328811720021704</v>
      </c>
      <c r="Y217" s="20">
        <v>1928</v>
      </c>
      <c r="Z217" s="23">
        <v>1.0461204557786219</v>
      </c>
      <c r="AA217" s="20">
        <v>21</v>
      </c>
      <c r="AB217" s="21">
        <v>1.139446554530656E-2</v>
      </c>
      <c r="AC217" s="20">
        <v>176</v>
      </c>
      <c r="AD217" s="21">
        <v>9.5496473141616925E-2</v>
      </c>
      <c r="AE217" s="20">
        <v>43</v>
      </c>
      <c r="AF217" s="21">
        <v>0.2443181818181818</v>
      </c>
      <c r="AG217" s="20">
        <v>160</v>
      </c>
      <c r="AH217" s="21">
        <v>0.90909090909090906</v>
      </c>
      <c r="AI217" s="24">
        <v>172</v>
      </c>
      <c r="AJ217" s="21">
        <v>9.3326098752034722E-2</v>
      </c>
      <c r="AK217" s="24">
        <v>0</v>
      </c>
      <c r="AL217" s="21">
        <v>0.76162790697674421</v>
      </c>
      <c r="AM217" s="24">
        <v>167</v>
      </c>
      <c r="AN217" s="24">
        <v>131</v>
      </c>
      <c r="AO217" s="21">
        <v>7.107976125881714E-2</v>
      </c>
      <c r="AP217" s="21">
        <v>0.74431818181818177</v>
      </c>
      <c r="AQ217" s="22">
        <v>0.97633136094674555</v>
      </c>
      <c r="AR217" s="24">
        <v>0</v>
      </c>
      <c r="AS217" s="24">
        <v>0</v>
      </c>
      <c r="AT217" s="24">
        <v>52</v>
      </c>
      <c r="AU217" s="24">
        <v>42</v>
      </c>
      <c r="AV217" s="24">
        <v>43</v>
      </c>
      <c r="AW217" s="24">
        <v>49</v>
      </c>
      <c r="AX217" s="21">
        <v>2.278893109061313E-2</v>
      </c>
      <c r="AY217" s="21">
        <v>2.3331524688008681E-2</v>
      </c>
      <c r="AZ217" s="21">
        <v>2.6587086272381981E-2</v>
      </c>
      <c r="BA217" s="21">
        <v>0.3282442748091603</v>
      </c>
      <c r="BB217" s="24">
        <v>0</v>
      </c>
      <c r="BC217" s="24">
        <v>0</v>
      </c>
      <c r="BD217" s="22">
        <v>1</v>
      </c>
      <c r="BE217" s="22">
        <v>1</v>
      </c>
      <c r="BF217" s="22" t="s">
        <v>89</v>
      </c>
    </row>
    <row r="218" spans="1:58" ht="25.7" customHeight="1">
      <c r="A218" s="25">
        <v>215</v>
      </c>
      <c r="B218" s="20" t="s">
        <v>88</v>
      </c>
      <c r="C218" s="26">
        <v>46135</v>
      </c>
      <c r="D218" s="20" t="s">
        <v>14</v>
      </c>
      <c r="E218" s="20">
        <v>6954</v>
      </c>
      <c r="F218" s="20">
        <v>6262</v>
      </c>
      <c r="G218" s="21">
        <v>0.90048892723612306</v>
      </c>
      <c r="H218" s="20">
        <v>2089</v>
      </c>
      <c r="I218" s="22">
        <v>0.30040264595916022</v>
      </c>
      <c r="J218" s="20">
        <v>5955</v>
      </c>
      <c r="K218" s="20">
        <v>5809</v>
      </c>
      <c r="L218" s="21">
        <v>0.97499999999999998</v>
      </c>
      <c r="M218" s="20">
        <v>24086</v>
      </c>
      <c r="N218" s="20">
        <v>24050</v>
      </c>
      <c r="O218" s="20">
        <v>23683</v>
      </c>
      <c r="P218" s="21">
        <v>0.98326828863240057</v>
      </c>
      <c r="Q218" s="20">
        <v>91</v>
      </c>
      <c r="R218" s="20">
        <v>0</v>
      </c>
      <c r="S218" s="20">
        <v>0</v>
      </c>
      <c r="T218" s="21">
        <v>0</v>
      </c>
      <c r="U218" s="20">
        <v>0</v>
      </c>
      <c r="V218" s="21">
        <v>0</v>
      </c>
      <c r="W218" s="20">
        <v>1646</v>
      </c>
      <c r="X218" s="21">
        <v>0.23669830313488641</v>
      </c>
      <c r="Y218" s="20">
        <v>12193</v>
      </c>
      <c r="Z218" s="23">
        <v>1.7533793500143799</v>
      </c>
      <c r="AA218" s="20">
        <v>14</v>
      </c>
      <c r="AB218" s="21">
        <v>2.0132297958009781E-3</v>
      </c>
      <c r="AC218" s="20">
        <v>1177</v>
      </c>
      <c r="AD218" s="21">
        <v>0.1692551049755536</v>
      </c>
      <c r="AE218" s="20">
        <v>274</v>
      </c>
      <c r="AF218" s="21">
        <v>0.2327952421410365</v>
      </c>
      <c r="AG218" s="20">
        <v>1049</v>
      </c>
      <c r="AH218" s="21">
        <v>0.89124893797790994</v>
      </c>
      <c r="AI218" s="24">
        <v>1242</v>
      </c>
      <c r="AJ218" s="21">
        <v>0.17860224331320099</v>
      </c>
      <c r="AK218" s="24">
        <v>9</v>
      </c>
      <c r="AL218" s="21">
        <v>0.91465378421900156</v>
      </c>
      <c r="AM218" s="24">
        <v>1238</v>
      </c>
      <c r="AN218" s="24">
        <v>1136</v>
      </c>
      <c r="AO218" s="21">
        <v>0.1633592177164222</v>
      </c>
      <c r="AP218" s="21">
        <v>0.96516567544604925</v>
      </c>
      <c r="AQ218" s="22">
        <v>0.9727195225916454</v>
      </c>
      <c r="AR218" s="24">
        <v>0</v>
      </c>
      <c r="AS218" s="24">
        <v>0</v>
      </c>
      <c r="AT218" s="24">
        <v>117</v>
      </c>
      <c r="AU218" s="24">
        <v>107</v>
      </c>
      <c r="AV218" s="24">
        <v>111</v>
      </c>
      <c r="AW218" s="24">
        <v>60</v>
      </c>
      <c r="AX218" s="21">
        <v>1.5386827725050329E-2</v>
      </c>
      <c r="AY218" s="21">
        <v>1.5962036238136329E-2</v>
      </c>
      <c r="AZ218" s="21">
        <v>8.6281276962899053E-3</v>
      </c>
      <c r="BA218" s="21">
        <v>9.7711267605633798E-2</v>
      </c>
      <c r="BB218" s="24">
        <v>0</v>
      </c>
      <c r="BC218" s="24">
        <v>0</v>
      </c>
      <c r="BD218" s="22">
        <v>0.98863636363636365</v>
      </c>
      <c r="BE218" s="22">
        <v>1</v>
      </c>
      <c r="BF218" s="22" t="s">
        <v>89</v>
      </c>
    </row>
    <row r="219" spans="1:58" ht="19.5" customHeight="1">
      <c r="A219" s="25">
        <v>216</v>
      </c>
      <c r="B219" s="20" t="s">
        <v>88</v>
      </c>
      <c r="C219" s="26">
        <v>46135</v>
      </c>
      <c r="D219" s="20" t="s">
        <v>13</v>
      </c>
      <c r="E219" s="20">
        <v>3079</v>
      </c>
      <c r="F219" s="20">
        <v>2718</v>
      </c>
      <c r="G219" s="21">
        <v>0.88275414095485549</v>
      </c>
      <c r="H219" s="20">
        <v>1913</v>
      </c>
      <c r="I219" s="22">
        <v>0.62130561870737255</v>
      </c>
      <c r="J219" s="20">
        <v>3455</v>
      </c>
      <c r="K219" s="20">
        <v>3382</v>
      </c>
      <c r="L219" s="21">
        <v>0.97899999999999998</v>
      </c>
      <c r="M219" s="20">
        <v>15365</v>
      </c>
      <c r="N219" s="20">
        <v>15336</v>
      </c>
      <c r="O219" s="20">
        <v>15125</v>
      </c>
      <c r="P219" s="21">
        <v>0.98438008460787507</v>
      </c>
      <c r="Q219" s="20">
        <v>58</v>
      </c>
      <c r="R219" s="20">
        <v>0</v>
      </c>
      <c r="S219" s="20">
        <v>0</v>
      </c>
      <c r="T219" s="21">
        <v>0</v>
      </c>
      <c r="U219" s="20">
        <v>0</v>
      </c>
      <c r="V219" s="21">
        <v>0</v>
      </c>
      <c r="W219" s="20">
        <v>3388</v>
      </c>
      <c r="X219" s="21">
        <v>1.1003572588502759</v>
      </c>
      <c r="Y219" s="20">
        <v>878</v>
      </c>
      <c r="Z219" s="23">
        <v>0.28515751867489447</v>
      </c>
      <c r="AA219" s="20">
        <v>105</v>
      </c>
      <c r="AB219" s="21">
        <v>3.4101981162715157E-2</v>
      </c>
      <c r="AC219" s="20">
        <v>423</v>
      </c>
      <c r="AD219" s="21">
        <v>0.13738226696979541</v>
      </c>
      <c r="AE219" s="20">
        <v>66</v>
      </c>
      <c r="AF219" s="21">
        <v>0.15602836879432619</v>
      </c>
      <c r="AG219" s="20">
        <v>390</v>
      </c>
      <c r="AH219" s="21">
        <v>0.92198581560283688</v>
      </c>
      <c r="AI219" s="24">
        <v>430</v>
      </c>
      <c r="AJ219" s="21">
        <v>0.13965573238064311</v>
      </c>
      <c r="AK219" s="24">
        <v>0</v>
      </c>
      <c r="AL219" s="21">
        <v>0.91162790697674423</v>
      </c>
      <c r="AM219" s="24">
        <v>419</v>
      </c>
      <c r="AN219" s="24">
        <v>392</v>
      </c>
      <c r="AO219" s="21">
        <v>0.12731406300746989</v>
      </c>
      <c r="AP219" s="21">
        <v>0.92671394799054374</v>
      </c>
      <c r="AQ219" s="22">
        <v>0.95261845386533661</v>
      </c>
      <c r="AR219" s="24">
        <v>0</v>
      </c>
      <c r="AS219" s="24">
        <v>0</v>
      </c>
      <c r="AT219" s="24">
        <v>52</v>
      </c>
      <c r="AU219" s="24">
        <v>51</v>
      </c>
      <c r="AV219" s="24">
        <v>50</v>
      </c>
      <c r="AW219" s="24">
        <v>90</v>
      </c>
      <c r="AX219" s="21">
        <v>1.6563819421890221E-2</v>
      </c>
      <c r="AY219" s="21">
        <v>1.623903864891198E-2</v>
      </c>
      <c r="AZ219" s="21">
        <v>2.9230269568041568E-2</v>
      </c>
      <c r="BA219" s="21">
        <v>0.1275510204081633</v>
      </c>
      <c r="BB219" s="24">
        <v>0</v>
      </c>
      <c r="BC219" s="24">
        <v>0</v>
      </c>
      <c r="BD219" s="22">
        <v>1</v>
      </c>
      <c r="BE219" s="22">
        <v>1</v>
      </c>
      <c r="BF219" s="22" t="s">
        <v>89</v>
      </c>
    </row>
    <row r="220" spans="1:58" ht="19.5" customHeight="1">
      <c r="A220" s="25">
        <v>217</v>
      </c>
      <c r="B220" s="20" t="s">
        <v>88</v>
      </c>
      <c r="C220" s="26">
        <v>46136</v>
      </c>
      <c r="D220" s="20" t="s">
        <v>12</v>
      </c>
      <c r="E220" s="20">
        <v>3030</v>
      </c>
      <c r="F220" s="20">
        <v>2575</v>
      </c>
      <c r="G220" s="21">
        <v>0.84983498349834985</v>
      </c>
      <c r="H220" s="20">
        <v>1826</v>
      </c>
      <c r="I220" s="22">
        <v>0.60264026402640269</v>
      </c>
      <c r="J220" s="20">
        <v>3921</v>
      </c>
      <c r="K220" s="20">
        <v>3778</v>
      </c>
      <c r="L220" s="21">
        <v>0.96399999999999997</v>
      </c>
      <c r="M220" s="20">
        <v>11273</v>
      </c>
      <c r="N220" s="20">
        <v>11776</v>
      </c>
      <c r="O220" s="20">
        <v>11034</v>
      </c>
      <c r="P220" s="21">
        <v>0.9787989000266123</v>
      </c>
      <c r="Q220" s="20">
        <v>48</v>
      </c>
      <c r="R220" s="20">
        <v>0</v>
      </c>
      <c r="S220" s="20">
        <v>0</v>
      </c>
      <c r="T220" s="21">
        <v>0</v>
      </c>
      <c r="U220" s="20">
        <v>0</v>
      </c>
      <c r="V220" s="21">
        <v>0</v>
      </c>
      <c r="W220" s="20">
        <v>5038</v>
      </c>
      <c r="X220" s="21">
        <v>1.662706270627063</v>
      </c>
      <c r="Y220" s="20">
        <v>629</v>
      </c>
      <c r="Z220" s="23">
        <v>0.2075907590759076</v>
      </c>
      <c r="AA220" s="20">
        <v>37</v>
      </c>
      <c r="AB220" s="21">
        <v>1.2211221122112211E-2</v>
      </c>
      <c r="AC220" s="20">
        <v>190</v>
      </c>
      <c r="AD220" s="21">
        <v>6.2706270627062702E-2</v>
      </c>
      <c r="AE220" s="20">
        <v>44</v>
      </c>
      <c r="AF220" s="21">
        <v>0.23157894736842111</v>
      </c>
      <c r="AG220" s="20">
        <v>161</v>
      </c>
      <c r="AH220" s="21">
        <v>0.84736842105263155</v>
      </c>
      <c r="AI220" s="24">
        <v>196</v>
      </c>
      <c r="AJ220" s="21">
        <v>6.4686468646864684E-2</v>
      </c>
      <c r="AK220" s="24">
        <v>0</v>
      </c>
      <c r="AL220" s="21">
        <v>0.83673469387755106</v>
      </c>
      <c r="AM220" s="24">
        <v>188</v>
      </c>
      <c r="AN220" s="24">
        <v>164</v>
      </c>
      <c r="AO220" s="21">
        <v>5.4125412541254123E-2</v>
      </c>
      <c r="AP220" s="21">
        <v>0.86315789473684212</v>
      </c>
      <c r="AQ220" s="22">
        <v>0.9673202614379085</v>
      </c>
      <c r="AR220" s="24">
        <v>0</v>
      </c>
      <c r="AS220" s="24">
        <v>0</v>
      </c>
      <c r="AT220" s="24">
        <v>37</v>
      </c>
      <c r="AU220" s="24">
        <v>34</v>
      </c>
      <c r="AV220" s="24">
        <v>31</v>
      </c>
      <c r="AW220" s="24">
        <v>74</v>
      </c>
      <c r="AX220" s="21">
        <v>1.122112211221122E-2</v>
      </c>
      <c r="AY220" s="21">
        <v>1.023102310231023E-2</v>
      </c>
      <c r="AZ220" s="21">
        <v>2.4422442244224421E-2</v>
      </c>
      <c r="BA220" s="21">
        <v>0.18902439024390241</v>
      </c>
      <c r="BB220" s="24">
        <v>0</v>
      </c>
      <c r="BC220" s="24">
        <v>0</v>
      </c>
      <c r="BD220" s="22">
        <v>1</v>
      </c>
      <c r="BE220" s="22">
        <v>1</v>
      </c>
      <c r="BF220" s="22" t="s">
        <v>89</v>
      </c>
    </row>
    <row r="221" spans="1:58" ht="19.5" customHeight="1">
      <c r="A221" s="25">
        <v>218</v>
      </c>
      <c r="B221" s="20" t="s">
        <v>88</v>
      </c>
      <c r="C221" s="26">
        <v>46136</v>
      </c>
      <c r="D221" s="20" t="s">
        <v>11</v>
      </c>
      <c r="E221" s="20">
        <v>1965</v>
      </c>
      <c r="F221" s="20">
        <v>1741</v>
      </c>
      <c r="G221" s="21">
        <v>0.88600508905852415</v>
      </c>
      <c r="H221" s="20">
        <v>704</v>
      </c>
      <c r="I221" s="22">
        <v>0.35826972010178121</v>
      </c>
      <c r="J221" s="20">
        <v>1605</v>
      </c>
      <c r="K221" s="20">
        <v>1434</v>
      </c>
      <c r="L221" s="21">
        <v>0.89300000000000002</v>
      </c>
      <c r="M221" s="20">
        <v>9008</v>
      </c>
      <c r="N221" s="20">
        <v>9335</v>
      </c>
      <c r="O221" s="20">
        <v>8712</v>
      </c>
      <c r="P221" s="21">
        <v>0.96714031971580816</v>
      </c>
      <c r="Q221" s="20">
        <v>34</v>
      </c>
      <c r="R221" s="20">
        <v>0</v>
      </c>
      <c r="S221" s="20">
        <v>0</v>
      </c>
      <c r="T221" s="21">
        <v>0</v>
      </c>
      <c r="U221" s="20">
        <v>0</v>
      </c>
      <c r="V221" s="21">
        <v>0</v>
      </c>
      <c r="W221" s="20">
        <v>5250</v>
      </c>
      <c r="X221" s="21">
        <v>2.671755725190839</v>
      </c>
      <c r="Y221" s="20">
        <v>696</v>
      </c>
      <c r="Z221" s="23">
        <v>0.35419847328244269</v>
      </c>
      <c r="AA221" s="20">
        <v>24</v>
      </c>
      <c r="AB221" s="21">
        <v>1.2213740458015271E-2</v>
      </c>
      <c r="AC221" s="20">
        <v>189</v>
      </c>
      <c r="AD221" s="21">
        <v>9.6183206106870228E-2</v>
      </c>
      <c r="AE221" s="20">
        <v>37</v>
      </c>
      <c r="AF221" s="21">
        <v>0.19576719576719581</v>
      </c>
      <c r="AG221" s="20">
        <v>171</v>
      </c>
      <c r="AH221" s="21">
        <v>0.90476190476190477</v>
      </c>
      <c r="AI221" s="24">
        <v>177</v>
      </c>
      <c r="AJ221" s="21">
        <v>9.0076335877862596E-2</v>
      </c>
      <c r="AK221" s="24">
        <v>0</v>
      </c>
      <c r="AL221" s="21">
        <v>0.82485875706214684</v>
      </c>
      <c r="AM221" s="24">
        <v>168</v>
      </c>
      <c r="AN221" s="24">
        <v>146</v>
      </c>
      <c r="AO221" s="21">
        <v>7.4300254452926207E-2</v>
      </c>
      <c r="AP221" s="21">
        <v>0.77248677248677244</v>
      </c>
      <c r="AQ221" s="22">
        <v>0.96045197740112997</v>
      </c>
      <c r="AR221" s="24">
        <v>0</v>
      </c>
      <c r="AS221" s="24">
        <v>0</v>
      </c>
      <c r="AT221" s="24">
        <v>43</v>
      </c>
      <c r="AU221" s="24">
        <v>37</v>
      </c>
      <c r="AV221" s="24">
        <v>34</v>
      </c>
      <c r="AW221" s="24">
        <v>55</v>
      </c>
      <c r="AX221" s="21">
        <v>1.8829516539440198E-2</v>
      </c>
      <c r="AY221" s="21">
        <v>1.730279898218829E-2</v>
      </c>
      <c r="AZ221" s="21">
        <v>2.7989821882951651E-2</v>
      </c>
      <c r="BA221" s="21">
        <v>0.23287671232876711</v>
      </c>
      <c r="BB221" s="24">
        <v>0</v>
      </c>
      <c r="BC221" s="24">
        <v>0</v>
      </c>
      <c r="BD221" s="22">
        <v>1</v>
      </c>
      <c r="BE221" s="22">
        <v>0.90909090909090906</v>
      </c>
      <c r="BF221" s="22" t="s">
        <v>89</v>
      </c>
    </row>
    <row r="222" spans="1:58" ht="19.5" customHeight="1">
      <c r="A222" s="25">
        <v>219</v>
      </c>
      <c r="B222" s="20" t="s">
        <v>88</v>
      </c>
      <c r="C222" s="26">
        <v>46136</v>
      </c>
      <c r="D222" s="20" t="s">
        <v>14</v>
      </c>
      <c r="E222" s="20">
        <v>6986</v>
      </c>
      <c r="F222" s="20">
        <v>6331</v>
      </c>
      <c r="G222" s="21">
        <v>0.90624105353564266</v>
      </c>
      <c r="H222" s="20">
        <v>1637</v>
      </c>
      <c r="I222" s="22">
        <v>0.23432579444603491</v>
      </c>
      <c r="J222" s="20">
        <v>5146</v>
      </c>
      <c r="K222" s="20">
        <v>4972</v>
      </c>
      <c r="L222" s="21">
        <v>0.96599999999999997</v>
      </c>
      <c r="M222" s="20">
        <v>24537</v>
      </c>
      <c r="N222" s="20">
        <v>25966</v>
      </c>
      <c r="O222" s="20">
        <v>24170</v>
      </c>
      <c r="P222" s="21">
        <v>0.9850429962913152</v>
      </c>
      <c r="Q222" s="20">
        <v>60</v>
      </c>
      <c r="R222" s="20">
        <v>0</v>
      </c>
      <c r="S222" s="20">
        <v>0</v>
      </c>
      <c r="T222" s="21">
        <v>0</v>
      </c>
      <c r="U222" s="20">
        <v>0</v>
      </c>
      <c r="V222" s="21">
        <v>0</v>
      </c>
      <c r="W222" s="20">
        <v>2145</v>
      </c>
      <c r="X222" s="21">
        <v>0.30704265674205561</v>
      </c>
      <c r="Y222" s="20">
        <v>1677</v>
      </c>
      <c r="Z222" s="23">
        <v>0.240051531634698</v>
      </c>
      <c r="AA222" s="20">
        <v>5</v>
      </c>
      <c r="AB222" s="21">
        <v>7.1571714858288009E-4</v>
      </c>
      <c r="AC222" s="20">
        <v>1179</v>
      </c>
      <c r="AD222" s="21">
        <v>0.1687661036358431</v>
      </c>
      <c r="AE222" s="20">
        <v>269</v>
      </c>
      <c r="AF222" s="21">
        <v>0.2281594571670908</v>
      </c>
      <c r="AG222" s="20">
        <v>1019</v>
      </c>
      <c r="AH222" s="21">
        <v>0.86429177268871926</v>
      </c>
      <c r="AI222" s="24">
        <v>1240</v>
      </c>
      <c r="AJ222" s="21">
        <v>0.17749785284855421</v>
      </c>
      <c r="AK222" s="24">
        <v>6</v>
      </c>
      <c r="AL222" s="21">
        <v>0.91370967741935483</v>
      </c>
      <c r="AM222" s="24">
        <v>1226</v>
      </c>
      <c r="AN222" s="24">
        <v>1133</v>
      </c>
      <c r="AO222" s="21">
        <v>0.16218150586888061</v>
      </c>
      <c r="AP222" s="21">
        <v>0.96098388464800677</v>
      </c>
      <c r="AQ222" s="22">
        <v>0.97105045492142261</v>
      </c>
      <c r="AR222" s="24">
        <v>0</v>
      </c>
      <c r="AS222" s="24">
        <v>0</v>
      </c>
      <c r="AT222" s="24">
        <v>108</v>
      </c>
      <c r="AU222" s="24">
        <v>94</v>
      </c>
      <c r="AV222" s="24">
        <v>96</v>
      </c>
      <c r="AW222" s="24">
        <v>79</v>
      </c>
      <c r="AX222" s="21">
        <v>1.3455482393358141E-2</v>
      </c>
      <c r="AY222" s="21">
        <v>1.3741769252791299E-2</v>
      </c>
      <c r="AZ222" s="21">
        <v>1.13083309476095E-2</v>
      </c>
      <c r="BA222" s="21">
        <v>8.4730803177405126E-2</v>
      </c>
      <c r="BB222" s="24">
        <v>0</v>
      </c>
      <c r="BC222" s="24">
        <v>0</v>
      </c>
      <c r="BD222" s="22">
        <v>0.99009900990099009</v>
      </c>
      <c r="BE222" s="22">
        <v>1</v>
      </c>
      <c r="BF222" s="22" t="s">
        <v>89</v>
      </c>
    </row>
    <row r="223" spans="1:58" ht="19.5" customHeight="1">
      <c r="A223" s="25">
        <v>220</v>
      </c>
      <c r="B223" s="20" t="s">
        <v>88</v>
      </c>
      <c r="C223" s="26">
        <v>46136</v>
      </c>
      <c r="D223" s="20" t="s">
        <v>13</v>
      </c>
      <c r="E223" s="20">
        <v>3122</v>
      </c>
      <c r="F223" s="20">
        <v>2776</v>
      </c>
      <c r="G223" s="21">
        <v>0.88917360666239587</v>
      </c>
      <c r="H223" s="20">
        <v>2035</v>
      </c>
      <c r="I223" s="22">
        <v>0.65182575272261367</v>
      </c>
      <c r="J223" s="20">
        <v>2880</v>
      </c>
      <c r="K223" s="20">
        <v>2753</v>
      </c>
      <c r="L223" s="21">
        <v>0.95599999999999996</v>
      </c>
      <c r="M223" s="20">
        <v>14999</v>
      </c>
      <c r="N223" s="20">
        <v>15667</v>
      </c>
      <c r="O223" s="20">
        <v>14759</v>
      </c>
      <c r="P223" s="21">
        <v>0.98399893326221743</v>
      </c>
      <c r="Q223" s="20">
        <v>38</v>
      </c>
      <c r="R223" s="20">
        <v>0</v>
      </c>
      <c r="S223" s="20">
        <v>0</v>
      </c>
      <c r="T223" s="21">
        <v>0</v>
      </c>
      <c r="U223" s="20">
        <v>0</v>
      </c>
      <c r="V223" s="21">
        <v>0</v>
      </c>
      <c r="W223" s="20">
        <v>7009</v>
      </c>
      <c r="X223" s="21">
        <v>2.245035233824471</v>
      </c>
      <c r="Y223" s="20">
        <v>950</v>
      </c>
      <c r="Z223" s="23">
        <v>0.30429212043561821</v>
      </c>
      <c r="AA223" s="20">
        <v>77</v>
      </c>
      <c r="AB223" s="21">
        <v>2.4663677130044841E-2</v>
      </c>
      <c r="AC223" s="20">
        <v>462</v>
      </c>
      <c r="AD223" s="21">
        <v>0.1479820627802691</v>
      </c>
      <c r="AE223" s="20">
        <v>61</v>
      </c>
      <c r="AF223" s="21">
        <v>0.132034632034632</v>
      </c>
      <c r="AG223" s="20">
        <v>405</v>
      </c>
      <c r="AH223" s="21">
        <v>0.87662337662337664</v>
      </c>
      <c r="AI223" s="24">
        <v>457</v>
      </c>
      <c r="AJ223" s="21">
        <v>0.1463805253042921</v>
      </c>
      <c r="AK223" s="24">
        <v>0</v>
      </c>
      <c r="AL223" s="21">
        <v>0.93216630196936545</v>
      </c>
      <c r="AM223" s="24">
        <v>448</v>
      </c>
      <c r="AN223" s="24">
        <v>426</v>
      </c>
      <c r="AO223" s="21">
        <v>0.1364509929532351</v>
      </c>
      <c r="AP223" s="21">
        <v>0.92207792207792205</v>
      </c>
      <c r="AQ223" s="22">
        <v>0.97303921568627449</v>
      </c>
      <c r="AR223" s="24">
        <v>0</v>
      </c>
      <c r="AS223" s="24">
        <v>0</v>
      </c>
      <c r="AT223" s="24">
        <v>60</v>
      </c>
      <c r="AU223" s="24">
        <v>56</v>
      </c>
      <c r="AV223" s="24">
        <v>56</v>
      </c>
      <c r="AW223" s="24">
        <v>81</v>
      </c>
      <c r="AX223" s="21">
        <v>1.79372197309417E-2</v>
      </c>
      <c r="AY223" s="21">
        <v>1.79372197309417E-2</v>
      </c>
      <c r="AZ223" s="21">
        <v>2.5944907110826389E-2</v>
      </c>
      <c r="BA223" s="21">
        <v>0.1314553990610329</v>
      </c>
      <c r="BB223" s="24">
        <v>0</v>
      </c>
      <c r="BC223" s="24">
        <v>0</v>
      </c>
      <c r="BD223" s="22">
        <v>1</v>
      </c>
      <c r="BE223" s="22">
        <v>1</v>
      </c>
      <c r="BF223" s="22" t="s">
        <v>89</v>
      </c>
    </row>
    <row r="224" spans="1:58" ht="19.5" customHeight="1">
      <c r="A224" s="25">
        <v>221</v>
      </c>
      <c r="B224" s="20" t="s">
        <v>88</v>
      </c>
      <c r="C224" s="26">
        <v>46137</v>
      </c>
      <c r="D224" s="20" t="s">
        <v>12</v>
      </c>
      <c r="E224" s="20">
        <v>2464</v>
      </c>
      <c r="F224" s="20">
        <v>2195</v>
      </c>
      <c r="G224" s="21">
        <v>0.89082792207792205</v>
      </c>
      <c r="H224" s="20">
        <v>1350</v>
      </c>
      <c r="I224" s="22">
        <v>0.54788961038961037</v>
      </c>
      <c r="J224" s="20">
        <v>1859</v>
      </c>
      <c r="K224" s="20">
        <v>1818</v>
      </c>
      <c r="L224" s="21">
        <v>0.97799999999999998</v>
      </c>
      <c r="M224" s="20">
        <v>9118</v>
      </c>
      <c r="N224" s="20">
        <v>9520</v>
      </c>
      <c r="O224" s="20">
        <v>8999</v>
      </c>
      <c r="P224" s="21">
        <v>0.98694889230094318</v>
      </c>
      <c r="Q224" s="20">
        <v>20</v>
      </c>
      <c r="R224" s="20">
        <v>0</v>
      </c>
      <c r="S224" s="20">
        <v>0</v>
      </c>
      <c r="T224" s="21">
        <v>0</v>
      </c>
      <c r="U224" s="20">
        <v>0</v>
      </c>
      <c r="V224" s="21">
        <v>0</v>
      </c>
      <c r="W224" s="20">
        <v>5433</v>
      </c>
      <c r="X224" s="21">
        <v>2.2049512987012991</v>
      </c>
      <c r="Y224" s="20">
        <v>428</v>
      </c>
      <c r="Z224" s="23">
        <v>0.17370129870129869</v>
      </c>
      <c r="AA224" s="20">
        <v>45</v>
      </c>
      <c r="AB224" s="21">
        <v>1.8262987012987009E-2</v>
      </c>
      <c r="AC224" s="20">
        <v>282</v>
      </c>
      <c r="AD224" s="21">
        <v>0.11444805194805199</v>
      </c>
      <c r="AE224" s="20">
        <v>51</v>
      </c>
      <c r="AF224" s="21">
        <v>0.18085106382978719</v>
      </c>
      <c r="AG224" s="20">
        <v>252</v>
      </c>
      <c r="AH224" s="21">
        <v>0.8936170212765957</v>
      </c>
      <c r="AI224" s="24">
        <v>297</v>
      </c>
      <c r="AJ224" s="21">
        <v>0.1205357142857143</v>
      </c>
      <c r="AK224" s="24">
        <v>0</v>
      </c>
      <c r="AL224" s="21">
        <v>0.88888888888888884</v>
      </c>
      <c r="AM224" s="24">
        <v>291</v>
      </c>
      <c r="AN224" s="24">
        <v>264</v>
      </c>
      <c r="AO224" s="21">
        <v>0.1071428571428571</v>
      </c>
      <c r="AP224" s="21">
        <v>0.93617021276595747</v>
      </c>
      <c r="AQ224" s="22">
        <v>0.98351648351648346</v>
      </c>
      <c r="AR224" s="24">
        <v>0</v>
      </c>
      <c r="AS224" s="24">
        <v>0</v>
      </c>
      <c r="AT224" s="24">
        <v>60</v>
      </c>
      <c r="AU224" s="24">
        <v>56</v>
      </c>
      <c r="AV224" s="24">
        <v>57</v>
      </c>
      <c r="AW224" s="24">
        <v>49</v>
      </c>
      <c r="AX224" s="21">
        <v>2.2727272727272731E-2</v>
      </c>
      <c r="AY224" s="21">
        <v>2.313311688311688E-2</v>
      </c>
      <c r="AZ224" s="21">
        <v>1.988636363636364E-2</v>
      </c>
      <c r="BA224" s="21">
        <v>0.21590909090909091</v>
      </c>
      <c r="BB224" s="24">
        <v>0</v>
      </c>
      <c r="BC224" s="24">
        <v>0</v>
      </c>
      <c r="BD224" s="22">
        <v>1</v>
      </c>
      <c r="BE224" s="22">
        <v>1</v>
      </c>
      <c r="BF224" s="22" t="s">
        <v>89</v>
      </c>
    </row>
    <row r="225" spans="1:58" ht="19.5" customHeight="1">
      <c r="A225" s="25">
        <v>222</v>
      </c>
      <c r="B225" s="20" t="s">
        <v>88</v>
      </c>
      <c r="C225" s="26">
        <v>46137</v>
      </c>
      <c r="D225" s="20" t="s">
        <v>11</v>
      </c>
      <c r="E225" s="20">
        <v>2334</v>
      </c>
      <c r="F225" s="20">
        <v>2079</v>
      </c>
      <c r="G225" s="21">
        <v>0.89074550128534702</v>
      </c>
      <c r="H225" s="20">
        <v>946</v>
      </c>
      <c r="I225" s="22">
        <v>0.40531276778063408</v>
      </c>
      <c r="J225" s="20">
        <v>1644</v>
      </c>
      <c r="K225" s="20">
        <v>1617</v>
      </c>
      <c r="L225" s="21">
        <v>0.98399999999999999</v>
      </c>
      <c r="M225" s="20">
        <v>8797</v>
      </c>
      <c r="N225" s="20">
        <v>9352</v>
      </c>
      <c r="O225" s="20">
        <v>8682</v>
      </c>
      <c r="P225" s="21">
        <v>0.98692736160054562</v>
      </c>
      <c r="Q225" s="20">
        <v>27</v>
      </c>
      <c r="R225" s="20">
        <v>0</v>
      </c>
      <c r="S225" s="20">
        <v>0</v>
      </c>
      <c r="T225" s="21">
        <v>0</v>
      </c>
      <c r="U225" s="20">
        <v>0</v>
      </c>
      <c r="V225" s="21">
        <v>0</v>
      </c>
      <c r="W225" s="20">
        <v>5808</v>
      </c>
      <c r="X225" s="21">
        <v>2.488431876606684</v>
      </c>
      <c r="Y225" s="20">
        <v>462</v>
      </c>
      <c r="Z225" s="23">
        <v>0.19794344473007711</v>
      </c>
      <c r="AA225" s="20">
        <v>26</v>
      </c>
      <c r="AB225" s="21">
        <v>1.113967437874893E-2</v>
      </c>
      <c r="AC225" s="20">
        <v>368</v>
      </c>
      <c r="AD225" s="21">
        <v>0.15766923736075411</v>
      </c>
      <c r="AE225" s="20">
        <v>53</v>
      </c>
      <c r="AF225" s="21">
        <v>0.14402173913043481</v>
      </c>
      <c r="AG225" s="20">
        <v>320</v>
      </c>
      <c r="AH225" s="21">
        <v>0.86956521739130432</v>
      </c>
      <c r="AI225" s="24">
        <v>364</v>
      </c>
      <c r="AJ225" s="21">
        <v>0.15595544130248501</v>
      </c>
      <c r="AK225" s="24">
        <v>3</v>
      </c>
      <c r="AL225" s="21">
        <v>0.87087912087912089</v>
      </c>
      <c r="AM225" s="24">
        <v>362</v>
      </c>
      <c r="AN225" s="24">
        <v>317</v>
      </c>
      <c r="AO225" s="21">
        <v>0.1358183376178235</v>
      </c>
      <c r="AP225" s="21">
        <v>0.86141304347826086</v>
      </c>
      <c r="AQ225" s="22">
        <v>0.91566265060240959</v>
      </c>
      <c r="AR225" s="24">
        <v>0</v>
      </c>
      <c r="AS225" s="24">
        <v>0</v>
      </c>
      <c r="AT225" s="24">
        <v>61</v>
      </c>
      <c r="AU225" s="24">
        <v>58</v>
      </c>
      <c r="AV225" s="24">
        <v>58</v>
      </c>
      <c r="AW225" s="24">
        <v>51</v>
      </c>
      <c r="AX225" s="21">
        <v>2.4850042844901461E-2</v>
      </c>
      <c r="AY225" s="21">
        <v>2.4850042844901461E-2</v>
      </c>
      <c r="AZ225" s="21">
        <v>2.1850899742930589E-2</v>
      </c>
      <c r="BA225" s="21">
        <v>0.18296529968454259</v>
      </c>
      <c r="BB225" s="24">
        <v>0</v>
      </c>
      <c r="BC225" s="24">
        <v>0</v>
      </c>
      <c r="BD225" s="22">
        <v>0.95238095238095233</v>
      </c>
      <c r="BE225" s="22">
        <v>1</v>
      </c>
      <c r="BF225" s="22" t="s">
        <v>89</v>
      </c>
    </row>
    <row r="226" spans="1:58" ht="19.5" customHeight="1">
      <c r="A226" s="25">
        <v>223</v>
      </c>
      <c r="B226" s="20" t="s">
        <v>88</v>
      </c>
      <c r="C226" s="26">
        <v>46137</v>
      </c>
      <c r="D226" s="20" t="s">
        <v>14</v>
      </c>
      <c r="E226" s="20">
        <v>11040</v>
      </c>
      <c r="F226" s="20">
        <v>9905</v>
      </c>
      <c r="G226" s="21">
        <v>0.89719202898550721</v>
      </c>
      <c r="H226" s="20">
        <v>2312</v>
      </c>
      <c r="I226" s="22">
        <v>0.20942028985507249</v>
      </c>
      <c r="J226" s="20">
        <v>5989</v>
      </c>
      <c r="K226" s="20">
        <v>5851</v>
      </c>
      <c r="L226" s="21">
        <v>0.97699999999999998</v>
      </c>
      <c r="M226" s="20">
        <v>25461</v>
      </c>
      <c r="N226" s="20">
        <v>27253</v>
      </c>
      <c r="O226" s="20">
        <v>25101</v>
      </c>
      <c r="P226" s="21">
        <v>0.98586072817249915</v>
      </c>
      <c r="Q226" s="20">
        <v>50</v>
      </c>
      <c r="R226" s="20">
        <v>0</v>
      </c>
      <c r="S226" s="20">
        <v>0</v>
      </c>
      <c r="T226" s="21">
        <v>0</v>
      </c>
      <c r="U226" s="20">
        <v>0</v>
      </c>
      <c r="V226" s="21">
        <v>0</v>
      </c>
      <c r="W226" s="20">
        <v>2012</v>
      </c>
      <c r="X226" s="21">
        <v>0.1822463768115942</v>
      </c>
      <c r="Y226" s="20">
        <v>1659</v>
      </c>
      <c r="Z226" s="23">
        <v>0.15027173913043479</v>
      </c>
      <c r="AA226" s="20">
        <v>7</v>
      </c>
      <c r="AB226" s="21">
        <v>6.3405797101449271E-4</v>
      </c>
      <c r="AC226" s="20">
        <v>1822</v>
      </c>
      <c r="AD226" s="21">
        <v>0.165036231884058</v>
      </c>
      <c r="AE226" s="20">
        <v>315</v>
      </c>
      <c r="AF226" s="21">
        <v>0.17288693743139411</v>
      </c>
      <c r="AG226" s="20">
        <v>1591</v>
      </c>
      <c r="AH226" s="21">
        <v>0.87321624588364433</v>
      </c>
      <c r="AI226" s="24">
        <v>1840</v>
      </c>
      <c r="AJ226" s="21">
        <v>0.16666666666666671</v>
      </c>
      <c r="AK226" s="24">
        <v>11</v>
      </c>
      <c r="AL226" s="21">
        <v>0.91304347826086951</v>
      </c>
      <c r="AM226" s="24">
        <v>1838</v>
      </c>
      <c r="AN226" s="24">
        <v>1680</v>
      </c>
      <c r="AO226" s="21">
        <v>0.1521739130434783</v>
      </c>
      <c r="AP226" s="21">
        <v>0.92206366630076841</v>
      </c>
      <c r="AQ226" s="22">
        <v>0.97185430463576161</v>
      </c>
      <c r="AR226" s="24">
        <v>0</v>
      </c>
      <c r="AS226" s="24">
        <v>0</v>
      </c>
      <c r="AT226" s="24">
        <v>249</v>
      </c>
      <c r="AU226" s="24">
        <v>236</v>
      </c>
      <c r="AV226" s="24">
        <v>225</v>
      </c>
      <c r="AW226" s="24">
        <v>59</v>
      </c>
      <c r="AX226" s="21">
        <v>2.1376811594202901E-2</v>
      </c>
      <c r="AY226" s="21">
        <v>2.0380434782608699E-2</v>
      </c>
      <c r="AZ226" s="21">
        <v>5.3442028985507244E-3</v>
      </c>
      <c r="BA226" s="21">
        <v>0.1339285714285714</v>
      </c>
      <c r="BB226" s="24">
        <v>0</v>
      </c>
      <c r="BC226" s="24">
        <v>0</v>
      </c>
      <c r="BD226" s="22">
        <v>0.98452012383900933</v>
      </c>
      <c r="BE226" s="22">
        <v>1</v>
      </c>
      <c r="BF226" s="22" t="s">
        <v>89</v>
      </c>
    </row>
    <row r="227" spans="1:58" ht="19.5" customHeight="1">
      <c r="A227" s="25">
        <v>224</v>
      </c>
      <c r="B227" s="20" t="s">
        <v>88</v>
      </c>
      <c r="C227" s="26">
        <v>46137</v>
      </c>
      <c r="D227" s="20" t="s">
        <v>13</v>
      </c>
      <c r="E227" s="20">
        <v>3945</v>
      </c>
      <c r="F227" s="20">
        <v>3607</v>
      </c>
      <c r="G227" s="21">
        <v>0.91432192648922683</v>
      </c>
      <c r="H227" s="20">
        <v>2567</v>
      </c>
      <c r="I227" s="22">
        <v>0.65069708491761724</v>
      </c>
      <c r="J227" s="20">
        <v>4494</v>
      </c>
      <c r="K227" s="20">
        <v>4406</v>
      </c>
      <c r="L227" s="21">
        <v>0.98</v>
      </c>
      <c r="M227" s="20">
        <v>17342</v>
      </c>
      <c r="N227" s="20">
        <v>18129</v>
      </c>
      <c r="O227" s="20">
        <v>17129</v>
      </c>
      <c r="P227" s="21">
        <v>0.98771767962172763</v>
      </c>
      <c r="Q227" s="20">
        <v>35</v>
      </c>
      <c r="R227" s="20">
        <v>0</v>
      </c>
      <c r="S227" s="20">
        <v>0</v>
      </c>
      <c r="T227" s="21">
        <v>0</v>
      </c>
      <c r="U227" s="20">
        <v>0</v>
      </c>
      <c r="V227" s="21">
        <v>0</v>
      </c>
      <c r="W227" s="20">
        <v>7521</v>
      </c>
      <c r="X227" s="21">
        <v>1.906463878326996</v>
      </c>
      <c r="Y227" s="20">
        <v>671</v>
      </c>
      <c r="Z227" s="23">
        <v>0.1700887198986058</v>
      </c>
      <c r="AA227" s="20">
        <v>79</v>
      </c>
      <c r="AB227" s="21">
        <v>2.0025348542458809E-2</v>
      </c>
      <c r="AC227" s="20">
        <v>687</v>
      </c>
      <c r="AD227" s="21">
        <v>0.17414448669201521</v>
      </c>
      <c r="AE227" s="20">
        <v>76</v>
      </c>
      <c r="AF227" s="21">
        <v>0.1106259097525473</v>
      </c>
      <c r="AG227" s="20">
        <v>612</v>
      </c>
      <c r="AH227" s="21">
        <v>0.89082969432314407</v>
      </c>
      <c r="AI227" s="24">
        <v>664</v>
      </c>
      <c r="AJ227" s="21">
        <v>0.16831432192648921</v>
      </c>
      <c r="AK227" s="24">
        <v>5</v>
      </c>
      <c r="AL227" s="21">
        <v>0.9412650602409639</v>
      </c>
      <c r="AM227" s="24">
        <v>646</v>
      </c>
      <c r="AN227" s="24">
        <v>625</v>
      </c>
      <c r="AO227" s="21">
        <v>0.15842839036755391</v>
      </c>
      <c r="AP227" s="21">
        <v>0.90975254730713251</v>
      </c>
      <c r="AQ227" s="22">
        <v>0.97711670480549195</v>
      </c>
      <c r="AR227" s="24">
        <v>0</v>
      </c>
      <c r="AS227" s="24">
        <v>0</v>
      </c>
      <c r="AT227" s="24">
        <v>108</v>
      </c>
      <c r="AU227" s="24">
        <v>105</v>
      </c>
      <c r="AV227" s="24">
        <v>102</v>
      </c>
      <c r="AW227" s="24">
        <v>87</v>
      </c>
      <c r="AX227" s="21">
        <v>2.6615969581749051E-2</v>
      </c>
      <c r="AY227" s="21">
        <v>2.5855513307984791E-2</v>
      </c>
      <c r="AZ227" s="21">
        <v>2.20532319391635E-2</v>
      </c>
      <c r="BA227" s="21">
        <v>0.16320000000000001</v>
      </c>
      <c r="BB227" s="24">
        <v>0</v>
      </c>
      <c r="BC227" s="24">
        <v>0</v>
      </c>
      <c r="BD227" s="22">
        <v>0.97894736842105268</v>
      </c>
      <c r="BE227" s="22">
        <v>1</v>
      </c>
      <c r="BF227" s="22" t="s">
        <v>89</v>
      </c>
    </row>
    <row r="228" spans="1:58" ht="19.5" customHeight="1">
      <c r="A228" s="25">
        <v>225</v>
      </c>
      <c r="B228" s="20" t="s">
        <v>88</v>
      </c>
      <c r="C228" s="26">
        <v>46138</v>
      </c>
      <c r="D228" s="20" t="s">
        <v>12</v>
      </c>
      <c r="E228" s="20">
        <v>2615</v>
      </c>
      <c r="F228" s="20">
        <v>2326</v>
      </c>
      <c r="G228" s="21">
        <v>0.88948374760994264</v>
      </c>
      <c r="H228" s="20">
        <v>1439</v>
      </c>
      <c r="I228" s="22">
        <v>0.55028680688336518</v>
      </c>
      <c r="J228" s="20">
        <v>3386</v>
      </c>
      <c r="K228" s="20">
        <v>3306</v>
      </c>
      <c r="L228" s="21">
        <v>0.97599999999999998</v>
      </c>
      <c r="M228" s="20">
        <v>10813</v>
      </c>
      <c r="N228" s="20">
        <v>10922</v>
      </c>
      <c r="O228" s="20">
        <v>10644</v>
      </c>
      <c r="P228" s="21">
        <v>0.98437066494034953</v>
      </c>
      <c r="Q228" s="20">
        <v>37</v>
      </c>
      <c r="R228" s="20">
        <v>0</v>
      </c>
      <c r="S228" s="20">
        <v>0</v>
      </c>
      <c r="T228" s="21">
        <v>0</v>
      </c>
      <c r="U228" s="20">
        <v>0</v>
      </c>
      <c r="V228" s="21">
        <v>0</v>
      </c>
      <c r="W228" s="20">
        <v>3970</v>
      </c>
      <c r="X228" s="21">
        <v>1.518164435946463</v>
      </c>
      <c r="Y228" s="20">
        <v>437</v>
      </c>
      <c r="Z228" s="23">
        <v>0.16711281070745701</v>
      </c>
      <c r="AA228" s="20">
        <v>36</v>
      </c>
      <c r="AB228" s="21">
        <v>1.3766730401529641E-2</v>
      </c>
      <c r="AC228" s="20">
        <v>310</v>
      </c>
      <c r="AD228" s="21">
        <v>0.118546845124283</v>
      </c>
      <c r="AE228" s="20">
        <v>52</v>
      </c>
      <c r="AF228" s="21">
        <v>0.16774193548387101</v>
      </c>
      <c r="AG228" s="20">
        <v>267</v>
      </c>
      <c r="AH228" s="21">
        <v>0.8612903225806452</v>
      </c>
      <c r="AI228" s="24">
        <v>287</v>
      </c>
      <c r="AJ228" s="21">
        <v>0.1097514340344168</v>
      </c>
      <c r="AK228" s="24">
        <v>2</v>
      </c>
      <c r="AL228" s="21">
        <v>0.88153310104529614</v>
      </c>
      <c r="AM228" s="24">
        <v>286</v>
      </c>
      <c r="AN228" s="24">
        <v>253</v>
      </c>
      <c r="AO228" s="21">
        <v>9.6749521988527723E-2</v>
      </c>
      <c r="AP228" s="21">
        <v>0.81612903225806455</v>
      </c>
      <c r="AQ228" s="22">
        <v>0.97426470588235292</v>
      </c>
      <c r="AR228" s="24">
        <v>0</v>
      </c>
      <c r="AS228" s="24">
        <v>0</v>
      </c>
      <c r="AT228" s="24">
        <v>69</v>
      </c>
      <c r="AU228" s="24">
        <v>67</v>
      </c>
      <c r="AV228" s="24">
        <v>68</v>
      </c>
      <c r="AW228" s="24">
        <v>50</v>
      </c>
      <c r="AX228" s="21">
        <v>2.5621414913957939E-2</v>
      </c>
      <c r="AY228" s="21">
        <v>2.6003824091778201E-2</v>
      </c>
      <c r="AZ228" s="21">
        <v>1.9120458891013381E-2</v>
      </c>
      <c r="BA228" s="21">
        <v>0.26877470355731231</v>
      </c>
      <c r="BB228" s="24">
        <v>0</v>
      </c>
      <c r="BC228" s="24">
        <v>0</v>
      </c>
      <c r="BD228" s="22">
        <v>0.98</v>
      </c>
      <c r="BE228" s="22">
        <v>1</v>
      </c>
      <c r="BF228" s="22" t="s">
        <v>89</v>
      </c>
    </row>
    <row r="229" spans="1:58" ht="19.5" customHeight="1">
      <c r="A229" s="25">
        <v>226</v>
      </c>
      <c r="B229" s="20" t="s">
        <v>88</v>
      </c>
      <c r="C229" s="26">
        <v>46138</v>
      </c>
      <c r="D229" s="20" t="s">
        <v>11</v>
      </c>
      <c r="E229" s="20">
        <v>2169</v>
      </c>
      <c r="F229" s="20">
        <v>1981</v>
      </c>
      <c r="G229" s="21">
        <v>0.91332411249423695</v>
      </c>
      <c r="H229" s="20">
        <v>727</v>
      </c>
      <c r="I229" s="22">
        <v>0.33517750115260492</v>
      </c>
      <c r="J229" s="20">
        <v>1726</v>
      </c>
      <c r="K229" s="20">
        <v>1694</v>
      </c>
      <c r="L229" s="21">
        <v>0.98099999999999998</v>
      </c>
      <c r="M229" s="20">
        <v>9203</v>
      </c>
      <c r="N229" s="20">
        <v>9168</v>
      </c>
      <c r="O229" s="20">
        <v>9088</v>
      </c>
      <c r="P229" s="21">
        <v>0.98750407475823099</v>
      </c>
      <c r="Q229" s="20">
        <v>26</v>
      </c>
      <c r="R229" s="20">
        <v>0</v>
      </c>
      <c r="S229" s="20">
        <v>0</v>
      </c>
      <c r="T229" s="21">
        <v>0</v>
      </c>
      <c r="U229" s="20">
        <v>0</v>
      </c>
      <c r="V229" s="21">
        <v>0</v>
      </c>
      <c r="W229" s="20">
        <v>4095</v>
      </c>
      <c r="X229" s="21">
        <v>1.8879668049792531</v>
      </c>
      <c r="Y229" s="20">
        <v>478</v>
      </c>
      <c r="Z229" s="23">
        <v>0.22037805440295069</v>
      </c>
      <c r="AA229" s="20">
        <v>28</v>
      </c>
      <c r="AB229" s="21">
        <v>1.290917473490088E-2</v>
      </c>
      <c r="AC229" s="20">
        <v>394</v>
      </c>
      <c r="AD229" s="21">
        <v>0.18165053019824801</v>
      </c>
      <c r="AE229" s="20">
        <v>51</v>
      </c>
      <c r="AF229" s="21">
        <v>0.12944162436548221</v>
      </c>
      <c r="AG229" s="20">
        <v>340</v>
      </c>
      <c r="AH229" s="21">
        <v>0.86294416243654826</v>
      </c>
      <c r="AI229" s="24">
        <v>376</v>
      </c>
      <c r="AJ229" s="21">
        <v>0.17335177501152599</v>
      </c>
      <c r="AK229" s="24">
        <v>1</v>
      </c>
      <c r="AL229" s="21">
        <v>0.87234042553191493</v>
      </c>
      <c r="AM229" s="24">
        <v>376</v>
      </c>
      <c r="AN229" s="24">
        <v>328</v>
      </c>
      <c r="AO229" s="21">
        <v>0.15122176118026739</v>
      </c>
      <c r="AP229" s="21">
        <v>0.8324873096446701</v>
      </c>
      <c r="AQ229" s="22">
        <v>0.95702005730659023</v>
      </c>
      <c r="AR229" s="24">
        <v>0</v>
      </c>
      <c r="AS229" s="24">
        <v>0</v>
      </c>
      <c r="AT229" s="24">
        <v>74</v>
      </c>
      <c r="AU229" s="24">
        <v>73</v>
      </c>
      <c r="AV229" s="24">
        <v>71</v>
      </c>
      <c r="AW229" s="24">
        <v>27</v>
      </c>
      <c r="AX229" s="21">
        <v>3.3656062701705847E-2</v>
      </c>
      <c r="AY229" s="21">
        <v>3.273397879207008E-2</v>
      </c>
      <c r="AZ229" s="21">
        <v>1.244813278008299E-2</v>
      </c>
      <c r="BA229" s="21">
        <v>0.21646341463414631</v>
      </c>
      <c r="BB229" s="24">
        <v>0</v>
      </c>
      <c r="BC229" s="24">
        <v>0</v>
      </c>
      <c r="BD229" s="22">
        <v>1</v>
      </c>
      <c r="BE229" s="22">
        <v>1</v>
      </c>
      <c r="BF229" s="22" t="s">
        <v>89</v>
      </c>
    </row>
    <row r="230" spans="1:58" ht="19.5" customHeight="1">
      <c r="A230" s="25">
        <v>227</v>
      </c>
      <c r="B230" s="20" t="s">
        <v>88</v>
      </c>
      <c r="C230" s="26">
        <v>46138</v>
      </c>
      <c r="D230" s="20" t="s">
        <v>14</v>
      </c>
      <c r="E230" s="20">
        <v>9386</v>
      </c>
      <c r="F230" s="20">
        <v>8362</v>
      </c>
      <c r="G230" s="21">
        <v>0.89090134242488817</v>
      </c>
      <c r="H230" s="20">
        <v>1999</v>
      </c>
      <c r="I230" s="22">
        <v>0.2129767739186022</v>
      </c>
      <c r="J230" s="20">
        <v>7795</v>
      </c>
      <c r="K230" s="20">
        <v>7607</v>
      </c>
      <c r="L230" s="21">
        <v>0.97599999999999998</v>
      </c>
      <c r="M230" s="20">
        <v>28183</v>
      </c>
      <c r="N230" s="20">
        <v>27959</v>
      </c>
      <c r="O230" s="20">
        <v>27779</v>
      </c>
      <c r="P230" s="21">
        <v>0.98566511726927586</v>
      </c>
      <c r="Q230" s="20">
        <v>68</v>
      </c>
      <c r="R230" s="20">
        <v>0</v>
      </c>
      <c r="S230" s="20">
        <v>0</v>
      </c>
      <c r="T230" s="21">
        <v>0</v>
      </c>
      <c r="U230" s="20">
        <v>0</v>
      </c>
      <c r="V230" s="21">
        <v>0</v>
      </c>
      <c r="W230" s="20">
        <v>2099</v>
      </c>
      <c r="X230" s="21">
        <v>0.2236309396974217</v>
      </c>
      <c r="Y230" s="20">
        <v>1582</v>
      </c>
      <c r="Z230" s="23">
        <v>0.16854890262092481</v>
      </c>
      <c r="AA230" s="20">
        <v>11</v>
      </c>
      <c r="AB230" s="21">
        <v>1.1719582356701471E-3</v>
      </c>
      <c r="AC230" s="20">
        <v>1786</v>
      </c>
      <c r="AD230" s="21">
        <v>0.19028340080971659</v>
      </c>
      <c r="AE230" s="20">
        <v>301</v>
      </c>
      <c r="AF230" s="21">
        <v>0.1685330347144457</v>
      </c>
      <c r="AG230" s="20">
        <v>1556</v>
      </c>
      <c r="AH230" s="21">
        <v>0.87122060470324747</v>
      </c>
      <c r="AI230" s="24">
        <v>1791</v>
      </c>
      <c r="AJ230" s="21">
        <v>0.19081610909865759</v>
      </c>
      <c r="AK230" s="24">
        <v>10</v>
      </c>
      <c r="AL230" s="21">
        <v>0.91736460078168625</v>
      </c>
      <c r="AM230" s="24">
        <v>1786</v>
      </c>
      <c r="AN230" s="24">
        <v>1643</v>
      </c>
      <c r="AO230" s="21">
        <v>0.17504794374600471</v>
      </c>
      <c r="AP230" s="21">
        <v>0.91993281075027999</v>
      </c>
      <c r="AQ230" s="22">
        <v>0.97629547960308705</v>
      </c>
      <c r="AR230" s="24">
        <v>0</v>
      </c>
      <c r="AS230" s="24">
        <v>0</v>
      </c>
      <c r="AT230" s="24">
        <v>315</v>
      </c>
      <c r="AU230" s="24">
        <v>303</v>
      </c>
      <c r="AV230" s="24">
        <v>285</v>
      </c>
      <c r="AW230" s="24">
        <v>41</v>
      </c>
      <c r="AX230" s="21">
        <v>3.2282122309823143E-2</v>
      </c>
      <c r="AY230" s="21">
        <v>3.036437246963563E-2</v>
      </c>
      <c r="AZ230" s="21">
        <v>4.3682079693160023E-3</v>
      </c>
      <c r="BA230" s="21">
        <v>0.17346317711503351</v>
      </c>
      <c r="BB230" s="24">
        <v>0</v>
      </c>
      <c r="BC230" s="24">
        <v>0</v>
      </c>
      <c r="BD230" s="22">
        <v>0.97508896797153022</v>
      </c>
      <c r="BE230" s="22">
        <v>1</v>
      </c>
      <c r="BF230" s="22" t="s">
        <v>89</v>
      </c>
    </row>
    <row r="231" spans="1:58" ht="19.5" customHeight="1">
      <c r="A231" s="25">
        <v>228</v>
      </c>
      <c r="B231" s="20" t="s">
        <v>88</v>
      </c>
      <c r="C231" s="26">
        <v>46138</v>
      </c>
      <c r="D231" s="20" t="s">
        <v>13</v>
      </c>
      <c r="E231" s="20">
        <v>3174</v>
      </c>
      <c r="F231" s="20">
        <v>2907</v>
      </c>
      <c r="G231" s="21">
        <v>0.91587901701323249</v>
      </c>
      <c r="H231" s="20">
        <v>1790</v>
      </c>
      <c r="I231" s="22">
        <v>0.5639571518588532</v>
      </c>
      <c r="J231" s="20">
        <v>3089</v>
      </c>
      <c r="K231" s="20">
        <v>3020</v>
      </c>
      <c r="L231" s="21">
        <v>0.97799999999999998</v>
      </c>
      <c r="M231" s="20">
        <v>15900</v>
      </c>
      <c r="N231" s="20">
        <v>15864</v>
      </c>
      <c r="O231" s="20">
        <v>15693</v>
      </c>
      <c r="P231" s="21">
        <v>0.98698113207547167</v>
      </c>
      <c r="Q231" s="20">
        <v>60</v>
      </c>
      <c r="R231" s="20">
        <v>0</v>
      </c>
      <c r="S231" s="20">
        <v>0</v>
      </c>
      <c r="T231" s="21">
        <v>0</v>
      </c>
      <c r="U231" s="20">
        <v>0</v>
      </c>
      <c r="V231" s="21">
        <v>0</v>
      </c>
      <c r="W231" s="20">
        <v>5606</v>
      </c>
      <c r="X231" s="21">
        <v>1.766225582860744</v>
      </c>
      <c r="Y231" s="20">
        <v>654</v>
      </c>
      <c r="Z231" s="23">
        <v>0.20604914933837429</v>
      </c>
      <c r="AA231" s="20">
        <v>103</v>
      </c>
      <c r="AB231" s="21">
        <v>3.2451165721487082E-2</v>
      </c>
      <c r="AC231" s="20">
        <v>685</v>
      </c>
      <c r="AD231" s="21">
        <v>0.2158160050409578</v>
      </c>
      <c r="AE231" s="20">
        <v>82</v>
      </c>
      <c r="AF231" s="21">
        <v>0.1197080291970803</v>
      </c>
      <c r="AG231" s="20">
        <v>593</v>
      </c>
      <c r="AH231" s="21">
        <v>0.86569343065693427</v>
      </c>
      <c r="AI231" s="24">
        <v>657</v>
      </c>
      <c r="AJ231" s="21">
        <v>0.20699432892249531</v>
      </c>
      <c r="AK231" s="24">
        <v>0</v>
      </c>
      <c r="AL231" s="21">
        <v>0.9482496194824962</v>
      </c>
      <c r="AM231" s="24">
        <v>656</v>
      </c>
      <c r="AN231" s="24">
        <v>623</v>
      </c>
      <c r="AO231" s="21">
        <v>0.19628229363579081</v>
      </c>
      <c r="AP231" s="21">
        <v>0.90948905109489053</v>
      </c>
      <c r="AQ231" s="22">
        <v>0.96296296296296291</v>
      </c>
      <c r="AR231" s="24">
        <v>0</v>
      </c>
      <c r="AS231" s="24">
        <v>0</v>
      </c>
      <c r="AT231" s="24">
        <v>113</v>
      </c>
      <c r="AU231" s="24">
        <v>106</v>
      </c>
      <c r="AV231" s="24">
        <v>105</v>
      </c>
      <c r="AW231" s="24">
        <v>51</v>
      </c>
      <c r="AX231" s="21">
        <v>3.3396345305608068E-2</v>
      </c>
      <c r="AY231" s="21">
        <v>3.3081285444234401E-2</v>
      </c>
      <c r="AZ231" s="21">
        <v>1.6068052930056712E-2</v>
      </c>
      <c r="BA231" s="21">
        <v>0.1685393258426966</v>
      </c>
      <c r="BB231" s="24">
        <v>0</v>
      </c>
      <c r="BC231" s="24">
        <v>0</v>
      </c>
      <c r="BD231" s="22">
        <v>0.9882352941176471</v>
      </c>
      <c r="BE231" s="22">
        <v>1</v>
      </c>
      <c r="BF231" s="22" t="s">
        <v>89</v>
      </c>
    </row>
    <row r="232" spans="1:58" ht="19.5" customHeight="1">
      <c r="A232" s="25">
        <v>229</v>
      </c>
      <c r="B232" s="20" t="s">
        <v>88</v>
      </c>
      <c r="C232" s="26">
        <v>46139</v>
      </c>
      <c r="D232" s="20" t="s">
        <v>12</v>
      </c>
      <c r="E232" s="20">
        <v>3138</v>
      </c>
      <c r="F232" s="20">
        <v>2825</v>
      </c>
      <c r="G232" s="21">
        <v>0.90025493945188018</v>
      </c>
      <c r="H232" s="20">
        <v>1054</v>
      </c>
      <c r="I232" s="22">
        <v>0.33588272785213508</v>
      </c>
      <c r="J232" s="20">
        <v>2261</v>
      </c>
      <c r="K232" s="20">
        <v>2195</v>
      </c>
      <c r="L232" s="21">
        <v>0.97099999999999997</v>
      </c>
      <c r="M232" s="20">
        <v>10221</v>
      </c>
      <c r="N232" s="20">
        <v>9672</v>
      </c>
      <c r="O232" s="20">
        <v>10040</v>
      </c>
      <c r="P232" s="21">
        <v>0.98229136092358871</v>
      </c>
      <c r="Q232" s="20">
        <v>57</v>
      </c>
      <c r="R232" s="20">
        <v>0</v>
      </c>
      <c r="S232" s="20">
        <v>0</v>
      </c>
      <c r="T232" s="21">
        <v>0</v>
      </c>
      <c r="U232" s="20">
        <v>0</v>
      </c>
      <c r="V232" s="21">
        <v>0</v>
      </c>
      <c r="W232" s="20">
        <v>2788</v>
      </c>
      <c r="X232" s="21">
        <v>0.88846398980242192</v>
      </c>
      <c r="Y232" s="20">
        <v>759</v>
      </c>
      <c r="Z232" s="23">
        <v>0.2418738049713193</v>
      </c>
      <c r="AA232" s="20">
        <v>31</v>
      </c>
      <c r="AB232" s="21">
        <v>9.878903760356916E-3</v>
      </c>
      <c r="AC232" s="20">
        <v>180</v>
      </c>
      <c r="AD232" s="21">
        <v>5.736137667304015E-2</v>
      </c>
      <c r="AE232" s="20">
        <v>34</v>
      </c>
      <c r="AF232" s="21">
        <v>0.18888888888888891</v>
      </c>
      <c r="AG232" s="20">
        <v>156</v>
      </c>
      <c r="AH232" s="21">
        <v>0.8666666666666667</v>
      </c>
      <c r="AI232" s="24">
        <v>188</v>
      </c>
      <c r="AJ232" s="21">
        <v>5.991077119184194E-2</v>
      </c>
      <c r="AK232" s="24">
        <v>0</v>
      </c>
      <c r="AL232" s="21">
        <v>0.9042553191489362</v>
      </c>
      <c r="AM232" s="24">
        <v>184</v>
      </c>
      <c r="AN232" s="24">
        <v>170</v>
      </c>
      <c r="AO232" s="21">
        <v>5.417463352453792E-2</v>
      </c>
      <c r="AP232" s="21">
        <v>0.94444444444444442</v>
      </c>
      <c r="AQ232" s="22">
        <v>0.95138888888888884</v>
      </c>
      <c r="AR232" s="24">
        <v>0</v>
      </c>
      <c r="AS232" s="24">
        <v>0</v>
      </c>
      <c r="AT232" s="24">
        <v>48</v>
      </c>
      <c r="AU232" s="24">
        <v>39</v>
      </c>
      <c r="AV232" s="24">
        <v>40</v>
      </c>
      <c r="AW232" s="24">
        <v>83</v>
      </c>
      <c r="AX232" s="21">
        <v>1.24282982791587E-2</v>
      </c>
      <c r="AY232" s="21">
        <v>1.2746972594008921E-2</v>
      </c>
      <c r="AZ232" s="21">
        <v>2.6449968132568519E-2</v>
      </c>
      <c r="BA232" s="21">
        <v>0.23529411764705879</v>
      </c>
      <c r="BB232" s="24">
        <v>0</v>
      </c>
      <c r="BC232" s="24">
        <v>0</v>
      </c>
      <c r="BD232" s="22">
        <v>0.95454545454545459</v>
      </c>
      <c r="BE232" s="22">
        <v>1</v>
      </c>
      <c r="BF232" s="22" t="s">
        <v>89</v>
      </c>
    </row>
    <row r="233" spans="1:58" ht="19.5" customHeight="1">
      <c r="A233" s="25">
        <v>230</v>
      </c>
      <c r="B233" s="20" t="s">
        <v>88</v>
      </c>
      <c r="C233" s="26">
        <v>46139</v>
      </c>
      <c r="D233" s="20" t="s">
        <v>11</v>
      </c>
      <c r="E233" s="20">
        <v>2001</v>
      </c>
      <c r="F233" s="20">
        <v>1806</v>
      </c>
      <c r="G233" s="21">
        <v>0.90254872563718136</v>
      </c>
      <c r="H233" s="20">
        <v>655</v>
      </c>
      <c r="I233" s="22">
        <v>0.32733633183408289</v>
      </c>
      <c r="J233" s="20">
        <v>2166</v>
      </c>
      <c r="K233" s="20">
        <v>2122</v>
      </c>
      <c r="L233" s="21">
        <v>0.98</v>
      </c>
      <c r="M233" s="20">
        <v>9111</v>
      </c>
      <c r="N233" s="20">
        <v>8636</v>
      </c>
      <c r="O233" s="20">
        <v>8981</v>
      </c>
      <c r="P233" s="21">
        <v>0.98573153331138186</v>
      </c>
      <c r="Q233" s="20">
        <v>44</v>
      </c>
      <c r="R233" s="20">
        <v>0</v>
      </c>
      <c r="S233" s="20">
        <v>0</v>
      </c>
      <c r="T233" s="21">
        <v>0</v>
      </c>
      <c r="U233" s="20">
        <v>0</v>
      </c>
      <c r="V233" s="21">
        <v>0</v>
      </c>
      <c r="W233" s="20">
        <v>3036</v>
      </c>
      <c r="X233" s="21">
        <v>1.517241379310345</v>
      </c>
      <c r="Y233" s="20">
        <v>848</v>
      </c>
      <c r="Z233" s="23">
        <v>0.42378810594702648</v>
      </c>
      <c r="AA233" s="20">
        <v>23</v>
      </c>
      <c r="AB233" s="21">
        <v>1.149425287356322E-2</v>
      </c>
      <c r="AC233" s="20">
        <v>216</v>
      </c>
      <c r="AD233" s="21">
        <v>0.10794602698650679</v>
      </c>
      <c r="AE233" s="20">
        <v>46</v>
      </c>
      <c r="AF233" s="21">
        <v>0.21296296296296299</v>
      </c>
      <c r="AG233" s="20">
        <v>176</v>
      </c>
      <c r="AH233" s="21">
        <v>0.81481481481481477</v>
      </c>
      <c r="AI233" s="24">
        <v>220</v>
      </c>
      <c r="AJ233" s="21">
        <v>0.1099450274862569</v>
      </c>
      <c r="AK233" s="24">
        <v>0</v>
      </c>
      <c r="AL233" s="21">
        <v>0.78636363636363638</v>
      </c>
      <c r="AM233" s="24">
        <v>216</v>
      </c>
      <c r="AN233" s="24">
        <v>173</v>
      </c>
      <c r="AO233" s="21">
        <v>8.6456771614192907E-2</v>
      </c>
      <c r="AP233" s="21">
        <v>0.80092592592592593</v>
      </c>
      <c r="AQ233" s="22">
        <v>0.96892655367231639</v>
      </c>
      <c r="AR233" s="24">
        <v>0</v>
      </c>
      <c r="AS233" s="24">
        <v>0</v>
      </c>
      <c r="AT233" s="24">
        <v>45</v>
      </c>
      <c r="AU233" s="24">
        <v>31</v>
      </c>
      <c r="AV233" s="24">
        <v>35</v>
      </c>
      <c r="AW233" s="24">
        <v>73</v>
      </c>
      <c r="AX233" s="21">
        <v>1.549225387306347E-2</v>
      </c>
      <c r="AY233" s="21">
        <v>1.749125437281359E-2</v>
      </c>
      <c r="AZ233" s="21">
        <v>3.6481759120439779E-2</v>
      </c>
      <c r="BA233" s="21">
        <v>0.20231213872832371</v>
      </c>
      <c r="BB233" s="24">
        <v>0</v>
      </c>
      <c r="BC233" s="24">
        <v>0</v>
      </c>
      <c r="BD233" s="22">
        <v>1</v>
      </c>
      <c r="BE233" s="22">
        <v>0.88888888888888884</v>
      </c>
      <c r="BF233" s="22" t="s">
        <v>89</v>
      </c>
    </row>
    <row r="234" spans="1:58" ht="19.5" customHeight="1">
      <c r="A234" s="25">
        <v>231</v>
      </c>
      <c r="B234" s="20" t="s">
        <v>88</v>
      </c>
      <c r="C234" s="26">
        <v>46139</v>
      </c>
      <c r="D234" s="20" t="s">
        <v>14</v>
      </c>
      <c r="E234" s="20">
        <v>6304</v>
      </c>
      <c r="F234" s="20">
        <v>5634</v>
      </c>
      <c r="G234" s="21">
        <v>0.89371827411167515</v>
      </c>
      <c r="H234" s="20">
        <v>1466</v>
      </c>
      <c r="I234" s="22">
        <v>0.23255076142131981</v>
      </c>
      <c r="J234" s="20">
        <v>9169</v>
      </c>
      <c r="K234" s="20">
        <v>8958</v>
      </c>
      <c r="L234" s="21">
        <v>0.97699999999999998</v>
      </c>
      <c r="M234" s="20">
        <v>29334</v>
      </c>
      <c r="N234" s="20">
        <v>27107</v>
      </c>
      <c r="O234" s="20">
        <v>28859</v>
      </c>
      <c r="P234" s="21">
        <v>0.9838071862003136</v>
      </c>
      <c r="Q234" s="20">
        <v>119</v>
      </c>
      <c r="R234" s="20">
        <v>0</v>
      </c>
      <c r="S234" s="20">
        <v>0</v>
      </c>
      <c r="T234" s="21">
        <v>0</v>
      </c>
      <c r="U234" s="20">
        <v>0</v>
      </c>
      <c r="V234" s="21">
        <v>0</v>
      </c>
      <c r="W234" s="20">
        <v>2314</v>
      </c>
      <c r="X234" s="21">
        <v>0.36706852791878181</v>
      </c>
      <c r="Y234" s="20">
        <v>1416</v>
      </c>
      <c r="Z234" s="23">
        <v>0.2246192893401015</v>
      </c>
      <c r="AA234" s="20">
        <v>6</v>
      </c>
      <c r="AB234" s="21">
        <v>9.5177664974619293E-4</v>
      </c>
      <c r="AC234" s="20">
        <v>965</v>
      </c>
      <c r="AD234" s="21">
        <v>0.15307741116751269</v>
      </c>
      <c r="AE234" s="20">
        <v>216</v>
      </c>
      <c r="AF234" s="21">
        <v>0.22383419689119169</v>
      </c>
      <c r="AG234" s="20">
        <v>840</v>
      </c>
      <c r="AH234" s="21">
        <v>0.8704663212435233</v>
      </c>
      <c r="AI234" s="24">
        <v>997</v>
      </c>
      <c r="AJ234" s="21">
        <v>0.15815355329949241</v>
      </c>
      <c r="AK234" s="24">
        <v>7</v>
      </c>
      <c r="AL234" s="21">
        <v>0.91775325977933797</v>
      </c>
      <c r="AM234" s="24">
        <v>992</v>
      </c>
      <c r="AN234" s="24">
        <v>915</v>
      </c>
      <c r="AO234" s="21">
        <v>0.14514593908629439</v>
      </c>
      <c r="AP234" s="21">
        <v>0.94818652849740936</v>
      </c>
      <c r="AQ234" s="22">
        <v>0.97410817031070196</v>
      </c>
      <c r="AR234" s="24">
        <v>0</v>
      </c>
      <c r="AS234" s="24">
        <v>0</v>
      </c>
      <c r="AT234" s="24">
        <v>143</v>
      </c>
      <c r="AU234" s="24">
        <v>131</v>
      </c>
      <c r="AV234" s="24">
        <v>139</v>
      </c>
      <c r="AW234" s="24">
        <v>106</v>
      </c>
      <c r="AX234" s="21">
        <v>2.0780456852791881E-2</v>
      </c>
      <c r="AY234" s="21">
        <v>2.2049492385786799E-2</v>
      </c>
      <c r="AZ234" s="21">
        <v>1.6814720812182739E-2</v>
      </c>
      <c r="BA234" s="21">
        <v>0.15191256830601091</v>
      </c>
      <c r="BB234" s="24">
        <v>0</v>
      </c>
      <c r="BC234" s="24">
        <v>0</v>
      </c>
      <c r="BD234" s="22">
        <v>0.96341463414634143</v>
      </c>
      <c r="BE234" s="22">
        <v>1</v>
      </c>
      <c r="BF234" s="22" t="s">
        <v>89</v>
      </c>
    </row>
    <row r="235" spans="1:58" ht="19.5" customHeight="1">
      <c r="A235" s="25">
        <v>232</v>
      </c>
      <c r="B235" s="20" t="s">
        <v>88</v>
      </c>
      <c r="C235" s="26">
        <v>46139</v>
      </c>
      <c r="D235" s="20" t="s">
        <v>13</v>
      </c>
      <c r="E235" s="20">
        <v>3108</v>
      </c>
      <c r="F235" s="20">
        <v>2785</v>
      </c>
      <c r="G235" s="21">
        <v>0.89607464607464604</v>
      </c>
      <c r="H235" s="20">
        <v>1962</v>
      </c>
      <c r="I235" s="22">
        <v>0.63127413127413123</v>
      </c>
      <c r="J235" s="20">
        <v>4177</v>
      </c>
      <c r="K235" s="20">
        <v>4095</v>
      </c>
      <c r="L235" s="21">
        <v>0.98</v>
      </c>
      <c r="M235" s="20">
        <v>16978</v>
      </c>
      <c r="N235" s="20">
        <v>16282</v>
      </c>
      <c r="O235" s="20">
        <v>16697</v>
      </c>
      <c r="P235" s="21">
        <v>0.98344916951348804</v>
      </c>
      <c r="Q235" s="20">
        <v>78</v>
      </c>
      <c r="R235" s="20">
        <v>0</v>
      </c>
      <c r="S235" s="20">
        <v>0</v>
      </c>
      <c r="T235" s="21">
        <v>0</v>
      </c>
      <c r="U235" s="20">
        <v>0</v>
      </c>
      <c r="V235" s="21">
        <v>0</v>
      </c>
      <c r="W235" s="20">
        <v>3367</v>
      </c>
      <c r="X235" s="21">
        <v>1.083333333333333</v>
      </c>
      <c r="Y235" s="20">
        <v>1276</v>
      </c>
      <c r="Z235" s="23">
        <v>0.41055341055341049</v>
      </c>
      <c r="AA235" s="20">
        <v>62</v>
      </c>
      <c r="AB235" s="21">
        <v>1.9948519948519951E-2</v>
      </c>
      <c r="AC235" s="20">
        <v>463</v>
      </c>
      <c r="AD235" s="21">
        <v>0.14897039897039899</v>
      </c>
      <c r="AE235" s="20">
        <v>76</v>
      </c>
      <c r="AF235" s="21">
        <v>0.16414686825054001</v>
      </c>
      <c r="AG235" s="20">
        <v>411</v>
      </c>
      <c r="AH235" s="21">
        <v>0.88768898488120951</v>
      </c>
      <c r="AI235" s="24">
        <v>505</v>
      </c>
      <c r="AJ235" s="21">
        <v>0.1624839124839125</v>
      </c>
      <c r="AK235" s="24">
        <v>3</v>
      </c>
      <c r="AL235" s="21">
        <v>0.9247524752475248</v>
      </c>
      <c r="AM235" s="24">
        <v>503</v>
      </c>
      <c r="AN235" s="24">
        <v>467</v>
      </c>
      <c r="AO235" s="21">
        <v>0.15025740025740031</v>
      </c>
      <c r="AP235" s="21">
        <v>1.0086393088552921</v>
      </c>
      <c r="AQ235" s="22">
        <v>0.95363214837712518</v>
      </c>
      <c r="AR235" s="24">
        <v>0</v>
      </c>
      <c r="AS235" s="24">
        <v>0</v>
      </c>
      <c r="AT235" s="24">
        <v>63</v>
      </c>
      <c r="AU235" s="24">
        <v>57</v>
      </c>
      <c r="AV235" s="24">
        <v>58</v>
      </c>
      <c r="AW235" s="24">
        <v>92</v>
      </c>
      <c r="AX235" s="21">
        <v>1.8339768339768341E-2</v>
      </c>
      <c r="AY235" s="21">
        <v>1.8661518661518661E-2</v>
      </c>
      <c r="AZ235" s="21">
        <v>2.9601029601029599E-2</v>
      </c>
      <c r="BA235" s="21">
        <v>0.1241970021413276</v>
      </c>
      <c r="BB235" s="24">
        <v>0</v>
      </c>
      <c r="BC235" s="24">
        <v>0</v>
      </c>
      <c r="BD235" s="22">
        <v>0.98809523809523814</v>
      </c>
      <c r="BE235" s="22">
        <v>1</v>
      </c>
      <c r="BF235" s="22" t="s">
        <v>89</v>
      </c>
    </row>
    <row r="236" spans="1:58" ht="19.5" customHeight="1">
      <c r="A236" s="25">
        <v>233</v>
      </c>
      <c r="B236" s="20" t="s">
        <v>88</v>
      </c>
      <c r="C236" s="26">
        <v>46140</v>
      </c>
      <c r="D236" s="20" t="s">
        <v>12</v>
      </c>
      <c r="E236" s="20">
        <v>3043</v>
      </c>
      <c r="F236" s="20">
        <v>2746</v>
      </c>
      <c r="G236" s="21">
        <v>0.90239894840617807</v>
      </c>
      <c r="H236" s="20">
        <v>1474</v>
      </c>
      <c r="I236" s="22">
        <v>0.4843904042063753</v>
      </c>
      <c r="J236" s="20">
        <v>3664</v>
      </c>
      <c r="K236" s="20">
        <v>3564</v>
      </c>
      <c r="L236" s="21">
        <v>0.97299999999999998</v>
      </c>
      <c r="M236" s="20">
        <v>10677</v>
      </c>
      <c r="N236" s="20">
        <v>10858</v>
      </c>
      <c r="O236" s="20">
        <v>10435</v>
      </c>
      <c r="P236" s="21">
        <v>0.97733445724454437</v>
      </c>
      <c r="Q236" s="20">
        <v>42</v>
      </c>
      <c r="R236" s="20">
        <v>0</v>
      </c>
      <c r="S236" s="20">
        <v>0</v>
      </c>
      <c r="T236" s="21">
        <v>0</v>
      </c>
      <c r="U236" s="20">
        <v>0</v>
      </c>
      <c r="V236" s="21">
        <v>0</v>
      </c>
      <c r="W236" s="20">
        <v>2374</v>
      </c>
      <c r="X236" s="21">
        <v>0.78015116661189621</v>
      </c>
      <c r="Y236" s="20">
        <v>695</v>
      </c>
      <c r="Z236" s="23">
        <v>0.22839303319092999</v>
      </c>
      <c r="AA236" s="20">
        <v>42</v>
      </c>
      <c r="AB236" s="21">
        <v>1.3802168912257639E-2</v>
      </c>
      <c r="AC236" s="20">
        <v>171</v>
      </c>
      <c r="AD236" s="21">
        <v>5.6194544857048973E-2</v>
      </c>
      <c r="AE236" s="20">
        <v>32</v>
      </c>
      <c r="AF236" s="21">
        <v>0.1871345029239766</v>
      </c>
      <c r="AG236" s="20">
        <v>146</v>
      </c>
      <c r="AH236" s="21">
        <v>0.85380116959064323</v>
      </c>
      <c r="AI236" s="24">
        <v>177</v>
      </c>
      <c r="AJ236" s="21">
        <v>5.8166283273085768E-2</v>
      </c>
      <c r="AK236" s="24">
        <v>1</v>
      </c>
      <c r="AL236" s="21">
        <v>0.84745762711864403</v>
      </c>
      <c r="AM236" s="24">
        <v>175</v>
      </c>
      <c r="AN236" s="24">
        <v>150</v>
      </c>
      <c r="AO236" s="21">
        <v>4.9293460400920142E-2</v>
      </c>
      <c r="AP236" s="21">
        <v>0.8771929824561403</v>
      </c>
      <c r="AQ236" s="22">
        <v>1</v>
      </c>
      <c r="AR236" s="24">
        <v>0</v>
      </c>
      <c r="AS236" s="24">
        <v>0</v>
      </c>
      <c r="AT236" s="24">
        <v>52</v>
      </c>
      <c r="AU236" s="24">
        <v>43</v>
      </c>
      <c r="AV236" s="24">
        <v>44</v>
      </c>
      <c r="AW236" s="24">
        <v>80</v>
      </c>
      <c r="AX236" s="21">
        <v>1.4130791981597109E-2</v>
      </c>
      <c r="AY236" s="21">
        <v>1.4459415050936579E-2</v>
      </c>
      <c r="AZ236" s="21">
        <v>2.6289845547157409E-2</v>
      </c>
      <c r="BA236" s="21">
        <v>0.29333333333333328</v>
      </c>
      <c r="BB236" s="24">
        <v>0</v>
      </c>
      <c r="BC236" s="24">
        <v>0</v>
      </c>
      <c r="BD236" s="22">
        <v>1</v>
      </c>
      <c r="BE236" s="22">
        <v>1</v>
      </c>
      <c r="BF236" s="22" t="s">
        <v>89</v>
      </c>
    </row>
    <row r="237" spans="1:58" ht="19.5" customHeight="1">
      <c r="A237" s="25">
        <v>234</v>
      </c>
      <c r="B237" s="20" t="s">
        <v>88</v>
      </c>
      <c r="C237" s="26">
        <v>46140</v>
      </c>
      <c r="D237" s="20" t="s">
        <v>11</v>
      </c>
      <c r="E237" s="20">
        <v>1680</v>
      </c>
      <c r="F237" s="20">
        <v>1549</v>
      </c>
      <c r="G237" s="21">
        <v>0.92202380952380958</v>
      </c>
      <c r="H237" s="20">
        <v>475</v>
      </c>
      <c r="I237" s="22">
        <v>0.28273809523809518</v>
      </c>
      <c r="J237" s="20">
        <v>1634</v>
      </c>
      <c r="K237" s="20">
        <v>1581</v>
      </c>
      <c r="L237" s="21">
        <v>0.96799999999999997</v>
      </c>
      <c r="M237" s="20">
        <v>8320</v>
      </c>
      <c r="N237" s="20">
        <v>8157</v>
      </c>
      <c r="O237" s="20">
        <v>8129</v>
      </c>
      <c r="P237" s="21">
        <v>0.97704326923076923</v>
      </c>
      <c r="Q237" s="20">
        <v>37</v>
      </c>
      <c r="R237" s="20">
        <v>0</v>
      </c>
      <c r="S237" s="20">
        <v>0</v>
      </c>
      <c r="T237" s="21">
        <v>0</v>
      </c>
      <c r="U237" s="20">
        <v>0</v>
      </c>
      <c r="V237" s="21">
        <v>0</v>
      </c>
      <c r="W237" s="20">
        <v>2426</v>
      </c>
      <c r="X237" s="21">
        <v>1.444047619047619</v>
      </c>
      <c r="Y237" s="20">
        <v>632</v>
      </c>
      <c r="Z237" s="23">
        <v>0.37619047619047619</v>
      </c>
      <c r="AA237" s="20">
        <v>20</v>
      </c>
      <c r="AB237" s="21">
        <v>1.1904761904761901E-2</v>
      </c>
      <c r="AC237" s="20">
        <v>174</v>
      </c>
      <c r="AD237" s="21">
        <v>0.10357142857142861</v>
      </c>
      <c r="AE237" s="20">
        <v>49</v>
      </c>
      <c r="AF237" s="21">
        <v>0.28160919540229878</v>
      </c>
      <c r="AG237" s="20">
        <v>149</v>
      </c>
      <c r="AH237" s="21">
        <v>0.85632183908045978</v>
      </c>
      <c r="AI237" s="24">
        <v>164</v>
      </c>
      <c r="AJ237" s="21">
        <v>9.7619047619047619E-2</v>
      </c>
      <c r="AK237" s="24">
        <v>0</v>
      </c>
      <c r="AL237" s="21">
        <v>0.8902439024390244</v>
      </c>
      <c r="AM237" s="24">
        <v>163</v>
      </c>
      <c r="AN237" s="24">
        <v>146</v>
      </c>
      <c r="AO237" s="21">
        <v>8.6904761904761901E-2</v>
      </c>
      <c r="AP237" s="21">
        <v>0.83908045977011492</v>
      </c>
      <c r="AQ237" s="22">
        <v>0.9859154929577465</v>
      </c>
      <c r="AR237" s="24">
        <v>0</v>
      </c>
      <c r="AS237" s="24">
        <v>0</v>
      </c>
      <c r="AT237" s="24">
        <v>50</v>
      </c>
      <c r="AU237" s="24">
        <v>47</v>
      </c>
      <c r="AV237" s="24">
        <v>45</v>
      </c>
      <c r="AW237" s="24">
        <v>70</v>
      </c>
      <c r="AX237" s="21">
        <v>2.7976190476190481E-2</v>
      </c>
      <c r="AY237" s="21">
        <v>2.6785714285714281E-2</v>
      </c>
      <c r="AZ237" s="21">
        <v>4.1666666666666657E-2</v>
      </c>
      <c r="BA237" s="21">
        <v>0.30821917808219179</v>
      </c>
      <c r="BB237" s="24">
        <v>0</v>
      </c>
      <c r="BC237" s="24">
        <v>0</v>
      </c>
      <c r="BD237" s="22">
        <v>0.90909090909090906</v>
      </c>
      <c r="BE237" s="22">
        <v>1</v>
      </c>
      <c r="BF237" s="22" t="s">
        <v>89</v>
      </c>
    </row>
    <row r="238" spans="1:58" ht="19.5" customHeight="1">
      <c r="A238" s="25">
        <v>235</v>
      </c>
      <c r="B238" s="20" t="s">
        <v>88</v>
      </c>
      <c r="C238" s="26">
        <v>46140</v>
      </c>
      <c r="D238" s="20" t="s">
        <v>14</v>
      </c>
      <c r="E238" s="20">
        <v>8679</v>
      </c>
      <c r="F238" s="20">
        <v>7518</v>
      </c>
      <c r="G238" s="21">
        <v>0.86622882820601455</v>
      </c>
      <c r="H238" s="20">
        <v>1821</v>
      </c>
      <c r="I238" s="22">
        <v>0.20981679917041129</v>
      </c>
      <c r="J238" s="20">
        <v>6425</v>
      </c>
      <c r="K238" s="20">
        <v>6293</v>
      </c>
      <c r="L238" s="21">
        <v>0.97899999999999998</v>
      </c>
      <c r="M238" s="20">
        <v>24503</v>
      </c>
      <c r="N238" s="20">
        <v>25056</v>
      </c>
      <c r="O238" s="20">
        <v>24085</v>
      </c>
      <c r="P238" s="21">
        <v>0.98294086438395301</v>
      </c>
      <c r="Q238" s="20">
        <v>77</v>
      </c>
      <c r="R238" s="20">
        <v>0</v>
      </c>
      <c r="S238" s="20">
        <v>0</v>
      </c>
      <c r="T238" s="21">
        <v>0</v>
      </c>
      <c r="U238" s="20">
        <v>0</v>
      </c>
      <c r="V238" s="21">
        <v>0</v>
      </c>
      <c r="W238" s="20">
        <v>2006</v>
      </c>
      <c r="X238" s="21">
        <v>0.23113261896531859</v>
      </c>
      <c r="Y238" s="20">
        <v>2113</v>
      </c>
      <c r="Z238" s="23">
        <v>0.24346122825210281</v>
      </c>
      <c r="AA238" s="20">
        <v>6</v>
      </c>
      <c r="AB238" s="21">
        <v>6.9132388524023505E-4</v>
      </c>
      <c r="AC238" s="20">
        <v>960</v>
      </c>
      <c r="AD238" s="21">
        <v>0.11061182163843759</v>
      </c>
      <c r="AE238" s="20">
        <v>191</v>
      </c>
      <c r="AF238" s="21">
        <v>0.19895833333333329</v>
      </c>
      <c r="AG238" s="20">
        <v>784</v>
      </c>
      <c r="AH238" s="21">
        <v>0.81666666666666665</v>
      </c>
      <c r="AI238" s="24">
        <v>936</v>
      </c>
      <c r="AJ238" s="21">
        <v>0.10784652609747671</v>
      </c>
      <c r="AK238" s="24">
        <v>8</v>
      </c>
      <c r="AL238" s="21">
        <v>0.90384615384615385</v>
      </c>
      <c r="AM238" s="24">
        <v>936</v>
      </c>
      <c r="AN238" s="24">
        <v>846</v>
      </c>
      <c r="AO238" s="21">
        <v>9.7476667818873139E-2</v>
      </c>
      <c r="AP238" s="21">
        <v>0.88124999999999998</v>
      </c>
      <c r="AQ238" s="22">
        <v>0.98268839103869654</v>
      </c>
      <c r="AR238" s="24">
        <v>0</v>
      </c>
      <c r="AS238" s="24">
        <v>0</v>
      </c>
      <c r="AT238" s="24">
        <v>160</v>
      </c>
      <c r="AU238" s="24">
        <v>142</v>
      </c>
      <c r="AV238" s="24">
        <v>142</v>
      </c>
      <c r="AW238" s="24">
        <v>127</v>
      </c>
      <c r="AX238" s="21">
        <v>1.6361331950685561E-2</v>
      </c>
      <c r="AY238" s="21">
        <v>1.6361331950685561E-2</v>
      </c>
      <c r="AZ238" s="21">
        <v>1.463302223758498E-2</v>
      </c>
      <c r="BA238" s="21">
        <v>0.1678486997635934</v>
      </c>
      <c r="BB238" s="24">
        <v>0</v>
      </c>
      <c r="BC238" s="24">
        <v>1</v>
      </c>
      <c r="BD238" s="22">
        <v>0.97252747252747251</v>
      </c>
      <c r="BE238" s="22">
        <v>1</v>
      </c>
      <c r="BF238" s="22" t="s">
        <v>89</v>
      </c>
    </row>
    <row r="239" spans="1:58" ht="19.5" customHeight="1">
      <c r="A239" s="25">
        <v>236</v>
      </c>
      <c r="B239" s="20" t="s">
        <v>88</v>
      </c>
      <c r="C239" s="26">
        <v>46140</v>
      </c>
      <c r="D239" s="20" t="s">
        <v>13</v>
      </c>
      <c r="E239" s="20">
        <v>2421</v>
      </c>
      <c r="F239" s="20">
        <v>2275</v>
      </c>
      <c r="G239" s="21">
        <v>0.93969434118133</v>
      </c>
      <c r="H239" s="20">
        <v>1124</v>
      </c>
      <c r="I239" s="22">
        <v>0.46427096241222637</v>
      </c>
      <c r="J239" s="20">
        <v>2516</v>
      </c>
      <c r="K239" s="20">
        <v>2448</v>
      </c>
      <c r="L239" s="21">
        <v>0.97299999999999998</v>
      </c>
      <c r="M239" s="20">
        <v>14646</v>
      </c>
      <c r="N239" s="20">
        <v>14405</v>
      </c>
      <c r="O239" s="20">
        <v>14369</v>
      </c>
      <c r="P239" s="21">
        <v>0.9810869862078383</v>
      </c>
      <c r="Q239" s="20">
        <v>74</v>
      </c>
      <c r="R239" s="20">
        <v>0</v>
      </c>
      <c r="S239" s="20">
        <v>0</v>
      </c>
      <c r="T239" s="21">
        <v>0</v>
      </c>
      <c r="U239" s="20">
        <v>0</v>
      </c>
      <c r="V239" s="21">
        <v>0</v>
      </c>
      <c r="W239" s="20">
        <v>2555</v>
      </c>
      <c r="X239" s="21">
        <v>1.055349029326724</v>
      </c>
      <c r="Y239" s="20">
        <v>726</v>
      </c>
      <c r="Z239" s="23">
        <v>0.29987608426270129</v>
      </c>
      <c r="AA239" s="20">
        <v>69</v>
      </c>
      <c r="AB239" s="21">
        <v>2.8500619578686489E-2</v>
      </c>
      <c r="AC239" s="20">
        <v>460</v>
      </c>
      <c r="AD239" s="21">
        <v>0.1900041305245766</v>
      </c>
      <c r="AE239" s="20">
        <v>54</v>
      </c>
      <c r="AF239" s="21">
        <v>0.1173913043478261</v>
      </c>
      <c r="AG239" s="20">
        <v>378</v>
      </c>
      <c r="AH239" s="21">
        <v>0.82173913043478264</v>
      </c>
      <c r="AI239" s="24">
        <v>463</v>
      </c>
      <c r="AJ239" s="21">
        <v>0.19124328789756301</v>
      </c>
      <c r="AK239" s="24">
        <v>1</v>
      </c>
      <c r="AL239" s="21">
        <v>0.92656587473002161</v>
      </c>
      <c r="AM239" s="24">
        <v>463</v>
      </c>
      <c r="AN239" s="24">
        <v>429</v>
      </c>
      <c r="AO239" s="21">
        <v>0.17719950433705081</v>
      </c>
      <c r="AP239" s="21">
        <v>0.93260869565217386</v>
      </c>
      <c r="AQ239" s="22">
        <v>0.94791666666666663</v>
      </c>
      <c r="AR239" s="24">
        <v>0</v>
      </c>
      <c r="AS239" s="24">
        <v>0</v>
      </c>
      <c r="AT239" s="24">
        <v>72</v>
      </c>
      <c r="AU239" s="24">
        <v>65</v>
      </c>
      <c r="AV239" s="24">
        <v>70</v>
      </c>
      <c r="AW239" s="24">
        <v>100</v>
      </c>
      <c r="AX239" s="21">
        <v>2.6848409748038E-2</v>
      </c>
      <c r="AY239" s="21">
        <v>2.891367203634862E-2</v>
      </c>
      <c r="AZ239" s="21">
        <v>4.1305245766212313E-2</v>
      </c>
      <c r="BA239" s="21">
        <v>0.1631701631701632</v>
      </c>
      <c r="BB239" s="24">
        <v>0</v>
      </c>
      <c r="BC239" s="24">
        <v>0</v>
      </c>
      <c r="BD239" s="22">
        <v>1</v>
      </c>
      <c r="BE239" s="22">
        <v>1</v>
      </c>
      <c r="BF239" s="22" t="s">
        <v>89</v>
      </c>
    </row>
    <row r="240" spans="1:58" ht="19.5" customHeight="1">
      <c r="A240" s="25">
        <v>237</v>
      </c>
      <c r="B240" s="20" t="s">
        <v>88</v>
      </c>
      <c r="C240" s="26">
        <v>46141</v>
      </c>
      <c r="D240" s="20" t="s">
        <v>12</v>
      </c>
      <c r="E240" s="20">
        <v>2290</v>
      </c>
      <c r="F240" s="20">
        <v>2114</v>
      </c>
      <c r="G240" s="21">
        <v>0.9231441048034934</v>
      </c>
      <c r="H240" s="20">
        <v>1018</v>
      </c>
      <c r="I240" s="22">
        <v>0.44454148471615718</v>
      </c>
      <c r="J240" s="20">
        <v>2205</v>
      </c>
      <c r="K240" s="20">
        <v>2137</v>
      </c>
      <c r="L240" s="21">
        <v>0.96899999999999997</v>
      </c>
      <c r="M240" s="20">
        <v>9551</v>
      </c>
      <c r="N240" s="20">
        <v>9395</v>
      </c>
      <c r="O240" s="20">
        <v>9334</v>
      </c>
      <c r="P240" s="21">
        <v>0.97727986598261962</v>
      </c>
      <c r="Q240" s="20">
        <v>71</v>
      </c>
      <c r="R240" s="20">
        <v>0</v>
      </c>
      <c r="S240" s="20">
        <v>0</v>
      </c>
      <c r="T240" s="21">
        <v>0</v>
      </c>
      <c r="U240" s="20">
        <v>0</v>
      </c>
      <c r="V240" s="21">
        <v>0</v>
      </c>
      <c r="W240" s="20">
        <v>1764</v>
      </c>
      <c r="X240" s="21">
        <v>0.77030567685589524</v>
      </c>
      <c r="Y240" s="20">
        <v>876</v>
      </c>
      <c r="Z240" s="23">
        <v>0.38253275109170298</v>
      </c>
      <c r="AA240" s="20">
        <v>118</v>
      </c>
      <c r="AB240" s="21">
        <v>5.1528384279475981E-2</v>
      </c>
      <c r="AC240" s="20">
        <v>204</v>
      </c>
      <c r="AD240" s="21">
        <v>8.9082969432314404E-2</v>
      </c>
      <c r="AE240" s="20">
        <v>19</v>
      </c>
      <c r="AF240" s="21">
        <v>9.3137254901960786E-2</v>
      </c>
      <c r="AG240" s="20">
        <v>175</v>
      </c>
      <c r="AH240" s="21">
        <v>0.85784313725490191</v>
      </c>
      <c r="AI240" s="24">
        <v>203</v>
      </c>
      <c r="AJ240" s="21">
        <v>8.8646288209606988E-2</v>
      </c>
      <c r="AK240" s="24">
        <v>0</v>
      </c>
      <c r="AL240" s="21">
        <v>0.84729064039408863</v>
      </c>
      <c r="AM240" s="24">
        <v>193</v>
      </c>
      <c r="AN240" s="24">
        <v>172</v>
      </c>
      <c r="AO240" s="21">
        <v>7.5109170305676862E-2</v>
      </c>
      <c r="AP240" s="21">
        <v>0.84313725490196079</v>
      </c>
      <c r="AQ240" s="22">
        <v>0.98148148148148151</v>
      </c>
      <c r="AR240" s="24">
        <v>0</v>
      </c>
      <c r="AS240" s="24">
        <v>0</v>
      </c>
      <c r="AT240" s="24">
        <v>53</v>
      </c>
      <c r="AU240" s="24">
        <v>46</v>
      </c>
      <c r="AV240" s="24">
        <v>46</v>
      </c>
      <c r="AW240" s="24">
        <v>81</v>
      </c>
      <c r="AX240" s="21">
        <v>2.0087336244541489E-2</v>
      </c>
      <c r="AY240" s="21">
        <v>2.0087336244541489E-2</v>
      </c>
      <c r="AZ240" s="21">
        <v>3.5371179039301308E-2</v>
      </c>
      <c r="BA240" s="21">
        <v>0.26744186046511631</v>
      </c>
      <c r="BB240" s="24">
        <v>0</v>
      </c>
      <c r="BC240" s="24">
        <v>1</v>
      </c>
      <c r="BD240" s="22">
        <v>0.91666666666666663</v>
      </c>
      <c r="BE240" s="22">
        <v>1</v>
      </c>
      <c r="BF240" s="22" t="s">
        <v>89</v>
      </c>
    </row>
    <row r="241" spans="1:58" ht="19.5" customHeight="1">
      <c r="A241" s="25">
        <v>238</v>
      </c>
      <c r="B241" s="20" t="s">
        <v>88</v>
      </c>
      <c r="C241" s="26">
        <v>46141</v>
      </c>
      <c r="D241" s="20" t="s">
        <v>11</v>
      </c>
      <c r="E241" s="20">
        <v>1798</v>
      </c>
      <c r="F241" s="20">
        <v>1656</v>
      </c>
      <c r="G241" s="21">
        <v>0.92102335928809786</v>
      </c>
      <c r="H241" s="20">
        <v>599</v>
      </c>
      <c r="I241" s="22">
        <v>0.33314794215795329</v>
      </c>
      <c r="J241" s="20">
        <v>1646</v>
      </c>
      <c r="K241" s="20">
        <v>1590</v>
      </c>
      <c r="L241" s="21">
        <v>0.96599999999999997</v>
      </c>
      <c r="M241" s="20">
        <v>8005</v>
      </c>
      <c r="N241" s="20">
        <v>8204</v>
      </c>
      <c r="O241" s="20">
        <v>7829</v>
      </c>
      <c r="P241" s="21">
        <v>0.97801374141161779</v>
      </c>
      <c r="Q241" s="20">
        <v>67</v>
      </c>
      <c r="R241" s="20">
        <v>0</v>
      </c>
      <c r="S241" s="20">
        <v>0</v>
      </c>
      <c r="T241" s="21">
        <v>0</v>
      </c>
      <c r="U241" s="20">
        <v>0</v>
      </c>
      <c r="V241" s="21">
        <v>0</v>
      </c>
      <c r="W241" s="20">
        <v>1835</v>
      </c>
      <c r="X241" s="21">
        <v>1.0205784204671859</v>
      </c>
      <c r="Y241" s="20">
        <v>919</v>
      </c>
      <c r="Z241" s="23">
        <v>0.51112347052280316</v>
      </c>
      <c r="AA241" s="20">
        <v>98</v>
      </c>
      <c r="AB241" s="21">
        <v>5.4505005561735258E-2</v>
      </c>
      <c r="AC241" s="20">
        <v>207</v>
      </c>
      <c r="AD241" s="21">
        <v>0.11512791991101221</v>
      </c>
      <c r="AE241" s="20">
        <v>49</v>
      </c>
      <c r="AF241" s="21">
        <v>0.2367149758454106</v>
      </c>
      <c r="AG241" s="20">
        <v>174</v>
      </c>
      <c r="AH241" s="21">
        <v>0.84057971014492749</v>
      </c>
      <c r="AI241" s="24">
        <v>213</v>
      </c>
      <c r="AJ241" s="21">
        <v>0.1184649610678532</v>
      </c>
      <c r="AK241" s="24">
        <v>3</v>
      </c>
      <c r="AL241" s="21">
        <v>0.82629107981220662</v>
      </c>
      <c r="AM241" s="24">
        <v>208</v>
      </c>
      <c r="AN241" s="24">
        <v>176</v>
      </c>
      <c r="AO241" s="21">
        <v>9.7886540600667413E-2</v>
      </c>
      <c r="AP241" s="21">
        <v>0.85024154589371981</v>
      </c>
      <c r="AQ241" s="22">
        <v>0.98684210526315785</v>
      </c>
      <c r="AR241" s="24">
        <v>0</v>
      </c>
      <c r="AS241" s="24">
        <v>0</v>
      </c>
      <c r="AT241" s="24">
        <v>54</v>
      </c>
      <c r="AU241" s="24">
        <v>39</v>
      </c>
      <c r="AV241" s="24">
        <v>38</v>
      </c>
      <c r="AW241" s="24">
        <v>73</v>
      </c>
      <c r="AX241" s="21">
        <v>2.1690767519466071E-2</v>
      </c>
      <c r="AY241" s="21">
        <v>2.1134593993325922E-2</v>
      </c>
      <c r="AZ241" s="21">
        <v>4.0600667408231372E-2</v>
      </c>
      <c r="BA241" s="21">
        <v>0.21590909090909091</v>
      </c>
      <c r="BB241" s="24">
        <v>0</v>
      </c>
      <c r="BC241" s="24">
        <v>1</v>
      </c>
      <c r="BD241" s="22">
        <v>1</v>
      </c>
      <c r="BE241" s="22">
        <v>0.66666666666666663</v>
      </c>
      <c r="BF241" s="22" t="s">
        <v>89</v>
      </c>
    </row>
    <row r="242" spans="1:58" ht="19.5" customHeight="1">
      <c r="A242" s="25">
        <v>239</v>
      </c>
      <c r="B242" s="20" t="s">
        <v>88</v>
      </c>
      <c r="C242" s="26">
        <v>46141</v>
      </c>
      <c r="D242" s="20" t="s">
        <v>14</v>
      </c>
      <c r="E242" s="20">
        <v>10209</v>
      </c>
      <c r="F242" s="20">
        <v>8791</v>
      </c>
      <c r="G242" s="21">
        <v>0.86110294837888135</v>
      </c>
      <c r="H242" s="20">
        <v>2169</v>
      </c>
      <c r="I242" s="22">
        <v>0.21245959447546281</v>
      </c>
      <c r="J242" s="20">
        <v>9575</v>
      </c>
      <c r="K242" s="20">
        <v>9267</v>
      </c>
      <c r="L242" s="21">
        <v>0.96799999999999997</v>
      </c>
      <c r="M242" s="20">
        <v>28170</v>
      </c>
      <c r="N242" s="20">
        <v>29092</v>
      </c>
      <c r="O242" s="20">
        <v>27538</v>
      </c>
      <c r="P242" s="21">
        <v>0.97756478523251689</v>
      </c>
      <c r="Q242" s="20">
        <v>272</v>
      </c>
      <c r="R242" s="20">
        <v>0</v>
      </c>
      <c r="S242" s="20">
        <v>0</v>
      </c>
      <c r="T242" s="21">
        <v>0</v>
      </c>
      <c r="U242" s="20">
        <v>0</v>
      </c>
      <c r="V242" s="21">
        <v>0</v>
      </c>
      <c r="W242" s="20">
        <v>2045</v>
      </c>
      <c r="X242" s="21">
        <v>0.20031344891762171</v>
      </c>
      <c r="Y242" s="20">
        <v>5137</v>
      </c>
      <c r="Z242" s="23">
        <v>0.50318346556959548</v>
      </c>
      <c r="AA242" s="20">
        <v>72</v>
      </c>
      <c r="AB242" s="21">
        <v>7.0526006464883923E-3</v>
      </c>
      <c r="AC242" s="20">
        <v>990</v>
      </c>
      <c r="AD242" s="21">
        <v>9.6973258889215402E-2</v>
      </c>
      <c r="AE242" s="20">
        <v>197</v>
      </c>
      <c r="AF242" s="21">
        <v>0.19898989898989899</v>
      </c>
      <c r="AG242" s="20">
        <v>857</v>
      </c>
      <c r="AH242" s="21">
        <v>0.86565656565656568</v>
      </c>
      <c r="AI242" s="24">
        <v>985</v>
      </c>
      <c r="AJ242" s="21">
        <v>9.6483494955431487E-2</v>
      </c>
      <c r="AK242" s="24">
        <v>3</v>
      </c>
      <c r="AL242" s="21">
        <v>0.92284263959390866</v>
      </c>
      <c r="AM242" s="24">
        <v>980</v>
      </c>
      <c r="AN242" s="24">
        <v>909</v>
      </c>
      <c r="AO242" s="21">
        <v>8.9039083161915958E-2</v>
      </c>
      <c r="AP242" s="21">
        <v>0.91818181818181821</v>
      </c>
      <c r="AQ242" s="22">
        <v>0.94799566630552545</v>
      </c>
      <c r="AR242" s="24">
        <v>0</v>
      </c>
      <c r="AS242" s="24">
        <v>0</v>
      </c>
      <c r="AT242" s="24">
        <v>178</v>
      </c>
      <c r="AU242" s="24">
        <v>159</v>
      </c>
      <c r="AV242" s="24">
        <v>160</v>
      </c>
      <c r="AW242" s="24">
        <v>135</v>
      </c>
      <c r="AX242" s="21">
        <v>1.5574493094328529E-2</v>
      </c>
      <c r="AY242" s="21">
        <v>1.5672445881085319E-2</v>
      </c>
      <c r="AZ242" s="21">
        <v>1.322362621216574E-2</v>
      </c>
      <c r="BA242" s="21">
        <v>0.176017601760176</v>
      </c>
      <c r="BB242" s="24">
        <v>0</v>
      </c>
      <c r="BC242" s="24">
        <v>1</v>
      </c>
      <c r="BD242" s="22">
        <v>0.967741935483871</v>
      </c>
      <c r="BE242" s="22">
        <v>1</v>
      </c>
      <c r="BF242" s="22" t="s">
        <v>89</v>
      </c>
    </row>
    <row r="243" spans="1:58" ht="19.5" customHeight="1">
      <c r="A243" s="25">
        <v>240</v>
      </c>
      <c r="B243" s="20" t="s">
        <v>88</v>
      </c>
      <c r="C243" s="26">
        <v>46141</v>
      </c>
      <c r="D243" s="20" t="s">
        <v>13</v>
      </c>
      <c r="E243" s="20">
        <v>2408</v>
      </c>
      <c r="F243" s="20">
        <v>2276</v>
      </c>
      <c r="G243" s="21">
        <v>0.94518272425249172</v>
      </c>
      <c r="H243" s="20">
        <v>1122</v>
      </c>
      <c r="I243" s="22">
        <v>0.46594684385382062</v>
      </c>
      <c r="J243" s="20">
        <v>2941</v>
      </c>
      <c r="K243" s="20">
        <v>2859</v>
      </c>
      <c r="L243" s="21">
        <v>0.97199999999999998</v>
      </c>
      <c r="M243" s="20">
        <v>14551</v>
      </c>
      <c r="N243" s="20">
        <v>14370</v>
      </c>
      <c r="O243" s="20">
        <v>14271</v>
      </c>
      <c r="P243" s="21">
        <v>0.98075733626554873</v>
      </c>
      <c r="Q243" s="20">
        <v>105</v>
      </c>
      <c r="R243" s="20">
        <v>0</v>
      </c>
      <c r="S243" s="20">
        <v>0</v>
      </c>
      <c r="T243" s="21">
        <v>0</v>
      </c>
      <c r="U243" s="20">
        <v>0</v>
      </c>
      <c r="V243" s="21">
        <v>0</v>
      </c>
      <c r="W243" s="20">
        <v>2249</v>
      </c>
      <c r="X243" s="21">
        <v>0.93397009966777411</v>
      </c>
      <c r="Y243" s="20">
        <v>918</v>
      </c>
      <c r="Z243" s="23">
        <v>0.3812292358803987</v>
      </c>
      <c r="AA243" s="20">
        <v>265</v>
      </c>
      <c r="AB243" s="21">
        <v>0.1100498338870432</v>
      </c>
      <c r="AC243" s="20">
        <v>450</v>
      </c>
      <c r="AD243" s="21">
        <v>0.18687707641196011</v>
      </c>
      <c r="AE243" s="20">
        <v>93</v>
      </c>
      <c r="AF243" s="21">
        <v>0.20666666666666669</v>
      </c>
      <c r="AG243" s="20">
        <v>389</v>
      </c>
      <c r="AH243" s="21">
        <v>0.86444444444444446</v>
      </c>
      <c r="AI243" s="24">
        <v>467</v>
      </c>
      <c r="AJ243" s="21">
        <v>0.193936877076412</v>
      </c>
      <c r="AK243" s="24">
        <v>0</v>
      </c>
      <c r="AL243" s="21">
        <v>0.93790149892933616</v>
      </c>
      <c r="AM243" s="24">
        <v>460</v>
      </c>
      <c r="AN243" s="24">
        <v>438</v>
      </c>
      <c r="AO243" s="21">
        <v>0.18189368770764119</v>
      </c>
      <c r="AP243" s="21">
        <v>0.97333333333333338</v>
      </c>
      <c r="AQ243" s="22">
        <v>0.91705069124423966</v>
      </c>
      <c r="AR243" s="24">
        <v>0</v>
      </c>
      <c r="AS243" s="24">
        <v>0</v>
      </c>
      <c r="AT243" s="24">
        <v>68</v>
      </c>
      <c r="AU243" s="24">
        <v>62</v>
      </c>
      <c r="AV243" s="24">
        <v>59</v>
      </c>
      <c r="AW243" s="24">
        <v>140</v>
      </c>
      <c r="AX243" s="21">
        <v>2.5747508305647839E-2</v>
      </c>
      <c r="AY243" s="21">
        <v>2.4501661129568111E-2</v>
      </c>
      <c r="AZ243" s="21">
        <v>5.8139534883720929E-2</v>
      </c>
      <c r="BA243" s="21">
        <v>0.13470319634703201</v>
      </c>
      <c r="BB243" s="24">
        <v>0</v>
      </c>
      <c r="BC243" s="24">
        <v>0</v>
      </c>
      <c r="BD243" s="22">
        <v>1</v>
      </c>
      <c r="BE243" s="22">
        <v>1</v>
      </c>
      <c r="BF243" s="22" t="s">
        <v>89</v>
      </c>
    </row>
    <row r="244" spans="1:58" ht="19.5" customHeight="1">
      <c r="A244" s="25">
        <v>241</v>
      </c>
      <c r="B244" s="20" t="s">
        <v>88</v>
      </c>
      <c r="C244" s="26">
        <v>46142</v>
      </c>
      <c r="D244" s="20" t="s">
        <v>12</v>
      </c>
      <c r="E244" s="20">
        <v>2350</v>
      </c>
      <c r="F244" s="20">
        <v>2180</v>
      </c>
      <c r="G244" s="21">
        <v>0.92765957446808511</v>
      </c>
      <c r="H244" s="20">
        <v>1223</v>
      </c>
      <c r="I244" s="22">
        <v>0.5204255319148936</v>
      </c>
      <c r="J244" s="20">
        <v>2816</v>
      </c>
      <c r="K244" s="20">
        <v>2744</v>
      </c>
      <c r="L244" s="21">
        <v>0.97399999999999998</v>
      </c>
      <c r="M244" s="20">
        <v>10285</v>
      </c>
      <c r="N244" s="20">
        <v>10650</v>
      </c>
      <c r="O244" s="20">
        <v>10103</v>
      </c>
      <c r="P244" s="21">
        <v>0.98230432668935341</v>
      </c>
      <c r="Q244" s="20">
        <v>66</v>
      </c>
      <c r="R244" s="20">
        <v>132222</v>
      </c>
      <c r="S244" s="20">
        <v>70373</v>
      </c>
      <c r="T244" s="21">
        <v>0.53223366761960944</v>
      </c>
      <c r="U244" s="20">
        <v>27732</v>
      </c>
      <c r="V244" s="21">
        <v>0.20973816762717251</v>
      </c>
      <c r="W244" s="20">
        <v>1452</v>
      </c>
      <c r="X244" s="21">
        <v>0.61787234042553196</v>
      </c>
      <c r="Y244" s="20">
        <v>811</v>
      </c>
      <c r="Z244" s="23">
        <v>0.34510638297872342</v>
      </c>
      <c r="AA244" s="20">
        <v>366</v>
      </c>
      <c r="AB244" s="21">
        <v>0.1557446808510638</v>
      </c>
      <c r="AC244" s="20">
        <v>176</v>
      </c>
      <c r="AD244" s="21">
        <v>7.4893617021276601E-2</v>
      </c>
      <c r="AE244" s="20">
        <v>45</v>
      </c>
      <c r="AF244" s="21">
        <v>0.25568181818181818</v>
      </c>
      <c r="AG244" s="20">
        <v>130</v>
      </c>
      <c r="AH244" s="21">
        <v>0.73863636363636365</v>
      </c>
      <c r="AI244" s="24">
        <v>191</v>
      </c>
      <c r="AJ244" s="21">
        <v>8.1276595744680852E-2</v>
      </c>
      <c r="AK244" s="24">
        <v>1</v>
      </c>
      <c r="AL244" s="21">
        <v>0.80104712041884818</v>
      </c>
      <c r="AM244" s="24">
        <v>176</v>
      </c>
      <c r="AN244" s="24">
        <v>153</v>
      </c>
      <c r="AO244" s="21">
        <v>6.5106382978723398E-2</v>
      </c>
      <c r="AP244" s="21">
        <v>0.86931818181818177</v>
      </c>
      <c r="AQ244" s="22">
        <v>0.9285714285714286</v>
      </c>
      <c r="AR244" s="24">
        <v>0</v>
      </c>
      <c r="AS244" s="24">
        <v>0</v>
      </c>
      <c r="AT244" s="24">
        <v>54</v>
      </c>
      <c r="AU244" s="24">
        <v>51</v>
      </c>
      <c r="AV244" s="24">
        <v>46</v>
      </c>
      <c r="AW244" s="24">
        <v>95</v>
      </c>
      <c r="AX244" s="21">
        <v>2.170212765957447E-2</v>
      </c>
      <c r="AY244" s="21">
        <v>1.9574468085106381E-2</v>
      </c>
      <c r="AZ244" s="21">
        <v>4.042553191489362E-2</v>
      </c>
      <c r="BA244" s="21">
        <v>0.30065359477124182</v>
      </c>
      <c r="BB244" s="24">
        <v>0</v>
      </c>
      <c r="BC244" s="24">
        <v>0</v>
      </c>
      <c r="BD244" s="22">
        <v>0.96153846153846156</v>
      </c>
      <c r="BE244" s="22">
        <v>1</v>
      </c>
      <c r="BF244" s="22" t="s">
        <v>89</v>
      </c>
    </row>
    <row r="245" spans="1:58" ht="19.5" customHeight="1">
      <c r="A245" s="25">
        <v>242</v>
      </c>
      <c r="B245" s="20" t="s">
        <v>88</v>
      </c>
      <c r="C245" s="26">
        <v>46142</v>
      </c>
      <c r="D245" s="20" t="s">
        <v>11</v>
      </c>
      <c r="E245" s="20">
        <v>1711</v>
      </c>
      <c r="F245" s="20">
        <v>1617</v>
      </c>
      <c r="G245" s="21">
        <v>0.94506136762127413</v>
      </c>
      <c r="H245" s="20">
        <v>564</v>
      </c>
      <c r="I245" s="22">
        <v>0.32963179427235528</v>
      </c>
      <c r="J245" s="20">
        <v>1396</v>
      </c>
      <c r="K245" s="20">
        <v>1346</v>
      </c>
      <c r="L245" s="21">
        <v>0.96399999999999997</v>
      </c>
      <c r="M245" s="20">
        <v>8091</v>
      </c>
      <c r="N245" s="20">
        <v>8330</v>
      </c>
      <c r="O245" s="20">
        <v>7909</v>
      </c>
      <c r="P245" s="21">
        <v>0.97750587072055373</v>
      </c>
      <c r="Q245" s="20">
        <v>82</v>
      </c>
      <c r="R245" s="20">
        <v>324108</v>
      </c>
      <c r="S245" s="20">
        <v>154528</v>
      </c>
      <c r="T245" s="21">
        <v>0.47677934515655268</v>
      </c>
      <c r="U245" s="20">
        <v>55430</v>
      </c>
      <c r="V245" s="21">
        <v>0.1710232391671912</v>
      </c>
      <c r="W245" s="20">
        <v>1568</v>
      </c>
      <c r="X245" s="21">
        <v>0.91642314436002337</v>
      </c>
      <c r="Y245" s="20">
        <v>768</v>
      </c>
      <c r="Z245" s="23">
        <v>0.44886031560490941</v>
      </c>
      <c r="AA245" s="20">
        <v>398</v>
      </c>
      <c r="AB245" s="21">
        <v>0.23261250730566921</v>
      </c>
      <c r="AC245" s="20">
        <v>204</v>
      </c>
      <c r="AD245" s="21">
        <v>0.1192285213325541</v>
      </c>
      <c r="AE245" s="20">
        <v>53</v>
      </c>
      <c r="AF245" s="21">
        <v>0.25980392156862753</v>
      </c>
      <c r="AG245" s="20">
        <v>166</v>
      </c>
      <c r="AH245" s="21">
        <v>0.81372549019607843</v>
      </c>
      <c r="AI245" s="24">
        <v>221</v>
      </c>
      <c r="AJ245" s="21">
        <v>0.1291642314436002</v>
      </c>
      <c r="AK245" s="24">
        <v>1</v>
      </c>
      <c r="AL245" s="21">
        <v>0.77375565610859731</v>
      </c>
      <c r="AM245" s="24">
        <v>208</v>
      </c>
      <c r="AN245" s="24">
        <v>171</v>
      </c>
      <c r="AO245" s="21">
        <v>9.9941554646405611E-2</v>
      </c>
      <c r="AP245" s="21">
        <v>0.83823529411764708</v>
      </c>
      <c r="AQ245" s="22">
        <v>0.94764397905759157</v>
      </c>
      <c r="AR245" s="24">
        <v>0</v>
      </c>
      <c r="AS245" s="24">
        <v>0</v>
      </c>
      <c r="AT245" s="24">
        <v>51</v>
      </c>
      <c r="AU245" s="24">
        <v>46</v>
      </c>
      <c r="AV245" s="24">
        <v>42</v>
      </c>
      <c r="AW245" s="24">
        <v>83</v>
      </c>
      <c r="AX245" s="21">
        <v>2.688486265341905E-2</v>
      </c>
      <c r="AY245" s="21">
        <v>2.4547048509643479E-2</v>
      </c>
      <c r="AZ245" s="21">
        <v>4.8509643483343072E-2</v>
      </c>
      <c r="BA245" s="21">
        <v>0.24561403508771931</v>
      </c>
      <c r="BB245" s="24">
        <v>0</v>
      </c>
      <c r="BC245" s="24">
        <v>1</v>
      </c>
      <c r="BD245" s="22">
        <v>1</v>
      </c>
      <c r="BE245" s="22">
        <v>0.88888888888888884</v>
      </c>
      <c r="BF245" s="22" t="s">
        <v>89</v>
      </c>
    </row>
    <row r="246" spans="1:58" ht="19.5" customHeight="1">
      <c r="A246" s="25">
        <v>243</v>
      </c>
      <c r="B246" s="20" t="s">
        <v>88</v>
      </c>
      <c r="C246" s="26">
        <v>46142</v>
      </c>
      <c r="D246" s="20" t="s">
        <v>14</v>
      </c>
      <c r="E246" s="20">
        <v>10490</v>
      </c>
      <c r="F246" s="20">
        <v>9768</v>
      </c>
      <c r="G246" s="21">
        <v>0.93117254528122018</v>
      </c>
      <c r="H246" s="20">
        <v>1853</v>
      </c>
      <c r="I246" s="22">
        <v>0.17664442326024779</v>
      </c>
      <c r="J246" s="20">
        <v>8928</v>
      </c>
      <c r="K246" s="20">
        <v>8605</v>
      </c>
      <c r="L246" s="21">
        <v>0.96399999999999997</v>
      </c>
      <c r="M246" s="20">
        <v>29171</v>
      </c>
      <c r="N246" s="20">
        <v>30450</v>
      </c>
      <c r="O246" s="20">
        <v>28503</v>
      </c>
      <c r="P246" s="21">
        <v>0.97710054506187649</v>
      </c>
      <c r="Q246" s="20">
        <v>322</v>
      </c>
      <c r="R246" s="20">
        <v>156432</v>
      </c>
      <c r="S246" s="20">
        <v>67424</v>
      </c>
      <c r="T246" s="21">
        <v>0.43101155773754729</v>
      </c>
      <c r="U246" s="20">
        <v>38276</v>
      </c>
      <c r="V246" s="21">
        <v>0.2446813951109747</v>
      </c>
      <c r="W246" s="20">
        <v>2636</v>
      </c>
      <c r="X246" s="21">
        <v>0.25128693994280271</v>
      </c>
      <c r="Y246" s="20">
        <v>2801</v>
      </c>
      <c r="Z246" s="23">
        <v>0.26701620591039082</v>
      </c>
      <c r="AA246" s="20">
        <v>146</v>
      </c>
      <c r="AB246" s="21">
        <v>1.391801715919924E-2</v>
      </c>
      <c r="AC246" s="20">
        <v>984</v>
      </c>
      <c r="AD246" s="21">
        <v>9.3803622497616784E-2</v>
      </c>
      <c r="AE246" s="20">
        <v>196</v>
      </c>
      <c r="AF246" s="21">
        <v>0.1991869918699187</v>
      </c>
      <c r="AG246" s="20">
        <v>766</v>
      </c>
      <c r="AH246" s="21">
        <v>0.77845528455284552</v>
      </c>
      <c r="AI246" s="24">
        <v>978</v>
      </c>
      <c r="AJ246" s="21">
        <v>9.3231649189704474E-2</v>
      </c>
      <c r="AK246" s="24">
        <v>7</v>
      </c>
      <c r="AL246" s="21">
        <v>0.85378323108384457</v>
      </c>
      <c r="AM246" s="24">
        <v>975</v>
      </c>
      <c r="AN246" s="24">
        <v>835</v>
      </c>
      <c r="AO246" s="21">
        <v>7.9599618684461387E-2</v>
      </c>
      <c r="AP246" s="21">
        <v>0.84857723577235777</v>
      </c>
      <c r="AQ246" s="22">
        <v>0.96875</v>
      </c>
      <c r="AR246" s="24">
        <v>0</v>
      </c>
      <c r="AS246" s="24">
        <v>0</v>
      </c>
      <c r="AT246" s="24">
        <v>397</v>
      </c>
      <c r="AU246" s="24">
        <v>369</v>
      </c>
      <c r="AV246" s="24">
        <v>246</v>
      </c>
      <c r="AW246" s="24">
        <v>153</v>
      </c>
      <c r="AX246" s="21">
        <v>3.5176358436606291E-2</v>
      </c>
      <c r="AY246" s="21">
        <v>2.34509056244042E-2</v>
      </c>
      <c r="AZ246" s="21">
        <v>1.4585319351763579E-2</v>
      </c>
      <c r="BA246" s="21">
        <v>0.29461077844311379</v>
      </c>
      <c r="BB246" s="24">
        <v>0</v>
      </c>
      <c r="BC246" s="24">
        <v>1</v>
      </c>
      <c r="BD246" s="22">
        <v>0.9760479041916168</v>
      </c>
      <c r="BE246" s="22">
        <v>0.94117647058823528</v>
      </c>
      <c r="BF246" s="22" t="s">
        <v>89</v>
      </c>
    </row>
    <row r="247" spans="1:58" ht="19.5" customHeight="1">
      <c r="A247" s="25">
        <v>244</v>
      </c>
      <c r="B247" s="20" t="s">
        <v>88</v>
      </c>
      <c r="C247" s="26">
        <v>46142</v>
      </c>
      <c r="D247" s="20" t="s">
        <v>13</v>
      </c>
      <c r="E247" s="20">
        <v>2437</v>
      </c>
      <c r="F247" s="20">
        <v>2343</v>
      </c>
      <c r="G247" s="21">
        <v>0.96142798522773898</v>
      </c>
      <c r="H247" s="20">
        <v>1124</v>
      </c>
      <c r="I247" s="22">
        <v>0.46122281493639722</v>
      </c>
      <c r="J247" s="20">
        <v>2556</v>
      </c>
      <c r="K247" s="20">
        <v>2484</v>
      </c>
      <c r="L247" s="21">
        <v>0.97199999999999998</v>
      </c>
      <c r="M247" s="20">
        <v>15406</v>
      </c>
      <c r="N247" s="20">
        <v>15601</v>
      </c>
      <c r="O247" s="20">
        <v>15169</v>
      </c>
      <c r="P247" s="21">
        <v>0.98461638322731404</v>
      </c>
      <c r="Q247" s="20">
        <v>117</v>
      </c>
      <c r="R247" s="20">
        <v>177951</v>
      </c>
      <c r="S247" s="20">
        <v>87141</v>
      </c>
      <c r="T247" s="21">
        <v>0.4896909823490736</v>
      </c>
      <c r="U247" s="20">
        <v>44034</v>
      </c>
      <c r="V247" s="21">
        <v>0.24745014076908811</v>
      </c>
      <c r="W247" s="20">
        <v>2307</v>
      </c>
      <c r="X247" s="21">
        <v>0.94665572425112843</v>
      </c>
      <c r="Y247" s="20">
        <v>1084</v>
      </c>
      <c r="Z247" s="23">
        <v>0.44480919162905208</v>
      </c>
      <c r="AA247" s="20">
        <v>460</v>
      </c>
      <c r="AB247" s="21">
        <v>0.18875666803446861</v>
      </c>
      <c r="AC247" s="20">
        <v>481</v>
      </c>
      <c r="AD247" s="21">
        <v>0.19737382027082481</v>
      </c>
      <c r="AE247" s="20">
        <v>109</v>
      </c>
      <c r="AF247" s="21">
        <v>0.2266112266112266</v>
      </c>
      <c r="AG247" s="20">
        <v>366</v>
      </c>
      <c r="AH247" s="21">
        <v>0.76091476091476096</v>
      </c>
      <c r="AI247" s="24">
        <v>503</v>
      </c>
      <c r="AJ247" s="21">
        <v>0.20640131308986459</v>
      </c>
      <c r="AK247" s="24">
        <v>2</v>
      </c>
      <c r="AL247" s="21">
        <v>0.90656063618290261</v>
      </c>
      <c r="AM247" s="24">
        <v>490</v>
      </c>
      <c r="AN247" s="24">
        <v>456</v>
      </c>
      <c r="AO247" s="21">
        <v>0.18711530570373411</v>
      </c>
      <c r="AP247" s="21">
        <v>0.94802494802494808</v>
      </c>
      <c r="AQ247" s="22">
        <v>0.93720930232558142</v>
      </c>
      <c r="AR247" s="24">
        <v>0</v>
      </c>
      <c r="AS247" s="24">
        <v>0</v>
      </c>
      <c r="AT247" s="24">
        <v>139</v>
      </c>
      <c r="AU247" s="24">
        <v>127</v>
      </c>
      <c r="AV247" s="24">
        <v>118</v>
      </c>
      <c r="AW247" s="24">
        <v>180</v>
      </c>
      <c r="AX247" s="21">
        <v>5.2113254000820682E-2</v>
      </c>
      <c r="AY247" s="21">
        <v>4.8420188756668037E-2</v>
      </c>
      <c r="AZ247" s="21">
        <v>7.3861304883052939E-2</v>
      </c>
      <c r="BA247" s="21">
        <v>0.25877192982456138</v>
      </c>
      <c r="BB247" s="24">
        <v>0</v>
      </c>
      <c r="BC247" s="24">
        <v>0</v>
      </c>
      <c r="BD247" s="22">
        <v>1</v>
      </c>
      <c r="BE247" s="22">
        <v>1</v>
      </c>
      <c r="BF247" s="22" t="s">
        <v>89</v>
      </c>
    </row>
  </sheetData>
  <mergeCells count="13">
    <mergeCell ref="A3:D3"/>
    <mergeCell ref="J1:Q1"/>
    <mergeCell ref="BB1:BF1"/>
    <mergeCell ref="E1:I1"/>
    <mergeCell ref="C1:C2"/>
    <mergeCell ref="B1:B2"/>
    <mergeCell ref="D1:D2"/>
    <mergeCell ref="A1:A2"/>
    <mergeCell ref="R1:V1"/>
    <mergeCell ref="AR1:BA1"/>
    <mergeCell ref="AC1:AH1"/>
    <mergeCell ref="AI1:AQ1"/>
    <mergeCell ref="W1:AB1"/>
  </mergeCells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92D050"/>
  </sheetPr>
  <dimension ref="A1:U63"/>
  <sheetViews>
    <sheetView workbookViewId="0">
      <selection sqref="A1:XFD1048576"/>
    </sheetView>
  </sheetViews>
  <sheetFormatPr defaultRowHeight="14.25"/>
  <cols>
    <col min="1" max="1" width="3.875" customWidth="1"/>
    <col min="2" max="21" width="23.5" customWidth="1"/>
    <col min="22" max="23" width="8" customWidth="1"/>
  </cols>
  <sheetData>
    <row r="1" spans="1:21">
      <c r="A1" s="27" t="s">
        <v>23</v>
      </c>
      <c r="B1" s="27" t="s">
        <v>90</v>
      </c>
      <c r="C1" s="27" t="s">
        <v>91</v>
      </c>
      <c r="D1" s="27" t="s">
        <v>92</v>
      </c>
      <c r="E1" s="27" t="s">
        <v>93</v>
      </c>
      <c r="F1" s="27" t="s">
        <v>94</v>
      </c>
      <c r="G1" s="27" t="s">
        <v>35</v>
      </c>
      <c r="H1" s="27" t="s">
        <v>95</v>
      </c>
      <c r="I1" s="27" t="s">
        <v>96</v>
      </c>
      <c r="J1" s="27" t="s">
        <v>97</v>
      </c>
      <c r="K1" s="27" t="s">
        <v>98</v>
      </c>
      <c r="L1" s="27" t="s">
        <v>52</v>
      </c>
      <c r="M1" s="27" t="s">
        <v>99</v>
      </c>
      <c r="N1" s="27" t="s">
        <v>100</v>
      </c>
      <c r="O1" s="27" t="s">
        <v>101</v>
      </c>
      <c r="P1" s="27" t="s">
        <v>102</v>
      </c>
      <c r="Q1" s="27" t="s">
        <v>103</v>
      </c>
      <c r="R1" s="27" t="s">
        <v>104</v>
      </c>
      <c r="S1" s="27" t="s">
        <v>105</v>
      </c>
      <c r="T1" s="27" t="s">
        <v>106</v>
      </c>
      <c r="U1" s="27" t="s">
        <v>107</v>
      </c>
    </row>
    <row r="2" spans="1:21">
      <c r="A2" s="28" t="s">
        <v>108</v>
      </c>
      <c r="B2" s="28" t="s">
        <v>10</v>
      </c>
      <c r="C2" s="29">
        <v>1326322</v>
      </c>
      <c r="D2" s="29">
        <v>1329546</v>
      </c>
      <c r="E2" s="29">
        <v>1237797</v>
      </c>
      <c r="F2" s="29">
        <v>91749</v>
      </c>
      <c r="G2" s="29">
        <v>931646</v>
      </c>
      <c r="H2" s="29">
        <v>68422</v>
      </c>
      <c r="I2" s="29">
        <v>34885</v>
      </c>
      <c r="J2" s="29">
        <v>25963</v>
      </c>
      <c r="K2" s="30">
        <v>57567</v>
      </c>
      <c r="L2" s="29">
        <v>97419</v>
      </c>
      <c r="M2" s="28" t="s">
        <v>109</v>
      </c>
      <c r="N2" s="28" t="s">
        <v>110</v>
      </c>
      <c r="O2" s="28" t="s">
        <v>111</v>
      </c>
      <c r="P2" s="28" t="s">
        <v>112</v>
      </c>
      <c r="Q2" s="28" t="s">
        <v>113</v>
      </c>
      <c r="R2" s="28" t="s">
        <v>114</v>
      </c>
      <c r="S2" s="28" t="s">
        <v>115</v>
      </c>
      <c r="T2" s="28" t="s">
        <v>116</v>
      </c>
      <c r="U2" s="28" t="s">
        <v>117</v>
      </c>
    </row>
    <row r="3" spans="1:21">
      <c r="A3" s="28" t="s">
        <v>118</v>
      </c>
      <c r="B3" s="31">
        <v>46082</v>
      </c>
      <c r="C3" s="29">
        <v>28509</v>
      </c>
      <c r="D3" s="29">
        <v>28290</v>
      </c>
      <c r="E3" s="29">
        <v>26043</v>
      </c>
      <c r="F3" s="29">
        <v>2247</v>
      </c>
      <c r="G3" s="29">
        <v>17527</v>
      </c>
      <c r="H3" s="29">
        <v>1136</v>
      </c>
      <c r="I3" s="29">
        <v>324</v>
      </c>
      <c r="J3" s="29">
        <v>225</v>
      </c>
      <c r="K3" s="30">
        <v>1223</v>
      </c>
      <c r="L3" s="29">
        <v>3094</v>
      </c>
      <c r="M3" s="28" t="s">
        <v>119</v>
      </c>
      <c r="N3" s="28" t="s">
        <v>120</v>
      </c>
      <c r="O3" s="28" t="s">
        <v>121</v>
      </c>
      <c r="P3" s="28" t="s">
        <v>122</v>
      </c>
      <c r="Q3" s="28" t="s">
        <v>123</v>
      </c>
      <c r="R3" s="28" t="s">
        <v>124</v>
      </c>
      <c r="S3" s="28" t="s">
        <v>125</v>
      </c>
      <c r="T3" s="28" t="s">
        <v>126</v>
      </c>
      <c r="U3" s="28" t="s">
        <v>127</v>
      </c>
    </row>
    <row r="4" spans="1:21">
      <c r="A4" s="28" t="s">
        <v>128</v>
      </c>
      <c r="B4" s="31">
        <v>46083</v>
      </c>
      <c r="C4" s="29">
        <v>28192</v>
      </c>
      <c r="D4" s="29">
        <v>28811</v>
      </c>
      <c r="E4" s="29">
        <v>26609</v>
      </c>
      <c r="F4" s="29">
        <v>2202</v>
      </c>
      <c r="G4" s="29">
        <v>17181</v>
      </c>
      <c r="H4" s="29">
        <v>834</v>
      </c>
      <c r="I4" s="29">
        <v>295</v>
      </c>
      <c r="J4" s="29">
        <v>103</v>
      </c>
      <c r="K4" s="30">
        <v>327</v>
      </c>
      <c r="L4" s="29">
        <v>3026</v>
      </c>
      <c r="M4" s="28" t="s">
        <v>129</v>
      </c>
      <c r="N4" s="28" t="s">
        <v>130</v>
      </c>
      <c r="O4" s="28" t="s">
        <v>131</v>
      </c>
      <c r="P4" s="28" t="s">
        <v>132</v>
      </c>
      <c r="Q4" s="28" t="s">
        <v>133</v>
      </c>
      <c r="R4" s="28" t="s">
        <v>134</v>
      </c>
      <c r="S4" s="28" t="s">
        <v>135</v>
      </c>
      <c r="T4" s="28" t="s">
        <v>136</v>
      </c>
      <c r="U4" s="28" t="s">
        <v>137</v>
      </c>
    </row>
    <row r="5" spans="1:21">
      <c r="A5" s="28" t="s">
        <v>138</v>
      </c>
      <c r="B5" s="31">
        <v>46084</v>
      </c>
      <c r="C5" s="29">
        <v>26571</v>
      </c>
      <c r="D5" s="29">
        <v>26832</v>
      </c>
      <c r="E5" s="29">
        <v>25061</v>
      </c>
      <c r="F5" s="29">
        <v>1771</v>
      </c>
      <c r="G5" s="29">
        <v>16836</v>
      </c>
      <c r="H5" s="29">
        <v>694</v>
      </c>
      <c r="I5" s="29">
        <v>199</v>
      </c>
      <c r="J5" s="29">
        <v>79</v>
      </c>
      <c r="K5" s="30">
        <v>579</v>
      </c>
      <c r="L5" s="29">
        <v>2558</v>
      </c>
      <c r="M5" s="28" t="s">
        <v>139</v>
      </c>
      <c r="N5" s="28" t="s">
        <v>140</v>
      </c>
      <c r="O5" s="28" t="s">
        <v>141</v>
      </c>
      <c r="P5" s="28" t="s">
        <v>142</v>
      </c>
      <c r="Q5" s="28" t="s">
        <v>143</v>
      </c>
      <c r="R5" s="28" t="s">
        <v>144</v>
      </c>
      <c r="S5" s="28" t="s">
        <v>145</v>
      </c>
      <c r="T5" s="28" t="s">
        <v>146</v>
      </c>
      <c r="U5" s="28" t="s">
        <v>147</v>
      </c>
    </row>
    <row r="6" spans="1:21">
      <c r="A6" s="28" t="s">
        <v>148</v>
      </c>
      <c r="B6" s="31">
        <v>46085</v>
      </c>
      <c r="C6" s="29">
        <v>26909</v>
      </c>
      <c r="D6" s="29">
        <v>27820</v>
      </c>
      <c r="E6" s="29">
        <v>25675</v>
      </c>
      <c r="F6" s="29">
        <v>2145</v>
      </c>
      <c r="G6" s="29">
        <v>16764</v>
      </c>
      <c r="H6" s="29">
        <v>829</v>
      </c>
      <c r="I6" s="29">
        <v>201</v>
      </c>
      <c r="J6" s="29">
        <v>36</v>
      </c>
      <c r="K6" s="30">
        <v>360</v>
      </c>
      <c r="L6" s="29">
        <v>2663</v>
      </c>
      <c r="M6" s="28" t="s">
        <v>149</v>
      </c>
      <c r="N6" s="28" t="s">
        <v>150</v>
      </c>
      <c r="O6" s="28" t="s">
        <v>151</v>
      </c>
      <c r="P6" s="28" t="s">
        <v>152</v>
      </c>
      <c r="Q6" s="28" t="s">
        <v>153</v>
      </c>
      <c r="R6" s="28" t="s">
        <v>154</v>
      </c>
      <c r="S6" s="28" t="s">
        <v>145</v>
      </c>
      <c r="T6" s="28" t="s">
        <v>155</v>
      </c>
      <c r="U6" s="28" t="s">
        <v>156</v>
      </c>
    </row>
    <row r="7" spans="1:21">
      <c r="A7" s="28" t="s">
        <v>157</v>
      </c>
      <c r="B7" s="31">
        <v>46086</v>
      </c>
      <c r="C7" s="29">
        <v>26396</v>
      </c>
      <c r="D7" s="29">
        <v>25586</v>
      </c>
      <c r="E7" s="29">
        <v>23809</v>
      </c>
      <c r="F7" s="29">
        <v>1777</v>
      </c>
      <c r="G7" s="29">
        <v>16741</v>
      </c>
      <c r="H7" s="29">
        <v>1055</v>
      </c>
      <c r="I7" s="29">
        <v>312</v>
      </c>
      <c r="J7" s="29">
        <v>109</v>
      </c>
      <c r="K7" s="30">
        <v>379</v>
      </c>
      <c r="L7" s="29">
        <v>2611</v>
      </c>
      <c r="M7" s="28" t="s">
        <v>158</v>
      </c>
      <c r="N7" s="28" t="s">
        <v>159</v>
      </c>
      <c r="O7" s="28" t="s">
        <v>160</v>
      </c>
      <c r="P7" s="28" t="s">
        <v>161</v>
      </c>
      <c r="Q7" s="28" t="s">
        <v>162</v>
      </c>
      <c r="R7" s="28" t="s">
        <v>163</v>
      </c>
      <c r="S7" s="28" t="s">
        <v>141</v>
      </c>
      <c r="T7" s="28" t="s">
        <v>164</v>
      </c>
      <c r="U7" s="28" t="s">
        <v>165</v>
      </c>
    </row>
    <row r="8" spans="1:21">
      <c r="A8" s="28" t="s">
        <v>166</v>
      </c>
      <c r="B8" s="31">
        <v>46087</v>
      </c>
      <c r="C8" s="29">
        <v>25699</v>
      </c>
      <c r="D8" s="29">
        <v>26194</v>
      </c>
      <c r="E8" s="29">
        <v>24315</v>
      </c>
      <c r="F8" s="29">
        <v>1879</v>
      </c>
      <c r="G8" s="29">
        <v>16315</v>
      </c>
      <c r="H8" s="29">
        <v>861</v>
      </c>
      <c r="I8" s="29">
        <v>246</v>
      </c>
      <c r="J8" s="29">
        <v>55</v>
      </c>
      <c r="K8" s="30">
        <v>314</v>
      </c>
      <c r="L8" s="29">
        <v>2652</v>
      </c>
      <c r="M8" s="28" t="s">
        <v>167</v>
      </c>
      <c r="N8" s="28" t="s">
        <v>168</v>
      </c>
      <c r="O8" s="28" t="s">
        <v>169</v>
      </c>
      <c r="P8" s="28" t="s">
        <v>170</v>
      </c>
      <c r="Q8" s="28" t="s">
        <v>171</v>
      </c>
      <c r="R8" s="28" t="s">
        <v>172</v>
      </c>
      <c r="S8" s="28" t="s">
        <v>173</v>
      </c>
      <c r="T8" s="28" t="s">
        <v>153</v>
      </c>
      <c r="U8" s="28" t="s">
        <v>174</v>
      </c>
    </row>
    <row r="9" spans="1:21">
      <c r="A9" s="28" t="s">
        <v>175</v>
      </c>
      <c r="B9" s="31">
        <v>46088</v>
      </c>
      <c r="C9" s="29">
        <v>25807</v>
      </c>
      <c r="D9" s="29">
        <v>25429</v>
      </c>
      <c r="E9" s="29">
        <v>23795</v>
      </c>
      <c r="F9" s="29">
        <v>1634</v>
      </c>
      <c r="G9" s="29">
        <v>16408</v>
      </c>
      <c r="H9" s="29">
        <v>1231</v>
      </c>
      <c r="I9" s="29">
        <v>299</v>
      </c>
      <c r="J9" s="29">
        <v>63</v>
      </c>
      <c r="K9" s="30">
        <v>308</v>
      </c>
      <c r="L9" s="29">
        <v>2409</v>
      </c>
      <c r="M9" s="28" t="s">
        <v>176</v>
      </c>
      <c r="N9" s="28" t="s">
        <v>177</v>
      </c>
      <c r="O9" s="28" t="s">
        <v>178</v>
      </c>
      <c r="P9" s="28" t="s">
        <v>179</v>
      </c>
      <c r="Q9" s="28" t="s">
        <v>180</v>
      </c>
      <c r="R9" s="28" t="s">
        <v>181</v>
      </c>
      <c r="S9" s="28" t="s">
        <v>182</v>
      </c>
      <c r="T9" s="28" t="s">
        <v>183</v>
      </c>
      <c r="U9" s="28" t="s">
        <v>184</v>
      </c>
    </row>
    <row r="10" spans="1:21">
      <c r="A10" s="28" t="s">
        <v>185</v>
      </c>
      <c r="B10" s="31">
        <v>46089</v>
      </c>
      <c r="C10" s="29">
        <v>25673</v>
      </c>
      <c r="D10" s="29">
        <v>25641</v>
      </c>
      <c r="E10" s="29">
        <v>23989</v>
      </c>
      <c r="F10" s="29">
        <v>1652</v>
      </c>
      <c r="G10" s="29">
        <v>16285</v>
      </c>
      <c r="H10" s="29">
        <v>1462</v>
      </c>
      <c r="I10" s="29">
        <v>671</v>
      </c>
      <c r="J10" s="29">
        <v>101</v>
      </c>
      <c r="K10" s="30">
        <v>314</v>
      </c>
      <c r="L10" s="29">
        <v>2351</v>
      </c>
      <c r="M10" s="28" t="s">
        <v>186</v>
      </c>
      <c r="N10" s="28" t="s">
        <v>187</v>
      </c>
      <c r="O10" s="28" t="s">
        <v>140</v>
      </c>
      <c r="P10" s="28" t="s">
        <v>188</v>
      </c>
      <c r="Q10" s="28" t="s">
        <v>189</v>
      </c>
      <c r="R10" s="28" t="s">
        <v>190</v>
      </c>
      <c r="S10" s="28" t="s">
        <v>144</v>
      </c>
      <c r="T10" s="28" t="s">
        <v>191</v>
      </c>
      <c r="U10" s="28" t="s">
        <v>192</v>
      </c>
    </row>
    <row r="11" spans="1:21">
      <c r="A11" s="28" t="s">
        <v>193</v>
      </c>
      <c r="B11" s="31">
        <v>46090</v>
      </c>
      <c r="C11" s="29">
        <v>24047</v>
      </c>
      <c r="D11" s="29">
        <v>25268</v>
      </c>
      <c r="E11" s="29">
        <v>23477</v>
      </c>
      <c r="F11" s="29">
        <v>1791</v>
      </c>
      <c r="G11" s="29">
        <v>15677</v>
      </c>
      <c r="H11" s="29">
        <v>1084</v>
      </c>
      <c r="I11" s="29">
        <v>612</v>
      </c>
      <c r="J11" s="29">
        <v>131</v>
      </c>
      <c r="K11" s="30">
        <v>361</v>
      </c>
      <c r="L11" s="29">
        <v>2161</v>
      </c>
      <c r="M11" s="28" t="s">
        <v>194</v>
      </c>
      <c r="N11" s="28" t="s">
        <v>188</v>
      </c>
      <c r="O11" s="28" t="s">
        <v>195</v>
      </c>
      <c r="P11" s="28" t="s">
        <v>196</v>
      </c>
      <c r="Q11" s="28" t="s">
        <v>197</v>
      </c>
      <c r="R11" s="28" t="s">
        <v>198</v>
      </c>
      <c r="S11" s="28" t="s">
        <v>199</v>
      </c>
      <c r="T11" s="28" t="s">
        <v>200</v>
      </c>
      <c r="U11" s="28" t="s">
        <v>201</v>
      </c>
    </row>
    <row r="12" spans="1:21">
      <c r="A12" s="28" t="s">
        <v>202</v>
      </c>
      <c r="B12" s="31">
        <v>46091</v>
      </c>
      <c r="C12" s="29">
        <v>23274</v>
      </c>
      <c r="D12" s="29">
        <v>23697</v>
      </c>
      <c r="E12" s="29">
        <v>22078</v>
      </c>
      <c r="F12" s="29">
        <v>1619</v>
      </c>
      <c r="G12" s="29">
        <v>15162</v>
      </c>
      <c r="H12" s="29">
        <v>700</v>
      </c>
      <c r="I12" s="29">
        <v>253</v>
      </c>
      <c r="J12" s="29">
        <v>88</v>
      </c>
      <c r="K12" s="30">
        <v>371</v>
      </c>
      <c r="L12" s="29">
        <v>1990</v>
      </c>
      <c r="M12" s="28" t="s">
        <v>203</v>
      </c>
      <c r="N12" s="28" t="s">
        <v>204</v>
      </c>
      <c r="O12" s="28" t="s">
        <v>205</v>
      </c>
      <c r="P12" s="28" t="s">
        <v>206</v>
      </c>
      <c r="Q12" s="28" t="s">
        <v>207</v>
      </c>
      <c r="R12" s="28" t="s">
        <v>208</v>
      </c>
      <c r="S12" s="28" t="s">
        <v>209</v>
      </c>
      <c r="T12" s="28" t="s">
        <v>180</v>
      </c>
      <c r="U12" s="28" t="s">
        <v>210</v>
      </c>
    </row>
    <row r="13" spans="1:21">
      <c r="A13" s="28" t="s">
        <v>211</v>
      </c>
      <c r="B13" s="31">
        <v>46092</v>
      </c>
      <c r="C13" s="29">
        <v>22313</v>
      </c>
      <c r="D13" s="29">
        <v>22485</v>
      </c>
      <c r="E13" s="29">
        <v>21114</v>
      </c>
      <c r="F13" s="29">
        <v>1371</v>
      </c>
      <c r="G13" s="29">
        <v>14665</v>
      </c>
      <c r="H13" s="29">
        <v>804</v>
      </c>
      <c r="I13" s="29">
        <v>234</v>
      </c>
      <c r="J13" s="29">
        <v>167</v>
      </c>
      <c r="K13" s="30">
        <v>496</v>
      </c>
      <c r="L13" s="29">
        <v>1846</v>
      </c>
      <c r="M13" s="28" t="s">
        <v>212</v>
      </c>
      <c r="N13" s="28" t="s">
        <v>213</v>
      </c>
      <c r="O13" s="28" t="s">
        <v>214</v>
      </c>
      <c r="P13" s="28" t="s">
        <v>215</v>
      </c>
      <c r="Q13" s="28" t="s">
        <v>125</v>
      </c>
      <c r="R13" s="28" t="s">
        <v>216</v>
      </c>
      <c r="S13" s="28" t="s">
        <v>135</v>
      </c>
      <c r="T13" s="28" t="s">
        <v>145</v>
      </c>
      <c r="U13" s="28" t="s">
        <v>217</v>
      </c>
    </row>
    <row r="14" spans="1:21">
      <c r="A14" s="28" t="s">
        <v>218</v>
      </c>
      <c r="B14" s="31">
        <v>46093</v>
      </c>
      <c r="C14" s="29">
        <v>22926</v>
      </c>
      <c r="D14" s="29">
        <v>22920</v>
      </c>
      <c r="E14" s="29">
        <v>21554</v>
      </c>
      <c r="F14" s="29">
        <v>1366</v>
      </c>
      <c r="G14" s="29">
        <v>15102</v>
      </c>
      <c r="H14" s="29">
        <v>745</v>
      </c>
      <c r="I14" s="29">
        <v>162</v>
      </c>
      <c r="J14" s="29">
        <v>48</v>
      </c>
      <c r="K14" s="30">
        <v>263</v>
      </c>
      <c r="L14" s="29">
        <v>2006</v>
      </c>
      <c r="M14" s="28" t="s">
        <v>219</v>
      </c>
      <c r="N14" s="28" t="s">
        <v>220</v>
      </c>
      <c r="O14" s="28" t="s">
        <v>221</v>
      </c>
      <c r="P14" s="28" t="s">
        <v>222</v>
      </c>
      <c r="Q14" s="28" t="s">
        <v>223</v>
      </c>
      <c r="R14" s="28" t="s">
        <v>224</v>
      </c>
      <c r="S14" s="28" t="s">
        <v>225</v>
      </c>
      <c r="T14" s="28" t="s">
        <v>153</v>
      </c>
      <c r="U14" s="28" t="s">
        <v>226</v>
      </c>
    </row>
    <row r="15" spans="1:21">
      <c r="A15" s="28" t="s">
        <v>227</v>
      </c>
      <c r="B15" s="31">
        <v>46094</v>
      </c>
      <c r="C15" s="29">
        <v>23842</v>
      </c>
      <c r="D15" s="29">
        <v>23070</v>
      </c>
      <c r="E15" s="29">
        <v>21792</v>
      </c>
      <c r="F15" s="29">
        <v>1278</v>
      </c>
      <c r="G15" s="29">
        <v>16237</v>
      </c>
      <c r="H15" s="29">
        <v>952</v>
      </c>
      <c r="I15" s="29">
        <v>90</v>
      </c>
      <c r="J15" s="29">
        <v>-26</v>
      </c>
      <c r="K15" s="30">
        <v>198</v>
      </c>
      <c r="L15" s="29">
        <v>2207</v>
      </c>
      <c r="M15" s="28" t="s">
        <v>228</v>
      </c>
      <c r="N15" s="28" t="s">
        <v>229</v>
      </c>
      <c r="O15" s="28" t="s">
        <v>230</v>
      </c>
      <c r="P15" s="28" t="s">
        <v>231</v>
      </c>
      <c r="Q15" s="28" t="s">
        <v>232</v>
      </c>
      <c r="R15" s="28" t="s">
        <v>233</v>
      </c>
      <c r="S15" s="28" t="s">
        <v>180</v>
      </c>
      <c r="T15" s="28" t="s">
        <v>234</v>
      </c>
      <c r="U15" s="28" t="s">
        <v>235</v>
      </c>
    </row>
    <row r="16" spans="1:21">
      <c r="A16" s="28" t="s">
        <v>236</v>
      </c>
      <c r="B16" s="31">
        <v>46095</v>
      </c>
      <c r="C16" s="29">
        <v>26087</v>
      </c>
      <c r="D16" s="29">
        <v>25154</v>
      </c>
      <c r="E16" s="29">
        <v>23541</v>
      </c>
      <c r="F16" s="29">
        <v>1613</v>
      </c>
      <c r="G16" s="29">
        <v>17388</v>
      </c>
      <c r="H16" s="29">
        <v>1859</v>
      </c>
      <c r="I16" s="29">
        <v>883</v>
      </c>
      <c r="J16" s="29">
        <v>264</v>
      </c>
      <c r="K16" s="30">
        <v>613</v>
      </c>
      <c r="L16" s="29">
        <v>2155</v>
      </c>
      <c r="M16" s="28" t="s">
        <v>237</v>
      </c>
      <c r="N16" s="28" t="s">
        <v>238</v>
      </c>
      <c r="O16" s="28" t="s">
        <v>239</v>
      </c>
      <c r="P16" s="28" t="s">
        <v>240</v>
      </c>
      <c r="Q16" s="28" t="s">
        <v>241</v>
      </c>
      <c r="R16" s="28" t="s">
        <v>242</v>
      </c>
      <c r="S16" s="28" t="s">
        <v>243</v>
      </c>
      <c r="T16" s="28" t="s">
        <v>244</v>
      </c>
      <c r="U16" s="28" t="s">
        <v>245</v>
      </c>
    </row>
    <row r="17" spans="1:21">
      <c r="A17" s="28" t="s">
        <v>246</v>
      </c>
      <c r="B17" s="31">
        <v>46096</v>
      </c>
      <c r="C17" s="29">
        <v>25881</v>
      </c>
      <c r="D17" s="29">
        <v>26949</v>
      </c>
      <c r="E17" s="29">
        <v>25178</v>
      </c>
      <c r="F17" s="29">
        <v>1771</v>
      </c>
      <c r="G17" s="29">
        <v>17607</v>
      </c>
      <c r="H17" s="29">
        <v>1747</v>
      </c>
      <c r="I17" s="29">
        <v>646</v>
      </c>
      <c r="J17" s="29">
        <v>326</v>
      </c>
      <c r="K17" s="30">
        <v>744</v>
      </c>
      <c r="L17" s="29">
        <v>2165</v>
      </c>
      <c r="M17" s="28" t="s">
        <v>247</v>
      </c>
      <c r="N17" s="28" t="s">
        <v>248</v>
      </c>
      <c r="O17" s="28" t="s">
        <v>249</v>
      </c>
      <c r="P17" s="28" t="s">
        <v>250</v>
      </c>
      <c r="Q17" s="28" t="s">
        <v>121</v>
      </c>
      <c r="R17" s="28" t="s">
        <v>251</v>
      </c>
      <c r="S17" s="28" t="s">
        <v>252</v>
      </c>
      <c r="T17" s="28" t="s">
        <v>253</v>
      </c>
      <c r="U17" s="28" t="s">
        <v>254</v>
      </c>
    </row>
    <row r="18" spans="1:21">
      <c r="A18" s="28" t="s">
        <v>255</v>
      </c>
      <c r="B18" s="31">
        <v>46097</v>
      </c>
      <c r="C18" s="29">
        <v>25573</v>
      </c>
      <c r="D18" s="29">
        <v>24452</v>
      </c>
      <c r="E18" s="29">
        <v>22993</v>
      </c>
      <c r="F18" s="29">
        <v>1459</v>
      </c>
      <c r="G18" s="29">
        <v>17604</v>
      </c>
      <c r="H18" s="29">
        <v>1678</v>
      </c>
      <c r="I18" s="29">
        <v>995</v>
      </c>
      <c r="J18" s="29">
        <v>732</v>
      </c>
      <c r="K18" s="30">
        <v>1081</v>
      </c>
      <c r="L18" s="29">
        <v>1976</v>
      </c>
      <c r="M18" s="28" t="s">
        <v>256</v>
      </c>
      <c r="N18" s="28" t="s">
        <v>257</v>
      </c>
      <c r="O18" s="28" t="s">
        <v>258</v>
      </c>
      <c r="P18" s="28" t="s">
        <v>259</v>
      </c>
      <c r="Q18" s="28" t="s">
        <v>260</v>
      </c>
      <c r="R18" s="28" t="s">
        <v>261</v>
      </c>
      <c r="S18" s="28" t="s">
        <v>262</v>
      </c>
      <c r="T18" s="28" t="s">
        <v>263</v>
      </c>
      <c r="U18" s="28" t="s">
        <v>264</v>
      </c>
    </row>
    <row r="19" spans="1:21">
      <c r="A19" s="28" t="s">
        <v>265</v>
      </c>
      <c r="B19" s="31">
        <v>46098</v>
      </c>
      <c r="C19" s="29">
        <v>23226</v>
      </c>
      <c r="D19" s="29">
        <v>24476</v>
      </c>
      <c r="E19" s="29">
        <v>22871</v>
      </c>
      <c r="F19" s="29">
        <v>1605</v>
      </c>
      <c r="G19" s="29">
        <v>15957</v>
      </c>
      <c r="H19" s="29">
        <v>1339</v>
      </c>
      <c r="I19" s="29">
        <v>809</v>
      </c>
      <c r="J19" s="29">
        <v>731</v>
      </c>
      <c r="K19" s="30">
        <v>1210</v>
      </c>
      <c r="L19" s="29">
        <v>1833</v>
      </c>
      <c r="M19" s="28" t="s">
        <v>266</v>
      </c>
      <c r="N19" s="28" t="s">
        <v>267</v>
      </c>
      <c r="O19" s="28" t="s">
        <v>268</v>
      </c>
      <c r="P19" s="28" t="s">
        <v>269</v>
      </c>
      <c r="Q19" s="28" t="s">
        <v>270</v>
      </c>
      <c r="R19" s="28" t="s">
        <v>271</v>
      </c>
      <c r="S19" s="28" t="s">
        <v>272</v>
      </c>
      <c r="T19" s="28" t="s">
        <v>273</v>
      </c>
      <c r="U19" s="28" t="s">
        <v>274</v>
      </c>
    </row>
    <row r="20" spans="1:21">
      <c r="A20" s="28" t="s">
        <v>275</v>
      </c>
      <c r="B20" s="31">
        <v>46099</v>
      </c>
      <c r="C20" s="29">
        <v>22047</v>
      </c>
      <c r="D20" s="29">
        <v>23046</v>
      </c>
      <c r="E20" s="29">
        <v>21445</v>
      </c>
      <c r="F20" s="29">
        <v>1601</v>
      </c>
      <c r="G20" s="29">
        <v>15258</v>
      </c>
      <c r="H20" s="29">
        <v>1327</v>
      </c>
      <c r="I20" s="29">
        <v>987</v>
      </c>
      <c r="J20" s="29">
        <v>549</v>
      </c>
      <c r="K20" s="30">
        <v>1004</v>
      </c>
      <c r="L20" s="29">
        <v>1683</v>
      </c>
      <c r="M20" s="28" t="s">
        <v>276</v>
      </c>
      <c r="N20" s="28" t="s">
        <v>277</v>
      </c>
      <c r="O20" s="28" t="s">
        <v>278</v>
      </c>
      <c r="P20" s="28" t="s">
        <v>279</v>
      </c>
      <c r="Q20" s="28" t="s">
        <v>216</v>
      </c>
      <c r="R20" s="28" t="s">
        <v>280</v>
      </c>
      <c r="S20" s="28" t="s">
        <v>281</v>
      </c>
      <c r="T20" s="28" t="s">
        <v>282</v>
      </c>
      <c r="U20" s="28" t="s">
        <v>283</v>
      </c>
    </row>
    <row r="21" spans="1:21">
      <c r="A21" s="28" t="s">
        <v>284</v>
      </c>
      <c r="B21" s="31">
        <v>46100</v>
      </c>
      <c r="C21" s="29">
        <v>22685</v>
      </c>
      <c r="D21" s="29">
        <v>22213</v>
      </c>
      <c r="E21" s="29">
        <v>20772</v>
      </c>
      <c r="F21" s="29">
        <v>1441</v>
      </c>
      <c r="G21" s="29">
        <v>15765</v>
      </c>
      <c r="H21" s="29">
        <v>1188</v>
      </c>
      <c r="I21" s="29">
        <v>758</v>
      </c>
      <c r="J21" s="29">
        <v>658</v>
      </c>
      <c r="K21" s="30">
        <v>1304</v>
      </c>
      <c r="L21" s="29">
        <v>1647</v>
      </c>
      <c r="M21" s="28" t="s">
        <v>285</v>
      </c>
      <c r="N21" s="28" t="s">
        <v>286</v>
      </c>
      <c r="O21" s="28" t="s">
        <v>287</v>
      </c>
      <c r="P21" s="28" t="s">
        <v>288</v>
      </c>
      <c r="Q21" s="28" t="s">
        <v>289</v>
      </c>
      <c r="R21" s="28" t="s">
        <v>290</v>
      </c>
      <c r="S21" s="28" t="s">
        <v>291</v>
      </c>
      <c r="T21" s="28" t="s">
        <v>292</v>
      </c>
      <c r="U21" s="28" t="s">
        <v>293</v>
      </c>
    </row>
    <row r="22" spans="1:21">
      <c r="A22" s="28" t="s">
        <v>294</v>
      </c>
      <c r="B22" s="31">
        <v>46101</v>
      </c>
      <c r="C22" s="29">
        <v>22496</v>
      </c>
      <c r="D22" s="29">
        <v>22421</v>
      </c>
      <c r="E22" s="29">
        <v>20905</v>
      </c>
      <c r="F22" s="29">
        <v>1516</v>
      </c>
      <c r="G22" s="29">
        <v>15607</v>
      </c>
      <c r="H22" s="29">
        <v>1547</v>
      </c>
      <c r="I22" s="29">
        <v>921</v>
      </c>
      <c r="J22" s="29">
        <v>838</v>
      </c>
      <c r="K22" s="30">
        <v>1391</v>
      </c>
      <c r="L22" s="29">
        <v>1601</v>
      </c>
      <c r="M22" s="28" t="s">
        <v>295</v>
      </c>
      <c r="N22" s="28" t="s">
        <v>296</v>
      </c>
      <c r="O22" s="28" t="s">
        <v>297</v>
      </c>
      <c r="P22" s="28" t="s">
        <v>298</v>
      </c>
      <c r="Q22" s="28" t="s">
        <v>299</v>
      </c>
      <c r="R22" s="28" t="s">
        <v>300</v>
      </c>
      <c r="S22" s="28" t="s">
        <v>301</v>
      </c>
      <c r="T22" s="28" t="s">
        <v>302</v>
      </c>
      <c r="U22" s="28" t="s">
        <v>303</v>
      </c>
    </row>
    <row r="23" spans="1:21">
      <c r="A23" s="28" t="s">
        <v>304</v>
      </c>
      <c r="B23" s="31">
        <v>46102</v>
      </c>
      <c r="C23" s="29">
        <v>23148</v>
      </c>
      <c r="D23" s="29">
        <v>22126</v>
      </c>
      <c r="E23" s="29">
        <v>20885</v>
      </c>
      <c r="F23" s="29">
        <v>1241</v>
      </c>
      <c r="G23" s="29">
        <v>16516</v>
      </c>
      <c r="H23" s="29">
        <v>1947</v>
      </c>
      <c r="I23" s="29">
        <v>1043</v>
      </c>
      <c r="J23" s="29">
        <v>662</v>
      </c>
      <c r="K23" s="30">
        <v>1390</v>
      </c>
      <c r="L23" s="29">
        <v>1469</v>
      </c>
      <c r="M23" s="28" t="s">
        <v>305</v>
      </c>
      <c r="N23" s="28" t="s">
        <v>306</v>
      </c>
      <c r="O23" s="28" t="s">
        <v>307</v>
      </c>
      <c r="P23" s="28" t="s">
        <v>308</v>
      </c>
      <c r="Q23" s="28" t="s">
        <v>309</v>
      </c>
      <c r="R23" s="28" t="s">
        <v>310</v>
      </c>
      <c r="S23" s="28" t="s">
        <v>198</v>
      </c>
      <c r="T23" s="28" t="s">
        <v>263</v>
      </c>
      <c r="U23" s="28" t="s">
        <v>311</v>
      </c>
    </row>
    <row r="24" spans="1:21">
      <c r="A24" s="28" t="s">
        <v>312</v>
      </c>
      <c r="B24" s="31">
        <v>46103</v>
      </c>
      <c r="C24" s="29">
        <v>27834</v>
      </c>
      <c r="D24" s="29">
        <v>26169</v>
      </c>
      <c r="E24" s="29">
        <v>24493</v>
      </c>
      <c r="F24" s="29">
        <v>1676</v>
      </c>
      <c r="G24" s="29">
        <v>20349</v>
      </c>
      <c r="H24" s="29">
        <v>3346</v>
      </c>
      <c r="I24" s="29">
        <v>2189</v>
      </c>
      <c r="J24" s="29">
        <v>863</v>
      </c>
      <c r="K24" s="30">
        <v>1492</v>
      </c>
      <c r="L24" s="29">
        <v>1755</v>
      </c>
      <c r="M24" s="28" t="s">
        <v>313</v>
      </c>
      <c r="N24" s="28" t="s">
        <v>314</v>
      </c>
      <c r="O24" s="28" t="s">
        <v>315</v>
      </c>
      <c r="P24" s="28" t="s">
        <v>316</v>
      </c>
      <c r="Q24" s="28" t="s">
        <v>317</v>
      </c>
      <c r="R24" s="28" t="s">
        <v>318</v>
      </c>
      <c r="S24" s="28" t="s">
        <v>319</v>
      </c>
      <c r="T24" s="28" t="s">
        <v>320</v>
      </c>
      <c r="U24" s="28" t="s">
        <v>321</v>
      </c>
    </row>
    <row r="25" spans="1:21">
      <c r="A25" s="28" t="s">
        <v>322</v>
      </c>
      <c r="B25" s="31">
        <v>46104</v>
      </c>
      <c r="C25" s="29">
        <v>22153</v>
      </c>
      <c r="D25" s="29">
        <v>17683</v>
      </c>
      <c r="E25" s="29">
        <v>16419</v>
      </c>
      <c r="F25" s="29">
        <v>1264</v>
      </c>
      <c r="G25" s="29">
        <v>15962</v>
      </c>
      <c r="H25" s="29">
        <v>2315</v>
      </c>
      <c r="I25" s="29">
        <v>2183</v>
      </c>
      <c r="J25" s="29">
        <v>2371</v>
      </c>
      <c r="K25" s="30">
        <v>3506</v>
      </c>
      <c r="L25" s="29">
        <v>1416</v>
      </c>
      <c r="M25" s="28" t="s">
        <v>323</v>
      </c>
      <c r="N25" s="28" t="s">
        <v>324</v>
      </c>
      <c r="O25" s="28" t="s">
        <v>325</v>
      </c>
      <c r="P25" s="28" t="s">
        <v>326</v>
      </c>
      <c r="Q25" s="28" t="s">
        <v>327</v>
      </c>
      <c r="R25" s="28" t="s">
        <v>328</v>
      </c>
      <c r="S25" s="28" t="s">
        <v>329</v>
      </c>
      <c r="T25" s="28" t="s">
        <v>330</v>
      </c>
      <c r="U25" s="28" t="s">
        <v>331</v>
      </c>
    </row>
    <row r="26" spans="1:21">
      <c r="A26" s="28" t="s">
        <v>332</v>
      </c>
      <c r="B26" s="31">
        <v>46105</v>
      </c>
      <c r="C26" s="29">
        <v>20777</v>
      </c>
      <c r="D26" s="29">
        <v>26633</v>
      </c>
      <c r="E26" s="29">
        <v>24686</v>
      </c>
      <c r="F26" s="29">
        <v>1947</v>
      </c>
      <c r="G26" s="29">
        <v>15194</v>
      </c>
      <c r="H26" s="29">
        <v>1947</v>
      </c>
      <c r="I26" s="29">
        <v>1950</v>
      </c>
      <c r="J26" s="29">
        <v>4327</v>
      </c>
      <c r="K26" s="30">
        <v>6162</v>
      </c>
      <c r="L26" s="29">
        <v>1263</v>
      </c>
      <c r="M26" s="28" t="s">
        <v>333</v>
      </c>
      <c r="N26" s="28" t="s">
        <v>334</v>
      </c>
      <c r="O26" s="28" t="s">
        <v>335</v>
      </c>
      <c r="P26" s="28" t="s">
        <v>336</v>
      </c>
      <c r="Q26" s="28" t="s">
        <v>337</v>
      </c>
      <c r="R26" s="28" t="s">
        <v>338</v>
      </c>
      <c r="S26" s="28" t="s">
        <v>339</v>
      </c>
      <c r="T26" s="28" t="s">
        <v>340</v>
      </c>
      <c r="U26" s="28" t="s">
        <v>341</v>
      </c>
    </row>
    <row r="27" spans="1:21">
      <c r="A27" s="28" t="s">
        <v>342</v>
      </c>
      <c r="B27" s="31">
        <v>46106</v>
      </c>
      <c r="C27" s="29">
        <v>19992</v>
      </c>
      <c r="D27" s="29">
        <v>21385</v>
      </c>
      <c r="E27" s="29">
        <v>19917</v>
      </c>
      <c r="F27" s="29">
        <v>1468</v>
      </c>
      <c r="G27" s="29">
        <v>14851</v>
      </c>
      <c r="H27" s="29">
        <v>503</v>
      </c>
      <c r="I27" s="29">
        <v>116</v>
      </c>
      <c r="J27" s="29">
        <v>137</v>
      </c>
      <c r="K27" s="30">
        <v>447</v>
      </c>
      <c r="L27" s="29">
        <v>1124</v>
      </c>
      <c r="M27" s="28" t="s">
        <v>343</v>
      </c>
      <c r="N27" s="28" t="s">
        <v>344</v>
      </c>
      <c r="O27" s="28" t="s">
        <v>345</v>
      </c>
      <c r="P27" s="28" t="s">
        <v>346</v>
      </c>
      <c r="Q27" s="28" t="s">
        <v>347</v>
      </c>
      <c r="R27" s="28" t="s">
        <v>348</v>
      </c>
      <c r="S27" s="28" t="s">
        <v>207</v>
      </c>
      <c r="T27" s="28" t="s">
        <v>349</v>
      </c>
      <c r="U27" s="28" t="s">
        <v>350</v>
      </c>
    </row>
    <row r="28" spans="1:21">
      <c r="A28" s="28" t="s">
        <v>351</v>
      </c>
      <c r="B28" s="31">
        <v>46107</v>
      </c>
      <c r="C28" s="29">
        <v>20985</v>
      </c>
      <c r="D28" s="29">
        <v>20774</v>
      </c>
      <c r="E28" s="29">
        <v>19438</v>
      </c>
      <c r="F28" s="29">
        <v>1336</v>
      </c>
      <c r="G28" s="29">
        <v>15515</v>
      </c>
      <c r="H28" s="29">
        <v>744</v>
      </c>
      <c r="I28" s="29">
        <v>105</v>
      </c>
      <c r="J28" s="29">
        <v>54</v>
      </c>
      <c r="K28" s="30">
        <v>351</v>
      </c>
      <c r="L28" s="29">
        <v>1200</v>
      </c>
      <c r="M28" s="28" t="s">
        <v>352</v>
      </c>
      <c r="N28" s="28" t="s">
        <v>353</v>
      </c>
      <c r="O28" s="28" t="s">
        <v>354</v>
      </c>
      <c r="P28" s="28" t="s">
        <v>355</v>
      </c>
      <c r="Q28" s="28" t="s">
        <v>356</v>
      </c>
      <c r="R28" s="28" t="s">
        <v>357</v>
      </c>
      <c r="S28" s="28" t="s">
        <v>358</v>
      </c>
      <c r="T28" s="28" t="s">
        <v>359</v>
      </c>
      <c r="U28" s="28" t="s">
        <v>360</v>
      </c>
    </row>
    <row r="29" spans="1:21">
      <c r="A29" s="28" t="s">
        <v>361</v>
      </c>
      <c r="B29" s="31">
        <v>46108</v>
      </c>
      <c r="C29" s="29">
        <v>19576</v>
      </c>
      <c r="D29" s="29">
        <v>21157</v>
      </c>
      <c r="E29" s="29">
        <v>19914</v>
      </c>
      <c r="F29" s="29">
        <v>1243</v>
      </c>
      <c r="G29" s="29">
        <v>14870</v>
      </c>
      <c r="H29" s="29">
        <v>730</v>
      </c>
      <c r="I29" s="29">
        <v>235</v>
      </c>
      <c r="J29" s="29">
        <v>105</v>
      </c>
      <c r="K29" s="30">
        <v>576</v>
      </c>
      <c r="L29" s="29">
        <v>1051</v>
      </c>
      <c r="M29" s="28" t="s">
        <v>362</v>
      </c>
      <c r="N29" s="28" t="s">
        <v>363</v>
      </c>
      <c r="O29" s="28" t="s">
        <v>364</v>
      </c>
      <c r="P29" s="28" t="s">
        <v>365</v>
      </c>
      <c r="Q29" s="28" t="s">
        <v>225</v>
      </c>
      <c r="R29" s="28" t="s">
        <v>302</v>
      </c>
      <c r="S29" s="28" t="s">
        <v>151</v>
      </c>
      <c r="T29" s="28" t="s">
        <v>200</v>
      </c>
      <c r="U29" s="28" t="s">
        <v>366</v>
      </c>
    </row>
    <row r="30" spans="1:21">
      <c r="A30" s="28" t="s">
        <v>367</v>
      </c>
      <c r="B30" s="31">
        <v>46109</v>
      </c>
      <c r="C30" s="29">
        <v>20107</v>
      </c>
      <c r="D30" s="29">
        <v>19009</v>
      </c>
      <c r="E30" s="29">
        <v>17917</v>
      </c>
      <c r="F30" s="29">
        <v>1092</v>
      </c>
      <c r="G30" s="29">
        <v>15260</v>
      </c>
      <c r="H30" s="29">
        <v>920</v>
      </c>
      <c r="I30" s="29">
        <v>220</v>
      </c>
      <c r="J30" s="29">
        <v>93</v>
      </c>
      <c r="K30" s="30">
        <v>460</v>
      </c>
      <c r="L30" s="29">
        <v>821</v>
      </c>
      <c r="M30" s="28" t="s">
        <v>368</v>
      </c>
      <c r="N30" s="28" t="s">
        <v>369</v>
      </c>
      <c r="O30" s="28" t="s">
        <v>370</v>
      </c>
      <c r="P30" s="28" t="s">
        <v>371</v>
      </c>
      <c r="Q30" s="28" t="s">
        <v>372</v>
      </c>
      <c r="R30" s="28" t="s">
        <v>270</v>
      </c>
      <c r="S30" s="28" t="s">
        <v>209</v>
      </c>
      <c r="T30" s="28" t="s">
        <v>373</v>
      </c>
      <c r="U30" s="28" t="s">
        <v>374</v>
      </c>
    </row>
    <row r="31" spans="1:21">
      <c r="A31" s="28" t="s">
        <v>375</v>
      </c>
      <c r="B31" s="31">
        <v>46110</v>
      </c>
      <c r="C31" s="29">
        <v>20757</v>
      </c>
      <c r="D31" s="29">
        <v>20783</v>
      </c>
      <c r="E31" s="29">
        <v>19569</v>
      </c>
      <c r="F31" s="29">
        <v>1214</v>
      </c>
      <c r="G31" s="29">
        <v>16187</v>
      </c>
      <c r="H31" s="29">
        <v>1108</v>
      </c>
      <c r="I31" s="29">
        <v>265</v>
      </c>
      <c r="J31" s="29">
        <v>42</v>
      </c>
      <c r="K31" s="30">
        <v>243</v>
      </c>
      <c r="L31" s="29">
        <v>834</v>
      </c>
      <c r="M31" s="28" t="s">
        <v>376</v>
      </c>
      <c r="N31" s="28" t="s">
        <v>377</v>
      </c>
      <c r="O31" s="28" t="s">
        <v>378</v>
      </c>
      <c r="P31" s="28" t="s">
        <v>379</v>
      </c>
      <c r="Q31" s="28" t="s">
        <v>359</v>
      </c>
      <c r="R31" s="28" t="s">
        <v>380</v>
      </c>
      <c r="S31" s="28" t="s">
        <v>123</v>
      </c>
      <c r="T31" s="28" t="s">
        <v>381</v>
      </c>
      <c r="U31" s="28" t="s">
        <v>382</v>
      </c>
    </row>
    <row r="32" spans="1:21">
      <c r="A32" s="28" t="s">
        <v>383</v>
      </c>
      <c r="B32" s="31">
        <v>46111</v>
      </c>
      <c r="C32" s="29">
        <v>19417</v>
      </c>
      <c r="D32" s="29">
        <v>20190</v>
      </c>
      <c r="E32" s="29">
        <v>18771</v>
      </c>
      <c r="F32" s="29">
        <v>1419</v>
      </c>
      <c r="G32" s="29">
        <v>15549</v>
      </c>
      <c r="H32" s="29">
        <v>1344</v>
      </c>
      <c r="I32" s="29">
        <v>1008</v>
      </c>
      <c r="J32" s="29">
        <v>1245</v>
      </c>
      <c r="K32" s="30">
        <v>3633</v>
      </c>
      <c r="L32" s="29">
        <v>597</v>
      </c>
      <c r="M32" s="28" t="s">
        <v>384</v>
      </c>
      <c r="N32" s="28" t="s">
        <v>385</v>
      </c>
      <c r="O32" s="28" t="s">
        <v>120</v>
      </c>
      <c r="P32" s="28" t="s">
        <v>386</v>
      </c>
      <c r="Q32" s="28" t="s">
        <v>387</v>
      </c>
      <c r="R32" s="28" t="s">
        <v>388</v>
      </c>
      <c r="S32" s="28" t="s">
        <v>389</v>
      </c>
      <c r="T32" s="28" t="s">
        <v>390</v>
      </c>
      <c r="U32" s="28" t="s">
        <v>391</v>
      </c>
    </row>
    <row r="33" spans="1:21">
      <c r="A33" s="28" t="s">
        <v>392</v>
      </c>
      <c r="B33" s="31">
        <v>46112</v>
      </c>
      <c r="C33" s="29">
        <v>17722</v>
      </c>
      <c r="D33" s="29">
        <v>17755</v>
      </c>
      <c r="E33" s="29">
        <v>16535</v>
      </c>
      <c r="F33" s="29">
        <v>1220</v>
      </c>
      <c r="G33" s="29">
        <v>14502</v>
      </c>
      <c r="H33" s="29">
        <v>2207</v>
      </c>
      <c r="I33" s="29">
        <v>2287</v>
      </c>
      <c r="J33" s="29">
        <v>2288</v>
      </c>
      <c r="K33" s="30">
        <v>6861</v>
      </c>
      <c r="L33" s="29">
        <v>380</v>
      </c>
      <c r="M33" s="28" t="s">
        <v>393</v>
      </c>
      <c r="N33" s="28" t="s">
        <v>394</v>
      </c>
      <c r="O33" s="28" t="s">
        <v>395</v>
      </c>
      <c r="P33" s="28" t="s">
        <v>396</v>
      </c>
      <c r="Q33" s="28" t="s">
        <v>397</v>
      </c>
      <c r="R33" s="28" t="s">
        <v>398</v>
      </c>
      <c r="S33" s="28" t="s">
        <v>399</v>
      </c>
      <c r="T33" s="28" t="s">
        <v>400</v>
      </c>
      <c r="U33" s="28" t="s">
        <v>401</v>
      </c>
    </row>
    <row r="34" spans="1:21">
      <c r="A34" s="28" t="s">
        <v>402</v>
      </c>
      <c r="B34" s="31">
        <v>46113</v>
      </c>
      <c r="C34" s="29">
        <v>16985</v>
      </c>
      <c r="D34" s="29">
        <v>17373</v>
      </c>
      <c r="E34" s="29">
        <v>16321</v>
      </c>
      <c r="F34" s="29">
        <v>1052</v>
      </c>
      <c r="G34" s="29">
        <v>10481</v>
      </c>
      <c r="H34" s="29">
        <v>412</v>
      </c>
      <c r="I34" s="29">
        <v>44</v>
      </c>
      <c r="J34" s="29">
        <v>25</v>
      </c>
      <c r="K34" s="30">
        <v>344</v>
      </c>
      <c r="L34" s="29">
        <v>1562</v>
      </c>
      <c r="M34" s="28" t="s">
        <v>403</v>
      </c>
      <c r="N34" s="28" t="s">
        <v>404</v>
      </c>
      <c r="O34" s="28" t="s">
        <v>405</v>
      </c>
      <c r="P34" s="28" t="s">
        <v>406</v>
      </c>
      <c r="Q34" s="28" t="s">
        <v>183</v>
      </c>
      <c r="R34" s="28" t="s">
        <v>407</v>
      </c>
      <c r="S34" s="28" t="s">
        <v>359</v>
      </c>
      <c r="T34" s="28" t="s">
        <v>408</v>
      </c>
      <c r="U34" s="28" t="s">
        <v>409</v>
      </c>
    </row>
    <row r="35" spans="1:21">
      <c r="A35" s="28" t="s">
        <v>410</v>
      </c>
      <c r="B35" s="31">
        <v>46114</v>
      </c>
      <c r="C35" s="29">
        <v>16896</v>
      </c>
      <c r="D35" s="29">
        <v>17010</v>
      </c>
      <c r="E35" s="29">
        <v>15531</v>
      </c>
      <c r="F35" s="29">
        <v>1479</v>
      </c>
      <c r="G35" s="29">
        <v>10752</v>
      </c>
      <c r="H35" s="29">
        <v>367</v>
      </c>
      <c r="I35" s="29">
        <v>41</v>
      </c>
      <c r="J35" s="29">
        <v>14</v>
      </c>
      <c r="K35" s="30">
        <v>187</v>
      </c>
      <c r="L35" s="29">
        <v>1544</v>
      </c>
      <c r="M35" s="28" t="s">
        <v>411</v>
      </c>
      <c r="N35" s="28" t="s">
        <v>412</v>
      </c>
      <c r="O35" s="28" t="s">
        <v>180</v>
      </c>
      <c r="P35" s="28" t="s">
        <v>413</v>
      </c>
      <c r="Q35" s="28" t="s">
        <v>155</v>
      </c>
      <c r="R35" s="28" t="s">
        <v>414</v>
      </c>
      <c r="S35" s="28" t="s">
        <v>183</v>
      </c>
      <c r="T35" s="28" t="s">
        <v>415</v>
      </c>
      <c r="U35" s="28" t="s">
        <v>416</v>
      </c>
    </row>
    <row r="36" spans="1:21">
      <c r="A36" s="28" t="s">
        <v>417</v>
      </c>
      <c r="B36" s="31">
        <v>46115</v>
      </c>
      <c r="C36" s="29">
        <v>19006</v>
      </c>
      <c r="D36" s="29">
        <v>18511</v>
      </c>
      <c r="E36" s="29">
        <v>17350</v>
      </c>
      <c r="F36" s="29">
        <v>1161</v>
      </c>
      <c r="G36" s="29">
        <v>12061</v>
      </c>
      <c r="H36" s="29">
        <v>425</v>
      </c>
      <c r="I36" s="29">
        <v>45</v>
      </c>
      <c r="J36" s="29">
        <v>-10</v>
      </c>
      <c r="K36" s="30">
        <v>178</v>
      </c>
      <c r="L36" s="29">
        <v>1928</v>
      </c>
      <c r="M36" s="28" t="s">
        <v>418</v>
      </c>
      <c r="N36" s="28" t="s">
        <v>419</v>
      </c>
      <c r="O36" s="28" t="s">
        <v>136</v>
      </c>
      <c r="P36" s="28" t="s">
        <v>420</v>
      </c>
      <c r="Q36" s="28" t="s">
        <v>421</v>
      </c>
      <c r="R36" s="28" t="s">
        <v>422</v>
      </c>
      <c r="S36" s="28" t="s">
        <v>183</v>
      </c>
      <c r="T36" s="28" t="s">
        <v>423</v>
      </c>
      <c r="U36" s="28" t="s">
        <v>424</v>
      </c>
    </row>
    <row r="37" spans="1:21">
      <c r="A37" s="28" t="s">
        <v>425</v>
      </c>
      <c r="B37" s="31">
        <v>46116</v>
      </c>
      <c r="C37" s="29">
        <v>19897</v>
      </c>
      <c r="D37" s="29">
        <v>18960</v>
      </c>
      <c r="E37" s="29">
        <v>17654</v>
      </c>
      <c r="F37" s="29">
        <v>1306</v>
      </c>
      <c r="G37" s="29">
        <v>13092</v>
      </c>
      <c r="H37" s="29">
        <v>652</v>
      </c>
      <c r="I37" s="29">
        <v>42</v>
      </c>
      <c r="J37" s="29">
        <v>10</v>
      </c>
      <c r="K37" s="30">
        <v>142</v>
      </c>
      <c r="L37" s="29">
        <v>2033</v>
      </c>
      <c r="M37" s="28" t="s">
        <v>426</v>
      </c>
      <c r="N37" s="28" t="s">
        <v>427</v>
      </c>
      <c r="O37" s="28" t="s">
        <v>223</v>
      </c>
      <c r="P37" s="28" t="s">
        <v>428</v>
      </c>
      <c r="Q37" s="28" t="s">
        <v>415</v>
      </c>
      <c r="R37" s="28" t="s">
        <v>429</v>
      </c>
      <c r="S37" s="28" t="s">
        <v>153</v>
      </c>
      <c r="T37" s="28" t="s">
        <v>430</v>
      </c>
      <c r="U37" s="28" t="s">
        <v>431</v>
      </c>
    </row>
    <row r="38" spans="1:21">
      <c r="A38" s="28" t="s">
        <v>432</v>
      </c>
      <c r="B38" s="31">
        <v>46117</v>
      </c>
      <c r="C38" s="29">
        <v>22453</v>
      </c>
      <c r="D38" s="29">
        <v>20803</v>
      </c>
      <c r="E38" s="29">
        <v>19547</v>
      </c>
      <c r="F38" s="29">
        <v>1256</v>
      </c>
      <c r="G38" s="29">
        <v>14943</v>
      </c>
      <c r="H38" s="29">
        <v>845</v>
      </c>
      <c r="I38" s="29">
        <v>39</v>
      </c>
      <c r="J38" s="29">
        <v>6</v>
      </c>
      <c r="K38" s="30">
        <v>93</v>
      </c>
      <c r="L38" s="29">
        <v>2187</v>
      </c>
      <c r="M38" s="28" t="s">
        <v>433</v>
      </c>
      <c r="N38" s="28" t="s">
        <v>258</v>
      </c>
      <c r="O38" s="28" t="s">
        <v>359</v>
      </c>
      <c r="P38" s="28" t="s">
        <v>225</v>
      </c>
      <c r="Q38" s="28" t="s">
        <v>434</v>
      </c>
      <c r="R38" s="28" t="s">
        <v>435</v>
      </c>
      <c r="S38" s="28" t="s">
        <v>436</v>
      </c>
      <c r="T38" s="28" t="s">
        <v>437</v>
      </c>
      <c r="U38" s="28" t="s">
        <v>438</v>
      </c>
    </row>
    <row r="39" spans="1:21">
      <c r="A39" s="28" t="s">
        <v>439</v>
      </c>
      <c r="B39" s="31">
        <v>46118</v>
      </c>
      <c r="C39" s="29">
        <v>21349</v>
      </c>
      <c r="D39" s="29">
        <v>21742</v>
      </c>
      <c r="E39" s="29">
        <v>20364</v>
      </c>
      <c r="F39" s="29">
        <v>1378</v>
      </c>
      <c r="G39" s="29">
        <v>14119</v>
      </c>
      <c r="H39" s="29">
        <v>680</v>
      </c>
      <c r="I39" s="29">
        <v>79</v>
      </c>
      <c r="J39" s="29">
        <v>23</v>
      </c>
      <c r="K39" s="30">
        <v>125</v>
      </c>
      <c r="L39" s="29">
        <v>2104</v>
      </c>
      <c r="M39" s="28" t="s">
        <v>440</v>
      </c>
      <c r="N39" s="28" t="s">
        <v>441</v>
      </c>
      <c r="O39" s="28" t="s">
        <v>442</v>
      </c>
      <c r="P39" s="28" t="s">
        <v>243</v>
      </c>
      <c r="Q39" s="28" t="s">
        <v>443</v>
      </c>
      <c r="R39" s="28" t="s">
        <v>444</v>
      </c>
      <c r="S39" s="28" t="s">
        <v>136</v>
      </c>
      <c r="T39" s="28" t="s">
        <v>445</v>
      </c>
      <c r="U39" s="28" t="s">
        <v>127</v>
      </c>
    </row>
    <row r="40" spans="1:21">
      <c r="A40" s="28" t="s">
        <v>446</v>
      </c>
      <c r="B40" s="31">
        <v>46119</v>
      </c>
      <c r="C40" s="29">
        <v>20276</v>
      </c>
      <c r="D40" s="29">
        <v>22157</v>
      </c>
      <c r="E40" s="29">
        <v>20661</v>
      </c>
      <c r="F40" s="29">
        <v>1496</v>
      </c>
      <c r="G40" s="29">
        <v>13344</v>
      </c>
      <c r="H40" s="29">
        <v>522</v>
      </c>
      <c r="I40" s="29">
        <v>89</v>
      </c>
      <c r="J40" s="29">
        <v>0</v>
      </c>
      <c r="K40" s="30">
        <v>188</v>
      </c>
      <c r="L40" s="29">
        <v>1835</v>
      </c>
      <c r="M40" s="28" t="s">
        <v>447</v>
      </c>
      <c r="N40" s="28" t="s">
        <v>448</v>
      </c>
      <c r="O40" s="28" t="s">
        <v>449</v>
      </c>
      <c r="P40" s="28" t="s">
        <v>450</v>
      </c>
      <c r="Q40" s="28" t="s">
        <v>450</v>
      </c>
      <c r="R40" s="28" t="s">
        <v>451</v>
      </c>
      <c r="S40" s="28" t="s">
        <v>452</v>
      </c>
      <c r="T40" s="28" t="s">
        <v>450</v>
      </c>
      <c r="U40" s="28" t="s">
        <v>450</v>
      </c>
    </row>
    <row r="41" spans="1:21">
      <c r="A41" s="28" t="s">
        <v>453</v>
      </c>
      <c r="B41" s="31">
        <v>46120</v>
      </c>
      <c r="C41" s="29">
        <v>19531</v>
      </c>
      <c r="D41" s="29">
        <v>19795</v>
      </c>
      <c r="E41" s="29">
        <v>18576</v>
      </c>
      <c r="F41" s="29">
        <v>1219</v>
      </c>
      <c r="G41" s="29">
        <v>13018</v>
      </c>
      <c r="H41" s="29">
        <v>525</v>
      </c>
      <c r="I41" s="29">
        <v>117</v>
      </c>
      <c r="J41" s="29">
        <v>17</v>
      </c>
      <c r="K41" s="30">
        <v>191</v>
      </c>
      <c r="L41" s="29">
        <v>1884</v>
      </c>
      <c r="M41" s="28" t="s">
        <v>237</v>
      </c>
      <c r="N41" s="28" t="s">
        <v>454</v>
      </c>
      <c r="O41" s="28" t="s">
        <v>455</v>
      </c>
      <c r="P41" s="28" t="s">
        <v>456</v>
      </c>
      <c r="Q41" s="28" t="s">
        <v>155</v>
      </c>
      <c r="R41" s="28" t="s">
        <v>457</v>
      </c>
      <c r="S41" s="28" t="s">
        <v>133</v>
      </c>
      <c r="T41" s="28" t="s">
        <v>458</v>
      </c>
      <c r="U41" s="28" t="s">
        <v>459</v>
      </c>
    </row>
    <row r="42" spans="1:21">
      <c r="A42" s="28" t="s">
        <v>460</v>
      </c>
      <c r="B42" s="31">
        <v>46121</v>
      </c>
      <c r="C42" s="29">
        <v>19630</v>
      </c>
      <c r="D42" s="29">
        <v>19081</v>
      </c>
      <c r="E42" s="29">
        <v>17832</v>
      </c>
      <c r="F42" s="29">
        <v>1249</v>
      </c>
      <c r="G42" s="29">
        <v>13211</v>
      </c>
      <c r="H42" s="29">
        <v>441</v>
      </c>
      <c r="I42" s="29">
        <v>78</v>
      </c>
      <c r="J42" s="29">
        <v>-18</v>
      </c>
      <c r="K42" s="30">
        <v>112</v>
      </c>
      <c r="L42" s="29">
        <v>1728</v>
      </c>
      <c r="M42" s="28" t="s">
        <v>461</v>
      </c>
      <c r="N42" s="28" t="s">
        <v>291</v>
      </c>
      <c r="O42" s="28" t="s">
        <v>462</v>
      </c>
      <c r="P42" s="28" t="s">
        <v>463</v>
      </c>
      <c r="Q42" s="28" t="s">
        <v>464</v>
      </c>
      <c r="R42" s="28" t="s">
        <v>465</v>
      </c>
      <c r="S42" s="28" t="s">
        <v>466</v>
      </c>
      <c r="T42" s="28" t="s">
        <v>467</v>
      </c>
      <c r="U42" s="28" t="s">
        <v>468</v>
      </c>
    </row>
    <row r="43" spans="1:21">
      <c r="A43" s="28" t="s">
        <v>469</v>
      </c>
      <c r="B43" s="31">
        <v>46122</v>
      </c>
      <c r="C43" s="29">
        <v>17886</v>
      </c>
      <c r="D43" s="29">
        <v>18301</v>
      </c>
      <c r="E43" s="29">
        <v>17032</v>
      </c>
      <c r="F43" s="29">
        <v>1269</v>
      </c>
      <c r="G43" s="29">
        <v>12160</v>
      </c>
      <c r="H43" s="29">
        <v>449</v>
      </c>
      <c r="I43" s="29">
        <v>105</v>
      </c>
      <c r="J43" s="29">
        <v>12</v>
      </c>
      <c r="K43" s="30">
        <v>226</v>
      </c>
      <c r="L43" s="29">
        <v>1597</v>
      </c>
      <c r="M43" s="28" t="s">
        <v>470</v>
      </c>
      <c r="N43" s="28" t="s">
        <v>471</v>
      </c>
      <c r="O43" s="28" t="s">
        <v>472</v>
      </c>
      <c r="P43" s="28" t="s">
        <v>473</v>
      </c>
      <c r="Q43" s="28" t="s">
        <v>474</v>
      </c>
      <c r="R43" s="28" t="s">
        <v>475</v>
      </c>
      <c r="S43" s="28" t="s">
        <v>462</v>
      </c>
      <c r="T43" s="28" t="s">
        <v>476</v>
      </c>
      <c r="U43" s="28" t="s">
        <v>477</v>
      </c>
    </row>
    <row r="44" spans="1:21">
      <c r="A44" s="28" t="s">
        <v>478</v>
      </c>
      <c r="B44" s="31">
        <v>46123</v>
      </c>
      <c r="C44" s="29">
        <v>18888</v>
      </c>
      <c r="D44" s="29">
        <v>18177</v>
      </c>
      <c r="E44" s="29">
        <v>16984</v>
      </c>
      <c r="F44" s="29">
        <v>1193</v>
      </c>
      <c r="G44" s="29">
        <v>12923</v>
      </c>
      <c r="H44" s="29">
        <v>693</v>
      </c>
      <c r="I44" s="29">
        <v>107</v>
      </c>
      <c r="J44" s="29">
        <v>33</v>
      </c>
      <c r="K44" s="30">
        <v>217</v>
      </c>
      <c r="L44" s="29">
        <v>1614</v>
      </c>
      <c r="M44" s="28" t="s">
        <v>479</v>
      </c>
      <c r="N44" s="28" t="s">
        <v>480</v>
      </c>
      <c r="O44" s="28" t="s">
        <v>481</v>
      </c>
      <c r="P44" s="28" t="s">
        <v>482</v>
      </c>
      <c r="Q44" s="28" t="s">
        <v>359</v>
      </c>
      <c r="R44" s="28" t="s">
        <v>249</v>
      </c>
      <c r="S44" s="28" t="s">
        <v>483</v>
      </c>
      <c r="T44" s="28" t="s">
        <v>436</v>
      </c>
      <c r="U44" s="28" t="s">
        <v>484</v>
      </c>
    </row>
    <row r="45" spans="1:21">
      <c r="A45" s="28" t="s">
        <v>485</v>
      </c>
      <c r="B45" s="31">
        <v>46124</v>
      </c>
      <c r="C45" s="29">
        <v>19877</v>
      </c>
      <c r="D45" s="29">
        <v>19080</v>
      </c>
      <c r="E45" s="29">
        <v>17854</v>
      </c>
      <c r="F45" s="29">
        <v>1226</v>
      </c>
      <c r="G45" s="29">
        <v>13512</v>
      </c>
      <c r="H45" s="29">
        <v>968</v>
      </c>
      <c r="I45" s="29">
        <v>205</v>
      </c>
      <c r="J45" s="29">
        <v>54</v>
      </c>
      <c r="K45" s="30">
        <v>187</v>
      </c>
      <c r="L45" s="29">
        <v>1801</v>
      </c>
      <c r="M45" s="28" t="s">
        <v>486</v>
      </c>
      <c r="N45" s="28" t="s">
        <v>487</v>
      </c>
      <c r="O45" s="28" t="s">
        <v>241</v>
      </c>
      <c r="P45" s="28" t="s">
        <v>488</v>
      </c>
      <c r="Q45" s="28" t="s">
        <v>466</v>
      </c>
      <c r="R45" s="28" t="s">
        <v>489</v>
      </c>
      <c r="S45" s="28" t="s">
        <v>490</v>
      </c>
      <c r="T45" s="28" t="s">
        <v>491</v>
      </c>
      <c r="U45" s="28" t="s">
        <v>492</v>
      </c>
    </row>
    <row r="46" spans="1:21">
      <c r="A46" s="28" t="s">
        <v>493</v>
      </c>
      <c r="B46" s="31">
        <v>46125</v>
      </c>
      <c r="C46" s="29">
        <v>19741</v>
      </c>
      <c r="D46" s="29">
        <v>19807</v>
      </c>
      <c r="E46" s="29">
        <v>18213</v>
      </c>
      <c r="F46" s="29">
        <v>1594</v>
      </c>
      <c r="G46" s="29">
        <v>13732</v>
      </c>
      <c r="H46" s="29">
        <v>756</v>
      </c>
      <c r="I46" s="29">
        <v>310</v>
      </c>
      <c r="J46" s="29">
        <v>42</v>
      </c>
      <c r="K46" s="30">
        <v>223</v>
      </c>
      <c r="L46" s="29">
        <v>1577</v>
      </c>
      <c r="M46" s="28" t="s">
        <v>494</v>
      </c>
      <c r="N46" s="28" t="s">
        <v>495</v>
      </c>
      <c r="O46" s="28" t="s">
        <v>496</v>
      </c>
      <c r="P46" s="28" t="s">
        <v>497</v>
      </c>
      <c r="Q46" s="28" t="s">
        <v>498</v>
      </c>
      <c r="R46" s="28" t="s">
        <v>499</v>
      </c>
      <c r="S46" s="28" t="s">
        <v>500</v>
      </c>
      <c r="T46" s="28" t="s">
        <v>153</v>
      </c>
      <c r="U46" s="28" t="s">
        <v>501</v>
      </c>
    </row>
    <row r="47" spans="1:21">
      <c r="A47" s="28" t="s">
        <v>502</v>
      </c>
      <c r="B47" s="31">
        <v>46126</v>
      </c>
      <c r="C47" s="29">
        <v>19631</v>
      </c>
      <c r="D47" s="29">
        <v>21219</v>
      </c>
      <c r="E47" s="29">
        <v>19735</v>
      </c>
      <c r="F47" s="29">
        <v>1484</v>
      </c>
      <c r="G47" s="29">
        <v>13512</v>
      </c>
      <c r="H47" s="29">
        <v>588</v>
      </c>
      <c r="I47" s="29">
        <v>204</v>
      </c>
      <c r="J47" s="29">
        <v>-9</v>
      </c>
      <c r="K47" s="30">
        <v>108</v>
      </c>
      <c r="L47" s="29">
        <v>1570</v>
      </c>
      <c r="M47" s="28" t="s">
        <v>503</v>
      </c>
      <c r="N47" s="28" t="s">
        <v>504</v>
      </c>
      <c r="O47" s="28" t="s">
        <v>169</v>
      </c>
      <c r="P47" s="28" t="s">
        <v>505</v>
      </c>
      <c r="Q47" s="28" t="s">
        <v>506</v>
      </c>
      <c r="R47" s="28" t="s">
        <v>507</v>
      </c>
      <c r="S47" s="28" t="s">
        <v>508</v>
      </c>
      <c r="T47" s="28" t="s">
        <v>423</v>
      </c>
      <c r="U47" s="28" t="s">
        <v>509</v>
      </c>
    </row>
    <row r="48" spans="1:21">
      <c r="A48" s="28" t="s">
        <v>510</v>
      </c>
      <c r="B48" s="31">
        <v>46127</v>
      </c>
      <c r="C48" s="29">
        <v>18059</v>
      </c>
      <c r="D48" s="29">
        <v>17948</v>
      </c>
      <c r="E48" s="29">
        <v>16842</v>
      </c>
      <c r="F48" s="29">
        <v>1106</v>
      </c>
      <c r="G48" s="29">
        <v>12732</v>
      </c>
      <c r="H48" s="29">
        <v>568</v>
      </c>
      <c r="I48" s="29">
        <v>183</v>
      </c>
      <c r="J48" s="29">
        <v>74</v>
      </c>
      <c r="K48" s="30">
        <v>291</v>
      </c>
      <c r="L48" s="29">
        <v>1542</v>
      </c>
      <c r="M48" s="28" t="s">
        <v>511</v>
      </c>
      <c r="N48" s="28" t="s">
        <v>512</v>
      </c>
      <c r="O48" s="28" t="s">
        <v>370</v>
      </c>
      <c r="P48" s="28" t="s">
        <v>513</v>
      </c>
      <c r="Q48" s="28" t="s">
        <v>207</v>
      </c>
      <c r="R48" s="28" t="s">
        <v>273</v>
      </c>
      <c r="S48" s="28" t="s">
        <v>244</v>
      </c>
      <c r="T48" s="28" t="s">
        <v>164</v>
      </c>
      <c r="U48" s="28" t="s">
        <v>514</v>
      </c>
    </row>
    <row r="49" spans="1:21">
      <c r="A49" s="28" t="s">
        <v>515</v>
      </c>
      <c r="B49" s="31">
        <v>46128</v>
      </c>
      <c r="C49" s="29">
        <v>19258</v>
      </c>
      <c r="D49" s="29">
        <v>19503</v>
      </c>
      <c r="E49" s="29">
        <v>18101</v>
      </c>
      <c r="F49" s="29">
        <v>1402</v>
      </c>
      <c r="G49" s="29">
        <v>13940</v>
      </c>
      <c r="H49" s="29">
        <v>533</v>
      </c>
      <c r="I49" s="29">
        <v>124</v>
      </c>
      <c r="J49" s="29">
        <v>-19</v>
      </c>
      <c r="K49" s="30">
        <v>215</v>
      </c>
      <c r="L49" s="29">
        <v>1483</v>
      </c>
      <c r="M49" s="28" t="s">
        <v>516</v>
      </c>
      <c r="N49" s="28" t="s">
        <v>517</v>
      </c>
      <c r="O49" s="28" t="s">
        <v>518</v>
      </c>
      <c r="P49" s="28" t="s">
        <v>519</v>
      </c>
      <c r="Q49" s="28" t="s">
        <v>464</v>
      </c>
      <c r="R49" s="28" t="s">
        <v>520</v>
      </c>
      <c r="S49" s="28" t="s">
        <v>521</v>
      </c>
      <c r="T49" s="28" t="s">
        <v>522</v>
      </c>
      <c r="U49" s="28" t="s">
        <v>523</v>
      </c>
    </row>
    <row r="50" spans="1:21">
      <c r="A50" s="28" t="s">
        <v>524</v>
      </c>
      <c r="B50" s="31">
        <v>46129</v>
      </c>
      <c r="C50" s="29">
        <v>19235</v>
      </c>
      <c r="D50" s="29">
        <v>19354</v>
      </c>
      <c r="E50" s="29">
        <v>17936</v>
      </c>
      <c r="F50" s="29">
        <v>1418</v>
      </c>
      <c r="G50" s="29">
        <v>13811</v>
      </c>
      <c r="H50" s="29">
        <v>682</v>
      </c>
      <c r="I50" s="29">
        <v>93</v>
      </c>
      <c r="J50" s="29">
        <v>-16</v>
      </c>
      <c r="K50" s="30">
        <v>181</v>
      </c>
      <c r="L50" s="29">
        <v>1416</v>
      </c>
      <c r="M50" s="28" t="s">
        <v>525</v>
      </c>
      <c r="N50" s="28" t="s">
        <v>526</v>
      </c>
      <c r="O50" s="28" t="s">
        <v>449</v>
      </c>
      <c r="P50" s="28" t="s">
        <v>420</v>
      </c>
      <c r="Q50" s="28" t="s">
        <v>527</v>
      </c>
      <c r="R50" s="28" t="s">
        <v>357</v>
      </c>
      <c r="S50" s="28" t="s">
        <v>528</v>
      </c>
      <c r="T50" s="28" t="s">
        <v>421</v>
      </c>
      <c r="U50" s="28" t="s">
        <v>523</v>
      </c>
    </row>
    <row r="51" spans="1:21">
      <c r="A51" s="28" t="s">
        <v>529</v>
      </c>
      <c r="B51" s="31">
        <v>46130</v>
      </c>
      <c r="C51" s="29">
        <v>21470</v>
      </c>
      <c r="D51" s="29">
        <v>20767</v>
      </c>
      <c r="E51" s="29">
        <v>19167</v>
      </c>
      <c r="F51" s="29">
        <v>1600</v>
      </c>
      <c r="G51" s="29">
        <v>15669</v>
      </c>
      <c r="H51" s="29">
        <v>1326</v>
      </c>
      <c r="I51" s="29">
        <v>652</v>
      </c>
      <c r="J51" s="29">
        <v>134</v>
      </c>
      <c r="K51" s="30">
        <v>439</v>
      </c>
      <c r="L51" s="29">
        <v>1570</v>
      </c>
      <c r="M51" s="28" t="s">
        <v>530</v>
      </c>
      <c r="N51" s="28" t="s">
        <v>531</v>
      </c>
      <c r="O51" s="28" t="s">
        <v>260</v>
      </c>
      <c r="P51" s="28" t="s">
        <v>371</v>
      </c>
      <c r="Q51" s="28" t="s">
        <v>472</v>
      </c>
      <c r="R51" s="28" t="s">
        <v>532</v>
      </c>
      <c r="S51" s="28" t="s">
        <v>533</v>
      </c>
      <c r="T51" s="28" t="s">
        <v>189</v>
      </c>
      <c r="U51" s="28" t="s">
        <v>534</v>
      </c>
    </row>
    <row r="52" spans="1:21">
      <c r="A52" s="28" t="s">
        <v>535</v>
      </c>
      <c r="B52" s="31">
        <v>46131</v>
      </c>
      <c r="C52" s="29">
        <v>22607</v>
      </c>
      <c r="D52" s="29">
        <v>20918</v>
      </c>
      <c r="E52" s="29">
        <v>19392</v>
      </c>
      <c r="F52" s="29">
        <v>1526</v>
      </c>
      <c r="G52" s="29">
        <v>16466</v>
      </c>
      <c r="H52" s="29">
        <v>1391</v>
      </c>
      <c r="I52" s="29">
        <v>519</v>
      </c>
      <c r="J52" s="29">
        <v>139</v>
      </c>
      <c r="K52" s="30">
        <v>311</v>
      </c>
      <c r="L52" s="29">
        <v>1598</v>
      </c>
      <c r="M52" s="28" t="s">
        <v>536</v>
      </c>
      <c r="N52" s="28" t="s">
        <v>537</v>
      </c>
      <c r="O52" s="28" t="s">
        <v>273</v>
      </c>
      <c r="P52" s="28" t="s">
        <v>538</v>
      </c>
      <c r="Q52" s="28" t="s">
        <v>197</v>
      </c>
      <c r="R52" s="28" t="s">
        <v>539</v>
      </c>
      <c r="S52" s="28" t="s">
        <v>540</v>
      </c>
      <c r="T52" s="28" t="s">
        <v>372</v>
      </c>
      <c r="U52" s="28" t="s">
        <v>541</v>
      </c>
    </row>
    <row r="53" spans="1:21">
      <c r="A53" s="28" t="s">
        <v>542</v>
      </c>
      <c r="B53" s="31">
        <v>46132</v>
      </c>
      <c r="C53" s="29">
        <v>21111</v>
      </c>
      <c r="D53" s="29">
        <v>22553</v>
      </c>
      <c r="E53" s="29">
        <v>20791</v>
      </c>
      <c r="F53" s="29">
        <v>1762</v>
      </c>
      <c r="G53" s="29">
        <v>15922</v>
      </c>
      <c r="H53" s="29">
        <v>1080</v>
      </c>
      <c r="I53" s="29">
        <v>678</v>
      </c>
      <c r="J53" s="29">
        <v>223</v>
      </c>
      <c r="K53" s="30">
        <v>475</v>
      </c>
      <c r="L53" s="29">
        <v>1450</v>
      </c>
      <c r="M53" s="28" t="s">
        <v>543</v>
      </c>
      <c r="N53" s="28" t="s">
        <v>544</v>
      </c>
      <c r="O53" s="28" t="s">
        <v>545</v>
      </c>
      <c r="P53" s="28" t="s">
        <v>546</v>
      </c>
      <c r="Q53" s="28" t="s">
        <v>547</v>
      </c>
      <c r="R53" s="28" t="s">
        <v>179</v>
      </c>
      <c r="S53" s="28" t="s">
        <v>548</v>
      </c>
      <c r="T53" s="28" t="s">
        <v>549</v>
      </c>
      <c r="U53" s="28" t="s">
        <v>550</v>
      </c>
    </row>
    <row r="54" spans="1:21">
      <c r="A54" s="28" t="s">
        <v>551</v>
      </c>
      <c r="B54" s="31">
        <v>46133</v>
      </c>
      <c r="C54" s="29">
        <v>20279</v>
      </c>
      <c r="D54" s="29">
        <v>20854</v>
      </c>
      <c r="E54" s="29">
        <v>19431</v>
      </c>
      <c r="F54" s="29">
        <v>1423</v>
      </c>
      <c r="G54" s="29">
        <v>15235</v>
      </c>
      <c r="H54" s="29">
        <v>963</v>
      </c>
      <c r="I54" s="29">
        <v>554</v>
      </c>
      <c r="J54" s="29">
        <v>296</v>
      </c>
      <c r="K54" s="30">
        <v>437</v>
      </c>
      <c r="L54" s="29">
        <v>1121</v>
      </c>
      <c r="M54" s="28" t="s">
        <v>552</v>
      </c>
      <c r="N54" s="28" t="s">
        <v>307</v>
      </c>
      <c r="O54" s="28" t="s">
        <v>553</v>
      </c>
      <c r="P54" s="28" t="s">
        <v>554</v>
      </c>
      <c r="Q54" s="28" t="s">
        <v>555</v>
      </c>
      <c r="R54" s="28" t="s">
        <v>556</v>
      </c>
      <c r="S54" s="28" t="s">
        <v>557</v>
      </c>
      <c r="T54" s="28" t="s">
        <v>558</v>
      </c>
      <c r="U54" s="28" t="s">
        <v>559</v>
      </c>
    </row>
    <row r="55" spans="1:21">
      <c r="A55" s="28" t="s">
        <v>560</v>
      </c>
      <c r="B55" s="31">
        <v>46134</v>
      </c>
      <c r="C55" s="29">
        <v>20926</v>
      </c>
      <c r="D55" s="29">
        <v>21291</v>
      </c>
      <c r="E55" s="29">
        <v>19618</v>
      </c>
      <c r="F55" s="29">
        <v>1673</v>
      </c>
      <c r="G55" s="29">
        <v>15525</v>
      </c>
      <c r="H55" s="29">
        <v>1062</v>
      </c>
      <c r="I55" s="29">
        <v>679</v>
      </c>
      <c r="J55" s="29">
        <v>364</v>
      </c>
      <c r="K55" s="30">
        <v>660</v>
      </c>
      <c r="L55" s="29">
        <v>1127</v>
      </c>
      <c r="M55" s="28" t="s">
        <v>561</v>
      </c>
      <c r="N55" s="28" t="s">
        <v>377</v>
      </c>
      <c r="O55" s="28" t="s">
        <v>562</v>
      </c>
      <c r="P55" s="28" t="s">
        <v>391</v>
      </c>
      <c r="Q55" s="28" t="s">
        <v>563</v>
      </c>
      <c r="R55" s="28" t="s">
        <v>239</v>
      </c>
      <c r="S55" s="28" t="s">
        <v>456</v>
      </c>
      <c r="T55" s="28" t="s">
        <v>564</v>
      </c>
      <c r="U55" s="28" t="s">
        <v>565</v>
      </c>
    </row>
    <row r="56" spans="1:21">
      <c r="A56" s="28" t="s">
        <v>566</v>
      </c>
      <c r="B56" s="31">
        <v>46135</v>
      </c>
      <c r="C56" s="29">
        <v>19366</v>
      </c>
      <c r="D56" s="29">
        <v>19506</v>
      </c>
      <c r="E56" s="29">
        <v>17946</v>
      </c>
      <c r="F56" s="29">
        <v>1560</v>
      </c>
      <c r="G56" s="29">
        <v>15001</v>
      </c>
      <c r="H56" s="29">
        <v>859</v>
      </c>
      <c r="I56" s="29">
        <v>518</v>
      </c>
      <c r="J56" s="29">
        <v>324</v>
      </c>
      <c r="K56" s="30">
        <v>569</v>
      </c>
      <c r="L56" s="29">
        <v>935</v>
      </c>
      <c r="M56" s="28" t="s">
        <v>567</v>
      </c>
      <c r="N56" s="28" t="s">
        <v>568</v>
      </c>
      <c r="O56" s="28" t="s">
        <v>569</v>
      </c>
      <c r="P56" s="28" t="s">
        <v>570</v>
      </c>
      <c r="Q56" s="28" t="s">
        <v>571</v>
      </c>
      <c r="R56" s="28" t="s">
        <v>572</v>
      </c>
      <c r="S56" s="28" t="s">
        <v>473</v>
      </c>
      <c r="T56" s="28" t="s">
        <v>205</v>
      </c>
      <c r="U56" s="28" t="s">
        <v>573</v>
      </c>
    </row>
    <row r="57" spans="1:21">
      <c r="A57" s="28" t="s">
        <v>574</v>
      </c>
      <c r="B57" s="31">
        <v>46136</v>
      </c>
      <c r="C57" s="29">
        <v>20635</v>
      </c>
      <c r="D57" s="29">
        <v>19484</v>
      </c>
      <c r="E57" s="29">
        <v>18155</v>
      </c>
      <c r="F57" s="29">
        <v>1329</v>
      </c>
      <c r="G57" s="29">
        <v>14974</v>
      </c>
      <c r="H57" s="29">
        <v>1056</v>
      </c>
      <c r="I57" s="29">
        <v>601</v>
      </c>
      <c r="J57" s="29">
        <v>356</v>
      </c>
      <c r="K57" s="30">
        <v>646</v>
      </c>
      <c r="L57" s="29">
        <v>921</v>
      </c>
      <c r="M57" s="28" t="s">
        <v>575</v>
      </c>
      <c r="N57" s="28" t="s">
        <v>576</v>
      </c>
      <c r="O57" s="28" t="s">
        <v>309</v>
      </c>
      <c r="P57" s="28" t="s">
        <v>577</v>
      </c>
      <c r="Q57" s="28" t="s">
        <v>578</v>
      </c>
      <c r="R57" s="28" t="s">
        <v>179</v>
      </c>
      <c r="S57" s="28" t="s">
        <v>579</v>
      </c>
      <c r="T57" s="28" t="s">
        <v>580</v>
      </c>
      <c r="U57" s="28" t="s">
        <v>581</v>
      </c>
    </row>
    <row r="58" spans="1:21">
      <c r="A58" s="28" t="s">
        <v>582</v>
      </c>
      <c r="B58" s="31">
        <v>46137</v>
      </c>
      <c r="C58" s="29">
        <v>22748</v>
      </c>
      <c r="D58" s="29">
        <v>23049</v>
      </c>
      <c r="E58" s="29">
        <v>21322</v>
      </c>
      <c r="F58" s="29">
        <v>1727</v>
      </c>
      <c r="G58" s="29">
        <v>16036</v>
      </c>
      <c r="H58" s="29">
        <v>1268</v>
      </c>
      <c r="I58" s="29">
        <v>494</v>
      </c>
      <c r="J58" s="29">
        <v>399</v>
      </c>
      <c r="K58" s="30">
        <v>682</v>
      </c>
      <c r="L58" s="29">
        <v>808</v>
      </c>
      <c r="M58" s="28" t="s">
        <v>583</v>
      </c>
      <c r="N58" s="28" t="s">
        <v>584</v>
      </c>
      <c r="O58" s="28" t="s">
        <v>154</v>
      </c>
      <c r="P58" s="28" t="s">
        <v>585</v>
      </c>
      <c r="Q58" s="28" t="s">
        <v>282</v>
      </c>
      <c r="R58" s="28" t="s">
        <v>586</v>
      </c>
      <c r="S58" s="28" t="s">
        <v>414</v>
      </c>
      <c r="T58" s="28" t="s">
        <v>587</v>
      </c>
      <c r="U58" s="28" t="s">
        <v>588</v>
      </c>
    </row>
    <row r="59" spans="1:21">
      <c r="A59" s="28" t="s">
        <v>589</v>
      </c>
      <c r="B59" s="31">
        <v>46138</v>
      </c>
      <c r="C59" s="29">
        <v>20316</v>
      </c>
      <c r="D59" s="29">
        <v>20855</v>
      </c>
      <c r="E59" s="29">
        <v>18807</v>
      </c>
      <c r="F59" s="29">
        <v>2048</v>
      </c>
      <c r="G59" s="29">
        <v>16710</v>
      </c>
      <c r="H59" s="29">
        <v>1241</v>
      </c>
      <c r="I59" s="29">
        <v>384</v>
      </c>
      <c r="J59" s="29">
        <v>169</v>
      </c>
      <c r="K59" s="30">
        <v>396</v>
      </c>
      <c r="L59" s="29">
        <v>588</v>
      </c>
      <c r="M59" s="28" t="s">
        <v>590</v>
      </c>
      <c r="N59" s="28" t="s">
        <v>591</v>
      </c>
      <c r="O59" s="28" t="s">
        <v>540</v>
      </c>
      <c r="P59" s="28" t="s">
        <v>592</v>
      </c>
      <c r="Q59" s="28" t="s">
        <v>244</v>
      </c>
      <c r="R59" s="28" t="s">
        <v>593</v>
      </c>
      <c r="S59" s="28" t="s">
        <v>594</v>
      </c>
      <c r="T59" s="28" t="s">
        <v>481</v>
      </c>
      <c r="U59" s="28" t="s">
        <v>595</v>
      </c>
    </row>
    <row r="60" spans="1:21">
      <c r="A60" s="28" t="s">
        <v>596</v>
      </c>
      <c r="B60" s="31">
        <v>46139</v>
      </c>
      <c r="C60" s="29">
        <v>19711</v>
      </c>
      <c r="D60" s="29">
        <v>20056</v>
      </c>
      <c r="E60" s="29">
        <v>18454</v>
      </c>
      <c r="F60" s="29">
        <v>1602</v>
      </c>
      <c r="G60" s="29">
        <v>16455</v>
      </c>
      <c r="H60" s="29">
        <v>1292</v>
      </c>
      <c r="I60" s="29">
        <v>701</v>
      </c>
      <c r="J60" s="29">
        <v>272</v>
      </c>
      <c r="K60" s="30">
        <v>588</v>
      </c>
      <c r="L60" s="29">
        <v>548</v>
      </c>
      <c r="M60" s="28" t="s">
        <v>597</v>
      </c>
      <c r="N60" s="28" t="s">
        <v>598</v>
      </c>
      <c r="O60" s="28" t="s">
        <v>545</v>
      </c>
      <c r="P60" s="28" t="s">
        <v>599</v>
      </c>
      <c r="Q60" s="28" t="s">
        <v>600</v>
      </c>
      <c r="R60" s="28" t="s">
        <v>601</v>
      </c>
      <c r="S60" s="28" t="s">
        <v>602</v>
      </c>
      <c r="T60" s="28" t="s">
        <v>603</v>
      </c>
      <c r="U60" s="28" t="s">
        <v>604</v>
      </c>
    </row>
    <row r="61" spans="1:21">
      <c r="A61" s="28" t="s">
        <v>605</v>
      </c>
      <c r="B61" s="31">
        <v>46140</v>
      </c>
      <c r="C61" s="29">
        <v>19129</v>
      </c>
      <c r="D61" s="29">
        <v>18358</v>
      </c>
      <c r="E61" s="29">
        <v>16940</v>
      </c>
      <c r="F61" s="29">
        <v>1418</v>
      </c>
      <c r="G61" s="29">
        <v>16490</v>
      </c>
      <c r="H61" s="29">
        <v>1705</v>
      </c>
      <c r="I61" s="29">
        <v>1322</v>
      </c>
      <c r="J61" s="29">
        <v>678</v>
      </c>
      <c r="K61" s="30">
        <v>1152</v>
      </c>
      <c r="L61" s="29">
        <v>366</v>
      </c>
      <c r="M61" s="28" t="s">
        <v>606</v>
      </c>
      <c r="N61" s="28" t="s">
        <v>607</v>
      </c>
      <c r="O61" s="28" t="s">
        <v>608</v>
      </c>
      <c r="P61" s="28" t="s">
        <v>609</v>
      </c>
      <c r="Q61" s="28" t="s">
        <v>610</v>
      </c>
      <c r="R61" s="28" t="s">
        <v>611</v>
      </c>
      <c r="S61" s="28" t="s">
        <v>188</v>
      </c>
      <c r="T61" s="28" t="s">
        <v>612</v>
      </c>
      <c r="U61" s="28" t="s">
        <v>613</v>
      </c>
    </row>
    <row r="62" spans="1:21">
      <c r="A62" s="28" t="s">
        <v>614</v>
      </c>
      <c r="B62" s="31">
        <v>46141</v>
      </c>
      <c r="C62" s="29">
        <v>18778</v>
      </c>
      <c r="D62" s="29">
        <v>19280</v>
      </c>
      <c r="E62" s="29">
        <v>17871</v>
      </c>
      <c r="F62" s="29">
        <v>1409</v>
      </c>
      <c r="G62" s="29">
        <v>16628</v>
      </c>
      <c r="H62" s="29">
        <v>1960</v>
      </c>
      <c r="I62" s="29">
        <v>1608</v>
      </c>
      <c r="J62" s="29">
        <v>1736</v>
      </c>
      <c r="K62" s="30">
        <v>3005</v>
      </c>
      <c r="L62" s="29">
        <v>283</v>
      </c>
      <c r="M62" s="28" t="s">
        <v>615</v>
      </c>
      <c r="N62" s="28" t="s">
        <v>306</v>
      </c>
      <c r="O62" s="28" t="s">
        <v>616</v>
      </c>
      <c r="P62" s="28" t="s">
        <v>617</v>
      </c>
      <c r="Q62" s="28" t="s">
        <v>618</v>
      </c>
      <c r="R62" s="28" t="s">
        <v>618</v>
      </c>
      <c r="S62" s="28" t="s">
        <v>619</v>
      </c>
      <c r="T62" s="28" t="s">
        <v>620</v>
      </c>
      <c r="U62" s="28" t="s">
        <v>621</v>
      </c>
    </row>
    <row r="63" spans="1:21">
      <c r="A63" s="28" t="s">
        <v>622</v>
      </c>
      <c r="B63" s="31">
        <v>46142</v>
      </c>
      <c r="C63" s="29">
        <v>20027</v>
      </c>
      <c r="D63" s="29">
        <v>19336</v>
      </c>
      <c r="E63" s="29">
        <v>17810</v>
      </c>
      <c r="F63" s="29">
        <v>1526</v>
      </c>
      <c r="G63" s="29">
        <v>18351</v>
      </c>
      <c r="H63" s="29">
        <v>2930</v>
      </c>
      <c r="I63" s="29">
        <v>2772</v>
      </c>
      <c r="J63" s="29">
        <v>3171</v>
      </c>
      <c r="K63" s="30">
        <v>7038</v>
      </c>
      <c r="L63" s="29">
        <v>155</v>
      </c>
      <c r="M63" s="28" t="s">
        <v>623</v>
      </c>
      <c r="N63" s="28" t="s">
        <v>624</v>
      </c>
      <c r="O63" s="28" t="s">
        <v>625</v>
      </c>
      <c r="P63" s="28" t="s">
        <v>626</v>
      </c>
      <c r="Q63" s="28" t="s">
        <v>382</v>
      </c>
      <c r="R63" s="28" t="s">
        <v>627</v>
      </c>
      <c r="S63" s="28" t="s">
        <v>628</v>
      </c>
      <c r="T63" s="28" t="s">
        <v>629</v>
      </c>
      <c r="U63" s="28" t="s">
        <v>630</v>
      </c>
    </row>
  </sheetData>
  <autoFilter ref="A1:U1" xr:uid="{00000000-0009-0000-0000-000004000000}"/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92D050"/>
  </sheetPr>
  <dimension ref="A1:U63"/>
  <sheetViews>
    <sheetView topLeftCell="A19" workbookViewId="0">
      <selection sqref="A1:XFD1048576"/>
    </sheetView>
  </sheetViews>
  <sheetFormatPr defaultRowHeight="14.25"/>
  <cols>
    <col min="1" max="1" width="3.875" customWidth="1"/>
    <col min="2" max="21" width="23.5" customWidth="1"/>
    <col min="22" max="23" width="8" customWidth="1"/>
  </cols>
  <sheetData>
    <row r="1" spans="1:21">
      <c r="A1" s="27" t="s">
        <v>23</v>
      </c>
      <c r="B1" s="27" t="s">
        <v>90</v>
      </c>
      <c r="C1" s="27" t="s">
        <v>91</v>
      </c>
      <c r="D1" s="27" t="s">
        <v>92</v>
      </c>
      <c r="E1" s="27" t="s">
        <v>93</v>
      </c>
      <c r="F1" s="27" t="s">
        <v>94</v>
      </c>
      <c r="G1" s="27" t="s">
        <v>35</v>
      </c>
      <c r="H1" s="27" t="s">
        <v>95</v>
      </c>
      <c r="I1" s="27" t="s">
        <v>96</v>
      </c>
      <c r="J1" s="27" t="s">
        <v>97</v>
      </c>
      <c r="K1" s="27" t="s">
        <v>98</v>
      </c>
      <c r="L1" s="27" t="s">
        <v>52</v>
      </c>
      <c r="M1" s="27" t="s">
        <v>99</v>
      </c>
      <c r="N1" s="27" t="s">
        <v>100</v>
      </c>
      <c r="O1" s="27" t="s">
        <v>101</v>
      </c>
      <c r="P1" s="27" t="s">
        <v>102</v>
      </c>
      <c r="Q1" s="27" t="s">
        <v>103</v>
      </c>
      <c r="R1" s="27" t="s">
        <v>104</v>
      </c>
      <c r="S1" s="27" t="s">
        <v>105</v>
      </c>
      <c r="T1" s="27" t="s">
        <v>106</v>
      </c>
      <c r="U1" s="27" t="s">
        <v>107</v>
      </c>
    </row>
    <row r="2" spans="1:21">
      <c r="A2" s="28" t="s">
        <v>108</v>
      </c>
      <c r="B2" s="28" t="s">
        <v>10</v>
      </c>
      <c r="C2" s="29">
        <v>111033</v>
      </c>
      <c r="D2" s="29">
        <v>111146</v>
      </c>
      <c r="E2" s="29">
        <v>98582</v>
      </c>
      <c r="F2" s="29">
        <v>12564</v>
      </c>
      <c r="G2" s="29">
        <v>80255</v>
      </c>
      <c r="H2" s="29">
        <v>4676</v>
      </c>
      <c r="I2" s="29">
        <v>1720</v>
      </c>
      <c r="J2" s="29">
        <v>1230</v>
      </c>
      <c r="K2" s="30">
        <v>57567</v>
      </c>
      <c r="L2" s="29">
        <v>7172</v>
      </c>
      <c r="M2" s="28" t="s">
        <v>631</v>
      </c>
      <c r="N2" s="28" t="s">
        <v>632</v>
      </c>
      <c r="O2" s="28" t="s">
        <v>633</v>
      </c>
      <c r="P2" s="28" t="s">
        <v>634</v>
      </c>
      <c r="Q2" s="28" t="s">
        <v>428</v>
      </c>
      <c r="R2" s="28" t="s">
        <v>635</v>
      </c>
      <c r="S2" s="28" t="s">
        <v>636</v>
      </c>
      <c r="T2" s="28" t="s">
        <v>637</v>
      </c>
      <c r="U2" s="28" t="s">
        <v>633</v>
      </c>
    </row>
    <row r="3" spans="1:21">
      <c r="A3" s="28" t="s">
        <v>118</v>
      </c>
      <c r="B3" s="31">
        <v>46082</v>
      </c>
      <c r="C3" s="29">
        <v>2730</v>
      </c>
      <c r="D3" s="29">
        <v>2740</v>
      </c>
      <c r="E3" s="29">
        <v>2383</v>
      </c>
      <c r="F3" s="29">
        <v>357</v>
      </c>
      <c r="G3" s="29">
        <v>1786</v>
      </c>
      <c r="H3" s="29">
        <v>69</v>
      </c>
      <c r="I3" s="29">
        <v>7</v>
      </c>
      <c r="J3" s="29">
        <v>15</v>
      </c>
      <c r="K3" s="30">
        <v>1223</v>
      </c>
      <c r="L3" s="29">
        <v>244</v>
      </c>
      <c r="M3" s="28" t="s">
        <v>638</v>
      </c>
      <c r="N3" s="28" t="s">
        <v>639</v>
      </c>
      <c r="O3" s="28" t="s">
        <v>191</v>
      </c>
      <c r="P3" s="28" t="s">
        <v>640</v>
      </c>
      <c r="Q3" s="28" t="s">
        <v>197</v>
      </c>
      <c r="R3" s="28" t="s">
        <v>641</v>
      </c>
      <c r="S3" s="28" t="s">
        <v>359</v>
      </c>
      <c r="T3" s="28" t="s">
        <v>230</v>
      </c>
      <c r="U3" s="28" t="s">
        <v>642</v>
      </c>
    </row>
    <row r="4" spans="1:21">
      <c r="A4" s="28" t="s">
        <v>128</v>
      </c>
      <c r="B4" s="31">
        <v>46083</v>
      </c>
      <c r="C4" s="29">
        <v>2910</v>
      </c>
      <c r="D4" s="29">
        <v>2913</v>
      </c>
      <c r="E4" s="29">
        <v>2544</v>
      </c>
      <c r="F4" s="29">
        <v>369</v>
      </c>
      <c r="G4" s="29">
        <v>1817</v>
      </c>
      <c r="H4" s="29">
        <v>80</v>
      </c>
      <c r="I4" s="29">
        <v>17</v>
      </c>
      <c r="J4" s="29">
        <v>7</v>
      </c>
      <c r="K4" s="30">
        <v>327</v>
      </c>
      <c r="L4" s="29">
        <v>252</v>
      </c>
      <c r="M4" s="28" t="s">
        <v>643</v>
      </c>
      <c r="N4" s="28" t="s">
        <v>644</v>
      </c>
      <c r="O4" s="28" t="s">
        <v>645</v>
      </c>
      <c r="P4" s="28" t="s">
        <v>646</v>
      </c>
      <c r="Q4" s="28" t="s">
        <v>191</v>
      </c>
      <c r="R4" s="28" t="s">
        <v>647</v>
      </c>
      <c r="S4" s="28" t="s">
        <v>207</v>
      </c>
      <c r="T4" s="28" t="s">
        <v>183</v>
      </c>
      <c r="U4" s="28" t="s">
        <v>633</v>
      </c>
    </row>
    <row r="5" spans="1:21">
      <c r="A5" s="28" t="s">
        <v>138</v>
      </c>
      <c r="B5" s="31">
        <v>46084</v>
      </c>
      <c r="C5" s="29">
        <v>2732</v>
      </c>
      <c r="D5" s="29">
        <v>2749</v>
      </c>
      <c r="E5" s="29">
        <v>2408</v>
      </c>
      <c r="F5" s="29">
        <v>341</v>
      </c>
      <c r="G5" s="29">
        <v>1789</v>
      </c>
      <c r="H5" s="29">
        <v>39</v>
      </c>
      <c r="I5" s="29">
        <v>13</v>
      </c>
      <c r="J5" s="29">
        <v>3</v>
      </c>
      <c r="K5" s="30">
        <v>579</v>
      </c>
      <c r="L5" s="29">
        <v>261</v>
      </c>
      <c r="M5" s="28" t="s">
        <v>648</v>
      </c>
      <c r="N5" s="28" t="s">
        <v>649</v>
      </c>
      <c r="O5" s="28" t="s">
        <v>650</v>
      </c>
      <c r="P5" s="28" t="s">
        <v>651</v>
      </c>
      <c r="Q5" s="28" t="s">
        <v>436</v>
      </c>
      <c r="R5" s="28" t="s">
        <v>652</v>
      </c>
      <c r="S5" s="28" t="s">
        <v>528</v>
      </c>
      <c r="T5" s="28" t="s">
        <v>445</v>
      </c>
      <c r="U5" s="28" t="s">
        <v>653</v>
      </c>
    </row>
    <row r="6" spans="1:21">
      <c r="A6" s="28" t="s">
        <v>148</v>
      </c>
      <c r="B6" s="31">
        <v>46085</v>
      </c>
      <c r="C6" s="29">
        <v>2531</v>
      </c>
      <c r="D6" s="29">
        <v>2723</v>
      </c>
      <c r="E6" s="29">
        <v>2388</v>
      </c>
      <c r="F6" s="29">
        <v>335</v>
      </c>
      <c r="G6" s="29">
        <v>1728</v>
      </c>
      <c r="H6" s="29">
        <v>87</v>
      </c>
      <c r="I6" s="29">
        <v>12</v>
      </c>
      <c r="J6" s="29">
        <v>4</v>
      </c>
      <c r="K6" s="30">
        <v>360</v>
      </c>
      <c r="L6" s="29">
        <v>240</v>
      </c>
      <c r="M6" s="28" t="s">
        <v>654</v>
      </c>
      <c r="N6" s="28" t="s">
        <v>655</v>
      </c>
      <c r="O6" s="28" t="s">
        <v>349</v>
      </c>
      <c r="P6" s="28" t="s">
        <v>656</v>
      </c>
      <c r="Q6" s="28" t="s">
        <v>657</v>
      </c>
      <c r="R6" s="28" t="s">
        <v>658</v>
      </c>
      <c r="S6" s="28" t="s">
        <v>143</v>
      </c>
      <c r="T6" s="28" t="s">
        <v>443</v>
      </c>
      <c r="U6" s="28" t="s">
        <v>637</v>
      </c>
    </row>
    <row r="7" spans="1:21">
      <c r="A7" s="28" t="s">
        <v>157</v>
      </c>
      <c r="B7" s="31">
        <v>46086</v>
      </c>
      <c r="C7" s="29">
        <v>2495</v>
      </c>
      <c r="D7" s="29">
        <v>2317</v>
      </c>
      <c r="E7" s="29">
        <v>2047</v>
      </c>
      <c r="F7" s="29">
        <v>270</v>
      </c>
      <c r="G7" s="29">
        <v>1632</v>
      </c>
      <c r="H7" s="29">
        <v>81</v>
      </c>
      <c r="I7" s="29">
        <v>7</v>
      </c>
      <c r="J7" s="29">
        <v>3</v>
      </c>
      <c r="K7" s="30">
        <v>379</v>
      </c>
      <c r="L7" s="29">
        <v>226</v>
      </c>
      <c r="M7" s="28" t="s">
        <v>659</v>
      </c>
      <c r="N7" s="28" t="s">
        <v>660</v>
      </c>
      <c r="O7" s="28" t="s">
        <v>661</v>
      </c>
      <c r="P7" s="28" t="s">
        <v>662</v>
      </c>
      <c r="Q7" s="28" t="s">
        <v>663</v>
      </c>
      <c r="R7" s="28" t="s">
        <v>224</v>
      </c>
      <c r="S7" s="28" t="s">
        <v>664</v>
      </c>
      <c r="T7" s="28" t="s">
        <v>665</v>
      </c>
      <c r="U7" s="28" t="s">
        <v>126</v>
      </c>
    </row>
    <row r="8" spans="1:21">
      <c r="A8" s="28" t="s">
        <v>166</v>
      </c>
      <c r="B8" s="31">
        <v>46087</v>
      </c>
      <c r="C8" s="29">
        <v>2411</v>
      </c>
      <c r="D8" s="29">
        <v>2441</v>
      </c>
      <c r="E8" s="29">
        <v>2109</v>
      </c>
      <c r="F8" s="29">
        <v>332</v>
      </c>
      <c r="G8" s="29">
        <v>1631</v>
      </c>
      <c r="H8" s="29">
        <v>84</v>
      </c>
      <c r="I8" s="29">
        <v>13</v>
      </c>
      <c r="J8" s="29">
        <v>11</v>
      </c>
      <c r="K8" s="30">
        <v>314</v>
      </c>
      <c r="L8" s="29">
        <v>248</v>
      </c>
      <c r="M8" s="28" t="s">
        <v>666</v>
      </c>
      <c r="N8" s="28" t="s">
        <v>667</v>
      </c>
      <c r="O8" s="28" t="s">
        <v>668</v>
      </c>
      <c r="P8" s="28" t="s">
        <v>669</v>
      </c>
      <c r="Q8" s="28" t="s">
        <v>449</v>
      </c>
      <c r="R8" s="28" t="s">
        <v>272</v>
      </c>
      <c r="S8" s="28" t="s">
        <v>200</v>
      </c>
      <c r="T8" s="28" t="s">
        <v>373</v>
      </c>
      <c r="U8" s="28" t="s">
        <v>670</v>
      </c>
    </row>
    <row r="9" spans="1:21">
      <c r="A9" s="28" t="s">
        <v>175</v>
      </c>
      <c r="B9" s="31">
        <v>46088</v>
      </c>
      <c r="C9" s="29">
        <v>2414</v>
      </c>
      <c r="D9" s="29">
        <v>2200</v>
      </c>
      <c r="E9" s="29">
        <v>1943</v>
      </c>
      <c r="F9" s="29">
        <v>257</v>
      </c>
      <c r="G9" s="29">
        <v>1643</v>
      </c>
      <c r="H9" s="29">
        <v>111</v>
      </c>
      <c r="I9" s="29">
        <v>11</v>
      </c>
      <c r="J9" s="29">
        <v>3</v>
      </c>
      <c r="K9" s="30">
        <v>308</v>
      </c>
      <c r="L9" s="29">
        <v>204</v>
      </c>
      <c r="M9" s="28" t="s">
        <v>671</v>
      </c>
      <c r="N9" s="28" t="s">
        <v>672</v>
      </c>
      <c r="O9" s="28" t="s">
        <v>449</v>
      </c>
      <c r="P9" s="28" t="s">
        <v>673</v>
      </c>
      <c r="Q9" s="28" t="s">
        <v>663</v>
      </c>
      <c r="R9" s="28" t="s">
        <v>656</v>
      </c>
      <c r="S9" s="28" t="s">
        <v>373</v>
      </c>
      <c r="T9" s="28" t="s">
        <v>665</v>
      </c>
      <c r="U9" s="28" t="s">
        <v>674</v>
      </c>
    </row>
    <row r="10" spans="1:21">
      <c r="A10" s="28" t="s">
        <v>185</v>
      </c>
      <c r="B10" s="31">
        <v>46089</v>
      </c>
      <c r="C10" s="29">
        <v>2343</v>
      </c>
      <c r="D10" s="29">
        <v>2540</v>
      </c>
      <c r="E10" s="29">
        <v>2261</v>
      </c>
      <c r="F10" s="29">
        <v>279</v>
      </c>
      <c r="G10" s="29">
        <v>1579</v>
      </c>
      <c r="H10" s="29">
        <v>92</v>
      </c>
      <c r="I10" s="29">
        <v>11</v>
      </c>
      <c r="J10" s="29">
        <v>2</v>
      </c>
      <c r="K10" s="30">
        <v>314</v>
      </c>
      <c r="L10" s="29">
        <v>191</v>
      </c>
      <c r="M10" s="28" t="s">
        <v>675</v>
      </c>
      <c r="N10" s="28" t="s">
        <v>632</v>
      </c>
      <c r="O10" s="28" t="s">
        <v>676</v>
      </c>
      <c r="P10" s="28" t="s">
        <v>414</v>
      </c>
      <c r="Q10" s="28" t="s">
        <v>155</v>
      </c>
      <c r="R10" s="28" t="s">
        <v>404</v>
      </c>
      <c r="S10" s="28" t="s">
        <v>143</v>
      </c>
      <c r="T10" s="28" t="s">
        <v>458</v>
      </c>
      <c r="U10" s="28" t="s">
        <v>521</v>
      </c>
    </row>
    <row r="11" spans="1:21">
      <c r="A11" s="28" t="s">
        <v>193</v>
      </c>
      <c r="B11" s="31">
        <v>46090</v>
      </c>
      <c r="C11" s="29">
        <v>2314</v>
      </c>
      <c r="D11" s="29">
        <v>2392</v>
      </c>
      <c r="E11" s="29">
        <v>2056</v>
      </c>
      <c r="F11" s="29">
        <v>336</v>
      </c>
      <c r="G11" s="29">
        <v>1611</v>
      </c>
      <c r="H11" s="29">
        <v>75</v>
      </c>
      <c r="I11" s="29">
        <v>14</v>
      </c>
      <c r="J11" s="29">
        <v>6</v>
      </c>
      <c r="K11" s="30">
        <v>361</v>
      </c>
      <c r="L11" s="29">
        <v>196</v>
      </c>
      <c r="M11" s="28" t="s">
        <v>677</v>
      </c>
      <c r="N11" s="28" t="s">
        <v>678</v>
      </c>
      <c r="O11" s="28" t="s">
        <v>679</v>
      </c>
      <c r="P11" s="28" t="s">
        <v>680</v>
      </c>
      <c r="Q11" s="28" t="s">
        <v>136</v>
      </c>
      <c r="R11" s="28" t="s">
        <v>456</v>
      </c>
      <c r="S11" s="28" t="s">
        <v>372</v>
      </c>
      <c r="T11" s="28" t="s">
        <v>359</v>
      </c>
      <c r="U11" s="28" t="s">
        <v>681</v>
      </c>
    </row>
    <row r="12" spans="1:21">
      <c r="A12" s="28" t="s">
        <v>202</v>
      </c>
      <c r="B12" s="31">
        <v>46091</v>
      </c>
      <c r="C12" s="29">
        <v>2063</v>
      </c>
      <c r="D12" s="29">
        <v>2262</v>
      </c>
      <c r="E12" s="29">
        <v>1942</v>
      </c>
      <c r="F12" s="29">
        <v>320</v>
      </c>
      <c r="G12" s="29">
        <v>1445</v>
      </c>
      <c r="H12" s="29">
        <v>71</v>
      </c>
      <c r="I12" s="29">
        <v>12</v>
      </c>
      <c r="J12" s="29">
        <v>-11</v>
      </c>
      <c r="K12" s="30">
        <v>371</v>
      </c>
      <c r="L12" s="29">
        <v>135</v>
      </c>
      <c r="M12" s="28" t="s">
        <v>682</v>
      </c>
      <c r="N12" s="28" t="s">
        <v>363</v>
      </c>
      <c r="O12" s="28" t="s">
        <v>481</v>
      </c>
      <c r="P12" s="28" t="s">
        <v>683</v>
      </c>
      <c r="Q12" s="28" t="s">
        <v>684</v>
      </c>
      <c r="R12" s="28" t="s">
        <v>658</v>
      </c>
      <c r="S12" s="28" t="s">
        <v>207</v>
      </c>
      <c r="T12" s="28" t="s">
        <v>685</v>
      </c>
      <c r="U12" s="28" t="s">
        <v>686</v>
      </c>
    </row>
    <row r="13" spans="1:21">
      <c r="A13" s="28" t="s">
        <v>211</v>
      </c>
      <c r="B13" s="31">
        <v>46092</v>
      </c>
      <c r="C13" s="29">
        <v>2060</v>
      </c>
      <c r="D13" s="29">
        <v>1908</v>
      </c>
      <c r="E13" s="29">
        <v>1687</v>
      </c>
      <c r="F13" s="29">
        <v>221</v>
      </c>
      <c r="G13" s="29">
        <v>1382</v>
      </c>
      <c r="H13" s="29">
        <v>70</v>
      </c>
      <c r="I13" s="29">
        <v>12</v>
      </c>
      <c r="J13" s="29">
        <v>5</v>
      </c>
      <c r="K13" s="30">
        <v>496</v>
      </c>
      <c r="L13" s="29">
        <v>164</v>
      </c>
      <c r="M13" s="28" t="s">
        <v>687</v>
      </c>
      <c r="N13" s="28" t="s">
        <v>268</v>
      </c>
      <c r="O13" s="28" t="s">
        <v>679</v>
      </c>
      <c r="P13" s="28" t="s">
        <v>688</v>
      </c>
      <c r="Q13" s="28" t="s">
        <v>689</v>
      </c>
      <c r="R13" s="28" t="s">
        <v>690</v>
      </c>
      <c r="S13" s="28" t="s">
        <v>207</v>
      </c>
      <c r="T13" s="28" t="s">
        <v>183</v>
      </c>
      <c r="U13" s="28" t="s">
        <v>244</v>
      </c>
    </row>
    <row r="14" spans="1:21">
      <c r="A14" s="28" t="s">
        <v>218</v>
      </c>
      <c r="B14" s="31">
        <v>46093</v>
      </c>
      <c r="C14" s="29">
        <v>2042</v>
      </c>
      <c r="D14" s="29">
        <v>2082</v>
      </c>
      <c r="E14" s="29">
        <v>1818</v>
      </c>
      <c r="F14" s="29">
        <v>264</v>
      </c>
      <c r="G14" s="29">
        <v>1430</v>
      </c>
      <c r="H14" s="29">
        <v>86</v>
      </c>
      <c r="I14" s="29">
        <v>16</v>
      </c>
      <c r="J14" s="29">
        <v>0</v>
      </c>
      <c r="K14" s="30">
        <v>263</v>
      </c>
      <c r="L14" s="29">
        <v>162</v>
      </c>
      <c r="M14" s="28" t="s">
        <v>691</v>
      </c>
      <c r="N14" s="28" t="s">
        <v>692</v>
      </c>
      <c r="O14" s="28" t="s">
        <v>693</v>
      </c>
      <c r="P14" s="28" t="s">
        <v>450</v>
      </c>
      <c r="Q14" s="28" t="s">
        <v>450</v>
      </c>
      <c r="R14" s="28" t="s">
        <v>635</v>
      </c>
      <c r="S14" s="28" t="s">
        <v>345</v>
      </c>
      <c r="T14" s="28" t="s">
        <v>450</v>
      </c>
      <c r="U14" s="28" t="s">
        <v>450</v>
      </c>
    </row>
    <row r="15" spans="1:21">
      <c r="A15" s="28" t="s">
        <v>227</v>
      </c>
      <c r="B15" s="31">
        <v>46094</v>
      </c>
      <c r="C15" s="29">
        <v>2399</v>
      </c>
      <c r="D15" s="29">
        <v>1916</v>
      </c>
      <c r="E15" s="29">
        <v>1729</v>
      </c>
      <c r="F15" s="29">
        <v>187</v>
      </c>
      <c r="G15" s="29">
        <v>1695</v>
      </c>
      <c r="H15" s="29">
        <v>67</v>
      </c>
      <c r="I15" s="29">
        <v>3</v>
      </c>
      <c r="J15" s="29">
        <v>-5</v>
      </c>
      <c r="K15" s="30">
        <v>198</v>
      </c>
      <c r="L15" s="29">
        <v>222</v>
      </c>
      <c r="M15" s="28" t="s">
        <v>694</v>
      </c>
      <c r="N15" s="28" t="s">
        <v>695</v>
      </c>
      <c r="O15" s="28" t="s">
        <v>663</v>
      </c>
      <c r="P15" s="28" t="s">
        <v>696</v>
      </c>
      <c r="Q15" s="28" t="s">
        <v>697</v>
      </c>
      <c r="R15" s="28" t="s">
        <v>113</v>
      </c>
      <c r="S15" s="28" t="s">
        <v>155</v>
      </c>
      <c r="T15" s="28" t="s">
        <v>698</v>
      </c>
      <c r="U15" s="28" t="s">
        <v>699</v>
      </c>
    </row>
    <row r="16" spans="1:21">
      <c r="A16" s="28" t="s">
        <v>236</v>
      </c>
      <c r="B16" s="31">
        <v>46095</v>
      </c>
      <c r="C16" s="29">
        <v>2375</v>
      </c>
      <c r="D16" s="29">
        <v>2788</v>
      </c>
      <c r="E16" s="29">
        <v>2423</v>
      </c>
      <c r="F16" s="29">
        <v>365</v>
      </c>
      <c r="G16" s="29">
        <v>1583</v>
      </c>
      <c r="H16" s="29">
        <v>118</v>
      </c>
      <c r="I16" s="29">
        <v>33</v>
      </c>
      <c r="J16" s="29">
        <v>8</v>
      </c>
      <c r="K16" s="30">
        <v>613</v>
      </c>
      <c r="L16" s="29">
        <v>201</v>
      </c>
      <c r="M16" s="28" t="s">
        <v>237</v>
      </c>
      <c r="N16" s="28" t="s">
        <v>700</v>
      </c>
      <c r="O16" s="28" t="s">
        <v>701</v>
      </c>
      <c r="P16" s="28" t="s">
        <v>544</v>
      </c>
      <c r="Q16" s="28" t="s">
        <v>702</v>
      </c>
      <c r="R16" s="28" t="s">
        <v>703</v>
      </c>
      <c r="S16" s="28" t="s">
        <v>704</v>
      </c>
      <c r="T16" s="28" t="s">
        <v>171</v>
      </c>
      <c r="U16" s="28" t="s">
        <v>705</v>
      </c>
    </row>
    <row r="17" spans="1:21">
      <c r="A17" s="28" t="s">
        <v>246</v>
      </c>
      <c r="B17" s="31">
        <v>46096</v>
      </c>
      <c r="C17" s="29">
        <v>2305</v>
      </c>
      <c r="D17" s="29">
        <v>2220</v>
      </c>
      <c r="E17" s="29">
        <v>2014</v>
      </c>
      <c r="F17" s="29">
        <v>206</v>
      </c>
      <c r="G17" s="29">
        <v>1599</v>
      </c>
      <c r="H17" s="29">
        <v>144</v>
      </c>
      <c r="I17" s="29">
        <v>25</v>
      </c>
      <c r="J17" s="29">
        <v>14</v>
      </c>
      <c r="K17" s="30">
        <v>744</v>
      </c>
      <c r="L17" s="29">
        <v>196</v>
      </c>
      <c r="M17" s="28" t="s">
        <v>706</v>
      </c>
      <c r="N17" s="28" t="s">
        <v>707</v>
      </c>
      <c r="O17" s="28" t="s">
        <v>708</v>
      </c>
      <c r="P17" s="28" t="s">
        <v>709</v>
      </c>
      <c r="Q17" s="28" t="s">
        <v>710</v>
      </c>
      <c r="R17" s="28" t="s">
        <v>711</v>
      </c>
      <c r="S17" s="28" t="s">
        <v>712</v>
      </c>
      <c r="T17" s="28" t="s">
        <v>372</v>
      </c>
      <c r="U17" s="28" t="s">
        <v>713</v>
      </c>
    </row>
    <row r="18" spans="1:21">
      <c r="A18" s="28" t="s">
        <v>255</v>
      </c>
      <c r="B18" s="31">
        <v>46097</v>
      </c>
      <c r="C18" s="29">
        <v>2680</v>
      </c>
      <c r="D18" s="29">
        <v>2598</v>
      </c>
      <c r="E18" s="29">
        <v>2265</v>
      </c>
      <c r="F18" s="29">
        <v>333</v>
      </c>
      <c r="G18" s="29">
        <v>1928</v>
      </c>
      <c r="H18" s="29">
        <v>119</v>
      </c>
      <c r="I18" s="29">
        <v>51</v>
      </c>
      <c r="J18" s="29">
        <v>32</v>
      </c>
      <c r="K18" s="30">
        <v>1081</v>
      </c>
      <c r="L18" s="29">
        <v>177</v>
      </c>
      <c r="M18" s="28" t="s">
        <v>714</v>
      </c>
      <c r="N18" s="28" t="s">
        <v>715</v>
      </c>
      <c r="O18" s="28" t="s">
        <v>716</v>
      </c>
      <c r="P18" s="28" t="s">
        <v>717</v>
      </c>
      <c r="Q18" s="28" t="s">
        <v>681</v>
      </c>
      <c r="R18" s="28" t="s">
        <v>572</v>
      </c>
      <c r="S18" s="28" t="s">
        <v>718</v>
      </c>
      <c r="T18" s="28" t="s">
        <v>719</v>
      </c>
      <c r="U18" s="28" t="s">
        <v>134</v>
      </c>
    </row>
    <row r="19" spans="1:21">
      <c r="A19" s="28" t="s">
        <v>265</v>
      </c>
      <c r="B19" s="31">
        <v>46098</v>
      </c>
      <c r="C19" s="29">
        <v>2202</v>
      </c>
      <c r="D19" s="29">
        <v>2244</v>
      </c>
      <c r="E19" s="29">
        <v>1918</v>
      </c>
      <c r="F19" s="29">
        <v>326</v>
      </c>
      <c r="G19" s="29">
        <v>1528</v>
      </c>
      <c r="H19" s="29">
        <v>115</v>
      </c>
      <c r="I19" s="29">
        <v>43</v>
      </c>
      <c r="J19" s="29">
        <v>34</v>
      </c>
      <c r="K19" s="30">
        <v>1210</v>
      </c>
      <c r="L19" s="29">
        <v>141</v>
      </c>
      <c r="M19" s="28" t="s">
        <v>720</v>
      </c>
      <c r="N19" s="28" t="s">
        <v>721</v>
      </c>
      <c r="O19" s="28" t="s">
        <v>722</v>
      </c>
      <c r="P19" s="28" t="s">
        <v>723</v>
      </c>
      <c r="Q19" s="28" t="s">
        <v>724</v>
      </c>
      <c r="R19" s="28" t="s">
        <v>725</v>
      </c>
      <c r="S19" s="28" t="s">
        <v>726</v>
      </c>
      <c r="T19" s="28" t="s">
        <v>727</v>
      </c>
      <c r="U19" s="28" t="s">
        <v>722</v>
      </c>
    </row>
    <row r="20" spans="1:21">
      <c r="A20" s="28" t="s">
        <v>275</v>
      </c>
      <c r="B20" s="31">
        <v>46099</v>
      </c>
      <c r="C20" s="29">
        <v>2098</v>
      </c>
      <c r="D20" s="29">
        <v>2201</v>
      </c>
      <c r="E20" s="29">
        <v>1875</v>
      </c>
      <c r="F20" s="29">
        <v>326</v>
      </c>
      <c r="G20" s="29">
        <v>1529</v>
      </c>
      <c r="H20" s="29">
        <v>90</v>
      </c>
      <c r="I20" s="29">
        <v>34</v>
      </c>
      <c r="J20" s="29">
        <v>26</v>
      </c>
      <c r="K20" s="30">
        <v>1004</v>
      </c>
      <c r="L20" s="29">
        <v>142</v>
      </c>
      <c r="M20" s="28" t="s">
        <v>728</v>
      </c>
      <c r="N20" s="28" t="s">
        <v>729</v>
      </c>
      <c r="O20" s="28" t="s">
        <v>730</v>
      </c>
      <c r="P20" s="28" t="s">
        <v>731</v>
      </c>
      <c r="Q20" s="28" t="s">
        <v>732</v>
      </c>
      <c r="R20" s="28" t="s">
        <v>733</v>
      </c>
      <c r="S20" s="28" t="s">
        <v>734</v>
      </c>
      <c r="T20" s="28" t="s">
        <v>735</v>
      </c>
      <c r="U20" s="28" t="s">
        <v>736</v>
      </c>
    </row>
    <row r="21" spans="1:21">
      <c r="A21" s="28" t="s">
        <v>284</v>
      </c>
      <c r="B21" s="31">
        <v>46100</v>
      </c>
      <c r="C21" s="29">
        <v>2228</v>
      </c>
      <c r="D21" s="29">
        <v>2026</v>
      </c>
      <c r="E21" s="29">
        <v>1771</v>
      </c>
      <c r="F21" s="29">
        <v>255</v>
      </c>
      <c r="G21" s="29">
        <v>1611</v>
      </c>
      <c r="H21" s="29">
        <v>126</v>
      </c>
      <c r="I21" s="29">
        <v>58</v>
      </c>
      <c r="J21" s="29">
        <v>25</v>
      </c>
      <c r="K21" s="30">
        <v>1304</v>
      </c>
      <c r="L21" s="29">
        <v>161</v>
      </c>
      <c r="M21" s="28" t="s">
        <v>737</v>
      </c>
      <c r="N21" s="28" t="s">
        <v>738</v>
      </c>
      <c r="O21" s="28" t="s">
        <v>216</v>
      </c>
      <c r="P21" s="28" t="s">
        <v>739</v>
      </c>
      <c r="Q21" s="28" t="s">
        <v>636</v>
      </c>
      <c r="R21" s="28" t="s">
        <v>740</v>
      </c>
      <c r="S21" s="28" t="s">
        <v>741</v>
      </c>
      <c r="T21" s="28" t="s">
        <v>693</v>
      </c>
      <c r="U21" s="28" t="s">
        <v>742</v>
      </c>
    </row>
    <row r="22" spans="1:21">
      <c r="A22" s="28" t="s">
        <v>294</v>
      </c>
      <c r="B22" s="31">
        <v>46101</v>
      </c>
      <c r="C22" s="29">
        <v>2020</v>
      </c>
      <c r="D22" s="29">
        <v>2435</v>
      </c>
      <c r="E22" s="29">
        <v>2149</v>
      </c>
      <c r="F22" s="29">
        <v>286</v>
      </c>
      <c r="G22" s="29">
        <v>1442</v>
      </c>
      <c r="H22" s="29">
        <v>131</v>
      </c>
      <c r="I22" s="29">
        <v>61</v>
      </c>
      <c r="J22" s="29">
        <v>44</v>
      </c>
      <c r="K22" s="30">
        <v>1391</v>
      </c>
      <c r="L22" s="29">
        <v>160</v>
      </c>
      <c r="M22" s="28" t="s">
        <v>743</v>
      </c>
      <c r="N22" s="28" t="s">
        <v>744</v>
      </c>
      <c r="O22" s="28" t="s">
        <v>745</v>
      </c>
      <c r="P22" s="28" t="s">
        <v>746</v>
      </c>
      <c r="Q22" s="28" t="s">
        <v>747</v>
      </c>
      <c r="R22" s="28" t="s">
        <v>748</v>
      </c>
      <c r="S22" s="28" t="s">
        <v>749</v>
      </c>
      <c r="T22" s="28" t="s">
        <v>649</v>
      </c>
      <c r="U22" s="28" t="s">
        <v>750</v>
      </c>
    </row>
    <row r="23" spans="1:21">
      <c r="A23" s="28" t="s">
        <v>304</v>
      </c>
      <c r="B23" s="31">
        <v>46102</v>
      </c>
      <c r="C23" s="29">
        <v>2125</v>
      </c>
      <c r="D23" s="29">
        <v>1791</v>
      </c>
      <c r="E23" s="29">
        <v>1631</v>
      </c>
      <c r="F23" s="29">
        <v>160</v>
      </c>
      <c r="G23" s="29">
        <v>1462</v>
      </c>
      <c r="H23" s="29">
        <v>144</v>
      </c>
      <c r="I23" s="29">
        <v>49</v>
      </c>
      <c r="J23" s="29">
        <v>46</v>
      </c>
      <c r="K23" s="30">
        <v>1390</v>
      </c>
      <c r="L23" s="29">
        <v>141</v>
      </c>
      <c r="M23" s="28" t="s">
        <v>751</v>
      </c>
      <c r="N23" s="28" t="s">
        <v>329</v>
      </c>
      <c r="O23" s="28" t="s">
        <v>172</v>
      </c>
      <c r="P23" s="28" t="s">
        <v>752</v>
      </c>
      <c r="Q23" s="28" t="s">
        <v>273</v>
      </c>
      <c r="R23" s="28" t="s">
        <v>544</v>
      </c>
      <c r="S23" s="28" t="s">
        <v>753</v>
      </c>
      <c r="T23" s="28" t="s">
        <v>571</v>
      </c>
      <c r="U23" s="28" t="s">
        <v>754</v>
      </c>
    </row>
    <row r="24" spans="1:21">
      <c r="A24" s="28" t="s">
        <v>312</v>
      </c>
      <c r="B24" s="31">
        <v>46103</v>
      </c>
      <c r="C24" s="29">
        <v>2512</v>
      </c>
      <c r="D24" s="29">
        <v>2424</v>
      </c>
      <c r="E24" s="29">
        <v>2208</v>
      </c>
      <c r="F24" s="29">
        <v>216</v>
      </c>
      <c r="G24" s="29">
        <v>1801</v>
      </c>
      <c r="H24" s="29">
        <v>235</v>
      </c>
      <c r="I24" s="29">
        <v>139</v>
      </c>
      <c r="J24" s="29">
        <v>37</v>
      </c>
      <c r="K24" s="30">
        <v>1492</v>
      </c>
      <c r="L24" s="29">
        <v>151</v>
      </c>
      <c r="M24" s="28" t="s">
        <v>755</v>
      </c>
      <c r="N24" s="28" t="s">
        <v>756</v>
      </c>
      <c r="O24" s="28" t="s">
        <v>757</v>
      </c>
      <c r="P24" s="28" t="s">
        <v>758</v>
      </c>
      <c r="Q24" s="28" t="s">
        <v>759</v>
      </c>
      <c r="R24" s="28" t="s">
        <v>760</v>
      </c>
      <c r="S24" s="28" t="s">
        <v>761</v>
      </c>
      <c r="T24" s="28" t="s">
        <v>762</v>
      </c>
      <c r="U24" s="28" t="s">
        <v>763</v>
      </c>
    </row>
    <row r="25" spans="1:21">
      <c r="A25" s="28" t="s">
        <v>322</v>
      </c>
      <c r="B25" s="31">
        <v>46104</v>
      </c>
      <c r="C25" s="29">
        <v>2276</v>
      </c>
      <c r="D25" s="29">
        <v>1588</v>
      </c>
      <c r="E25" s="29">
        <v>1433</v>
      </c>
      <c r="F25" s="29">
        <v>155</v>
      </c>
      <c r="G25" s="29">
        <v>1683</v>
      </c>
      <c r="H25" s="29">
        <v>209</v>
      </c>
      <c r="I25" s="29">
        <v>206</v>
      </c>
      <c r="J25" s="29">
        <v>181</v>
      </c>
      <c r="K25" s="30">
        <v>3506</v>
      </c>
      <c r="L25" s="29">
        <v>131</v>
      </c>
      <c r="M25" s="28" t="s">
        <v>764</v>
      </c>
      <c r="N25" s="28" t="s">
        <v>765</v>
      </c>
      <c r="O25" s="28" t="s">
        <v>766</v>
      </c>
      <c r="P25" s="28" t="s">
        <v>767</v>
      </c>
      <c r="Q25" s="28" t="s">
        <v>768</v>
      </c>
      <c r="R25" s="28" t="s">
        <v>769</v>
      </c>
      <c r="S25" s="28" t="s">
        <v>770</v>
      </c>
      <c r="T25" s="28" t="s">
        <v>771</v>
      </c>
      <c r="U25" s="28" t="s">
        <v>114</v>
      </c>
    </row>
    <row r="26" spans="1:21">
      <c r="A26" s="28" t="s">
        <v>332</v>
      </c>
      <c r="B26" s="31">
        <v>46105</v>
      </c>
      <c r="C26" s="29">
        <v>2142</v>
      </c>
      <c r="D26" s="29">
        <v>2756</v>
      </c>
      <c r="E26" s="29">
        <v>2408</v>
      </c>
      <c r="F26" s="29">
        <v>348</v>
      </c>
      <c r="G26" s="29">
        <v>1584</v>
      </c>
      <c r="H26" s="29">
        <v>184</v>
      </c>
      <c r="I26" s="29">
        <v>161</v>
      </c>
      <c r="J26" s="29">
        <v>325</v>
      </c>
      <c r="K26" s="30">
        <v>6162</v>
      </c>
      <c r="L26" s="29">
        <v>136</v>
      </c>
      <c r="M26" s="28" t="s">
        <v>764</v>
      </c>
      <c r="N26" s="28" t="s">
        <v>772</v>
      </c>
      <c r="O26" s="28" t="s">
        <v>773</v>
      </c>
      <c r="P26" s="28" t="s">
        <v>774</v>
      </c>
      <c r="Q26" s="28" t="s">
        <v>775</v>
      </c>
      <c r="R26" s="28" t="s">
        <v>776</v>
      </c>
      <c r="S26" s="28" t="s">
        <v>777</v>
      </c>
      <c r="T26" s="28" t="s">
        <v>778</v>
      </c>
      <c r="U26" s="28" t="s">
        <v>779</v>
      </c>
    </row>
    <row r="27" spans="1:21">
      <c r="A27" s="28" t="s">
        <v>342</v>
      </c>
      <c r="B27" s="31">
        <v>46106</v>
      </c>
      <c r="C27" s="29">
        <v>1908</v>
      </c>
      <c r="D27" s="29">
        <v>2183</v>
      </c>
      <c r="E27" s="29">
        <v>1930</v>
      </c>
      <c r="F27" s="29">
        <v>253</v>
      </c>
      <c r="G27" s="29">
        <v>1432</v>
      </c>
      <c r="H27" s="29">
        <v>66</v>
      </c>
      <c r="I27" s="29">
        <v>13</v>
      </c>
      <c r="J27" s="29">
        <v>3</v>
      </c>
      <c r="K27" s="30">
        <v>447</v>
      </c>
      <c r="L27" s="29">
        <v>104</v>
      </c>
      <c r="M27" s="28" t="s">
        <v>780</v>
      </c>
      <c r="N27" s="28" t="s">
        <v>781</v>
      </c>
      <c r="O27" s="28" t="s">
        <v>782</v>
      </c>
      <c r="P27" s="28" t="s">
        <v>783</v>
      </c>
      <c r="Q27" s="28" t="s">
        <v>153</v>
      </c>
      <c r="R27" s="28" t="s">
        <v>784</v>
      </c>
      <c r="S27" s="28" t="s">
        <v>354</v>
      </c>
      <c r="T27" s="28" t="s">
        <v>443</v>
      </c>
      <c r="U27" s="28" t="s">
        <v>449</v>
      </c>
    </row>
    <row r="28" spans="1:21">
      <c r="A28" s="28" t="s">
        <v>351</v>
      </c>
      <c r="B28" s="31">
        <v>46107</v>
      </c>
      <c r="C28" s="29">
        <v>1756</v>
      </c>
      <c r="D28" s="29">
        <v>1919</v>
      </c>
      <c r="E28" s="29">
        <v>1701</v>
      </c>
      <c r="F28" s="29">
        <v>218</v>
      </c>
      <c r="G28" s="29">
        <v>1368</v>
      </c>
      <c r="H28" s="29">
        <v>80</v>
      </c>
      <c r="I28" s="29">
        <v>5</v>
      </c>
      <c r="J28" s="29">
        <v>-1</v>
      </c>
      <c r="K28" s="30">
        <v>351</v>
      </c>
      <c r="L28" s="29">
        <v>96</v>
      </c>
      <c r="M28" s="28" t="s">
        <v>785</v>
      </c>
      <c r="N28" s="28" t="s">
        <v>786</v>
      </c>
      <c r="O28" s="28" t="s">
        <v>136</v>
      </c>
      <c r="P28" s="28" t="s">
        <v>787</v>
      </c>
      <c r="Q28" s="28" t="s">
        <v>506</v>
      </c>
      <c r="R28" s="28" t="s">
        <v>788</v>
      </c>
      <c r="S28" s="28" t="s">
        <v>664</v>
      </c>
      <c r="T28" s="28" t="s">
        <v>789</v>
      </c>
      <c r="U28" s="28" t="s">
        <v>790</v>
      </c>
    </row>
    <row r="29" spans="1:21">
      <c r="A29" s="28" t="s">
        <v>361</v>
      </c>
      <c r="B29" s="31">
        <v>46108</v>
      </c>
      <c r="C29" s="29">
        <v>1575</v>
      </c>
      <c r="D29" s="29">
        <v>1712</v>
      </c>
      <c r="E29" s="29">
        <v>1485</v>
      </c>
      <c r="F29" s="29">
        <v>227</v>
      </c>
      <c r="G29" s="29">
        <v>1225</v>
      </c>
      <c r="H29" s="29">
        <v>60</v>
      </c>
      <c r="I29" s="29">
        <v>9</v>
      </c>
      <c r="J29" s="29">
        <v>7</v>
      </c>
      <c r="K29" s="30">
        <v>576</v>
      </c>
      <c r="L29" s="29">
        <v>63</v>
      </c>
      <c r="M29" s="28" t="s">
        <v>791</v>
      </c>
      <c r="N29" s="28" t="s">
        <v>792</v>
      </c>
      <c r="O29" s="28" t="s">
        <v>650</v>
      </c>
      <c r="P29" s="28" t="s">
        <v>793</v>
      </c>
      <c r="Q29" s="28" t="s">
        <v>483</v>
      </c>
      <c r="R29" s="28" t="s">
        <v>413</v>
      </c>
      <c r="S29" s="28" t="s">
        <v>483</v>
      </c>
      <c r="T29" s="28" t="s">
        <v>452</v>
      </c>
      <c r="U29" s="28" t="s">
        <v>794</v>
      </c>
    </row>
    <row r="30" spans="1:21">
      <c r="A30" s="28" t="s">
        <v>367</v>
      </c>
      <c r="B30" s="31">
        <v>46109</v>
      </c>
      <c r="C30" s="29">
        <v>1412</v>
      </c>
      <c r="D30" s="29">
        <v>1451</v>
      </c>
      <c r="E30" s="29">
        <v>1334</v>
      </c>
      <c r="F30" s="29">
        <v>117</v>
      </c>
      <c r="G30" s="29">
        <v>1073</v>
      </c>
      <c r="H30" s="29">
        <v>94</v>
      </c>
      <c r="I30" s="29">
        <v>21</v>
      </c>
      <c r="J30" s="29">
        <v>2</v>
      </c>
      <c r="K30" s="30">
        <v>460</v>
      </c>
      <c r="L30" s="29">
        <v>53</v>
      </c>
      <c r="M30" s="28" t="s">
        <v>795</v>
      </c>
      <c r="N30" s="28" t="s">
        <v>796</v>
      </c>
      <c r="O30" s="28" t="s">
        <v>116</v>
      </c>
      <c r="P30" s="28" t="s">
        <v>797</v>
      </c>
      <c r="Q30" s="28" t="s">
        <v>798</v>
      </c>
      <c r="R30" s="28" t="s">
        <v>799</v>
      </c>
      <c r="S30" s="28" t="s">
        <v>800</v>
      </c>
      <c r="T30" s="28" t="s">
        <v>801</v>
      </c>
      <c r="U30" s="28" t="s">
        <v>661</v>
      </c>
    </row>
    <row r="31" spans="1:21">
      <c r="A31" s="28" t="s">
        <v>375</v>
      </c>
      <c r="B31" s="31">
        <v>46110</v>
      </c>
      <c r="C31" s="29">
        <v>1510</v>
      </c>
      <c r="D31" s="29">
        <v>1452</v>
      </c>
      <c r="E31" s="29">
        <v>1347</v>
      </c>
      <c r="F31" s="29">
        <v>105</v>
      </c>
      <c r="G31" s="29">
        <v>1188</v>
      </c>
      <c r="H31" s="29">
        <v>77</v>
      </c>
      <c r="I31" s="29">
        <v>15</v>
      </c>
      <c r="J31" s="29">
        <v>1</v>
      </c>
      <c r="K31" s="30">
        <v>243</v>
      </c>
      <c r="L31" s="29">
        <v>53</v>
      </c>
      <c r="M31" s="28" t="s">
        <v>802</v>
      </c>
      <c r="N31" s="28" t="s">
        <v>120</v>
      </c>
      <c r="O31" s="28" t="s">
        <v>253</v>
      </c>
      <c r="P31" s="28" t="s">
        <v>803</v>
      </c>
      <c r="Q31" s="28" t="s">
        <v>415</v>
      </c>
      <c r="R31" s="28" t="s">
        <v>804</v>
      </c>
      <c r="S31" s="28" t="s">
        <v>805</v>
      </c>
      <c r="T31" s="28" t="s">
        <v>476</v>
      </c>
      <c r="U31" s="28" t="s">
        <v>164</v>
      </c>
    </row>
    <row r="32" spans="1:21">
      <c r="A32" s="28" t="s">
        <v>383</v>
      </c>
      <c r="B32" s="31">
        <v>46111</v>
      </c>
      <c r="C32" s="29">
        <v>1644</v>
      </c>
      <c r="D32" s="29">
        <v>1614</v>
      </c>
      <c r="E32" s="29">
        <v>1436</v>
      </c>
      <c r="F32" s="29">
        <v>178</v>
      </c>
      <c r="G32" s="29">
        <v>1352</v>
      </c>
      <c r="H32" s="29">
        <v>77</v>
      </c>
      <c r="I32" s="29">
        <v>59</v>
      </c>
      <c r="J32" s="29">
        <v>52</v>
      </c>
      <c r="K32" s="30">
        <v>3633</v>
      </c>
      <c r="L32" s="29">
        <v>51</v>
      </c>
      <c r="M32" s="28" t="s">
        <v>806</v>
      </c>
      <c r="N32" s="28" t="s">
        <v>807</v>
      </c>
      <c r="O32" s="28" t="s">
        <v>808</v>
      </c>
      <c r="P32" s="28" t="s">
        <v>809</v>
      </c>
      <c r="Q32" s="28" t="s">
        <v>810</v>
      </c>
      <c r="R32" s="28" t="s">
        <v>811</v>
      </c>
      <c r="S32" s="28" t="s">
        <v>812</v>
      </c>
      <c r="T32" s="28" t="s">
        <v>750</v>
      </c>
      <c r="U32" s="28" t="s">
        <v>652</v>
      </c>
    </row>
    <row r="33" spans="1:21">
      <c r="A33" s="28" t="s">
        <v>392</v>
      </c>
      <c r="B33" s="31">
        <v>46112</v>
      </c>
      <c r="C33" s="29">
        <v>1397</v>
      </c>
      <c r="D33" s="29">
        <v>1538</v>
      </c>
      <c r="E33" s="29">
        <v>1357</v>
      </c>
      <c r="F33" s="29">
        <v>181</v>
      </c>
      <c r="G33" s="29">
        <v>1202</v>
      </c>
      <c r="H33" s="29">
        <v>97</v>
      </c>
      <c r="I33" s="29">
        <v>96</v>
      </c>
      <c r="J33" s="29">
        <v>112</v>
      </c>
      <c r="K33" s="30">
        <v>6861</v>
      </c>
      <c r="L33" s="29">
        <v>20</v>
      </c>
      <c r="M33" s="28" t="s">
        <v>813</v>
      </c>
      <c r="N33" s="28" t="s">
        <v>814</v>
      </c>
      <c r="O33" s="28" t="s">
        <v>815</v>
      </c>
      <c r="P33" s="28" t="s">
        <v>816</v>
      </c>
      <c r="Q33" s="28" t="s">
        <v>817</v>
      </c>
      <c r="R33" s="28" t="s">
        <v>818</v>
      </c>
      <c r="S33" s="28" t="s">
        <v>819</v>
      </c>
      <c r="T33" s="28" t="s">
        <v>608</v>
      </c>
      <c r="U33" s="28" t="s">
        <v>820</v>
      </c>
    </row>
    <row r="34" spans="1:21">
      <c r="A34" s="28" t="s">
        <v>402</v>
      </c>
      <c r="B34" s="31">
        <v>46113</v>
      </c>
      <c r="C34" s="29">
        <v>1286</v>
      </c>
      <c r="D34" s="29">
        <v>1238</v>
      </c>
      <c r="E34" s="29">
        <v>1113</v>
      </c>
      <c r="F34" s="29">
        <v>125</v>
      </c>
      <c r="G34" s="29">
        <v>848</v>
      </c>
      <c r="H34" s="29">
        <v>31</v>
      </c>
      <c r="I34" s="29">
        <v>3</v>
      </c>
      <c r="J34" s="29">
        <v>8</v>
      </c>
      <c r="K34" s="30">
        <v>344</v>
      </c>
      <c r="L34" s="29">
        <v>87</v>
      </c>
      <c r="M34" s="28" t="s">
        <v>821</v>
      </c>
      <c r="N34" s="28" t="s">
        <v>822</v>
      </c>
      <c r="O34" s="28" t="s">
        <v>356</v>
      </c>
      <c r="P34" s="28" t="s">
        <v>823</v>
      </c>
      <c r="Q34" s="28" t="s">
        <v>645</v>
      </c>
      <c r="R34" s="28" t="s">
        <v>824</v>
      </c>
      <c r="S34" s="28" t="s">
        <v>657</v>
      </c>
      <c r="T34" s="28" t="s">
        <v>189</v>
      </c>
      <c r="U34" s="28" t="s">
        <v>825</v>
      </c>
    </row>
    <row r="35" spans="1:21">
      <c r="A35" s="28" t="s">
        <v>410</v>
      </c>
      <c r="B35" s="31">
        <v>46114</v>
      </c>
      <c r="C35" s="29">
        <v>1049</v>
      </c>
      <c r="D35" s="29">
        <v>1167</v>
      </c>
      <c r="E35" s="29">
        <v>1053</v>
      </c>
      <c r="F35" s="29">
        <v>114</v>
      </c>
      <c r="G35" s="29">
        <v>704</v>
      </c>
      <c r="H35" s="29">
        <v>38</v>
      </c>
      <c r="I35" s="29">
        <v>1</v>
      </c>
      <c r="J35" s="29">
        <v>2</v>
      </c>
      <c r="K35" s="30">
        <v>187</v>
      </c>
      <c r="L35" s="29">
        <v>87</v>
      </c>
      <c r="M35" s="28" t="s">
        <v>826</v>
      </c>
      <c r="N35" s="28" t="s">
        <v>827</v>
      </c>
      <c r="O35" s="28" t="s">
        <v>801</v>
      </c>
      <c r="P35" s="28" t="s">
        <v>828</v>
      </c>
      <c r="Q35" s="28" t="s">
        <v>664</v>
      </c>
      <c r="R35" s="28" t="s">
        <v>829</v>
      </c>
      <c r="S35" s="28" t="s">
        <v>474</v>
      </c>
      <c r="T35" s="28" t="s">
        <v>798</v>
      </c>
      <c r="U35" s="28" t="s">
        <v>221</v>
      </c>
    </row>
    <row r="36" spans="1:21">
      <c r="A36" s="28" t="s">
        <v>417</v>
      </c>
      <c r="B36" s="31">
        <v>46115</v>
      </c>
      <c r="C36" s="29">
        <v>1169</v>
      </c>
      <c r="D36" s="29">
        <v>1135</v>
      </c>
      <c r="E36" s="29">
        <v>1049</v>
      </c>
      <c r="F36" s="29">
        <v>86</v>
      </c>
      <c r="G36" s="29">
        <v>776</v>
      </c>
      <c r="H36" s="29">
        <v>37</v>
      </c>
      <c r="I36" s="29">
        <v>2</v>
      </c>
      <c r="J36" s="29">
        <v>-2</v>
      </c>
      <c r="K36" s="30">
        <v>178</v>
      </c>
      <c r="L36" s="29">
        <v>88</v>
      </c>
      <c r="M36" s="28" t="s">
        <v>830</v>
      </c>
      <c r="N36" s="28" t="s">
        <v>181</v>
      </c>
      <c r="O36" s="28" t="s">
        <v>359</v>
      </c>
      <c r="P36" s="28" t="s">
        <v>831</v>
      </c>
      <c r="Q36" s="28" t="s">
        <v>832</v>
      </c>
      <c r="R36" s="28" t="s">
        <v>833</v>
      </c>
      <c r="S36" s="28" t="s">
        <v>436</v>
      </c>
      <c r="T36" s="28" t="s">
        <v>834</v>
      </c>
      <c r="U36" s="28" t="s">
        <v>835</v>
      </c>
    </row>
    <row r="37" spans="1:21">
      <c r="A37" s="28" t="s">
        <v>425</v>
      </c>
      <c r="B37" s="31">
        <v>46116</v>
      </c>
      <c r="C37" s="29">
        <v>1079</v>
      </c>
      <c r="D37" s="29">
        <v>1089</v>
      </c>
      <c r="E37" s="29">
        <v>1007</v>
      </c>
      <c r="F37" s="29">
        <v>82</v>
      </c>
      <c r="G37" s="29">
        <v>702</v>
      </c>
      <c r="H37" s="29">
        <v>36</v>
      </c>
      <c r="I37" s="29">
        <v>2</v>
      </c>
      <c r="J37" s="29">
        <v>0</v>
      </c>
      <c r="K37" s="30">
        <v>142</v>
      </c>
      <c r="L37" s="29">
        <v>72</v>
      </c>
      <c r="M37" s="28" t="s">
        <v>836</v>
      </c>
      <c r="N37" s="28" t="s">
        <v>837</v>
      </c>
      <c r="O37" s="28" t="s">
        <v>664</v>
      </c>
      <c r="P37" s="28" t="s">
        <v>450</v>
      </c>
      <c r="Q37" s="28" t="s">
        <v>450</v>
      </c>
      <c r="R37" s="28" t="s">
        <v>291</v>
      </c>
      <c r="S37" s="28" t="s">
        <v>798</v>
      </c>
      <c r="T37" s="28" t="s">
        <v>450</v>
      </c>
      <c r="U37" s="28" t="s">
        <v>450</v>
      </c>
    </row>
    <row r="38" spans="1:21">
      <c r="A38" s="28" t="s">
        <v>432</v>
      </c>
      <c r="B38" s="31">
        <v>46117</v>
      </c>
      <c r="C38" s="29">
        <v>1190</v>
      </c>
      <c r="D38" s="29">
        <v>1106</v>
      </c>
      <c r="E38" s="29">
        <v>1023</v>
      </c>
      <c r="F38" s="29">
        <v>83</v>
      </c>
      <c r="G38" s="29">
        <v>825</v>
      </c>
      <c r="H38" s="29">
        <v>58</v>
      </c>
      <c r="I38" s="29">
        <v>3</v>
      </c>
      <c r="J38" s="29">
        <v>0</v>
      </c>
      <c r="K38" s="30">
        <v>93</v>
      </c>
      <c r="L38" s="29">
        <v>97</v>
      </c>
      <c r="M38" s="28" t="s">
        <v>838</v>
      </c>
      <c r="N38" s="28" t="s">
        <v>839</v>
      </c>
      <c r="O38" s="28" t="s">
        <v>689</v>
      </c>
      <c r="P38" s="28" t="s">
        <v>450</v>
      </c>
      <c r="Q38" s="28" t="s">
        <v>450</v>
      </c>
      <c r="R38" s="28" t="s">
        <v>489</v>
      </c>
      <c r="S38" s="28" t="s">
        <v>840</v>
      </c>
      <c r="T38" s="28" t="s">
        <v>450</v>
      </c>
      <c r="U38" s="28" t="s">
        <v>450</v>
      </c>
    </row>
    <row r="39" spans="1:21">
      <c r="A39" s="28" t="s">
        <v>439</v>
      </c>
      <c r="B39" s="31">
        <v>46118</v>
      </c>
      <c r="C39" s="29">
        <v>1248</v>
      </c>
      <c r="D39" s="29">
        <v>1150</v>
      </c>
      <c r="E39" s="29">
        <v>1047</v>
      </c>
      <c r="F39" s="29">
        <v>103</v>
      </c>
      <c r="G39" s="29">
        <v>865</v>
      </c>
      <c r="H39" s="29">
        <v>60</v>
      </c>
      <c r="I39" s="29">
        <v>3</v>
      </c>
      <c r="J39" s="29">
        <v>1</v>
      </c>
      <c r="K39" s="30">
        <v>125</v>
      </c>
      <c r="L39" s="29">
        <v>86</v>
      </c>
      <c r="M39" s="28" t="s">
        <v>841</v>
      </c>
      <c r="N39" s="28" t="s">
        <v>818</v>
      </c>
      <c r="O39" s="28" t="s">
        <v>356</v>
      </c>
      <c r="P39" s="28" t="s">
        <v>205</v>
      </c>
      <c r="Q39" s="28" t="s">
        <v>665</v>
      </c>
      <c r="R39" s="28" t="s">
        <v>287</v>
      </c>
      <c r="S39" s="28" t="s">
        <v>183</v>
      </c>
      <c r="T39" s="28" t="s">
        <v>415</v>
      </c>
      <c r="U39" s="28" t="s">
        <v>668</v>
      </c>
    </row>
    <row r="40" spans="1:21">
      <c r="A40" s="28" t="s">
        <v>446</v>
      </c>
      <c r="B40" s="31">
        <v>46119</v>
      </c>
      <c r="C40" s="29">
        <v>1187</v>
      </c>
      <c r="D40" s="29">
        <v>1233</v>
      </c>
      <c r="E40" s="29">
        <v>1132</v>
      </c>
      <c r="F40" s="29">
        <v>101</v>
      </c>
      <c r="G40" s="29">
        <v>787</v>
      </c>
      <c r="H40" s="29">
        <v>29</v>
      </c>
      <c r="I40" s="29">
        <v>5</v>
      </c>
      <c r="J40" s="29">
        <v>0</v>
      </c>
      <c r="K40" s="30">
        <v>188</v>
      </c>
      <c r="L40" s="29">
        <v>96</v>
      </c>
      <c r="M40" s="28" t="s">
        <v>842</v>
      </c>
      <c r="N40" s="28" t="s">
        <v>843</v>
      </c>
      <c r="O40" s="28" t="s">
        <v>521</v>
      </c>
      <c r="P40" s="28" t="s">
        <v>450</v>
      </c>
      <c r="Q40" s="28" t="s">
        <v>450</v>
      </c>
      <c r="R40" s="28" t="s">
        <v>844</v>
      </c>
      <c r="S40" s="28" t="s">
        <v>405</v>
      </c>
      <c r="T40" s="28" t="s">
        <v>450</v>
      </c>
      <c r="U40" s="28" t="s">
        <v>450</v>
      </c>
    </row>
    <row r="41" spans="1:21">
      <c r="A41" s="28" t="s">
        <v>453</v>
      </c>
      <c r="B41" s="31">
        <v>46120</v>
      </c>
      <c r="C41" s="29">
        <v>1031</v>
      </c>
      <c r="D41" s="29">
        <v>1159</v>
      </c>
      <c r="E41" s="29">
        <v>1043</v>
      </c>
      <c r="F41" s="29">
        <v>116</v>
      </c>
      <c r="G41" s="29">
        <v>709</v>
      </c>
      <c r="H41" s="29">
        <v>34</v>
      </c>
      <c r="I41" s="29">
        <v>4</v>
      </c>
      <c r="J41" s="29">
        <v>3</v>
      </c>
      <c r="K41" s="30">
        <v>191</v>
      </c>
      <c r="L41" s="29">
        <v>63</v>
      </c>
      <c r="M41" s="28" t="s">
        <v>845</v>
      </c>
      <c r="N41" s="28" t="s">
        <v>353</v>
      </c>
      <c r="O41" s="28" t="s">
        <v>442</v>
      </c>
      <c r="P41" s="28" t="s">
        <v>846</v>
      </c>
      <c r="Q41" s="28" t="s">
        <v>405</v>
      </c>
      <c r="R41" s="28" t="s">
        <v>847</v>
      </c>
      <c r="S41" s="28" t="s">
        <v>191</v>
      </c>
      <c r="T41" s="28" t="s">
        <v>848</v>
      </c>
      <c r="U41" s="28" t="s">
        <v>500</v>
      </c>
    </row>
    <row r="42" spans="1:21">
      <c r="A42" s="28" t="s">
        <v>460</v>
      </c>
      <c r="B42" s="31">
        <v>46121</v>
      </c>
      <c r="C42" s="29">
        <v>1150</v>
      </c>
      <c r="D42" s="29">
        <v>1117</v>
      </c>
      <c r="E42" s="29">
        <v>1005</v>
      </c>
      <c r="F42" s="29">
        <v>112</v>
      </c>
      <c r="G42" s="29">
        <v>771</v>
      </c>
      <c r="H42" s="29">
        <v>26</v>
      </c>
      <c r="I42" s="29">
        <v>3</v>
      </c>
      <c r="J42" s="29">
        <v>1</v>
      </c>
      <c r="K42" s="30">
        <v>112</v>
      </c>
      <c r="L42" s="29">
        <v>70</v>
      </c>
      <c r="M42" s="28" t="s">
        <v>849</v>
      </c>
      <c r="N42" s="28" t="s">
        <v>850</v>
      </c>
      <c r="O42" s="28" t="s">
        <v>191</v>
      </c>
      <c r="P42" s="28" t="s">
        <v>810</v>
      </c>
      <c r="Q42" s="28" t="s">
        <v>155</v>
      </c>
      <c r="R42" s="28" t="s">
        <v>496</v>
      </c>
      <c r="S42" s="28" t="s">
        <v>359</v>
      </c>
      <c r="T42" s="28" t="s">
        <v>458</v>
      </c>
      <c r="U42" s="28" t="s">
        <v>518</v>
      </c>
    </row>
    <row r="43" spans="1:21">
      <c r="A43" s="28" t="s">
        <v>469</v>
      </c>
      <c r="B43" s="31">
        <v>46122</v>
      </c>
      <c r="C43" s="29">
        <v>1205</v>
      </c>
      <c r="D43" s="29">
        <v>1061</v>
      </c>
      <c r="E43" s="29">
        <v>945</v>
      </c>
      <c r="F43" s="29">
        <v>116</v>
      </c>
      <c r="G43" s="29">
        <v>827</v>
      </c>
      <c r="H43" s="29">
        <v>32</v>
      </c>
      <c r="I43" s="29">
        <v>5</v>
      </c>
      <c r="J43" s="29">
        <v>5</v>
      </c>
      <c r="K43" s="30">
        <v>226</v>
      </c>
      <c r="L43" s="29">
        <v>82</v>
      </c>
      <c r="M43" s="28" t="s">
        <v>851</v>
      </c>
      <c r="N43" s="28" t="s">
        <v>852</v>
      </c>
      <c r="O43" s="28" t="s">
        <v>133</v>
      </c>
      <c r="P43" s="28" t="s">
        <v>853</v>
      </c>
      <c r="Q43" s="28" t="s">
        <v>133</v>
      </c>
      <c r="R43" s="28" t="s">
        <v>854</v>
      </c>
      <c r="S43" s="28" t="s">
        <v>164</v>
      </c>
      <c r="T43" s="28" t="s">
        <v>164</v>
      </c>
      <c r="U43" s="28" t="s">
        <v>855</v>
      </c>
    </row>
    <row r="44" spans="1:21">
      <c r="A44" s="28" t="s">
        <v>478</v>
      </c>
      <c r="B44" s="31">
        <v>46123</v>
      </c>
      <c r="C44" s="29">
        <v>1385</v>
      </c>
      <c r="D44" s="29">
        <v>1337</v>
      </c>
      <c r="E44" s="29">
        <v>1243</v>
      </c>
      <c r="F44" s="29">
        <v>94</v>
      </c>
      <c r="G44" s="29">
        <v>926</v>
      </c>
      <c r="H44" s="29">
        <v>42</v>
      </c>
      <c r="I44" s="29">
        <v>3</v>
      </c>
      <c r="J44" s="29">
        <v>2</v>
      </c>
      <c r="K44" s="30">
        <v>217</v>
      </c>
      <c r="L44" s="29">
        <v>82</v>
      </c>
      <c r="M44" s="28" t="s">
        <v>856</v>
      </c>
      <c r="N44" s="28" t="s">
        <v>857</v>
      </c>
      <c r="O44" s="28" t="s">
        <v>223</v>
      </c>
      <c r="P44" s="28" t="s">
        <v>482</v>
      </c>
      <c r="Q44" s="28" t="s">
        <v>858</v>
      </c>
      <c r="R44" s="28" t="s">
        <v>859</v>
      </c>
      <c r="S44" s="28" t="s">
        <v>858</v>
      </c>
      <c r="T44" s="28" t="s">
        <v>801</v>
      </c>
      <c r="U44" s="28" t="s">
        <v>347</v>
      </c>
    </row>
    <row r="45" spans="1:21">
      <c r="A45" s="28" t="s">
        <v>485</v>
      </c>
      <c r="B45" s="31">
        <v>46124</v>
      </c>
      <c r="C45" s="29">
        <v>1681</v>
      </c>
      <c r="D45" s="29">
        <v>1360</v>
      </c>
      <c r="E45" s="29">
        <v>1245</v>
      </c>
      <c r="F45" s="29">
        <v>115</v>
      </c>
      <c r="G45" s="29">
        <v>1207</v>
      </c>
      <c r="H45" s="29">
        <v>42</v>
      </c>
      <c r="I45" s="29">
        <v>3</v>
      </c>
      <c r="J45" s="29">
        <v>0</v>
      </c>
      <c r="K45" s="30">
        <v>187</v>
      </c>
      <c r="L45" s="29">
        <v>132</v>
      </c>
      <c r="M45" s="28" t="s">
        <v>525</v>
      </c>
      <c r="N45" s="28" t="s">
        <v>272</v>
      </c>
      <c r="O45" s="28" t="s">
        <v>840</v>
      </c>
      <c r="P45" s="28" t="s">
        <v>450</v>
      </c>
      <c r="Q45" s="28" t="s">
        <v>450</v>
      </c>
      <c r="R45" s="28" t="s">
        <v>252</v>
      </c>
      <c r="S45" s="28" t="s">
        <v>663</v>
      </c>
      <c r="T45" s="28" t="s">
        <v>450</v>
      </c>
      <c r="U45" s="28" t="s">
        <v>450</v>
      </c>
    </row>
    <row r="46" spans="1:21">
      <c r="A46" s="28" t="s">
        <v>493</v>
      </c>
      <c r="B46" s="31">
        <v>46125</v>
      </c>
      <c r="C46" s="29">
        <v>2224</v>
      </c>
      <c r="D46" s="29">
        <v>2586</v>
      </c>
      <c r="E46" s="29">
        <v>2155</v>
      </c>
      <c r="F46" s="29">
        <v>431</v>
      </c>
      <c r="G46" s="29">
        <v>1580</v>
      </c>
      <c r="H46" s="29">
        <v>34</v>
      </c>
      <c r="I46" s="29">
        <v>1</v>
      </c>
      <c r="J46" s="29">
        <v>0</v>
      </c>
      <c r="K46" s="30">
        <v>223</v>
      </c>
      <c r="L46" s="29">
        <v>149</v>
      </c>
      <c r="M46" s="28" t="s">
        <v>860</v>
      </c>
      <c r="N46" s="28" t="s">
        <v>861</v>
      </c>
      <c r="O46" s="28" t="s">
        <v>862</v>
      </c>
      <c r="P46" s="28" t="s">
        <v>450</v>
      </c>
      <c r="Q46" s="28" t="s">
        <v>450</v>
      </c>
      <c r="R46" s="28" t="s">
        <v>428</v>
      </c>
      <c r="S46" s="28" t="s">
        <v>434</v>
      </c>
      <c r="T46" s="28" t="s">
        <v>450</v>
      </c>
      <c r="U46" s="28" t="s">
        <v>450</v>
      </c>
    </row>
    <row r="47" spans="1:21">
      <c r="A47" s="28" t="s">
        <v>502</v>
      </c>
      <c r="B47" s="31">
        <v>46126</v>
      </c>
      <c r="C47" s="29">
        <v>1907</v>
      </c>
      <c r="D47" s="29">
        <v>1812</v>
      </c>
      <c r="E47" s="29">
        <v>1568</v>
      </c>
      <c r="F47" s="29">
        <v>244</v>
      </c>
      <c r="G47" s="29">
        <v>1330</v>
      </c>
      <c r="H47" s="29">
        <v>43</v>
      </c>
      <c r="I47" s="29">
        <v>5</v>
      </c>
      <c r="J47" s="29">
        <v>-5</v>
      </c>
      <c r="K47" s="30">
        <v>108</v>
      </c>
      <c r="L47" s="29">
        <v>135</v>
      </c>
      <c r="M47" s="28" t="s">
        <v>863</v>
      </c>
      <c r="N47" s="28" t="s">
        <v>864</v>
      </c>
      <c r="O47" s="28" t="s">
        <v>180</v>
      </c>
      <c r="P47" s="28" t="s">
        <v>865</v>
      </c>
      <c r="Q47" s="28" t="s">
        <v>866</v>
      </c>
      <c r="R47" s="28" t="s">
        <v>465</v>
      </c>
      <c r="S47" s="28" t="s">
        <v>359</v>
      </c>
      <c r="T47" s="28" t="s">
        <v>832</v>
      </c>
      <c r="U47" s="28" t="s">
        <v>867</v>
      </c>
    </row>
    <row r="48" spans="1:21">
      <c r="A48" s="28" t="s">
        <v>510</v>
      </c>
      <c r="B48" s="31">
        <v>46127</v>
      </c>
      <c r="C48" s="29">
        <v>1410</v>
      </c>
      <c r="D48" s="29">
        <v>1510</v>
      </c>
      <c r="E48" s="29">
        <v>1345</v>
      </c>
      <c r="F48" s="29">
        <v>165</v>
      </c>
      <c r="G48" s="29">
        <v>985</v>
      </c>
      <c r="H48" s="29">
        <v>29</v>
      </c>
      <c r="I48" s="29">
        <v>7</v>
      </c>
      <c r="J48" s="29">
        <v>1</v>
      </c>
      <c r="K48" s="30">
        <v>291</v>
      </c>
      <c r="L48" s="29">
        <v>69</v>
      </c>
      <c r="M48" s="28" t="s">
        <v>868</v>
      </c>
      <c r="N48" s="28" t="s">
        <v>869</v>
      </c>
      <c r="O48" s="28" t="s">
        <v>225</v>
      </c>
      <c r="P48" s="28" t="s">
        <v>569</v>
      </c>
      <c r="Q48" s="28" t="s">
        <v>474</v>
      </c>
      <c r="R48" s="28" t="s">
        <v>870</v>
      </c>
      <c r="S48" s="28" t="s">
        <v>358</v>
      </c>
      <c r="T48" s="28" t="s">
        <v>476</v>
      </c>
      <c r="U48" s="28" t="s">
        <v>171</v>
      </c>
    </row>
    <row r="49" spans="1:21">
      <c r="A49" s="28" t="s">
        <v>515</v>
      </c>
      <c r="B49" s="31">
        <v>46128</v>
      </c>
      <c r="C49" s="29">
        <v>1285</v>
      </c>
      <c r="D49" s="29">
        <v>1243</v>
      </c>
      <c r="E49" s="29">
        <v>1139</v>
      </c>
      <c r="F49" s="29">
        <v>104</v>
      </c>
      <c r="G49" s="29">
        <v>998</v>
      </c>
      <c r="H49" s="29">
        <v>43</v>
      </c>
      <c r="I49" s="29">
        <v>8</v>
      </c>
      <c r="J49" s="29">
        <v>-12</v>
      </c>
      <c r="K49" s="30">
        <v>215</v>
      </c>
      <c r="L49" s="29">
        <v>68</v>
      </c>
      <c r="M49" s="28" t="s">
        <v>871</v>
      </c>
      <c r="N49" s="28" t="s">
        <v>872</v>
      </c>
      <c r="O49" s="28" t="s">
        <v>668</v>
      </c>
      <c r="P49" s="28" t="s">
        <v>873</v>
      </c>
      <c r="Q49" s="28" t="s">
        <v>874</v>
      </c>
      <c r="R49" s="28" t="s">
        <v>172</v>
      </c>
      <c r="S49" s="28" t="s">
        <v>189</v>
      </c>
      <c r="T49" s="28" t="s">
        <v>875</v>
      </c>
      <c r="U49" s="28" t="s">
        <v>876</v>
      </c>
    </row>
    <row r="50" spans="1:21">
      <c r="A50" s="28" t="s">
        <v>524</v>
      </c>
      <c r="B50" s="31">
        <v>46129</v>
      </c>
      <c r="C50" s="29">
        <v>1200</v>
      </c>
      <c r="D50" s="29">
        <v>1240</v>
      </c>
      <c r="E50" s="29">
        <v>1149</v>
      </c>
      <c r="F50" s="29">
        <v>91</v>
      </c>
      <c r="G50" s="29">
        <v>886</v>
      </c>
      <c r="H50" s="29">
        <v>42</v>
      </c>
      <c r="I50" s="29">
        <v>7</v>
      </c>
      <c r="J50" s="29">
        <v>-9</v>
      </c>
      <c r="K50" s="30">
        <v>181</v>
      </c>
      <c r="L50" s="29">
        <v>71</v>
      </c>
      <c r="M50" s="28" t="s">
        <v>877</v>
      </c>
      <c r="N50" s="28" t="s">
        <v>878</v>
      </c>
      <c r="O50" s="28" t="s">
        <v>126</v>
      </c>
      <c r="P50" s="28" t="s">
        <v>879</v>
      </c>
      <c r="Q50" s="28" t="s">
        <v>880</v>
      </c>
      <c r="R50" s="28" t="s">
        <v>670</v>
      </c>
      <c r="S50" s="28" t="s">
        <v>207</v>
      </c>
      <c r="T50" s="28" t="s">
        <v>881</v>
      </c>
      <c r="U50" s="28" t="s">
        <v>882</v>
      </c>
    </row>
    <row r="51" spans="1:21">
      <c r="A51" s="28" t="s">
        <v>529</v>
      </c>
      <c r="B51" s="31">
        <v>46130</v>
      </c>
      <c r="C51" s="29">
        <v>1689</v>
      </c>
      <c r="D51" s="29">
        <v>1409</v>
      </c>
      <c r="E51" s="29">
        <v>1305</v>
      </c>
      <c r="F51" s="29">
        <v>104</v>
      </c>
      <c r="G51" s="29">
        <v>1162</v>
      </c>
      <c r="H51" s="29">
        <v>64</v>
      </c>
      <c r="I51" s="29">
        <v>27</v>
      </c>
      <c r="J51" s="29">
        <v>7</v>
      </c>
      <c r="K51" s="30">
        <v>439</v>
      </c>
      <c r="L51" s="29">
        <v>90</v>
      </c>
      <c r="M51" s="28" t="s">
        <v>751</v>
      </c>
      <c r="N51" s="28" t="s">
        <v>495</v>
      </c>
      <c r="O51" s="28" t="s">
        <v>883</v>
      </c>
      <c r="P51" s="28" t="s">
        <v>884</v>
      </c>
      <c r="Q51" s="28" t="s">
        <v>133</v>
      </c>
      <c r="R51" s="28" t="s">
        <v>379</v>
      </c>
      <c r="S51" s="28" t="s">
        <v>214</v>
      </c>
      <c r="T51" s="28" t="s">
        <v>164</v>
      </c>
      <c r="U51" s="28" t="s">
        <v>885</v>
      </c>
    </row>
    <row r="52" spans="1:21">
      <c r="A52" s="28" t="s">
        <v>535</v>
      </c>
      <c r="B52" s="31">
        <v>46131</v>
      </c>
      <c r="C52" s="29">
        <v>1657</v>
      </c>
      <c r="D52" s="29">
        <v>1765</v>
      </c>
      <c r="E52" s="29">
        <v>1601</v>
      </c>
      <c r="F52" s="29">
        <v>164</v>
      </c>
      <c r="G52" s="29">
        <v>1235</v>
      </c>
      <c r="H52" s="29">
        <v>74</v>
      </c>
      <c r="I52" s="29">
        <v>12</v>
      </c>
      <c r="J52" s="29">
        <v>8</v>
      </c>
      <c r="K52" s="30">
        <v>311</v>
      </c>
      <c r="L52" s="29">
        <v>88</v>
      </c>
      <c r="M52" s="28" t="s">
        <v>886</v>
      </c>
      <c r="N52" s="28" t="s">
        <v>887</v>
      </c>
      <c r="O52" s="28" t="s">
        <v>674</v>
      </c>
      <c r="P52" s="28" t="s">
        <v>888</v>
      </c>
      <c r="Q52" s="28" t="s">
        <v>162</v>
      </c>
      <c r="R52" s="28" t="s">
        <v>889</v>
      </c>
      <c r="S52" s="28" t="s">
        <v>890</v>
      </c>
      <c r="T52" s="28" t="s">
        <v>528</v>
      </c>
      <c r="U52" s="28" t="s">
        <v>451</v>
      </c>
    </row>
    <row r="53" spans="1:21">
      <c r="A53" s="28" t="s">
        <v>542</v>
      </c>
      <c r="B53" s="31">
        <v>46132</v>
      </c>
      <c r="C53" s="29">
        <v>1396</v>
      </c>
      <c r="D53" s="29">
        <v>1500</v>
      </c>
      <c r="E53" s="29">
        <v>1378</v>
      </c>
      <c r="F53" s="29">
        <v>122</v>
      </c>
      <c r="G53" s="29">
        <v>1076</v>
      </c>
      <c r="H53" s="29">
        <v>58</v>
      </c>
      <c r="I53" s="29">
        <v>22</v>
      </c>
      <c r="J53" s="29">
        <v>0</v>
      </c>
      <c r="K53" s="30">
        <v>475</v>
      </c>
      <c r="L53" s="29">
        <v>77</v>
      </c>
      <c r="M53" s="28" t="s">
        <v>891</v>
      </c>
      <c r="N53" s="28" t="s">
        <v>892</v>
      </c>
      <c r="O53" s="28" t="s">
        <v>893</v>
      </c>
      <c r="P53" s="28" t="s">
        <v>450</v>
      </c>
      <c r="Q53" s="28" t="s">
        <v>450</v>
      </c>
      <c r="R53" s="28" t="s">
        <v>894</v>
      </c>
      <c r="S53" s="28" t="s">
        <v>364</v>
      </c>
      <c r="T53" s="28" t="s">
        <v>450</v>
      </c>
      <c r="U53" s="28" t="s">
        <v>450</v>
      </c>
    </row>
    <row r="54" spans="1:21">
      <c r="A54" s="28" t="s">
        <v>551</v>
      </c>
      <c r="B54" s="31">
        <v>46133</v>
      </c>
      <c r="C54" s="29">
        <v>1234</v>
      </c>
      <c r="D54" s="29">
        <v>1359</v>
      </c>
      <c r="E54" s="29">
        <v>1252</v>
      </c>
      <c r="F54" s="29">
        <v>107</v>
      </c>
      <c r="G54" s="29">
        <v>997</v>
      </c>
      <c r="H54" s="29">
        <v>59</v>
      </c>
      <c r="I54" s="29">
        <v>37</v>
      </c>
      <c r="J54" s="29">
        <v>4</v>
      </c>
      <c r="K54" s="30">
        <v>437</v>
      </c>
      <c r="L54" s="29">
        <v>51</v>
      </c>
      <c r="M54" s="28" t="s">
        <v>895</v>
      </c>
      <c r="N54" s="28" t="s">
        <v>896</v>
      </c>
      <c r="O54" s="28" t="s">
        <v>897</v>
      </c>
      <c r="P54" s="28" t="s">
        <v>544</v>
      </c>
      <c r="Q54" s="28" t="s">
        <v>466</v>
      </c>
      <c r="R54" s="28" t="s">
        <v>898</v>
      </c>
      <c r="S54" s="28" t="s">
        <v>507</v>
      </c>
      <c r="T54" s="28" t="s">
        <v>223</v>
      </c>
      <c r="U54" s="28" t="s">
        <v>347</v>
      </c>
    </row>
    <row r="55" spans="1:21">
      <c r="A55" s="28" t="s">
        <v>560</v>
      </c>
      <c r="B55" s="31">
        <v>46134</v>
      </c>
      <c r="C55" s="29">
        <v>1144</v>
      </c>
      <c r="D55" s="29">
        <v>1208</v>
      </c>
      <c r="E55" s="29">
        <v>1073</v>
      </c>
      <c r="F55" s="29">
        <v>135</v>
      </c>
      <c r="G55" s="29">
        <v>882</v>
      </c>
      <c r="H55" s="29">
        <v>66</v>
      </c>
      <c r="I55" s="29">
        <v>42</v>
      </c>
      <c r="J55" s="29">
        <v>21</v>
      </c>
      <c r="K55" s="30">
        <v>660</v>
      </c>
      <c r="L55" s="29">
        <v>74</v>
      </c>
      <c r="M55" s="28" t="s">
        <v>899</v>
      </c>
      <c r="N55" s="28" t="s">
        <v>900</v>
      </c>
      <c r="O55" s="28" t="s">
        <v>482</v>
      </c>
      <c r="P55" s="28" t="s">
        <v>901</v>
      </c>
      <c r="Q55" s="28" t="s">
        <v>578</v>
      </c>
      <c r="R55" s="28" t="s">
        <v>271</v>
      </c>
      <c r="S55" s="28" t="s">
        <v>249</v>
      </c>
      <c r="T55" s="28" t="s">
        <v>902</v>
      </c>
      <c r="U55" s="28" t="s">
        <v>903</v>
      </c>
    </row>
    <row r="56" spans="1:21">
      <c r="A56" s="28" t="s">
        <v>566</v>
      </c>
      <c r="B56" s="31">
        <v>46135</v>
      </c>
      <c r="C56" s="29">
        <v>1232</v>
      </c>
      <c r="D56" s="29">
        <v>1278</v>
      </c>
      <c r="E56" s="29">
        <v>1168</v>
      </c>
      <c r="F56" s="29">
        <v>110</v>
      </c>
      <c r="G56" s="29">
        <v>985</v>
      </c>
      <c r="H56" s="29">
        <v>40</v>
      </c>
      <c r="I56" s="29">
        <v>13</v>
      </c>
      <c r="J56" s="29">
        <v>8</v>
      </c>
      <c r="K56" s="30">
        <v>569</v>
      </c>
      <c r="L56" s="29">
        <v>40</v>
      </c>
      <c r="M56" s="28" t="s">
        <v>904</v>
      </c>
      <c r="N56" s="28" t="s">
        <v>905</v>
      </c>
      <c r="O56" s="28" t="s">
        <v>906</v>
      </c>
      <c r="P56" s="28" t="s">
        <v>907</v>
      </c>
      <c r="Q56" s="28" t="s">
        <v>908</v>
      </c>
      <c r="R56" s="28" t="s">
        <v>224</v>
      </c>
      <c r="S56" s="28" t="s">
        <v>549</v>
      </c>
      <c r="T56" s="28" t="s">
        <v>162</v>
      </c>
      <c r="U56" s="28" t="s">
        <v>909</v>
      </c>
    </row>
    <row r="57" spans="1:21">
      <c r="A57" s="28" t="s">
        <v>574</v>
      </c>
      <c r="B57" s="31">
        <v>46136</v>
      </c>
      <c r="C57" s="29">
        <v>1401</v>
      </c>
      <c r="D57" s="29">
        <v>1167</v>
      </c>
      <c r="E57" s="29">
        <v>1044</v>
      </c>
      <c r="F57" s="29">
        <v>123</v>
      </c>
      <c r="G57" s="29">
        <v>1112</v>
      </c>
      <c r="H57" s="29">
        <v>59</v>
      </c>
      <c r="I57" s="29">
        <v>21</v>
      </c>
      <c r="J57" s="29">
        <v>12</v>
      </c>
      <c r="K57" s="30">
        <v>646</v>
      </c>
      <c r="L57" s="29">
        <v>63</v>
      </c>
      <c r="M57" s="28" t="s">
        <v>910</v>
      </c>
      <c r="N57" s="28" t="s">
        <v>477</v>
      </c>
      <c r="O57" s="28" t="s">
        <v>594</v>
      </c>
      <c r="P57" s="28" t="s">
        <v>911</v>
      </c>
      <c r="Q57" s="28" t="s">
        <v>712</v>
      </c>
      <c r="R57" s="28" t="s">
        <v>635</v>
      </c>
      <c r="S57" s="28" t="s">
        <v>912</v>
      </c>
      <c r="T57" s="28" t="s">
        <v>472</v>
      </c>
      <c r="U57" s="28" t="s">
        <v>160</v>
      </c>
    </row>
    <row r="58" spans="1:21">
      <c r="A58" s="28" t="s">
        <v>582</v>
      </c>
      <c r="B58" s="31">
        <v>46137</v>
      </c>
      <c r="C58" s="29">
        <v>1593</v>
      </c>
      <c r="D58" s="29">
        <v>1535</v>
      </c>
      <c r="E58" s="29">
        <v>1395</v>
      </c>
      <c r="F58" s="29">
        <v>140</v>
      </c>
      <c r="G58" s="29">
        <v>1205</v>
      </c>
      <c r="H58" s="29">
        <v>49</v>
      </c>
      <c r="I58" s="29">
        <v>13</v>
      </c>
      <c r="J58" s="29">
        <v>11</v>
      </c>
      <c r="K58" s="30">
        <v>682</v>
      </c>
      <c r="L58" s="29">
        <v>56</v>
      </c>
      <c r="M58" s="28" t="s">
        <v>913</v>
      </c>
      <c r="N58" s="28" t="s">
        <v>914</v>
      </c>
      <c r="O58" s="28" t="s">
        <v>712</v>
      </c>
      <c r="P58" s="28" t="s">
        <v>915</v>
      </c>
      <c r="Q58" s="28" t="s">
        <v>782</v>
      </c>
      <c r="R58" s="28" t="s">
        <v>154</v>
      </c>
      <c r="S58" s="28" t="s">
        <v>916</v>
      </c>
      <c r="T58" s="28" t="s">
        <v>349</v>
      </c>
      <c r="U58" s="28" t="s">
        <v>917</v>
      </c>
    </row>
    <row r="59" spans="1:21">
      <c r="A59" s="28" t="s">
        <v>589</v>
      </c>
      <c r="B59" s="31">
        <v>46138</v>
      </c>
      <c r="C59" s="29">
        <v>1680</v>
      </c>
      <c r="D59" s="29">
        <v>1689</v>
      </c>
      <c r="E59" s="29">
        <v>1561</v>
      </c>
      <c r="F59" s="29">
        <v>128</v>
      </c>
      <c r="G59" s="29">
        <v>1400</v>
      </c>
      <c r="H59" s="29">
        <v>61</v>
      </c>
      <c r="I59" s="29">
        <v>19</v>
      </c>
      <c r="J59" s="29">
        <v>9</v>
      </c>
      <c r="K59" s="30">
        <v>396</v>
      </c>
      <c r="L59" s="29">
        <v>51</v>
      </c>
      <c r="M59" s="28" t="s">
        <v>918</v>
      </c>
      <c r="N59" s="28" t="s">
        <v>808</v>
      </c>
      <c r="O59" s="28" t="s">
        <v>919</v>
      </c>
      <c r="P59" s="28" t="s">
        <v>920</v>
      </c>
      <c r="Q59" s="28" t="s">
        <v>521</v>
      </c>
      <c r="R59" s="28" t="s">
        <v>921</v>
      </c>
      <c r="S59" s="28" t="s">
        <v>922</v>
      </c>
      <c r="T59" s="28" t="s">
        <v>200</v>
      </c>
      <c r="U59" s="28" t="s">
        <v>923</v>
      </c>
    </row>
    <row r="60" spans="1:21">
      <c r="A60" s="28" t="s">
        <v>596</v>
      </c>
      <c r="B60" s="31">
        <v>46139</v>
      </c>
      <c r="C60" s="29">
        <v>2203</v>
      </c>
      <c r="D60" s="29">
        <v>2017</v>
      </c>
      <c r="E60" s="29">
        <v>1736</v>
      </c>
      <c r="F60" s="29">
        <v>281</v>
      </c>
      <c r="G60" s="29">
        <v>1797</v>
      </c>
      <c r="H60" s="29">
        <v>48</v>
      </c>
      <c r="I60" s="29">
        <v>34</v>
      </c>
      <c r="J60" s="29">
        <v>9</v>
      </c>
      <c r="K60" s="30">
        <v>588</v>
      </c>
      <c r="L60" s="29">
        <v>65</v>
      </c>
      <c r="M60" s="28" t="s">
        <v>924</v>
      </c>
      <c r="N60" s="28" t="s">
        <v>473</v>
      </c>
      <c r="O60" s="28" t="s">
        <v>594</v>
      </c>
      <c r="P60" s="28" t="s">
        <v>925</v>
      </c>
      <c r="Q60" s="28" t="s">
        <v>358</v>
      </c>
      <c r="R60" s="28" t="s">
        <v>649</v>
      </c>
      <c r="S60" s="28" t="s">
        <v>727</v>
      </c>
      <c r="T60" s="28" t="s">
        <v>164</v>
      </c>
      <c r="U60" s="28" t="s">
        <v>428</v>
      </c>
    </row>
    <row r="61" spans="1:21">
      <c r="A61" s="28" t="s">
        <v>605</v>
      </c>
      <c r="B61" s="31">
        <v>46140</v>
      </c>
      <c r="C61" s="29">
        <v>1810</v>
      </c>
      <c r="D61" s="29">
        <v>1948</v>
      </c>
      <c r="E61" s="29">
        <v>1668</v>
      </c>
      <c r="F61" s="29">
        <v>280</v>
      </c>
      <c r="G61" s="29">
        <v>1585</v>
      </c>
      <c r="H61" s="29">
        <v>72</v>
      </c>
      <c r="I61" s="29">
        <v>36</v>
      </c>
      <c r="J61" s="29">
        <v>5</v>
      </c>
      <c r="K61" s="30">
        <v>1152</v>
      </c>
      <c r="L61" s="29">
        <v>28</v>
      </c>
      <c r="M61" s="28" t="s">
        <v>926</v>
      </c>
      <c r="N61" s="28" t="s">
        <v>857</v>
      </c>
      <c r="O61" s="28" t="s">
        <v>923</v>
      </c>
      <c r="P61" s="28" t="s">
        <v>818</v>
      </c>
      <c r="Q61" s="28" t="s">
        <v>223</v>
      </c>
      <c r="R61" s="28" t="s">
        <v>124</v>
      </c>
      <c r="S61" s="28" t="s">
        <v>927</v>
      </c>
      <c r="T61" s="28" t="s">
        <v>664</v>
      </c>
      <c r="U61" s="28" t="s">
        <v>661</v>
      </c>
    </row>
    <row r="62" spans="1:21">
      <c r="A62" s="28" t="s">
        <v>614</v>
      </c>
      <c r="B62" s="31">
        <v>46141</v>
      </c>
      <c r="C62" s="29">
        <v>1876</v>
      </c>
      <c r="D62" s="29">
        <v>1825</v>
      </c>
      <c r="E62" s="29">
        <v>1609</v>
      </c>
      <c r="F62" s="29">
        <v>216</v>
      </c>
      <c r="G62" s="29">
        <v>1655</v>
      </c>
      <c r="H62" s="29">
        <v>77</v>
      </c>
      <c r="I62" s="29">
        <v>43</v>
      </c>
      <c r="J62" s="29">
        <v>49</v>
      </c>
      <c r="K62" s="30">
        <v>3005</v>
      </c>
      <c r="L62" s="29">
        <v>23</v>
      </c>
      <c r="M62" s="28" t="s">
        <v>928</v>
      </c>
      <c r="N62" s="28" t="s">
        <v>929</v>
      </c>
      <c r="O62" s="28" t="s">
        <v>741</v>
      </c>
      <c r="P62" s="28" t="s">
        <v>411</v>
      </c>
      <c r="Q62" s="28" t="s">
        <v>134</v>
      </c>
      <c r="R62" s="28" t="s">
        <v>930</v>
      </c>
      <c r="S62" s="28" t="s">
        <v>931</v>
      </c>
      <c r="T62" s="28" t="s">
        <v>144</v>
      </c>
      <c r="U62" s="28" t="s">
        <v>820</v>
      </c>
    </row>
    <row r="63" spans="1:21">
      <c r="A63" s="28" t="s">
        <v>622</v>
      </c>
      <c r="B63" s="31">
        <v>46142</v>
      </c>
      <c r="C63" s="29">
        <v>1823</v>
      </c>
      <c r="D63" s="29">
        <v>1780</v>
      </c>
      <c r="E63" s="29">
        <v>1531</v>
      </c>
      <c r="F63" s="29">
        <v>249</v>
      </c>
      <c r="G63" s="29">
        <v>1680</v>
      </c>
      <c r="H63" s="29">
        <v>115</v>
      </c>
      <c r="I63" s="29">
        <v>110</v>
      </c>
      <c r="J63" s="29">
        <v>101</v>
      </c>
      <c r="K63" s="30">
        <v>7038</v>
      </c>
      <c r="L63" s="29">
        <v>10</v>
      </c>
      <c r="M63" s="28" t="s">
        <v>932</v>
      </c>
      <c r="N63" s="28" t="s">
        <v>933</v>
      </c>
      <c r="O63" s="28" t="s">
        <v>601</v>
      </c>
      <c r="P63" s="28" t="s">
        <v>934</v>
      </c>
      <c r="Q63" s="28" t="s">
        <v>692</v>
      </c>
      <c r="R63" s="28" t="s">
        <v>935</v>
      </c>
      <c r="S63" s="28" t="s">
        <v>369</v>
      </c>
      <c r="T63" s="28" t="s">
        <v>936</v>
      </c>
      <c r="U63" s="28" t="s">
        <v>370</v>
      </c>
    </row>
  </sheetData>
  <phoneticPr fontId="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2"/>
  <sheetViews>
    <sheetView tabSelected="1" workbookViewId="0">
      <selection activeCell="D2" sqref="D2"/>
    </sheetView>
  </sheetViews>
  <sheetFormatPr defaultRowHeight="14.25"/>
  <cols>
    <col min="2" max="2" width="95.875" customWidth="1"/>
  </cols>
  <sheetData>
    <row r="2" spans="2:2" ht="250.5" customHeight="1">
      <c r="B2" s="15" t="s">
        <v>937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参数</vt:lpstr>
      <vt:lpstr>目标竖版</vt:lpstr>
      <vt:lpstr>全车有效线索管控</vt:lpstr>
      <vt:lpstr>全国按日NEV</vt:lpstr>
      <vt:lpstr>全国按日ICE</vt:lpstr>
      <vt:lpstr>十五代轩逸按日</vt:lpstr>
      <vt:lpstr>每日NEV早报模板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石嘉琪(Shi Jiaqi,UOC)(东风日产汽车销售有限公司用户运营中心市场支持科)</dc:creator>
  <cp:keywords>1</cp:keywords>
  <cp:lastModifiedBy>chengge liang</cp:lastModifiedBy>
  <dcterms:created xsi:type="dcterms:W3CDTF">2015-06-05T18:19:00Z</dcterms:created>
  <dcterms:modified xsi:type="dcterms:W3CDTF">2026-05-01T16:30:33Z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rackVanish">
    <vt:lpwstr>{2095F861-62E7-4B80-8C19-B449212097E4}</vt:lpwstr>
  </property>
  <property fmtid="{D5CDD505-2E9C-101B-9397-08002B2CF9AE}" pid="3" name="DLPManualFileClassification">
    <vt:lpwstr>{2095F861-62E7-4B80-8C19-B449212097E4}</vt:lpwstr>
  </property>
  <property fmtid="{D5CDD505-2E9C-101B-9397-08002B2CF9AE}" pid="4" name="手动分类 2025/3/2 13:14:06">
    <vt:lpwstr>shijiaqi 设置标签级别为：工作秘密</vt:lpwstr>
  </property>
  <property fmtid="{D5CDD505-2E9C-101B-9397-08002B2CF9AE}" pid="5" name="ICV">
    <vt:lpwstr>49D61C371359494380BEC78D7EBA9A1D_13</vt:lpwstr>
  </property>
  <property fmtid="{D5CDD505-2E9C-101B-9397-08002B2CF9AE}" pid="6" name="KSOProductBuildVer">
    <vt:lpwstr>2052-12.1.0.24657</vt:lpwstr>
  </property>
  <property fmtid="{D5CDD505-2E9C-101B-9397-08002B2CF9AE}" pid="7" name="CalculationRule">
    <vt:i4>0</vt:i4>
  </property>
</Properties>
</file>